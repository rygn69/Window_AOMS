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firstSheet="2" activeTab="14"/>
  </bookViews>
  <sheets>
    <sheet name="TB-Jan" sheetId="1" r:id="rId1"/>
    <sheet name="TB-Feb" sheetId="4" r:id="rId2"/>
    <sheet name="TB-Mar" sheetId="5" r:id="rId3"/>
    <sheet name="TB-Apr" sheetId="6" r:id="rId4"/>
    <sheet name="TB-May" sheetId="7" r:id="rId5"/>
    <sheet name="TB-Jun" sheetId="8" r:id="rId6"/>
    <sheet name="TB-Jul" sheetId="9" r:id="rId7"/>
    <sheet name="TB-Aug" sheetId="10" r:id="rId8"/>
    <sheet name="TB-Sep" sheetId="11" r:id="rId9"/>
    <sheet name="TB-Oct" sheetId="12" r:id="rId10"/>
    <sheet name="TB-Nov" sheetId="13" r:id="rId11"/>
    <sheet name="TB-Dec" sheetId="14" r:id="rId12"/>
    <sheet name="TB" sheetId="15" r:id="rId13"/>
    <sheet name="BS" sheetId="2" r:id="rId14"/>
    <sheet name="schedule" sheetId="17" r:id="rId15"/>
  </sheets>
  <externalReferences>
    <externalReference r:id="rId16"/>
    <externalReference r:id="rId17"/>
    <externalReference r:id="rId18"/>
    <externalReference r:id="rId19"/>
  </externalReferences>
  <definedNames>
    <definedName name="_xlnm.Print_Titles" localSheetId="12">TB!$9:$9</definedName>
    <definedName name="_xlnm.Print_Titles" localSheetId="3">'TB-Apr'!$9:$9</definedName>
    <definedName name="_xlnm.Print_Titles" localSheetId="7">'TB-Aug'!$9:$9</definedName>
    <definedName name="_xlnm.Print_Titles" localSheetId="11">'TB-Dec'!$9:$9</definedName>
    <definedName name="_xlnm.Print_Titles" localSheetId="1">'TB-Feb'!$9:$9</definedName>
    <definedName name="_xlnm.Print_Titles" localSheetId="0">'TB-Jan'!$9:$9</definedName>
    <definedName name="_xlnm.Print_Titles" localSheetId="6">'TB-Jul'!$9:$9</definedName>
    <definedName name="_xlnm.Print_Titles" localSheetId="5">'TB-Jun'!$9:$9</definedName>
    <definedName name="_xlnm.Print_Titles" localSheetId="2">'TB-Mar'!$9:$9</definedName>
    <definedName name="_xlnm.Print_Titles" localSheetId="4">'TB-May'!$9:$9</definedName>
    <definedName name="_xlnm.Print_Titles" localSheetId="10">'TB-Nov'!$9:$9</definedName>
    <definedName name="_xlnm.Print_Titles" localSheetId="9">'TB-Oct'!$9:$9</definedName>
    <definedName name="_xlnm.Print_Titles" localSheetId="8">'TB-Sep'!$9:$9</definedName>
  </definedNames>
  <calcPr calcId="124519"/>
</workbook>
</file>

<file path=xl/calcChain.xml><?xml version="1.0" encoding="utf-8"?>
<calcChain xmlns="http://schemas.openxmlformats.org/spreadsheetml/2006/main">
  <c r="X37" i="17"/>
  <c r="M19" i="10"/>
  <c r="X31" i="17"/>
  <c r="X16"/>
  <c r="L1144"/>
  <c r="K1144"/>
  <c r="X1286"/>
  <c r="X1285"/>
  <c r="X1280"/>
  <c r="X1223"/>
  <c r="X1219"/>
  <c r="X1174"/>
  <c r="X1172"/>
  <c r="X1171"/>
  <c r="X1153"/>
  <c r="L1204"/>
  <c r="K1204"/>
  <c r="L1078"/>
  <c r="L1021"/>
  <c r="L968"/>
  <c r="L965"/>
  <c r="L951"/>
  <c r="L937"/>
  <c r="L903"/>
  <c r="L902"/>
  <c r="L748"/>
  <c r="X773"/>
  <c r="X803"/>
  <c r="X785"/>
  <c r="X784"/>
  <c r="L1282"/>
  <c r="L1274"/>
  <c r="L1269"/>
  <c r="L1267"/>
  <c r="L1266"/>
  <c r="L1265"/>
  <c r="L1264"/>
  <c r="L1257"/>
  <c r="L1256"/>
  <c r="L1253"/>
  <c r="L1248"/>
  <c r="L1247"/>
  <c r="L1246"/>
  <c r="L1245"/>
  <c r="L1231"/>
  <c r="L1227"/>
  <c r="L1220"/>
  <c r="L1211"/>
  <c r="L1207"/>
  <c r="L1202"/>
  <c r="L1200"/>
  <c r="L1193"/>
  <c r="L1189"/>
  <c r="L1180"/>
  <c r="L1170"/>
  <c r="L1165"/>
  <c r="L1164"/>
  <c r="L1161"/>
  <c r="L1159"/>
  <c r="L1158"/>
  <c r="L1157"/>
  <c r="L1156"/>
  <c r="L1149"/>
  <c r="L1147"/>
  <c r="L1138"/>
  <c r="L1137"/>
  <c r="L1136"/>
  <c r="L1135"/>
  <c r="L1134"/>
  <c r="L1133"/>
  <c r="L1132"/>
  <c r="L1131"/>
  <c r="L1130"/>
  <c r="L1129"/>
  <c r="L1128"/>
  <c r="L1127"/>
  <c r="L1126"/>
  <c r="L1125"/>
  <c r="L1124"/>
  <c r="L1122"/>
  <c r="L1120"/>
  <c r="L1118"/>
  <c r="L1117"/>
  <c r="L1116"/>
  <c r="L1114"/>
  <c r="L1111"/>
  <c r="L1110"/>
  <c r="L1109"/>
  <c r="L1108"/>
  <c r="L1107"/>
  <c r="L1106"/>
  <c r="L1105"/>
  <c r="L1103"/>
  <c r="L1102"/>
  <c r="L1101"/>
  <c r="L1100"/>
  <c r="L1099"/>
  <c r="L1098"/>
  <c r="L1097"/>
  <c r="L1095"/>
  <c r="L1094"/>
  <c r="L1092"/>
  <c r="L1091"/>
  <c r="L1090"/>
  <c r="L1089"/>
  <c r="L1088"/>
  <c r="L1087"/>
  <c r="L1086"/>
  <c r="L1085"/>
  <c r="L1084"/>
  <c r="L1083"/>
  <c r="L1082"/>
  <c r="L1080"/>
  <c r="L1079"/>
  <c r="L1077"/>
  <c r="L1076"/>
  <c r="L1075"/>
  <c r="L1074"/>
  <c r="L1073"/>
  <c r="L1069"/>
  <c r="L1068"/>
  <c r="L1067"/>
  <c r="L1066"/>
  <c r="L1065"/>
  <c r="L1064"/>
  <c r="L1063"/>
  <c r="L1062"/>
  <c r="L1061"/>
  <c r="L1060"/>
  <c r="L1058"/>
  <c r="L1057"/>
  <c r="L1056"/>
  <c r="L1055"/>
  <c r="L1054"/>
  <c r="L1053"/>
  <c r="L1052"/>
  <c r="L1051"/>
  <c r="L1050"/>
  <c r="L1049"/>
  <c r="L1048"/>
  <c r="L1046"/>
  <c r="L1045"/>
  <c r="L1044"/>
  <c r="L1043"/>
  <c r="L1042"/>
  <c r="L1041"/>
  <c r="L1040"/>
  <c r="L1039"/>
  <c r="L1038"/>
  <c r="L1037"/>
  <c r="L1036"/>
  <c r="L1035"/>
  <c r="L1034"/>
  <c r="L1033"/>
  <c r="L1031"/>
  <c r="L1027"/>
  <c r="L1026"/>
  <c r="L1025"/>
  <c r="L1024"/>
  <c r="L1023"/>
  <c r="L1020"/>
  <c r="L1019"/>
  <c r="L1018"/>
  <c r="L1017"/>
  <c r="L1016"/>
  <c r="L1015"/>
  <c r="L1014"/>
  <c r="L1013"/>
  <c r="L1012"/>
  <c r="L1011"/>
  <c r="L1010"/>
  <c r="L1009"/>
  <c r="L1008"/>
  <c r="L1007"/>
  <c r="L1006"/>
  <c r="L1004"/>
  <c r="L1003"/>
  <c r="L1002"/>
  <c r="L1001"/>
  <c r="L1000"/>
  <c r="L997"/>
  <c r="L993"/>
  <c r="L992"/>
  <c r="L991"/>
  <c r="L989"/>
  <c r="L988"/>
  <c r="L987"/>
  <c r="L986"/>
  <c r="L985"/>
  <c r="L984"/>
  <c r="L983"/>
  <c r="L982"/>
  <c r="L981"/>
  <c r="L980"/>
  <c r="L979"/>
  <c r="L978"/>
  <c r="L977"/>
  <c r="L975"/>
  <c r="L973"/>
  <c r="L972"/>
  <c r="L971"/>
  <c r="L970"/>
  <c r="L966"/>
  <c r="L964"/>
  <c r="L963"/>
  <c r="L962"/>
  <c r="L961"/>
  <c r="L960"/>
  <c r="L959"/>
  <c r="L958"/>
  <c r="L956"/>
  <c r="L955"/>
  <c r="L954"/>
  <c r="L953"/>
  <c r="L952"/>
  <c r="L950"/>
  <c r="L949"/>
  <c r="L948"/>
  <c r="L947"/>
  <c r="L946"/>
  <c r="L945"/>
  <c r="L944"/>
  <c r="L943"/>
  <c r="L942"/>
  <c r="L941"/>
  <c r="L940"/>
  <c r="L939"/>
  <c r="L938"/>
  <c r="L936"/>
  <c r="L935"/>
  <c r="L933"/>
  <c r="L932"/>
  <c r="L931"/>
  <c r="L930"/>
  <c r="L929"/>
  <c r="L928"/>
  <c r="L927"/>
  <c r="L926"/>
  <c r="L925"/>
  <c r="L924"/>
  <c r="L922"/>
  <c r="L921"/>
  <c r="L920"/>
  <c r="L919"/>
  <c r="L917"/>
  <c r="L916"/>
  <c r="L915"/>
  <c r="L913"/>
  <c r="L912"/>
  <c r="L911"/>
  <c r="L910"/>
  <c r="L909"/>
  <c r="L907"/>
  <c r="L906"/>
  <c r="L905"/>
  <c r="L904"/>
  <c r="L901"/>
  <c r="L900"/>
  <c r="L899"/>
  <c r="L898"/>
  <c r="L897"/>
  <c r="L896"/>
  <c r="L895"/>
  <c r="L894"/>
  <c r="L893"/>
  <c r="L891"/>
  <c r="L890"/>
  <c r="L889"/>
  <c r="L888"/>
  <c r="L884"/>
  <c r="L881"/>
  <c r="L880"/>
  <c r="L879"/>
  <c r="L878"/>
  <c r="L877"/>
  <c r="L875"/>
  <c r="L874"/>
  <c r="L873"/>
  <c r="L872"/>
  <c r="L871"/>
  <c r="L869"/>
  <c r="L868"/>
  <c r="L858"/>
  <c r="L856"/>
  <c r="L847"/>
  <c r="L843"/>
  <c r="L831"/>
  <c r="L830"/>
  <c r="L828"/>
  <c r="L824"/>
  <c r="L816"/>
  <c r="X781"/>
  <c r="L780"/>
  <c r="K780"/>
  <c r="L764"/>
  <c r="L768"/>
  <c r="L714"/>
  <c r="L713"/>
  <c r="L710"/>
  <c r="L709"/>
  <c r="L323"/>
  <c r="L522"/>
  <c r="L158"/>
  <c r="L156"/>
  <c r="L178"/>
  <c r="L177"/>
  <c r="L210"/>
  <c r="X51"/>
  <c r="X47"/>
  <c r="X46"/>
  <c r="X44"/>
  <c r="X41"/>
  <c r="X40"/>
  <c r="X18"/>
  <c r="A7"/>
  <c r="AG1300"/>
  <c r="AG1293"/>
  <c r="AE1293"/>
  <c r="AD1288"/>
  <c r="AD1291" s="1"/>
  <c r="T1287"/>
  <c r="H1287" s="1"/>
  <c r="V1286"/>
  <c r="U1286"/>
  <c r="T1286"/>
  <c r="W1285"/>
  <c r="V1285"/>
  <c r="U1285"/>
  <c r="T1285"/>
  <c r="H1285" s="1"/>
  <c r="T1284"/>
  <c r="AF1283"/>
  <c r="AF1284" s="1"/>
  <c r="T1283"/>
  <c r="K1282"/>
  <c r="J1282"/>
  <c r="I1282"/>
  <c r="H1282"/>
  <c r="T1281"/>
  <c r="V1280"/>
  <c r="U1280"/>
  <c r="T1280"/>
  <c r="H1280" s="1"/>
  <c r="T1279"/>
  <c r="L1279" s="1"/>
  <c r="T1278"/>
  <c r="L1278" s="1"/>
  <c r="T1277"/>
  <c r="K1277" s="1"/>
  <c r="T1276"/>
  <c r="K1276" s="1"/>
  <c r="T1275"/>
  <c r="L1275" s="1"/>
  <c r="K1274"/>
  <c r="J1274"/>
  <c r="I1274"/>
  <c r="H1274"/>
  <c r="T1273"/>
  <c r="T1272"/>
  <c r="L1272" s="1"/>
  <c r="T1271"/>
  <c r="K1271" s="1"/>
  <c r="T1270"/>
  <c r="K1269"/>
  <c r="J1269"/>
  <c r="I1269"/>
  <c r="H1269"/>
  <c r="T1268"/>
  <c r="I1268" s="1"/>
  <c r="K1267"/>
  <c r="J1267"/>
  <c r="I1267"/>
  <c r="H1267"/>
  <c r="K1266"/>
  <c r="J1266"/>
  <c r="I1266"/>
  <c r="H1266"/>
  <c r="K1265"/>
  <c r="J1265"/>
  <c r="K1264"/>
  <c r="J1264"/>
  <c r="I1264"/>
  <c r="H1264"/>
  <c r="T1263"/>
  <c r="H1263" s="1"/>
  <c r="T1262"/>
  <c r="I1262" s="1"/>
  <c r="T1261"/>
  <c r="T1260"/>
  <c r="H1260" s="1"/>
  <c r="T1259"/>
  <c r="K1259" s="1"/>
  <c r="AL1258"/>
  <c r="T1258"/>
  <c r="H1258" s="1"/>
  <c r="K1257"/>
  <c r="J1257"/>
  <c r="I1257"/>
  <c r="H1257"/>
  <c r="K1256"/>
  <c r="J1256"/>
  <c r="I1256"/>
  <c r="H1256"/>
  <c r="T1255"/>
  <c r="I1255" s="1"/>
  <c r="U1254"/>
  <c r="K1254" s="1"/>
  <c r="K1253"/>
  <c r="J1253"/>
  <c r="I1253"/>
  <c r="H1253"/>
  <c r="AF1252"/>
  <c r="W1252"/>
  <c r="V1252"/>
  <c r="U1252"/>
  <c r="T1252"/>
  <c r="T1251"/>
  <c r="L1251" s="1"/>
  <c r="T1250"/>
  <c r="K1250" s="1"/>
  <c r="W1249"/>
  <c r="T1249"/>
  <c r="K1248"/>
  <c r="J1248"/>
  <c r="I1248"/>
  <c r="H1248"/>
  <c r="K1247"/>
  <c r="J1247"/>
  <c r="K1246"/>
  <c r="J1246"/>
  <c r="I1246"/>
  <c r="H1246"/>
  <c r="K1245"/>
  <c r="J1245"/>
  <c r="I1245"/>
  <c r="H1245"/>
  <c r="AF1244"/>
  <c r="T1244"/>
  <c r="H1244" s="1"/>
  <c r="T1243"/>
  <c r="L1243" s="1"/>
  <c r="T1242"/>
  <c r="L1242" s="1"/>
  <c r="T1241"/>
  <c r="J1241" s="1"/>
  <c r="AF1240"/>
  <c r="T1240"/>
  <c r="L1240" s="1"/>
  <c r="T1239"/>
  <c r="K1239" s="1"/>
  <c r="T1238"/>
  <c r="K1238" s="1"/>
  <c r="AW1237"/>
  <c r="AW1246" s="1"/>
  <c r="W1237"/>
  <c r="V1237"/>
  <c r="U1237"/>
  <c r="T1237"/>
  <c r="AE1236"/>
  <c r="T1236"/>
  <c r="L1236" s="1"/>
  <c r="T1235"/>
  <c r="L1235" s="1"/>
  <c r="T1234"/>
  <c r="H1234" s="1"/>
  <c r="T1233"/>
  <c r="I1233" s="1"/>
  <c r="T1232"/>
  <c r="K1232" s="1"/>
  <c r="K1231"/>
  <c r="J1231"/>
  <c r="I1231"/>
  <c r="H1231"/>
  <c r="T1230"/>
  <c r="AJ1229"/>
  <c r="AJ1230" s="1"/>
  <c r="AJ1236" s="1"/>
  <c r="AJ1239" s="1"/>
  <c r="T1229"/>
  <c r="L1229" s="1"/>
  <c r="T1228"/>
  <c r="L1228" s="1"/>
  <c r="K1227"/>
  <c r="J1227"/>
  <c r="I1227"/>
  <c r="H1227"/>
  <c r="U1226"/>
  <c r="T1226"/>
  <c r="H1226" s="1"/>
  <c r="T1225"/>
  <c r="L1225" s="1"/>
  <c r="T1224"/>
  <c r="L1224" s="1"/>
  <c r="W1223"/>
  <c r="V1223"/>
  <c r="U1223"/>
  <c r="T1223"/>
  <c r="T1222"/>
  <c r="K1222" s="1"/>
  <c r="AF1221"/>
  <c r="T1221"/>
  <c r="K1221" s="1"/>
  <c r="K1220"/>
  <c r="J1220"/>
  <c r="I1220"/>
  <c r="H1220"/>
  <c r="W1219"/>
  <c r="V1219"/>
  <c r="U1219"/>
  <c r="T1219"/>
  <c r="AD1218"/>
  <c r="AE1218" s="1"/>
  <c r="AF1218" s="1"/>
  <c r="T1218"/>
  <c r="T1217"/>
  <c r="L1217" s="1"/>
  <c r="T1216"/>
  <c r="J1216" s="1"/>
  <c r="W1215"/>
  <c r="T1215"/>
  <c r="W1214"/>
  <c r="V1214"/>
  <c r="T1214"/>
  <c r="T1213"/>
  <c r="L1213" s="1"/>
  <c r="BA1212"/>
  <c r="BA1215" s="1"/>
  <c r="BA1239" s="1"/>
  <c r="BA1244" s="1"/>
  <c r="BA1246" s="1"/>
  <c r="T1212"/>
  <c r="K1212" s="1"/>
  <c r="K1211"/>
  <c r="J1211"/>
  <c r="I1211"/>
  <c r="H1211"/>
  <c r="T1210"/>
  <c r="U1209"/>
  <c r="T1209"/>
  <c r="T1208"/>
  <c r="I1208" s="1"/>
  <c r="K1207"/>
  <c r="J1207"/>
  <c r="T1206"/>
  <c r="K1206" s="1"/>
  <c r="T1205"/>
  <c r="L1205" s="1"/>
  <c r="T1203"/>
  <c r="K1203" s="1"/>
  <c r="K1202"/>
  <c r="J1202"/>
  <c r="I1202"/>
  <c r="H1202"/>
  <c r="AL1201"/>
  <c r="T1201"/>
  <c r="K1201" s="1"/>
  <c r="K1200"/>
  <c r="J1200"/>
  <c r="I1200"/>
  <c r="H1200"/>
  <c r="T1199"/>
  <c r="L1199" s="1"/>
  <c r="T1198"/>
  <c r="H1198" s="1"/>
  <c r="T1197"/>
  <c r="I1197" s="1"/>
  <c r="T1196"/>
  <c r="T1195"/>
  <c r="L1195" s="1"/>
  <c r="T1194"/>
  <c r="K1193"/>
  <c r="J1193"/>
  <c r="I1193"/>
  <c r="H1193"/>
  <c r="T1192"/>
  <c r="L1192" s="1"/>
  <c r="T1191"/>
  <c r="J1191" s="1"/>
  <c r="T1190"/>
  <c r="L1190" s="1"/>
  <c r="K1189"/>
  <c r="J1189"/>
  <c r="I1189"/>
  <c r="H1189"/>
  <c r="T1188"/>
  <c r="L1188" s="1"/>
  <c r="T1187"/>
  <c r="L1187" s="1"/>
  <c r="T1186"/>
  <c r="K1186" s="1"/>
  <c r="T1185"/>
  <c r="L1185" s="1"/>
  <c r="T1184"/>
  <c r="L1184" s="1"/>
  <c r="T1183"/>
  <c r="L1183" s="1"/>
  <c r="AE1182"/>
  <c r="T1182"/>
  <c r="I1182" s="1"/>
  <c r="T1181"/>
  <c r="K1181" s="1"/>
  <c r="K1180"/>
  <c r="J1180"/>
  <c r="I1180"/>
  <c r="H1180"/>
  <c r="U1179"/>
  <c r="T1179"/>
  <c r="H1179" s="1"/>
  <c r="T1178"/>
  <c r="H1178" s="1"/>
  <c r="T1177"/>
  <c r="L1177" s="1"/>
  <c r="T1176"/>
  <c r="L1176" s="1"/>
  <c r="T1175"/>
  <c r="J1175" s="1"/>
  <c r="W1174"/>
  <c r="V1174"/>
  <c r="T1174"/>
  <c r="W1173"/>
  <c r="T1173"/>
  <c r="H1173" s="1"/>
  <c r="W1172"/>
  <c r="V1172"/>
  <c r="U1172"/>
  <c r="T1172"/>
  <c r="W1171"/>
  <c r="V1171"/>
  <c r="U1171"/>
  <c r="T1171"/>
  <c r="K1170"/>
  <c r="J1170"/>
  <c r="I1170"/>
  <c r="H1170"/>
  <c r="T1169"/>
  <c r="L1169" s="1"/>
  <c r="T1168"/>
  <c r="I1168" s="1"/>
  <c r="T1167"/>
  <c r="I1167" s="1"/>
  <c r="U1166"/>
  <c r="T1166"/>
  <c r="AE1165"/>
  <c r="K1165"/>
  <c r="J1165"/>
  <c r="I1165"/>
  <c r="H1165"/>
  <c r="K1164"/>
  <c r="J1164"/>
  <c r="I1164"/>
  <c r="H1164"/>
  <c r="T1163"/>
  <c r="L1163" s="1"/>
  <c r="T1162"/>
  <c r="H1162" s="1"/>
  <c r="AP1161"/>
  <c r="K1161"/>
  <c r="J1161"/>
  <c r="I1161"/>
  <c r="H1161"/>
  <c r="T1160"/>
  <c r="I1160" s="1"/>
  <c r="K1159"/>
  <c r="J1159"/>
  <c r="I1159"/>
  <c r="H1159"/>
  <c r="K1158"/>
  <c r="J1158"/>
  <c r="K1157"/>
  <c r="J1157"/>
  <c r="I1157"/>
  <c r="H1157"/>
  <c r="K1156"/>
  <c r="J1156"/>
  <c r="I1156"/>
  <c r="H1156"/>
  <c r="T1155"/>
  <c r="L1155" s="1"/>
  <c r="T1154"/>
  <c r="W1153"/>
  <c r="V1153"/>
  <c r="U1153"/>
  <c r="T1153"/>
  <c r="T1152"/>
  <c r="L1152" s="1"/>
  <c r="T1151"/>
  <c r="K1151" s="1"/>
  <c r="W1150"/>
  <c r="V1150"/>
  <c r="U1150"/>
  <c r="T1150"/>
  <c r="H1150" s="1"/>
  <c r="K1149"/>
  <c r="J1149"/>
  <c r="I1149"/>
  <c r="H1149"/>
  <c r="T1148"/>
  <c r="L1148" s="1"/>
  <c r="K1147"/>
  <c r="J1147"/>
  <c r="I1147"/>
  <c r="H1147"/>
  <c r="T1146"/>
  <c r="L1146" s="1"/>
  <c r="AF1145"/>
  <c r="T1145"/>
  <c r="K1145" s="1"/>
  <c r="T1143"/>
  <c r="AD1140"/>
  <c r="U1140"/>
  <c r="T1139"/>
  <c r="L1139" s="1"/>
  <c r="K1138"/>
  <c r="J1138"/>
  <c r="I1138"/>
  <c r="H1138"/>
  <c r="K1137"/>
  <c r="J1137"/>
  <c r="I1137"/>
  <c r="H1137"/>
  <c r="K1136"/>
  <c r="J1136"/>
  <c r="I1136"/>
  <c r="H1136"/>
  <c r="K1135"/>
  <c r="J1135"/>
  <c r="I1135"/>
  <c r="H1135"/>
  <c r="K1134"/>
  <c r="J1134"/>
  <c r="I1134"/>
  <c r="H1134"/>
  <c r="K1133"/>
  <c r="J1133"/>
  <c r="I1133"/>
  <c r="H1133"/>
  <c r="K1132"/>
  <c r="J1132"/>
  <c r="I1132"/>
  <c r="H1132"/>
  <c r="K1131"/>
  <c r="J1131"/>
  <c r="I1131"/>
  <c r="H1131"/>
  <c r="K1130"/>
  <c r="J1130"/>
  <c r="I1130"/>
  <c r="H1130"/>
  <c r="K1129"/>
  <c r="J1129"/>
  <c r="I1129"/>
  <c r="H1129"/>
  <c r="K1128"/>
  <c r="J1128"/>
  <c r="I1128"/>
  <c r="H1128"/>
  <c r="K1127"/>
  <c r="J1127"/>
  <c r="I1127"/>
  <c r="H1127"/>
  <c r="K1126"/>
  <c r="J1126"/>
  <c r="I1126"/>
  <c r="H1126"/>
  <c r="K1125"/>
  <c r="J1125"/>
  <c r="I1125"/>
  <c r="H1125"/>
  <c r="K1124"/>
  <c r="J1124"/>
  <c r="I1124"/>
  <c r="H1124"/>
  <c r="T1123"/>
  <c r="I1123" s="1"/>
  <c r="K1122"/>
  <c r="J1122"/>
  <c r="I1122"/>
  <c r="H1122"/>
  <c r="T1121"/>
  <c r="K1121" s="1"/>
  <c r="K1120"/>
  <c r="J1120"/>
  <c r="I1120"/>
  <c r="H1120"/>
  <c r="T1119"/>
  <c r="I1119" s="1"/>
  <c r="K1118"/>
  <c r="J1118"/>
  <c r="I1118"/>
  <c r="H1118"/>
  <c r="AF1117"/>
  <c r="K1117"/>
  <c r="J1117"/>
  <c r="I1117"/>
  <c r="H1117"/>
  <c r="K1116"/>
  <c r="J1116"/>
  <c r="I1116"/>
  <c r="H1116"/>
  <c r="T1115"/>
  <c r="L1115" s="1"/>
  <c r="K1114"/>
  <c r="J1114"/>
  <c r="I1114"/>
  <c r="H1114"/>
  <c r="T1113"/>
  <c r="K1113" s="1"/>
  <c r="T1112"/>
  <c r="K1112" s="1"/>
  <c r="K1111"/>
  <c r="J1111"/>
  <c r="I1111"/>
  <c r="H1111"/>
  <c r="K1110"/>
  <c r="J1110"/>
  <c r="I1110"/>
  <c r="H1110"/>
  <c r="K1109"/>
  <c r="J1109"/>
  <c r="I1109"/>
  <c r="H1109"/>
  <c r="K1108"/>
  <c r="J1108"/>
  <c r="I1108"/>
  <c r="H1108"/>
  <c r="K1107"/>
  <c r="J1107"/>
  <c r="I1107"/>
  <c r="H1107"/>
  <c r="K1106"/>
  <c r="J1106"/>
  <c r="I1106"/>
  <c r="H1106"/>
  <c r="K1105"/>
  <c r="J1105"/>
  <c r="I1105"/>
  <c r="H1105"/>
  <c r="T1104"/>
  <c r="L1104" s="1"/>
  <c r="K1103"/>
  <c r="J1103"/>
  <c r="I1103"/>
  <c r="H1103"/>
  <c r="K1102"/>
  <c r="J1102"/>
  <c r="I1102"/>
  <c r="H1102"/>
  <c r="K1101"/>
  <c r="J1101"/>
  <c r="I1101"/>
  <c r="H1101"/>
  <c r="K1100"/>
  <c r="J1100"/>
  <c r="I1100"/>
  <c r="H1100"/>
  <c r="K1099"/>
  <c r="J1099"/>
  <c r="I1099"/>
  <c r="H1099"/>
  <c r="K1098"/>
  <c r="J1098"/>
  <c r="I1098"/>
  <c r="H1098"/>
  <c r="K1097"/>
  <c r="J1097"/>
  <c r="I1097"/>
  <c r="H1097"/>
  <c r="T1096"/>
  <c r="L1096" s="1"/>
  <c r="K1095"/>
  <c r="J1095"/>
  <c r="I1095"/>
  <c r="H1095"/>
  <c r="K1094"/>
  <c r="J1094"/>
  <c r="I1094"/>
  <c r="H1094"/>
  <c r="T1093"/>
  <c r="K1093" s="1"/>
  <c r="K1092"/>
  <c r="J1092"/>
  <c r="I1092"/>
  <c r="H1092"/>
  <c r="K1091"/>
  <c r="J1091"/>
  <c r="I1091"/>
  <c r="H1091"/>
  <c r="K1090"/>
  <c r="J1090"/>
  <c r="I1090"/>
  <c r="H1090"/>
  <c r="K1089"/>
  <c r="J1089"/>
  <c r="I1089"/>
  <c r="H1089"/>
  <c r="K1088"/>
  <c r="J1088"/>
  <c r="I1088"/>
  <c r="H1088"/>
  <c r="K1087"/>
  <c r="J1087"/>
  <c r="I1087"/>
  <c r="H1087"/>
  <c r="K1086"/>
  <c r="J1086"/>
  <c r="I1086"/>
  <c r="H1086"/>
  <c r="K1085"/>
  <c r="J1085"/>
  <c r="I1085"/>
  <c r="H1085"/>
  <c r="K1084"/>
  <c r="J1084"/>
  <c r="I1084"/>
  <c r="H1084"/>
  <c r="K1083"/>
  <c r="J1083"/>
  <c r="I1083"/>
  <c r="H1083"/>
  <c r="K1082"/>
  <c r="J1082"/>
  <c r="I1082"/>
  <c r="H1082"/>
  <c r="T1081"/>
  <c r="L1081" s="1"/>
  <c r="K1080"/>
  <c r="J1080"/>
  <c r="I1080"/>
  <c r="H1080"/>
  <c r="K1079"/>
  <c r="J1079"/>
  <c r="I1079"/>
  <c r="H1079"/>
  <c r="K1077"/>
  <c r="J1077"/>
  <c r="K1076"/>
  <c r="J1076"/>
  <c r="I1076"/>
  <c r="H1076"/>
  <c r="K1075"/>
  <c r="J1075"/>
  <c r="I1075"/>
  <c r="H1075"/>
  <c r="K1074"/>
  <c r="J1074"/>
  <c r="I1074"/>
  <c r="H1074"/>
  <c r="K1073"/>
  <c r="J1073"/>
  <c r="I1073"/>
  <c r="H1073"/>
  <c r="T1072"/>
  <c r="H1072" s="1"/>
  <c r="T1071"/>
  <c r="L1071" s="1"/>
  <c r="T1070"/>
  <c r="K1070" s="1"/>
  <c r="K1069"/>
  <c r="J1069"/>
  <c r="I1069"/>
  <c r="H1069"/>
  <c r="K1068"/>
  <c r="J1068"/>
  <c r="I1068"/>
  <c r="H1068"/>
  <c r="K1067"/>
  <c r="J1067"/>
  <c r="I1067"/>
  <c r="H1067"/>
  <c r="K1066"/>
  <c r="J1066"/>
  <c r="I1066"/>
  <c r="H1066"/>
  <c r="K1065"/>
  <c r="J1065"/>
  <c r="I1065"/>
  <c r="H1065"/>
  <c r="K1064"/>
  <c r="J1064"/>
  <c r="I1064"/>
  <c r="H1064"/>
  <c r="K1063"/>
  <c r="J1063"/>
  <c r="I1063"/>
  <c r="H1063"/>
  <c r="K1062"/>
  <c r="J1062"/>
  <c r="I1062"/>
  <c r="H1062"/>
  <c r="K1061"/>
  <c r="J1061"/>
  <c r="I1061"/>
  <c r="H1061"/>
  <c r="K1060"/>
  <c r="J1060"/>
  <c r="I1060"/>
  <c r="H1060"/>
  <c r="T1059"/>
  <c r="H1059" s="1"/>
  <c r="K1058"/>
  <c r="J1058"/>
  <c r="I1058"/>
  <c r="H1058"/>
  <c r="K1057"/>
  <c r="J1057"/>
  <c r="I1057"/>
  <c r="H1057"/>
  <c r="K1056"/>
  <c r="J1056"/>
  <c r="I1056"/>
  <c r="H1056"/>
  <c r="K1055"/>
  <c r="J1055"/>
  <c r="I1055"/>
  <c r="K1054"/>
  <c r="J1054"/>
  <c r="I1054"/>
  <c r="H1054"/>
  <c r="K1053"/>
  <c r="J1053"/>
  <c r="I1053"/>
  <c r="H1053"/>
  <c r="K1052"/>
  <c r="J1052"/>
  <c r="I1052"/>
  <c r="H1052"/>
  <c r="K1051"/>
  <c r="J1051"/>
  <c r="I1051"/>
  <c r="H1051"/>
  <c r="K1050"/>
  <c r="J1050"/>
  <c r="I1050"/>
  <c r="H1050"/>
  <c r="K1049"/>
  <c r="J1049"/>
  <c r="I1049"/>
  <c r="H1049"/>
  <c r="K1048"/>
  <c r="J1048"/>
  <c r="I1048"/>
  <c r="H1048"/>
  <c r="T1047"/>
  <c r="K1046"/>
  <c r="J1046"/>
  <c r="I1046"/>
  <c r="H1046"/>
  <c r="K1045"/>
  <c r="J1045"/>
  <c r="I1045"/>
  <c r="H1045"/>
  <c r="K1044"/>
  <c r="J1044"/>
  <c r="I1044"/>
  <c r="H1044"/>
  <c r="K1043"/>
  <c r="J1043"/>
  <c r="I1043"/>
  <c r="H1043"/>
  <c r="K1042"/>
  <c r="J1042"/>
  <c r="I1042"/>
  <c r="H1042"/>
  <c r="K1041"/>
  <c r="J1041"/>
  <c r="I1041"/>
  <c r="H1041"/>
  <c r="K1040"/>
  <c r="J1040"/>
  <c r="I1040"/>
  <c r="H1040"/>
  <c r="K1039"/>
  <c r="J1039"/>
  <c r="I1039"/>
  <c r="H1039"/>
  <c r="K1038"/>
  <c r="J1038"/>
  <c r="I1038"/>
  <c r="H1038"/>
  <c r="K1037"/>
  <c r="J1037"/>
  <c r="I1037"/>
  <c r="H1037"/>
  <c r="K1036"/>
  <c r="J1036"/>
  <c r="I1036"/>
  <c r="H1036"/>
  <c r="K1035"/>
  <c r="J1035"/>
  <c r="I1035"/>
  <c r="H1035"/>
  <c r="K1034"/>
  <c r="J1034"/>
  <c r="I1034"/>
  <c r="H1034"/>
  <c r="K1033"/>
  <c r="J1033"/>
  <c r="I1033"/>
  <c r="H1033"/>
  <c r="T1032"/>
  <c r="L1032" s="1"/>
  <c r="K1031"/>
  <c r="J1031"/>
  <c r="I1031"/>
  <c r="H1031"/>
  <c r="T1030"/>
  <c r="H1030" s="1"/>
  <c r="T1029"/>
  <c r="K1029" s="1"/>
  <c r="T1028"/>
  <c r="L1028" s="1"/>
  <c r="K1027"/>
  <c r="J1027"/>
  <c r="I1027"/>
  <c r="H1027"/>
  <c r="K1026"/>
  <c r="J1026"/>
  <c r="I1026"/>
  <c r="H1026"/>
  <c r="K1025"/>
  <c r="J1025"/>
  <c r="I1025"/>
  <c r="H1025"/>
  <c r="K1024"/>
  <c r="J1024"/>
  <c r="I1024"/>
  <c r="H1024"/>
  <c r="K1023"/>
  <c r="J1023"/>
  <c r="I1023"/>
  <c r="H1023"/>
  <c r="T1022"/>
  <c r="H1022" s="1"/>
  <c r="K1020"/>
  <c r="J1020"/>
  <c r="I1020"/>
  <c r="H1020"/>
  <c r="K1019"/>
  <c r="J1019"/>
  <c r="I1019"/>
  <c r="H1019"/>
  <c r="K1018"/>
  <c r="J1018"/>
  <c r="I1018"/>
  <c r="H1018"/>
  <c r="K1017"/>
  <c r="J1017"/>
  <c r="I1017"/>
  <c r="H1017"/>
  <c r="K1016"/>
  <c r="J1016"/>
  <c r="I1016"/>
  <c r="H1016"/>
  <c r="K1015"/>
  <c r="J1015"/>
  <c r="I1015"/>
  <c r="H1015"/>
  <c r="K1014"/>
  <c r="J1014"/>
  <c r="I1014"/>
  <c r="H1014"/>
  <c r="K1013"/>
  <c r="J1013"/>
  <c r="I1013"/>
  <c r="H1013"/>
  <c r="K1012"/>
  <c r="J1012"/>
  <c r="I1012"/>
  <c r="H1012"/>
  <c r="K1011"/>
  <c r="J1011"/>
  <c r="I1011"/>
  <c r="H1011"/>
  <c r="K1010"/>
  <c r="J1010"/>
  <c r="I1010"/>
  <c r="H1010"/>
  <c r="K1009"/>
  <c r="J1009"/>
  <c r="I1009"/>
  <c r="H1009"/>
  <c r="K1008"/>
  <c r="J1008"/>
  <c r="I1008"/>
  <c r="H1008"/>
  <c r="K1007"/>
  <c r="J1007"/>
  <c r="I1007"/>
  <c r="H1007"/>
  <c r="K1006"/>
  <c r="J1006"/>
  <c r="I1006"/>
  <c r="H1006"/>
  <c r="T1005"/>
  <c r="I1005" s="1"/>
  <c r="K1004"/>
  <c r="J1004"/>
  <c r="I1004"/>
  <c r="H1004"/>
  <c r="K1003"/>
  <c r="J1003"/>
  <c r="I1003"/>
  <c r="H1003"/>
  <c r="K1002"/>
  <c r="J1002"/>
  <c r="I1002"/>
  <c r="H1002"/>
  <c r="K1001"/>
  <c r="J1001"/>
  <c r="I1001"/>
  <c r="H1001"/>
  <c r="K1000"/>
  <c r="J1000"/>
  <c r="I1000"/>
  <c r="H1000"/>
  <c r="T999"/>
  <c r="T998"/>
  <c r="K997"/>
  <c r="J997"/>
  <c r="I997"/>
  <c r="H997"/>
  <c r="T996"/>
  <c r="K996" s="1"/>
  <c r="T995"/>
  <c r="L995" s="1"/>
  <c r="T994"/>
  <c r="L994" s="1"/>
  <c r="K993"/>
  <c r="J993"/>
  <c r="I993"/>
  <c r="H993"/>
  <c r="K992"/>
  <c r="J992"/>
  <c r="I992"/>
  <c r="H992"/>
  <c r="K991"/>
  <c r="J991"/>
  <c r="I991"/>
  <c r="H991"/>
  <c r="T990"/>
  <c r="K989"/>
  <c r="J989"/>
  <c r="I989"/>
  <c r="H989"/>
  <c r="K988"/>
  <c r="J988"/>
  <c r="I988"/>
  <c r="H988"/>
  <c r="K987"/>
  <c r="J987"/>
  <c r="I987"/>
  <c r="H987"/>
  <c r="K986"/>
  <c r="J986"/>
  <c r="I986"/>
  <c r="H986"/>
  <c r="K985"/>
  <c r="J985"/>
  <c r="I985"/>
  <c r="H985"/>
  <c r="K984"/>
  <c r="J984"/>
  <c r="I984"/>
  <c r="H984"/>
  <c r="K983"/>
  <c r="J983"/>
  <c r="I983"/>
  <c r="H983"/>
  <c r="K982"/>
  <c r="J982"/>
  <c r="I982"/>
  <c r="H982"/>
  <c r="K981"/>
  <c r="J981"/>
  <c r="I981"/>
  <c r="H981"/>
  <c r="K980"/>
  <c r="J980"/>
  <c r="I980"/>
  <c r="H980"/>
  <c r="K979"/>
  <c r="J979"/>
  <c r="I979"/>
  <c r="H979"/>
  <c r="K978"/>
  <c r="J978"/>
  <c r="I978"/>
  <c r="H978"/>
  <c r="K977"/>
  <c r="J977"/>
  <c r="I977"/>
  <c r="H977"/>
  <c r="T976"/>
  <c r="L976" s="1"/>
  <c r="K975"/>
  <c r="J975"/>
  <c r="I975"/>
  <c r="H975"/>
  <c r="T974"/>
  <c r="L974" s="1"/>
  <c r="K973"/>
  <c r="J973"/>
  <c r="I973"/>
  <c r="H973"/>
  <c r="K972"/>
  <c r="J972"/>
  <c r="I972"/>
  <c r="H972"/>
  <c r="K971"/>
  <c r="J971"/>
  <c r="I971"/>
  <c r="H971"/>
  <c r="K970"/>
  <c r="J970"/>
  <c r="I970"/>
  <c r="H970"/>
  <c r="T969"/>
  <c r="J969" s="1"/>
  <c r="T967"/>
  <c r="H967" s="1"/>
  <c r="K966"/>
  <c r="J966"/>
  <c r="I966"/>
  <c r="H966"/>
  <c r="K964"/>
  <c r="J964"/>
  <c r="K963"/>
  <c r="J963"/>
  <c r="K962"/>
  <c r="J962"/>
  <c r="K961"/>
  <c r="J961"/>
  <c r="I961"/>
  <c r="H961"/>
  <c r="K960"/>
  <c r="J960"/>
  <c r="I960"/>
  <c r="H960"/>
  <c r="K959"/>
  <c r="J959"/>
  <c r="I959"/>
  <c r="H959"/>
  <c r="K958"/>
  <c r="J958"/>
  <c r="I958"/>
  <c r="H958"/>
  <c r="T957"/>
  <c r="K957" s="1"/>
  <c r="K956"/>
  <c r="J956"/>
  <c r="I956"/>
  <c r="H956"/>
  <c r="K955"/>
  <c r="J955"/>
  <c r="I955"/>
  <c r="H955"/>
  <c r="K954"/>
  <c r="J954"/>
  <c r="I954"/>
  <c r="H954"/>
  <c r="K953"/>
  <c r="J953"/>
  <c r="I953"/>
  <c r="H953"/>
  <c r="K952"/>
  <c r="J952"/>
  <c r="I952"/>
  <c r="H952"/>
  <c r="K950"/>
  <c r="J950"/>
  <c r="K949"/>
  <c r="J949"/>
  <c r="K948"/>
  <c r="J948"/>
  <c r="I948"/>
  <c r="H948"/>
  <c r="K947"/>
  <c r="J947"/>
  <c r="I947"/>
  <c r="H947"/>
  <c r="K946"/>
  <c r="J946"/>
  <c r="I946"/>
  <c r="H946"/>
  <c r="K945"/>
  <c r="J945"/>
  <c r="I945"/>
  <c r="H945"/>
  <c r="K944"/>
  <c r="J944"/>
  <c r="I944"/>
  <c r="H944"/>
  <c r="K943"/>
  <c r="J943"/>
  <c r="I943"/>
  <c r="H943"/>
  <c r="K942"/>
  <c r="J942"/>
  <c r="I942"/>
  <c r="H942"/>
  <c r="K941"/>
  <c r="J941"/>
  <c r="I941"/>
  <c r="H941"/>
  <c r="K940"/>
  <c r="J940"/>
  <c r="I940"/>
  <c r="H940"/>
  <c r="K939"/>
  <c r="J939"/>
  <c r="I939"/>
  <c r="H939"/>
  <c r="K938"/>
  <c r="J938"/>
  <c r="I938"/>
  <c r="H938"/>
  <c r="K936"/>
  <c r="J936"/>
  <c r="K935"/>
  <c r="J935"/>
  <c r="T934"/>
  <c r="I934" s="1"/>
  <c r="K933"/>
  <c r="J933"/>
  <c r="I933"/>
  <c r="H933"/>
  <c r="K932"/>
  <c r="J932"/>
  <c r="I932"/>
  <c r="H932"/>
  <c r="K931"/>
  <c r="J931"/>
  <c r="I931"/>
  <c r="H931"/>
  <c r="K930"/>
  <c r="J930"/>
  <c r="I930"/>
  <c r="H930"/>
  <c r="K929"/>
  <c r="J929"/>
  <c r="I929"/>
  <c r="H929"/>
  <c r="K928"/>
  <c r="J928"/>
  <c r="I928"/>
  <c r="H928"/>
  <c r="K927"/>
  <c r="J927"/>
  <c r="I927"/>
  <c r="H927"/>
  <c r="K926"/>
  <c r="J926"/>
  <c r="I926"/>
  <c r="H926"/>
  <c r="K925"/>
  <c r="J925"/>
  <c r="I925"/>
  <c r="H925"/>
  <c r="K924"/>
  <c r="J924"/>
  <c r="I924"/>
  <c r="H924"/>
  <c r="T923"/>
  <c r="K923" s="1"/>
  <c r="K922"/>
  <c r="J922"/>
  <c r="I922"/>
  <c r="H922"/>
  <c r="K921"/>
  <c r="J921"/>
  <c r="I921"/>
  <c r="H921"/>
  <c r="K920"/>
  <c r="J920"/>
  <c r="I920"/>
  <c r="H920"/>
  <c r="K919"/>
  <c r="J919"/>
  <c r="I919"/>
  <c r="H919"/>
  <c r="T918"/>
  <c r="L918" s="1"/>
  <c r="K917"/>
  <c r="J917"/>
  <c r="I917"/>
  <c r="H917"/>
  <c r="K916"/>
  <c r="J916"/>
  <c r="I916"/>
  <c r="H916"/>
  <c r="K915"/>
  <c r="J915"/>
  <c r="I915"/>
  <c r="H915"/>
  <c r="T914"/>
  <c r="J914" s="1"/>
  <c r="K913"/>
  <c r="J913"/>
  <c r="I913"/>
  <c r="H913"/>
  <c r="K912"/>
  <c r="J912"/>
  <c r="I912"/>
  <c r="H912"/>
  <c r="K911"/>
  <c r="J911"/>
  <c r="I911"/>
  <c r="H911"/>
  <c r="K910"/>
  <c r="J910"/>
  <c r="I910"/>
  <c r="H910"/>
  <c r="K909"/>
  <c r="J909"/>
  <c r="I909"/>
  <c r="H909"/>
  <c r="T908"/>
  <c r="I908" s="1"/>
  <c r="K907"/>
  <c r="J907"/>
  <c r="I907"/>
  <c r="H907"/>
  <c r="K906"/>
  <c r="J906"/>
  <c r="I906"/>
  <c r="H906"/>
  <c r="K905"/>
  <c r="J905"/>
  <c r="I905"/>
  <c r="H905"/>
  <c r="K904"/>
  <c r="J904"/>
  <c r="I904"/>
  <c r="H904"/>
  <c r="K901"/>
  <c r="J901"/>
  <c r="I901"/>
  <c r="H901"/>
  <c r="K900"/>
  <c r="J900"/>
  <c r="I900"/>
  <c r="H900"/>
  <c r="K899"/>
  <c r="J899"/>
  <c r="I899"/>
  <c r="H899"/>
  <c r="K898"/>
  <c r="J898"/>
  <c r="I898"/>
  <c r="H898"/>
  <c r="K897"/>
  <c r="J897"/>
  <c r="I897"/>
  <c r="H897"/>
  <c r="K896"/>
  <c r="J896"/>
  <c r="I896"/>
  <c r="H896"/>
  <c r="K895"/>
  <c r="J895"/>
  <c r="I895"/>
  <c r="H895"/>
  <c r="K894"/>
  <c r="J894"/>
  <c r="I894"/>
  <c r="H894"/>
  <c r="K893"/>
  <c r="J893"/>
  <c r="I893"/>
  <c r="H893"/>
  <c r="T892"/>
  <c r="L892" s="1"/>
  <c r="K891"/>
  <c r="J891"/>
  <c r="I891"/>
  <c r="H891"/>
  <c r="K890"/>
  <c r="J890"/>
  <c r="I890"/>
  <c r="H890"/>
  <c r="K889"/>
  <c r="J889"/>
  <c r="I889"/>
  <c r="H889"/>
  <c r="K888"/>
  <c r="J888"/>
  <c r="I888"/>
  <c r="AD885"/>
  <c r="K884"/>
  <c r="J884"/>
  <c r="I884"/>
  <c r="H884"/>
  <c r="T883"/>
  <c r="H883" s="1"/>
  <c r="T882"/>
  <c r="H882" s="1"/>
  <c r="K881"/>
  <c r="J881"/>
  <c r="I881"/>
  <c r="H881"/>
  <c r="K880"/>
  <c r="J880"/>
  <c r="I880"/>
  <c r="H880"/>
  <c r="K879"/>
  <c r="J879"/>
  <c r="I879"/>
  <c r="H879"/>
  <c r="K878"/>
  <c r="J878"/>
  <c r="I878"/>
  <c r="H878"/>
  <c r="K877"/>
  <c r="J877"/>
  <c r="I877"/>
  <c r="H877"/>
  <c r="T876"/>
  <c r="K875"/>
  <c r="J875"/>
  <c r="I875"/>
  <c r="H875"/>
  <c r="K874"/>
  <c r="J874"/>
  <c r="I874"/>
  <c r="H874"/>
  <c r="K873"/>
  <c r="J873"/>
  <c r="I873"/>
  <c r="H873"/>
  <c r="K872"/>
  <c r="J872"/>
  <c r="I872"/>
  <c r="H872"/>
  <c r="K871"/>
  <c r="J871"/>
  <c r="I871"/>
  <c r="H871"/>
  <c r="T870"/>
  <c r="L870" s="1"/>
  <c r="K869"/>
  <c r="J869"/>
  <c r="I869"/>
  <c r="H869"/>
  <c r="K868"/>
  <c r="J868"/>
  <c r="I868"/>
  <c r="H868"/>
  <c r="AD865"/>
  <c r="T864"/>
  <c r="L864" s="1"/>
  <c r="T863"/>
  <c r="L863" s="1"/>
  <c r="T862"/>
  <c r="K862" s="1"/>
  <c r="AE861"/>
  <c r="T861"/>
  <c r="L861" s="1"/>
  <c r="T860"/>
  <c r="H860" s="1"/>
  <c r="T859"/>
  <c r="K859" s="1"/>
  <c r="K858"/>
  <c r="J858"/>
  <c r="I858"/>
  <c r="H858"/>
  <c r="T857"/>
  <c r="L857" s="1"/>
  <c r="K856"/>
  <c r="J856"/>
  <c r="I856"/>
  <c r="H856"/>
  <c r="AH855"/>
  <c r="T855"/>
  <c r="I855" s="1"/>
  <c r="T854"/>
  <c r="K854" s="1"/>
  <c r="AE853"/>
  <c r="T853"/>
  <c r="L853" s="1"/>
  <c r="AF852"/>
  <c r="AF1059" s="1"/>
  <c r="AF1062" s="1"/>
  <c r="T852"/>
  <c r="K852" s="1"/>
  <c r="T851"/>
  <c r="I851" s="1"/>
  <c r="T850"/>
  <c r="L850" s="1"/>
  <c r="T849"/>
  <c r="T848"/>
  <c r="K848" s="1"/>
  <c r="K847"/>
  <c r="J847"/>
  <c r="I847"/>
  <c r="H847"/>
  <c r="T846"/>
  <c r="L846" s="1"/>
  <c r="T845"/>
  <c r="L845" s="1"/>
  <c r="T844"/>
  <c r="I844" s="1"/>
  <c r="K843"/>
  <c r="J843"/>
  <c r="I843"/>
  <c r="H843"/>
  <c r="T842"/>
  <c r="T841"/>
  <c r="H841" s="1"/>
  <c r="T840"/>
  <c r="K840" s="1"/>
  <c r="T839"/>
  <c r="T838"/>
  <c r="K838" s="1"/>
  <c r="T837"/>
  <c r="L837" s="1"/>
  <c r="V836"/>
  <c r="T836"/>
  <c r="AD832"/>
  <c r="U832"/>
  <c r="K831"/>
  <c r="J831"/>
  <c r="I831"/>
  <c r="H831"/>
  <c r="K830"/>
  <c r="J830"/>
  <c r="I830"/>
  <c r="H830"/>
  <c r="T829"/>
  <c r="L829" s="1"/>
  <c r="K828"/>
  <c r="J828"/>
  <c r="I828"/>
  <c r="H828"/>
  <c r="T827"/>
  <c r="K827" s="1"/>
  <c r="T826"/>
  <c r="L826" s="1"/>
  <c r="T825"/>
  <c r="H825" s="1"/>
  <c r="K824"/>
  <c r="J824"/>
  <c r="I824"/>
  <c r="H824"/>
  <c r="W823"/>
  <c r="K823" s="1"/>
  <c r="J823"/>
  <c r="I823"/>
  <c r="H823"/>
  <c r="T822"/>
  <c r="K822" s="1"/>
  <c r="T821"/>
  <c r="L821" s="1"/>
  <c r="T820"/>
  <c r="H820" s="1"/>
  <c r="T819"/>
  <c r="I819" s="1"/>
  <c r="T818"/>
  <c r="J818" s="1"/>
  <c r="T817"/>
  <c r="L817" s="1"/>
  <c r="AE816"/>
  <c r="K816"/>
  <c r="J816"/>
  <c r="I816"/>
  <c r="H816"/>
  <c r="T815"/>
  <c r="L815" s="1"/>
  <c r="T814"/>
  <c r="AD810"/>
  <c r="AE810" s="1"/>
  <c r="T809"/>
  <c r="H809"/>
  <c r="V808"/>
  <c r="T808"/>
  <c r="H808" s="1"/>
  <c r="T807"/>
  <c r="P807" s="1"/>
  <c r="T806"/>
  <c r="P806" s="1"/>
  <c r="T805"/>
  <c r="L805" s="1"/>
  <c r="AE804"/>
  <c r="T804"/>
  <c r="N804" s="1"/>
  <c r="AE803"/>
  <c r="W803"/>
  <c r="V803"/>
  <c r="U803"/>
  <c r="T803"/>
  <c r="P802"/>
  <c r="O802"/>
  <c r="N802"/>
  <c r="M802"/>
  <c r="L802"/>
  <c r="K802"/>
  <c r="J802"/>
  <c r="I802"/>
  <c r="H802"/>
  <c r="T801"/>
  <c r="T800"/>
  <c r="P800" s="1"/>
  <c r="T799"/>
  <c r="T798"/>
  <c r="P798" s="1"/>
  <c r="T797"/>
  <c r="P797" s="1"/>
  <c r="P796"/>
  <c r="O796"/>
  <c r="N796"/>
  <c r="M796"/>
  <c r="L796"/>
  <c r="K796"/>
  <c r="J796"/>
  <c r="I796"/>
  <c r="H796"/>
  <c r="T795"/>
  <c r="N795" s="1"/>
  <c r="T794"/>
  <c r="T793"/>
  <c r="O793" s="1"/>
  <c r="AE792"/>
  <c r="W792"/>
  <c r="U792"/>
  <c r="T792"/>
  <c r="P791"/>
  <c r="O791"/>
  <c r="N791"/>
  <c r="M791"/>
  <c r="L791"/>
  <c r="K791"/>
  <c r="J791"/>
  <c r="I791"/>
  <c r="H791"/>
  <c r="P790"/>
  <c r="O790"/>
  <c r="N790"/>
  <c r="M790"/>
  <c r="L790"/>
  <c r="K790"/>
  <c r="J790"/>
  <c r="I790"/>
  <c r="H790"/>
  <c r="T789"/>
  <c r="P788"/>
  <c r="O788"/>
  <c r="N788"/>
  <c r="M788"/>
  <c r="L788"/>
  <c r="K788"/>
  <c r="J788"/>
  <c r="I788"/>
  <c r="H788"/>
  <c r="T787"/>
  <c r="P787" s="1"/>
  <c r="N787"/>
  <c r="M787"/>
  <c r="J787"/>
  <c r="I787"/>
  <c r="P786"/>
  <c r="O786"/>
  <c r="N786"/>
  <c r="M786"/>
  <c r="L786"/>
  <c r="K786"/>
  <c r="J786"/>
  <c r="I786"/>
  <c r="H786"/>
  <c r="V785"/>
  <c r="M785" s="1"/>
  <c r="T785"/>
  <c r="H785" s="1"/>
  <c r="T784"/>
  <c r="I784" s="1"/>
  <c r="T783"/>
  <c r="N783" s="1"/>
  <c r="T782"/>
  <c r="I782" s="1"/>
  <c r="W781"/>
  <c r="K781" s="1"/>
  <c r="J781"/>
  <c r="I781"/>
  <c r="H781"/>
  <c r="P779"/>
  <c r="O779"/>
  <c r="N779"/>
  <c r="M779"/>
  <c r="L779"/>
  <c r="K779"/>
  <c r="J779"/>
  <c r="I779"/>
  <c r="H779"/>
  <c r="T778"/>
  <c r="N778" s="1"/>
  <c r="T777"/>
  <c r="T776"/>
  <c r="M776" s="1"/>
  <c r="P775"/>
  <c r="O775"/>
  <c r="N775"/>
  <c r="M775"/>
  <c r="L775"/>
  <c r="K775"/>
  <c r="J775"/>
  <c r="I775"/>
  <c r="H775"/>
  <c r="P774"/>
  <c r="O774"/>
  <c r="N774"/>
  <c r="M774"/>
  <c r="L774"/>
  <c r="K774"/>
  <c r="J774"/>
  <c r="I774"/>
  <c r="H774"/>
  <c r="AF773"/>
  <c r="V773"/>
  <c r="U773"/>
  <c r="T773"/>
  <c r="P772"/>
  <c r="O772"/>
  <c r="N772"/>
  <c r="M772"/>
  <c r="L772"/>
  <c r="K772"/>
  <c r="J772"/>
  <c r="I772"/>
  <c r="H772"/>
  <c r="T771"/>
  <c r="P771" s="1"/>
  <c r="T770"/>
  <c r="N770" s="1"/>
  <c r="P769"/>
  <c r="O769"/>
  <c r="N769"/>
  <c r="M769"/>
  <c r="L769"/>
  <c r="K769"/>
  <c r="J769"/>
  <c r="I769"/>
  <c r="H769"/>
  <c r="K768"/>
  <c r="J768"/>
  <c r="I768"/>
  <c r="T767"/>
  <c r="P766"/>
  <c r="O766"/>
  <c r="N766"/>
  <c r="M766"/>
  <c r="L766"/>
  <c r="K766"/>
  <c r="J766"/>
  <c r="I766"/>
  <c r="H766"/>
  <c r="P765"/>
  <c r="O765"/>
  <c r="N765"/>
  <c r="M765"/>
  <c r="L765"/>
  <c r="K765"/>
  <c r="J765"/>
  <c r="I765"/>
  <c r="H765"/>
  <c r="K764"/>
  <c r="J764"/>
  <c r="I764"/>
  <c r="P763"/>
  <c r="O763"/>
  <c r="N763"/>
  <c r="M763"/>
  <c r="L763"/>
  <c r="K763"/>
  <c r="J763"/>
  <c r="I763"/>
  <c r="H763"/>
  <c r="T762"/>
  <c r="T761"/>
  <c r="M761" s="1"/>
  <c r="T760"/>
  <c r="H760" s="1"/>
  <c r="T759"/>
  <c r="P759" s="1"/>
  <c r="T758"/>
  <c r="T757"/>
  <c r="P757" s="1"/>
  <c r="T756"/>
  <c r="T755"/>
  <c r="K755" s="1"/>
  <c r="T754"/>
  <c r="H754" s="1"/>
  <c r="T753"/>
  <c r="P753" s="1"/>
  <c r="N753"/>
  <c r="I753"/>
  <c r="P752"/>
  <c r="O752"/>
  <c r="N752"/>
  <c r="M752"/>
  <c r="L752"/>
  <c r="K752"/>
  <c r="J752"/>
  <c r="I752"/>
  <c r="H752"/>
  <c r="T751"/>
  <c r="T750"/>
  <c r="P749"/>
  <c r="O749"/>
  <c r="N749"/>
  <c r="M749"/>
  <c r="L749"/>
  <c r="K749"/>
  <c r="J749"/>
  <c r="I749"/>
  <c r="H749"/>
  <c r="T747"/>
  <c r="P747" s="1"/>
  <c r="T746"/>
  <c r="P745"/>
  <c r="O745"/>
  <c r="N745"/>
  <c r="M745"/>
  <c r="L745"/>
  <c r="K745"/>
  <c r="J745"/>
  <c r="I745"/>
  <c r="H745"/>
  <c r="T744"/>
  <c r="O744" s="1"/>
  <c r="T743"/>
  <c r="T742"/>
  <c r="P742" s="1"/>
  <c r="T741"/>
  <c r="T740"/>
  <c r="M740" s="1"/>
  <c r="T739"/>
  <c r="J739" s="1"/>
  <c r="P738"/>
  <c r="O738"/>
  <c r="N738"/>
  <c r="M738"/>
  <c r="L738"/>
  <c r="K738"/>
  <c r="J738"/>
  <c r="I738"/>
  <c r="H738"/>
  <c r="T737"/>
  <c r="L737" s="1"/>
  <c r="T736"/>
  <c r="P736" s="1"/>
  <c r="T735"/>
  <c r="P734"/>
  <c r="O734"/>
  <c r="N734"/>
  <c r="M734"/>
  <c r="L734"/>
  <c r="K734"/>
  <c r="J734"/>
  <c r="I734"/>
  <c r="H734"/>
  <c r="T733"/>
  <c r="I733" s="1"/>
  <c r="P732"/>
  <c r="O732"/>
  <c r="N732"/>
  <c r="M732"/>
  <c r="L732"/>
  <c r="K732"/>
  <c r="J732"/>
  <c r="I732"/>
  <c r="H732"/>
  <c r="T731"/>
  <c r="N731" s="1"/>
  <c r="P730"/>
  <c r="O730"/>
  <c r="N730"/>
  <c r="M730"/>
  <c r="L730"/>
  <c r="K730"/>
  <c r="J730"/>
  <c r="I730"/>
  <c r="H730"/>
  <c r="P729"/>
  <c r="O729"/>
  <c r="N729"/>
  <c r="M729"/>
  <c r="L729"/>
  <c r="K729"/>
  <c r="J729"/>
  <c r="I729"/>
  <c r="H729"/>
  <c r="AE728"/>
  <c r="AE733" s="1"/>
  <c r="T728"/>
  <c r="T727"/>
  <c r="K727" s="1"/>
  <c r="T726"/>
  <c r="L726" s="1"/>
  <c r="T725"/>
  <c r="P725" s="1"/>
  <c r="T724"/>
  <c r="L724" s="1"/>
  <c r="T723"/>
  <c r="T722"/>
  <c r="P722" s="1"/>
  <c r="T721"/>
  <c r="P721" s="1"/>
  <c r="T720"/>
  <c r="L720" s="1"/>
  <c r="T719"/>
  <c r="L719" s="1"/>
  <c r="T718"/>
  <c r="L718" s="1"/>
  <c r="T717"/>
  <c r="T716"/>
  <c r="L716" s="1"/>
  <c r="T715"/>
  <c r="L715" s="1"/>
  <c r="K714"/>
  <c r="J714"/>
  <c r="P713"/>
  <c r="O713"/>
  <c r="N713"/>
  <c r="M713"/>
  <c r="K713"/>
  <c r="J713"/>
  <c r="I713"/>
  <c r="H713"/>
  <c r="T712"/>
  <c r="L712" s="1"/>
  <c r="T711"/>
  <c r="J711" s="1"/>
  <c r="P710"/>
  <c r="O710"/>
  <c r="N710"/>
  <c r="M710"/>
  <c r="K710"/>
  <c r="J710"/>
  <c r="I710"/>
  <c r="H710"/>
  <c r="P709"/>
  <c r="O709"/>
  <c r="N709"/>
  <c r="M709"/>
  <c r="K709"/>
  <c r="J709"/>
  <c r="I709"/>
  <c r="H709"/>
  <c r="AS708"/>
  <c r="AS710" s="1"/>
  <c r="T708"/>
  <c r="K708" s="1"/>
  <c r="U707"/>
  <c r="L707" s="1"/>
  <c r="T706"/>
  <c r="J706" s="1"/>
  <c r="V705"/>
  <c r="K705" s="1"/>
  <c r="I705"/>
  <c r="H705"/>
  <c r="T704"/>
  <c r="T703"/>
  <c r="J703" s="1"/>
  <c r="T702"/>
  <c r="I702" s="1"/>
  <c r="T701"/>
  <c r="N701" s="1"/>
  <c r="AE700"/>
  <c r="T700"/>
  <c r="J700" s="1"/>
  <c r="T699"/>
  <c r="I699" s="1"/>
  <c r="T698"/>
  <c r="P698" s="1"/>
  <c r="T697"/>
  <c r="T696"/>
  <c r="L696" s="1"/>
  <c r="T695"/>
  <c r="I695" s="1"/>
  <c r="P694"/>
  <c r="O694"/>
  <c r="N694"/>
  <c r="M694"/>
  <c r="L694"/>
  <c r="K694"/>
  <c r="J694"/>
  <c r="I694"/>
  <c r="H694"/>
  <c r="T693"/>
  <c r="I693" s="1"/>
  <c r="BB692"/>
  <c r="P692"/>
  <c r="O692"/>
  <c r="N692"/>
  <c r="M692"/>
  <c r="L692"/>
  <c r="K692"/>
  <c r="J692"/>
  <c r="I692"/>
  <c r="H692"/>
  <c r="T691"/>
  <c r="BB690"/>
  <c r="BC694" s="1"/>
  <c r="BC697" s="1"/>
  <c r="T690"/>
  <c r="P689"/>
  <c r="O689"/>
  <c r="N689"/>
  <c r="M689"/>
  <c r="L689"/>
  <c r="K689"/>
  <c r="J689"/>
  <c r="I689"/>
  <c r="H689"/>
  <c r="T688"/>
  <c r="P687"/>
  <c r="O687"/>
  <c r="N687"/>
  <c r="M687"/>
  <c r="L687"/>
  <c r="K687"/>
  <c r="J687"/>
  <c r="I687"/>
  <c r="H687"/>
  <c r="P686"/>
  <c r="O686"/>
  <c r="N686"/>
  <c r="M686"/>
  <c r="L686"/>
  <c r="K686"/>
  <c r="J686"/>
  <c r="I686"/>
  <c r="H686"/>
  <c r="P685"/>
  <c r="O685"/>
  <c r="N685"/>
  <c r="M685"/>
  <c r="L685"/>
  <c r="K685"/>
  <c r="J685"/>
  <c r="I685"/>
  <c r="H685"/>
  <c r="T684"/>
  <c r="I684" s="1"/>
  <c r="T683"/>
  <c r="T682"/>
  <c r="L682" s="1"/>
  <c r="T681"/>
  <c r="AD679"/>
  <c r="T679"/>
  <c r="H679"/>
  <c r="AD572"/>
  <c r="T571"/>
  <c r="I571" s="1"/>
  <c r="P570"/>
  <c r="O570"/>
  <c r="N570"/>
  <c r="M570"/>
  <c r="L570"/>
  <c r="K570"/>
  <c r="J570"/>
  <c r="I570"/>
  <c r="H570"/>
  <c r="P569"/>
  <c r="O569"/>
  <c r="N569"/>
  <c r="M569"/>
  <c r="L569"/>
  <c r="K569"/>
  <c r="J569"/>
  <c r="I569"/>
  <c r="H569"/>
  <c r="P568"/>
  <c r="O568"/>
  <c r="N568"/>
  <c r="M568"/>
  <c r="L568"/>
  <c r="K568"/>
  <c r="J568"/>
  <c r="I568"/>
  <c r="H568"/>
  <c r="P567"/>
  <c r="O567"/>
  <c r="N567"/>
  <c r="M567"/>
  <c r="L567"/>
  <c r="K567"/>
  <c r="J567"/>
  <c r="I567"/>
  <c r="H567"/>
  <c r="P566"/>
  <c r="O566"/>
  <c r="N566"/>
  <c r="M566"/>
  <c r="L566"/>
  <c r="K566"/>
  <c r="J566"/>
  <c r="I566"/>
  <c r="H566"/>
  <c r="P565"/>
  <c r="O565"/>
  <c r="N565"/>
  <c r="M565"/>
  <c r="L565"/>
  <c r="K565"/>
  <c r="J565"/>
  <c r="I565"/>
  <c r="H565"/>
  <c r="P564"/>
  <c r="O564"/>
  <c r="N564"/>
  <c r="M564"/>
  <c r="L564"/>
  <c r="K564"/>
  <c r="J564"/>
  <c r="I564"/>
  <c r="H564"/>
  <c r="P563"/>
  <c r="O563"/>
  <c r="N563"/>
  <c r="M563"/>
  <c r="L563"/>
  <c r="K563"/>
  <c r="J563"/>
  <c r="I563"/>
  <c r="H563"/>
  <c r="P562"/>
  <c r="O562"/>
  <c r="N562"/>
  <c r="M562"/>
  <c r="L562"/>
  <c r="K562"/>
  <c r="J562"/>
  <c r="I562"/>
  <c r="H562"/>
  <c r="P561"/>
  <c r="O561"/>
  <c r="N561"/>
  <c r="M561"/>
  <c r="L561"/>
  <c r="K561"/>
  <c r="J561"/>
  <c r="I561"/>
  <c r="H561"/>
  <c r="P560"/>
  <c r="O560"/>
  <c r="N560"/>
  <c r="M560"/>
  <c r="L560"/>
  <c r="K560"/>
  <c r="J560"/>
  <c r="I560"/>
  <c r="H560"/>
  <c r="P559"/>
  <c r="O559"/>
  <c r="N559"/>
  <c r="M559"/>
  <c r="L559"/>
  <c r="K559"/>
  <c r="J559"/>
  <c r="I559"/>
  <c r="H559"/>
  <c r="P558"/>
  <c r="O558"/>
  <c r="N558"/>
  <c r="M558"/>
  <c r="L558"/>
  <c r="K558"/>
  <c r="J558"/>
  <c r="I558"/>
  <c r="H558"/>
  <c r="P557"/>
  <c r="O557"/>
  <c r="N557"/>
  <c r="M557"/>
  <c r="L557"/>
  <c r="K557"/>
  <c r="J557"/>
  <c r="I557"/>
  <c r="H557"/>
  <c r="P556"/>
  <c r="O556"/>
  <c r="N556"/>
  <c r="M556"/>
  <c r="L556"/>
  <c r="K556"/>
  <c r="J556"/>
  <c r="I556"/>
  <c r="H556"/>
  <c r="P555"/>
  <c r="O555"/>
  <c r="N555"/>
  <c r="M555"/>
  <c r="L555"/>
  <c r="K555"/>
  <c r="J555"/>
  <c r="I555"/>
  <c r="H555"/>
  <c r="P554"/>
  <c r="O554"/>
  <c r="N554"/>
  <c r="M554"/>
  <c r="L554"/>
  <c r="K554"/>
  <c r="J554"/>
  <c r="I554"/>
  <c r="H554"/>
  <c r="P553"/>
  <c r="O553"/>
  <c r="N553"/>
  <c r="M553"/>
  <c r="L553"/>
  <c r="K553"/>
  <c r="J553"/>
  <c r="I553"/>
  <c r="H553"/>
  <c r="P552"/>
  <c r="O552"/>
  <c r="N552"/>
  <c r="M552"/>
  <c r="L552"/>
  <c r="K552"/>
  <c r="J552"/>
  <c r="I552"/>
  <c r="H552"/>
  <c r="P551"/>
  <c r="O551"/>
  <c r="N551"/>
  <c r="M551"/>
  <c r="L551"/>
  <c r="K551"/>
  <c r="J551"/>
  <c r="I551"/>
  <c r="H551"/>
  <c r="P550"/>
  <c r="O550"/>
  <c r="N550"/>
  <c r="M550"/>
  <c r="L550"/>
  <c r="K550"/>
  <c r="J550"/>
  <c r="I550"/>
  <c r="H550"/>
  <c r="P549"/>
  <c r="O549"/>
  <c r="N549"/>
  <c r="M549"/>
  <c r="L549"/>
  <c r="K549"/>
  <c r="J549"/>
  <c r="I549"/>
  <c r="H549"/>
  <c r="P548"/>
  <c r="O548"/>
  <c r="N548"/>
  <c r="M548"/>
  <c r="L548"/>
  <c r="K548"/>
  <c r="J548"/>
  <c r="I548"/>
  <c r="H548"/>
  <c r="P547"/>
  <c r="O547"/>
  <c r="N547"/>
  <c r="M547"/>
  <c r="L547"/>
  <c r="K547"/>
  <c r="J547"/>
  <c r="I547"/>
  <c r="H547"/>
  <c r="P546"/>
  <c r="O546"/>
  <c r="N546"/>
  <c r="M546"/>
  <c r="L546"/>
  <c r="K546"/>
  <c r="J546"/>
  <c r="I546"/>
  <c r="H546"/>
  <c r="P545"/>
  <c r="O545"/>
  <c r="N545"/>
  <c r="M545"/>
  <c r="L545"/>
  <c r="K545"/>
  <c r="J545"/>
  <c r="I545"/>
  <c r="H545"/>
  <c r="P544"/>
  <c r="O544"/>
  <c r="N544"/>
  <c r="M544"/>
  <c r="L544"/>
  <c r="K544"/>
  <c r="J544"/>
  <c r="I544"/>
  <c r="H544"/>
  <c r="P543"/>
  <c r="O543"/>
  <c r="N543"/>
  <c r="M543"/>
  <c r="L543"/>
  <c r="K543"/>
  <c r="J543"/>
  <c r="I543"/>
  <c r="H543"/>
  <c r="P542"/>
  <c r="O542"/>
  <c r="N542"/>
  <c r="M542"/>
  <c r="L542"/>
  <c r="K542"/>
  <c r="J542"/>
  <c r="I542"/>
  <c r="H542"/>
  <c r="P541"/>
  <c r="O541"/>
  <c r="N541"/>
  <c r="M541"/>
  <c r="L541"/>
  <c r="K541"/>
  <c r="J541"/>
  <c r="I541"/>
  <c r="H541"/>
  <c r="P540"/>
  <c r="O540"/>
  <c r="N540"/>
  <c r="M540"/>
  <c r="L540"/>
  <c r="K540"/>
  <c r="J540"/>
  <c r="I540"/>
  <c r="H540"/>
  <c r="P539"/>
  <c r="O539"/>
  <c r="N539"/>
  <c r="M539"/>
  <c r="L539"/>
  <c r="K539"/>
  <c r="J539"/>
  <c r="I539"/>
  <c r="H539"/>
  <c r="P538"/>
  <c r="O538"/>
  <c r="N538"/>
  <c r="M538"/>
  <c r="L538"/>
  <c r="K538"/>
  <c r="J538"/>
  <c r="I538"/>
  <c r="H538"/>
  <c r="P537"/>
  <c r="O537"/>
  <c r="N537"/>
  <c r="M537"/>
  <c r="L537"/>
  <c r="K537"/>
  <c r="J537"/>
  <c r="I537"/>
  <c r="H537"/>
  <c r="P536"/>
  <c r="O536"/>
  <c r="N536"/>
  <c r="M536"/>
  <c r="L536"/>
  <c r="K536"/>
  <c r="J536"/>
  <c r="I536"/>
  <c r="H536"/>
  <c r="P535"/>
  <c r="O535"/>
  <c r="N535"/>
  <c r="M535"/>
  <c r="L535"/>
  <c r="K535"/>
  <c r="J535"/>
  <c r="I535"/>
  <c r="H535"/>
  <c r="P534"/>
  <c r="O534"/>
  <c r="N534"/>
  <c r="M534"/>
  <c r="L534"/>
  <c r="K534"/>
  <c r="J534"/>
  <c r="I534"/>
  <c r="H534"/>
  <c r="P533"/>
  <c r="O533"/>
  <c r="N533"/>
  <c r="M533"/>
  <c r="L533"/>
  <c r="K533"/>
  <c r="J533"/>
  <c r="I533"/>
  <c r="H533"/>
  <c r="P532"/>
  <c r="O532"/>
  <c r="N532"/>
  <c r="M532"/>
  <c r="L532"/>
  <c r="K532"/>
  <c r="J532"/>
  <c r="I532"/>
  <c r="H532"/>
  <c r="P531"/>
  <c r="O531"/>
  <c r="N531"/>
  <c r="M531"/>
  <c r="L531"/>
  <c r="K531"/>
  <c r="J531"/>
  <c r="I531"/>
  <c r="H531"/>
  <c r="P530"/>
  <c r="O530"/>
  <c r="N530"/>
  <c r="M530"/>
  <c r="L530"/>
  <c r="K530"/>
  <c r="J530"/>
  <c r="I530"/>
  <c r="H530"/>
  <c r="P529"/>
  <c r="O529"/>
  <c r="N529"/>
  <c r="M529"/>
  <c r="L529"/>
  <c r="K529"/>
  <c r="J529"/>
  <c r="I529"/>
  <c r="H529"/>
  <c r="P528"/>
  <c r="O528"/>
  <c r="N528"/>
  <c r="M528"/>
  <c r="L528"/>
  <c r="K528"/>
  <c r="J528"/>
  <c r="I528"/>
  <c r="H528"/>
  <c r="P527"/>
  <c r="O527"/>
  <c r="N527"/>
  <c r="M527"/>
  <c r="L527"/>
  <c r="K527"/>
  <c r="J527"/>
  <c r="I527"/>
  <c r="H527"/>
  <c r="P526"/>
  <c r="O526"/>
  <c r="N526"/>
  <c r="M526"/>
  <c r="L526"/>
  <c r="K526"/>
  <c r="J526"/>
  <c r="I526"/>
  <c r="H526"/>
  <c r="P525"/>
  <c r="O525"/>
  <c r="N525"/>
  <c r="M525"/>
  <c r="L525"/>
  <c r="K525"/>
  <c r="J525"/>
  <c r="I525"/>
  <c r="H525"/>
  <c r="P524"/>
  <c r="O524"/>
  <c r="N524"/>
  <c r="M524"/>
  <c r="L524"/>
  <c r="K524"/>
  <c r="J524"/>
  <c r="I524"/>
  <c r="H524"/>
  <c r="P523"/>
  <c r="O523"/>
  <c r="N523"/>
  <c r="M523"/>
  <c r="L523"/>
  <c r="K523"/>
  <c r="J523"/>
  <c r="I523"/>
  <c r="H523"/>
  <c r="K522"/>
  <c r="J522"/>
  <c r="P521"/>
  <c r="O521"/>
  <c r="N521"/>
  <c r="M521"/>
  <c r="L521"/>
  <c r="K521"/>
  <c r="J521"/>
  <c r="I521"/>
  <c r="H521"/>
  <c r="P520"/>
  <c r="O520"/>
  <c r="N520"/>
  <c r="M520"/>
  <c r="L520"/>
  <c r="K520"/>
  <c r="J520"/>
  <c r="I520"/>
  <c r="H520"/>
  <c r="P519"/>
  <c r="O519"/>
  <c r="N519"/>
  <c r="M519"/>
  <c r="L519"/>
  <c r="K519"/>
  <c r="J519"/>
  <c r="I519"/>
  <c r="H519"/>
  <c r="P518"/>
  <c r="O518"/>
  <c r="N518"/>
  <c r="M518"/>
  <c r="L518"/>
  <c r="K518"/>
  <c r="J518"/>
  <c r="I518"/>
  <c r="H518"/>
  <c r="P517"/>
  <c r="O517"/>
  <c r="N517"/>
  <c r="M517"/>
  <c r="L517"/>
  <c r="K517"/>
  <c r="J517"/>
  <c r="I517"/>
  <c r="H517"/>
  <c r="P516"/>
  <c r="O516"/>
  <c r="N516"/>
  <c r="M516"/>
  <c r="L516"/>
  <c r="K516"/>
  <c r="J516"/>
  <c r="I516"/>
  <c r="H516"/>
  <c r="P515"/>
  <c r="O515"/>
  <c r="N515"/>
  <c r="M515"/>
  <c r="L515"/>
  <c r="K515"/>
  <c r="J515"/>
  <c r="I515"/>
  <c r="H515"/>
  <c r="P514"/>
  <c r="O514"/>
  <c r="N514"/>
  <c r="M514"/>
  <c r="L514"/>
  <c r="K514"/>
  <c r="J514"/>
  <c r="I514"/>
  <c r="H514"/>
  <c r="P513"/>
  <c r="O513"/>
  <c r="N513"/>
  <c r="M513"/>
  <c r="L513"/>
  <c r="K513"/>
  <c r="J513"/>
  <c r="I513"/>
  <c r="H513"/>
  <c r="P512"/>
  <c r="O512"/>
  <c r="N512"/>
  <c r="M512"/>
  <c r="L512"/>
  <c r="K512"/>
  <c r="J512"/>
  <c r="I512"/>
  <c r="H512"/>
  <c r="P511"/>
  <c r="O511"/>
  <c r="N511"/>
  <c r="M511"/>
  <c r="L511"/>
  <c r="K511"/>
  <c r="J511"/>
  <c r="I511"/>
  <c r="H511"/>
  <c r="P510"/>
  <c r="O510"/>
  <c r="N510"/>
  <c r="M510"/>
  <c r="L510"/>
  <c r="K510"/>
  <c r="J510"/>
  <c r="I510"/>
  <c r="H510"/>
  <c r="P509"/>
  <c r="O509"/>
  <c r="N509"/>
  <c r="M509"/>
  <c r="L509"/>
  <c r="K509"/>
  <c r="J509"/>
  <c r="I509"/>
  <c r="H509"/>
  <c r="P508"/>
  <c r="O508"/>
  <c r="N508"/>
  <c r="M508"/>
  <c r="L508"/>
  <c r="K508"/>
  <c r="J508"/>
  <c r="I508"/>
  <c r="H508"/>
  <c r="P507"/>
  <c r="O507"/>
  <c r="N507"/>
  <c r="M507"/>
  <c r="L507"/>
  <c r="K507"/>
  <c r="J507"/>
  <c r="I507"/>
  <c r="H507"/>
  <c r="P506"/>
  <c r="O506"/>
  <c r="N506"/>
  <c r="M506"/>
  <c r="L506"/>
  <c r="K506"/>
  <c r="J506"/>
  <c r="I506"/>
  <c r="H506"/>
  <c r="P505"/>
  <c r="O505"/>
  <c r="N505"/>
  <c r="M505"/>
  <c r="L505"/>
  <c r="K505"/>
  <c r="J505"/>
  <c r="I505"/>
  <c r="H505"/>
  <c r="P504"/>
  <c r="O504"/>
  <c r="N504"/>
  <c r="M504"/>
  <c r="L504"/>
  <c r="K504"/>
  <c r="J504"/>
  <c r="I504"/>
  <c r="H504"/>
  <c r="P503"/>
  <c r="O503"/>
  <c r="N503"/>
  <c r="M503"/>
  <c r="L503"/>
  <c r="K503"/>
  <c r="J503"/>
  <c r="I503"/>
  <c r="H503"/>
  <c r="P502"/>
  <c r="O502"/>
  <c r="N502"/>
  <c r="M502"/>
  <c r="L502"/>
  <c r="K502"/>
  <c r="J502"/>
  <c r="I502"/>
  <c r="H502"/>
  <c r="P501"/>
  <c r="O501"/>
  <c r="N501"/>
  <c r="M501"/>
  <c r="L501"/>
  <c r="K501"/>
  <c r="J501"/>
  <c r="I501"/>
  <c r="H501"/>
  <c r="P500"/>
  <c r="O500"/>
  <c r="N500"/>
  <c r="M500"/>
  <c r="L500"/>
  <c r="K500"/>
  <c r="J500"/>
  <c r="I500"/>
  <c r="H500"/>
  <c r="P499"/>
  <c r="O499"/>
  <c r="N499"/>
  <c r="M499"/>
  <c r="L499"/>
  <c r="K499"/>
  <c r="J499"/>
  <c r="I499"/>
  <c r="H499"/>
  <c r="P498"/>
  <c r="O498"/>
  <c r="N498"/>
  <c r="M498"/>
  <c r="L498"/>
  <c r="K498"/>
  <c r="J498"/>
  <c r="I498"/>
  <c r="H498"/>
  <c r="P497"/>
  <c r="O497"/>
  <c r="N497"/>
  <c r="M497"/>
  <c r="L497"/>
  <c r="K497"/>
  <c r="J497"/>
  <c r="I497"/>
  <c r="H497"/>
  <c r="P496"/>
  <c r="O496"/>
  <c r="N496"/>
  <c r="M496"/>
  <c r="L496"/>
  <c r="K496"/>
  <c r="J496"/>
  <c r="I496"/>
  <c r="H496"/>
  <c r="P495"/>
  <c r="O495"/>
  <c r="N495"/>
  <c r="M495"/>
  <c r="L495"/>
  <c r="K495"/>
  <c r="J495"/>
  <c r="I495"/>
  <c r="H495"/>
  <c r="P494"/>
  <c r="O494"/>
  <c r="N494"/>
  <c r="M494"/>
  <c r="L494"/>
  <c r="K494"/>
  <c r="J494"/>
  <c r="I494"/>
  <c r="H494"/>
  <c r="P493"/>
  <c r="O493"/>
  <c r="N493"/>
  <c r="M493"/>
  <c r="L493"/>
  <c r="K493"/>
  <c r="J493"/>
  <c r="I493"/>
  <c r="H493"/>
  <c r="P492"/>
  <c r="O492"/>
  <c r="N492"/>
  <c r="M492"/>
  <c r="L492"/>
  <c r="K492"/>
  <c r="J492"/>
  <c r="I492"/>
  <c r="H492"/>
  <c r="P491"/>
  <c r="O491"/>
  <c r="N491"/>
  <c r="M491"/>
  <c r="L491"/>
  <c r="K491"/>
  <c r="J491"/>
  <c r="I491"/>
  <c r="H491"/>
  <c r="P490"/>
  <c r="O490"/>
  <c r="N490"/>
  <c r="M490"/>
  <c r="L490"/>
  <c r="K490"/>
  <c r="J490"/>
  <c r="I490"/>
  <c r="H490"/>
  <c r="P489"/>
  <c r="O489"/>
  <c r="N489"/>
  <c r="M489"/>
  <c r="L489"/>
  <c r="K489"/>
  <c r="J489"/>
  <c r="I489"/>
  <c r="H489"/>
  <c r="P488"/>
  <c r="O488"/>
  <c r="N488"/>
  <c r="M488"/>
  <c r="L488"/>
  <c r="K488"/>
  <c r="J488"/>
  <c r="I488"/>
  <c r="H488"/>
  <c r="P487"/>
  <c r="O487"/>
  <c r="N487"/>
  <c r="M487"/>
  <c r="L487"/>
  <c r="K487"/>
  <c r="J487"/>
  <c r="I487"/>
  <c r="H487"/>
  <c r="P486"/>
  <c r="O486"/>
  <c r="N486"/>
  <c r="M486"/>
  <c r="L486"/>
  <c r="K486"/>
  <c r="J486"/>
  <c r="I486"/>
  <c r="H486"/>
  <c r="P485"/>
  <c r="O485"/>
  <c r="N485"/>
  <c r="M485"/>
  <c r="L485"/>
  <c r="K485"/>
  <c r="J485"/>
  <c r="I485"/>
  <c r="H485"/>
  <c r="P484"/>
  <c r="O484"/>
  <c r="N484"/>
  <c r="M484"/>
  <c r="L484"/>
  <c r="K484"/>
  <c r="J484"/>
  <c r="I484"/>
  <c r="H484"/>
  <c r="P483"/>
  <c r="O483"/>
  <c r="N483"/>
  <c r="M483"/>
  <c r="L483"/>
  <c r="K483"/>
  <c r="J483"/>
  <c r="I483"/>
  <c r="H483"/>
  <c r="P482"/>
  <c r="O482"/>
  <c r="N482"/>
  <c r="M482"/>
  <c r="L482"/>
  <c r="K482"/>
  <c r="J482"/>
  <c r="I482"/>
  <c r="H482"/>
  <c r="P481"/>
  <c r="O481"/>
  <c r="N481"/>
  <c r="M481"/>
  <c r="L481"/>
  <c r="K481"/>
  <c r="J481"/>
  <c r="I481"/>
  <c r="H481"/>
  <c r="P480"/>
  <c r="O480"/>
  <c r="N480"/>
  <c r="M480"/>
  <c r="L480"/>
  <c r="K480"/>
  <c r="J480"/>
  <c r="I480"/>
  <c r="H480"/>
  <c r="P479"/>
  <c r="O479"/>
  <c r="N479"/>
  <c r="M479"/>
  <c r="L479"/>
  <c r="K479"/>
  <c r="J479"/>
  <c r="I479"/>
  <c r="H479"/>
  <c r="P478"/>
  <c r="O478"/>
  <c r="N478"/>
  <c r="M478"/>
  <c r="L478"/>
  <c r="K478"/>
  <c r="J478"/>
  <c r="I478"/>
  <c r="H478"/>
  <c r="P477"/>
  <c r="O477"/>
  <c r="N477"/>
  <c r="M477"/>
  <c r="L477"/>
  <c r="K477"/>
  <c r="J477"/>
  <c r="I477"/>
  <c r="H477"/>
  <c r="P476"/>
  <c r="O476"/>
  <c r="N476"/>
  <c r="M476"/>
  <c r="L476"/>
  <c r="K476"/>
  <c r="J476"/>
  <c r="I476"/>
  <c r="H476"/>
  <c r="P475"/>
  <c r="O475"/>
  <c r="N475"/>
  <c r="M475"/>
  <c r="L475"/>
  <c r="K475"/>
  <c r="J475"/>
  <c r="I475"/>
  <c r="H475"/>
  <c r="P474"/>
  <c r="O474"/>
  <c r="N474"/>
  <c r="M474"/>
  <c r="L474"/>
  <c r="K474"/>
  <c r="J474"/>
  <c r="I474"/>
  <c r="H474"/>
  <c r="P473"/>
  <c r="O473"/>
  <c r="N473"/>
  <c r="M473"/>
  <c r="L473"/>
  <c r="K473"/>
  <c r="J473"/>
  <c r="I473"/>
  <c r="H473"/>
  <c r="P472"/>
  <c r="O472"/>
  <c r="N472"/>
  <c r="M472"/>
  <c r="L472"/>
  <c r="K472"/>
  <c r="J472"/>
  <c r="I472"/>
  <c r="H472"/>
  <c r="P471"/>
  <c r="O471"/>
  <c r="N471"/>
  <c r="M471"/>
  <c r="L471"/>
  <c r="K471"/>
  <c r="J471"/>
  <c r="I471"/>
  <c r="H471"/>
  <c r="P470"/>
  <c r="O470"/>
  <c r="N470"/>
  <c r="M470"/>
  <c r="L470"/>
  <c r="K470"/>
  <c r="J470"/>
  <c r="I470"/>
  <c r="H470"/>
  <c r="P469"/>
  <c r="O469"/>
  <c r="N469"/>
  <c r="M469"/>
  <c r="L469"/>
  <c r="K469"/>
  <c r="J469"/>
  <c r="I469"/>
  <c r="H469"/>
  <c r="P468"/>
  <c r="O468"/>
  <c r="N468"/>
  <c r="M468"/>
  <c r="L468"/>
  <c r="K468"/>
  <c r="J468"/>
  <c r="I468"/>
  <c r="H468"/>
  <c r="P467"/>
  <c r="O467"/>
  <c r="N467"/>
  <c r="M467"/>
  <c r="L467"/>
  <c r="K467"/>
  <c r="J467"/>
  <c r="I467"/>
  <c r="H467"/>
  <c r="P466"/>
  <c r="O466"/>
  <c r="N466"/>
  <c r="M466"/>
  <c r="L466"/>
  <c r="K466"/>
  <c r="J466"/>
  <c r="I466"/>
  <c r="H466"/>
  <c r="P465"/>
  <c r="O465"/>
  <c r="N465"/>
  <c r="M465"/>
  <c r="L465"/>
  <c r="K465"/>
  <c r="J465"/>
  <c r="I465"/>
  <c r="H465"/>
  <c r="P464"/>
  <c r="O464"/>
  <c r="N464"/>
  <c r="M464"/>
  <c r="L464"/>
  <c r="K464"/>
  <c r="J464"/>
  <c r="I464"/>
  <c r="H464"/>
  <c r="P463"/>
  <c r="O463"/>
  <c r="N463"/>
  <c r="M463"/>
  <c r="L463"/>
  <c r="K463"/>
  <c r="J463"/>
  <c r="I463"/>
  <c r="H463"/>
  <c r="P462"/>
  <c r="O462"/>
  <c r="N462"/>
  <c r="M462"/>
  <c r="L462"/>
  <c r="K462"/>
  <c r="J462"/>
  <c r="I462"/>
  <c r="H462"/>
  <c r="P461"/>
  <c r="O461"/>
  <c r="N461"/>
  <c r="M461"/>
  <c r="L461"/>
  <c r="K461"/>
  <c r="J461"/>
  <c r="I461"/>
  <c r="H461"/>
  <c r="P460"/>
  <c r="O460"/>
  <c r="N460"/>
  <c r="M460"/>
  <c r="L460"/>
  <c r="K460"/>
  <c r="J460"/>
  <c r="I460"/>
  <c r="H460"/>
  <c r="P459"/>
  <c r="O459"/>
  <c r="N459"/>
  <c r="M459"/>
  <c r="L459"/>
  <c r="K459"/>
  <c r="J459"/>
  <c r="I459"/>
  <c r="H459"/>
  <c r="P458"/>
  <c r="O458"/>
  <c r="N458"/>
  <c r="M458"/>
  <c r="L458"/>
  <c r="K458"/>
  <c r="J458"/>
  <c r="I458"/>
  <c r="H458"/>
  <c r="P457"/>
  <c r="O457"/>
  <c r="N457"/>
  <c r="M457"/>
  <c r="L457"/>
  <c r="K457"/>
  <c r="J457"/>
  <c r="I457"/>
  <c r="H457"/>
  <c r="P456"/>
  <c r="O456"/>
  <c r="N456"/>
  <c r="M456"/>
  <c r="L456"/>
  <c r="K456"/>
  <c r="J456"/>
  <c r="I456"/>
  <c r="H456"/>
  <c r="P455"/>
  <c r="O455"/>
  <c r="N455"/>
  <c r="M455"/>
  <c r="L455"/>
  <c r="K455"/>
  <c r="J455"/>
  <c r="I455"/>
  <c r="H455"/>
  <c r="P454"/>
  <c r="O454"/>
  <c r="N454"/>
  <c r="M454"/>
  <c r="L454"/>
  <c r="K454"/>
  <c r="J454"/>
  <c r="I454"/>
  <c r="H454"/>
  <c r="P453"/>
  <c r="O453"/>
  <c r="N453"/>
  <c r="M453"/>
  <c r="L453"/>
  <c r="K453"/>
  <c r="J453"/>
  <c r="I453"/>
  <c r="H453"/>
  <c r="P452"/>
  <c r="O452"/>
  <c r="N452"/>
  <c r="M452"/>
  <c r="L452"/>
  <c r="K452"/>
  <c r="J452"/>
  <c r="I452"/>
  <c r="H452"/>
  <c r="P451"/>
  <c r="O451"/>
  <c r="N451"/>
  <c r="M451"/>
  <c r="L451"/>
  <c r="K451"/>
  <c r="J451"/>
  <c r="I451"/>
  <c r="H451"/>
  <c r="P450"/>
  <c r="O450"/>
  <c r="N450"/>
  <c r="M450"/>
  <c r="L450"/>
  <c r="K450"/>
  <c r="J450"/>
  <c r="I450"/>
  <c r="H450"/>
  <c r="P449"/>
  <c r="O449"/>
  <c r="N449"/>
  <c r="M449"/>
  <c r="L449"/>
  <c r="K449"/>
  <c r="J449"/>
  <c r="I449"/>
  <c r="H449"/>
  <c r="P448"/>
  <c r="O448"/>
  <c r="N448"/>
  <c r="M448"/>
  <c r="L448"/>
  <c r="K448"/>
  <c r="J448"/>
  <c r="I448"/>
  <c r="H448"/>
  <c r="P447"/>
  <c r="O447"/>
  <c r="N447"/>
  <c r="M447"/>
  <c r="L447"/>
  <c r="K447"/>
  <c r="J447"/>
  <c r="I447"/>
  <c r="H447"/>
  <c r="P446"/>
  <c r="O446"/>
  <c r="N446"/>
  <c r="M446"/>
  <c r="L446"/>
  <c r="K446"/>
  <c r="J446"/>
  <c r="I446"/>
  <c r="H446"/>
  <c r="P445"/>
  <c r="O445"/>
  <c r="N445"/>
  <c r="M445"/>
  <c r="L445"/>
  <c r="K445"/>
  <c r="J445"/>
  <c r="I445"/>
  <c r="H445"/>
  <c r="P444"/>
  <c r="O444"/>
  <c r="N444"/>
  <c r="M444"/>
  <c r="L444"/>
  <c r="K444"/>
  <c r="J444"/>
  <c r="I444"/>
  <c r="H444"/>
  <c r="P443"/>
  <c r="O443"/>
  <c r="N443"/>
  <c r="M443"/>
  <c r="L443"/>
  <c r="K443"/>
  <c r="J443"/>
  <c r="I443"/>
  <c r="H443"/>
  <c r="P442"/>
  <c r="O442"/>
  <c r="N442"/>
  <c r="M442"/>
  <c r="L442"/>
  <c r="K442"/>
  <c r="J442"/>
  <c r="I442"/>
  <c r="H442"/>
  <c r="P441"/>
  <c r="O441"/>
  <c r="N441"/>
  <c r="M441"/>
  <c r="L441"/>
  <c r="K441"/>
  <c r="J441"/>
  <c r="I441"/>
  <c r="H441"/>
  <c r="T440"/>
  <c r="M440" s="1"/>
  <c r="P439"/>
  <c r="O439"/>
  <c r="N439"/>
  <c r="M439"/>
  <c r="L439"/>
  <c r="K439"/>
  <c r="J439"/>
  <c r="I439"/>
  <c r="H439"/>
  <c r="P438"/>
  <c r="O438"/>
  <c r="N438"/>
  <c r="M438"/>
  <c r="L438"/>
  <c r="K438"/>
  <c r="J438"/>
  <c r="I438"/>
  <c r="H438"/>
  <c r="P437"/>
  <c r="O437"/>
  <c r="N437"/>
  <c r="M437"/>
  <c r="L437"/>
  <c r="K437"/>
  <c r="J437"/>
  <c r="I437"/>
  <c r="H437"/>
  <c r="P436"/>
  <c r="O436"/>
  <c r="N436"/>
  <c r="M436"/>
  <c r="L436"/>
  <c r="K436"/>
  <c r="J436"/>
  <c r="I436"/>
  <c r="H436"/>
  <c r="P435"/>
  <c r="O435"/>
  <c r="N435"/>
  <c r="M435"/>
  <c r="L435"/>
  <c r="K435"/>
  <c r="J435"/>
  <c r="I435"/>
  <c r="H435"/>
  <c r="P434"/>
  <c r="O434"/>
  <c r="N434"/>
  <c r="M434"/>
  <c r="L434"/>
  <c r="K434"/>
  <c r="J434"/>
  <c r="I434"/>
  <c r="H434"/>
  <c r="P433"/>
  <c r="O433"/>
  <c r="N433"/>
  <c r="M433"/>
  <c r="L433"/>
  <c r="K433"/>
  <c r="J433"/>
  <c r="I433"/>
  <c r="H433"/>
  <c r="P432"/>
  <c r="O432"/>
  <c r="N432"/>
  <c r="M432"/>
  <c r="L432"/>
  <c r="K432"/>
  <c r="J432"/>
  <c r="I432"/>
  <c r="H432"/>
  <c r="P431"/>
  <c r="O431"/>
  <c r="N431"/>
  <c r="M431"/>
  <c r="L431"/>
  <c r="K431"/>
  <c r="J431"/>
  <c r="I431"/>
  <c r="H431"/>
  <c r="P430"/>
  <c r="O430"/>
  <c r="N430"/>
  <c r="M430"/>
  <c r="L430"/>
  <c r="K430"/>
  <c r="J430"/>
  <c r="I430"/>
  <c r="H430"/>
  <c r="P429"/>
  <c r="O429"/>
  <c r="N429"/>
  <c r="M429"/>
  <c r="L429"/>
  <c r="K429"/>
  <c r="J429"/>
  <c r="I429"/>
  <c r="H429"/>
  <c r="P428"/>
  <c r="O428"/>
  <c r="N428"/>
  <c r="M428"/>
  <c r="L428"/>
  <c r="K428"/>
  <c r="J428"/>
  <c r="I428"/>
  <c r="H428"/>
  <c r="P427"/>
  <c r="O427"/>
  <c r="N427"/>
  <c r="M427"/>
  <c r="L427"/>
  <c r="K427"/>
  <c r="J427"/>
  <c r="I427"/>
  <c r="H427"/>
  <c r="P426"/>
  <c r="O426"/>
  <c r="N426"/>
  <c r="M426"/>
  <c r="L426"/>
  <c r="K426"/>
  <c r="J426"/>
  <c r="I426"/>
  <c r="H426"/>
  <c r="P425"/>
  <c r="O425"/>
  <c r="N425"/>
  <c r="M425"/>
  <c r="L425"/>
  <c r="K425"/>
  <c r="J425"/>
  <c r="I425"/>
  <c r="H425"/>
  <c r="P424"/>
  <c r="O424"/>
  <c r="N424"/>
  <c r="M424"/>
  <c r="L424"/>
  <c r="K424"/>
  <c r="J424"/>
  <c r="I424"/>
  <c r="H424"/>
  <c r="P423"/>
  <c r="O423"/>
  <c r="N423"/>
  <c r="M423"/>
  <c r="L423"/>
  <c r="K423"/>
  <c r="J423"/>
  <c r="I423"/>
  <c r="H423"/>
  <c r="P422"/>
  <c r="O422"/>
  <c r="N422"/>
  <c r="M422"/>
  <c r="L422"/>
  <c r="K422"/>
  <c r="J422"/>
  <c r="I422"/>
  <c r="H422"/>
  <c r="P421"/>
  <c r="O421"/>
  <c r="N421"/>
  <c r="M421"/>
  <c r="L421"/>
  <c r="K421"/>
  <c r="J421"/>
  <c r="I421"/>
  <c r="H421"/>
  <c r="P420"/>
  <c r="O420"/>
  <c r="N420"/>
  <c r="M420"/>
  <c r="L420"/>
  <c r="K420"/>
  <c r="J420"/>
  <c r="I420"/>
  <c r="H420"/>
  <c r="P419"/>
  <c r="O419"/>
  <c r="N419"/>
  <c r="M419"/>
  <c r="L419"/>
  <c r="K419"/>
  <c r="J419"/>
  <c r="I419"/>
  <c r="H419"/>
  <c r="P418"/>
  <c r="O418"/>
  <c r="N418"/>
  <c r="M418"/>
  <c r="L418"/>
  <c r="K418"/>
  <c r="J418"/>
  <c r="I418"/>
  <c r="H418"/>
  <c r="P417"/>
  <c r="O417"/>
  <c r="N417"/>
  <c r="M417"/>
  <c r="L417"/>
  <c r="K417"/>
  <c r="J417"/>
  <c r="I417"/>
  <c r="H417"/>
  <c r="P416"/>
  <c r="O416"/>
  <c r="N416"/>
  <c r="M416"/>
  <c r="L416"/>
  <c r="K416"/>
  <c r="J416"/>
  <c r="I416"/>
  <c r="H416"/>
  <c r="P415"/>
  <c r="O415"/>
  <c r="N415"/>
  <c r="M415"/>
  <c r="L415"/>
  <c r="K415"/>
  <c r="J415"/>
  <c r="I415"/>
  <c r="H415"/>
  <c r="P414"/>
  <c r="O414"/>
  <c r="N414"/>
  <c r="M414"/>
  <c r="L414"/>
  <c r="K414"/>
  <c r="J414"/>
  <c r="I414"/>
  <c r="H414"/>
  <c r="P413"/>
  <c r="O413"/>
  <c r="N413"/>
  <c r="M413"/>
  <c r="L413"/>
  <c r="K413"/>
  <c r="J413"/>
  <c r="I413"/>
  <c r="H413"/>
  <c r="P412"/>
  <c r="O412"/>
  <c r="N412"/>
  <c r="M412"/>
  <c r="L412"/>
  <c r="K412"/>
  <c r="J412"/>
  <c r="I412"/>
  <c r="H412"/>
  <c r="P411"/>
  <c r="O411"/>
  <c r="N411"/>
  <c r="M411"/>
  <c r="L411"/>
  <c r="K411"/>
  <c r="J411"/>
  <c r="I411"/>
  <c r="H411"/>
  <c r="P410"/>
  <c r="O410"/>
  <c r="N410"/>
  <c r="M410"/>
  <c r="L410"/>
  <c r="K410"/>
  <c r="J410"/>
  <c r="I410"/>
  <c r="H410"/>
  <c r="P409"/>
  <c r="O409"/>
  <c r="N409"/>
  <c r="M409"/>
  <c r="L409"/>
  <c r="K409"/>
  <c r="J409"/>
  <c r="I409"/>
  <c r="H409"/>
  <c r="P408"/>
  <c r="O408"/>
  <c r="N408"/>
  <c r="M408"/>
  <c r="L408"/>
  <c r="K408"/>
  <c r="J408"/>
  <c r="I408"/>
  <c r="H408"/>
  <c r="P407"/>
  <c r="O407"/>
  <c r="N407"/>
  <c r="M407"/>
  <c r="L407"/>
  <c r="K407"/>
  <c r="J407"/>
  <c r="I407"/>
  <c r="H407"/>
  <c r="P406"/>
  <c r="O406"/>
  <c r="N406"/>
  <c r="M406"/>
  <c r="L406"/>
  <c r="K406"/>
  <c r="J406"/>
  <c r="I406"/>
  <c r="H406"/>
  <c r="P405"/>
  <c r="O405"/>
  <c r="N405"/>
  <c r="M405"/>
  <c r="L405"/>
  <c r="K405"/>
  <c r="J405"/>
  <c r="I405"/>
  <c r="H405"/>
  <c r="P404"/>
  <c r="O404"/>
  <c r="N404"/>
  <c r="M404"/>
  <c r="L404"/>
  <c r="K404"/>
  <c r="J404"/>
  <c r="I404"/>
  <c r="H404"/>
  <c r="P403"/>
  <c r="O403"/>
  <c r="N403"/>
  <c r="M403"/>
  <c r="L403"/>
  <c r="K403"/>
  <c r="J403"/>
  <c r="I403"/>
  <c r="H403"/>
  <c r="P402"/>
  <c r="O402"/>
  <c r="N402"/>
  <c r="M402"/>
  <c r="L402"/>
  <c r="K402"/>
  <c r="J402"/>
  <c r="I402"/>
  <c r="H402"/>
  <c r="P401"/>
  <c r="O401"/>
  <c r="N401"/>
  <c r="M401"/>
  <c r="L401"/>
  <c r="K401"/>
  <c r="J401"/>
  <c r="I401"/>
  <c r="H401"/>
  <c r="P400"/>
  <c r="O400"/>
  <c r="N400"/>
  <c r="M400"/>
  <c r="L400"/>
  <c r="K400"/>
  <c r="J400"/>
  <c r="I400"/>
  <c r="H400"/>
  <c r="P399"/>
  <c r="O399"/>
  <c r="N399"/>
  <c r="M399"/>
  <c r="L399"/>
  <c r="K399"/>
  <c r="J399"/>
  <c r="I399"/>
  <c r="H399"/>
  <c r="P398"/>
  <c r="O398"/>
  <c r="N398"/>
  <c r="M398"/>
  <c r="L398"/>
  <c r="K398"/>
  <c r="J398"/>
  <c r="I398"/>
  <c r="H398"/>
  <c r="P397"/>
  <c r="O397"/>
  <c r="N397"/>
  <c r="M397"/>
  <c r="L397"/>
  <c r="K397"/>
  <c r="J397"/>
  <c r="I397"/>
  <c r="H397"/>
  <c r="P396"/>
  <c r="O396"/>
  <c r="N396"/>
  <c r="M396"/>
  <c r="L396"/>
  <c r="K396"/>
  <c r="J396"/>
  <c r="I396"/>
  <c r="H396"/>
  <c r="P395"/>
  <c r="O395"/>
  <c r="N395"/>
  <c r="M395"/>
  <c r="L395"/>
  <c r="K395"/>
  <c r="J395"/>
  <c r="I395"/>
  <c r="H395"/>
  <c r="P394"/>
  <c r="O394"/>
  <c r="N394"/>
  <c r="M394"/>
  <c r="L394"/>
  <c r="K394"/>
  <c r="J394"/>
  <c r="I394"/>
  <c r="H394"/>
  <c r="P393"/>
  <c r="O393"/>
  <c r="N393"/>
  <c r="M393"/>
  <c r="L393"/>
  <c r="K393"/>
  <c r="J393"/>
  <c r="I393"/>
  <c r="H393"/>
  <c r="P392"/>
  <c r="O392"/>
  <c r="N392"/>
  <c r="M392"/>
  <c r="L392"/>
  <c r="K392"/>
  <c r="J392"/>
  <c r="I392"/>
  <c r="H392"/>
  <c r="P391"/>
  <c r="O391"/>
  <c r="N391"/>
  <c r="M391"/>
  <c r="L391"/>
  <c r="K391"/>
  <c r="J391"/>
  <c r="I391"/>
  <c r="H391"/>
  <c r="P390"/>
  <c r="O390"/>
  <c r="N390"/>
  <c r="M390"/>
  <c r="L390"/>
  <c r="K390"/>
  <c r="J390"/>
  <c r="I390"/>
  <c r="H390"/>
  <c r="P389"/>
  <c r="O389"/>
  <c r="N389"/>
  <c r="M389"/>
  <c r="L389"/>
  <c r="K389"/>
  <c r="J389"/>
  <c r="I389"/>
  <c r="H389"/>
  <c r="P388"/>
  <c r="O388"/>
  <c r="N388"/>
  <c r="M388"/>
  <c r="L388"/>
  <c r="K388"/>
  <c r="J388"/>
  <c r="I388"/>
  <c r="H388"/>
  <c r="P387"/>
  <c r="O387"/>
  <c r="N387"/>
  <c r="M387"/>
  <c r="L387"/>
  <c r="K387"/>
  <c r="J387"/>
  <c r="I387"/>
  <c r="H387"/>
  <c r="P386"/>
  <c r="O386"/>
  <c r="N386"/>
  <c r="M386"/>
  <c r="L386"/>
  <c r="K386"/>
  <c r="J386"/>
  <c r="I386"/>
  <c r="H386"/>
  <c r="P385"/>
  <c r="O385"/>
  <c r="N385"/>
  <c r="M385"/>
  <c r="L385"/>
  <c r="K385"/>
  <c r="J385"/>
  <c r="I385"/>
  <c r="H385"/>
  <c r="P384"/>
  <c r="O384"/>
  <c r="N384"/>
  <c r="M384"/>
  <c r="L384"/>
  <c r="K384"/>
  <c r="J384"/>
  <c r="I384"/>
  <c r="H384"/>
  <c r="P383"/>
  <c r="O383"/>
  <c r="N383"/>
  <c r="M383"/>
  <c r="L383"/>
  <c r="K383"/>
  <c r="J383"/>
  <c r="I383"/>
  <c r="H383"/>
  <c r="P382"/>
  <c r="O382"/>
  <c r="N382"/>
  <c r="M382"/>
  <c r="L382"/>
  <c r="K382"/>
  <c r="J382"/>
  <c r="I382"/>
  <c r="H382"/>
  <c r="P381"/>
  <c r="O381"/>
  <c r="N381"/>
  <c r="M381"/>
  <c r="L381"/>
  <c r="K381"/>
  <c r="J381"/>
  <c r="I381"/>
  <c r="H381"/>
  <c r="P380"/>
  <c r="O380"/>
  <c r="N380"/>
  <c r="M380"/>
  <c r="L380"/>
  <c r="K380"/>
  <c r="J380"/>
  <c r="I380"/>
  <c r="H380"/>
  <c r="P379"/>
  <c r="O379"/>
  <c r="N379"/>
  <c r="M379"/>
  <c r="L379"/>
  <c r="K379"/>
  <c r="J379"/>
  <c r="I379"/>
  <c r="H379"/>
  <c r="P378"/>
  <c r="O378"/>
  <c r="N378"/>
  <c r="M378"/>
  <c r="L378"/>
  <c r="K378"/>
  <c r="J378"/>
  <c r="I378"/>
  <c r="H378"/>
  <c r="P377"/>
  <c r="O377"/>
  <c r="N377"/>
  <c r="M377"/>
  <c r="L377"/>
  <c r="K377"/>
  <c r="J377"/>
  <c r="I377"/>
  <c r="H377"/>
  <c r="P376"/>
  <c r="O376"/>
  <c r="N376"/>
  <c r="M376"/>
  <c r="L376"/>
  <c r="K376"/>
  <c r="J376"/>
  <c r="I376"/>
  <c r="H376"/>
  <c r="P375"/>
  <c r="O375"/>
  <c r="N375"/>
  <c r="M375"/>
  <c r="L375"/>
  <c r="K375"/>
  <c r="J375"/>
  <c r="I375"/>
  <c r="H375"/>
  <c r="P374"/>
  <c r="O374"/>
  <c r="N374"/>
  <c r="M374"/>
  <c r="L374"/>
  <c r="K374"/>
  <c r="J374"/>
  <c r="I374"/>
  <c r="H374"/>
  <c r="P373"/>
  <c r="O373"/>
  <c r="N373"/>
  <c r="M373"/>
  <c r="L373"/>
  <c r="K373"/>
  <c r="J373"/>
  <c r="I373"/>
  <c r="H373"/>
  <c r="P372"/>
  <c r="O372"/>
  <c r="N372"/>
  <c r="M372"/>
  <c r="L372"/>
  <c r="K372"/>
  <c r="J372"/>
  <c r="I372"/>
  <c r="H372"/>
  <c r="P371"/>
  <c r="O371"/>
  <c r="N371"/>
  <c r="M371"/>
  <c r="L371"/>
  <c r="K371"/>
  <c r="J371"/>
  <c r="I371"/>
  <c r="H371"/>
  <c r="P370"/>
  <c r="O370"/>
  <c r="N370"/>
  <c r="M370"/>
  <c r="L370"/>
  <c r="K370"/>
  <c r="J370"/>
  <c r="I370"/>
  <c r="H370"/>
  <c r="P369"/>
  <c r="O369"/>
  <c r="N369"/>
  <c r="M369"/>
  <c r="L369"/>
  <c r="K369"/>
  <c r="J369"/>
  <c r="I369"/>
  <c r="H369"/>
  <c r="P368"/>
  <c r="O368"/>
  <c r="N368"/>
  <c r="M368"/>
  <c r="L368"/>
  <c r="K368"/>
  <c r="J368"/>
  <c r="I368"/>
  <c r="H368"/>
  <c r="P367"/>
  <c r="O367"/>
  <c r="N367"/>
  <c r="M367"/>
  <c r="L367"/>
  <c r="K367"/>
  <c r="J367"/>
  <c r="I367"/>
  <c r="H367"/>
  <c r="P366"/>
  <c r="O366"/>
  <c r="N366"/>
  <c r="M366"/>
  <c r="L366"/>
  <c r="K366"/>
  <c r="J366"/>
  <c r="I366"/>
  <c r="H366"/>
  <c r="P365"/>
  <c r="O365"/>
  <c r="N365"/>
  <c r="M365"/>
  <c r="L365"/>
  <c r="K365"/>
  <c r="J365"/>
  <c r="I365"/>
  <c r="H365"/>
  <c r="P364"/>
  <c r="O364"/>
  <c r="N364"/>
  <c r="M364"/>
  <c r="L364"/>
  <c r="K364"/>
  <c r="J364"/>
  <c r="I364"/>
  <c r="H364"/>
  <c r="P363"/>
  <c r="O363"/>
  <c r="N363"/>
  <c r="M363"/>
  <c r="L363"/>
  <c r="K363"/>
  <c r="J363"/>
  <c r="I363"/>
  <c r="H363"/>
  <c r="P362"/>
  <c r="O362"/>
  <c r="N362"/>
  <c r="M362"/>
  <c r="L362"/>
  <c r="K362"/>
  <c r="J362"/>
  <c r="I362"/>
  <c r="H362"/>
  <c r="P361"/>
  <c r="O361"/>
  <c r="N361"/>
  <c r="M361"/>
  <c r="L361"/>
  <c r="K361"/>
  <c r="J361"/>
  <c r="I361"/>
  <c r="H361"/>
  <c r="P360"/>
  <c r="O360"/>
  <c r="N360"/>
  <c r="M360"/>
  <c r="L360"/>
  <c r="K360"/>
  <c r="J360"/>
  <c r="I360"/>
  <c r="H360"/>
  <c r="P359"/>
  <c r="O359"/>
  <c r="N359"/>
  <c r="M359"/>
  <c r="L359"/>
  <c r="K359"/>
  <c r="J359"/>
  <c r="I359"/>
  <c r="H359"/>
  <c r="P358"/>
  <c r="O358"/>
  <c r="N358"/>
  <c r="M358"/>
  <c r="L358"/>
  <c r="K358"/>
  <c r="J358"/>
  <c r="I358"/>
  <c r="H358"/>
  <c r="P357"/>
  <c r="O357"/>
  <c r="N357"/>
  <c r="M357"/>
  <c r="L357"/>
  <c r="K357"/>
  <c r="J357"/>
  <c r="I357"/>
  <c r="H357"/>
  <c r="P356"/>
  <c r="O356"/>
  <c r="N356"/>
  <c r="M356"/>
  <c r="L356"/>
  <c r="K356"/>
  <c r="J356"/>
  <c r="I356"/>
  <c r="H356"/>
  <c r="P355"/>
  <c r="O355"/>
  <c r="N355"/>
  <c r="M355"/>
  <c r="L355"/>
  <c r="K355"/>
  <c r="J355"/>
  <c r="I355"/>
  <c r="H355"/>
  <c r="P354"/>
  <c r="O354"/>
  <c r="N354"/>
  <c r="M354"/>
  <c r="L354"/>
  <c r="K354"/>
  <c r="J354"/>
  <c r="I354"/>
  <c r="H354"/>
  <c r="P353"/>
  <c r="O353"/>
  <c r="N353"/>
  <c r="M353"/>
  <c r="L353"/>
  <c r="K353"/>
  <c r="J353"/>
  <c r="I353"/>
  <c r="H353"/>
  <c r="P352"/>
  <c r="O352"/>
  <c r="N352"/>
  <c r="M352"/>
  <c r="L352"/>
  <c r="K352"/>
  <c r="J352"/>
  <c r="I352"/>
  <c r="H352"/>
  <c r="P351"/>
  <c r="O351"/>
  <c r="N351"/>
  <c r="M351"/>
  <c r="L351"/>
  <c r="K351"/>
  <c r="J351"/>
  <c r="I351"/>
  <c r="H351"/>
  <c r="P350"/>
  <c r="O350"/>
  <c r="N350"/>
  <c r="M350"/>
  <c r="L350"/>
  <c r="K350"/>
  <c r="J350"/>
  <c r="I350"/>
  <c r="H350"/>
  <c r="P349"/>
  <c r="O349"/>
  <c r="N349"/>
  <c r="M349"/>
  <c r="L349"/>
  <c r="K349"/>
  <c r="J349"/>
  <c r="I349"/>
  <c r="H349"/>
  <c r="P348"/>
  <c r="O348"/>
  <c r="N348"/>
  <c r="M348"/>
  <c r="L348"/>
  <c r="K348"/>
  <c r="J348"/>
  <c r="I348"/>
  <c r="H348"/>
  <c r="P347"/>
  <c r="O347"/>
  <c r="N347"/>
  <c r="M347"/>
  <c r="L347"/>
  <c r="K347"/>
  <c r="J347"/>
  <c r="I347"/>
  <c r="H347"/>
  <c r="P346"/>
  <c r="O346"/>
  <c r="N346"/>
  <c r="M346"/>
  <c r="L346"/>
  <c r="K346"/>
  <c r="J346"/>
  <c r="I346"/>
  <c r="H346"/>
  <c r="P345"/>
  <c r="O345"/>
  <c r="N345"/>
  <c r="M345"/>
  <c r="L345"/>
  <c r="K345"/>
  <c r="J345"/>
  <c r="I345"/>
  <c r="H345"/>
  <c r="P344"/>
  <c r="O344"/>
  <c r="N344"/>
  <c r="M344"/>
  <c r="L344"/>
  <c r="K344"/>
  <c r="J344"/>
  <c r="I344"/>
  <c r="H344"/>
  <c r="P343"/>
  <c r="O343"/>
  <c r="N343"/>
  <c r="M343"/>
  <c r="L343"/>
  <c r="K343"/>
  <c r="J343"/>
  <c r="I343"/>
  <c r="H343"/>
  <c r="P342"/>
  <c r="O342"/>
  <c r="N342"/>
  <c r="M342"/>
  <c r="L342"/>
  <c r="K342"/>
  <c r="J342"/>
  <c r="I342"/>
  <c r="H342"/>
  <c r="P341"/>
  <c r="O341"/>
  <c r="N341"/>
  <c r="M341"/>
  <c r="L341"/>
  <c r="K341"/>
  <c r="J341"/>
  <c r="I341"/>
  <c r="H341"/>
  <c r="P340"/>
  <c r="O340"/>
  <c r="N340"/>
  <c r="M340"/>
  <c r="L340"/>
  <c r="K340"/>
  <c r="J340"/>
  <c r="I340"/>
  <c r="H340"/>
  <c r="P339"/>
  <c r="O339"/>
  <c r="N339"/>
  <c r="M339"/>
  <c r="L339"/>
  <c r="K339"/>
  <c r="J339"/>
  <c r="I339"/>
  <c r="H339"/>
  <c r="P338"/>
  <c r="O338"/>
  <c r="N338"/>
  <c r="M338"/>
  <c r="L338"/>
  <c r="K338"/>
  <c r="J338"/>
  <c r="I338"/>
  <c r="H338"/>
  <c r="P337"/>
  <c r="O337"/>
  <c r="N337"/>
  <c r="M337"/>
  <c r="L337"/>
  <c r="K337"/>
  <c r="J337"/>
  <c r="I337"/>
  <c r="H337"/>
  <c r="P336"/>
  <c r="O336"/>
  <c r="N336"/>
  <c r="M336"/>
  <c r="L336"/>
  <c r="K336"/>
  <c r="J336"/>
  <c r="I336"/>
  <c r="H336"/>
  <c r="P335"/>
  <c r="O335"/>
  <c r="N335"/>
  <c r="M335"/>
  <c r="L335"/>
  <c r="K335"/>
  <c r="J335"/>
  <c r="I335"/>
  <c r="H335"/>
  <c r="P334"/>
  <c r="O334"/>
  <c r="N334"/>
  <c r="M334"/>
  <c r="L334"/>
  <c r="K334"/>
  <c r="J334"/>
  <c r="I334"/>
  <c r="H334"/>
  <c r="P333"/>
  <c r="O333"/>
  <c r="N333"/>
  <c r="M333"/>
  <c r="L333"/>
  <c r="K333"/>
  <c r="J333"/>
  <c r="I333"/>
  <c r="H333"/>
  <c r="P332"/>
  <c r="O332"/>
  <c r="N332"/>
  <c r="M332"/>
  <c r="L332"/>
  <c r="K332"/>
  <c r="J332"/>
  <c r="I332"/>
  <c r="H332"/>
  <c r="P331"/>
  <c r="O331"/>
  <c r="N331"/>
  <c r="M331"/>
  <c r="L331"/>
  <c r="K331"/>
  <c r="J331"/>
  <c r="I331"/>
  <c r="H331"/>
  <c r="P330"/>
  <c r="O330"/>
  <c r="N330"/>
  <c r="M330"/>
  <c r="L330"/>
  <c r="K330"/>
  <c r="J330"/>
  <c r="I330"/>
  <c r="H330"/>
  <c r="P329"/>
  <c r="O329"/>
  <c r="N329"/>
  <c r="M329"/>
  <c r="L329"/>
  <c r="K329"/>
  <c r="J329"/>
  <c r="I329"/>
  <c r="H329"/>
  <c r="P328"/>
  <c r="O328"/>
  <c r="N328"/>
  <c r="M328"/>
  <c r="L328"/>
  <c r="K328"/>
  <c r="J328"/>
  <c r="I328"/>
  <c r="H328"/>
  <c r="P327"/>
  <c r="O327"/>
  <c r="N327"/>
  <c r="M327"/>
  <c r="L327"/>
  <c r="K327"/>
  <c r="J327"/>
  <c r="I327"/>
  <c r="H327"/>
  <c r="P326"/>
  <c r="O326"/>
  <c r="N326"/>
  <c r="M326"/>
  <c r="L326"/>
  <c r="K326"/>
  <c r="J326"/>
  <c r="I326"/>
  <c r="H326"/>
  <c r="P325"/>
  <c r="O325"/>
  <c r="N325"/>
  <c r="M325"/>
  <c r="L325"/>
  <c r="K325"/>
  <c r="J325"/>
  <c r="I325"/>
  <c r="H325"/>
  <c r="P324"/>
  <c r="O324"/>
  <c r="N324"/>
  <c r="M324"/>
  <c r="L324"/>
  <c r="K324"/>
  <c r="J324"/>
  <c r="I324"/>
  <c r="H324"/>
  <c r="P322"/>
  <c r="O322"/>
  <c r="N322"/>
  <c r="M322"/>
  <c r="L322"/>
  <c r="K322"/>
  <c r="J322"/>
  <c r="I322"/>
  <c r="H322"/>
  <c r="P321"/>
  <c r="O321"/>
  <c r="N321"/>
  <c r="M321"/>
  <c r="L321"/>
  <c r="K321"/>
  <c r="J321"/>
  <c r="I321"/>
  <c r="H321"/>
  <c r="P320"/>
  <c r="O320"/>
  <c r="N320"/>
  <c r="M320"/>
  <c r="L320"/>
  <c r="K320"/>
  <c r="J320"/>
  <c r="I320"/>
  <c r="H320"/>
  <c r="P319"/>
  <c r="O319"/>
  <c r="N319"/>
  <c r="M319"/>
  <c r="L319"/>
  <c r="K319"/>
  <c r="J319"/>
  <c r="I319"/>
  <c r="H319"/>
  <c r="P318"/>
  <c r="O318"/>
  <c r="N318"/>
  <c r="M318"/>
  <c r="L318"/>
  <c r="K318"/>
  <c r="J318"/>
  <c r="I318"/>
  <c r="H318"/>
  <c r="P317"/>
  <c r="O317"/>
  <c r="N317"/>
  <c r="M317"/>
  <c r="L317"/>
  <c r="K317"/>
  <c r="J317"/>
  <c r="I317"/>
  <c r="H317"/>
  <c r="P316"/>
  <c r="O316"/>
  <c r="N316"/>
  <c r="M316"/>
  <c r="L316"/>
  <c r="K316"/>
  <c r="J316"/>
  <c r="I316"/>
  <c r="H316"/>
  <c r="P315"/>
  <c r="O315"/>
  <c r="N315"/>
  <c r="M315"/>
  <c r="L315"/>
  <c r="K315"/>
  <c r="J315"/>
  <c r="I315"/>
  <c r="H315"/>
  <c r="P314"/>
  <c r="O314"/>
  <c r="N314"/>
  <c r="M314"/>
  <c r="L314"/>
  <c r="K314"/>
  <c r="J314"/>
  <c r="I314"/>
  <c r="H314"/>
  <c r="P313"/>
  <c r="O313"/>
  <c r="N313"/>
  <c r="M313"/>
  <c r="L313"/>
  <c r="K313"/>
  <c r="J313"/>
  <c r="I313"/>
  <c r="H313"/>
  <c r="P312"/>
  <c r="O312"/>
  <c r="N312"/>
  <c r="M312"/>
  <c r="L312"/>
  <c r="K312"/>
  <c r="J312"/>
  <c r="I312"/>
  <c r="H312"/>
  <c r="P311"/>
  <c r="O311"/>
  <c r="N311"/>
  <c r="M311"/>
  <c r="L311"/>
  <c r="K311"/>
  <c r="J311"/>
  <c r="I311"/>
  <c r="H311"/>
  <c r="P310"/>
  <c r="O310"/>
  <c r="N310"/>
  <c r="M310"/>
  <c r="L310"/>
  <c r="K310"/>
  <c r="J310"/>
  <c r="I310"/>
  <c r="H310"/>
  <c r="P309"/>
  <c r="O309"/>
  <c r="N309"/>
  <c r="M309"/>
  <c r="L309"/>
  <c r="K309"/>
  <c r="J309"/>
  <c r="I309"/>
  <c r="H309"/>
  <c r="P308"/>
  <c r="O308"/>
  <c r="N308"/>
  <c r="M308"/>
  <c r="L308"/>
  <c r="K308"/>
  <c r="J308"/>
  <c r="I308"/>
  <c r="H308"/>
  <c r="P307"/>
  <c r="O307"/>
  <c r="N307"/>
  <c r="M307"/>
  <c r="L307"/>
  <c r="K307"/>
  <c r="J307"/>
  <c r="I307"/>
  <c r="H307"/>
  <c r="P306"/>
  <c r="O306"/>
  <c r="N306"/>
  <c r="M306"/>
  <c r="L306"/>
  <c r="K306"/>
  <c r="J306"/>
  <c r="I306"/>
  <c r="H306"/>
  <c r="P305"/>
  <c r="O305"/>
  <c r="N305"/>
  <c r="M305"/>
  <c r="L305"/>
  <c r="K305"/>
  <c r="J305"/>
  <c r="I305"/>
  <c r="H305"/>
  <c r="P304"/>
  <c r="O304"/>
  <c r="N304"/>
  <c r="M304"/>
  <c r="L304"/>
  <c r="K304"/>
  <c r="J304"/>
  <c r="I304"/>
  <c r="H304"/>
  <c r="P303"/>
  <c r="O303"/>
  <c r="N303"/>
  <c r="M303"/>
  <c r="L303"/>
  <c r="K303"/>
  <c r="J303"/>
  <c r="I303"/>
  <c r="H303"/>
  <c r="P302"/>
  <c r="O302"/>
  <c r="N302"/>
  <c r="M302"/>
  <c r="L302"/>
  <c r="K302"/>
  <c r="J302"/>
  <c r="I302"/>
  <c r="H302"/>
  <c r="AD298"/>
  <c r="AE298" s="1"/>
  <c r="U297"/>
  <c r="V296"/>
  <c r="P296" s="1"/>
  <c r="I296"/>
  <c r="H296"/>
  <c r="T295"/>
  <c r="P295" s="1"/>
  <c r="P294"/>
  <c r="O294"/>
  <c r="N294"/>
  <c r="M294"/>
  <c r="L294"/>
  <c r="K294"/>
  <c r="J294"/>
  <c r="I294"/>
  <c r="H294"/>
  <c r="T293"/>
  <c r="N293" s="1"/>
  <c r="P292"/>
  <c r="O292"/>
  <c r="N292"/>
  <c r="M292"/>
  <c r="L292"/>
  <c r="K292"/>
  <c r="J292"/>
  <c r="I292"/>
  <c r="H292"/>
  <c r="P291"/>
  <c r="O291"/>
  <c r="N291"/>
  <c r="M291"/>
  <c r="L291"/>
  <c r="K291"/>
  <c r="J291"/>
  <c r="I291"/>
  <c r="H291"/>
  <c r="T290"/>
  <c r="J290" s="1"/>
  <c r="T289"/>
  <c r="N289" s="1"/>
  <c r="P288"/>
  <c r="O288"/>
  <c r="N288"/>
  <c r="M288"/>
  <c r="L288"/>
  <c r="K288"/>
  <c r="J288"/>
  <c r="I288"/>
  <c r="H288"/>
  <c r="P287"/>
  <c r="O287"/>
  <c r="N287"/>
  <c r="M287"/>
  <c r="L287"/>
  <c r="K287"/>
  <c r="J287"/>
  <c r="I287"/>
  <c r="H287"/>
  <c r="AE286"/>
  <c r="T286"/>
  <c r="I286" s="1"/>
  <c r="T285"/>
  <c r="K285" s="1"/>
  <c r="T284"/>
  <c r="H284" s="1"/>
  <c r="T283"/>
  <c r="T282"/>
  <c r="T281"/>
  <c r="P280"/>
  <c r="O280"/>
  <c r="N280"/>
  <c r="M280"/>
  <c r="L280"/>
  <c r="K280"/>
  <c r="J280"/>
  <c r="I280"/>
  <c r="H280"/>
  <c r="P279"/>
  <c r="O279"/>
  <c r="N279"/>
  <c r="M279"/>
  <c r="L279"/>
  <c r="K279"/>
  <c r="J279"/>
  <c r="I279"/>
  <c r="H279"/>
  <c r="P278"/>
  <c r="O278"/>
  <c r="N278"/>
  <c r="M278"/>
  <c r="L278"/>
  <c r="K278"/>
  <c r="J278"/>
  <c r="I278"/>
  <c r="H278"/>
  <c r="T277"/>
  <c r="M277" s="1"/>
  <c r="T276"/>
  <c r="I276" s="1"/>
  <c r="P275"/>
  <c r="O275"/>
  <c r="N275"/>
  <c r="M275"/>
  <c r="L275"/>
  <c r="K275"/>
  <c r="J275"/>
  <c r="I275"/>
  <c r="H275"/>
  <c r="T274"/>
  <c r="H274" s="1"/>
  <c r="P273"/>
  <c r="O273"/>
  <c r="N273"/>
  <c r="M273"/>
  <c r="L273"/>
  <c r="K273"/>
  <c r="J273"/>
  <c r="I273"/>
  <c r="H273"/>
  <c r="T272"/>
  <c r="N272" s="1"/>
  <c r="T271"/>
  <c r="T270"/>
  <c r="J270" s="1"/>
  <c r="P269"/>
  <c r="O269"/>
  <c r="N269"/>
  <c r="M269"/>
  <c r="L269"/>
  <c r="K269"/>
  <c r="J269"/>
  <c r="I269"/>
  <c r="H269"/>
  <c r="T268"/>
  <c r="K268" s="1"/>
  <c r="T267"/>
  <c r="L267" s="1"/>
  <c r="T266"/>
  <c r="K266" s="1"/>
  <c r="T265"/>
  <c r="H265" s="1"/>
  <c r="T264"/>
  <c r="M264" s="1"/>
  <c r="P263"/>
  <c r="O263"/>
  <c r="N263"/>
  <c r="M263"/>
  <c r="L263"/>
  <c r="K263"/>
  <c r="J263"/>
  <c r="I263"/>
  <c r="H263"/>
  <c r="T262"/>
  <c r="J262" s="1"/>
  <c r="T261"/>
  <c r="O261" s="1"/>
  <c r="M261"/>
  <c r="I261"/>
  <c r="T260"/>
  <c r="P259"/>
  <c r="O259"/>
  <c r="N259"/>
  <c r="M259"/>
  <c r="L259"/>
  <c r="K259"/>
  <c r="J259"/>
  <c r="I259"/>
  <c r="H259"/>
  <c r="T258"/>
  <c r="L258" s="1"/>
  <c r="H258"/>
  <c r="P257"/>
  <c r="O257"/>
  <c r="N257"/>
  <c r="M257"/>
  <c r="L257"/>
  <c r="K257"/>
  <c r="J257"/>
  <c r="I257"/>
  <c r="H257"/>
  <c r="P256"/>
  <c r="O256"/>
  <c r="N256"/>
  <c r="M256"/>
  <c r="L256"/>
  <c r="K256"/>
  <c r="J256"/>
  <c r="I256"/>
  <c r="H256"/>
  <c r="T255"/>
  <c r="H255" s="1"/>
  <c r="T254"/>
  <c r="K254" s="1"/>
  <c r="P253"/>
  <c r="O253"/>
  <c r="N253"/>
  <c r="M253"/>
  <c r="L253"/>
  <c r="K253"/>
  <c r="J253"/>
  <c r="I253"/>
  <c r="H253"/>
  <c r="P252"/>
  <c r="O252"/>
  <c r="N252"/>
  <c r="M252"/>
  <c r="L252"/>
  <c r="K252"/>
  <c r="J252"/>
  <c r="I252"/>
  <c r="H252"/>
  <c r="T251"/>
  <c r="P251" s="1"/>
  <c r="T250"/>
  <c r="P249"/>
  <c r="O249"/>
  <c r="N249"/>
  <c r="M249"/>
  <c r="L249"/>
  <c r="K249"/>
  <c r="J249"/>
  <c r="I249"/>
  <c r="H249"/>
  <c r="T248"/>
  <c r="M248" s="1"/>
  <c r="I248"/>
  <c r="P247"/>
  <c r="O247"/>
  <c r="N247"/>
  <c r="M247"/>
  <c r="L247"/>
  <c r="K247"/>
  <c r="J247"/>
  <c r="I247"/>
  <c r="H247"/>
  <c r="T246"/>
  <c r="T245"/>
  <c r="M245" s="1"/>
  <c r="I245"/>
  <c r="P244"/>
  <c r="O244"/>
  <c r="N244"/>
  <c r="M244"/>
  <c r="L244"/>
  <c r="K244"/>
  <c r="J244"/>
  <c r="I244"/>
  <c r="H244"/>
  <c r="T243"/>
  <c r="M243" s="1"/>
  <c r="P242"/>
  <c r="O242"/>
  <c r="N242"/>
  <c r="M242"/>
  <c r="L242"/>
  <c r="K242"/>
  <c r="J242"/>
  <c r="I242"/>
  <c r="H242"/>
  <c r="T241"/>
  <c r="J241" s="1"/>
  <c r="T240"/>
  <c r="L240" s="1"/>
  <c r="T239"/>
  <c r="J239" s="1"/>
  <c r="P238"/>
  <c r="O238"/>
  <c r="N238"/>
  <c r="M238"/>
  <c r="L238"/>
  <c r="K238"/>
  <c r="J238"/>
  <c r="I238"/>
  <c r="H238"/>
  <c r="P237"/>
  <c r="O237"/>
  <c r="N237"/>
  <c r="M237"/>
  <c r="L237"/>
  <c r="K237"/>
  <c r="J237"/>
  <c r="I237"/>
  <c r="H237"/>
  <c r="P236"/>
  <c r="O236"/>
  <c r="N236"/>
  <c r="M236"/>
  <c r="L236"/>
  <c r="K236"/>
  <c r="J236"/>
  <c r="I236"/>
  <c r="H236"/>
  <c r="P235"/>
  <c r="O235"/>
  <c r="N235"/>
  <c r="M235"/>
  <c r="L235"/>
  <c r="K235"/>
  <c r="J235"/>
  <c r="I235"/>
  <c r="H235"/>
  <c r="T234"/>
  <c r="H234" s="1"/>
  <c r="P233"/>
  <c r="O233"/>
  <c r="N233"/>
  <c r="M233"/>
  <c r="L233"/>
  <c r="K233"/>
  <c r="J233"/>
  <c r="I233"/>
  <c r="H233"/>
  <c r="T232"/>
  <c r="N232" s="1"/>
  <c r="P231"/>
  <c r="O231"/>
  <c r="N231"/>
  <c r="M231"/>
  <c r="L231"/>
  <c r="K231"/>
  <c r="J231"/>
  <c r="I231"/>
  <c r="H231"/>
  <c r="T230"/>
  <c r="K230" s="1"/>
  <c r="P229"/>
  <c r="O229"/>
  <c r="N229"/>
  <c r="M229"/>
  <c r="L229"/>
  <c r="K229"/>
  <c r="J229"/>
  <c r="I229"/>
  <c r="H229"/>
  <c r="T228"/>
  <c r="L228" s="1"/>
  <c r="T227"/>
  <c r="T226"/>
  <c r="J226" s="1"/>
  <c r="P225"/>
  <c r="O225"/>
  <c r="N225"/>
  <c r="M225"/>
  <c r="L225"/>
  <c r="K225"/>
  <c r="J225"/>
  <c r="I225"/>
  <c r="H225"/>
  <c r="P224"/>
  <c r="O224"/>
  <c r="N224"/>
  <c r="M224"/>
  <c r="L224"/>
  <c r="K224"/>
  <c r="J224"/>
  <c r="I224"/>
  <c r="H224"/>
  <c r="T223"/>
  <c r="P222"/>
  <c r="O222"/>
  <c r="N222"/>
  <c r="M222"/>
  <c r="L222"/>
  <c r="K222"/>
  <c r="J222"/>
  <c r="I222"/>
  <c r="H222"/>
  <c r="P221"/>
  <c r="O221"/>
  <c r="N221"/>
  <c r="M221"/>
  <c r="L221"/>
  <c r="K221"/>
  <c r="J221"/>
  <c r="I221"/>
  <c r="H221"/>
  <c r="P220"/>
  <c r="O220"/>
  <c r="N220"/>
  <c r="M220"/>
  <c r="L220"/>
  <c r="K220"/>
  <c r="J220"/>
  <c r="I220"/>
  <c r="H220"/>
  <c r="T219"/>
  <c r="K219" s="1"/>
  <c r="T218"/>
  <c r="K218" s="1"/>
  <c r="T217"/>
  <c r="J217" s="1"/>
  <c r="T216"/>
  <c r="M216" s="1"/>
  <c r="T215"/>
  <c r="J215" s="1"/>
  <c r="T214"/>
  <c r="P214" s="1"/>
  <c r="P213"/>
  <c r="O213"/>
  <c r="N213"/>
  <c r="M213"/>
  <c r="L213"/>
  <c r="K213"/>
  <c r="J213"/>
  <c r="I213"/>
  <c r="H213"/>
  <c r="T212"/>
  <c r="L212" s="1"/>
  <c r="T211"/>
  <c r="K210"/>
  <c r="J210"/>
  <c r="T209"/>
  <c r="J209" s="1"/>
  <c r="T208"/>
  <c r="K208" s="1"/>
  <c r="P207"/>
  <c r="O207"/>
  <c r="N207"/>
  <c r="M207"/>
  <c r="L207"/>
  <c r="K207"/>
  <c r="J207"/>
  <c r="I207"/>
  <c r="H207"/>
  <c r="T206"/>
  <c r="N206" s="1"/>
  <c r="T205"/>
  <c r="M205" s="1"/>
  <c r="T204"/>
  <c r="N204" s="1"/>
  <c r="P203"/>
  <c r="O203"/>
  <c r="N203"/>
  <c r="M203"/>
  <c r="L203"/>
  <c r="K203"/>
  <c r="J203"/>
  <c r="I203"/>
  <c r="H203"/>
  <c r="P202"/>
  <c r="O202"/>
  <c r="N202"/>
  <c r="M202"/>
  <c r="L202"/>
  <c r="K202"/>
  <c r="J202"/>
  <c r="I202"/>
  <c r="H202"/>
  <c r="T201"/>
  <c r="T200"/>
  <c r="L200" s="1"/>
  <c r="P199"/>
  <c r="O199"/>
  <c r="N199"/>
  <c r="M199"/>
  <c r="L199"/>
  <c r="K199"/>
  <c r="J199"/>
  <c r="I199"/>
  <c r="H199"/>
  <c r="T198"/>
  <c r="L198" s="1"/>
  <c r="P197"/>
  <c r="O197"/>
  <c r="N197"/>
  <c r="M197"/>
  <c r="L197"/>
  <c r="K197"/>
  <c r="J197"/>
  <c r="I197"/>
  <c r="H197"/>
  <c r="P196"/>
  <c r="O196"/>
  <c r="N196"/>
  <c r="M196"/>
  <c r="L196"/>
  <c r="K196"/>
  <c r="J196"/>
  <c r="I196"/>
  <c r="H196"/>
  <c r="T195"/>
  <c r="L195" s="1"/>
  <c r="P194"/>
  <c r="O194"/>
  <c r="N194"/>
  <c r="M194"/>
  <c r="L194"/>
  <c r="K194"/>
  <c r="J194"/>
  <c r="I194"/>
  <c r="H194"/>
  <c r="AE191"/>
  <c r="AE192" s="1"/>
  <c r="U191"/>
  <c r="T190"/>
  <c r="H190"/>
  <c r="T189"/>
  <c r="T188"/>
  <c r="M188" s="1"/>
  <c r="T187"/>
  <c r="P187" s="1"/>
  <c r="T186"/>
  <c r="M186" s="1"/>
  <c r="T185"/>
  <c r="M185" s="1"/>
  <c r="T184"/>
  <c r="M184" s="1"/>
  <c r="T183"/>
  <c r="P183" s="1"/>
  <c r="T182"/>
  <c r="O182" s="1"/>
  <c r="P181"/>
  <c r="O181"/>
  <c r="N181"/>
  <c r="M181"/>
  <c r="L181"/>
  <c r="K181"/>
  <c r="J181"/>
  <c r="I181"/>
  <c r="H181"/>
  <c r="T180"/>
  <c r="P180" s="1"/>
  <c r="P179"/>
  <c r="O179"/>
  <c r="N179"/>
  <c r="M179"/>
  <c r="L179"/>
  <c r="K179"/>
  <c r="J179"/>
  <c r="I179"/>
  <c r="H179"/>
  <c r="K178"/>
  <c r="K177"/>
  <c r="T176"/>
  <c r="K176" s="1"/>
  <c r="P175"/>
  <c r="O175"/>
  <c r="N175"/>
  <c r="M175"/>
  <c r="L175"/>
  <c r="K175"/>
  <c r="J175"/>
  <c r="I175"/>
  <c r="H175"/>
  <c r="P174"/>
  <c r="O174"/>
  <c r="N174"/>
  <c r="M174"/>
  <c r="L174"/>
  <c r="K174"/>
  <c r="J174"/>
  <c r="I174"/>
  <c r="H174"/>
  <c r="T173"/>
  <c r="O173" s="1"/>
  <c r="P172"/>
  <c r="O172"/>
  <c r="N172"/>
  <c r="M172"/>
  <c r="L172"/>
  <c r="K172"/>
  <c r="J172"/>
  <c r="I172"/>
  <c r="H172"/>
  <c r="T171"/>
  <c r="P171" s="1"/>
  <c r="T170"/>
  <c r="P170" s="1"/>
  <c r="T169"/>
  <c r="T168"/>
  <c r="O168" s="1"/>
  <c r="T167"/>
  <c r="P167" s="1"/>
  <c r="T166"/>
  <c r="P166" s="1"/>
  <c r="T165"/>
  <c r="T164"/>
  <c r="P164" s="1"/>
  <c r="T163"/>
  <c r="M163" s="1"/>
  <c r="T162"/>
  <c r="N162" s="1"/>
  <c r="AE161"/>
  <c r="T161"/>
  <c r="K161" s="1"/>
  <c r="T160"/>
  <c r="L160" s="1"/>
  <c r="T159"/>
  <c r="N159" s="1"/>
  <c r="K158"/>
  <c r="J158"/>
  <c r="I158"/>
  <c r="T157"/>
  <c r="N157" s="1"/>
  <c r="K156"/>
  <c r="J156"/>
  <c r="J155"/>
  <c r="I155"/>
  <c r="J154"/>
  <c r="I154"/>
  <c r="P153"/>
  <c r="O153"/>
  <c r="N153"/>
  <c r="M153"/>
  <c r="L153"/>
  <c r="K153"/>
  <c r="J153"/>
  <c r="I153"/>
  <c r="H153"/>
  <c r="T152"/>
  <c r="M152" s="1"/>
  <c r="P151"/>
  <c r="O151"/>
  <c r="N151"/>
  <c r="M151"/>
  <c r="L151"/>
  <c r="K151"/>
  <c r="J151"/>
  <c r="I151"/>
  <c r="H151"/>
  <c r="T150"/>
  <c r="O150" s="1"/>
  <c r="P149"/>
  <c r="O149"/>
  <c r="N149"/>
  <c r="M149"/>
  <c r="L149"/>
  <c r="K149"/>
  <c r="J149"/>
  <c r="I149"/>
  <c r="H149"/>
  <c r="T148"/>
  <c r="P147"/>
  <c r="O147"/>
  <c r="N147"/>
  <c r="M147"/>
  <c r="L147"/>
  <c r="K147"/>
  <c r="J147"/>
  <c r="I147"/>
  <c r="H147"/>
  <c r="AD146"/>
  <c r="T146"/>
  <c r="N146" s="1"/>
  <c r="P145"/>
  <c r="O145"/>
  <c r="N145"/>
  <c r="M145"/>
  <c r="L145"/>
  <c r="K145"/>
  <c r="J145"/>
  <c r="I145"/>
  <c r="H145"/>
  <c r="T144"/>
  <c r="P143"/>
  <c r="O143"/>
  <c r="N143"/>
  <c r="M143"/>
  <c r="L143"/>
  <c r="K143"/>
  <c r="J143"/>
  <c r="I143"/>
  <c r="H143"/>
  <c r="AF142"/>
  <c r="T142"/>
  <c r="M142" s="1"/>
  <c r="T141"/>
  <c r="N141" s="1"/>
  <c r="T140"/>
  <c r="L140" s="1"/>
  <c r="T139"/>
  <c r="O139" s="1"/>
  <c r="T138"/>
  <c r="T137"/>
  <c r="O137" s="1"/>
  <c r="T136"/>
  <c r="T135"/>
  <c r="O135" s="1"/>
  <c r="T134"/>
  <c r="N134" s="1"/>
  <c r="T133"/>
  <c r="M133" s="1"/>
  <c r="T132"/>
  <c r="AH131"/>
  <c r="P131"/>
  <c r="O131"/>
  <c r="N131"/>
  <c r="M131"/>
  <c r="L131"/>
  <c r="K131"/>
  <c r="J131"/>
  <c r="I131"/>
  <c r="H131"/>
  <c r="T130"/>
  <c r="N130" s="1"/>
  <c r="T129"/>
  <c r="M129" s="1"/>
  <c r="T128"/>
  <c r="M128" s="1"/>
  <c r="AE127"/>
  <c r="P127"/>
  <c r="O127"/>
  <c r="N127"/>
  <c r="M127"/>
  <c r="L127"/>
  <c r="K127"/>
  <c r="J127"/>
  <c r="I127"/>
  <c r="H127"/>
  <c r="T126"/>
  <c r="N126" s="1"/>
  <c r="AE125"/>
  <c r="T125"/>
  <c r="N125" s="1"/>
  <c r="T124"/>
  <c r="O124" s="1"/>
  <c r="T123"/>
  <c r="T122"/>
  <c r="T121"/>
  <c r="N121" s="1"/>
  <c r="T120"/>
  <c r="O120" s="1"/>
  <c r="P119"/>
  <c r="O119"/>
  <c r="N119"/>
  <c r="M119"/>
  <c r="L119"/>
  <c r="K119"/>
  <c r="J119"/>
  <c r="I119"/>
  <c r="H119"/>
  <c r="AI118"/>
  <c r="P118"/>
  <c r="O118"/>
  <c r="N118"/>
  <c r="M118"/>
  <c r="L118"/>
  <c r="K118"/>
  <c r="J118"/>
  <c r="I118"/>
  <c r="H118"/>
  <c r="T117"/>
  <c r="M117" s="1"/>
  <c r="T116"/>
  <c r="M116" s="1"/>
  <c r="T115"/>
  <c r="O115" s="1"/>
  <c r="T114"/>
  <c r="N114" s="1"/>
  <c r="T113"/>
  <c r="M113" s="1"/>
  <c r="AE112"/>
  <c r="T112"/>
  <c r="N112" s="1"/>
  <c r="AE111"/>
  <c r="T111"/>
  <c r="M111" s="1"/>
  <c r="T110"/>
  <c r="O110" s="1"/>
  <c r="T109"/>
  <c r="N109" s="1"/>
  <c r="AE108"/>
  <c r="T108"/>
  <c r="H108" s="1"/>
  <c r="AD104"/>
  <c r="P103"/>
  <c r="O103"/>
  <c r="N103"/>
  <c r="M103"/>
  <c r="L103"/>
  <c r="K103"/>
  <c r="J103"/>
  <c r="I103"/>
  <c r="H103"/>
  <c r="P102"/>
  <c r="O102"/>
  <c r="N102"/>
  <c r="M102"/>
  <c r="L102"/>
  <c r="K102"/>
  <c r="J102"/>
  <c r="I102"/>
  <c r="H102"/>
  <c r="T101"/>
  <c r="N101" s="1"/>
  <c r="P100"/>
  <c r="O100"/>
  <c r="N100"/>
  <c r="M100"/>
  <c r="L100"/>
  <c r="K100"/>
  <c r="J100"/>
  <c r="I100"/>
  <c r="H100"/>
  <c r="T99"/>
  <c r="L99" s="1"/>
  <c r="T98"/>
  <c r="O98" s="1"/>
  <c r="T97"/>
  <c r="M97" s="1"/>
  <c r="P96"/>
  <c r="O96"/>
  <c r="N96"/>
  <c r="M96"/>
  <c r="L96"/>
  <c r="K96"/>
  <c r="J96"/>
  <c r="I96"/>
  <c r="H96"/>
  <c r="P95"/>
  <c r="O95"/>
  <c r="N95"/>
  <c r="M95"/>
  <c r="L95"/>
  <c r="K95"/>
  <c r="J95"/>
  <c r="I95"/>
  <c r="H95"/>
  <c r="P94"/>
  <c r="O94"/>
  <c r="N94"/>
  <c r="M94"/>
  <c r="L94"/>
  <c r="K94"/>
  <c r="J94"/>
  <c r="I94"/>
  <c r="H94"/>
  <c r="T93"/>
  <c r="M93" s="1"/>
  <c r="T92"/>
  <c r="L92" s="1"/>
  <c r="P91"/>
  <c r="O91"/>
  <c r="N91"/>
  <c r="M91"/>
  <c r="L91"/>
  <c r="K91"/>
  <c r="J91"/>
  <c r="I91"/>
  <c r="H91"/>
  <c r="P90"/>
  <c r="O90"/>
  <c r="N90"/>
  <c r="M90"/>
  <c r="L90"/>
  <c r="K90"/>
  <c r="J90"/>
  <c r="I90"/>
  <c r="H90"/>
  <c r="T89"/>
  <c r="O89" s="1"/>
  <c r="P88"/>
  <c r="O88"/>
  <c r="N88"/>
  <c r="M88"/>
  <c r="L88"/>
  <c r="K88"/>
  <c r="J88"/>
  <c r="I88"/>
  <c r="H88"/>
  <c r="P87"/>
  <c r="O87"/>
  <c r="N87"/>
  <c r="M87"/>
  <c r="L87"/>
  <c r="K87"/>
  <c r="J87"/>
  <c r="I87"/>
  <c r="H87"/>
  <c r="P86"/>
  <c r="O86"/>
  <c r="N86"/>
  <c r="M86"/>
  <c r="L86"/>
  <c r="K86"/>
  <c r="J86"/>
  <c r="I86"/>
  <c r="H86"/>
  <c r="P85"/>
  <c r="O85"/>
  <c r="N85"/>
  <c r="M85"/>
  <c r="L85"/>
  <c r="K85"/>
  <c r="J85"/>
  <c r="I85"/>
  <c r="H85"/>
  <c r="P84"/>
  <c r="O84"/>
  <c r="N84"/>
  <c r="M84"/>
  <c r="L84"/>
  <c r="K84"/>
  <c r="J84"/>
  <c r="I84"/>
  <c r="H84"/>
  <c r="P83"/>
  <c r="O83"/>
  <c r="N83"/>
  <c r="M83"/>
  <c r="L83"/>
  <c r="K83"/>
  <c r="J83"/>
  <c r="I83"/>
  <c r="H83"/>
  <c r="AD79"/>
  <c r="T79"/>
  <c r="P78"/>
  <c r="O78"/>
  <c r="N78"/>
  <c r="M78"/>
  <c r="L78"/>
  <c r="K78"/>
  <c r="J78"/>
  <c r="I78"/>
  <c r="H78"/>
  <c r="P77"/>
  <c r="O77"/>
  <c r="N77"/>
  <c r="M77"/>
  <c r="L77"/>
  <c r="K77"/>
  <c r="J77"/>
  <c r="I77"/>
  <c r="H77"/>
  <c r="P76"/>
  <c r="O76"/>
  <c r="N76"/>
  <c r="M76"/>
  <c r="L76"/>
  <c r="K76"/>
  <c r="J76"/>
  <c r="I76"/>
  <c r="H76"/>
  <c r="P75"/>
  <c r="O75"/>
  <c r="N75"/>
  <c r="M75"/>
  <c r="L75"/>
  <c r="K75"/>
  <c r="J75"/>
  <c r="I75"/>
  <c r="H75"/>
  <c r="P74"/>
  <c r="O74"/>
  <c r="N74"/>
  <c r="M74"/>
  <c r="L74"/>
  <c r="K74"/>
  <c r="J74"/>
  <c r="I74"/>
  <c r="H74"/>
  <c r="P73"/>
  <c r="O73"/>
  <c r="N73"/>
  <c r="M73"/>
  <c r="L73"/>
  <c r="K73"/>
  <c r="J73"/>
  <c r="I73"/>
  <c r="H73"/>
  <c r="P72"/>
  <c r="O72"/>
  <c r="N72"/>
  <c r="M72"/>
  <c r="L72"/>
  <c r="K72"/>
  <c r="J72"/>
  <c r="I72"/>
  <c r="H72"/>
  <c r="P71"/>
  <c r="O71"/>
  <c r="N71"/>
  <c r="M71"/>
  <c r="L71"/>
  <c r="K71"/>
  <c r="J71"/>
  <c r="I71"/>
  <c r="H71"/>
  <c r="P70"/>
  <c r="O70"/>
  <c r="N70"/>
  <c r="M70"/>
  <c r="L70"/>
  <c r="K70"/>
  <c r="J70"/>
  <c r="I70"/>
  <c r="H70"/>
  <c r="P69"/>
  <c r="O69"/>
  <c r="N69"/>
  <c r="M69"/>
  <c r="L69"/>
  <c r="K69"/>
  <c r="J69"/>
  <c r="I69"/>
  <c r="H69"/>
  <c r="P68"/>
  <c r="O68"/>
  <c r="N68"/>
  <c r="M68"/>
  <c r="L68"/>
  <c r="K68"/>
  <c r="J68"/>
  <c r="I68"/>
  <c r="H68"/>
  <c r="P67"/>
  <c r="O67"/>
  <c r="N67"/>
  <c r="M67"/>
  <c r="L67"/>
  <c r="K67"/>
  <c r="J67"/>
  <c r="I67"/>
  <c r="H67"/>
  <c r="P66"/>
  <c r="O66"/>
  <c r="N66"/>
  <c r="M66"/>
  <c r="L66"/>
  <c r="K66"/>
  <c r="J66"/>
  <c r="I66"/>
  <c r="H66"/>
  <c r="P65"/>
  <c r="O65"/>
  <c r="N65"/>
  <c r="M65"/>
  <c r="L65"/>
  <c r="K65"/>
  <c r="J65"/>
  <c r="I65"/>
  <c r="H65"/>
  <c r="AD62"/>
  <c r="T62"/>
  <c r="P61"/>
  <c r="O61"/>
  <c r="N61"/>
  <c r="M61"/>
  <c r="L61"/>
  <c r="K61"/>
  <c r="J61"/>
  <c r="I61"/>
  <c r="H61"/>
  <c r="P60"/>
  <c r="O60"/>
  <c r="N60"/>
  <c r="M60"/>
  <c r="L60"/>
  <c r="K60"/>
  <c r="J60"/>
  <c r="I60"/>
  <c r="H60"/>
  <c r="P59"/>
  <c r="O59"/>
  <c r="N59"/>
  <c r="M59"/>
  <c r="L59"/>
  <c r="K59"/>
  <c r="J59"/>
  <c r="I59"/>
  <c r="H59"/>
  <c r="AD56"/>
  <c r="AF57" s="1"/>
  <c r="V55"/>
  <c r="U55"/>
  <c r="T55"/>
  <c r="T54"/>
  <c r="M54" s="1"/>
  <c r="T53"/>
  <c r="M53" s="1"/>
  <c r="T52"/>
  <c r="L52" s="1"/>
  <c r="W51"/>
  <c r="V51"/>
  <c r="U51"/>
  <c r="T51"/>
  <c r="T50"/>
  <c r="O50" s="1"/>
  <c r="W49"/>
  <c r="T49"/>
  <c r="T48"/>
  <c r="M48" s="1"/>
  <c r="V47"/>
  <c r="U47"/>
  <c r="T47"/>
  <c r="W46"/>
  <c r="V46"/>
  <c r="U46"/>
  <c r="T46"/>
  <c r="T45"/>
  <c r="N45" s="1"/>
  <c r="W44"/>
  <c r="V44"/>
  <c r="U44"/>
  <c r="T44"/>
  <c r="T43"/>
  <c r="M43" s="1"/>
  <c r="T42"/>
  <c r="AG41"/>
  <c r="W41"/>
  <c r="V41"/>
  <c r="U41"/>
  <c r="T41"/>
  <c r="W40"/>
  <c r="V40"/>
  <c r="U40"/>
  <c r="T40"/>
  <c r="T39"/>
  <c r="N39" s="1"/>
  <c r="T38"/>
  <c r="N38" s="1"/>
  <c r="T37"/>
  <c r="T36"/>
  <c r="T35"/>
  <c r="O35" s="1"/>
  <c r="T34"/>
  <c r="T33"/>
  <c r="N33" s="1"/>
  <c r="M33"/>
  <c r="L33"/>
  <c r="H33"/>
  <c r="T32"/>
  <c r="N32" s="1"/>
  <c r="W31"/>
  <c r="V31"/>
  <c r="U31"/>
  <c r="T31"/>
  <c r="T30"/>
  <c r="N30" s="1"/>
  <c r="T29"/>
  <c r="P28"/>
  <c r="O28"/>
  <c r="N28"/>
  <c r="M28"/>
  <c r="L28"/>
  <c r="K28"/>
  <c r="J28"/>
  <c r="I28"/>
  <c r="H28"/>
  <c r="P27"/>
  <c r="O27"/>
  <c r="N27"/>
  <c r="M27"/>
  <c r="L27"/>
  <c r="K27"/>
  <c r="J27"/>
  <c r="I27"/>
  <c r="H27"/>
  <c r="T26"/>
  <c r="P25"/>
  <c r="O25"/>
  <c r="N25"/>
  <c r="M25"/>
  <c r="L25"/>
  <c r="K25"/>
  <c r="J25"/>
  <c r="I25"/>
  <c r="H25"/>
  <c r="T24"/>
  <c r="AD21"/>
  <c r="T20"/>
  <c r="N20" s="1"/>
  <c r="W19"/>
  <c r="T19"/>
  <c r="W18"/>
  <c r="V18"/>
  <c r="T18"/>
  <c r="W17"/>
  <c r="V17"/>
  <c r="U17"/>
  <c r="T17"/>
  <c r="W16"/>
  <c r="V16"/>
  <c r="U16"/>
  <c r="T16"/>
  <c r="AD13"/>
  <c r="T13"/>
  <c r="P12"/>
  <c r="O12"/>
  <c r="N12"/>
  <c r="M12"/>
  <c r="L12"/>
  <c r="L13" s="1"/>
  <c r="K12"/>
  <c r="K13" s="1"/>
  <c r="J12"/>
  <c r="J13" s="1"/>
  <c r="I12"/>
  <c r="I13" s="1"/>
  <c r="H12"/>
  <c r="H13" s="1"/>
  <c r="H212" l="1"/>
  <c r="I98"/>
  <c r="U298"/>
  <c r="N295"/>
  <c r="H1186"/>
  <c r="H166"/>
  <c r="M295"/>
  <c r="O753"/>
  <c r="K795"/>
  <c r="N739"/>
  <c r="K806"/>
  <c r="K33"/>
  <c r="P33"/>
  <c r="I51"/>
  <c r="M141"/>
  <c r="I187"/>
  <c r="L205"/>
  <c r="M212"/>
  <c r="I295"/>
  <c r="M739"/>
  <c r="J753"/>
  <c r="N798"/>
  <c r="H804"/>
  <c r="H1028"/>
  <c r="I739"/>
  <c r="L289"/>
  <c r="O798"/>
  <c r="M804"/>
  <c r="I33"/>
  <c r="O33"/>
  <c r="H45"/>
  <c r="H141"/>
  <c r="J205"/>
  <c r="I214"/>
  <c r="L795"/>
  <c r="I798"/>
  <c r="H1195"/>
  <c r="O19"/>
  <c r="O45"/>
  <c r="O111"/>
  <c r="L113"/>
  <c r="L141"/>
  <c r="M171"/>
  <c r="H261"/>
  <c r="P261"/>
  <c r="N712"/>
  <c r="I870"/>
  <c r="K908"/>
  <c r="L1276"/>
  <c r="I45"/>
  <c r="I111"/>
  <c r="I124"/>
  <c r="I141"/>
  <c r="O141"/>
  <c r="I168"/>
  <c r="I171"/>
  <c r="I182"/>
  <c r="I258"/>
  <c r="J261"/>
  <c r="N261"/>
  <c r="K698"/>
  <c r="I703"/>
  <c r="H712"/>
  <c r="H795"/>
  <c r="O795"/>
  <c r="J1028"/>
  <c r="H1112"/>
  <c r="H1152"/>
  <c r="H1233"/>
  <c r="L848"/>
  <c r="L89"/>
  <c r="M112"/>
  <c r="K116"/>
  <c r="L167"/>
  <c r="P258"/>
  <c r="L261"/>
  <c r="M711"/>
  <c r="M744"/>
  <c r="J1150"/>
  <c r="J1276"/>
  <c r="M45"/>
  <c r="H89"/>
  <c r="N111"/>
  <c r="I112"/>
  <c r="K113"/>
  <c r="M124"/>
  <c r="K129"/>
  <c r="K141"/>
  <c r="P141"/>
  <c r="J167"/>
  <c r="L171"/>
  <c r="K173"/>
  <c r="L180"/>
  <c r="K182"/>
  <c r="I204"/>
  <c r="I243"/>
  <c r="M258"/>
  <c r="K261"/>
  <c r="I293"/>
  <c r="K295"/>
  <c r="I696"/>
  <c r="M698"/>
  <c r="I712"/>
  <c r="H722"/>
  <c r="I744"/>
  <c r="K753"/>
  <c r="I793"/>
  <c r="I795"/>
  <c r="P795"/>
  <c r="H870"/>
  <c r="J908"/>
  <c r="K1028"/>
  <c r="I1112"/>
  <c r="I1152"/>
  <c r="I1276"/>
  <c r="M793"/>
  <c r="I35"/>
  <c r="M139"/>
  <c r="H214"/>
  <c r="M272"/>
  <c r="L744"/>
  <c r="N759"/>
  <c r="L793"/>
  <c r="I797"/>
  <c r="H1081"/>
  <c r="I1171"/>
  <c r="I1278"/>
  <c r="L969"/>
  <c r="P19"/>
  <c r="M89"/>
  <c r="M98"/>
  <c r="M164"/>
  <c r="I166"/>
  <c r="H167"/>
  <c r="M167"/>
  <c r="J168"/>
  <c r="H171"/>
  <c r="N171"/>
  <c r="K185"/>
  <c r="M187"/>
  <c r="M204"/>
  <c r="M214"/>
  <c r="K216"/>
  <c r="J243"/>
  <c r="L248"/>
  <c r="J251"/>
  <c r="H272"/>
  <c r="I277"/>
  <c r="H289"/>
  <c r="M289"/>
  <c r="J295"/>
  <c r="O295"/>
  <c r="H708"/>
  <c r="K736"/>
  <c r="J744"/>
  <c r="N744"/>
  <c r="J757"/>
  <c r="J759"/>
  <c r="I760"/>
  <c r="I778"/>
  <c r="K783"/>
  <c r="J793"/>
  <c r="N793"/>
  <c r="J934"/>
  <c r="H1148"/>
  <c r="H1208"/>
  <c r="H1255"/>
  <c r="L820"/>
  <c r="I19"/>
  <c r="N137"/>
  <c r="M166"/>
  <c r="L232"/>
  <c r="H267"/>
  <c r="M285"/>
  <c r="K289"/>
  <c r="P289"/>
  <c r="K700"/>
  <c r="M721"/>
  <c r="H744"/>
  <c r="P744"/>
  <c r="K785"/>
  <c r="H793"/>
  <c r="P793"/>
  <c r="H1113"/>
  <c r="K1208"/>
  <c r="H19"/>
  <c r="J33"/>
  <c r="L45"/>
  <c r="J97"/>
  <c r="N98"/>
  <c r="I120"/>
  <c r="J137"/>
  <c r="I139"/>
  <c r="J142"/>
  <c r="L166"/>
  <c r="I167"/>
  <c r="N167"/>
  <c r="L183"/>
  <c r="N187"/>
  <c r="O214"/>
  <c r="L272"/>
  <c r="I289"/>
  <c r="O289"/>
  <c r="I701"/>
  <c r="M708"/>
  <c r="M736"/>
  <c r="K744"/>
  <c r="K757"/>
  <c r="K759"/>
  <c r="P760"/>
  <c r="I776"/>
  <c r="L783"/>
  <c r="I785"/>
  <c r="K793"/>
  <c r="M795"/>
  <c r="J798"/>
  <c r="I852"/>
  <c r="J1171"/>
  <c r="J1208"/>
  <c r="L1215"/>
  <c r="L1252"/>
  <c r="J1255"/>
  <c r="K53"/>
  <c r="I97"/>
  <c r="H124"/>
  <c r="H139"/>
  <c r="P139"/>
  <c r="P142"/>
  <c r="N150"/>
  <c r="L188"/>
  <c r="P232"/>
  <c r="P245"/>
  <c r="N290"/>
  <c r="I682"/>
  <c r="M712"/>
  <c r="K721"/>
  <c r="P724"/>
  <c r="L761"/>
  <c r="H778"/>
  <c r="H826"/>
  <c r="H837"/>
  <c r="K845"/>
  <c r="K846"/>
  <c r="K857"/>
  <c r="I914"/>
  <c r="H996"/>
  <c r="H1005"/>
  <c r="J1029"/>
  <c r="K1163"/>
  <c r="H1221"/>
  <c r="I1222"/>
  <c r="H1262"/>
  <c r="M19"/>
  <c r="I20"/>
  <c r="J31"/>
  <c r="J35"/>
  <c r="I41"/>
  <c r="H48"/>
  <c r="H54"/>
  <c r="L79"/>
  <c r="L97"/>
  <c r="M120"/>
  <c r="J124"/>
  <c r="N124"/>
  <c r="J139"/>
  <c r="N139"/>
  <c r="L142"/>
  <c r="J166"/>
  <c r="N166"/>
  <c r="M182"/>
  <c r="L185"/>
  <c r="H200"/>
  <c r="L216"/>
  <c r="H232"/>
  <c r="M232"/>
  <c r="L245"/>
  <c r="K251"/>
  <c r="I272"/>
  <c r="O272"/>
  <c r="L277"/>
  <c r="O700"/>
  <c r="J701"/>
  <c r="M703"/>
  <c r="P708"/>
  <c r="N711"/>
  <c r="J712"/>
  <c r="O712"/>
  <c r="H718"/>
  <c r="I721"/>
  <c r="N721"/>
  <c r="I722"/>
  <c r="H724"/>
  <c r="K725"/>
  <c r="H731"/>
  <c r="K747"/>
  <c r="N757"/>
  <c r="I759"/>
  <c r="O759"/>
  <c r="H770"/>
  <c r="L778"/>
  <c r="J785"/>
  <c r="K787"/>
  <c r="O787"/>
  <c r="I804"/>
  <c r="O804"/>
  <c r="I805"/>
  <c r="H815"/>
  <c r="H817"/>
  <c r="I838"/>
  <c r="H840"/>
  <c r="H846"/>
  <c r="I848"/>
  <c r="J852"/>
  <c r="H857"/>
  <c r="I859"/>
  <c r="K934"/>
  <c r="H1070"/>
  <c r="I1081"/>
  <c r="J1112"/>
  <c r="I1113"/>
  <c r="K1195"/>
  <c r="I1223"/>
  <c r="I1224"/>
  <c r="I1239"/>
  <c r="L722"/>
  <c r="L840"/>
  <c r="L1070"/>
  <c r="L1112"/>
  <c r="L1203"/>
  <c r="N35"/>
  <c r="N50"/>
  <c r="P97"/>
  <c r="H110"/>
  <c r="L117"/>
  <c r="L124"/>
  <c r="P124"/>
  <c r="L139"/>
  <c r="I142"/>
  <c r="M170"/>
  <c r="M200"/>
  <c r="I216"/>
  <c r="P216"/>
  <c r="K232"/>
  <c r="P234"/>
  <c r="H245"/>
  <c r="J740"/>
  <c r="O778"/>
  <c r="L804"/>
  <c r="H821"/>
  <c r="K967"/>
  <c r="H1093"/>
  <c r="I1209"/>
  <c r="L1219"/>
  <c r="H1238"/>
  <c r="K1244"/>
  <c r="J1272"/>
  <c r="M20"/>
  <c r="M35"/>
  <c r="N37"/>
  <c r="L48"/>
  <c r="J50"/>
  <c r="J51"/>
  <c r="L54"/>
  <c r="K93"/>
  <c r="N97"/>
  <c r="J98"/>
  <c r="J111"/>
  <c r="H117"/>
  <c r="N120"/>
  <c r="K124"/>
  <c r="J128"/>
  <c r="K133"/>
  <c r="K139"/>
  <c r="H142"/>
  <c r="N142"/>
  <c r="J150"/>
  <c r="K166"/>
  <c r="O166"/>
  <c r="N182"/>
  <c r="J184"/>
  <c r="O185"/>
  <c r="K187"/>
  <c r="H188"/>
  <c r="I206"/>
  <c r="L214"/>
  <c r="O216"/>
  <c r="I232"/>
  <c r="O232"/>
  <c r="I234"/>
  <c r="H240"/>
  <c r="J266"/>
  <c r="J268"/>
  <c r="K272"/>
  <c r="P272"/>
  <c r="M290"/>
  <c r="H699"/>
  <c r="N703"/>
  <c r="K712"/>
  <c r="P712"/>
  <c r="J721"/>
  <c r="O721"/>
  <c r="M724"/>
  <c r="M731"/>
  <c r="I740"/>
  <c r="M742"/>
  <c r="M747"/>
  <c r="I757"/>
  <c r="O757"/>
  <c r="I761"/>
  <c r="M770"/>
  <c r="M778"/>
  <c r="H787"/>
  <c r="L787"/>
  <c r="K804"/>
  <c r="P804"/>
  <c r="I815"/>
  <c r="K817"/>
  <c r="L836"/>
  <c r="J838"/>
  <c r="J846"/>
  <c r="J848"/>
  <c r="H851"/>
  <c r="J857"/>
  <c r="J859"/>
  <c r="H914"/>
  <c r="H923"/>
  <c r="I1029"/>
  <c r="J1113"/>
  <c r="H1163"/>
  <c r="H1185"/>
  <c r="H1205"/>
  <c r="K1219"/>
  <c r="H1222"/>
  <c r="J1239"/>
  <c r="H1250"/>
  <c r="K1275"/>
  <c r="L914"/>
  <c r="L1198"/>
  <c r="N123"/>
  <c r="H123"/>
  <c r="L123"/>
  <c r="M123"/>
  <c r="N138"/>
  <c r="M138"/>
  <c r="H138"/>
  <c r="O26"/>
  <c r="I26"/>
  <c r="N26"/>
  <c r="J26"/>
  <c r="N34"/>
  <c r="I34"/>
  <c r="M34"/>
  <c r="M42"/>
  <c r="H42"/>
  <c r="P42"/>
  <c r="K42"/>
  <c r="O42"/>
  <c r="I42"/>
  <c r="M47"/>
  <c r="I47"/>
  <c r="O122"/>
  <c r="J122"/>
  <c r="M122"/>
  <c r="N122"/>
  <c r="M132"/>
  <c r="J132"/>
  <c r="N132"/>
  <c r="K132"/>
  <c r="N189"/>
  <c r="M189"/>
  <c r="I189"/>
  <c r="N201"/>
  <c r="I201"/>
  <c r="M201"/>
  <c r="N227"/>
  <c r="J227"/>
  <c r="L227"/>
  <c r="O227"/>
  <c r="K227"/>
  <c r="P227"/>
  <c r="H227"/>
  <c r="P246"/>
  <c r="K246"/>
  <c r="I246"/>
  <c r="N246"/>
  <c r="O246"/>
  <c r="P281"/>
  <c r="M281"/>
  <c r="J281"/>
  <c r="N281"/>
  <c r="I281"/>
  <c r="O281"/>
  <c r="P683"/>
  <c r="M683"/>
  <c r="J683"/>
  <c r="N683"/>
  <c r="I683"/>
  <c r="O683"/>
  <c r="N750"/>
  <c r="M750"/>
  <c r="H750"/>
  <c r="K750"/>
  <c r="O750"/>
  <c r="I750"/>
  <c r="P750"/>
  <c r="O29"/>
  <c r="I29"/>
  <c r="M148"/>
  <c r="J148"/>
  <c r="K148"/>
  <c r="N148"/>
  <c r="P283"/>
  <c r="M283"/>
  <c r="O283"/>
  <c r="J283"/>
  <c r="N283"/>
  <c r="I283"/>
  <c r="J697"/>
  <c r="N697"/>
  <c r="M697"/>
  <c r="I792"/>
  <c r="L792"/>
  <c r="N36"/>
  <c r="I36"/>
  <c r="M36"/>
  <c r="H40"/>
  <c r="P40"/>
  <c r="M49"/>
  <c r="J49"/>
  <c r="M198"/>
  <c r="H198"/>
  <c r="O198"/>
  <c r="I198"/>
  <c r="P198"/>
  <c r="K198"/>
  <c r="M228"/>
  <c r="H228"/>
  <c r="J228"/>
  <c r="N228"/>
  <c r="I228"/>
  <c r="P228"/>
  <c r="J691"/>
  <c r="M691"/>
  <c r="N691"/>
  <c r="P723"/>
  <c r="K723"/>
  <c r="O723"/>
  <c r="N723"/>
  <c r="I723"/>
  <c r="L723"/>
  <c r="L42"/>
  <c r="I122"/>
  <c r="M227"/>
  <c r="J246"/>
  <c r="K281"/>
  <c r="K683"/>
  <c r="L750"/>
  <c r="I227"/>
  <c r="K283"/>
  <c r="I697"/>
  <c r="M230"/>
  <c r="O230"/>
  <c r="N230"/>
  <c r="I230"/>
  <c r="J230"/>
  <c r="P254"/>
  <c r="M254"/>
  <c r="O254"/>
  <c r="N254"/>
  <c r="I254"/>
  <c r="J254"/>
  <c r="J688"/>
  <c r="I688"/>
  <c r="M688"/>
  <c r="N688"/>
  <c r="I704"/>
  <c r="N704"/>
  <c r="P705"/>
  <c r="M705"/>
  <c r="J705"/>
  <c r="N705"/>
  <c r="O705"/>
  <c r="P735"/>
  <c r="I735"/>
  <c r="M735"/>
  <c r="L735"/>
  <c r="I691"/>
  <c r="J723"/>
  <c r="J800"/>
  <c r="H1199"/>
  <c r="L1119"/>
  <c r="L1216"/>
  <c r="M784"/>
  <c r="T56"/>
  <c r="M44"/>
  <c r="I50"/>
  <c r="M50"/>
  <c r="I55"/>
  <c r="L62"/>
  <c r="I150"/>
  <c r="M150"/>
  <c r="K164"/>
  <c r="K170"/>
  <c r="I173"/>
  <c r="I180"/>
  <c r="L731"/>
  <c r="K742"/>
  <c r="J822"/>
  <c r="K826"/>
  <c r="J827"/>
  <c r="K1032"/>
  <c r="K1167"/>
  <c r="K1199"/>
  <c r="J1206"/>
  <c r="H1223"/>
  <c r="I1277"/>
  <c r="K1286"/>
  <c r="K1287"/>
  <c r="L825"/>
  <c r="L1287"/>
  <c r="N18"/>
  <c r="M37"/>
  <c r="M41"/>
  <c r="H50"/>
  <c r="L50"/>
  <c r="P50"/>
  <c r="K62"/>
  <c r="J79"/>
  <c r="H79"/>
  <c r="H97"/>
  <c r="M109"/>
  <c r="M110"/>
  <c r="K111"/>
  <c r="K114"/>
  <c r="J120"/>
  <c r="L121"/>
  <c r="N128"/>
  <c r="I137"/>
  <c r="J141"/>
  <c r="H150"/>
  <c r="L150"/>
  <c r="P150"/>
  <c r="M157"/>
  <c r="M161"/>
  <c r="M162"/>
  <c r="J164"/>
  <c r="O164"/>
  <c r="N168"/>
  <c r="J170"/>
  <c r="O170"/>
  <c r="N173"/>
  <c r="H180"/>
  <c r="N180"/>
  <c r="H183"/>
  <c r="O183"/>
  <c r="J186"/>
  <c r="I205"/>
  <c r="P205"/>
  <c r="M219"/>
  <c r="P240"/>
  <c r="N243"/>
  <c r="H248"/>
  <c r="P248"/>
  <c r="I251"/>
  <c r="O251"/>
  <c r="I255"/>
  <c r="O266"/>
  <c r="P267"/>
  <c r="O268"/>
  <c r="J272"/>
  <c r="I284"/>
  <c r="P696"/>
  <c r="J698"/>
  <c r="O698"/>
  <c r="P699"/>
  <c r="M706"/>
  <c r="I724"/>
  <c r="I725"/>
  <c r="O725"/>
  <c r="M727"/>
  <c r="K731"/>
  <c r="P731"/>
  <c r="L733"/>
  <c r="J736"/>
  <c r="O736"/>
  <c r="N740"/>
  <c r="J742"/>
  <c r="O742"/>
  <c r="J747"/>
  <c r="O747"/>
  <c r="M753"/>
  <c r="M757"/>
  <c r="M759"/>
  <c r="H761"/>
  <c r="P761"/>
  <c r="K770"/>
  <c r="P770"/>
  <c r="J783"/>
  <c r="P783"/>
  <c r="M797"/>
  <c r="K798"/>
  <c r="N800"/>
  <c r="J804"/>
  <c r="I806"/>
  <c r="O806"/>
  <c r="K820"/>
  <c r="J821"/>
  <c r="I822"/>
  <c r="K825"/>
  <c r="J826"/>
  <c r="I827"/>
  <c r="I829"/>
  <c r="K837"/>
  <c r="H844"/>
  <c r="K851"/>
  <c r="I854"/>
  <c r="I862"/>
  <c r="K914"/>
  <c r="I957"/>
  <c r="K1081"/>
  <c r="J1093"/>
  <c r="J1119"/>
  <c r="J1121"/>
  <c r="K1152"/>
  <c r="K1155"/>
  <c r="H1160"/>
  <c r="J1167"/>
  <c r="K1173"/>
  <c r="L1174"/>
  <c r="K1185"/>
  <c r="J1186"/>
  <c r="K1198"/>
  <c r="J1199"/>
  <c r="I1201"/>
  <c r="H1203"/>
  <c r="J1205"/>
  <c r="I1206"/>
  <c r="H1239"/>
  <c r="L1249"/>
  <c r="J1250"/>
  <c r="I1260"/>
  <c r="H1276"/>
  <c r="H1277"/>
  <c r="K1285"/>
  <c r="L711"/>
  <c r="P781"/>
  <c r="L844"/>
  <c r="L852"/>
  <c r="L934"/>
  <c r="L1167"/>
  <c r="L1186"/>
  <c r="L1208"/>
  <c r="L1259"/>
  <c r="N40"/>
  <c r="I46"/>
  <c r="I183"/>
  <c r="H696"/>
  <c r="J725"/>
  <c r="L770"/>
  <c r="I800"/>
  <c r="O800"/>
  <c r="J806"/>
  <c r="H819"/>
  <c r="K821"/>
  <c r="J854"/>
  <c r="J862"/>
  <c r="J957"/>
  <c r="K1119"/>
  <c r="L1166"/>
  <c r="L1171"/>
  <c r="H1197"/>
  <c r="J1201"/>
  <c r="K1205"/>
  <c r="J1280"/>
  <c r="L1123"/>
  <c r="L1232"/>
  <c r="K18"/>
  <c r="L30"/>
  <c r="I37"/>
  <c r="L39"/>
  <c r="J43"/>
  <c r="K45"/>
  <c r="P45"/>
  <c r="O49"/>
  <c r="K50"/>
  <c r="K109"/>
  <c r="L110"/>
  <c r="K128"/>
  <c r="K150"/>
  <c r="H157"/>
  <c r="I162"/>
  <c r="I164"/>
  <c r="N164"/>
  <c r="M168"/>
  <c r="I170"/>
  <c r="N170"/>
  <c r="M173"/>
  <c r="M180"/>
  <c r="M183"/>
  <c r="J187"/>
  <c r="O187"/>
  <c r="N205"/>
  <c r="M206"/>
  <c r="K214"/>
  <c r="M240"/>
  <c r="N251"/>
  <c r="M267"/>
  <c r="M696"/>
  <c r="I698"/>
  <c r="N698"/>
  <c r="I706"/>
  <c r="N725"/>
  <c r="I731"/>
  <c r="O731"/>
  <c r="I736"/>
  <c r="N736"/>
  <c r="I742"/>
  <c r="N742"/>
  <c r="I747"/>
  <c r="N747"/>
  <c r="I770"/>
  <c r="O770"/>
  <c r="K778"/>
  <c r="P778"/>
  <c r="H783"/>
  <c r="O783"/>
  <c r="L797"/>
  <c r="K800"/>
  <c r="N806"/>
  <c r="I821"/>
  <c r="H822"/>
  <c r="I826"/>
  <c r="H827"/>
  <c r="H829"/>
  <c r="J837"/>
  <c r="J851"/>
  <c r="H862"/>
  <c r="J1081"/>
  <c r="I1093"/>
  <c r="H1119"/>
  <c r="I1121"/>
  <c r="J1152"/>
  <c r="H1155"/>
  <c r="H1167"/>
  <c r="J1185"/>
  <c r="I1186"/>
  <c r="I1199"/>
  <c r="H1201"/>
  <c r="I1205"/>
  <c r="H1206"/>
  <c r="I1226"/>
  <c r="I1250"/>
  <c r="I1280"/>
  <c r="L851"/>
  <c r="L859"/>
  <c r="L1005"/>
  <c r="L1022"/>
  <c r="L1239"/>
  <c r="L1255"/>
  <c r="L1153"/>
  <c r="N208"/>
  <c r="P208"/>
  <c r="M223"/>
  <c r="H223"/>
  <c r="N223"/>
  <c r="I223"/>
  <c r="P717"/>
  <c r="N717"/>
  <c r="I717"/>
  <c r="L717"/>
  <c r="O717"/>
  <c r="J717"/>
  <c r="P756"/>
  <c r="L756"/>
  <c r="M756"/>
  <c r="I839"/>
  <c r="H839"/>
  <c r="K842"/>
  <c r="I842"/>
  <c r="L842"/>
  <c r="J842"/>
  <c r="J990"/>
  <c r="K990"/>
  <c r="J998"/>
  <c r="K998"/>
  <c r="J1047"/>
  <c r="K1047"/>
  <c r="I1154"/>
  <c r="H1154"/>
  <c r="H1270"/>
  <c r="L1270"/>
  <c r="K1270"/>
  <c r="I1283"/>
  <c r="J1283"/>
  <c r="J108"/>
  <c r="L108"/>
  <c r="N212"/>
  <c r="J212"/>
  <c r="P239"/>
  <c r="M239"/>
  <c r="N239"/>
  <c r="I239"/>
  <c r="P241"/>
  <c r="M241"/>
  <c r="N241"/>
  <c r="I241"/>
  <c r="O270"/>
  <c r="K270"/>
  <c r="P270"/>
  <c r="L270"/>
  <c r="H270"/>
  <c r="L282"/>
  <c r="M282"/>
  <c r="P282"/>
  <c r="P681"/>
  <c r="N681"/>
  <c r="I681"/>
  <c r="O681"/>
  <c r="J681"/>
  <c r="H690"/>
  <c r="I690"/>
  <c r="L754"/>
  <c r="M754"/>
  <c r="M794"/>
  <c r="N794"/>
  <c r="I1172"/>
  <c r="L1172"/>
  <c r="H1172"/>
  <c r="J1172"/>
  <c r="I1190"/>
  <c r="J1190"/>
  <c r="K1214"/>
  <c r="L1214"/>
  <c r="K1243"/>
  <c r="H1243"/>
  <c r="K1261"/>
  <c r="L1261"/>
  <c r="I1261"/>
  <c r="J1261"/>
  <c r="L274"/>
  <c r="I274"/>
  <c r="M274"/>
  <c r="N277"/>
  <c r="J277"/>
  <c r="O277"/>
  <c r="K277"/>
  <c r="L284"/>
  <c r="M284"/>
  <c r="O703"/>
  <c r="K703"/>
  <c r="P703"/>
  <c r="L703"/>
  <c r="H703"/>
  <c r="L708"/>
  <c r="N708"/>
  <c r="I708"/>
  <c r="O708"/>
  <c r="J708"/>
  <c r="P726"/>
  <c r="I726"/>
  <c r="P755"/>
  <c r="N755"/>
  <c r="I755"/>
  <c r="O755"/>
  <c r="J755"/>
  <c r="I767"/>
  <c r="P767"/>
  <c r="K814"/>
  <c r="L814"/>
  <c r="I814"/>
  <c r="T832"/>
  <c r="J814"/>
  <c r="L841"/>
  <c r="J841"/>
  <c r="K841"/>
  <c r="I883"/>
  <c r="J883"/>
  <c r="K994"/>
  <c r="I994"/>
  <c r="J994"/>
  <c r="K999"/>
  <c r="L999"/>
  <c r="I999"/>
  <c r="J999"/>
  <c r="J1059"/>
  <c r="K1059"/>
  <c r="K1072"/>
  <c r="L1072"/>
  <c r="I1072"/>
  <c r="J1072"/>
  <c r="I1145"/>
  <c r="H1145"/>
  <c r="L1145"/>
  <c r="J1145"/>
  <c r="I1151"/>
  <c r="H1151"/>
  <c r="J1151"/>
  <c r="I1162"/>
  <c r="J1162"/>
  <c r="K1162"/>
  <c r="L1168"/>
  <c r="H1168"/>
  <c r="K1179"/>
  <c r="I1179"/>
  <c r="J1179"/>
  <c r="I1195"/>
  <c r="J1195"/>
  <c r="L1209"/>
  <c r="H1209"/>
  <c r="J1226"/>
  <c r="L1226"/>
  <c r="K1226"/>
  <c r="I1244"/>
  <c r="J1244"/>
  <c r="L1273"/>
  <c r="H1273"/>
  <c r="I1273"/>
  <c r="I1284"/>
  <c r="H1284"/>
  <c r="I18"/>
  <c r="K30"/>
  <c r="M32"/>
  <c r="H37"/>
  <c r="L37"/>
  <c r="P37"/>
  <c r="K40"/>
  <c r="I43"/>
  <c r="O44"/>
  <c r="I49"/>
  <c r="N55"/>
  <c r="K101"/>
  <c r="L112"/>
  <c r="P129"/>
  <c r="I133"/>
  <c r="L138"/>
  <c r="I152"/>
  <c r="P157"/>
  <c r="L162"/>
  <c r="J163"/>
  <c r="P163"/>
  <c r="I186"/>
  <c r="P186"/>
  <c r="H189"/>
  <c r="L189"/>
  <c r="P189"/>
  <c r="L201"/>
  <c r="L206"/>
  <c r="O208"/>
  <c r="P209"/>
  <c r="P223"/>
  <c r="M715"/>
  <c r="I990"/>
  <c r="I1047"/>
  <c r="I1071"/>
  <c r="K1150"/>
  <c r="L1237"/>
  <c r="I1258"/>
  <c r="K1283"/>
  <c r="L1175"/>
  <c r="T21"/>
  <c r="N17"/>
  <c r="H18"/>
  <c r="O18"/>
  <c r="M18"/>
  <c r="L19"/>
  <c r="N19"/>
  <c r="M29"/>
  <c r="I30"/>
  <c r="O30"/>
  <c r="I32"/>
  <c r="H35"/>
  <c r="L35"/>
  <c r="P35"/>
  <c r="K37"/>
  <c r="O37"/>
  <c r="M38"/>
  <c r="N43"/>
  <c r="K44"/>
  <c r="L44"/>
  <c r="J45"/>
  <c r="H46"/>
  <c r="O47"/>
  <c r="L47"/>
  <c r="N49"/>
  <c r="M55"/>
  <c r="J62"/>
  <c r="I62"/>
  <c r="H62"/>
  <c r="K89"/>
  <c r="P89"/>
  <c r="H98"/>
  <c r="L98"/>
  <c r="P98"/>
  <c r="K108"/>
  <c r="J109"/>
  <c r="O109"/>
  <c r="K110"/>
  <c r="P110"/>
  <c r="K112"/>
  <c r="O112"/>
  <c r="I113"/>
  <c r="P113"/>
  <c r="L115"/>
  <c r="H120"/>
  <c r="L120"/>
  <c r="P120"/>
  <c r="H122"/>
  <c r="L122"/>
  <c r="P122"/>
  <c r="J123"/>
  <c r="P123"/>
  <c r="L125"/>
  <c r="O129"/>
  <c r="O133"/>
  <c r="H137"/>
  <c r="L137"/>
  <c r="P137"/>
  <c r="J138"/>
  <c r="P138"/>
  <c r="O152"/>
  <c r="J157"/>
  <c r="O157"/>
  <c r="K162"/>
  <c r="O162"/>
  <c r="I163"/>
  <c r="N163"/>
  <c r="H168"/>
  <c r="L168"/>
  <c r="P168"/>
  <c r="M176"/>
  <c r="N184"/>
  <c r="N186"/>
  <c r="K189"/>
  <c r="O189"/>
  <c r="K201"/>
  <c r="O201"/>
  <c r="K204"/>
  <c r="O204"/>
  <c r="K206"/>
  <c r="O206"/>
  <c r="H208"/>
  <c r="M208"/>
  <c r="K212"/>
  <c r="P212"/>
  <c r="L223"/>
  <c r="O239"/>
  <c r="O241"/>
  <c r="N270"/>
  <c r="I282"/>
  <c r="M681"/>
  <c r="K715"/>
  <c r="K717"/>
  <c r="P754"/>
  <c r="M781"/>
  <c r="J784"/>
  <c r="J794"/>
  <c r="I860"/>
  <c r="I863"/>
  <c r="H990"/>
  <c r="H998"/>
  <c r="I1030"/>
  <c r="H1047"/>
  <c r="H1071"/>
  <c r="I1096"/>
  <c r="K1172"/>
  <c r="K1190"/>
  <c r="H1214"/>
  <c r="H1261"/>
  <c r="K1263"/>
  <c r="H1268"/>
  <c r="K1280"/>
  <c r="H1283"/>
  <c r="L883"/>
  <c r="L998"/>
  <c r="L1030"/>
  <c r="L1047"/>
  <c r="L1059"/>
  <c r="L1151"/>
  <c r="L1162"/>
  <c r="L1223"/>
  <c r="L1263"/>
  <c r="L1284"/>
  <c r="M209"/>
  <c r="N209"/>
  <c r="M215"/>
  <c r="K215"/>
  <c r="N215"/>
  <c r="P715"/>
  <c r="N715"/>
  <c r="I715"/>
  <c r="O715"/>
  <c r="J715"/>
  <c r="N776"/>
  <c r="J776"/>
  <c r="O776"/>
  <c r="K776"/>
  <c r="P808"/>
  <c r="J808"/>
  <c r="K808"/>
  <c r="J1071"/>
  <c r="K1071"/>
  <c r="K1143"/>
  <c r="L1143"/>
  <c r="I1146"/>
  <c r="H1146"/>
  <c r="J1178"/>
  <c r="K1178"/>
  <c r="K1196"/>
  <c r="L1196"/>
  <c r="H1196"/>
  <c r="I1196"/>
  <c r="K1210"/>
  <c r="L1210"/>
  <c r="H1210"/>
  <c r="K1230"/>
  <c r="I1230"/>
  <c r="L1230"/>
  <c r="J1230"/>
  <c r="J1258"/>
  <c r="L1258"/>
  <c r="K1258"/>
  <c r="M262"/>
  <c r="N262"/>
  <c r="P264"/>
  <c r="N264"/>
  <c r="I264"/>
  <c r="O264"/>
  <c r="J264"/>
  <c r="P440"/>
  <c r="N440"/>
  <c r="I440"/>
  <c r="I572" s="1"/>
  <c r="O440"/>
  <c r="J440"/>
  <c r="O701"/>
  <c r="K701"/>
  <c r="P701"/>
  <c r="L701"/>
  <c r="H701"/>
  <c r="K818"/>
  <c r="L818"/>
  <c r="H818"/>
  <c r="I818"/>
  <c r="H836"/>
  <c r="I836"/>
  <c r="I882"/>
  <c r="J882"/>
  <c r="K882"/>
  <c r="K969"/>
  <c r="H969"/>
  <c r="I969"/>
  <c r="K1175"/>
  <c r="H1175"/>
  <c r="I1175"/>
  <c r="J1182"/>
  <c r="K1182"/>
  <c r="K1194"/>
  <c r="H1194"/>
  <c r="I1212"/>
  <c r="J1212"/>
  <c r="K1218"/>
  <c r="L1218"/>
  <c r="H1218"/>
  <c r="K1234"/>
  <c r="I1234"/>
  <c r="L1234"/>
  <c r="J1234"/>
  <c r="I1271"/>
  <c r="J1271"/>
  <c r="I1286"/>
  <c r="L1286"/>
  <c r="J1286"/>
  <c r="O243"/>
  <c r="K243"/>
  <c r="P243"/>
  <c r="L243"/>
  <c r="H243"/>
  <c r="N248"/>
  <c r="J248"/>
  <c r="O248"/>
  <c r="K248"/>
  <c r="L255"/>
  <c r="M255"/>
  <c r="P255"/>
  <c r="P266"/>
  <c r="M266"/>
  <c r="N266"/>
  <c r="I266"/>
  <c r="P268"/>
  <c r="M268"/>
  <c r="N268"/>
  <c r="I268"/>
  <c r="P285"/>
  <c r="N285"/>
  <c r="I285"/>
  <c r="O285"/>
  <c r="J285"/>
  <c r="L296"/>
  <c r="M296"/>
  <c r="O688"/>
  <c r="K688"/>
  <c r="P688"/>
  <c r="L688"/>
  <c r="H688"/>
  <c r="J693"/>
  <c r="M693"/>
  <c r="N693"/>
  <c r="N696"/>
  <c r="J696"/>
  <c r="O696"/>
  <c r="K696"/>
  <c r="P700"/>
  <c r="M700"/>
  <c r="N700"/>
  <c r="I700"/>
  <c r="J704"/>
  <c r="M704"/>
  <c r="P727"/>
  <c r="N727"/>
  <c r="I727"/>
  <c r="O727"/>
  <c r="J727"/>
  <c r="O740"/>
  <c r="K740"/>
  <c r="P740"/>
  <c r="L740"/>
  <c r="H740"/>
  <c r="N761"/>
  <c r="J761"/>
  <c r="O761"/>
  <c r="K761"/>
  <c r="I777"/>
  <c r="L777"/>
  <c r="I817"/>
  <c r="J817"/>
  <c r="L849"/>
  <c r="I849"/>
  <c r="L876"/>
  <c r="K876"/>
  <c r="I967"/>
  <c r="L967"/>
  <c r="J967"/>
  <c r="I1163"/>
  <c r="J1163"/>
  <c r="I1173"/>
  <c r="L1173"/>
  <c r="J1173"/>
  <c r="H1183"/>
  <c r="I1183"/>
  <c r="K1191"/>
  <c r="H1191"/>
  <c r="I1191"/>
  <c r="K1216"/>
  <c r="H1216"/>
  <c r="I1216"/>
  <c r="L1233"/>
  <c r="J1233"/>
  <c r="K1233"/>
  <c r="K1241"/>
  <c r="L1241"/>
  <c r="H1241"/>
  <c r="I1241"/>
  <c r="J1260"/>
  <c r="K1260"/>
  <c r="K1272"/>
  <c r="H1272"/>
  <c r="I1272"/>
  <c r="L1281"/>
  <c r="H1281"/>
  <c r="K1281"/>
  <c r="L1285"/>
  <c r="I1285"/>
  <c r="J1285"/>
  <c r="K152"/>
  <c r="L163"/>
  <c r="L209"/>
  <c r="L157"/>
  <c r="L990"/>
  <c r="L1178"/>
  <c r="P18"/>
  <c r="N29"/>
  <c r="P30"/>
  <c r="O43"/>
  <c r="P44"/>
  <c r="P47"/>
  <c r="I79"/>
  <c r="H112"/>
  <c r="P112"/>
  <c r="I129"/>
  <c r="P133"/>
  <c r="L135"/>
  <c r="M137"/>
  <c r="P152"/>
  <c r="K157"/>
  <c r="H162"/>
  <c r="P162"/>
  <c r="I184"/>
  <c r="O184"/>
  <c r="H201"/>
  <c r="P201"/>
  <c r="H204"/>
  <c r="L204"/>
  <c r="P204"/>
  <c r="H206"/>
  <c r="P206"/>
  <c r="I208"/>
  <c r="O215"/>
  <c r="I270"/>
  <c r="M717"/>
  <c r="I756"/>
  <c r="H776"/>
  <c r="P776"/>
  <c r="O781"/>
  <c r="I808"/>
  <c r="H842"/>
  <c r="K853"/>
  <c r="I998"/>
  <c r="H1143"/>
  <c r="K1166"/>
  <c r="I1178"/>
  <c r="J1196"/>
  <c r="H1230"/>
  <c r="L1154"/>
  <c r="L1182"/>
  <c r="L1194"/>
  <c r="L1268"/>
  <c r="L1280"/>
  <c r="M773"/>
  <c r="J16"/>
  <c r="L18"/>
  <c r="K19"/>
  <c r="J29"/>
  <c r="H30"/>
  <c r="M30"/>
  <c r="K35"/>
  <c r="J37"/>
  <c r="I38"/>
  <c r="K43"/>
  <c r="I44"/>
  <c r="K47"/>
  <c r="M51"/>
  <c r="O55"/>
  <c r="K79"/>
  <c r="I89"/>
  <c r="K98"/>
  <c r="I108"/>
  <c r="I109"/>
  <c r="I110"/>
  <c r="J112"/>
  <c r="O113"/>
  <c r="K120"/>
  <c r="K122"/>
  <c r="I123"/>
  <c r="K126"/>
  <c r="I128"/>
  <c r="O128"/>
  <c r="L129"/>
  <c r="K130"/>
  <c r="I132"/>
  <c r="O132"/>
  <c r="L133"/>
  <c r="K134"/>
  <c r="K137"/>
  <c r="I138"/>
  <c r="I148"/>
  <c r="O148"/>
  <c r="L152"/>
  <c r="I157"/>
  <c r="J162"/>
  <c r="H163"/>
  <c r="H164"/>
  <c r="L164"/>
  <c r="K168"/>
  <c r="H170"/>
  <c r="L170"/>
  <c r="J171"/>
  <c r="J173"/>
  <c r="J180"/>
  <c r="J182"/>
  <c r="K183"/>
  <c r="K184"/>
  <c r="I185"/>
  <c r="P185"/>
  <c r="L186"/>
  <c r="H187"/>
  <c r="L187"/>
  <c r="J189"/>
  <c r="J201"/>
  <c r="J204"/>
  <c r="J206"/>
  <c r="L208"/>
  <c r="I209"/>
  <c r="I212"/>
  <c r="O212"/>
  <c r="I215"/>
  <c r="J223"/>
  <c r="K239"/>
  <c r="K241"/>
  <c r="I262"/>
  <c r="K264"/>
  <c r="M270"/>
  <c r="P274"/>
  <c r="H277"/>
  <c r="P277"/>
  <c r="H282"/>
  <c r="P284"/>
  <c r="K440"/>
  <c r="K681"/>
  <c r="M701"/>
  <c r="M726"/>
  <c r="I754"/>
  <c r="M755"/>
  <c r="H767"/>
  <c r="L776"/>
  <c r="N782"/>
  <c r="I794"/>
  <c r="H814"/>
  <c r="I841"/>
  <c r="K883"/>
  <c r="H994"/>
  <c r="H999"/>
  <c r="K1022"/>
  <c r="I1059"/>
  <c r="K1171"/>
  <c r="H1182"/>
  <c r="H1190"/>
  <c r="H1212"/>
  <c r="H1271"/>
  <c r="H1286"/>
  <c r="N41"/>
  <c r="P51"/>
  <c r="L839"/>
  <c r="L855"/>
  <c r="L860"/>
  <c r="L882"/>
  <c r="L1150"/>
  <c r="L1179"/>
  <c r="L1191"/>
  <c r="L1212"/>
  <c r="L1244"/>
  <c r="L1260"/>
  <c r="L1271"/>
  <c r="L1283"/>
  <c r="J232"/>
  <c r="I240"/>
  <c r="M246"/>
  <c r="M251"/>
  <c r="I267"/>
  <c r="J289"/>
  <c r="I290"/>
  <c r="I711"/>
  <c r="M723"/>
  <c r="M725"/>
  <c r="J731"/>
  <c r="J750"/>
  <c r="J770"/>
  <c r="I773"/>
  <c r="J778"/>
  <c r="I783"/>
  <c r="M783"/>
  <c r="J795"/>
  <c r="M798"/>
  <c r="M800"/>
  <c r="M806"/>
  <c r="I837"/>
  <c r="H838"/>
  <c r="I846"/>
  <c r="H848"/>
  <c r="H852"/>
  <c r="H854"/>
  <c r="I857"/>
  <c r="H859"/>
  <c r="H908"/>
  <c r="H934"/>
  <c r="H957"/>
  <c r="I1028"/>
  <c r="H1029"/>
  <c r="H1121"/>
  <c r="H1171"/>
  <c r="I1185"/>
  <c r="L40"/>
  <c r="N31"/>
  <c r="L721"/>
  <c r="L725"/>
  <c r="L819"/>
  <c r="L823"/>
  <c r="L827"/>
  <c r="L838"/>
  <c r="L854"/>
  <c r="L862"/>
  <c r="L908"/>
  <c r="L996"/>
  <c r="L1029"/>
  <c r="L1181"/>
  <c r="L1197"/>
  <c r="L1201"/>
  <c r="L1206"/>
  <c r="L1222"/>
  <c r="L1238"/>
  <c r="L1250"/>
  <c r="L1254"/>
  <c r="L1262"/>
  <c r="L705"/>
  <c r="N706"/>
  <c r="H742"/>
  <c r="L742"/>
  <c r="K1148"/>
  <c r="I1150"/>
  <c r="J1209"/>
  <c r="J1222"/>
  <c r="K1255"/>
  <c r="H1259"/>
  <c r="J1277"/>
  <c r="AG1301"/>
  <c r="N16"/>
  <c r="M46"/>
  <c r="L822"/>
  <c r="L923"/>
  <c r="L957"/>
  <c r="L1093"/>
  <c r="L1113"/>
  <c r="L1121"/>
  <c r="L1160"/>
  <c r="L1221"/>
  <c r="L1277"/>
  <c r="N785"/>
  <c r="N773"/>
  <c r="L785"/>
  <c r="P785"/>
  <c r="O785"/>
  <c r="N784"/>
  <c r="L781"/>
  <c r="N781"/>
  <c r="O31"/>
  <c r="L51"/>
  <c r="N46"/>
  <c r="P46"/>
  <c r="O41"/>
  <c r="O40"/>
  <c r="AE196"/>
  <c r="N52"/>
  <c r="J52"/>
  <c r="N92"/>
  <c r="J92"/>
  <c r="O99"/>
  <c r="K99"/>
  <c r="O136"/>
  <c r="K136"/>
  <c r="O140"/>
  <c r="K140"/>
  <c r="O144"/>
  <c r="K144"/>
  <c r="N160"/>
  <c r="J160"/>
  <c r="O165"/>
  <c r="K165"/>
  <c r="O169"/>
  <c r="K169"/>
  <c r="T297"/>
  <c r="O195"/>
  <c r="K195"/>
  <c r="O211"/>
  <c r="K211"/>
  <c r="N211"/>
  <c r="I211"/>
  <c r="P211"/>
  <c r="J211"/>
  <c r="O250"/>
  <c r="K250"/>
  <c r="N250"/>
  <c r="J250"/>
  <c r="M250"/>
  <c r="P250"/>
  <c r="H250"/>
  <c r="P260"/>
  <c r="L260"/>
  <c r="H260"/>
  <c r="O260"/>
  <c r="K260"/>
  <c r="M260"/>
  <c r="N260"/>
  <c r="P271"/>
  <c r="L271"/>
  <c r="H271"/>
  <c r="O271"/>
  <c r="K271"/>
  <c r="J271"/>
  <c r="M271"/>
  <c r="K707"/>
  <c r="U810"/>
  <c r="J707"/>
  <c r="I707"/>
  <c r="O716"/>
  <c r="K716"/>
  <c r="N716"/>
  <c r="J716"/>
  <c r="M716"/>
  <c r="P716"/>
  <c r="H716"/>
  <c r="J1153"/>
  <c r="K1153"/>
  <c r="H1153"/>
  <c r="I1153"/>
  <c r="J1174"/>
  <c r="K1174"/>
  <c r="I1174"/>
  <c r="H1174"/>
  <c r="J1176"/>
  <c r="K1176"/>
  <c r="H1176"/>
  <c r="I1184"/>
  <c r="J1184"/>
  <c r="H1184"/>
  <c r="I1249"/>
  <c r="J1249"/>
  <c r="K1249"/>
  <c r="H1249"/>
  <c r="J1251"/>
  <c r="K1251"/>
  <c r="H1251"/>
  <c r="N48"/>
  <c r="J48"/>
  <c r="P53"/>
  <c r="L53"/>
  <c r="H53"/>
  <c r="N54"/>
  <c r="J54"/>
  <c r="P93"/>
  <c r="L93"/>
  <c r="H93"/>
  <c r="P116"/>
  <c r="L116"/>
  <c r="H116"/>
  <c r="N117"/>
  <c r="J117"/>
  <c r="P161"/>
  <c r="L161"/>
  <c r="H161"/>
  <c r="P176"/>
  <c r="L176"/>
  <c r="H176"/>
  <c r="O188"/>
  <c r="K188"/>
  <c r="O200"/>
  <c r="K200"/>
  <c r="P217"/>
  <c r="L217"/>
  <c r="H217"/>
  <c r="M217"/>
  <c r="N217"/>
  <c r="I217"/>
  <c r="N218"/>
  <c r="J218"/>
  <c r="M218"/>
  <c r="H218"/>
  <c r="O218"/>
  <c r="I218"/>
  <c r="O226"/>
  <c r="K226"/>
  <c r="M226"/>
  <c r="H226"/>
  <c r="N226"/>
  <c r="I226"/>
  <c r="O265"/>
  <c r="K265"/>
  <c r="N265"/>
  <c r="J265"/>
  <c r="L265"/>
  <c r="M265"/>
  <c r="O718"/>
  <c r="K718"/>
  <c r="N718"/>
  <c r="J718"/>
  <c r="M718"/>
  <c r="N746"/>
  <c r="J746"/>
  <c r="O746"/>
  <c r="K746"/>
  <c r="M746"/>
  <c r="L746"/>
  <c r="I746"/>
  <c r="P746"/>
  <c r="O751"/>
  <c r="K751"/>
  <c r="P751"/>
  <c r="L751"/>
  <c r="H751"/>
  <c r="N751"/>
  <c r="M751"/>
  <c r="I751"/>
  <c r="N762"/>
  <c r="J762"/>
  <c r="O762"/>
  <c r="K762"/>
  <c r="M762"/>
  <c r="L762"/>
  <c r="H762"/>
  <c r="I762"/>
  <c r="N789"/>
  <c r="J789"/>
  <c r="O789"/>
  <c r="K789"/>
  <c r="P789"/>
  <c r="H789"/>
  <c r="M789"/>
  <c r="I789"/>
  <c r="N801"/>
  <c r="J801"/>
  <c r="O801"/>
  <c r="K801"/>
  <c r="M801"/>
  <c r="L801"/>
  <c r="I801"/>
  <c r="P801"/>
  <c r="I861"/>
  <c r="J861"/>
  <c r="H861"/>
  <c r="K861"/>
  <c r="I864"/>
  <c r="J864"/>
  <c r="K864"/>
  <c r="H864"/>
  <c r="J918"/>
  <c r="K918"/>
  <c r="I918"/>
  <c r="H918"/>
  <c r="I1169"/>
  <c r="J1169"/>
  <c r="H1169"/>
  <c r="K1169"/>
  <c r="I1188"/>
  <c r="J1188"/>
  <c r="K1188"/>
  <c r="H1188"/>
  <c r="J1215"/>
  <c r="K1215"/>
  <c r="I1215"/>
  <c r="H1215"/>
  <c r="I1240"/>
  <c r="J1240"/>
  <c r="K1240"/>
  <c r="H1240"/>
  <c r="P41"/>
  <c r="L41"/>
  <c r="H41"/>
  <c r="N42"/>
  <c r="J42"/>
  <c r="O46"/>
  <c r="K46"/>
  <c r="P49"/>
  <c r="L49"/>
  <c r="H49"/>
  <c r="P55"/>
  <c r="L55"/>
  <c r="H55"/>
  <c r="T104"/>
  <c r="N89"/>
  <c r="J89"/>
  <c r="O97"/>
  <c r="K97"/>
  <c r="P109"/>
  <c r="L109"/>
  <c r="H109"/>
  <c r="N110"/>
  <c r="J110"/>
  <c r="O123"/>
  <c r="K123"/>
  <c r="O138"/>
  <c r="K138"/>
  <c r="O142"/>
  <c r="K142"/>
  <c r="O163"/>
  <c r="K163"/>
  <c r="O167"/>
  <c r="K167"/>
  <c r="O171"/>
  <c r="K171"/>
  <c r="P173"/>
  <c r="L173"/>
  <c r="H173"/>
  <c r="O180"/>
  <c r="K180"/>
  <c r="P182"/>
  <c r="L182"/>
  <c r="H182"/>
  <c r="N183"/>
  <c r="J183"/>
  <c r="N198"/>
  <c r="J198"/>
  <c r="P219"/>
  <c r="L219"/>
  <c r="H219"/>
  <c r="N219"/>
  <c r="I219"/>
  <c r="O219"/>
  <c r="J219"/>
  <c r="P293"/>
  <c r="L293"/>
  <c r="H293"/>
  <c r="O293"/>
  <c r="K293"/>
  <c r="J293"/>
  <c r="M293"/>
  <c r="P571"/>
  <c r="L571"/>
  <c r="H571"/>
  <c r="O571"/>
  <c r="K571"/>
  <c r="M571"/>
  <c r="T572"/>
  <c r="N571"/>
  <c r="O690"/>
  <c r="K690"/>
  <c r="N690"/>
  <c r="J690"/>
  <c r="L690"/>
  <c r="M690"/>
  <c r="P695"/>
  <c r="L695"/>
  <c r="H695"/>
  <c r="O695"/>
  <c r="K695"/>
  <c r="M695"/>
  <c r="N695"/>
  <c r="P702"/>
  <c r="L702"/>
  <c r="H702"/>
  <c r="O702"/>
  <c r="K702"/>
  <c r="M702"/>
  <c r="N702"/>
  <c r="N720"/>
  <c r="J720"/>
  <c r="P720"/>
  <c r="K720"/>
  <c r="O720"/>
  <c r="I720"/>
  <c r="M720"/>
  <c r="N728"/>
  <c r="J728"/>
  <c r="O728"/>
  <c r="K728"/>
  <c r="P728"/>
  <c r="H728"/>
  <c r="M728"/>
  <c r="I728"/>
  <c r="O741"/>
  <c r="K741"/>
  <c r="P741"/>
  <c r="L741"/>
  <c r="H741"/>
  <c r="M741"/>
  <c r="J741"/>
  <c r="I741"/>
  <c r="N741"/>
  <c r="O743"/>
  <c r="K743"/>
  <c r="P743"/>
  <c r="L743"/>
  <c r="H743"/>
  <c r="N743"/>
  <c r="M743"/>
  <c r="I743"/>
  <c r="N799"/>
  <c r="J799"/>
  <c r="O799"/>
  <c r="K799"/>
  <c r="P799"/>
  <c r="H799"/>
  <c r="M799"/>
  <c r="I799"/>
  <c r="I803"/>
  <c r="J803"/>
  <c r="M803"/>
  <c r="I976"/>
  <c r="J976"/>
  <c r="K976"/>
  <c r="H976"/>
  <c r="I1032"/>
  <c r="J1032"/>
  <c r="H1032"/>
  <c r="J1187"/>
  <c r="K1187"/>
  <c r="H1187"/>
  <c r="I1187"/>
  <c r="J1213"/>
  <c r="K1213"/>
  <c r="I1213"/>
  <c r="H1213"/>
  <c r="I1225"/>
  <c r="J1225"/>
  <c r="K1225"/>
  <c r="H1225"/>
  <c r="I1229"/>
  <c r="J1229"/>
  <c r="K1229"/>
  <c r="H1229"/>
  <c r="I1232"/>
  <c r="J1232"/>
  <c r="H1232"/>
  <c r="K146"/>
  <c r="K159"/>
  <c r="L17"/>
  <c r="L20"/>
  <c r="L24"/>
  <c r="M26"/>
  <c r="L32"/>
  <c r="P32"/>
  <c r="H34"/>
  <c r="L34"/>
  <c r="P34"/>
  <c r="H36"/>
  <c r="L36"/>
  <c r="P36"/>
  <c r="H38"/>
  <c r="L38"/>
  <c r="P38"/>
  <c r="J39"/>
  <c r="P39"/>
  <c r="N51"/>
  <c r="K52"/>
  <c r="P52"/>
  <c r="K92"/>
  <c r="P92"/>
  <c r="J99"/>
  <c r="P99"/>
  <c r="J101"/>
  <c r="O101"/>
  <c r="J114"/>
  <c r="O114"/>
  <c r="K115"/>
  <c r="P115"/>
  <c r="J121"/>
  <c r="P121"/>
  <c r="J125"/>
  <c r="P125"/>
  <c r="J126"/>
  <c r="O126"/>
  <c r="J130"/>
  <c r="O130"/>
  <c r="J134"/>
  <c r="O134"/>
  <c r="K135"/>
  <c r="P135"/>
  <c r="J136"/>
  <c r="P136"/>
  <c r="J140"/>
  <c r="P140"/>
  <c r="J144"/>
  <c r="P144"/>
  <c r="J146"/>
  <c r="O146"/>
  <c r="J159"/>
  <c r="O159"/>
  <c r="K160"/>
  <c r="P160"/>
  <c r="J165"/>
  <c r="P165"/>
  <c r="J169"/>
  <c r="P169"/>
  <c r="T191"/>
  <c r="J195"/>
  <c r="P195"/>
  <c r="M211"/>
  <c r="L250"/>
  <c r="J260"/>
  <c r="N271"/>
  <c r="J276"/>
  <c r="L286"/>
  <c r="P684"/>
  <c r="I1176"/>
  <c r="K1184"/>
  <c r="I1251"/>
  <c r="H16"/>
  <c r="L16"/>
  <c r="P16"/>
  <c r="K17"/>
  <c r="O17"/>
  <c r="J18"/>
  <c r="J19"/>
  <c r="K20"/>
  <c r="O20"/>
  <c r="K24"/>
  <c r="O24"/>
  <c r="H26"/>
  <c r="L26"/>
  <c r="P26"/>
  <c r="H29"/>
  <c r="L29"/>
  <c r="P29"/>
  <c r="J30"/>
  <c r="H31"/>
  <c r="L31"/>
  <c r="P31"/>
  <c r="K32"/>
  <c r="O32"/>
  <c r="K34"/>
  <c r="O34"/>
  <c r="K36"/>
  <c r="O36"/>
  <c r="K38"/>
  <c r="O38"/>
  <c r="I39"/>
  <c r="J40"/>
  <c r="K41"/>
  <c r="H44"/>
  <c r="L46"/>
  <c r="H47"/>
  <c r="K48"/>
  <c r="P48"/>
  <c r="K49"/>
  <c r="H51"/>
  <c r="I52"/>
  <c r="O52"/>
  <c r="J53"/>
  <c r="O53"/>
  <c r="K54"/>
  <c r="P54"/>
  <c r="K55"/>
  <c r="I92"/>
  <c r="O92"/>
  <c r="J93"/>
  <c r="O93"/>
  <c r="I99"/>
  <c r="N99"/>
  <c r="I101"/>
  <c r="H113"/>
  <c r="I114"/>
  <c r="I115"/>
  <c r="J116"/>
  <c r="O116"/>
  <c r="K117"/>
  <c r="P117"/>
  <c r="I121"/>
  <c r="I125"/>
  <c r="I126"/>
  <c r="H129"/>
  <c r="I130"/>
  <c r="H133"/>
  <c r="I134"/>
  <c r="I135"/>
  <c r="I136"/>
  <c r="N136"/>
  <c r="I140"/>
  <c r="N140"/>
  <c r="I144"/>
  <c r="N144"/>
  <c r="I146"/>
  <c r="H152"/>
  <c r="I159"/>
  <c r="I160"/>
  <c r="O160"/>
  <c r="J161"/>
  <c r="O161"/>
  <c r="I165"/>
  <c r="N165"/>
  <c r="I169"/>
  <c r="N169"/>
  <c r="J176"/>
  <c r="O176"/>
  <c r="H185"/>
  <c r="H186"/>
  <c r="J188"/>
  <c r="P188"/>
  <c r="I195"/>
  <c r="N195"/>
  <c r="J200"/>
  <c r="P200"/>
  <c r="H205"/>
  <c r="L211"/>
  <c r="O217"/>
  <c r="P218"/>
  <c r="P226"/>
  <c r="I250"/>
  <c r="I260"/>
  <c r="P265"/>
  <c r="I271"/>
  <c r="I716"/>
  <c r="P718"/>
  <c r="H746"/>
  <c r="J751"/>
  <c r="P762"/>
  <c r="L789"/>
  <c r="H801"/>
  <c r="O39"/>
  <c r="K39"/>
  <c r="P101"/>
  <c r="L101"/>
  <c r="H101"/>
  <c r="P114"/>
  <c r="L114"/>
  <c r="H114"/>
  <c r="N115"/>
  <c r="J115"/>
  <c r="O121"/>
  <c r="K121"/>
  <c r="O125"/>
  <c r="K125"/>
  <c r="P126"/>
  <c r="L126"/>
  <c r="H126"/>
  <c r="P130"/>
  <c r="L130"/>
  <c r="H130"/>
  <c r="P134"/>
  <c r="L134"/>
  <c r="H134"/>
  <c r="N135"/>
  <c r="J135"/>
  <c r="P146"/>
  <c r="L146"/>
  <c r="H146"/>
  <c r="P159"/>
  <c r="L159"/>
  <c r="H159"/>
  <c r="P276"/>
  <c r="L276"/>
  <c r="H276"/>
  <c r="O276"/>
  <c r="K276"/>
  <c r="M276"/>
  <c r="N276"/>
  <c r="O286"/>
  <c r="K286"/>
  <c r="N286"/>
  <c r="J286"/>
  <c r="M286"/>
  <c r="P286"/>
  <c r="H286"/>
  <c r="O684"/>
  <c r="K684"/>
  <c r="N684"/>
  <c r="J684"/>
  <c r="L684"/>
  <c r="M684"/>
  <c r="P719"/>
  <c r="H719"/>
  <c r="O719"/>
  <c r="J719"/>
  <c r="N719"/>
  <c r="I719"/>
  <c r="K719"/>
  <c r="M719"/>
  <c r="N758"/>
  <c r="J758"/>
  <c r="O758"/>
  <c r="K758"/>
  <c r="P758"/>
  <c r="H758"/>
  <c r="M758"/>
  <c r="I758"/>
  <c r="L758"/>
  <c r="N807"/>
  <c r="J807"/>
  <c r="O807"/>
  <c r="K807"/>
  <c r="M807"/>
  <c r="L807"/>
  <c r="H807"/>
  <c r="I807"/>
  <c r="J1235"/>
  <c r="K1235"/>
  <c r="H1235"/>
  <c r="I1235"/>
  <c r="M40"/>
  <c r="I40"/>
  <c r="P43"/>
  <c r="L43"/>
  <c r="H43"/>
  <c r="N44"/>
  <c r="J44"/>
  <c r="N47"/>
  <c r="J47"/>
  <c r="O51"/>
  <c r="K51"/>
  <c r="P111"/>
  <c r="L111"/>
  <c r="H111"/>
  <c r="N113"/>
  <c r="J113"/>
  <c r="P128"/>
  <c r="L128"/>
  <c r="H128"/>
  <c r="N129"/>
  <c r="J129"/>
  <c r="P132"/>
  <c r="L132"/>
  <c r="H132"/>
  <c r="N133"/>
  <c r="J133"/>
  <c r="P148"/>
  <c r="L148"/>
  <c r="H148"/>
  <c r="N152"/>
  <c r="J152"/>
  <c r="P184"/>
  <c r="L184"/>
  <c r="H184"/>
  <c r="N185"/>
  <c r="J185"/>
  <c r="O186"/>
  <c r="K186"/>
  <c r="O205"/>
  <c r="K205"/>
  <c r="O234"/>
  <c r="K234"/>
  <c r="N234"/>
  <c r="J234"/>
  <c r="L234"/>
  <c r="M234"/>
  <c r="O682"/>
  <c r="K682"/>
  <c r="N682"/>
  <c r="J682"/>
  <c r="M682"/>
  <c r="P682"/>
  <c r="H682"/>
  <c r="O699"/>
  <c r="K699"/>
  <c r="N699"/>
  <c r="J699"/>
  <c r="L699"/>
  <c r="M699"/>
  <c r="N737"/>
  <c r="J737"/>
  <c r="O737"/>
  <c r="K737"/>
  <c r="P737"/>
  <c r="H737"/>
  <c r="M737"/>
  <c r="I737"/>
  <c r="N771"/>
  <c r="J771"/>
  <c r="O771"/>
  <c r="K771"/>
  <c r="M771"/>
  <c r="L771"/>
  <c r="H771"/>
  <c r="I771"/>
  <c r="J849"/>
  <c r="K849"/>
  <c r="H849"/>
  <c r="J855"/>
  <c r="K855"/>
  <c r="H855"/>
  <c r="J974"/>
  <c r="K974"/>
  <c r="H974"/>
  <c r="I974"/>
  <c r="I1104"/>
  <c r="J1104"/>
  <c r="K1104"/>
  <c r="H1104"/>
  <c r="I1166"/>
  <c r="J1166"/>
  <c r="H1166"/>
  <c r="J1228"/>
  <c r="K1228"/>
  <c r="H1228"/>
  <c r="I1228"/>
  <c r="I1236"/>
  <c r="J1236"/>
  <c r="K1236"/>
  <c r="H1236"/>
  <c r="I17"/>
  <c r="M17"/>
  <c r="I24"/>
  <c r="M24"/>
  <c r="L136"/>
  <c r="L144"/>
  <c r="L165"/>
  <c r="L169"/>
  <c r="I16"/>
  <c r="M16"/>
  <c r="H17"/>
  <c r="P17"/>
  <c r="H20"/>
  <c r="P20"/>
  <c r="H24"/>
  <c r="P24"/>
  <c r="I31"/>
  <c r="M31"/>
  <c r="H32"/>
  <c r="K16"/>
  <c r="O16"/>
  <c r="J17"/>
  <c r="J20"/>
  <c r="J24"/>
  <c r="N24"/>
  <c r="K26"/>
  <c r="K29"/>
  <c r="K31"/>
  <c r="J32"/>
  <c r="J34"/>
  <c r="J36"/>
  <c r="J38"/>
  <c r="H39"/>
  <c r="M39"/>
  <c r="J41"/>
  <c r="J46"/>
  <c r="I48"/>
  <c r="O48"/>
  <c r="H52"/>
  <c r="M52"/>
  <c r="I53"/>
  <c r="N53"/>
  <c r="I54"/>
  <c r="O54"/>
  <c r="J55"/>
  <c r="H92"/>
  <c r="M92"/>
  <c r="I93"/>
  <c r="N93"/>
  <c r="H99"/>
  <c r="M99"/>
  <c r="M101"/>
  <c r="M114"/>
  <c r="H115"/>
  <c r="M115"/>
  <c r="I116"/>
  <c r="N116"/>
  <c r="I117"/>
  <c r="O117"/>
  <c r="H121"/>
  <c r="M121"/>
  <c r="H125"/>
  <c r="M125"/>
  <c r="M126"/>
  <c r="M130"/>
  <c r="M134"/>
  <c r="H135"/>
  <c r="M135"/>
  <c r="H136"/>
  <c r="M136"/>
  <c r="H140"/>
  <c r="M140"/>
  <c r="H144"/>
  <c r="M144"/>
  <c r="M146"/>
  <c r="M159"/>
  <c r="H160"/>
  <c r="M160"/>
  <c r="I161"/>
  <c r="N161"/>
  <c r="H165"/>
  <c r="M165"/>
  <c r="H169"/>
  <c r="M169"/>
  <c r="I176"/>
  <c r="N176"/>
  <c r="I188"/>
  <c r="N188"/>
  <c r="H195"/>
  <c r="M195"/>
  <c r="I200"/>
  <c r="N200"/>
  <c r="H211"/>
  <c r="K217"/>
  <c r="L218"/>
  <c r="L226"/>
  <c r="I265"/>
  <c r="J571"/>
  <c r="H684"/>
  <c r="P690"/>
  <c r="J695"/>
  <c r="J702"/>
  <c r="I718"/>
  <c r="H720"/>
  <c r="L728"/>
  <c r="J743"/>
  <c r="L799"/>
  <c r="N803"/>
  <c r="N214"/>
  <c r="J214"/>
  <c r="O223"/>
  <c r="K223"/>
  <c r="O228"/>
  <c r="K228"/>
  <c r="P230"/>
  <c r="L230"/>
  <c r="H230"/>
  <c r="O245"/>
  <c r="K245"/>
  <c r="N245"/>
  <c r="J245"/>
  <c r="P262"/>
  <c r="L262"/>
  <c r="H262"/>
  <c r="O262"/>
  <c r="K262"/>
  <c r="O284"/>
  <c r="K284"/>
  <c r="N284"/>
  <c r="J284"/>
  <c r="O296"/>
  <c r="K296"/>
  <c r="V298"/>
  <c r="N296"/>
  <c r="J296"/>
  <c r="P691"/>
  <c r="L691"/>
  <c r="H691"/>
  <c r="O691"/>
  <c r="K691"/>
  <c r="P697"/>
  <c r="L697"/>
  <c r="H697"/>
  <c r="O697"/>
  <c r="K697"/>
  <c r="P704"/>
  <c r="L704"/>
  <c r="H704"/>
  <c r="O704"/>
  <c r="K704"/>
  <c r="N722"/>
  <c r="J722"/>
  <c r="O722"/>
  <c r="K722"/>
  <c r="M722"/>
  <c r="N760"/>
  <c r="J760"/>
  <c r="O760"/>
  <c r="K760"/>
  <c r="M760"/>
  <c r="L760"/>
  <c r="N767"/>
  <c r="J767"/>
  <c r="O767"/>
  <c r="K767"/>
  <c r="M767"/>
  <c r="L767"/>
  <c r="N777"/>
  <c r="J777"/>
  <c r="O777"/>
  <c r="K777"/>
  <c r="P777"/>
  <c r="H777"/>
  <c r="M777"/>
  <c r="M808"/>
  <c r="O808"/>
  <c r="N808"/>
  <c r="J863"/>
  <c r="K863"/>
  <c r="H863"/>
  <c r="I876"/>
  <c r="J876"/>
  <c r="H876"/>
  <c r="T1140"/>
  <c r="I892"/>
  <c r="J892"/>
  <c r="K892"/>
  <c r="H892"/>
  <c r="J995"/>
  <c r="K995"/>
  <c r="I995"/>
  <c r="H995"/>
  <c r="J1096"/>
  <c r="K1096"/>
  <c r="H1096"/>
  <c r="I1139"/>
  <c r="J1139"/>
  <c r="K1139"/>
  <c r="H1139"/>
  <c r="J1192"/>
  <c r="K1192"/>
  <c r="I1192"/>
  <c r="H1192"/>
  <c r="J1217"/>
  <c r="K1217"/>
  <c r="I1217"/>
  <c r="H1217"/>
  <c r="J1224"/>
  <c r="K1224"/>
  <c r="H1224"/>
  <c r="J1237"/>
  <c r="K1237"/>
  <c r="I1237"/>
  <c r="H1237"/>
  <c r="I1275"/>
  <c r="J1275"/>
  <c r="H1275"/>
  <c r="I1279"/>
  <c r="J1279"/>
  <c r="K1279"/>
  <c r="H1279"/>
  <c r="J208"/>
  <c r="H209"/>
  <c r="H216"/>
  <c r="J773"/>
  <c r="O209"/>
  <c r="K209"/>
  <c r="P215"/>
  <c r="L215"/>
  <c r="H215"/>
  <c r="N216"/>
  <c r="J216"/>
  <c r="O240"/>
  <c r="K240"/>
  <c r="N240"/>
  <c r="J240"/>
  <c r="O255"/>
  <c r="K255"/>
  <c r="N255"/>
  <c r="J255"/>
  <c r="O258"/>
  <c r="K258"/>
  <c r="N258"/>
  <c r="J258"/>
  <c r="O267"/>
  <c r="K267"/>
  <c r="N267"/>
  <c r="J267"/>
  <c r="O274"/>
  <c r="K274"/>
  <c r="N274"/>
  <c r="J274"/>
  <c r="O282"/>
  <c r="K282"/>
  <c r="N282"/>
  <c r="J282"/>
  <c r="P290"/>
  <c r="L290"/>
  <c r="H290"/>
  <c r="O290"/>
  <c r="K290"/>
  <c r="P693"/>
  <c r="L693"/>
  <c r="H693"/>
  <c r="O693"/>
  <c r="K693"/>
  <c r="P706"/>
  <c r="L706"/>
  <c r="H706"/>
  <c r="O706"/>
  <c r="K706"/>
  <c r="P711"/>
  <c r="H711"/>
  <c r="O711"/>
  <c r="K711"/>
  <c r="N733"/>
  <c r="J733"/>
  <c r="O733"/>
  <c r="K733"/>
  <c r="P733"/>
  <c r="H733"/>
  <c r="M733"/>
  <c r="O782"/>
  <c r="K782"/>
  <c r="P782"/>
  <c r="L782"/>
  <c r="H782"/>
  <c r="M782"/>
  <c r="J782"/>
  <c r="N792"/>
  <c r="J792"/>
  <c r="O792"/>
  <c r="K792"/>
  <c r="P792"/>
  <c r="H792"/>
  <c r="M792"/>
  <c r="N805"/>
  <c r="J805"/>
  <c r="O805"/>
  <c r="K805"/>
  <c r="P805"/>
  <c r="H805"/>
  <c r="M805"/>
  <c r="I845"/>
  <c r="J845"/>
  <c r="H845"/>
  <c r="I850"/>
  <c r="J850"/>
  <c r="K850"/>
  <c r="H850"/>
  <c r="I853"/>
  <c r="J853"/>
  <c r="H853"/>
  <c r="J1115"/>
  <c r="K1115"/>
  <c r="I1115"/>
  <c r="H1115"/>
  <c r="J1123"/>
  <c r="K1123"/>
  <c r="H1123"/>
  <c r="I1177"/>
  <c r="J1177"/>
  <c r="K1177"/>
  <c r="H1177"/>
  <c r="I1181"/>
  <c r="J1181"/>
  <c r="H1181"/>
  <c r="I1219"/>
  <c r="J1219"/>
  <c r="H1219"/>
  <c r="J1242"/>
  <c r="K1242"/>
  <c r="I1242"/>
  <c r="H1242"/>
  <c r="I1252"/>
  <c r="J1252"/>
  <c r="K1252"/>
  <c r="H1252"/>
  <c r="J1278"/>
  <c r="K1278"/>
  <c r="H1278"/>
  <c r="T885"/>
  <c r="N724"/>
  <c r="J724"/>
  <c r="O724"/>
  <c r="K724"/>
  <c r="O739"/>
  <c r="K739"/>
  <c r="P739"/>
  <c r="L739"/>
  <c r="H739"/>
  <c r="N754"/>
  <c r="J754"/>
  <c r="O754"/>
  <c r="K754"/>
  <c r="O794"/>
  <c r="K794"/>
  <c r="P794"/>
  <c r="L794"/>
  <c r="H794"/>
  <c r="J815"/>
  <c r="K815"/>
  <c r="I820"/>
  <c r="J820"/>
  <c r="I825"/>
  <c r="J825"/>
  <c r="J829"/>
  <c r="K829"/>
  <c r="T865"/>
  <c r="J836"/>
  <c r="K836"/>
  <c r="I840"/>
  <c r="J840"/>
  <c r="J844"/>
  <c r="K844"/>
  <c r="J860"/>
  <c r="K860"/>
  <c r="J870"/>
  <c r="K870"/>
  <c r="I1022"/>
  <c r="J1022"/>
  <c r="J1030"/>
  <c r="K1030"/>
  <c r="I1070"/>
  <c r="J1070"/>
  <c r="I1148"/>
  <c r="J1148"/>
  <c r="I1155"/>
  <c r="J1155"/>
  <c r="J1168"/>
  <c r="K1168"/>
  <c r="J1183"/>
  <c r="K1183"/>
  <c r="I1198"/>
  <c r="J1198"/>
  <c r="I1254"/>
  <c r="J1254"/>
  <c r="I1263"/>
  <c r="J1263"/>
  <c r="I1270"/>
  <c r="J1270"/>
  <c r="J1273"/>
  <c r="K1273"/>
  <c r="I1281"/>
  <c r="J1281"/>
  <c r="I1287"/>
  <c r="J1287"/>
  <c r="H239"/>
  <c r="L239"/>
  <c r="H241"/>
  <c r="L241"/>
  <c r="H246"/>
  <c r="L246"/>
  <c r="H251"/>
  <c r="L251"/>
  <c r="H254"/>
  <c r="L254"/>
  <c r="H264"/>
  <c r="L264"/>
  <c r="H266"/>
  <c r="L266"/>
  <c r="H268"/>
  <c r="L268"/>
  <c r="H281"/>
  <c r="L281"/>
  <c r="H283"/>
  <c r="L283"/>
  <c r="H285"/>
  <c r="L285"/>
  <c r="H295"/>
  <c r="L295"/>
  <c r="H440"/>
  <c r="L440"/>
  <c r="H681"/>
  <c r="L681"/>
  <c r="H683"/>
  <c r="L683"/>
  <c r="H698"/>
  <c r="L698"/>
  <c r="H700"/>
  <c r="L700"/>
  <c r="H715"/>
  <c r="H717"/>
  <c r="H726"/>
  <c r="H735"/>
  <c r="H756"/>
  <c r="H797"/>
  <c r="N726"/>
  <c r="J726"/>
  <c r="O726"/>
  <c r="K726"/>
  <c r="N735"/>
  <c r="J735"/>
  <c r="O735"/>
  <c r="K735"/>
  <c r="N756"/>
  <c r="J756"/>
  <c r="O756"/>
  <c r="K756"/>
  <c r="O773"/>
  <c r="K773"/>
  <c r="P773"/>
  <c r="L773"/>
  <c r="H773"/>
  <c r="O784"/>
  <c r="K784"/>
  <c r="P784"/>
  <c r="L784"/>
  <c r="H784"/>
  <c r="N797"/>
  <c r="J797"/>
  <c r="O797"/>
  <c r="K797"/>
  <c r="O803"/>
  <c r="K803"/>
  <c r="P803"/>
  <c r="L803"/>
  <c r="H803"/>
  <c r="J819"/>
  <c r="K819"/>
  <c r="J839"/>
  <c r="K839"/>
  <c r="I923"/>
  <c r="J923"/>
  <c r="I996"/>
  <c r="J996"/>
  <c r="J1005"/>
  <c r="K1005"/>
  <c r="T1288"/>
  <c r="I1143"/>
  <c r="J1143"/>
  <c r="J1146"/>
  <c r="K1146"/>
  <c r="J1154"/>
  <c r="K1154"/>
  <c r="J1160"/>
  <c r="K1160"/>
  <c r="I1194"/>
  <c r="J1194"/>
  <c r="J1197"/>
  <c r="K1197"/>
  <c r="I1203"/>
  <c r="J1203"/>
  <c r="I1210"/>
  <c r="J1210"/>
  <c r="I1214"/>
  <c r="J1214"/>
  <c r="I1218"/>
  <c r="J1218"/>
  <c r="I1221"/>
  <c r="J1221"/>
  <c r="J1223"/>
  <c r="K1223"/>
  <c r="I1238"/>
  <c r="J1238"/>
  <c r="I1243"/>
  <c r="J1243"/>
  <c r="I1259"/>
  <c r="J1259"/>
  <c r="J1262"/>
  <c r="K1262"/>
  <c r="J1268"/>
  <c r="K1268"/>
  <c r="J1284"/>
  <c r="K1284"/>
  <c r="T810"/>
  <c r="U1288"/>
  <c r="K1209"/>
  <c r="H721"/>
  <c r="H723"/>
  <c r="H725"/>
  <c r="H727"/>
  <c r="L727"/>
  <c r="H736"/>
  <c r="L736"/>
  <c r="H747"/>
  <c r="L747"/>
  <c r="H753"/>
  <c r="L753"/>
  <c r="H755"/>
  <c r="L755"/>
  <c r="H757"/>
  <c r="L757"/>
  <c r="H759"/>
  <c r="L759"/>
  <c r="H798"/>
  <c r="L798"/>
  <c r="H800"/>
  <c r="L800"/>
  <c r="H806"/>
  <c r="L806"/>
  <c r="L808"/>
  <c r="H885" l="1"/>
  <c r="L865"/>
  <c r="I104"/>
  <c r="K885"/>
  <c r="L572"/>
  <c r="J885"/>
  <c r="K104"/>
  <c r="L297"/>
  <c r="L1140"/>
  <c r="L885"/>
  <c r="H832"/>
  <c r="L191"/>
  <c r="L298" s="1"/>
  <c r="I1140"/>
  <c r="L104"/>
  <c r="K572"/>
  <c r="K1140"/>
  <c r="K810"/>
  <c r="I865"/>
  <c r="I885"/>
  <c r="H297"/>
  <c r="J810"/>
  <c r="I297"/>
  <c r="I191"/>
  <c r="H572"/>
  <c r="J104"/>
  <c r="L1288"/>
  <c r="L832"/>
  <c r="K191"/>
  <c r="I810"/>
  <c r="H1140"/>
  <c r="H1288"/>
  <c r="K297"/>
  <c r="J191"/>
  <c r="I832"/>
  <c r="J832"/>
  <c r="H865"/>
  <c r="J572"/>
  <c r="H104"/>
  <c r="J21"/>
  <c r="L810"/>
  <c r="L56"/>
  <c r="L21"/>
  <c r="H56"/>
  <c r="J865"/>
  <c r="K832"/>
  <c r="J56"/>
  <c r="H191"/>
  <c r="I1288"/>
  <c r="K865"/>
  <c r="I21"/>
  <c r="K56"/>
  <c r="T298"/>
  <c r="K1288"/>
  <c r="H810"/>
  <c r="K21"/>
  <c r="H21"/>
  <c r="J1288"/>
  <c r="J1140"/>
  <c r="I56"/>
  <c r="J297"/>
  <c r="J298" s="1"/>
  <c r="K298" l="1"/>
  <c r="I298"/>
  <c r="H298"/>
  <c r="AB276" i="2"/>
  <c r="AA276"/>
  <c r="Z276"/>
  <c r="Y276"/>
  <c r="W276"/>
  <c r="V276"/>
  <c r="L182" i="7" l="1"/>
  <c r="G13" i="15"/>
  <c r="H13" l="1"/>
  <c r="G436" l="1"/>
  <c r="I14" l="1"/>
  <c r="J14"/>
  <c r="K14"/>
  <c r="L14"/>
  <c r="M14"/>
  <c r="N14"/>
  <c r="I15"/>
  <c r="J15"/>
  <c r="K15"/>
  <c r="L15"/>
  <c r="M15"/>
  <c r="N15"/>
  <c r="I16"/>
  <c r="J16"/>
  <c r="K16"/>
  <c r="L16"/>
  <c r="M16"/>
  <c r="N16"/>
  <c r="I17"/>
  <c r="J17"/>
  <c r="K17"/>
  <c r="L17"/>
  <c r="M17"/>
  <c r="N17"/>
  <c r="I18"/>
  <c r="J18"/>
  <c r="K18"/>
  <c r="L18"/>
  <c r="M18"/>
  <c r="N18"/>
  <c r="I19"/>
  <c r="J19"/>
  <c r="K19"/>
  <c r="L19"/>
  <c r="M19"/>
  <c r="N19"/>
  <c r="I20"/>
  <c r="J20"/>
  <c r="K20"/>
  <c r="L20"/>
  <c r="M20"/>
  <c r="N20"/>
  <c r="I21"/>
  <c r="J21"/>
  <c r="K21"/>
  <c r="L21"/>
  <c r="M21"/>
  <c r="N21"/>
  <c r="I22"/>
  <c r="J22"/>
  <c r="K22"/>
  <c r="L22"/>
  <c r="M22"/>
  <c r="N22"/>
  <c r="I23"/>
  <c r="J23"/>
  <c r="K23"/>
  <c r="L23"/>
  <c r="M23"/>
  <c r="N23"/>
  <c r="I24"/>
  <c r="J24"/>
  <c r="K24"/>
  <c r="L24"/>
  <c r="M24"/>
  <c r="N24"/>
  <c r="I25"/>
  <c r="J25"/>
  <c r="K25"/>
  <c r="L25"/>
  <c r="M25"/>
  <c r="N25"/>
  <c r="I26"/>
  <c r="J26"/>
  <c r="K26"/>
  <c r="L26"/>
  <c r="M26"/>
  <c r="N26"/>
  <c r="I27"/>
  <c r="J27"/>
  <c r="K27"/>
  <c r="L27"/>
  <c r="M27"/>
  <c r="N27"/>
  <c r="I28"/>
  <c r="J28"/>
  <c r="K28"/>
  <c r="L28"/>
  <c r="M28"/>
  <c r="N28"/>
  <c r="I29"/>
  <c r="J29"/>
  <c r="K29"/>
  <c r="L29"/>
  <c r="M29"/>
  <c r="N29"/>
  <c r="I30"/>
  <c r="J30"/>
  <c r="K30"/>
  <c r="L30"/>
  <c r="M30"/>
  <c r="N30"/>
  <c r="I31"/>
  <c r="J31"/>
  <c r="K31"/>
  <c r="L31"/>
  <c r="M31"/>
  <c r="N31"/>
  <c r="I32"/>
  <c r="J32"/>
  <c r="K32"/>
  <c r="L32"/>
  <c r="M32"/>
  <c r="N32"/>
  <c r="I33"/>
  <c r="J33"/>
  <c r="K33"/>
  <c r="L33"/>
  <c r="M33"/>
  <c r="N33"/>
  <c r="I34"/>
  <c r="J34"/>
  <c r="K34"/>
  <c r="L34"/>
  <c r="M34"/>
  <c r="N34"/>
  <c r="I35"/>
  <c r="J35"/>
  <c r="K35"/>
  <c r="L35"/>
  <c r="M35"/>
  <c r="N35"/>
  <c r="I36"/>
  <c r="J36"/>
  <c r="K36"/>
  <c r="L36"/>
  <c r="M36"/>
  <c r="N36"/>
  <c r="I37"/>
  <c r="J37"/>
  <c r="K37"/>
  <c r="L37"/>
  <c r="M37"/>
  <c r="N37"/>
  <c r="I38"/>
  <c r="J38"/>
  <c r="K38"/>
  <c r="L38"/>
  <c r="M38"/>
  <c r="N38"/>
  <c r="I39"/>
  <c r="J39"/>
  <c r="K39"/>
  <c r="L39"/>
  <c r="M39"/>
  <c r="N39"/>
  <c r="I40"/>
  <c r="J40"/>
  <c r="K40"/>
  <c r="L40"/>
  <c r="M40"/>
  <c r="N40"/>
  <c r="I41"/>
  <c r="J41"/>
  <c r="K41"/>
  <c r="L41"/>
  <c r="M41"/>
  <c r="N41"/>
  <c r="I42"/>
  <c r="J42"/>
  <c r="K42"/>
  <c r="L42"/>
  <c r="M42"/>
  <c r="N42"/>
  <c r="I43"/>
  <c r="J43"/>
  <c r="K43"/>
  <c r="L43"/>
  <c r="M43"/>
  <c r="N43"/>
  <c r="I44"/>
  <c r="J44"/>
  <c r="K44"/>
  <c r="L44"/>
  <c r="M44"/>
  <c r="N44"/>
  <c r="I45"/>
  <c r="J45"/>
  <c r="K45"/>
  <c r="L45"/>
  <c r="M45"/>
  <c r="N45"/>
  <c r="I46"/>
  <c r="J46"/>
  <c r="K46"/>
  <c r="L46"/>
  <c r="M46"/>
  <c r="N46"/>
  <c r="I47"/>
  <c r="J47"/>
  <c r="K47"/>
  <c r="L47"/>
  <c r="M47"/>
  <c r="N47"/>
  <c r="I48"/>
  <c r="J48"/>
  <c r="K48"/>
  <c r="L48"/>
  <c r="M48"/>
  <c r="N48"/>
  <c r="I49"/>
  <c r="J49"/>
  <c r="K49"/>
  <c r="L49"/>
  <c r="M49"/>
  <c r="N49"/>
  <c r="I50"/>
  <c r="J50"/>
  <c r="K50"/>
  <c r="L50"/>
  <c r="M50"/>
  <c r="N50"/>
  <c r="I51"/>
  <c r="J51"/>
  <c r="K51"/>
  <c r="L51"/>
  <c r="M51"/>
  <c r="N51"/>
  <c r="I52"/>
  <c r="J52"/>
  <c r="K52"/>
  <c r="L52"/>
  <c r="M52"/>
  <c r="N52"/>
  <c r="I53"/>
  <c r="J53"/>
  <c r="K53"/>
  <c r="L53"/>
  <c r="M53"/>
  <c r="N53"/>
  <c r="I54"/>
  <c r="J54"/>
  <c r="K54"/>
  <c r="L54"/>
  <c r="M54"/>
  <c r="N54"/>
  <c r="I55"/>
  <c r="J55"/>
  <c r="K55"/>
  <c r="L55"/>
  <c r="M55"/>
  <c r="N55"/>
  <c r="I56"/>
  <c r="J56"/>
  <c r="K56"/>
  <c r="L56"/>
  <c r="M56"/>
  <c r="N56"/>
  <c r="I57"/>
  <c r="J57"/>
  <c r="K57"/>
  <c r="L57"/>
  <c r="M57"/>
  <c r="N57"/>
  <c r="I58"/>
  <c r="J58"/>
  <c r="K58"/>
  <c r="L58"/>
  <c r="M58"/>
  <c r="N58"/>
  <c r="I59"/>
  <c r="J59"/>
  <c r="K59"/>
  <c r="L59"/>
  <c r="M59"/>
  <c r="N59"/>
  <c r="I60"/>
  <c r="J60"/>
  <c r="K60"/>
  <c r="L60"/>
  <c r="M60"/>
  <c r="N60"/>
  <c r="I61"/>
  <c r="J61"/>
  <c r="K61"/>
  <c r="L61"/>
  <c r="M61"/>
  <c r="N61"/>
  <c r="I62"/>
  <c r="J62"/>
  <c r="K62"/>
  <c r="L62"/>
  <c r="M62"/>
  <c r="N62"/>
  <c r="I63"/>
  <c r="J63"/>
  <c r="K63"/>
  <c r="L63"/>
  <c r="M63"/>
  <c r="N63"/>
  <c r="I64"/>
  <c r="J64"/>
  <c r="K64"/>
  <c r="L64"/>
  <c r="M64"/>
  <c r="N64"/>
  <c r="I65"/>
  <c r="J65"/>
  <c r="K65"/>
  <c r="L65"/>
  <c r="M65"/>
  <c r="N65"/>
  <c r="I66"/>
  <c r="J66"/>
  <c r="K66"/>
  <c r="L66"/>
  <c r="M66"/>
  <c r="N66"/>
  <c r="I67"/>
  <c r="J67"/>
  <c r="K67"/>
  <c r="L67"/>
  <c r="M67"/>
  <c r="N67"/>
  <c r="I68"/>
  <c r="J68"/>
  <c r="K68"/>
  <c r="L68"/>
  <c r="M68"/>
  <c r="N68"/>
  <c r="I69"/>
  <c r="J69"/>
  <c r="K69"/>
  <c r="L69"/>
  <c r="M69"/>
  <c r="N69"/>
  <c r="I70"/>
  <c r="J70"/>
  <c r="K70"/>
  <c r="L70"/>
  <c r="M70"/>
  <c r="N70"/>
  <c r="I71"/>
  <c r="J71"/>
  <c r="K71"/>
  <c r="L71"/>
  <c r="M71"/>
  <c r="N71"/>
  <c r="I72"/>
  <c r="J72"/>
  <c r="K72"/>
  <c r="L72"/>
  <c r="M72"/>
  <c r="N72"/>
  <c r="I73"/>
  <c r="J73"/>
  <c r="K73"/>
  <c r="L73"/>
  <c r="M73"/>
  <c r="N73"/>
  <c r="I74"/>
  <c r="J74"/>
  <c r="K74"/>
  <c r="L74"/>
  <c r="M74"/>
  <c r="N74"/>
  <c r="I75"/>
  <c r="J75"/>
  <c r="K75"/>
  <c r="L75"/>
  <c r="M75"/>
  <c r="N75"/>
  <c r="I76"/>
  <c r="J76"/>
  <c r="K76"/>
  <c r="L76"/>
  <c r="M76"/>
  <c r="N76"/>
  <c r="I77"/>
  <c r="J77"/>
  <c r="K77"/>
  <c r="L77"/>
  <c r="M77"/>
  <c r="N77"/>
  <c r="I78"/>
  <c r="J78"/>
  <c r="K78"/>
  <c r="L78"/>
  <c r="M78"/>
  <c r="N78"/>
  <c r="I79"/>
  <c r="J79"/>
  <c r="K79"/>
  <c r="L79"/>
  <c r="M79"/>
  <c r="N79"/>
  <c r="I80"/>
  <c r="J80"/>
  <c r="K80"/>
  <c r="L80"/>
  <c r="M80"/>
  <c r="N80"/>
  <c r="I81"/>
  <c r="J81"/>
  <c r="K81"/>
  <c r="L81"/>
  <c r="M81"/>
  <c r="N81"/>
  <c r="I82"/>
  <c r="J82"/>
  <c r="K82"/>
  <c r="L82"/>
  <c r="M82"/>
  <c r="N82"/>
  <c r="I83"/>
  <c r="J83"/>
  <c r="K83"/>
  <c r="L83"/>
  <c r="M83"/>
  <c r="N83"/>
  <c r="I84"/>
  <c r="J84"/>
  <c r="K84"/>
  <c r="L84"/>
  <c r="M84"/>
  <c r="N84"/>
  <c r="I85"/>
  <c r="J85"/>
  <c r="K85"/>
  <c r="L85"/>
  <c r="M85"/>
  <c r="N85"/>
  <c r="I86"/>
  <c r="J86"/>
  <c r="K86"/>
  <c r="L86"/>
  <c r="M86"/>
  <c r="N86"/>
  <c r="I87"/>
  <c r="J87"/>
  <c r="K87"/>
  <c r="L87"/>
  <c r="M87"/>
  <c r="N87"/>
  <c r="I88"/>
  <c r="J88"/>
  <c r="K88"/>
  <c r="L88"/>
  <c r="M88"/>
  <c r="N88"/>
  <c r="I89"/>
  <c r="J89"/>
  <c r="K89"/>
  <c r="L89"/>
  <c r="M89"/>
  <c r="N89"/>
  <c r="I90"/>
  <c r="J90"/>
  <c r="K90"/>
  <c r="L90"/>
  <c r="M90"/>
  <c r="N90"/>
  <c r="I91"/>
  <c r="J91"/>
  <c r="K91"/>
  <c r="L91"/>
  <c r="M91"/>
  <c r="N91"/>
  <c r="I92"/>
  <c r="J92"/>
  <c r="K92"/>
  <c r="L92"/>
  <c r="M92"/>
  <c r="N92"/>
  <c r="I93"/>
  <c r="J93"/>
  <c r="K93"/>
  <c r="L93"/>
  <c r="M93"/>
  <c r="N93"/>
  <c r="I94"/>
  <c r="J94"/>
  <c r="K94"/>
  <c r="L94"/>
  <c r="M94"/>
  <c r="N94"/>
  <c r="I95"/>
  <c r="J95"/>
  <c r="K95"/>
  <c r="L95"/>
  <c r="M95"/>
  <c r="N95"/>
  <c r="I96"/>
  <c r="J96"/>
  <c r="K96"/>
  <c r="L96"/>
  <c r="M96"/>
  <c r="N96"/>
  <c r="I97"/>
  <c r="J97"/>
  <c r="K97"/>
  <c r="L97"/>
  <c r="M97"/>
  <c r="N97"/>
  <c r="I98"/>
  <c r="J98"/>
  <c r="K98"/>
  <c r="L98"/>
  <c r="M98"/>
  <c r="N98"/>
  <c r="I99"/>
  <c r="J99"/>
  <c r="K99"/>
  <c r="L99"/>
  <c r="M99"/>
  <c r="N99"/>
  <c r="I100"/>
  <c r="J100"/>
  <c r="K100"/>
  <c r="L100"/>
  <c r="M100"/>
  <c r="N100"/>
  <c r="I101"/>
  <c r="J101"/>
  <c r="K101"/>
  <c r="L101"/>
  <c r="M101"/>
  <c r="N101"/>
  <c r="I102"/>
  <c r="J102"/>
  <c r="K102"/>
  <c r="L102"/>
  <c r="M102"/>
  <c r="N102"/>
  <c r="I103"/>
  <c r="J103"/>
  <c r="K103"/>
  <c r="L103"/>
  <c r="M103"/>
  <c r="N103"/>
  <c r="I104"/>
  <c r="J104"/>
  <c r="K104"/>
  <c r="L104"/>
  <c r="M104"/>
  <c r="N104"/>
  <c r="I105"/>
  <c r="J105"/>
  <c r="K105"/>
  <c r="L105"/>
  <c r="M105"/>
  <c r="N105"/>
  <c r="I106"/>
  <c r="J106"/>
  <c r="K106"/>
  <c r="L106"/>
  <c r="M106"/>
  <c r="N106"/>
  <c r="I107"/>
  <c r="J107"/>
  <c r="K107"/>
  <c r="L107"/>
  <c r="M107"/>
  <c r="N107"/>
  <c r="I108"/>
  <c r="J108"/>
  <c r="K108"/>
  <c r="L108"/>
  <c r="M108"/>
  <c r="N108"/>
  <c r="I109"/>
  <c r="J109"/>
  <c r="K109"/>
  <c r="L109"/>
  <c r="M109"/>
  <c r="N109"/>
  <c r="I110"/>
  <c r="J110"/>
  <c r="K110"/>
  <c r="L110"/>
  <c r="M110"/>
  <c r="N110"/>
  <c r="I111"/>
  <c r="J111"/>
  <c r="K111"/>
  <c r="L111"/>
  <c r="M111"/>
  <c r="N111"/>
  <c r="I112"/>
  <c r="J112"/>
  <c r="K112"/>
  <c r="L112"/>
  <c r="M112"/>
  <c r="N112"/>
  <c r="I113"/>
  <c r="J113"/>
  <c r="K113"/>
  <c r="L113"/>
  <c r="M113"/>
  <c r="N113"/>
  <c r="I114"/>
  <c r="J114"/>
  <c r="K114"/>
  <c r="L114"/>
  <c r="M114"/>
  <c r="N114"/>
  <c r="I115"/>
  <c r="J115"/>
  <c r="K115"/>
  <c r="L115"/>
  <c r="M115"/>
  <c r="N115"/>
  <c r="I116"/>
  <c r="J116"/>
  <c r="K116"/>
  <c r="L116"/>
  <c r="M116"/>
  <c r="N116"/>
  <c r="I117"/>
  <c r="J117"/>
  <c r="K117"/>
  <c r="L117"/>
  <c r="M117"/>
  <c r="N117"/>
  <c r="I118"/>
  <c r="J118"/>
  <c r="K118"/>
  <c r="L118"/>
  <c r="M118"/>
  <c r="N118"/>
  <c r="I119"/>
  <c r="J119"/>
  <c r="K119"/>
  <c r="L119"/>
  <c r="M119"/>
  <c r="N119"/>
  <c r="I120"/>
  <c r="J120"/>
  <c r="K120"/>
  <c r="L120"/>
  <c r="M120"/>
  <c r="N120"/>
  <c r="I121"/>
  <c r="J121"/>
  <c r="K121"/>
  <c r="L121"/>
  <c r="M121"/>
  <c r="N121"/>
  <c r="I122"/>
  <c r="J122"/>
  <c r="K122"/>
  <c r="L122"/>
  <c r="M122"/>
  <c r="N122"/>
  <c r="I123"/>
  <c r="J123"/>
  <c r="K123"/>
  <c r="L123"/>
  <c r="M123"/>
  <c r="N123"/>
  <c r="I124"/>
  <c r="J124"/>
  <c r="K124"/>
  <c r="L124"/>
  <c r="M124"/>
  <c r="N124"/>
  <c r="I125"/>
  <c r="J125"/>
  <c r="K125"/>
  <c r="L125"/>
  <c r="M125"/>
  <c r="N125"/>
  <c r="I126"/>
  <c r="J126"/>
  <c r="K126"/>
  <c r="L126"/>
  <c r="M126"/>
  <c r="N126"/>
  <c r="I127"/>
  <c r="J127"/>
  <c r="K127"/>
  <c r="L127"/>
  <c r="M127"/>
  <c r="N127"/>
  <c r="I128"/>
  <c r="J128"/>
  <c r="K128"/>
  <c r="L128"/>
  <c r="M128"/>
  <c r="N128"/>
  <c r="I129"/>
  <c r="J129"/>
  <c r="K129"/>
  <c r="L129"/>
  <c r="M129"/>
  <c r="N129"/>
  <c r="I130"/>
  <c r="J130"/>
  <c r="K130"/>
  <c r="L130"/>
  <c r="M130"/>
  <c r="N130"/>
  <c r="I131"/>
  <c r="J131"/>
  <c r="K131"/>
  <c r="L131"/>
  <c r="M131"/>
  <c r="N131"/>
  <c r="I132"/>
  <c r="J132"/>
  <c r="K132"/>
  <c r="L132"/>
  <c r="M132"/>
  <c r="N132"/>
  <c r="I133"/>
  <c r="J133"/>
  <c r="K133"/>
  <c r="L133"/>
  <c r="M133"/>
  <c r="N133"/>
  <c r="I134"/>
  <c r="J134"/>
  <c r="K134"/>
  <c r="L134"/>
  <c r="M134"/>
  <c r="N134"/>
  <c r="I135"/>
  <c r="J135"/>
  <c r="K135"/>
  <c r="L135"/>
  <c r="M135"/>
  <c r="N135"/>
  <c r="I136"/>
  <c r="J136"/>
  <c r="K136"/>
  <c r="L136"/>
  <c r="M136"/>
  <c r="N136"/>
  <c r="I137"/>
  <c r="J137"/>
  <c r="K137"/>
  <c r="L137"/>
  <c r="M137"/>
  <c r="N137"/>
  <c r="I138"/>
  <c r="J138"/>
  <c r="K138"/>
  <c r="L138"/>
  <c r="M138"/>
  <c r="N138"/>
  <c r="I139"/>
  <c r="J139"/>
  <c r="K139"/>
  <c r="L139"/>
  <c r="M139"/>
  <c r="N139"/>
  <c r="I140"/>
  <c r="J140"/>
  <c r="K140"/>
  <c r="L140"/>
  <c r="M140"/>
  <c r="N140"/>
  <c r="I141"/>
  <c r="J141"/>
  <c r="K141"/>
  <c r="L141"/>
  <c r="M141"/>
  <c r="N141"/>
  <c r="I142"/>
  <c r="J142"/>
  <c r="K142"/>
  <c r="L142"/>
  <c r="M142"/>
  <c r="N142"/>
  <c r="I143"/>
  <c r="J143"/>
  <c r="K143"/>
  <c r="L143"/>
  <c r="M143"/>
  <c r="N143"/>
  <c r="I144"/>
  <c r="J144"/>
  <c r="K144"/>
  <c r="L144"/>
  <c r="M144"/>
  <c r="N144"/>
  <c r="I145"/>
  <c r="J145"/>
  <c r="K145"/>
  <c r="L145"/>
  <c r="M145"/>
  <c r="N145"/>
  <c r="I146"/>
  <c r="J146"/>
  <c r="K146"/>
  <c r="L146"/>
  <c r="M146"/>
  <c r="N146"/>
  <c r="I147"/>
  <c r="J147"/>
  <c r="K147"/>
  <c r="L147"/>
  <c r="M147"/>
  <c r="N147"/>
  <c r="I148"/>
  <c r="J148"/>
  <c r="K148"/>
  <c r="L148"/>
  <c r="M148"/>
  <c r="N148"/>
  <c r="I149"/>
  <c r="J149"/>
  <c r="K149"/>
  <c r="L149"/>
  <c r="M149"/>
  <c r="N149"/>
  <c r="I150"/>
  <c r="J150"/>
  <c r="K150"/>
  <c r="L150"/>
  <c r="M150"/>
  <c r="N150"/>
  <c r="I151"/>
  <c r="J151"/>
  <c r="K151"/>
  <c r="L151"/>
  <c r="M151"/>
  <c r="N151"/>
  <c r="I152"/>
  <c r="J152"/>
  <c r="K152"/>
  <c r="L152"/>
  <c r="M152"/>
  <c r="N152"/>
  <c r="I153"/>
  <c r="J153"/>
  <c r="K153"/>
  <c r="L153"/>
  <c r="M153"/>
  <c r="N153"/>
  <c r="I154"/>
  <c r="J154"/>
  <c r="K154"/>
  <c r="L154"/>
  <c r="M154"/>
  <c r="N154"/>
  <c r="I155"/>
  <c r="J155"/>
  <c r="K155"/>
  <c r="L155"/>
  <c r="M155"/>
  <c r="N155"/>
  <c r="I156"/>
  <c r="J156"/>
  <c r="K156"/>
  <c r="L156"/>
  <c r="M156"/>
  <c r="N156"/>
  <c r="I157"/>
  <c r="J157"/>
  <c r="K157"/>
  <c r="L157"/>
  <c r="M157"/>
  <c r="N157"/>
  <c r="I158"/>
  <c r="J158"/>
  <c r="K158"/>
  <c r="L158"/>
  <c r="M158"/>
  <c r="N158"/>
  <c r="I159"/>
  <c r="J159"/>
  <c r="K159"/>
  <c r="L159"/>
  <c r="M159"/>
  <c r="N159"/>
  <c r="I160"/>
  <c r="J160"/>
  <c r="K160"/>
  <c r="L160"/>
  <c r="M160"/>
  <c r="N160"/>
  <c r="I161"/>
  <c r="J161"/>
  <c r="K161"/>
  <c r="L161"/>
  <c r="M161"/>
  <c r="N161"/>
  <c r="I162"/>
  <c r="J162"/>
  <c r="K162"/>
  <c r="L162"/>
  <c r="M162"/>
  <c r="N162"/>
  <c r="I163"/>
  <c r="J163"/>
  <c r="K163"/>
  <c r="L163"/>
  <c r="M163"/>
  <c r="N163"/>
  <c r="I164"/>
  <c r="J164"/>
  <c r="K164"/>
  <c r="L164"/>
  <c r="M164"/>
  <c r="N164"/>
  <c r="I165"/>
  <c r="J165"/>
  <c r="K165"/>
  <c r="L165"/>
  <c r="M165"/>
  <c r="N165"/>
  <c r="I166"/>
  <c r="J166"/>
  <c r="K166"/>
  <c r="L166"/>
  <c r="M166"/>
  <c r="N166"/>
  <c r="I167"/>
  <c r="J167"/>
  <c r="K167"/>
  <c r="L167"/>
  <c r="M167"/>
  <c r="N167"/>
  <c r="I168"/>
  <c r="J168"/>
  <c r="K168"/>
  <c r="L168"/>
  <c r="M168"/>
  <c r="N168"/>
  <c r="I169"/>
  <c r="J169"/>
  <c r="K169"/>
  <c r="L169"/>
  <c r="M169"/>
  <c r="N169"/>
  <c r="I170"/>
  <c r="J170"/>
  <c r="K170"/>
  <c r="L170"/>
  <c r="M170"/>
  <c r="N170"/>
  <c r="I171"/>
  <c r="J171"/>
  <c r="K171"/>
  <c r="L171"/>
  <c r="M171"/>
  <c r="N171"/>
  <c r="I172"/>
  <c r="J172"/>
  <c r="K172"/>
  <c r="L172"/>
  <c r="M172"/>
  <c r="N172"/>
  <c r="I173"/>
  <c r="J173"/>
  <c r="K173"/>
  <c r="L173"/>
  <c r="M173"/>
  <c r="N173"/>
  <c r="I174"/>
  <c r="J174"/>
  <c r="K174"/>
  <c r="L174"/>
  <c r="M174"/>
  <c r="N174"/>
  <c r="I175"/>
  <c r="J175"/>
  <c r="K175"/>
  <c r="L175"/>
  <c r="M175"/>
  <c r="N175"/>
  <c r="I176"/>
  <c r="J176"/>
  <c r="K176"/>
  <c r="L176"/>
  <c r="M176"/>
  <c r="N176"/>
  <c r="I177"/>
  <c r="J177"/>
  <c r="K177"/>
  <c r="L177"/>
  <c r="M177"/>
  <c r="N177"/>
  <c r="I178"/>
  <c r="J178"/>
  <c r="K178"/>
  <c r="L178"/>
  <c r="M178"/>
  <c r="N178"/>
  <c r="I179"/>
  <c r="J179"/>
  <c r="K179"/>
  <c r="L179"/>
  <c r="M179"/>
  <c r="N179"/>
  <c r="I180"/>
  <c r="J180"/>
  <c r="K180"/>
  <c r="L180"/>
  <c r="M180"/>
  <c r="N180"/>
  <c r="I181"/>
  <c r="J181"/>
  <c r="K181"/>
  <c r="L181"/>
  <c r="M181"/>
  <c r="N181"/>
  <c r="I182"/>
  <c r="J182"/>
  <c r="K182"/>
  <c r="L182"/>
  <c r="M182"/>
  <c r="N182"/>
  <c r="I183"/>
  <c r="J183"/>
  <c r="K183"/>
  <c r="L183"/>
  <c r="M183"/>
  <c r="N183"/>
  <c r="I184"/>
  <c r="J184"/>
  <c r="K184"/>
  <c r="L184"/>
  <c r="M184"/>
  <c r="N184"/>
  <c r="I185"/>
  <c r="J185"/>
  <c r="K185"/>
  <c r="L185"/>
  <c r="M185"/>
  <c r="N185"/>
  <c r="I186"/>
  <c r="J186"/>
  <c r="K186"/>
  <c r="L186"/>
  <c r="M186"/>
  <c r="N186"/>
  <c r="I187"/>
  <c r="J187"/>
  <c r="K187"/>
  <c r="L187"/>
  <c r="M187"/>
  <c r="N187"/>
  <c r="I188"/>
  <c r="J188"/>
  <c r="K188"/>
  <c r="L188"/>
  <c r="M188"/>
  <c r="N188"/>
  <c r="I189"/>
  <c r="J189"/>
  <c r="K189"/>
  <c r="L189"/>
  <c r="M189"/>
  <c r="N189"/>
  <c r="I190"/>
  <c r="J190"/>
  <c r="K190"/>
  <c r="L190"/>
  <c r="M190"/>
  <c r="N190"/>
  <c r="I191"/>
  <c r="J191"/>
  <c r="K191"/>
  <c r="L191"/>
  <c r="M191"/>
  <c r="N191"/>
  <c r="I192"/>
  <c r="J192"/>
  <c r="K192"/>
  <c r="L192"/>
  <c r="M192"/>
  <c r="N192"/>
  <c r="I193"/>
  <c r="J193"/>
  <c r="K193"/>
  <c r="L193"/>
  <c r="M193"/>
  <c r="N193"/>
  <c r="I194"/>
  <c r="J194"/>
  <c r="K194"/>
  <c r="L194"/>
  <c r="M194"/>
  <c r="N194"/>
  <c r="I195"/>
  <c r="J195"/>
  <c r="K195"/>
  <c r="L195"/>
  <c r="M195"/>
  <c r="N195"/>
  <c r="I196"/>
  <c r="J196"/>
  <c r="K196"/>
  <c r="L196"/>
  <c r="M196"/>
  <c r="N196"/>
  <c r="I197"/>
  <c r="J197"/>
  <c r="K197"/>
  <c r="L197"/>
  <c r="M197"/>
  <c r="N197"/>
  <c r="I198"/>
  <c r="J198"/>
  <c r="K198"/>
  <c r="L198"/>
  <c r="M198"/>
  <c r="N198"/>
  <c r="I199"/>
  <c r="J199"/>
  <c r="K199"/>
  <c r="L199"/>
  <c r="M199"/>
  <c r="N199"/>
  <c r="I200"/>
  <c r="J200"/>
  <c r="K200"/>
  <c r="L200"/>
  <c r="M200"/>
  <c r="N200"/>
  <c r="I201"/>
  <c r="J201"/>
  <c r="K201"/>
  <c r="L201"/>
  <c r="M201"/>
  <c r="N201"/>
  <c r="I202"/>
  <c r="J202"/>
  <c r="K202"/>
  <c r="L202"/>
  <c r="M202"/>
  <c r="N202"/>
  <c r="I203"/>
  <c r="J203"/>
  <c r="K203"/>
  <c r="L203"/>
  <c r="M203"/>
  <c r="N203"/>
  <c r="I204"/>
  <c r="J204"/>
  <c r="K204"/>
  <c r="L204"/>
  <c r="M204"/>
  <c r="N204"/>
  <c r="I205"/>
  <c r="J205"/>
  <c r="K205"/>
  <c r="L205"/>
  <c r="M205"/>
  <c r="N205"/>
  <c r="I206"/>
  <c r="J206"/>
  <c r="K206"/>
  <c r="L206"/>
  <c r="M206"/>
  <c r="N206"/>
  <c r="I207"/>
  <c r="J207"/>
  <c r="K207"/>
  <c r="L207"/>
  <c r="M207"/>
  <c r="N207"/>
  <c r="I208"/>
  <c r="J208"/>
  <c r="K208"/>
  <c r="L208"/>
  <c r="M208"/>
  <c r="N208"/>
  <c r="I209"/>
  <c r="J209"/>
  <c r="K209"/>
  <c r="L209"/>
  <c r="M209"/>
  <c r="N209"/>
  <c r="I210"/>
  <c r="J210"/>
  <c r="K210"/>
  <c r="L210"/>
  <c r="M210"/>
  <c r="N210"/>
  <c r="I211"/>
  <c r="J211"/>
  <c r="K211"/>
  <c r="L211"/>
  <c r="M211"/>
  <c r="N211"/>
  <c r="I212"/>
  <c r="J212"/>
  <c r="K212"/>
  <c r="L212"/>
  <c r="M212"/>
  <c r="N212"/>
  <c r="I213"/>
  <c r="J213"/>
  <c r="K213"/>
  <c r="L213"/>
  <c r="M213"/>
  <c r="N213"/>
  <c r="I214"/>
  <c r="J214"/>
  <c r="K214"/>
  <c r="L214"/>
  <c r="M214"/>
  <c r="N214"/>
  <c r="I215"/>
  <c r="J215"/>
  <c r="K215"/>
  <c r="L215"/>
  <c r="M215"/>
  <c r="N215"/>
  <c r="I216"/>
  <c r="J216"/>
  <c r="K216"/>
  <c r="L216"/>
  <c r="M216"/>
  <c r="N216"/>
  <c r="I217"/>
  <c r="J217"/>
  <c r="K217"/>
  <c r="L217"/>
  <c r="M217"/>
  <c r="N217"/>
  <c r="I218"/>
  <c r="J218"/>
  <c r="K218"/>
  <c r="L218"/>
  <c r="M218"/>
  <c r="N218"/>
  <c r="I219"/>
  <c r="J219"/>
  <c r="K219"/>
  <c r="L219"/>
  <c r="M219"/>
  <c r="N219"/>
  <c r="I220"/>
  <c r="J220"/>
  <c r="K220"/>
  <c r="L220"/>
  <c r="M220"/>
  <c r="N220"/>
  <c r="I221"/>
  <c r="J221"/>
  <c r="K221"/>
  <c r="L221"/>
  <c r="M221"/>
  <c r="N221"/>
  <c r="I222"/>
  <c r="J222"/>
  <c r="K222"/>
  <c r="L222"/>
  <c r="M222"/>
  <c r="N222"/>
  <c r="I223"/>
  <c r="J223"/>
  <c r="K223"/>
  <c r="L223"/>
  <c r="M223"/>
  <c r="N223"/>
  <c r="I224"/>
  <c r="J224"/>
  <c r="K224"/>
  <c r="L224"/>
  <c r="M224"/>
  <c r="N224"/>
  <c r="I225"/>
  <c r="J225"/>
  <c r="K225"/>
  <c r="L225"/>
  <c r="M225"/>
  <c r="N225"/>
  <c r="I226"/>
  <c r="J226"/>
  <c r="K226"/>
  <c r="L226"/>
  <c r="M226"/>
  <c r="N226"/>
  <c r="I227"/>
  <c r="J227"/>
  <c r="K227"/>
  <c r="L227"/>
  <c r="M227"/>
  <c r="N227"/>
  <c r="I228"/>
  <c r="J228"/>
  <c r="K228"/>
  <c r="L228"/>
  <c r="M228"/>
  <c r="N228"/>
  <c r="I229"/>
  <c r="J229"/>
  <c r="K229"/>
  <c r="L229"/>
  <c r="M229"/>
  <c r="N229"/>
  <c r="I230"/>
  <c r="J230"/>
  <c r="K230"/>
  <c r="L230"/>
  <c r="M230"/>
  <c r="N230"/>
  <c r="I231"/>
  <c r="J231"/>
  <c r="K231"/>
  <c r="L231"/>
  <c r="M231"/>
  <c r="N231"/>
  <c r="I232"/>
  <c r="J232"/>
  <c r="K232"/>
  <c r="L232"/>
  <c r="M232"/>
  <c r="N232"/>
  <c r="I233"/>
  <c r="J233"/>
  <c r="K233"/>
  <c r="L233"/>
  <c r="M233"/>
  <c r="N233"/>
  <c r="I234"/>
  <c r="J234"/>
  <c r="K234"/>
  <c r="L234"/>
  <c r="M234"/>
  <c r="N234"/>
  <c r="I235"/>
  <c r="J235"/>
  <c r="K235"/>
  <c r="L235"/>
  <c r="M235"/>
  <c r="N235"/>
  <c r="I236"/>
  <c r="J236"/>
  <c r="K236"/>
  <c r="L236"/>
  <c r="M236"/>
  <c r="N236"/>
  <c r="I237"/>
  <c r="J237"/>
  <c r="K237"/>
  <c r="L237"/>
  <c r="M237"/>
  <c r="N237"/>
  <c r="I238"/>
  <c r="J238"/>
  <c r="K238"/>
  <c r="L238"/>
  <c r="M238"/>
  <c r="N238"/>
  <c r="I239"/>
  <c r="J239"/>
  <c r="K239"/>
  <c r="L239"/>
  <c r="M239"/>
  <c r="N239"/>
  <c r="I240"/>
  <c r="J240"/>
  <c r="K240"/>
  <c r="L240"/>
  <c r="M240"/>
  <c r="N240"/>
  <c r="I241"/>
  <c r="J241"/>
  <c r="K241"/>
  <c r="L241"/>
  <c r="M241"/>
  <c r="N241"/>
  <c r="I242"/>
  <c r="J242"/>
  <c r="K242"/>
  <c r="L242"/>
  <c r="M242"/>
  <c r="N242"/>
  <c r="I243"/>
  <c r="J243"/>
  <c r="K243"/>
  <c r="L243"/>
  <c r="M243"/>
  <c r="N243"/>
  <c r="I244"/>
  <c r="J244"/>
  <c r="K244"/>
  <c r="L244"/>
  <c r="M244"/>
  <c r="N244"/>
  <c r="I245"/>
  <c r="J245"/>
  <c r="K245"/>
  <c r="L245"/>
  <c r="M245"/>
  <c r="N245"/>
  <c r="I246"/>
  <c r="J246"/>
  <c r="K246"/>
  <c r="L246"/>
  <c r="M246"/>
  <c r="N246"/>
  <c r="I247"/>
  <c r="J247"/>
  <c r="K247"/>
  <c r="L247"/>
  <c r="M247"/>
  <c r="N247"/>
  <c r="I248"/>
  <c r="J248"/>
  <c r="K248"/>
  <c r="L248"/>
  <c r="M248"/>
  <c r="N248"/>
  <c r="I249"/>
  <c r="J249"/>
  <c r="K249"/>
  <c r="L249"/>
  <c r="M249"/>
  <c r="N249"/>
  <c r="I250"/>
  <c r="J250"/>
  <c r="K250"/>
  <c r="L250"/>
  <c r="M250"/>
  <c r="N250"/>
  <c r="I251"/>
  <c r="J251"/>
  <c r="K251"/>
  <c r="L251"/>
  <c r="M251"/>
  <c r="N251"/>
  <c r="I252"/>
  <c r="J252"/>
  <c r="K252"/>
  <c r="L252"/>
  <c r="M252"/>
  <c r="N252"/>
  <c r="I253"/>
  <c r="J253"/>
  <c r="K253"/>
  <c r="L253"/>
  <c r="M253"/>
  <c r="N253"/>
  <c r="I254"/>
  <c r="J254"/>
  <c r="K254"/>
  <c r="L254"/>
  <c r="M254"/>
  <c r="N254"/>
  <c r="I255"/>
  <c r="J255"/>
  <c r="K255"/>
  <c r="L255"/>
  <c r="M255"/>
  <c r="N255"/>
  <c r="I256"/>
  <c r="J256"/>
  <c r="K256"/>
  <c r="L256"/>
  <c r="M256"/>
  <c r="N256"/>
  <c r="I257"/>
  <c r="J257"/>
  <c r="K257"/>
  <c r="L257"/>
  <c r="M257"/>
  <c r="N257"/>
  <c r="I258"/>
  <c r="J258"/>
  <c r="K258"/>
  <c r="L258"/>
  <c r="M258"/>
  <c r="N258"/>
  <c r="I259"/>
  <c r="J259"/>
  <c r="K259"/>
  <c r="L259"/>
  <c r="M259"/>
  <c r="N259"/>
  <c r="I260"/>
  <c r="J260"/>
  <c r="K260"/>
  <c r="L260"/>
  <c r="M260"/>
  <c r="N260"/>
  <c r="I261"/>
  <c r="J261"/>
  <c r="K261"/>
  <c r="L261"/>
  <c r="M261"/>
  <c r="N261"/>
  <c r="I262"/>
  <c r="J262"/>
  <c r="K262"/>
  <c r="L262"/>
  <c r="M262"/>
  <c r="N262"/>
  <c r="I263"/>
  <c r="J263"/>
  <c r="K263"/>
  <c r="L263"/>
  <c r="M263"/>
  <c r="N263"/>
  <c r="I264"/>
  <c r="J264"/>
  <c r="K264"/>
  <c r="L264"/>
  <c r="M264"/>
  <c r="N264"/>
  <c r="I265"/>
  <c r="J265"/>
  <c r="K265"/>
  <c r="L265"/>
  <c r="M265"/>
  <c r="N265"/>
  <c r="I266"/>
  <c r="J266"/>
  <c r="K266"/>
  <c r="L266"/>
  <c r="M266"/>
  <c r="N266"/>
  <c r="I267"/>
  <c r="J267"/>
  <c r="K267"/>
  <c r="L267"/>
  <c r="M267"/>
  <c r="N267"/>
  <c r="I268"/>
  <c r="J268"/>
  <c r="K268"/>
  <c r="L268"/>
  <c r="M268"/>
  <c r="N268"/>
  <c r="I269"/>
  <c r="J269"/>
  <c r="K269"/>
  <c r="L269"/>
  <c r="M269"/>
  <c r="N269"/>
  <c r="I270"/>
  <c r="J270"/>
  <c r="K270"/>
  <c r="L270"/>
  <c r="M270"/>
  <c r="N270"/>
  <c r="I271"/>
  <c r="J271"/>
  <c r="K271"/>
  <c r="L271"/>
  <c r="M271"/>
  <c r="N271"/>
  <c r="I272"/>
  <c r="J272"/>
  <c r="K272"/>
  <c r="L272"/>
  <c r="M272"/>
  <c r="N272"/>
  <c r="I273"/>
  <c r="J273"/>
  <c r="K273"/>
  <c r="L273"/>
  <c r="M273"/>
  <c r="N273"/>
  <c r="I274"/>
  <c r="J274"/>
  <c r="K274"/>
  <c r="L274"/>
  <c r="M274"/>
  <c r="N274"/>
  <c r="I275"/>
  <c r="J275"/>
  <c r="K275"/>
  <c r="L275"/>
  <c r="M275"/>
  <c r="N275"/>
  <c r="I276"/>
  <c r="J276"/>
  <c r="K276"/>
  <c r="L276"/>
  <c r="M276"/>
  <c r="N276"/>
  <c r="I277"/>
  <c r="J277"/>
  <c r="K277"/>
  <c r="L277"/>
  <c r="M277"/>
  <c r="N277"/>
  <c r="I278"/>
  <c r="J278"/>
  <c r="K278"/>
  <c r="L278"/>
  <c r="M278"/>
  <c r="N278"/>
  <c r="I279"/>
  <c r="J279"/>
  <c r="K279"/>
  <c r="L279"/>
  <c r="M279"/>
  <c r="N279"/>
  <c r="I280"/>
  <c r="J280"/>
  <c r="K280"/>
  <c r="L280"/>
  <c r="M280"/>
  <c r="N280"/>
  <c r="I281"/>
  <c r="J281"/>
  <c r="K281"/>
  <c r="L281"/>
  <c r="M281"/>
  <c r="N281"/>
  <c r="I282"/>
  <c r="J282"/>
  <c r="K282"/>
  <c r="L282"/>
  <c r="M282"/>
  <c r="N282"/>
  <c r="I283"/>
  <c r="J283"/>
  <c r="K283"/>
  <c r="L283"/>
  <c r="M283"/>
  <c r="N283"/>
  <c r="I284"/>
  <c r="J284"/>
  <c r="K284"/>
  <c r="L284"/>
  <c r="M284"/>
  <c r="N284"/>
  <c r="I285"/>
  <c r="J285"/>
  <c r="K285"/>
  <c r="L285"/>
  <c r="M285"/>
  <c r="N285"/>
  <c r="I286"/>
  <c r="J286"/>
  <c r="K286"/>
  <c r="L286"/>
  <c r="M286"/>
  <c r="N286"/>
  <c r="I287"/>
  <c r="J287"/>
  <c r="K287"/>
  <c r="L287"/>
  <c r="M287"/>
  <c r="N287"/>
  <c r="I288"/>
  <c r="J288"/>
  <c r="K288"/>
  <c r="L288"/>
  <c r="M288"/>
  <c r="N288"/>
  <c r="I289"/>
  <c r="J289"/>
  <c r="K289"/>
  <c r="L289"/>
  <c r="M289"/>
  <c r="N289"/>
  <c r="I290"/>
  <c r="J290"/>
  <c r="K290"/>
  <c r="L290"/>
  <c r="M290"/>
  <c r="N290"/>
  <c r="I291"/>
  <c r="J291"/>
  <c r="K291"/>
  <c r="L291"/>
  <c r="M291"/>
  <c r="N291"/>
  <c r="I292"/>
  <c r="J292"/>
  <c r="K292"/>
  <c r="L292"/>
  <c r="M292"/>
  <c r="N292"/>
  <c r="I293"/>
  <c r="J293"/>
  <c r="K293"/>
  <c r="L293"/>
  <c r="M293"/>
  <c r="N293"/>
  <c r="I294"/>
  <c r="J294"/>
  <c r="K294"/>
  <c r="L294"/>
  <c r="M294"/>
  <c r="N294"/>
  <c r="I295"/>
  <c r="J295"/>
  <c r="K295"/>
  <c r="L295"/>
  <c r="M295"/>
  <c r="N295"/>
  <c r="I296"/>
  <c r="J296"/>
  <c r="K296"/>
  <c r="L296"/>
  <c r="M296"/>
  <c r="N296"/>
  <c r="I297"/>
  <c r="J297"/>
  <c r="K297"/>
  <c r="L297"/>
  <c r="M297"/>
  <c r="N297"/>
  <c r="I298"/>
  <c r="J298"/>
  <c r="K298"/>
  <c r="L298"/>
  <c r="M298"/>
  <c r="N298"/>
  <c r="I299"/>
  <c r="J299"/>
  <c r="K299"/>
  <c r="L299"/>
  <c r="M299"/>
  <c r="N299"/>
  <c r="I300"/>
  <c r="J300"/>
  <c r="K300"/>
  <c r="L300"/>
  <c r="M300"/>
  <c r="N300"/>
  <c r="I301"/>
  <c r="J301"/>
  <c r="K301"/>
  <c r="L301"/>
  <c r="M301"/>
  <c r="N301"/>
  <c r="I302"/>
  <c r="J302"/>
  <c r="K302"/>
  <c r="L302"/>
  <c r="M302"/>
  <c r="N302"/>
  <c r="I303"/>
  <c r="J303"/>
  <c r="K303"/>
  <c r="L303"/>
  <c r="M303"/>
  <c r="N303"/>
  <c r="I304"/>
  <c r="J304"/>
  <c r="K304"/>
  <c r="L304"/>
  <c r="M304"/>
  <c r="N304"/>
  <c r="I305"/>
  <c r="J305"/>
  <c r="K305"/>
  <c r="L305"/>
  <c r="M305"/>
  <c r="N305"/>
  <c r="I306"/>
  <c r="J306"/>
  <c r="K306"/>
  <c r="L306"/>
  <c r="M306"/>
  <c r="N306"/>
  <c r="I307"/>
  <c r="J307"/>
  <c r="K307"/>
  <c r="L307"/>
  <c r="M307"/>
  <c r="N307"/>
  <c r="I308"/>
  <c r="J308"/>
  <c r="K308"/>
  <c r="L308"/>
  <c r="M308"/>
  <c r="N308"/>
  <c r="I309"/>
  <c r="J309"/>
  <c r="K309"/>
  <c r="L309"/>
  <c r="M309"/>
  <c r="N309"/>
  <c r="I310"/>
  <c r="J310"/>
  <c r="K310"/>
  <c r="L310"/>
  <c r="M310"/>
  <c r="N310"/>
  <c r="I311"/>
  <c r="J311"/>
  <c r="K311"/>
  <c r="L311"/>
  <c r="M311"/>
  <c r="N311"/>
  <c r="I312"/>
  <c r="J312"/>
  <c r="K312"/>
  <c r="L312"/>
  <c r="M312"/>
  <c r="N312"/>
  <c r="I313"/>
  <c r="J313"/>
  <c r="K313"/>
  <c r="L313"/>
  <c r="M313"/>
  <c r="N313"/>
  <c r="I314"/>
  <c r="J314"/>
  <c r="K314"/>
  <c r="L314"/>
  <c r="M314"/>
  <c r="N314"/>
  <c r="I315"/>
  <c r="J315"/>
  <c r="K315"/>
  <c r="L315"/>
  <c r="M315"/>
  <c r="N315"/>
  <c r="I316"/>
  <c r="J316"/>
  <c r="K316"/>
  <c r="L316"/>
  <c r="M316"/>
  <c r="N316"/>
  <c r="I317"/>
  <c r="J317"/>
  <c r="K317"/>
  <c r="L317"/>
  <c r="M317"/>
  <c r="N317"/>
  <c r="I318"/>
  <c r="J318"/>
  <c r="K318"/>
  <c r="L318"/>
  <c r="M318"/>
  <c r="N318"/>
  <c r="I319"/>
  <c r="J319"/>
  <c r="K319"/>
  <c r="L319"/>
  <c r="M319"/>
  <c r="N319"/>
  <c r="I320"/>
  <c r="J320"/>
  <c r="K320"/>
  <c r="L320"/>
  <c r="M320"/>
  <c r="N320"/>
  <c r="I321"/>
  <c r="J321"/>
  <c r="K321"/>
  <c r="L321"/>
  <c r="M321"/>
  <c r="N321"/>
  <c r="I322"/>
  <c r="J322"/>
  <c r="K322"/>
  <c r="L322"/>
  <c r="M322"/>
  <c r="N322"/>
  <c r="I323"/>
  <c r="J323"/>
  <c r="K323"/>
  <c r="L323"/>
  <c r="M323"/>
  <c r="N323"/>
  <c r="I324"/>
  <c r="J324"/>
  <c r="K324"/>
  <c r="L324"/>
  <c r="M324"/>
  <c r="N324"/>
  <c r="I325"/>
  <c r="J325"/>
  <c r="K325"/>
  <c r="L325"/>
  <c r="M325"/>
  <c r="N325"/>
  <c r="I326"/>
  <c r="J326"/>
  <c r="K326"/>
  <c r="L326"/>
  <c r="M326"/>
  <c r="N326"/>
  <c r="I327"/>
  <c r="J327"/>
  <c r="K327"/>
  <c r="L327"/>
  <c r="M327"/>
  <c r="N327"/>
  <c r="I328"/>
  <c r="J328"/>
  <c r="K328"/>
  <c r="L328"/>
  <c r="M328"/>
  <c r="N328"/>
  <c r="I329"/>
  <c r="J329"/>
  <c r="K329"/>
  <c r="L329"/>
  <c r="M329"/>
  <c r="N329"/>
  <c r="I330"/>
  <c r="J330"/>
  <c r="K330"/>
  <c r="L330"/>
  <c r="M330"/>
  <c r="N330"/>
  <c r="I331"/>
  <c r="J331"/>
  <c r="K331"/>
  <c r="L331"/>
  <c r="M331"/>
  <c r="N331"/>
  <c r="I332"/>
  <c r="J332"/>
  <c r="K332"/>
  <c r="L332"/>
  <c r="M332"/>
  <c r="N332"/>
  <c r="I333"/>
  <c r="J333"/>
  <c r="K333"/>
  <c r="L333"/>
  <c r="M333"/>
  <c r="N333"/>
  <c r="I334"/>
  <c r="J334"/>
  <c r="K334"/>
  <c r="L334"/>
  <c r="M334"/>
  <c r="N334"/>
  <c r="I335"/>
  <c r="J335"/>
  <c r="K335"/>
  <c r="L335"/>
  <c r="M335"/>
  <c r="N335"/>
  <c r="I336"/>
  <c r="J336"/>
  <c r="K336"/>
  <c r="L336"/>
  <c r="M336"/>
  <c r="N336"/>
  <c r="I337"/>
  <c r="J337"/>
  <c r="K337"/>
  <c r="L337"/>
  <c r="M337"/>
  <c r="N337"/>
  <c r="I338"/>
  <c r="J338"/>
  <c r="K338"/>
  <c r="L338"/>
  <c r="M338"/>
  <c r="N338"/>
  <c r="I339"/>
  <c r="J339"/>
  <c r="K339"/>
  <c r="L339"/>
  <c r="M339"/>
  <c r="N339"/>
  <c r="I340"/>
  <c r="J340"/>
  <c r="K340"/>
  <c r="L340"/>
  <c r="M340"/>
  <c r="N340"/>
  <c r="I341"/>
  <c r="J341"/>
  <c r="K341"/>
  <c r="L341"/>
  <c r="M341"/>
  <c r="N341"/>
  <c r="I342"/>
  <c r="J342"/>
  <c r="K342"/>
  <c r="L342"/>
  <c r="M342"/>
  <c r="N342"/>
  <c r="I343"/>
  <c r="J343"/>
  <c r="K343"/>
  <c r="L343"/>
  <c r="M343"/>
  <c r="N343"/>
  <c r="I344"/>
  <c r="J344"/>
  <c r="K344"/>
  <c r="L344"/>
  <c r="M344"/>
  <c r="N344"/>
  <c r="I345"/>
  <c r="J345"/>
  <c r="K345"/>
  <c r="L345"/>
  <c r="M345"/>
  <c r="N345"/>
  <c r="I346"/>
  <c r="J346"/>
  <c r="K346"/>
  <c r="L346"/>
  <c r="M346"/>
  <c r="N346"/>
  <c r="I347"/>
  <c r="J347"/>
  <c r="K347"/>
  <c r="L347"/>
  <c r="M347"/>
  <c r="N347"/>
  <c r="I348"/>
  <c r="J348"/>
  <c r="K348"/>
  <c r="L348"/>
  <c r="M348"/>
  <c r="N348"/>
  <c r="I349"/>
  <c r="J349"/>
  <c r="K349"/>
  <c r="L349"/>
  <c r="M349"/>
  <c r="N349"/>
  <c r="I350"/>
  <c r="J350"/>
  <c r="K350"/>
  <c r="L350"/>
  <c r="M350"/>
  <c r="N350"/>
  <c r="I351"/>
  <c r="J351"/>
  <c r="K351"/>
  <c r="L351"/>
  <c r="M351"/>
  <c r="N351"/>
  <c r="I352"/>
  <c r="J352"/>
  <c r="K352"/>
  <c r="L352"/>
  <c r="M352"/>
  <c r="N352"/>
  <c r="I353"/>
  <c r="J353"/>
  <c r="K353"/>
  <c r="L353"/>
  <c r="M353"/>
  <c r="N353"/>
  <c r="I354"/>
  <c r="J354"/>
  <c r="K354"/>
  <c r="L354"/>
  <c r="M354"/>
  <c r="N354"/>
  <c r="I355"/>
  <c r="J355"/>
  <c r="K355"/>
  <c r="L355"/>
  <c r="M355"/>
  <c r="N355"/>
  <c r="I356"/>
  <c r="J356"/>
  <c r="K356"/>
  <c r="L356"/>
  <c r="M356"/>
  <c r="N356"/>
  <c r="I357"/>
  <c r="J357"/>
  <c r="K357"/>
  <c r="L357"/>
  <c r="M357"/>
  <c r="N357"/>
  <c r="I358"/>
  <c r="J358"/>
  <c r="K358"/>
  <c r="L358"/>
  <c r="M358"/>
  <c r="N358"/>
  <c r="I359"/>
  <c r="J359"/>
  <c r="K359"/>
  <c r="L359"/>
  <c r="M359"/>
  <c r="N359"/>
  <c r="I360"/>
  <c r="J360"/>
  <c r="K360"/>
  <c r="L360"/>
  <c r="M360"/>
  <c r="N360"/>
  <c r="I361"/>
  <c r="J361"/>
  <c r="K361"/>
  <c r="L361"/>
  <c r="M361"/>
  <c r="N361"/>
  <c r="I362"/>
  <c r="J362"/>
  <c r="K362"/>
  <c r="L362"/>
  <c r="M362"/>
  <c r="N362"/>
  <c r="I363"/>
  <c r="J363"/>
  <c r="K363"/>
  <c r="L363"/>
  <c r="M363"/>
  <c r="N363"/>
  <c r="I364"/>
  <c r="J364"/>
  <c r="K364"/>
  <c r="L364"/>
  <c r="M364"/>
  <c r="N364"/>
  <c r="I365"/>
  <c r="J365"/>
  <c r="K365"/>
  <c r="L365"/>
  <c r="M365"/>
  <c r="N365"/>
  <c r="I366"/>
  <c r="J366"/>
  <c r="K366"/>
  <c r="L366"/>
  <c r="M366"/>
  <c r="N366"/>
  <c r="I367"/>
  <c r="J367"/>
  <c r="K367"/>
  <c r="L367"/>
  <c r="M367"/>
  <c r="N367"/>
  <c r="I368"/>
  <c r="J368"/>
  <c r="K368"/>
  <c r="L368"/>
  <c r="M368"/>
  <c r="N368"/>
  <c r="I369"/>
  <c r="J369"/>
  <c r="K369"/>
  <c r="L369"/>
  <c r="M369"/>
  <c r="N369"/>
  <c r="I370"/>
  <c r="J370"/>
  <c r="K370"/>
  <c r="L370"/>
  <c r="M370"/>
  <c r="N370"/>
  <c r="I371"/>
  <c r="J371"/>
  <c r="K371"/>
  <c r="L371"/>
  <c r="M371"/>
  <c r="N371"/>
  <c r="I372"/>
  <c r="J372"/>
  <c r="K372"/>
  <c r="L372"/>
  <c r="M372"/>
  <c r="N372"/>
  <c r="I373"/>
  <c r="J373"/>
  <c r="K373"/>
  <c r="L373"/>
  <c r="M373"/>
  <c r="N373"/>
  <c r="I374"/>
  <c r="J374"/>
  <c r="K374"/>
  <c r="L374"/>
  <c r="M374"/>
  <c r="N374"/>
  <c r="I375"/>
  <c r="J375"/>
  <c r="K375"/>
  <c r="L375"/>
  <c r="M375"/>
  <c r="N375"/>
  <c r="I376"/>
  <c r="J376"/>
  <c r="K376"/>
  <c r="L376"/>
  <c r="M376"/>
  <c r="N376"/>
  <c r="I377"/>
  <c r="J377"/>
  <c r="K377"/>
  <c r="L377"/>
  <c r="M377"/>
  <c r="N377"/>
  <c r="I378"/>
  <c r="J378"/>
  <c r="K378"/>
  <c r="L378"/>
  <c r="M378"/>
  <c r="N378"/>
  <c r="I379"/>
  <c r="J379"/>
  <c r="K379"/>
  <c r="L379"/>
  <c r="M379"/>
  <c r="N379"/>
  <c r="I380"/>
  <c r="J380"/>
  <c r="K380"/>
  <c r="L380"/>
  <c r="M380"/>
  <c r="N380"/>
  <c r="I381"/>
  <c r="J381"/>
  <c r="K381"/>
  <c r="L381"/>
  <c r="M381"/>
  <c r="N381"/>
  <c r="I382"/>
  <c r="J382"/>
  <c r="K382"/>
  <c r="L382"/>
  <c r="M382"/>
  <c r="N382"/>
  <c r="I383"/>
  <c r="J383"/>
  <c r="K383"/>
  <c r="L383"/>
  <c r="M383"/>
  <c r="N383"/>
  <c r="I384"/>
  <c r="J384"/>
  <c r="K384"/>
  <c r="L384"/>
  <c r="M384"/>
  <c r="N384"/>
  <c r="I385"/>
  <c r="J385"/>
  <c r="K385"/>
  <c r="L385"/>
  <c r="M385"/>
  <c r="N385"/>
  <c r="I386"/>
  <c r="J386"/>
  <c r="K386"/>
  <c r="L386"/>
  <c r="M386"/>
  <c r="N386"/>
  <c r="I387"/>
  <c r="J387"/>
  <c r="K387"/>
  <c r="L387"/>
  <c r="M387"/>
  <c r="N387"/>
  <c r="I388"/>
  <c r="J388"/>
  <c r="K388"/>
  <c r="L388"/>
  <c r="M388"/>
  <c r="N388"/>
  <c r="I389"/>
  <c r="J389"/>
  <c r="K389"/>
  <c r="L389"/>
  <c r="M389"/>
  <c r="N389"/>
  <c r="I390"/>
  <c r="J390"/>
  <c r="K390"/>
  <c r="L390"/>
  <c r="M390"/>
  <c r="N390"/>
  <c r="I391"/>
  <c r="J391"/>
  <c r="K391"/>
  <c r="L391"/>
  <c r="M391"/>
  <c r="N391"/>
  <c r="I392"/>
  <c r="J392"/>
  <c r="K392"/>
  <c r="L392"/>
  <c r="M392"/>
  <c r="N392"/>
  <c r="I393"/>
  <c r="J393"/>
  <c r="K393"/>
  <c r="L393"/>
  <c r="M393"/>
  <c r="N393"/>
  <c r="I394"/>
  <c r="J394"/>
  <c r="K394"/>
  <c r="L394"/>
  <c r="M394"/>
  <c r="N394"/>
  <c r="I395"/>
  <c r="J395"/>
  <c r="K395"/>
  <c r="L395"/>
  <c r="M395"/>
  <c r="N395"/>
  <c r="I396"/>
  <c r="J396"/>
  <c r="K396"/>
  <c r="L396"/>
  <c r="M396"/>
  <c r="N396"/>
  <c r="I397"/>
  <c r="J397"/>
  <c r="K397"/>
  <c r="L397"/>
  <c r="M397"/>
  <c r="N397"/>
  <c r="I398"/>
  <c r="J398"/>
  <c r="K398"/>
  <c r="L398"/>
  <c r="M398"/>
  <c r="N398"/>
  <c r="I399"/>
  <c r="J399"/>
  <c r="K399"/>
  <c r="L399"/>
  <c r="M399"/>
  <c r="N399"/>
  <c r="I400"/>
  <c r="J400"/>
  <c r="K400"/>
  <c r="L400"/>
  <c r="M400"/>
  <c r="N400"/>
  <c r="I401"/>
  <c r="J401"/>
  <c r="K401"/>
  <c r="L401"/>
  <c r="M401"/>
  <c r="N401"/>
  <c r="I402"/>
  <c r="J402"/>
  <c r="K402"/>
  <c r="L402"/>
  <c r="M402"/>
  <c r="N402"/>
  <c r="I403"/>
  <c r="J403"/>
  <c r="K403"/>
  <c r="L403"/>
  <c r="M403"/>
  <c r="N403"/>
  <c r="I404"/>
  <c r="J404"/>
  <c r="K404"/>
  <c r="L404"/>
  <c r="M404"/>
  <c r="N404"/>
  <c r="I405"/>
  <c r="J405"/>
  <c r="K405"/>
  <c r="L405"/>
  <c r="M405"/>
  <c r="N405"/>
  <c r="I406"/>
  <c r="J406"/>
  <c r="K406"/>
  <c r="L406"/>
  <c r="M406"/>
  <c r="N406"/>
  <c r="I407"/>
  <c r="J407"/>
  <c r="K407"/>
  <c r="L407"/>
  <c r="M407"/>
  <c r="N407"/>
  <c r="I408"/>
  <c r="J408"/>
  <c r="K408"/>
  <c r="L408"/>
  <c r="M408"/>
  <c r="N408"/>
  <c r="I409"/>
  <c r="J409"/>
  <c r="K409"/>
  <c r="L409"/>
  <c r="M409"/>
  <c r="N409"/>
  <c r="I410"/>
  <c r="J410"/>
  <c r="K410"/>
  <c r="L410"/>
  <c r="M410"/>
  <c r="N410"/>
  <c r="I411"/>
  <c r="J411"/>
  <c r="K411"/>
  <c r="L411"/>
  <c r="M411"/>
  <c r="N411"/>
  <c r="I412"/>
  <c r="J412"/>
  <c r="K412"/>
  <c r="L412"/>
  <c r="M412"/>
  <c r="N412"/>
  <c r="I413"/>
  <c r="J413"/>
  <c r="K413"/>
  <c r="L413"/>
  <c r="M413"/>
  <c r="N413"/>
  <c r="I414"/>
  <c r="J414"/>
  <c r="K414"/>
  <c r="L414"/>
  <c r="M414"/>
  <c r="N414"/>
  <c r="I415"/>
  <c r="J415"/>
  <c r="K415"/>
  <c r="L415"/>
  <c r="M415"/>
  <c r="N415"/>
  <c r="I416"/>
  <c r="J416"/>
  <c r="K416"/>
  <c r="L416"/>
  <c r="M416"/>
  <c r="N416"/>
  <c r="I417"/>
  <c r="J417"/>
  <c r="K417"/>
  <c r="L417"/>
  <c r="M417"/>
  <c r="N417"/>
  <c r="I418"/>
  <c r="J418"/>
  <c r="K418"/>
  <c r="L418"/>
  <c r="M418"/>
  <c r="N418"/>
  <c r="I419"/>
  <c r="J419"/>
  <c r="K419"/>
  <c r="L419"/>
  <c r="M419"/>
  <c r="N419"/>
  <c r="I420"/>
  <c r="J420"/>
  <c r="K420"/>
  <c r="L420"/>
  <c r="M420"/>
  <c r="N420"/>
  <c r="I421"/>
  <c r="J421"/>
  <c r="K421"/>
  <c r="L421"/>
  <c r="M421"/>
  <c r="N421"/>
  <c r="I422"/>
  <c r="J422"/>
  <c r="K422"/>
  <c r="L422"/>
  <c r="M422"/>
  <c r="N422"/>
  <c r="I423"/>
  <c r="J423"/>
  <c r="K423"/>
  <c r="L423"/>
  <c r="M423"/>
  <c r="N423"/>
  <c r="I424"/>
  <c r="J424"/>
  <c r="K424"/>
  <c r="L424"/>
  <c r="M424"/>
  <c r="N424"/>
  <c r="I425"/>
  <c r="J425"/>
  <c r="K425"/>
  <c r="L425"/>
  <c r="M425"/>
  <c r="N425"/>
  <c r="I426"/>
  <c r="J426"/>
  <c r="K426"/>
  <c r="L426"/>
  <c r="M426"/>
  <c r="N426"/>
  <c r="I427"/>
  <c r="J427"/>
  <c r="K427"/>
  <c r="L427"/>
  <c r="M427"/>
  <c r="N427"/>
  <c r="I428"/>
  <c r="J428"/>
  <c r="K428"/>
  <c r="L428"/>
  <c r="M428"/>
  <c r="N428"/>
  <c r="I429"/>
  <c r="J429"/>
  <c r="K429"/>
  <c r="L429"/>
  <c r="M429"/>
  <c r="N429"/>
  <c r="I430"/>
  <c r="J430"/>
  <c r="K430"/>
  <c r="L430"/>
  <c r="M430"/>
  <c r="N430"/>
  <c r="I431"/>
  <c r="J431"/>
  <c r="K431"/>
  <c r="L431"/>
  <c r="M431"/>
  <c r="N431"/>
  <c r="I432"/>
  <c r="J432"/>
  <c r="K432"/>
  <c r="L432"/>
  <c r="M432"/>
  <c r="N432"/>
  <c r="I433"/>
  <c r="J433"/>
  <c r="K433"/>
  <c r="L433"/>
  <c r="M433"/>
  <c r="N433"/>
  <c r="I434"/>
  <c r="J434"/>
  <c r="K434"/>
  <c r="L434"/>
  <c r="M434"/>
  <c r="N434"/>
  <c r="I435"/>
  <c r="J435"/>
  <c r="K435"/>
  <c r="L435"/>
  <c r="M435"/>
  <c r="N435"/>
  <c r="I436"/>
  <c r="J436"/>
  <c r="K436"/>
  <c r="L436"/>
  <c r="M436"/>
  <c r="N436"/>
  <c r="I437"/>
  <c r="J437"/>
  <c r="K437"/>
  <c r="L437"/>
  <c r="M437"/>
  <c r="N437"/>
  <c r="I438"/>
  <c r="J438"/>
  <c r="K438"/>
  <c r="L438"/>
  <c r="M438"/>
  <c r="N438"/>
  <c r="I439"/>
  <c r="J439"/>
  <c r="K439"/>
  <c r="L439"/>
  <c r="M439"/>
  <c r="N439"/>
  <c r="I440"/>
  <c r="J440"/>
  <c r="K440"/>
  <c r="L440"/>
  <c r="M440"/>
  <c r="N440"/>
  <c r="I441"/>
  <c r="J441"/>
  <c r="K441"/>
  <c r="L441"/>
  <c r="M441"/>
  <c r="N441"/>
  <c r="I442"/>
  <c r="J442"/>
  <c r="K442"/>
  <c r="L442"/>
  <c r="M442"/>
  <c r="N442"/>
  <c r="I443"/>
  <c r="J443"/>
  <c r="K443"/>
  <c r="L443"/>
  <c r="M443"/>
  <c r="N443"/>
  <c r="I444"/>
  <c r="J444"/>
  <c r="K444"/>
  <c r="L444"/>
  <c r="M444"/>
  <c r="N444"/>
  <c r="I445"/>
  <c r="J445"/>
  <c r="K445"/>
  <c r="L445"/>
  <c r="M445"/>
  <c r="N445"/>
  <c r="I446"/>
  <c r="J446"/>
  <c r="K446"/>
  <c r="L446"/>
  <c r="M446"/>
  <c r="N446"/>
  <c r="I447"/>
  <c r="J447"/>
  <c r="K447"/>
  <c r="L447"/>
  <c r="M447"/>
  <c r="N447"/>
  <c r="I448"/>
  <c r="J448"/>
  <c r="K448"/>
  <c r="L448"/>
  <c r="M448"/>
  <c r="N448"/>
  <c r="I449"/>
  <c r="J449"/>
  <c r="K449"/>
  <c r="L449"/>
  <c r="M449"/>
  <c r="N449"/>
  <c r="I450"/>
  <c r="J450"/>
  <c r="K450"/>
  <c r="L450"/>
  <c r="M450"/>
  <c r="N450"/>
  <c r="I451"/>
  <c r="J451"/>
  <c r="K451"/>
  <c r="L451"/>
  <c r="M451"/>
  <c r="N451"/>
  <c r="I452"/>
  <c r="J452"/>
  <c r="K452"/>
  <c r="L452"/>
  <c r="M452"/>
  <c r="N452"/>
  <c r="I453"/>
  <c r="J453"/>
  <c r="K453"/>
  <c r="L453"/>
  <c r="M453"/>
  <c r="N453"/>
  <c r="I454"/>
  <c r="J454"/>
  <c r="K454"/>
  <c r="L454"/>
  <c r="M454"/>
  <c r="N454"/>
  <c r="I455"/>
  <c r="J455"/>
  <c r="K455"/>
  <c r="L455"/>
  <c r="M455"/>
  <c r="N455"/>
  <c r="I456"/>
  <c r="J456"/>
  <c r="K456"/>
  <c r="L456"/>
  <c r="M456"/>
  <c r="N456"/>
  <c r="I457"/>
  <c r="J457"/>
  <c r="K457"/>
  <c r="L457"/>
  <c r="M457"/>
  <c r="N457"/>
  <c r="I458"/>
  <c r="J458"/>
  <c r="K458"/>
  <c r="L458"/>
  <c r="M458"/>
  <c r="N458"/>
  <c r="I459"/>
  <c r="J459"/>
  <c r="K459"/>
  <c r="L459"/>
  <c r="M459"/>
  <c r="N459"/>
  <c r="I460"/>
  <c r="J460"/>
  <c r="K460"/>
  <c r="L460"/>
  <c r="M460"/>
  <c r="N460"/>
  <c r="I461"/>
  <c r="J461"/>
  <c r="K461"/>
  <c r="L461"/>
  <c r="M461"/>
  <c r="N461"/>
  <c r="I13"/>
  <c r="J13"/>
  <c r="K13"/>
  <c r="L13"/>
  <c r="M13"/>
  <c r="N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381"/>
  <c r="G382"/>
  <c r="G383"/>
  <c r="G384"/>
  <c r="G385"/>
  <c r="G386"/>
  <c r="G387"/>
  <c r="G388"/>
  <c r="G389"/>
  <c r="G390"/>
  <c r="G391"/>
  <c r="G392"/>
  <c r="G393"/>
  <c r="G394"/>
  <c r="G395"/>
  <c r="G396"/>
  <c r="G397"/>
  <c r="G398"/>
  <c r="G399"/>
  <c r="G400"/>
  <c r="G401"/>
  <c r="G402"/>
  <c r="G403"/>
  <c r="G404"/>
  <c r="G405"/>
  <c r="G406"/>
  <c r="G407"/>
  <c r="G408"/>
  <c r="G409"/>
  <c r="G410"/>
  <c r="G411"/>
  <c r="G412"/>
  <c r="G413"/>
  <c r="G414"/>
  <c r="G415"/>
  <c r="G416"/>
  <c r="G417"/>
  <c r="G418"/>
  <c r="G419"/>
  <c r="G420"/>
  <c r="G421"/>
  <c r="G422"/>
  <c r="G423"/>
  <c r="G424"/>
  <c r="G425"/>
  <c r="G426"/>
  <c r="G427"/>
  <c r="G428"/>
  <c r="G429"/>
  <c r="G430"/>
  <c r="G431"/>
  <c r="G432"/>
  <c r="G433"/>
  <c r="G434"/>
  <c r="G435"/>
  <c r="G437"/>
  <c r="G438"/>
  <c r="G439"/>
  <c r="G440"/>
  <c r="G441"/>
  <c r="G442"/>
  <c r="G443"/>
  <c r="G444"/>
  <c r="G445"/>
  <c r="G446"/>
  <c r="G447"/>
  <c r="G448"/>
  <c r="G449"/>
  <c r="G450"/>
  <c r="G451"/>
  <c r="G452"/>
  <c r="G453"/>
  <c r="G454"/>
  <c r="G455"/>
  <c r="G456"/>
  <c r="G457"/>
  <c r="G458"/>
  <c r="G459"/>
  <c r="G460"/>
  <c r="G461"/>
  <c r="G14"/>
  <c r="N475" i="1"/>
  <c r="N462"/>
  <c r="M462"/>
  <c r="L462"/>
  <c r="K462"/>
  <c r="L475" s="1"/>
  <c r="J462"/>
  <c r="J475" s="1"/>
  <c r="I462"/>
  <c r="H462"/>
  <c r="H475" s="1"/>
  <c r="G462"/>
  <c r="L475" i="13"/>
  <c r="L475" i="14"/>
  <c r="J475" i="12"/>
  <c r="H475" i="5"/>
  <c r="N462"/>
  <c r="N475" s="1"/>
  <c r="M462"/>
  <c r="L462"/>
  <c r="K462"/>
  <c r="L475" s="1"/>
  <c r="J462"/>
  <c r="J475" s="1"/>
  <c r="I462"/>
  <c r="H462"/>
  <c r="N462" i="6"/>
  <c r="M462"/>
  <c r="L462"/>
  <c r="K462"/>
  <c r="J462"/>
  <c r="I462"/>
  <c r="H462"/>
  <c r="N462" i="7"/>
  <c r="M462"/>
  <c r="L462"/>
  <c r="K462"/>
  <c r="J462"/>
  <c r="I462"/>
  <c r="H462"/>
  <c r="N462" i="8"/>
  <c r="M462"/>
  <c r="L462"/>
  <c r="K462"/>
  <c r="J462"/>
  <c r="I462"/>
  <c r="H462"/>
  <c r="N462" i="9"/>
  <c r="M462"/>
  <c r="L462"/>
  <c r="K462"/>
  <c r="J462"/>
  <c r="I462"/>
  <c r="H462"/>
  <c r="N462" i="10"/>
  <c r="N475" s="1"/>
  <c r="M462"/>
  <c r="L462"/>
  <c r="K462"/>
  <c r="J462"/>
  <c r="J475" s="1"/>
  <c r="I462"/>
  <c r="H462"/>
  <c r="N462" i="11"/>
  <c r="M462"/>
  <c r="N475" s="1"/>
  <c r="L462"/>
  <c r="L475" s="1"/>
  <c r="K462"/>
  <c r="J462"/>
  <c r="J475" s="1"/>
  <c r="I462"/>
  <c r="H462"/>
  <c r="H475" s="1"/>
  <c r="N462" i="12"/>
  <c r="N475" s="1"/>
  <c r="M462"/>
  <c r="L462"/>
  <c r="L475" s="1"/>
  <c r="K462"/>
  <c r="J462"/>
  <c r="I462"/>
  <c r="H462"/>
  <c r="N462" i="13"/>
  <c r="N475" s="1"/>
  <c r="M462"/>
  <c r="L462"/>
  <c r="K462"/>
  <c r="J462"/>
  <c r="J475" s="1"/>
  <c r="I462"/>
  <c r="H462"/>
  <c r="H475" s="1"/>
  <c r="N462" i="14"/>
  <c r="M462"/>
  <c r="N475" s="1"/>
  <c r="L462"/>
  <c r="K462"/>
  <c r="J462"/>
  <c r="I462"/>
  <c r="J475" s="1"/>
  <c r="H462"/>
  <c r="H475" s="1"/>
  <c r="N462" i="4"/>
  <c r="N475" s="1"/>
  <c r="M462"/>
  <c r="L462"/>
  <c r="L475" s="1"/>
  <c r="K462"/>
  <c r="J462"/>
  <c r="J475" s="1"/>
  <c r="I462"/>
  <c r="H462"/>
  <c r="G462" i="5"/>
  <c r="G462" i="6"/>
  <c r="G462" i="7"/>
  <c r="G462" i="8"/>
  <c r="G462" i="9"/>
  <c r="G462" i="10"/>
  <c r="G462" i="11"/>
  <c r="G462" i="12"/>
  <c r="H475" s="1"/>
  <c r="G462" i="13"/>
  <c r="G462" i="14"/>
  <c r="G462" i="4"/>
  <c r="H475" s="1"/>
  <c r="L475" i="10" l="1"/>
  <c r="H475"/>
  <c r="N475" i="9"/>
  <c r="L475"/>
  <c r="J475"/>
  <c r="N475" i="8"/>
  <c r="L475"/>
  <c r="J475"/>
  <c r="H475"/>
  <c r="N475" i="7"/>
  <c r="L475"/>
  <c r="J475"/>
  <c r="H475"/>
  <c r="F411" i="15"/>
  <c r="F399"/>
  <c r="F347"/>
  <c r="F335"/>
  <c r="F283"/>
  <c r="F271"/>
  <c r="F219"/>
  <c r="F207"/>
  <c r="F155"/>
  <c r="F143"/>
  <c r="F91"/>
  <c r="F79"/>
  <c r="F27"/>
  <c r="F15"/>
  <c r="L462"/>
  <c r="F372"/>
  <c r="F344"/>
  <c r="F341"/>
  <c r="F308"/>
  <c r="F289"/>
  <c r="F204"/>
  <c r="F169"/>
  <c r="F161"/>
  <c r="F140"/>
  <c r="F88"/>
  <c r="F85"/>
  <c r="F64"/>
  <c r="E449"/>
  <c r="E388"/>
  <c r="F285"/>
  <c r="F277"/>
  <c r="E401"/>
  <c r="E345"/>
  <c r="E321"/>
  <c r="E301"/>
  <c r="E293"/>
  <c r="E281"/>
  <c r="E241"/>
  <c r="E213"/>
  <c r="E205"/>
  <c r="E181"/>
  <c r="E81"/>
  <c r="E65"/>
  <c r="E49"/>
  <c r="E25"/>
  <c r="E455"/>
  <c r="E451"/>
  <c r="E419"/>
  <c r="E399"/>
  <c r="E387"/>
  <c r="E382"/>
  <c r="E379"/>
  <c r="E367"/>
  <c r="E355"/>
  <c r="E350"/>
  <c r="E347"/>
  <c r="E318"/>
  <c r="E294"/>
  <c r="E274"/>
  <c r="E263"/>
  <c r="E231"/>
  <c r="E222"/>
  <c r="E219"/>
  <c r="E199"/>
  <c r="E195"/>
  <c r="E187"/>
  <c r="E175"/>
  <c r="E143"/>
  <c r="E131"/>
  <c r="E123"/>
  <c r="E114"/>
  <c r="E106"/>
  <c r="E99"/>
  <c r="E71"/>
  <c r="E62"/>
  <c r="E59"/>
  <c r="E47"/>
  <c r="E42"/>
  <c r="E39"/>
  <c r="E30"/>
  <c r="E461"/>
  <c r="E260"/>
  <c r="E164"/>
  <c r="E100"/>
  <c r="F434"/>
  <c r="F221"/>
  <c r="F114"/>
  <c r="E446"/>
  <c r="E397"/>
  <c r="E365"/>
  <c r="E341"/>
  <c r="E325"/>
  <c r="E313"/>
  <c r="E305"/>
  <c r="E289"/>
  <c r="C289" s="1"/>
  <c r="E257"/>
  <c r="E249"/>
  <c r="E225"/>
  <c r="E217"/>
  <c r="E193"/>
  <c r="E185"/>
  <c r="E177"/>
  <c r="E141"/>
  <c r="E129"/>
  <c r="E97"/>
  <c r="E69"/>
  <c r="E53"/>
  <c r="E17"/>
  <c r="E434"/>
  <c r="C434" s="1"/>
  <c r="E178"/>
  <c r="F320"/>
  <c r="E210"/>
  <c r="E158"/>
  <c r="F297"/>
  <c r="F33"/>
  <c r="E402"/>
  <c r="E254"/>
  <c r="F349"/>
  <c r="E242"/>
  <c r="F425"/>
  <c r="F417"/>
  <c r="F405"/>
  <c r="F105"/>
  <c r="F97"/>
  <c r="E426"/>
  <c r="E298"/>
  <c r="E306"/>
  <c r="E262"/>
  <c r="E82"/>
  <c r="F213"/>
  <c r="F41"/>
  <c r="F384"/>
  <c r="E390"/>
  <c r="E330"/>
  <c r="E190"/>
  <c r="E50"/>
  <c r="E38"/>
  <c r="F361"/>
  <c r="F149"/>
  <c r="F93"/>
  <c r="F268"/>
  <c r="F52"/>
  <c r="F24"/>
  <c r="F413"/>
  <c r="F353"/>
  <c r="F157"/>
  <c r="F460"/>
  <c r="F408"/>
  <c r="E102"/>
  <c r="E18"/>
  <c r="E452"/>
  <c r="E431"/>
  <c r="E411"/>
  <c r="C411" s="1"/>
  <c r="E391"/>
  <c r="E359"/>
  <c r="E335"/>
  <c r="C335" s="1"/>
  <c r="E327"/>
  <c r="E323"/>
  <c r="E315"/>
  <c r="E303"/>
  <c r="E295"/>
  <c r="E291"/>
  <c r="E283"/>
  <c r="E271"/>
  <c r="E259"/>
  <c r="E251"/>
  <c r="E239"/>
  <c r="E227"/>
  <c r="E207"/>
  <c r="D207" s="1"/>
  <c r="E167"/>
  <c r="E163"/>
  <c r="E155"/>
  <c r="E135"/>
  <c r="E111"/>
  <c r="E103"/>
  <c r="E91"/>
  <c r="E79"/>
  <c r="C79" s="1"/>
  <c r="E67"/>
  <c r="E35"/>
  <c r="E27"/>
  <c r="E15"/>
  <c r="F370"/>
  <c r="F306"/>
  <c r="F242"/>
  <c r="F178"/>
  <c r="F50"/>
  <c r="E454"/>
  <c r="E443"/>
  <c r="E422"/>
  <c r="E420"/>
  <c r="E414"/>
  <c r="E394"/>
  <c r="E370"/>
  <c r="E362"/>
  <c r="E338"/>
  <c r="E326"/>
  <c r="E286"/>
  <c r="E266"/>
  <c r="E234"/>
  <c r="E230"/>
  <c r="E202"/>
  <c r="E198"/>
  <c r="E170"/>
  <c r="E146"/>
  <c r="E138"/>
  <c r="E134"/>
  <c r="E126"/>
  <c r="E94"/>
  <c r="E77"/>
  <c r="E74"/>
  <c r="E70"/>
  <c r="E45"/>
  <c r="F233"/>
  <c r="F225"/>
  <c r="D225" s="1"/>
  <c r="F29"/>
  <c r="F21"/>
  <c r="F332"/>
  <c r="F244"/>
  <c r="F180"/>
  <c r="E166"/>
  <c r="E358"/>
  <c r="E458"/>
  <c r="E453"/>
  <c r="F448"/>
  <c r="E441"/>
  <c r="E437"/>
  <c r="E436"/>
  <c r="F436"/>
  <c r="E433"/>
  <c r="E429"/>
  <c r="E423"/>
  <c r="E421"/>
  <c r="E417"/>
  <c r="E409"/>
  <c r="E405"/>
  <c r="F396"/>
  <c r="E389"/>
  <c r="E385"/>
  <c r="E377"/>
  <c r="E373"/>
  <c r="E369"/>
  <c r="E357"/>
  <c r="E356"/>
  <c r="E353"/>
  <c r="E337"/>
  <c r="E333"/>
  <c r="E324"/>
  <c r="E309"/>
  <c r="E292"/>
  <c r="F280"/>
  <c r="E277"/>
  <c r="E273"/>
  <c r="E269"/>
  <c r="E261"/>
  <c r="F256"/>
  <c r="E245"/>
  <c r="E237"/>
  <c r="E229"/>
  <c r="E228"/>
  <c r="F216"/>
  <c r="E209"/>
  <c r="E197"/>
  <c r="E196"/>
  <c r="F192"/>
  <c r="E145"/>
  <c r="E133"/>
  <c r="E121"/>
  <c r="E117"/>
  <c r="E113"/>
  <c r="E109"/>
  <c r="E101"/>
  <c r="E89"/>
  <c r="E85"/>
  <c r="E173"/>
  <c r="E165"/>
  <c r="E161"/>
  <c r="E153"/>
  <c r="F152"/>
  <c r="E149"/>
  <c r="E132"/>
  <c r="F128"/>
  <c r="F116"/>
  <c r="F76"/>
  <c r="E68"/>
  <c r="E57"/>
  <c r="L475" i="6"/>
  <c r="E37" i="15"/>
  <c r="E36"/>
  <c r="E33"/>
  <c r="K462"/>
  <c r="E21"/>
  <c r="J475" i="6"/>
  <c r="M462" i="15"/>
  <c r="I462"/>
  <c r="N462"/>
  <c r="N475" i="6"/>
  <c r="F13" i="15"/>
  <c r="E459"/>
  <c r="E457"/>
  <c r="E450"/>
  <c r="E447"/>
  <c r="E445"/>
  <c r="E442"/>
  <c r="E439"/>
  <c r="E438"/>
  <c r="E435"/>
  <c r="E430"/>
  <c r="E427"/>
  <c r="E425"/>
  <c r="E418"/>
  <c r="E415"/>
  <c r="E413"/>
  <c r="E410"/>
  <c r="E407"/>
  <c r="E406"/>
  <c r="E404"/>
  <c r="E403"/>
  <c r="E398"/>
  <c r="E395"/>
  <c r="E393"/>
  <c r="E386"/>
  <c r="E383"/>
  <c r="E381"/>
  <c r="E378"/>
  <c r="E375"/>
  <c r="E374"/>
  <c r="E372"/>
  <c r="C372" s="1"/>
  <c r="E371"/>
  <c r="E366"/>
  <c r="E363"/>
  <c r="E361"/>
  <c r="E354"/>
  <c r="E351"/>
  <c r="E349"/>
  <c r="E346"/>
  <c r="E343"/>
  <c r="E342"/>
  <c r="E340"/>
  <c r="E339"/>
  <c r="E334"/>
  <c r="E331"/>
  <c r="E329"/>
  <c r="E322"/>
  <c r="E319"/>
  <c r="E317"/>
  <c r="E314"/>
  <c r="E311"/>
  <c r="E310"/>
  <c r="E308"/>
  <c r="E307"/>
  <c r="E302"/>
  <c r="E299"/>
  <c r="E297"/>
  <c r="E290"/>
  <c r="E287"/>
  <c r="E285"/>
  <c r="E282"/>
  <c r="E279"/>
  <c r="E278"/>
  <c r="E276"/>
  <c r="E275"/>
  <c r="E270"/>
  <c r="E267"/>
  <c r="E265"/>
  <c r="E258"/>
  <c r="E255"/>
  <c r="E253"/>
  <c r="E250"/>
  <c r="E247"/>
  <c r="E246"/>
  <c r="E244"/>
  <c r="E243"/>
  <c r="E238"/>
  <c r="E235"/>
  <c r="E233"/>
  <c r="E226"/>
  <c r="E223"/>
  <c r="E221"/>
  <c r="D221" s="1"/>
  <c r="E218"/>
  <c r="E215"/>
  <c r="E214"/>
  <c r="E212"/>
  <c r="E211"/>
  <c r="E206"/>
  <c r="E203"/>
  <c r="E201"/>
  <c r="E194"/>
  <c r="E191"/>
  <c r="E189"/>
  <c r="E186"/>
  <c r="E183"/>
  <c r="E180"/>
  <c r="E179"/>
  <c r="E174"/>
  <c r="E171"/>
  <c r="E169"/>
  <c r="E162"/>
  <c r="E159"/>
  <c r="E157"/>
  <c r="E154"/>
  <c r="E151"/>
  <c r="E150"/>
  <c r="E148"/>
  <c r="E147"/>
  <c r="E142"/>
  <c r="E139"/>
  <c r="E137"/>
  <c r="E130"/>
  <c r="E127"/>
  <c r="E125"/>
  <c r="E122"/>
  <c r="E119"/>
  <c r="E118"/>
  <c r="E116"/>
  <c r="E115"/>
  <c r="E110"/>
  <c r="E107"/>
  <c r="E105"/>
  <c r="E98"/>
  <c r="E95"/>
  <c r="E93"/>
  <c r="E90"/>
  <c r="E87"/>
  <c r="E86"/>
  <c r="E84"/>
  <c r="E83"/>
  <c r="E78"/>
  <c r="E75"/>
  <c r="E73"/>
  <c r="E66"/>
  <c r="E63"/>
  <c r="E61"/>
  <c r="E58"/>
  <c r="E55"/>
  <c r="E51"/>
  <c r="E46"/>
  <c r="E43"/>
  <c r="E41"/>
  <c r="E34"/>
  <c r="E31"/>
  <c r="E29"/>
  <c r="E26"/>
  <c r="E23"/>
  <c r="E22"/>
  <c r="E20"/>
  <c r="E19"/>
  <c r="E14"/>
  <c r="H475" i="6"/>
  <c r="F461" i="15"/>
  <c r="F459"/>
  <c r="F457"/>
  <c r="F456"/>
  <c r="F453"/>
  <c r="F450"/>
  <c r="F449"/>
  <c r="C449" s="1"/>
  <c r="F447"/>
  <c r="F445"/>
  <c r="F444"/>
  <c r="F443"/>
  <c r="C443" s="1"/>
  <c r="F441"/>
  <c r="F440"/>
  <c r="F437"/>
  <c r="F433"/>
  <c r="F431"/>
  <c r="F429"/>
  <c r="F428"/>
  <c r="F427"/>
  <c r="F421"/>
  <c r="F416"/>
  <c r="F415"/>
  <c r="F409"/>
  <c r="F404"/>
  <c r="F402"/>
  <c r="F401"/>
  <c r="F400"/>
  <c r="F397"/>
  <c r="F395"/>
  <c r="F393"/>
  <c r="F389"/>
  <c r="F385"/>
  <c r="F383"/>
  <c r="F381"/>
  <c r="F380"/>
  <c r="F379"/>
  <c r="F377"/>
  <c r="F376"/>
  <c r="F373"/>
  <c r="C373" s="1"/>
  <c r="F369"/>
  <c r="F367"/>
  <c r="F365"/>
  <c r="C365" s="1"/>
  <c r="F364"/>
  <c r="F363"/>
  <c r="F357"/>
  <c r="F352"/>
  <c r="F351"/>
  <c r="F348"/>
  <c r="F345"/>
  <c r="F340"/>
  <c r="F338"/>
  <c r="F337"/>
  <c r="F333"/>
  <c r="F331"/>
  <c r="F329"/>
  <c r="F325"/>
  <c r="F321"/>
  <c r="F319"/>
  <c r="F317"/>
  <c r="F316"/>
  <c r="F315"/>
  <c r="F313"/>
  <c r="F312"/>
  <c r="F309"/>
  <c r="F305"/>
  <c r="F303"/>
  <c r="F301"/>
  <c r="C301" s="1"/>
  <c r="F300"/>
  <c r="F299"/>
  <c r="F296"/>
  <c r="F293"/>
  <c r="C293" s="1"/>
  <c r="F292"/>
  <c r="F290"/>
  <c r="F288"/>
  <c r="F287"/>
  <c r="C287" s="1"/>
  <c r="F284"/>
  <c r="F281"/>
  <c r="F276"/>
  <c r="F274"/>
  <c r="D274" s="1"/>
  <c r="F273"/>
  <c r="F272"/>
  <c r="F269"/>
  <c r="F267"/>
  <c r="D267" s="1"/>
  <c r="F265"/>
  <c r="F264"/>
  <c r="F261"/>
  <c r="F257"/>
  <c r="D257" s="1"/>
  <c r="F255"/>
  <c r="F253"/>
  <c r="F251"/>
  <c r="F249"/>
  <c r="F248"/>
  <c r="F245"/>
  <c r="F241"/>
  <c r="D241" s="1"/>
  <c r="F239"/>
  <c r="F237"/>
  <c r="F236"/>
  <c r="F235"/>
  <c r="D235" s="1"/>
  <c r="F229"/>
  <c r="F228"/>
  <c r="F226"/>
  <c r="F224"/>
  <c r="F223"/>
  <c r="F220"/>
  <c r="F217"/>
  <c r="F212"/>
  <c r="D212" s="1"/>
  <c r="F210"/>
  <c r="D210" s="1"/>
  <c r="F209"/>
  <c r="F205"/>
  <c r="F203"/>
  <c r="F201"/>
  <c r="F200"/>
  <c r="F197"/>
  <c r="F196"/>
  <c r="D196" s="1"/>
  <c r="F194"/>
  <c r="D194" s="1"/>
  <c r="F193"/>
  <c r="F191"/>
  <c r="F189"/>
  <c r="F187"/>
  <c r="F185"/>
  <c r="F184"/>
  <c r="F181"/>
  <c r="F177"/>
  <c r="F175"/>
  <c r="F173"/>
  <c r="F172"/>
  <c r="F171"/>
  <c r="C171" s="1"/>
  <c r="F168"/>
  <c r="F165"/>
  <c r="F164"/>
  <c r="F162"/>
  <c r="F160"/>
  <c r="F159"/>
  <c r="F156"/>
  <c r="F153"/>
  <c r="F148"/>
  <c r="F146"/>
  <c r="F145"/>
  <c r="F141"/>
  <c r="D141" s="1"/>
  <c r="F139"/>
  <c r="F137"/>
  <c r="F136"/>
  <c r="F133"/>
  <c r="F132"/>
  <c r="F130"/>
  <c r="F129"/>
  <c r="F127"/>
  <c r="F125"/>
  <c r="F123"/>
  <c r="F121"/>
  <c r="F120"/>
  <c r="F117"/>
  <c r="F113"/>
  <c r="F112"/>
  <c r="F111"/>
  <c r="F109"/>
  <c r="F108"/>
  <c r="F107"/>
  <c r="F101"/>
  <c r="F98"/>
  <c r="F96"/>
  <c r="F95"/>
  <c r="F89"/>
  <c r="F84"/>
  <c r="F82"/>
  <c r="F81"/>
  <c r="D81" s="1"/>
  <c r="F77"/>
  <c r="F75"/>
  <c r="F73"/>
  <c r="F69"/>
  <c r="F65"/>
  <c r="C65" s="1"/>
  <c r="F63"/>
  <c r="F61"/>
  <c r="F59"/>
  <c r="F57"/>
  <c r="F56"/>
  <c r="F53"/>
  <c r="F49"/>
  <c r="F48"/>
  <c r="F47"/>
  <c r="F45"/>
  <c r="F44"/>
  <c r="F43"/>
  <c r="F40"/>
  <c r="F37"/>
  <c r="F36"/>
  <c r="F32"/>
  <c r="F31"/>
  <c r="F28"/>
  <c r="F25"/>
  <c r="F20"/>
  <c r="F18"/>
  <c r="F17"/>
  <c r="E182"/>
  <c r="H462"/>
  <c r="E54"/>
  <c r="E52"/>
  <c r="F424"/>
  <c r="F388"/>
  <c r="F386"/>
  <c r="F368"/>
  <c r="F360"/>
  <c r="F354"/>
  <c r="F328"/>
  <c r="F260"/>
  <c r="F258"/>
  <c r="F252"/>
  <c r="F232"/>
  <c r="F176"/>
  <c r="F124"/>
  <c r="F104"/>
  <c r="F72"/>
  <c r="F66"/>
  <c r="F60"/>
  <c r="F34"/>
  <c r="F16"/>
  <c r="F458"/>
  <c r="F454"/>
  <c r="F446"/>
  <c r="F442"/>
  <c r="F438"/>
  <c r="F430"/>
  <c r="F426"/>
  <c r="F422"/>
  <c r="F414"/>
  <c r="F410"/>
  <c r="F406"/>
  <c r="F398"/>
  <c r="F394"/>
  <c r="F390"/>
  <c r="F382"/>
  <c r="F378"/>
  <c r="F374"/>
  <c r="F366"/>
  <c r="F362"/>
  <c r="F358"/>
  <c r="F350"/>
  <c r="F346"/>
  <c r="F342"/>
  <c r="F334"/>
  <c r="F452"/>
  <c r="F432"/>
  <c r="F420"/>
  <c r="F418"/>
  <c r="F412"/>
  <c r="F392"/>
  <c r="F356"/>
  <c r="F336"/>
  <c r="F324"/>
  <c r="F322"/>
  <c r="F304"/>
  <c r="F240"/>
  <c r="F208"/>
  <c r="F188"/>
  <c r="F144"/>
  <c r="F100"/>
  <c r="C100" s="1"/>
  <c r="F92"/>
  <c r="F80"/>
  <c r="F68"/>
  <c r="F330"/>
  <c r="F318"/>
  <c r="F310"/>
  <c r="F298"/>
  <c r="F282"/>
  <c r="F270"/>
  <c r="F262"/>
  <c r="F250"/>
  <c r="F238"/>
  <c r="F230"/>
  <c r="F218"/>
  <c r="F206"/>
  <c r="F190"/>
  <c r="F154"/>
  <c r="E460"/>
  <c r="E456"/>
  <c r="E448"/>
  <c r="E444"/>
  <c r="E440"/>
  <c r="E432"/>
  <c r="E428"/>
  <c r="E424"/>
  <c r="E416"/>
  <c r="E412"/>
  <c r="E408"/>
  <c r="C408" s="1"/>
  <c r="E400"/>
  <c r="E396"/>
  <c r="E392"/>
  <c r="E384"/>
  <c r="C384" s="1"/>
  <c r="E380"/>
  <c r="E376"/>
  <c r="E368"/>
  <c r="E364"/>
  <c r="E360"/>
  <c r="E352"/>
  <c r="E348"/>
  <c r="E344"/>
  <c r="E336"/>
  <c r="E332"/>
  <c r="E328"/>
  <c r="E320"/>
  <c r="E316"/>
  <c r="E312"/>
  <c r="E304"/>
  <c r="E300"/>
  <c r="E296"/>
  <c r="E288"/>
  <c r="E284"/>
  <c r="E280"/>
  <c r="E272"/>
  <c r="E268"/>
  <c r="E264"/>
  <c r="E256"/>
  <c r="E252"/>
  <c r="E248"/>
  <c r="E240"/>
  <c r="E236"/>
  <c r="E232"/>
  <c r="E224"/>
  <c r="E220"/>
  <c r="E216"/>
  <c r="D216" s="1"/>
  <c r="E208"/>
  <c r="E204"/>
  <c r="E200"/>
  <c r="E192"/>
  <c r="E188"/>
  <c r="E184"/>
  <c r="E176"/>
  <c r="E172"/>
  <c r="E168"/>
  <c r="C168" s="1"/>
  <c r="E160"/>
  <c r="E156"/>
  <c r="E152"/>
  <c r="E144"/>
  <c r="E140"/>
  <c r="C140" s="1"/>
  <c r="E136"/>
  <c r="E128"/>
  <c r="E124"/>
  <c r="E120"/>
  <c r="E112"/>
  <c r="E108"/>
  <c r="E104"/>
  <c r="E96"/>
  <c r="C96" s="1"/>
  <c r="E92"/>
  <c r="E88"/>
  <c r="E80"/>
  <c r="E76"/>
  <c r="E72"/>
  <c r="E64"/>
  <c r="E60"/>
  <c r="E56"/>
  <c r="E48"/>
  <c r="E44"/>
  <c r="E40"/>
  <c r="E32"/>
  <c r="E28"/>
  <c r="E24"/>
  <c r="E16"/>
  <c r="F326"/>
  <c r="F314"/>
  <c r="F302"/>
  <c r="F294"/>
  <c r="F286"/>
  <c r="F278"/>
  <c r="F266"/>
  <c r="F254"/>
  <c r="F246"/>
  <c r="F234"/>
  <c r="F222"/>
  <c r="F214"/>
  <c r="F202"/>
  <c r="F198"/>
  <c r="F186"/>
  <c r="F182"/>
  <c r="F174"/>
  <c r="F170"/>
  <c r="F166"/>
  <c r="F158"/>
  <c r="F150"/>
  <c r="F142"/>
  <c r="F138"/>
  <c r="F134"/>
  <c r="F126"/>
  <c r="F122"/>
  <c r="F118"/>
  <c r="F110"/>
  <c r="F106"/>
  <c r="F102"/>
  <c r="F94"/>
  <c r="F90"/>
  <c r="F86"/>
  <c r="F78"/>
  <c r="F74"/>
  <c r="F70"/>
  <c r="F62"/>
  <c r="F58"/>
  <c r="F54"/>
  <c r="F46"/>
  <c r="F42"/>
  <c r="F38"/>
  <c r="F30"/>
  <c r="C30" s="1"/>
  <c r="F26"/>
  <c r="F22"/>
  <c r="F14"/>
  <c r="F455"/>
  <c r="F451"/>
  <c r="F439"/>
  <c r="F435"/>
  <c r="F423"/>
  <c r="F419"/>
  <c r="F407"/>
  <c r="F403"/>
  <c r="F391"/>
  <c r="F387"/>
  <c r="F375"/>
  <c r="F371"/>
  <c r="F359"/>
  <c r="F355"/>
  <c r="F343"/>
  <c r="F339"/>
  <c r="F327"/>
  <c r="F323"/>
  <c r="F311"/>
  <c r="F307"/>
  <c r="F295"/>
  <c r="F291"/>
  <c r="F279"/>
  <c r="F275"/>
  <c r="F263"/>
  <c r="D263" s="1"/>
  <c r="F259"/>
  <c r="F247"/>
  <c r="F243"/>
  <c r="F231"/>
  <c r="F227"/>
  <c r="F215"/>
  <c r="F211"/>
  <c r="F199"/>
  <c r="D199" s="1"/>
  <c r="F195"/>
  <c r="F183"/>
  <c r="F179"/>
  <c r="F167"/>
  <c r="F163"/>
  <c r="F151"/>
  <c r="F147"/>
  <c r="F135"/>
  <c r="F131"/>
  <c r="F119"/>
  <c r="F115"/>
  <c r="F103"/>
  <c r="F99"/>
  <c r="F87"/>
  <c r="F83"/>
  <c r="F71"/>
  <c r="F67"/>
  <c r="F55"/>
  <c r="F51"/>
  <c r="F39"/>
  <c r="F35"/>
  <c r="F23"/>
  <c r="F19"/>
  <c r="E13"/>
  <c r="J462"/>
  <c r="G462"/>
  <c r="H475" i="9"/>
  <c r="AB263" i="2"/>
  <c r="AB245"/>
  <c r="AB241"/>
  <c r="AB231"/>
  <c r="AB220"/>
  <c r="AB204"/>
  <c r="AB198"/>
  <c r="AB179"/>
  <c r="AB173"/>
  <c r="AB160"/>
  <c r="AB155"/>
  <c r="AB134"/>
  <c r="AB128"/>
  <c r="AB108"/>
  <c r="AB103"/>
  <c r="AB94"/>
  <c r="AB81"/>
  <c r="AB72"/>
  <c r="AB63"/>
  <c r="AB55"/>
  <c r="AB43"/>
  <c r="AB33"/>
  <c r="F461" i="14"/>
  <c r="E461"/>
  <c r="C461" s="1"/>
  <c r="F460"/>
  <c r="E460"/>
  <c r="F459"/>
  <c r="E459"/>
  <c r="C459" s="1"/>
  <c r="F458"/>
  <c r="E458"/>
  <c r="C458" s="1"/>
  <c r="F457"/>
  <c r="E457"/>
  <c r="C457" s="1"/>
  <c r="F456"/>
  <c r="E456"/>
  <c r="F455"/>
  <c r="E455"/>
  <c r="C455" s="1"/>
  <c r="F454"/>
  <c r="C454" s="1"/>
  <c r="E454"/>
  <c r="F453"/>
  <c r="C453" s="1"/>
  <c r="E453"/>
  <c r="F452"/>
  <c r="E452"/>
  <c r="C452" s="1"/>
  <c r="F451"/>
  <c r="E451"/>
  <c r="F450"/>
  <c r="E450"/>
  <c r="C450"/>
  <c r="F449"/>
  <c r="C449" s="1"/>
  <c r="E449"/>
  <c r="F448"/>
  <c r="E448"/>
  <c r="C448" s="1"/>
  <c r="F447"/>
  <c r="E447"/>
  <c r="F446"/>
  <c r="E446"/>
  <c r="C446" s="1"/>
  <c r="F445"/>
  <c r="C445" s="1"/>
  <c r="E445"/>
  <c r="F444"/>
  <c r="E444"/>
  <c r="F443"/>
  <c r="E443"/>
  <c r="F442"/>
  <c r="E442"/>
  <c r="C442" s="1"/>
  <c r="F441"/>
  <c r="E441"/>
  <c r="F440"/>
  <c r="E440"/>
  <c r="F439"/>
  <c r="E439"/>
  <c r="C439" s="1"/>
  <c r="F438"/>
  <c r="E438"/>
  <c r="C438" s="1"/>
  <c r="F437"/>
  <c r="E437"/>
  <c r="F436"/>
  <c r="E436"/>
  <c r="C436" s="1"/>
  <c r="F435"/>
  <c r="E435"/>
  <c r="F434"/>
  <c r="E434"/>
  <c r="C434"/>
  <c r="F433"/>
  <c r="E433"/>
  <c r="F432"/>
  <c r="E432"/>
  <c r="C432" s="1"/>
  <c r="F431"/>
  <c r="E431"/>
  <c r="F430"/>
  <c r="E430"/>
  <c r="C430" s="1"/>
  <c r="F429"/>
  <c r="E429"/>
  <c r="C429" s="1"/>
  <c r="F428"/>
  <c r="E428"/>
  <c r="F427"/>
  <c r="E427"/>
  <c r="C427" s="1"/>
  <c r="F426"/>
  <c r="E426"/>
  <c r="C426" s="1"/>
  <c r="F425"/>
  <c r="E425"/>
  <c r="C425" s="1"/>
  <c r="F424"/>
  <c r="E424"/>
  <c r="F423"/>
  <c r="E423"/>
  <c r="C423" s="1"/>
  <c r="F422"/>
  <c r="C422" s="1"/>
  <c r="E422"/>
  <c r="F421"/>
  <c r="E421"/>
  <c r="F420"/>
  <c r="E420"/>
  <c r="C420" s="1"/>
  <c r="F419"/>
  <c r="E419"/>
  <c r="F418"/>
  <c r="E418"/>
  <c r="C418"/>
  <c r="F417"/>
  <c r="E417"/>
  <c r="F416"/>
  <c r="E416"/>
  <c r="C416" s="1"/>
  <c r="F415"/>
  <c r="E415"/>
  <c r="F414"/>
  <c r="E414"/>
  <c r="C414" s="1"/>
  <c r="F413"/>
  <c r="E413"/>
  <c r="F412"/>
  <c r="E412"/>
  <c r="F411"/>
  <c r="E411"/>
  <c r="C411" s="1"/>
  <c r="F410"/>
  <c r="E410"/>
  <c r="C410" s="1"/>
  <c r="F409"/>
  <c r="E409"/>
  <c r="C409" s="1"/>
  <c r="F408"/>
  <c r="E408"/>
  <c r="F407"/>
  <c r="E407"/>
  <c r="C407" s="1"/>
  <c r="F406"/>
  <c r="E406"/>
  <c r="C406" s="1"/>
  <c r="F405"/>
  <c r="E405"/>
  <c r="F404"/>
  <c r="E404"/>
  <c r="F403"/>
  <c r="E403"/>
  <c r="F402"/>
  <c r="E402"/>
  <c r="C402"/>
  <c r="F401"/>
  <c r="E401"/>
  <c r="F400"/>
  <c r="E400"/>
  <c r="C400" s="1"/>
  <c r="F399"/>
  <c r="E399"/>
  <c r="F398"/>
  <c r="E398"/>
  <c r="C398" s="1"/>
  <c r="F397"/>
  <c r="E397"/>
  <c r="C397" s="1"/>
  <c r="F396"/>
  <c r="E396"/>
  <c r="F395"/>
  <c r="E395"/>
  <c r="C395" s="1"/>
  <c r="F394"/>
  <c r="E394"/>
  <c r="C394" s="1"/>
  <c r="F393"/>
  <c r="E393"/>
  <c r="C393" s="1"/>
  <c r="F392"/>
  <c r="E392"/>
  <c r="F391"/>
  <c r="E391"/>
  <c r="C391" s="1"/>
  <c r="F390"/>
  <c r="C390" s="1"/>
  <c r="E390"/>
  <c r="F389"/>
  <c r="E389"/>
  <c r="F388"/>
  <c r="E388"/>
  <c r="C388" s="1"/>
  <c r="F387"/>
  <c r="E387"/>
  <c r="F386"/>
  <c r="E386"/>
  <c r="C386"/>
  <c r="F385"/>
  <c r="E385"/>
  <c r="F384"/>
  <c r="E384"/>
  <c r="C384" s="1"/>
  <c r="F383"/>
  <c r="E383"/>
  <c r="F382"/>
  <c r="E382"/>
  <c r="C382" s="1"/>
  <c r="F381"/>
  <c r="E381"/>
  <c r="C381" s="1"/>
  <c r="F380"/>
  <c r="E380"/>
  <c r="F379"/>
  <c r="E379"/>
  <c r="C379" s="1"/>
  <c r="F378"/>
  <c r="E378"/>
  <c r="C378" s="1"/>
  <c r="F377"/>
  <c r="E377"/>
  <c r="C377" s="1"/>
  <c r="F376"/>
  <c r="E376"/>
  <c r="F375"/>
  <c r="E375"/>
  <c r="C375" s="1"/>
  <c r="F374"/>
  <c r="E374"/>
  <c r="C374" s="1"/>
  <c r="F373"/>
  <c r="E373"/>
  <c r="F372"/>
  <c r="E372"/>
  <c r="C372" s="1"/>
  <c r="F371"/>
  <c r="E371"/>
  <c r="F370"/>
  <c r="E370"/>
  <c r="C370"/>
  <c r="F369"/>
  <c r="E369"/>
  <c r="F368"/>
  <c r="E368"/>
  <c r="C368" s="1"/>
  <c r="F367"/>
  <c r="E367"/>
  <c r="F366"/>
  <c r="E366"/>
  <c r="C366" s="1"/>
  <c r="F365"/>
  <c r="E365"/>
  <c r="F364"/>
  <c r="E364"/>
  <c r="F363"/>
  <c r="E363"/>
  <c r="C363" s="1"/>
  <c r="F362"/>
  <c r="E362"/>
  <c r="C362" s="1"/>
  <c r="F361"/>
  <c r="E361"/>
  <c r="C361" s="1"/>
  <c r="F360"/>
  <c r="E360"/>
  <c r="F359"/>
  <c r="E359"/>
  <c r="C359" s="1"/>
  <c r="F358"/>
  <c r="E358"/>
  <c r="C358" s="1"/>
  <c r="F357"/>
  <c r="E357"/>
  <c r="F356"/>
  <c r="E356"/>
  <c r="C356" s="1"/>
  <c r="F355"/>
  <c r="E355"/>
  <c r="F354"/>
  <c r="E354"/>
  <c r="C354"/>
  <c r="F353"/>
  <c r="E353"/>
  <c r="F352"/>
  <c r="E352"/>
  <c r="C352" s="1"/>
  <c r="F351"/>
  <c r="E351"/>
  <c r="F350"/>
  <c r="E350"/>
  <c r="C350" s="1"/>
  <c r="F349"/>
  <c r="E349"/>
  <c r="C349" s="1"/>
  <c r="F348"/>
  <c r="E348"/>
  <c r="F347"/>
  <c r="E347"/>
  <c r="C347" s="1"/>
  <c r="F346"/>
  <c r="E346"/>
  <c r="C346" s="1"/>
  <c r="F345"/>
  <c r="E345"/>
  <c r="C345" s="1"/>
  <c r="F344"/>
  <c r="E344"/>
  <c r="F343"/>
  <c r="E343"/>
  <c r="C343" s="1"/>
  <c r="F342"/>
  <c r="E342"/>
  <c r="C342" s="1"/>
  <c r="F341"/>
  <c r="E341"/>
  <c r="F340"/>
  <c r="E340"/>
  <c r="F339"/>
  <c r="E339"/>
  <c r="F338"/>
  <c r="E338"/>
  <c r="C338"/>
  <c r="F337"/>
  <c r="E337"/>
  <c r="F336"/>
  <c r="E336"/>
  <c r="C336" s="1"/>
  <c r="F335"/>
  <c r="E335"/>
  <c r="F334"/>
  <c r="E334"/>
  <c r="C334" s="1"/>
  <c r="F333"/>
  <c r="E333"/>
  <c r="C333" s="1"/>
  <c r="F332"/>
  <c r="E332"/>
  <c r="F331"/>
  <c r="E331"/>
  <c r="C331" s="1"/>
  <c r="F330"/>
  <c r="E330"/>
  <c r="C330" s="1"/>
  <c r="F329"/>
  <c r="E329"/>
  <c r="C329" s="1"/>
  <c r="F328"/>
  <c r="E328"/>
  <c r="F327"/>
  <c r="E327"/>
  <c r="C327" s="1"/>
  <c r="F326"/>
  <c r="E326"/>
  <c r="C326" s="1"/>
  <c r="F325"/>
  <c r="E325"/>
  <c r="F324"/>
  <c r="E324"/>
  <c r="C324" s="1"/>
  <c r="F323"/>
  <c r="E323"/>
  <c r="F322"/>
  <c r="E322"/>
  <c r="C322"/>
  <c r="F321"/>
  <c r="E321"/>
  <c r="F320"/>
  <c r="E320"/>
  <c r="C320" s="1"/>
  <c r="F319"/>
  <c r="E319"/>
  <c r="F318"/>
  <c r="E318"/>
  <c r="C318" s="1"/>
  <c r="F317"/>
  <c r="E317"/>
  <c r="C317" s="1"/>
  <c r="F316"/>
  <c r="E316"/>
  <c r="F315"/>
  <c r="E315"/>
  <c r="C315" s="1"/>
  <c r="F314"/>
  <c r="E314"/>
  <c r="C314" s="1"/>
  <c r="F313"/>
  <c r="E313"/>
  <c r="C313" s="1"/>
  <c r="F312"/>
  <c r="E312"/>
  <c r="F311"/>
  <c r="E311"/>
  <c r="C311" s="1"/>
  <c r="F310"/>
  <c r="E310"/>
  <c r="C310" s="1"/>
  <c r="F309"/>
  <c r="E309"/>
  <c r="F308"/>
  <c r="E308"/>
  <c r="C308" s="1"/>
  <c r="F307"/>
  <c r="E307"/>
  <c r="F306"/>
  <c r="E306"/>
  <c r="C306"/>
  <c r="F305"/>
  <c r="E305"/>
  <c r="F304"/>
  <c r="E304"/>
  <c r="C304" s="1"/>
  <c r="F303"/>
  <c r="E303"/>
  <c r="F302"/>
  <c r="E302"/>
  <c r="C302" s="1"/>
  <c r="F301"/>
  <c r="E301"/>
  <c r="F300"/>
  <c r="E300"/>
  <c r="F299"/>
  <c r="E299"/>
  <c r="C299" s="1"/>
  <c r="F298"/>
  <c r="E298"/>
  <c r="C298" s="1"/>
  <c r="F297"/>
  <c r="E297"/>
  <c r="C297" s="1"/>
  <c r="F296"/>
  <c r="E296"/>
  <c r="F295"/>
  <c r="E295"/>
  <c r="C295" s="1"/>
  <c r="F294"/>
  <c r="E294"/>
  <c r="C294" s="1"/>
  <c r="F293"/>
  <c r="E293"/>
  <c r="F292"/>
  <c r="E292"/>
  <c r="C292" s="1"/>
  <c r="F291"/>
  <c r="E291"/>
  <c r="F290"/>
  <c r="E290"/>
  <c r="C290"/>
  <c r="F289"/>
  <c r="E289"/>
  <c r="F288"/>
  <c r="E288"/>
  <c r="C288" s="1"/>
  <c r="F287"/>
  <c r="E287"/>
  <c r="F286"/>
  <c r="E286"/>
  <c r="C286" s="1"/>
  <c r="F285"/>
  <c r="E285"/>
  <c r="C285" s="1"/>
  <c r="F284"/>
  <c r="E284"/>
  <c r="F283"/>
  <c r="E283"/>
  <c r="C283" s="1"/>
  <c r="F282"/>
  <c r="E282"/>
  <c r="C282" s="1"/>
  <c r="F281"/>
  <c r="E281"/>
  <c r="C281" s="1"/>
  <c r="F280"/>
  <c r="D280" s="1"/>
  <c r="E280"/>
  <c r="F279"/>
  <c r="E279"/>
  <c r="D279" s="1"/>
  <c r="F278"/>
  <c r="D278" s="1"/>
  <c r="E278"/>
  <c r="F277"/>
  <c r="D277" s="1"/>
  <c r="E277"/>
  <c r="F276"/>
  <c r="E276"/>
  <c r="F275"/>
  <c r="E275"/>
  <c r="F274"/>
  <c r="E274"/>
  <c r="D274"/>
  <c r="F273"/>
  <c r="D273" s="1"/>
  <c r="E273"/>
  <c r="F272"/>
  <c r="E272"/>
  <c r="F271"/>
  <c r="E271"/>
  <c r="F270"/>
  <c r="E270"/>
  <c r="D270" s="1"/>
  <c r="F269"/>
  <c r="E269"/>
  <c r="F268"/>
  <c r="D268" s="1"/>
  <c r="E268"/>
  <c r="F267"/>
  <c r="E267"/>
  <c r="D267" s="1"/>
  <c r="F266"/>
  <c r="D266" s="1"/>
  <c r="E266"/>
  <c r="F265"/>
  <c r="E265"/>
  <c r="F264"/>
  <c r="D264" s="1"/>
  <c r="E264"/>
  <c r="F263"/>
  <c r="E263"/>
  <c r="D263" s="1"/>
  <c r="F262"/>
  <c r="D262" s="1"/>
  <c r="E262"/>
  <c r="F261"/>
  <c r="D261" s="1"/>
  <c r="E261"/>
  <c r="F260"/>
  <c r="E260"/>
  <c r="F259"/>
  <c r="E259"/>
  <c r="F258"/>
  <c r="E258"/>
  <c r="D258"/>
  <c r="F257"/>
  <c r="D257" s="1"/>
  <c r="E257"/>
  <c r="F256"/>
  <c r="E256"/>
  <c r="F255"/>
  <c r="E255"/>
  <c r="F254"/>
  <c r="E254"/>
  <c r="D254" s="1"/>
  <c r="F253"/>
  <c r="E253"/>
  <c r="F252"/>
  <c r="D252" s="1"/>
  <c r="E252"/>
  <c r="F251"/>
  <c r="E251"/>
  <c r="D251" s="1"/>
  <c r="F250"/>
  <c r="D250" s="1"/>
  <c r="E250"/>
  <c r="F249"/>
  <c r="E249"/>
  <c r="F248"/>
  <c r="D248" s="1"/>
  <c r="E248"/>
  <c r="F247"/>
  <c r="E247"/>
  <c r="D247" s="1"/>
  <c r="F246"/>
  <c r="D246" s="1"/>
  <c r="E246"/>
  <c r="F245"/>
  <c r="D245" s="1"/>
  <c r="E245"/>
  <c r="F244"/>
  <c r="E244"/>
  <c r="F243"/>
  <c r="E243"/>
  <c r="F242"/>
  <c r="E242"/>
  <c r="D242"/>
  <c r="F241"/>
  <c r="D241" s="1"/>
  <c r="E241"/>
  <c r="F240"/>
  <c r="E240"/>
  <c r="F239"/>
  <c r="E239"/>
  <c r="F238"/>
  <c r="E238"/>
  <c r="D238" s="1"/>
  <c r="F237"/>
  <c r="E237"/>
  <c r="F236"/>
  <c r="D236" s="1"/>
  <c r="E236"/>
  <c r="F235"/>
  <c r="E235"/>
  <c r="D235" s="1"/>
  <c r="F234"/>
  <c r="D234" s="1"/>
  <c r="E234"/>
  <c r="F233"/>
  <c r="E233"/>
  <c r="F232"/>
  <c r="D232" s="1"/>
  <c r="E232"/>
  <c r="F231"/>
  <c r="E231"/>
  <c r="D231" s="1"/>
  <c r="F230"/>
  <c r="D230" s="1"/>
  <c r="E230"/>
  <c r="F229"/>
  <c r="D229" s="1"/>
  <c r="E229"/>
  <c r="F228"/>
  <c r="E228"/>
  <c r="F227"/>
  <c r="E227"/>
  <c r="F226"/>
  <c r="E226"/>
  <c r="D226"/>
  <c r="F225"/>
  <c r="D225" s="1"/>
  <c r="E225"/>
  <c r="F224"/>
  <c r="E224"/>
  <c r="F223"/>
  <c r="E223"/>
  <c r="F222"/>
  <c r="E222"/>
  <c r="D222" s="1"/>
  <c r="F221"/>
  <c r="E221"/>
  <c r="F220"/>
  <c r="D220" s="1"/>
  <c r="E220"/>
  <c r="F219"/>
  <c r="E219"/>
  <c r="D219" s="1"/>
  <c r="F218"/>
  <c r="D218" s="1"/>
  <c r="E218"/>
  <c r="F217"/>
  <c r="E217"/>
  <c r="F216"/>
  <c r="D216" s="1"/>
  <c r="E216"/>
  <c r="F215"/>
  <c r="E215"/>
  <c r="D215" s="1"/>
  <c r="F214"/>
  <c r="D214" s="1"/>
  <c r="E214"/>
  <c r="F213"/>
  <c r="D213" s="1"/>
  <c r="E213"/>
  <c r="F212"/>
  <c r="E212"/>
  <c r="F211"/>
  <c r="E211"/>
  <c r="F210"/>
  <c r="E210"/>
  <c r="D210"/>
  <c r="F209"/>
  <c r="D209" s="1"/>
  <c r="E209"/>
  <c r="F208"/>
  <c r="E208"/>
  <c r="F207"/>
  <c r="E207"/>
  <c r="F206"/>
  <c r="E206"/>
  <c r="D206" s="1"/>
  <c r="F205"/>
  <c r="E205"/>
  <c r="F204"/>
  <c r="D204" s="1"/>
  <c r="E204"/>
  <c r="F203"/>
  <c r="E203"/>
  <c r="D203" s="1"/>
  <c r="F202"/>
  <c r="D202" s="1"/>
  <c r="E202"/>
  <c r="F201"/>
  <c r="E201"/>
  <c r="F200"/>
  <c r="D200" s="1"/>
  <c r="E200"/>
  <c r="F199"/>
  <c r="E199"/>
  <c r="D199" s="1"/>
  <c r="AB272" i="2" s="1"/>
  <c r="F198" i="14"/>
  <c r="D198" s="1"/>
  <c r="AB271" i="2" s="1"/>
  <c r="E198" i="14"/>
  <c r="F197"/>
  <c r="D197" s="1"/>
  <c r="AB270" i="2" s="1"/>
  <c r="E197" i="14"/>
  <c r="F196"/>
  <c r="E196"/>
  <c r="F195"/>
  <c r="E195"/>
  <c r="F194"/>
  <c r="E194"/>
  <c r="D194"/>
  <c r="AB264" i="2" s="1"/>
  <c r="F193" i="14"/>
  <c r="D193" s="1"/>
  <c r="E193"/>
  <c r="F192"/>
  <c r="E192"/>
  <c r="F191"/>
  <c r="E191"/>
  <c r="F190"/>
  <c r="E190"/>
  <c r="D190" s="1"/>
  <c r="AB257" i="2" s="1"/>
  <c r="F189" i="14"/>
  <c r="E189"/>
  <c r="F188"/>
  <c r="D188" s="1"/>
  <c r="AB255" i="2" s="1"/>
  <c r="E188" i="14"/>
  <c r="F187"/>
  <c r="E187"/>
  <c r="F186"/>
  <c r="D186" s="1"/>
  <c r="AB253" i="2" s="1"/>
  <c r="E186" i="14"/>
  <c r="F185"/>
  <c r="E185"/>
  <c r="F184"/>
  <c r="D184" s="1"/>
  <c r="AB249" i="2" s="1"/>
  <c r="E184" i="14"/>
  <c r="F183"/>
  <c r="E183"/>
  <c r="D183" s="1"/>
  <c r="AB248" i="2" s="1"/>
  <c r="F182" i="14"/>
  <c r="D182" s="1"/>
  <c r="AB247" i="2" s="1"/>
  <c r="E182" i="14"/>
  <c r="F181"/>
  <c r="D181" s="1"/>
  <c r="AB246" i="2" s="1"/>
  <c r="E181" i="14"/>
  <c r="F180"/>
  <c r="D180" s="1"/>
  <c r="E180"/>
  <c r="F179"/>
  <c r="E179"/>
  <c r="F178"/>
  <c r="E178"/>
  <c r="D178"/>
  <c r="AB243" i="2" s="1"/>
  <c r="F177" i="14"/>
  <c r="D177" s="1"/>
  <c r="E177"/>
  <c r="F176"/>
  <c r="E176"/>
  <c r="F175"/>
  <c r="E175"/>
  <c r="F174"/>
  <c r="E174"/>
  <c r="D174" s="1"/>
  <c r="AB238" i="2" s="1"/>
  <c r="F173" i="14"/>
  <c r="E173"/>
  <c r="C173" s="1"/>
  <c r="F172"/>
  <c r="E172"/>
  <c r="F171"/>
  <c r="E171"/>
  <c r="C171" s="1"/>
  <c r="AB229" i="2" s="1"/>
  <c r="F170" i="14"/>
  <c r="E170"/>
  <c r="C170" s="1"/>
  <c r="AB228" i="2" s="1"/>
  <c r="F169" i="14"/>
  <c r="E169"/>
  <c r="C169" s="1"/>
  <c r="AB227" i="2" s="1"/>
  <c r="F168" i="14"/>
  <c r="E168"/>
  <c r="F167"/>
  <c r="E167"/>
  <c r="C167" s="1"/>
  <c r="AB223" i="2" s="1"/>
  <c r="F166" i="14"/>
  <c r="E166"/>
  <c r="C166" s="1"/>
  <c r="AB222" i="2" s="1"/>
  <c r="F165" i="14"/>
  <c r="E165"/>
  <c r="F164"/>
  <c r="E164"/>
  <c r="C164" s="1"/>
  <c r="F163"/>
  <c r="E163"/>
  <c r="F162"/>
  <c r="E162"/>
  <c r="C162"/>
  <c r="AB218" i="2" s="1"/>
  <c r="F161" i="14"/>
  <c r="E161"/>
  <c r="F160"/>
  <c r="E160"/>
  <c r="C160" s="1"/>
  <c r="AB216" i="2" s="1"/>
  <c r="F159" i="14"/>
  <c r="E159"/>
  <c r="F158"/>
  <c r="E158"/>
  <c r="C158" s="1"/>
  <c r="AB213" i="2" s="1"/>
  <c r="F157" i="14"/>
  <c r="E157"/>
  <c r="F156"/>
  <c r="E156"/>
  <c r="F155"/>
  <c r="E155"/>
  <c r="C155" s="1"/>
  <c r="F154"/>
  <c r="E154"/>
  <c r="C154" s="1"/>
  <c r="F153"/>
  <c r="E153"/>
  <c r="C153" s="1"/>
  <c r="F152"/>
  <c r="E152"/>
  <c r="F151"/>
  <c r="E151"/>
  <c r="C151" s="1"/>
  <c r="AB211" i="2" s="1"/>
  <c r="F150" i="14"/>
  <c r="E150"/>
  <c r="C150" s="1"/>
  <c r="F149"/>
  <c r="E149"/>
  <c r="F148"/>
  <c r="E148"/>
  <c r="F147"/>
  <c r="E147"/>
  <c r="F146"/>
  <c r="E146"/>
  <c r="C146"/>
  <c r="AB207" i="2" s="1"/>
  <c r="F145" i="14"/>
  <c r="D145" s="1"/>
  <c r="E145"/>
  <c r="F144"/>
  <c r="E144"/>
  <c r="C144" s="1"/>
  <c r="AB203" i="2" s="1"/>
  <c r="F143" i="14"/>
  <c r="E143"/>
  <c r="F142"/>
  <c r="E142"/>
  <c r="C142" s="1"/>
  <c r="AB200" i="2" s="1"/>
  <c r="F141" i="14"/>
  <c r="D141" s="1"/>
  <c r="E141"/>
  <c r="F140"/>
  <c r="E140"/>
  <c r="F139"/>
  <c r="E139"/>
  <c r="F138"/>
  <c r="E138"/>
  <c r="C138" s="1"/>
  <c r="AB194" i="2" s="1"/>
  <c r="F137" i="14"/>
  <c r="E137"/>
  <c r="F136"/>
  <c r="E136"/>
  <c r="F135"/>
  <c r="E135"/>
  <c r="D135" s="1"/>
  <c r="AB188" i="2" s="1"/>
  <c r="F134" i="14"/>
  <c r="E134"/>
  <c r="C134" s="1"/>
  <c r="AB187" i="2" s="1"/>
  <c r="F133" i="14"/>
  <c r="D133" s="1"/>
  <c r="AB185" i="2" s="1"/>
  <c r="E133" i="14"/>
  <c r="F132"/>
  <c r="E132"/>
  <c r="F131"/>
  <c r="E131"/>
  <c r="F130"/>
  <c r="E130"/>
  <c r="C130"/>
  <c r="AB181" i="2" s="1"/>
  <c r="F129" i="14"/>
  <c r="D129" s="1"/>
  <c r="E129"/>
  <c r="F128"/>
  <c r="E128"/>
  <c r="C128" s="1"/>
  <c r="AB178" i="2" s="1"/>
  <c r="F127" i="14"/>
  <c r="E127"/>
  <c r="F126"/>
  <c r="E126"/>
  <c r="C126" s="1"/>
  <c r="AB175" i="2" s="1"/>
  <c r="F125" i="14"/>
  <c r="D125" s="1"/>
  <c r="E125"/>
  <c r="F124"/>
  <c r="E124"/>
  <c r="F123"/>
  <c r="E123"/>
  <c r="F122"/>
  <c r="E122"/>
  <c r="C122" s="1"/>
  <c r="AB169" i="2" s="1"/>
  <c r="F121" i="14"/>
  <c r="E121"/>
  <c r="F120"/>
  <c r="E120"/>
  <c r="F119"/>
  <c r="E119"/>
  <c r="D119" s="1"/>
  <c r="AB164" i="2" s="1"/>
  <c r="F118" i="14"/>
  <c r="E118"/>
  <c r="C118" s="1"/>
  <c r="AB163" i="2" s="1"/>
  <c r="F117" i="14"/>
  <c r="D117" s="1"/>
  <c r="AB161" i="2" s="1"/>
  <c r="E117" i="14"/>
  <c r="F116"/>
  <c r="E116"/>
  <c r="C116" s="1"/>
  <c r="F115"/>
  <c r="E115"/>
  <c r="F114"/>
  <c r="E114"/>
  <c r="C114"/>
  <c r="AB157" i="2" s="1"/>
  <c r="F113" i="14"/>
  <c r="D113" s="1"/>
  <c r="E113"/>
  <c r="F112"/>
  <c r="E112"/>
  <c r="C112" s="1"/>
  <c r="AB154" i="2" s="1"/>
  <c r="F111" i="14"/>
  <c r="E111"/>
  <c r="F110"/>
  <c r="E110"/>
  <c r="C110" s="1"/>
  <c r="AB150" i="2" s="1"/>
  <c r="F109" i="14"/>
  <c r="E109"/>
  <c r="F108"/>
  <c r="E108"/>
  <c r="F107"/>
  <c r="E107"/>
  <c r="D107" s="1"/>
  <c r="AB145" i="2" s="1"/>
  <c r="F106" i="14"/>
  <c r="E106"/>
  <c r="C106" s="1"/>
  <c r="AB144" i="2" s="1"/>
  <c r="F105" i="14"/>
  <c r="E105"/>
  <c r="F104"/>
  <c r="E104"/>
  <c r="F103"/>
  <c r="E103"/>
  <c r="D103" s="1"/>
  <c r="AB138" i="2" s="1"/>
  <c r="F102" i="14"/>
  <c r="C102" s="1"/>
  <c r="AB137" i="2" s="1"/>
  <c r="E102" i="14"/>
  <c r="F101"/>
  <c r="D101" s="1"/>
  <c r="E101"/>
  <c r="F100"/>
  <c r="E100"/>
  <c r="C100" s="1"/>
  <c r="F99"/>
  <c r="E99"/>
  <c r="F98"/>
  <c r="E98"/>
  <c r="C98"/>
  <c r="AB131" i="2" s="1"/>
  <c r="F97" i="14"/>
  <c r="D97" s="1"/>
  <c r="E97"/>
  <c r="F96"/>
  <c r="E96"/>
  <c r="C96" s="1"/>
  <c r="AB127" i="2" s="1"/>
  <c r="F95" i="14"/>
  <c r="E95"/>
  <c r="F94"/>
  <c r="E94"/>
  <c r="C94" s="1"/>
  <c r="AB124" i="2" s="1"/>
  <c r="F93" i="14"/>
  <c r="E93"/>
  <c r="F92"/>
  <c r="E92"/>
  <c r="F91"/>
  <c r="E91"/>
  <c r="D91" s="1"/>
  <c r="AB119" i="2" s="1"/>
  <c r="F90" i="14"/>
  <c r="E90"/>
  <c r="C90" s="1"/>
  <c r="AB118" i="2" s="1"/>
  <c r="F89" i="14"/>
  <c r="E89"/>
  <c r="F88"/>
  <c r="E88"/>
  <c r="F87"/>
  <c r="E87"/>
  <c r="D87" s="1"/>
  <c r="AB112" i="2" s="1"/>
  <c r="F86" i="14"/>
  <c r="C86" s="1"/>
  <c r="AB111" i="2" s="1"/>
  <c r="E86" i="14"/>
  <c r="F85"/>
  <c r="D85" s="1"/>
  <c r="AB109" i="2" s="1"/>
  <c r="E85" i="14"/>
  <c r="F84"/>
  <c r="E84"/>
  <c r="C84" s="1"/>
  <c r="F83"/>
  <c r="E83"/>
  <c r="F82"/>
  <c r="E82"/>
  <c r="C82"/>
  <c r="AB105" i="2" s="1"/>
  <c r="F81" i="14"/>
  <c r="D81" s="1"/>
  <c r="E81"/>
  <c r="F80"/>
  <c r="E80"/>
  <c r="C80" s="1"/>
  <c r="AB102" i="2" s="1"/>
  <c r="F79" i="14"/>
  <c r="E79"/>
  <c r="F78"/>
  <c r="E78"/>
  <c r="C78" s="1"/>
  <c r="AB96" i="2" s="1"/>
  <c r="F77" i="14"/>
  <c r="E77"/>
  <c r="C77" s="1"/>
  <c r="F76"/>
  <c r="E76"/>
  <c r="F75"/>
  <c r="E75"/>
  <c r="C75" s="1"/>
  <c r="AB92" i="2" s="1"/>
  <c r="F74" i="14"/>
  <c r="E74"/>
  <c r="C74" s="1"/>
  <c r="AB91" i="2" s="1"/>
  <c r="F73" i="14"/>
  <c r="E73"/>
  <c r="C73" s="1"/>
  <c r="AB87" i="2" s="1"/>
  <c r="F72" i="14"/>
  <c r="E72"/>
  <c r="F71"/>
  <c r="E71"/>
  <c r="C71" s="1"/>
  <c r="AB84" i="2" s="1"/>
  <c r="F70" i="14"/>
  <c r="C70" s="1"/>
  <c r="AB83" i="2" s="1"/>
  <c r="E70" i="14"/>
  <c r="F69"/>
  <c r="E69"/>
  <c r="F68"/>
  <c r="E68"/>
  <c r="C68" s="1"/>
  <c r="F67"/>
  <c r="E67"/>
  <c r="F66"/>
  <c r="E66"/>
  <c r="C66"/>
  <c r="AB79" i="2" s="1"/>
  <c r="F65" i="14"/>
  <c r="E65"/>
  <c r="F64"/>
  <c r="E64"/>
  <c r="C64" s="1"/>
  <c r="AB76" i="2" s="1"/>
  <c r="F63" i="14"/>
  <c r="E63"/>
  <c r="F62"/>
  <c r="E62"/>
  <c r="C62" s="1"/>
  <c r="AB74" i="2" s="1"/>
  <c r="F61" i="14"/>
  <c r="E61"/>
  <c r="C61" s="1"/>
  <c r="F60"/>
  <c r="E60"/>
  <c r="F59"/>
  <c r="E59"/>
  <c r="C59" s="1"/>
  <c r="AB70" i="2" s="1"/>
  <c r="F58" i="14"/>
  <c r="E58"/>
  <c r="C58" s="1"/>
  <c r="AB69" i="2" s="1"/>
  <c r="F57" i="14"/>
  <c r="E57"/>
  <c r="C57" s="1"/>
  <c r="AB68" i="2" s="1"/>
  <c r="F56" i="14"/>
  <c r="E56"/>
  <c r="F55"/>
  <c r="E55"/>
  <c r="C55" s="1"/>
  <c r="AB66" i="2" s="1"/>
  <c r="F54" i="14"/>
  <c r="C54" s="1"/>
  <c r="AB65" i="2" s="1"/>
  <c r="E54" i="14"/>
  <c r="F53"/>
  <c r="E53"/>
  <c r="F52"/>
  <c r="E52"/>
  <c r="C52" s="1"/>
  <c r="F51"/>
  <c r="E51"/>
  <c r="F50"/>
  <c r="E50"/>
  <c r="C50"/>
  <c r="AB61" i="2" s="1"/>
  <c r="F49" i="14"/>
  <c r="E49"/>
  <c r="F48"/>
  <c r="E48"/>
  <c r="C48" s="1"/>
  <c r="AB59" i="2" s="1"/>
  <c r="F47" i="14"/>
  <c r="E47"/>
  <c r="F46"/>
  <c r="E46"/>
  <c r="C46" s="1"/>
  <c r="AB56" i="2" s="1"/>
  <c r="F45" i="14"/>
  <c r="E45"/>
  <c r="C45" s="1"/>
  <c r="F44"/>
  <c r="E44"/>
  <c r="F43"/>
  <c r="E43"/>
  <c r="C43" s="1"/>
  <c r="AB51" i="2" s="1"/>
  <c r="F42" i="14"/>
  <c r="E42"/>
  <c r="C42" s="1"/>
  <c r="F41"/>
  <c r="E41"/>
  <c r="C41" s="1"/>
  <c r="AB50" i="2" s="1"/>
  <c r="F40" i="14"/>
  <c r="E40"/>
  <c r="F39"/>
  <c r="E39"/>
  <c r="C39" s="1"/>
  <c r="AB46" i="2" s="1"/>
  <c r="F38" i="14"/>
  <c r="C38" s="1"/>
  <c r="AB45" i="2" s="1"/>
  <c r="E38" i="14"/>
  <c r="F37"/>
  <c r="E37"/>
  <c r="F36"/>
  <c r="E36"/>
  <c r="C36" s="1"/>
  <c r="F35"/>
  <c r="E35"/>
  <c r="F34"/>
  <c r="E34"/>
  <c r="C34"/>
  <c r="AB40" i="2" s="1"/>
  <c r="F33" i="14"/>
  <c r="E33"/>
  <c r="F32"/>
  <c r="E32"/>
  <c r="C32" s="1"/>
  <c r="AB38" i="2" s="1"/>
  <c r="F31" i="14"/>
  <c r="E31"/>
  <c r="F30"/>
  <c r="E30"/>
  <c r="C30" s="1"/>
  <c r="AB36" i="2" s="1"/>
  <c r="F29" i="14"/>
  <c r="E29"/>
  <c r="C29" s="1"/>
  <c r="F28"/>
  <c r="E28"/>
  <c r="F27"/>
  <c r="E27"/>
  <c r="C27" s="1"/>
  <c r="F26"/>
  <c r="E26"/>
  <c r="C26" s="1"/>
  <c r="AB32" i="2" s="1"/>
  <c r="F25" i="14"/>
  <c r="E25"/>
  <c r="C25" s="1"/>
  <c r="AB29" i="2" s="1"/>
  <c r="F24" i="14"/>
  <c r="E24"/>
  <c r="F23"/>
  <c r="E23"/>
  <c r="C23" s="1"/>
  <c r="AB27" i="2" s="1"/>
  <c r="F22" i="14"/>
  <c r="C22" s="1"/>
  <c r="AB26" i="2" s="1"/>
  <c r="E22" i="14"/>
  <c r="F21"/>
  <c r="E21"/>
  <c r="F20"/>
  <c r="E20"/>
  <c r="C20" s="1"/>
  <c r="AB23" i="2" s="1"/>
  <c r="F19" i="14"/>
  <c r="E19"/>
  <c r="F18"/>
  <c r="E18"/>
  <c r="C18"/>
  <c r="AB21" i="2" s="1"/>
  <c r="F17" i="14"/>
  <c r="E17"/>
  <c r="F16"/>
  <c r="E16"/>
  <c r="C16" s="1"/>
  <c r="AB18" i="2" s="1"/>
  <c r="F15" i="14"/>
  <c r="E15"/>
  <c r="F14"/>
  <c r="E14"/>
  <c r="C14" s="1"/>
  <c r="AB16" i="2" s="1"/>
  <c r="F13" i="14"/>
  <c r="E13"/>
  <c r="E9"/>
  <c r="AA221" i="2"/>
  <c r="AA135"/>
  <c r="AA82"/>
  <c r="AA64"/>
  <c r="AA44"/>
  <c r="AA34"/>
  <c r="AA22"/>
  <c r="F461" i="13"/>
  <c r="E461"/>
  <c r="F460"/>
  <c r="E460"/>
  <c r="C460" s="1"/>
  <c r="F459"/>
  <c r="E459"/>
  <c r="F458"/>
  <c r="E458"/>
  <c r="C458"/>
  <c r="F457"/>
  <c r="C457" s="1"/>
  <c r="E457"/>
  <c r="F456"/>
  <c r="E456"/>
  <c r="C456" s="1"/>
  <c r="F455"/>
  <c r="E455"/>
  <c r="F454"/>
  <c r="E454"/>
  <c r="C454" s="1"/>
  <c r="F453"/>
  <c r="E453"/>
  <c r="F452"/>
  <c r="E452"/>
  <c r="F451"/>
  <c r="E451"/>
  <c r="C451" s="1"/>
  <c r="F450"/>
  <c r="E450"/>
  <c r="C450" s="1"/>
  <c r="F449"/>
  <c r="E449"/>
  <c r="F448"/>
  <c r="E448"/>
  <c r="F447"/>
  <c r="E447"/>
  <c r="C447" s="1"/>
  <c r="F446"/>
  <c r="C446" s="1"/>
  <c r="E446"/>
  <c r="F445"/>
  <c r="E445"/>
  <c r="F444"/>
  <c r="E444"/>
  <c r="C444" s="1"/>
  <c r="F443"/>
  <c r="E443"/>
  <c r="F442"/>
  <c r="E442"/>
  <c r="C442"/>
  <c r="F441"/>
  <c r="E441"/>
  <c r="F440"/>
  <c r="E440"/>
  <c r="C440" s="1"/>
  <c r="F439"/>
  <c r="E439"/>
  <c r="F438"/>
  <c r="E438"/>
  <c r="C438" s="1"/>
  <c r="F437"/>
  <c r="E437"/>
  <c r="C437" s="1"/>
  <c r="F436"/>
  <c r="E436"/>
  <c r="F435"/>
  <c r="E435"/>
  <c r="C435" s="1"/>
  <c r="F434"/>
  <c r="E434"/>
  <c r="C434" s="1"/>
  <c r="F433"/>
  <c r="E433"/>
  <c r="C433" s="1"/>
  <c r="F432"/>
  <c r="E432"/>
  <c r="F431"/>
  <c r="E431"/>
  <c r="C431" s="1"/>
  <c r="F430"/>
  <c r="C430" s="1"/>
  <c r="E430"/>
  <c r="F429"/>
  <c r="E429"/>
  <c r="F428"/>
  <c r="E428"/>
  <c r="C428" s="1"/>
  <c r="F427"/>
  <c r="E427"/>
  <c r="F426"/>
  <c r="E426"/>
  <c r="C426"/>
  <c r="F425"/>
  <c r="E425"/>
  <c r="F424"/>
  <c r="E424"/>
  <c r="C424" s="1"/>
  <c r="F423"/>
  <c r="E423"/>
  <c r="F422"/>
  <c r="E422"/>
  <c r="C422" s="1"/>
  <c r="F421"/>
  <c r="E421"/>
  <c r="C421" s="1"/>
  <c r="F420"/>
  <c r="E420"/>
  <c r="F419"/>
  <c r="E419"/>
  <c r="C419" s="1"/>
  <c r="F418"/>
  <c r="E418"/>
  <c r="C418" s="1"/>
  <c r="F417"/>
  <c r="E417"/>
  <c r="C417" s="1"/>
  <c r="F416"/>
  <c r="E416"/>
  <c r="F415"/>
  <c r="E415"/>
  <c r="C415" s="1"/>
  <c r="F414"/>
  <c r="E414"/>
  <c r="C414" s="1"/>
  <c r="F413"/>
  <c r="E413"/>
  <c r="F412"/>
  <c r="E412"/>
  <c r="C412" s="1"/>
  <c r="F411"/>
  <c r="E411"/>
  <c r="F410"/>
  <c r="E410"/>
  <c r="C410"/>
  <c r="F409"/>
  <c r="E409"/>
  <c r="F408"/>
  <c r="E408"/>
  <c r="C408" s="1"/>
  <c r="F407"/>
  <c r="E407"/>
  <c r="F406"/>
  <c r="E406"/>
  <c r="C406" s="1"/>
  <c r="F405"/>
  <c r="E405"/>
  <c r="C405" s="1"/>
  <c r="F404"/>
  <c r="E404"/>
  <c r="F403"/>
  <c r="E403"/>
  <c r="C403" s="1"/>
  <c r="F402"/>
  <c r="E402"/>
  <c r="C402" s="1"/>
  <c r="F401"/>
  <c r="E401"/>
  <c r="C401" s="1"/>
  <c r="F400"/>
  <c r="E400"/>
  <c r="F399"/>
  <c r="E399"/>
  <c r="C399" s="1"/>
  <c r="F398"/>
  <c r="E398"/>
  <c r="C398" s="1"/>
  <c r="F397"/>
  <c r="E397"/>
  <c r="F396"/>
  <c r="E396"/>
  <c r="C396" s="1"/>
  <c r="F395"/>
  <c r="E395"/>
  <c r="F394"/>
  <c r="E394"/>
  <c r="C394"/>
  <c r="F393"/>
  <c r="E393"/>
  <c r="F392"/>
  <c r="E392"/>
  <c r="C392" s="1"/>
  <c r="F391"/>
  <c r="E391"/>
  <c r="F390"/>
  <c r="E390"/>
  <c r="C390" s="1"/>
  <c r="F389"/>
  <c r="E389"/>
  <c r="F388"/>
  <c r="E388"/>
  <c r="F387"/>
  <c r="E387"/>
  <c r="F386"/>
  <c r="E386"/>
  <c r="C386" s="1"/>
  <c r="F385"/>
  <c r="E385"/>
  <c r="C385" s="1"/>
  <c r="F384"/>
  <c r="E384"/>
  <c r="F383"/>
  <c r="E383"/>
  <c r="C383" s="1"/>
  <c r="F382"/>
  <c r="E382"/>
  <c r="C382" s="1"/>
  <c r="F381"/>
  <c r="E381"/>
  <c r="F380"/>
  <c r="E380"/>
  <c r="C380" s="1"/>
  <c r="F379"/>
  <c r="E379"/>
  <c r="F378"/>
  <c r="E378"/>
  <c r="C378"/>
  <c r="F377"/>
  <c r="E377"/>
  <c r="F376"/>
  <c r="E376"/>
  <c r="C376" s="1"/>
  <c r="F375"/>
  <c r="E375"/>
  <c r="F374"/>
  <c r="E374"/>
  <c r="C374" s="1"/>
  <c r="F373"/>
  <c r="E373"/>
  <c r="C373" s="1"/>
  <c r="F372"/>
  <c r="E372"/>
  <c r="F371"/>
  <c r="E371"/>
  <c r="C371" s="1"/>
  <c r="F370"/>
  <c r="E370"/>
  <c r="C370" s="1"/>
  <c r="F369"/>
  <c r="E369"/>
  <c r="F368"/>
  <c r="E368"/>
  <c r="F367"/>
  <c r="E367"/>
  <c r="C367" s="1"/>
  <c r="F366"/>
  <c r="C366" s="1"/>
  <c r="E366"/>
  <c r="F365"/>
  <c r="C365" s="1"/>
  <c r="E365"/>
  <c r="F364"/>
  <c r="E364"/>
  <c r="C364" s="1"/>
  <c r="F363"/>
  <c r="E363"/>
  <c r="F362"/>
  <c r="E362"/>
  <c r="C362"/>
  <c r="F361"/>
  <c r="C361" s="1"/>
  <c r="E361"/>
  <c r="F360"/>
  <c r="E360"/>
  <c r="C360" s="1"/>
  <c r="F359"/>
  <c r="E359"/>
  <c r="F358"/>
  <c r="E358"/>
  <c r="C358" s="1"/>
  <c r="F357"/>
  <c r="E357"/>
  <c r="F356"/>
  <c r="E356"/>
  <c r="F355"/>
  <c r="E355"/>
  <c r="C355" s="1"/>
  <c r="F354"/>
  <c r="E354"/>
  <c r="C354" s="1"/>
  <c r="F353"/>
  <c r="E353"/>
  <c r="F352"/>
  <c r="E352"/>
  <c r="F351"/>
  <c r="E351"/>
  <c r="C351" s="1"/>
  <c r="F350"/>
  <c r="C350" s="1"/>
  <c r="E350"/>
  <c r="F349"/>
  <c r="C349" s="1"/>
  <c r="E349"/>
  <c r="F348"/>
  <c r="E348"/>
  <c r="C348" s="1"/>
  <c r="F347"/>
  <c r="E347"/>
  <c r="F346"/>
  <c r="E346"/>
  <c r="C346"/>
  <c r="F345"/>
  <c r="E345"/>
  <c r="F344"/>
  <c r="E344"/>
  <c r="C344" s="1"/>
  <c r="F343"/>
  <c r="E343"/>
  <c r="F342"/>
  <c r="E342"/>
  <c r="C342" s="1"/>
  <c r="F341"/>
  <c r="C341" s="1"/>
  <c r="E341"/>
  <c r="F340"/>
  <c r="E340"/>
  <c r="F339"/>
  <c r="E339"/>
  <c r="F338"/>
  <c r="E338"/>
  <c r="C338" s="1"/>
  <c r="F337"/>
  <c r="E337"/>
  <c r="C337" s="1"/>
  <c r="F336"/>
  <c r="E336"/>
  <c r="F335"/>
  <c r="E335"/>
  <c r="C335" s="1"/>
  <c r="F334"/>
  <c r="E334"/>
  <c r="C334" s="1"/>
  <c r="F333"/>
  <c r="C333" s="1"/>
  <c r="E333"/>
  <c r="F332"/>
  <c r="E332"/>
  <c r="C332" s="1"/>
  <c r="F331"/>
  <c r="E331"/>
  <c r="F330"/>
  <c r="E330"/>
  <c r="C330"/>
  <c r="F329"/>
  <c r="C329" s="1"/>
  <c r="E329"/>
  <c r="F328"/>
  <c r="E328"/>
  <c r="C328" s="1"/>
  <c r="F327"/>
  <c r="E327"/>
  <c r="F326"/>
  <c r="E326"/>
  <c r="C326" s="1"/>
  <c r="F325"/>
  <c r="C325" s="1"/>
  <c r="E325"/>
  <c r="F324"/>
  <c r="E324"/>
  <c r="F323"/>
  <c r="E323"/>
  <c r="F322"/>
  <c r="E322"/>
  <c r="C322" s="1"/>
  <c r="F321"/>
  <c r="E321"/>
  <c r="F320"/>
  <c r="E320"/>
  <c r="F319"/>
  <c r="E319"/>
  <c r="C319" s="1"/>
  <c r="F318"/>
  <c r="E318"/>
  <c r="C318" s="1"/>
  <c r="F317"/>
  <c r="C317" s="1"/>
  <c r="E317"/>
  <c r="F316"/>
  <c r="E316"/>
  <c r="C316" s="1"/>
  <c r="F315"/>
  <c r="E315"/>
  <c r="F314"/>
  <c r="E314"/>
  <c r="C314"/>
  <c r="F313"/>
  <c r="C313" s="1"/>
  <c r="E313"/>
  <c r="F312"/>
  <c r="E312"/>
  <c r="C312" s="1"/>
  <c r="F311"/>
  <c r="E311"/>
  <c r="F310"/>
  <c r="E310"/>
  <c r="C310" s="1"/>
  <c r="F309"/>
  <c r="C309" s="1"/>
  <c r="E309"/>
  <c r="F308"/>
  <c r="E308"/>
  <c r="F307"/>
  <c r="E307"/>
  <c r="F306"/>
  <c r="E306"/>
  <c r="C306" s="1"/>
  <c r="F305"/>
  <c r="E305"/>
  <c r="F304"/>
  <c r="E304"/>
  <c r="F303"/>
  <c r="E303"/>
  <c r="C303" s="1"/>
  <c r="F302"/>
  <c r="E302"/>
  <c r="C302" s="1"/>
  <c r="F301"/>
  <c r="C301" s="1"/>
  <c r="E301"/>
  <c r="F300"/>
  <c r="E300"/>
  <c r="F299"/>
  <c r="E299"/>
  <c r="F298"/>
  <c r="E298"/>
  <c r="C298"/>
  <c r="F297"/>
  <c r="C297" s="1"/>
  <c r="E297"/>
  <c r="F296"/>
  <c r="E296"/>
  <c r="C296" s="1"/>
  <c r="F295"/>
  <c r="E295"/>
  <c r="F294"/>
  <c r="E294"/>
  <c r="C294" s="1"/>
  <c r="F293"/>
  <c r="C293" s="1"/>
  <c r="E293"/>
  <c r="F292"/>
  <c r="E292"/>
  <c r="F291"/>
  <c r="E291"/>
  <c r="F290"/>
  <c r="E290"/>
  <c r="C290" s="1"/>
  <c r="F289"/>
  <c r="E289"/>
  <c r="C289" s="1"/>
  <c r="F288"/>
  <c r="E288"/>
  <c r="F287"/>
  <c r="E287"/>
  <c r="C287" s="1"/>
  <c r="F286"/>
  <c r="E286"/>
  <c r="C286" s="1"/>
  <c r="F285"/>
  <c r="E285"/>
  <c r="F284"/>
  <c r="E284"/>
  <c r="F283"/>
  <c r="E283"/>
  <c r="F282"/>
  <c r="E282"/>
  <c r="C282"/>
  <c r="F281"/>
  <c r="E281"/>
  <c r="F280"/>
  <c r="E280"/>
  <c r="F279"/>
  <c r="E279"/>
  <c r="F278"/>
  <c r="E278"/>
  <c r="D278" s="1"/>
  <c r="F277"/>
  <c r="D277" s="1"/>
  <c r="E277"/>
  <c r="F276"/>
  <c r="D276" s="1"/>
  <c r="E276"/>
  <c r="F275"/>
  <c r="E275"/>
  <c r="F274"/>
  <c r="D274" s="1"/>
  <c r="E274"/>
  <c r="F273"/>
  <c r="E273"/>
  <c r="F272"/>
  <c r="D272" s="1"/>
  <c r="E272"/>
  <c r="F271"/>
  <c r="E271"/>
  <c r="D271" s="1"/>
  <c r="F270"/>
  <c r="D270" s="1"/>
  <c r="E270"/>
  <c r="F269"/>
  <c r="D269" s="1"/>
  <c r="E269"/>
  <c r="F268"/>
  <c r="D268" s="1"/>
  <c r="E268"/>
  <c r="F267"/>
  <c r="E267"/>
  <c r="F266"/>
  <c r="E266"/>
  <c r="D266"/>
  <c r="F265"/>
  <c r="D265" s="1"/>
  <c r="E265"/>
  <c r="F264"/>
  <c r="E264"/>
  <c r="F263"/>
  <c r="E263"/>
  <c r="F262"/>
  <c r="E262"/>
  <c r="D262" s="1"/>
  <c r="F261"/>
  <c r="D261" s="1"/>
  <c r="E261"/>
  <c r="F260"/>
  <c r="D260" s="1"/>
  <c r="E260"/>
  <c r="F259"/>
  <c r="E259"/>
  <c r="F258"/>
  <c r="D258" s="1"/>
  <c r="E258"/>
  <c r="F257"/>
  <c r="E257"/>
  <c r="F256"/>
  <c r="D256" s="1"/>
  <c r="E256"/>
  <c r="F255"/>
  <c r="E255"/>
  <c r="D255" s="1"/>
  <c r="F254"/>
  <c r="D254" s="1"/>
  <c r="E254"/>
  <c r="F253"/>
  <c r="D253" s="1"/>
  <c r="E253"/>
  <c r="F252"/>
  <c r="E252"/>
  <c r="F251"/>
  <c r="E251"/>
  <c r="F250"/>
  <c r="E250"/>
  <c r="D250"/>
  <c r="F249"/>
  <c r="D249" s="1"/>
  <c r="E249"/>
  <c r="F248"/>
  <c r="E248"/>
  <c r="F247"/>
  <c r="E247"/>
  <c r="F246"/>
  <c r="E246"/>
  <c r="D246" s="1"/>
  <c r="F245"/>
  <c r="D245" s="1"/>
  <c r="E245"/>
  <c r="F244"/>
  <c r="D244" s="1"/>
  <c r="E244"/>
  <c r="F243"/>
  <c r="E243"/>
  <c r="F242"/>
  <c r="D242" s="1"/>
  <c r="E242"/>
  <c r="F241"/>
  <c r="E241"/>
  <c r="F240"/>
  <c r="D240" s="1"/>
  <c r="E240"/>
  <c r="F239"/>
  <c r="E239"/>
  <c r="D239" s="1"/>
  <c r="F238"/>
  <c r="D238" s="1"/>
  <c r="E238"/>
  <c r="F237"/>
  <c r="D237" s="1"/>
  <c r="E237"/>
  <c r="F236"/>
  <c r="D236" s="1"/>
  <c r="E236"/>
  <c r="F235"/>
  <c r="E235"/>
  <c r="F234"/>
  <c r="E234"/>
  <c r="D234"/>
  <c r="F233"/>
  <c r="D233" s="1"/>
  <c r="E233"/>
  <c r="F232"/>
  <c r="E232"/>
  <c r="F231"/>
  <c r="E231"/>
  <c r="F230"/>
  <c r="E230"/>
  <c r="D230" s="1"/>
  <c r="F229"/>
  <c r="D229" s="1"/>
  <c r="E229"/>
  <c r="F228"/>
  <c r="D228" s="1"/>
  <c r="E228"/>
  <c r="F227"/>
  <c r="E227"/>
  <c r="D227" s="1"/>
  <c r="F226"/>
  <c r="D226" s="1"/>
  <c r="E226"/>
  <c r="F225"/>
  <c r="E225"/>
  <c r="F224"/>
  <c r="D224" s="1"/>
  <c r="E224"/>
  <c r="F223"/>
  <c r="E223"/>
  <c r="D223" s="1"/>
  <c r="F222"/>
  <c r="D222" s="1"/>
  <c r="E222"/>
  <c r="F221"/>
  <c r="D221" s="1"/>
  <c r="E221"/>
  <c r="F220"/>
  <c r="E220"/>
  <c r="F219"/>
  <c r="E219"/>
  <c r="F218"/>
  <c r="E218"/>
  <c r="D218"/>
  <c r="F217"/>
  <c r="D217" s="1"/>
  <c r="E217"/>
  <c r="F216"/>
  <c r="E216"/>
  <c r="F215"/>
  <c r="E215"/>
  <c r="F214"/>
  <c r="E214"/>
  <c r="D214" s="1"/>
  <c r="F213"/>
  <c r="E213"/>
  <c r="F212"/>
  <c r="D212" s="1"/>
  <c r="E212"/>
  <c r="F211"/>
  <c r="E211"/>
  <c r="D211" s="1"/>
  <c r="F210"/>
  <c r="D210" s="1"/>
  <c r="E210"/>
  <c r="F209"/>
  <c r="E209"/>
  <c r="F208"/>
  <c r="D208" s="1"/>
  <c r="E208"/>
  <c r="F207"/>
  <c r="E207"/>
  <c r="D207" s="1"/>
  <c r="F206"/>
  <c r="D206" s="1"/>
  <c r="E206"/>
  <c r="F205"/>
  <c r="D205" s="1"/>
  <c r="E205"/>
  <c r="F204"/>
  <c r="E204"/>
  <c r="F203"/>
  <c r="E203"/>
  <c r="F202"/>
  <c r="E202"/>
  <c r="D202"/>
  <c r="F201"/>
  <c r="D201" s="1"/>
  <c r="E201"/>
  <c r="F200"/>
  <c r="E200"/>
  <c r="F199"/>
  <c r="E199"/>
  <c r="F198"/>
  <c r="E198"/>
  <c r="D198" s="1"/>
  <c r="AA271" i="2" s="1"/>
  <c r="F197" i="13"/>
  <c r="E197"/>
  <c r="F196"/>
  <c r="D196" s="1"/>
  <c r="AA266" i="2" s="1"/>
  <c r="E196" i="13"/>
  <c r="F195"/>
  <c r="E195"/>
  <c r="D195" s="1"/>
  <c r="AA265" i="2" s="1"/>
  <c r="F194" i="13"/>
  <c r="D194" s="1"/>
  <c r="AA264" i="2" s="1"/>
  <c r="E194" i="13"/>
  <c r="F193"/>
  <c r="E193"/>
  <c r="F192"/>
  <c r="D192" s="1"/>
  <c r="AA262" i="2" s="1"/>
  <c r="E192" i="13"/>
  <c r="F191"/>
  <c r="E191"/>
  <c r="D191" s="1"/>
  <c r="AA261" i="2" s="1"/>
  <c r="F190" i="13"/>
  <c r="D190" s="1"/>
  <c r="AA257" i="2" s="1"/>
  <c r="E190" i="13"/>
  <c r="F189"/>
  <c r="D189" s="1"/>
  <c r="AA256" i="2" s="1"/>
  <c r="E189" i="13"/>
  <c r="F188"/>
  <c r="E188"/>
  <c r="F187"/>
  <c r="E187"/>
  <c r="F186"/>
  <c r="E186"/>
  <c r="D186"/>
  <c r="AA253" i="2" s="1"/>
  <c r="F185" i="13"/>
  <c r="D185" s="1"/>
  <c r="AA251" i="2" s="1"/>
  <c r="E185" i="13"/>
  <c r="F184"/>
  <c r="E184"/>
  <c r="F183"/>
  <c r="E183"/>
  <c r="F182"/>
  <c r="E182"/>
  <c r="D182" s="1"/>
  <c r="AA247" i="2" s="1"/>
  <c r="F181" i="13"/>
  <c r="E181"/>
  <c r="F180"/>
  <c r="D180" s="1"/>
  <c r="AA245" i="2" s="1"/>
  <c r="E180" i="13"/>
  <c r="F179"/>
  <c r="E179"/>
  <c r="D179" s="1"/>
  <c r="AA244" i="2" s="1"/>
  <c r="F178" i="13"/>
  <c r="D178" s="1"/>
  <c r="AA243" i="2" s="1"/>
  <c r="E178" i="13"/>
  <c r="F177"/>
  <c r="E177"/>
  <c r="F176"/>
  <c r="D176" s="1"/>
  <c r="AA240" i="2" s="1"/>
  <c r="E176" i="13"/>
  <c r="F175"/>
  <c r="E175"/>
  <c r="D175" s="1"/>
  <c r="AA239" i="2" s="1"/>
  <c r="F174" i="13"/>
  <c r="D174" s="1"/>
  <c r="AA238" i="2" s="1"/>
  <c r="E174" i="13"/>
  <c r="F173"/>
  <c r="E173"/>
  <c r="F172"/>
  <c r="E172"/>
  <c r="C172" s="1"/>
  <c r="AA230" i="2" s="1"/>
  <c r="F171" i="13"/>
  <c r="E171"/>
  <c r="F170"/>
  <c r="E170"/>
  <c r="C170"/>
  <c r="AA228" i="2" s="1"/>
  <c r="F169" i="13"/>
  <c r="E169"/>
  <c r="F168"/>
  <c r="E168"/>
  <c r="C168" s="1"/>
  <c r="AA224" i="2" s="1"/>
  <c r="F167" i="13"/>
  <c r="E167"/>
  <c r="F166"/>
  <c r="E166"/>
  <c r="C166" s="1"/>
  <c r="AA222" i="2" s="1"/>
  <c r="F165" i="13"/>
  <c r="E165"/>
  <c r="C165" s="1"/>
  <c r="F164"/>
  <c r="E164"/>
  <c r="F163"/>
  <c r="E163"/>
  <c r="C163" s="1"/>
  <c r="AA219" i="2" s="1"/>
  <c r="F162" i="13"/>
  <c r="E162"/>
  <c r="C162" s="1"/>
  <c r="AA218" i="2" s="1"/>
  <c r="F161" i="13"/>
  <c r="E161"/>
  <c r="C161" s="1"/>
  <c r="AA217" i="2" s="1"/>
  <c r="F160" i="13"/>
  <c r="E160"/>
  <c r="F159"/>
  <c r="E159"/>
  <c r="C159" s="1"/>
  <c r="AA215" i="2" s="1"/>
  <c r="F158" i="13"/>
  <c r="C158" s="1"/>
  <c r="AA213" i="2" s="1"/>
  <c r="E158" i="13"/>
  <c r="F157"/>
  <c r="E157"/>
  <c r="F156"/>
  <c r="E156"/>
  <c r="C156" s="1"/>
  <c r="F155"/>
  <c r="E155"/>
  <c r="F154"/>
  <c r="E154"/>
  <c r="C154"/>
  <c r="F153"/>
  <c r="E153"/>
  <c r="F152"/>
  <c r="E152"/>
  <c r="C152" s="1"/>
  <c r="F151"/>
  <c r="E151"/>
  <c r="F150"/>
  <c r="E150"/>
  <c r="C150" s="1"/>
  <c r="F149"/>
  <c r="E149"/>
  <c r="C149" s="1"/>
  <c r="F148"/>
  <c r="E148"/>
  <c r="F147"/>
  <c r="E147"/>
  <c r="D147" s="1"/>
  <c r="AA208" i="2" s="1"/>
  <c r="F146" i="13"/>
  <c r="E146"/>
  <c r="C146" s="1"/>
  <c r="AA207" i="2" s="1"/>
  <c r="F145" i="13"/>
  <c r="E145"/>
  <c r="F144"/>
  <c r="E144"/>
  <c r="F143"/>
  <c r="E143"/>
  <c r="D143" s="1"/>
  <c r="AA201" i="2" s="1"/>
  <c r="F142" i="13"/>
  <c r="C142" s="1"/>
  <c r="AA200" i="2" s="1"/>
  <c r="E142" i="13"/>
  <c r="F141"/>
  <c r="D141" s="1"/>
  <c r="AA198" i="2" s="1"/>
  <c r="E141" i="13"/>
  <c r="F140"/>
  <c r="E140"/>
  <c r="C140" s="1"/>
  <c r="AA197" i="2" s="1"/>
  <c r="F139" i="13"/>
  <c r="E139"/>
  <c r="F138"/>
  <c r="E138"/>
  <c r="C138"/>
  <c r="AA194" i="2" s="1"/>
  <c r="F137" i="13"/>
  <c r="D137" s="1"/>
  <c r="AA192" i="2" s="1"/>
  <c r="E137" i="13"/>
  <c r="F136"/>
  <c r="E136"/>
  <c r="C136" s="1"/>
  <c r="AA191" i="2" s="1"/>
  <c r="F135" i="13"/>
  <c r="E135"/>
  <c r="F134"/>
  <c r="E134"/>
  <c r="C134" s="1"/>
  <c r="AA187" i="2" s="1"/>
  <c r="F133" i="13"/>
  <c r="E133"/>
  <c r="F132"/>
  <c r="E132"/>
  <c r="F131"/>
  <c r="E131"/>
  <c r="D131" s="1"/>
  <c r="AA182" i="2" s="1"/>
  <c r="F130" i="13"/>
  <c r="E130"/>
  <c r="C130" s="1"/>
  <c r="AA181" i="2" s="1"/>
  <c r="F129" i="13"/>
  <c r="E129"/>
  <c r="F128"/>
  <c r="E128"/>
  <c r="F127"/>
  <c r="E127"/>
  <c r="D127" s="1"/>
  <c r="AA176" i="2" s="1"/>
  <c r="F126" i="13"/>
  <c r="C126" s="1"/>
  <c r="AA175" i="2" s="1"/>
  <c r="E126" i="13"/>
  <c r="F125"/>
  <c r="D125" s="1"/>
  <c r="AA173" i="2" s="1"/>
  <c r="E125" i="13"/>
  <c r="F124"/>
  <c r="E124"/>
  <c r="C124" s="1"/>
  <c r="AA172" i="2" s="1"/>
  <c r="F123" i="13"/>
  <c r="E123"/>
  <c r="F122"/>
  <c r="E122"/>
  <c r="C122"/>
  <c r="AA169" i="2" s="1"/>
  <c r="F121" i="13"/>
  <c r="D121" s="1"/>
  <c r="AA167" i="2" s="1"/>
  <c r="E121" i="13"/>
  <c r="F120"/>
  <c r="E120"/>
  <c r="C120" s="1"/>
  <c r="AA166" i="2" s="1"/>
  <c r="F119" i="13"/>
  <c r="E119"/>
  <c r="F118"/>
  <c r="E118"/>
  <c r="C118" s="1"/>
  <c r="AA163" i="2" s="1"/>
  <c r="F117" i="13"/>
  <c r="E117"/>
  <c r="F116"/>
  <c r="E116"/>
  <c r="F115"/>
  <c r="E115"/>
  <c r="D115" s="1"/>
  <c r="AA158" i="2" s="1"/>
  <c r="F114" i="13"/>
  <c r="E114"/>
  <c r="C114" s="1"/>
  <c r="AA157" i="2" s="1"/>
  <c r="F113" i="13"/>
  <c r="E113"/>
  <c r="F112"/>
  <c r="E112"/>
  <c r="F111"/>
  <c r="E111"/>
  <c r="D111" s="1"/>
  <c r="AA151" i="2" s="1"/>
  <c r="F110" i="13"/>
  <c r="C110" s="1"/>
  <c r="AA150" i="2" s="1"/>
  <c r="E110" i="13"/>
  <c r="F109"/>
  <c r="D109" s="1"/>
  <c r="AA148" i="2" s="1"/>
  <c r="E109" i="13"/>
  <c r="F108"/>
  <c r="E108"/>
  <c r="C108" s="1"/>
  <c r="AA147" i="2" s="1"/>
  <c r="F107" i="13"/>
  <c r="E107"/>
  <c r="F106"/>
  <c r="E106"/>
  <c r="C106"/>
  <c r="AA144" i="2" s="1"/>
  <c r="F105" i="13"/>
  <c r="D105" s="1"/>
  <c r="AA142" i="2" s="1"/>
  <c r="E105" i="13"/>
  <c r="F104"/>
  <c r="E104"/>
  <c r="C104" s="1"/>
  <c r="AA141" i="2" s="1"/>
  <c r="F103" i="13"/>
  <c r="E103"/>
  <c r="F102"/>
  <c r="E102"/>
  <c r="C102" s="1"/>
  <c r="AA137" i="2" s="1"/>
  <c r="F101" i="13"/>
  <c r="E101"/>
  <c r="F100"/>
  <c r="E100"/>
  <c r="F99"/>
  <c r="E99"/>
  <c r="D99" s="1"/>
  <c r="AA132" i="2" s="1"/>
  <c r="F98" i="13"/>
  <c r="E98"/>
  <c r="C98" s="1"/>
  <c r="AA131" i="2" s="1"/>
  <c r="F97" i="13"/>
  <c r="E97"/>
  <c r="F96"/>
  <c r="E96"/>
  <c r="F95"/>
  <c r="E95"/>
  <c r="D95" s="1"/>
  <c r="AA125" i="2" s="1"/>
  <c r="F94" i="13"/>
  <c r="C94" s="1"/>
  <c r="AA124" i="2" s="1"/>
  <c r="E94" i="13"/>
  <c r="F93"/>
  <c r="D93" s="1"/>
  <c r="AA122" i="2" s="1"/>
  <c r="E93" i="13"/>
  <c r="F92"/>
  <c r="E92"/>
  <c r="C92" s="1"/>
  <c r="AA121" i="2" s="1"/>
  <c r="F91" i="13"/>
  <c r="E91"/>
  <c r="F90"/>
  <c r="E90"/>
  <c r="C90"/>
  <c r="AA118" i="2" s="1"/>
  <c r="F89" i="13"/>
  <c r="D89" s="1"/>
  <c r="AA116" i="2" s="1"/>
  <c r="E89" i="13"/>
  <c r="F88"/>
  <c r="E88"/>
  <c r="C88" s="1"/>
  <c r="AA115" i="2" s="1"/>
  <c r="F87" i="13"/>
  <c r="E87"/>
  <c r="F86"/>
  <c r="E86"/>
  <c r="C86" s="1"/>
  <c r="AA111" i="2" s="1"/>
  <c r="F85" i="13"/>
  <c r="E85"/>
  <c r="F84"/>
  <c r="E84"/>
  <c r="F83"/>
  <c r="E83"/>
  <c r="D83" s="1"/>
  <c r="AA106" i="2" s="1"/>
  <c r="F82" i="13"/>
  <c r="E82"/>
  <c r="C82" s="1"/>
  <c r="AA105" i="2" s="1"/>
  <c r="F81" i="13"/>
  <c r="E81"/>
  <c r="F80"/>
  <c r="E80"/>
  <c r="F79"/>
  <c r="E79"/>
  <c r="C79" s="1"/>
  <c r="AA100" i="2" s="1"/>
  <c r="F78" i="13"/>
  <c r="C78" s="1"/>
  <c r="AA96" i="2" s="1"/>
  <c r="E78" i="13"/>
  <c r="F77"/>
  <c r="E77"/>
  <c r="F76"/>
  <c r="E76"/>
  <c r="C76" s="1"/>
  <c r="AA93" i="2" s="1"/>
  <c r="F75" i="13"/>
  <c r="E75"/>
  <c r="F74"/>
  <c r="E74"/>
  <c r="C74"/>
  <c r="AA91" i="2" s="1"/>
  <c r="F73" i="13"/>
  <c r="E73"/>
  <c r="F72"/>
  <c r="E72"/>
  <c r="C72" s="1"/>
  <c r="AA86" i="2" s="1"/>
  <c r="F71" i="13"/>
  <c r="E71"/>
  <c r="F70"/>
  <c r="E70"/>
  <c r="C70" s="1"/>
  <c r="AA83" i="2" s="1"/>
  <c r="F69" i="13"/>
  <c r="E69"/>
  <c r="C69" s="1"/>
  <c r="F68"/>
  <c r="E68"/>
  <c r="F67"/>
  <c r="E67"/>
  <c r="C67" s="1"/>
  <c r="AA80" i="2" s="1"/>
  <c r="F66" i="13"/>
  <c r="E66"/>
  <c r="C66" s="1"/>
  <c r="AA79" i="2" s="1"/>
  <c r="F65" i="13"/>
  <c r="E65"/>
  <c r="C65" s="1"/>
  <c r="AA78" i="2" s="1"/>
  <c r="F64" i="13"/>
  <c r="E64"/>
  <c r="F63"/>
  <c r="E63"/>
  <c r="C63" s="1"/>
  <c r="AA75" i="2" s="1"/>
  <c r="F62" i="13"/>
  <c r="C62" s="1"/>
  <c r="AA74" i="2" s="1"/>
  <c r="E62" i="13"/>
  <c r="F61"/>
  <c r="E61"/>
  <c r="F60"/>
  <c r="E60"/>
  <c r="C60" s="1"/>
  <c r="AA71" i="2" s="1"/>
  <c r="F59" i="13"/>
  <c r="E59"/>
  <c r="F58"/>
  <c r="E58"/>
  <c r="C58"/>
  <c r="AA69" i="2" s="1"/>
  <c r="F57" i="13"/>
  <c r="E57"/>
  <c r="F56"/>
  <c r="E56"/>
  <c r="C56" s="1"/>
  <c r="AA67" i="2" s="1"/>
  <c r="F55" i="13"/>
  <c r="E55"/>
  <c r="F54"/>
  <c r="E54"/>
  <c r="C54" s="1"/>
  <c r="AA65" i="2" s="1"/>
  <c r="F53" i="13"/>
  <c r="E53"/>
  <c r="C53" s="1"/>
  <c r="F52"/>
  <c r="E52"/>
  <c r="F51"/>
  <c r="E51"/>
  <c r="C51" s="1"/>
  <c r="AA62" i="2" s="1"/>
  <c r="F50" i="13"/>
  <c r="E50"/>
  <c r="C50" s="1"/>
  <c r="AA61" i="2" s="1"/>
  <c r="F49" i="13"/>
  <c r="E49"/>
  <c r="C49" s="1"/>
  <c r="AA60" i="2" s="1"/>
  <c r="F48" i="13"/>
  <c r="E48"/>
  <c r="F47"/>
  <c r="E47"/>
  <c r="C47" s="1"/>
  <c r="AA57" i="2" s="1"/>
  <c r="F46" i="13"/>
  <c r="C46" s="1"/>
  <c r="AA56" i="2" s="1"/>
  <c r="E46" i="13"/>
  <c r="F45"/>
  <c r="E45"/>
  <c r="F44"/>
  <c r="E44"/>
  <c r="C44" s="1"/>
  <c r="AA54" i="2" s="1"/>
  <c r="F43" i="13"/>
  <c r="E43"/>
  <c r="F42"/>
  <c r="E42"/>
  <c r="C42"/>
  <c r="F41"/>
  <c r="E41"/>
  <c r="F40"/>
  <c r="E40"/>
  <c r="C40" s="1"/>
  <c r="AA48" i="2" s="1"/>
  <c r="F39" i="13"/>
  <c r="E39"/>
  <c r="F38"/>
  <c r="E38"/>
  <c r="C38" s="1"/>
  <c r="AA45" i="2" s="1"/>
  <c r="F37" i="13"/>
  <c r="E37"/>
  <c r="C37" s="1"/>
  <c r="F36"/>
  <c r="E36"/>
  <c r="F35"/>
  <c r="E35"/>
  <c r="C35" s="1"/>
  <c r="AA41" i="2" s="1"/>
  <c r="F34" i="13"/>
  <c r="E34"/>
  <c r="C34" s="1"/>
  <c r="AA40" i="2" s="1"/>
  <c r="F33" i="13"/>
  <c r="E33"/>
  <c r="C33" s="1"/>
  <c r="AA39" i="2" s="1"/>
  <c r="F32" i="13"/>
  <c r="E32"/>
  <c r="F31"/>
  <c r="E31"/>
  <c r="C31" s="1"/>
  <c r="AA37" i="2" s="1"/>
  <c r="F30" i="13"/>
  <c r="C30" s="1"/>
  <c r="AA36" i="2" s="1"/>
  <c r="E30" i="13"/>
  <c r="F29"/>
  <c r="E29"/>
  <c r="F28"/>
  <c r="E28"/>
  <c r="C28" s="1"/>
  <c r="F27"/>
  <c r="E27"/>
  <c r="F26"/>
  <c r="E26"/>
  <c r="C26"/>
  <c r="AA32" i="2" s="1"/>
  <c r="F25" i="13"/>
  <c r="E25"/>
  <c r="F24"/>
  <c r="E24"/>
  <c r="C24" s="1"/>
  <c r="AA28" i="2" s="1"/>
  <c r="F23" i="13"/>
  <c r="E23"/>
  <c r="F22"/>
  <c r="E22"/>
  <c r="C22" s="1"/>
  <c r="AA26" i="2" s="1"/>
  <c r="F21" i="13"/>
  <c r="E21"/>
  <c r="C21" s="1"/>
  <c r="AA24" i="2" s="1"/>
  <c r="F20" i="13"/>
  <c r="E20"/>
  <c r="F19"/>
  <c r="E19"/>
  <c r="C19" s="1"/>
  <c r="F18"/>
  <c r="E18"/>
  <c r="C18" s="1"/>
  <c r="AA21" i="2" s="1"/>
  <c r="F17" i="13"/>
  <c r="E17"/>
  <c r="C17" s="1"/>
  <c r="AA19" i="2" s="1"/>
  <c r="F16" i="13"/>
  <c r="E16"/>
  <c r="F15"/>
  <c r="E15"/>
  <c r="C15" s="1"/>
  <c r="AA17" i="2" s="1"/>
  <c r="F14" i="13"/>
  <c r="C14" s="1"/>
  <c r="AA16" i="2" s="1"/>
  <c r="E14" i="13"/>
  <c r="F13"/>
  <c r="F462" s="1"/>
  <c r="E13"/>
  <c r="E9"/>
  <c r="Z257" i="2"/>
  <c r="Z248"/>
  <c r="Z213"/>
  <c r="Z200"/>
  <c r="Z188"/>
  <c r="Z175"/>
  <c r="Z150"/>
  <c r="Z124"/>
  <c r="Z96"/>
  <c r="Z74"/>
  <c r="Z56"/>
  <c r="Z36"/>
  <c r="F461" i="12"/>
  <c r="E461"/>
  <c r="C461" s="1"/>
  <c r="F460"/>
  <c r="E460"/>
  <c r="C460" s="1"/>
  <c r="F459"/>
  <c r="E459"/>
  <c r="F458"/>
  <c r="E458"/>
  <c r="C458" s="1"/>
  <c r="F457"/>
  <c r="E457"/>
  <c r="C457" s="1"/>
  <c r="F456"/>
  <c r="E456"/>
  <c r="F455"/>
  <c r="E455"/>
  <c r="F454"/>
  <c r="E454"/>
  <c r="F453"/>
  <c r="E453"/>
  <c r="C453"/>
  <c r="F452"/>
  <c r="E452"/>
  <c r="F451"/>
  <c r="E451"/>
  <c r="F450"/>
  <c r="E450"/>
  <c r="F449"/>
  <c r="E449"/>
  <c r="C449" s="1"/>
  <c r="F448"/>
  <c r="E448"/>
  <c r="F447"/>
  <c r="E447"/>
  <c r="F446"/>
  <c r="E446"/>
  <c r="C446" s="1"/>
  <c r="F445"/>
  <c r="E445"/>
  <c r="C445" s="1"/>
  <c r="F444"/>
  <c r="E444"/>
  <c r="C444" s="1"/>
  <c r="F443"/>
  <c r="E443"/>
  <c r="F442"/>
  <c r="E442"/>
  <c r="C442" s="1"/>
  <c r="F441"/>
  <c r="E441"/>
  <c r="C441" s="1"/>
  <c r="F440"/>
  <c r="E440"/>
  <c r="F439"/>
  <c r="E439"/>
  <c r="F438"/>
  <c r="E438"/>
  <c r="F437"/>
  <c r="E437"/>
  <c r="C437"/>
  <c r="F436"/>
  <c r="E436"/>
  <c r="F435"/>
  <c r="E435"/>
  <c r="F434"/>
  <c r="E434"/>
  <c r="F433"/>
  <c r="E433"/>
  <c r="C433" s="1"/>
  <c r="F432"/>
  <c r="E432"/>
  <c r="C432" s="1"/>
  <c r="F431"/>
  <c r="E431"/>
  <c r="F430"/>
  <c r="E430"/>
  <c r="C430" s="1"/>
  <c r="F429"/>
  <c r="E429"/>
  <c r="C429" s="1"/>
  <c r="F428"/>
  <c r="E428"/>
  <c r="C428" s="1"/>
  <c r="F427"/>
  <c r="E427"/>
  <c r="F426"/>
  <c r="E426"/>
  <c r="C426" s="1"/>
  <c r="F425"/>
  <c r="C425" s="1"/>
  <c r="E425"/>
  <c r="F424"/>
  <c r="E424"/>
  <c r="F423"/>
  <c r="E423"/>
  <c r="F422"/>
  <c r="E422"/>
  <c r="F421"/>
  <c r="E421"/>
  <c r="C421"/>
  <c r="F420"/>
  <c r="E420"/>
  <c r="F419"/>
  <c r="E419"/>
  <c r="F418"/>
  <c r="E418"/>
  <c r="F417"/>
  <c r="E417"/>
  <c r="C417" s="1"/>
  <c r="F416"/>
  <c r="E416"/>
  <c r="C416" s="1"/>
  <c r="F415"/>
  <c r="E415"/>
  <c r="F414"/>
  <c r="E414"/>
  <c r="C414" s="1"/>
  <c r="F413"/>
  <c r="E413"/>
  <c r="C413" s="1"/>
  <c r="F412"/>
  <c r="E412"/>
  <c r="C412" s="1"/>
  <c r="F411"/>
  <c r="E411"/>
  <c r="F410"/>
  <c r="E410"/>
  <c r="C410" s="1"/>
  <c r="F409"/>
  <c r="E409"/>
  <c r="C409" s="1"/>
  <c r="F408"/>
  <c r="E408"/>
  <c r="F407"/>
  <c r="E407"/>
  <c r="F406"/>
  <c r="E406"/>
  <c r="F405"/>
  <c r="E405"/>
  <c r="C405"/>
  <c r="F404"/>
  <c r="E404"/>
  <c r="F403"/>
  <c r="E403"/>
  <c r="F402"/>
  <c r="E402"/>
  <c r="F401"/>
  <c r="E401"/>
  <c r="C401" s="1"/>
  <c r="F400"/>
  <c r="E400"/>
  <c r="F399"/>
  <c r="E399"/>
  <c r="F398"/>
  <c r="E398"/>
  <c r="F397"/>
  <c r="E397"/>
  <c r="C397" s="1"/>
  <c r="F396"/>
  <c r="E396"/>
  <c r="C396" s="1"/>
  <c r="F395"/>
  <c r="E395"/>
  <c r="F394"/>
  <c r="E394"/>
  <c r="C394" s="1"/>
  <c r="F393"/>
  <c r="E393"/>
  <c r="C393" s="1"/>
  <c r="F392"/>
  <c r="E392"/>
  <c r="F391"/>
  <c r="E391"/>
  <c r="F390"/>
  <c r="E390"/>
  <c r="F389"/>
  <c r="E389"/>
  <c r="C389"/>
  <c r="F388"/>
  <c r="E388"/>
  <c r="F387"/>
  <c r="E387"/>
  <c r="F386"/>
  <c r="E386"/>
  <c r="F385"/>
  <c r="E385"/>
  <c r="C385" s="1"/>
  <c r="F384"/>
  <c r="E384"/>
  <c r="C384" s="1"/>
  <c r="F383"/>
  <c r="E383"/>
  <c r="F382"/>
  <c r="E382"/>
  <c r="C382" s="1"/>
  <c r="F381"/>
  <c r="E381"/>
  <c r="C381" s="1"/>
  <c r="F380"/>
  <c r="E380"/>
  <c r="C380" s="1"/>
  <c r="F379"/>
  <c r="E379"/>
  <c r="F378"/>
  <c r="E378"/>
  <c r="C378" s="1"/>
  <c r="F377"/>
  <c r="C377" s="1"/>
  <c r="E377"/>
  <c r="F376"/>
  <c r="E376"/>
  <c r="F375"/>
  <c r="E375"/>
  <c r="F374"/>
  <c r="E374"/>
  <c r="F373"/>
  <c r="E373"/>
  <c r="C373"/>
  <c r="F372"/>
  <c r="E372"/>
  <c r="F371"/>
  <c r="E371"/>
  <c r="F370"/>
  <c r="E370"/>
  <c r="F369"/>
  <c r="E369"/>
  <c r="C369" s="1"/>
  <c r="F368"/>
  <c r="E368"/>
  <c r="C368" s="1"/>
  <c r="F367"/>
  <c r="E367"/>
  <c r="F366"/>
  <c r="E366"/>
  <c r="C366" s="1"/>
  <c r="F365"/>
  <c r="E365"/>
  <c r="C365" s="1"/>
  <c r="F364"/>
  <c r="E364"/>
  <c r="C364" s="1"/>
  <c r="F363"/>
  <c r="E363"/>
  <c r="F362"/>
  <c r="E362"/>
  <c r="C362" s="1"/>
  <c r="F361"/>
  <c r="E361"/>
  <c r="C361" s="1"/>
  <c r="F360"/>
  <c r="E360"/>
  <c r="F359"/>
  <c r="E359"/>
  <c r="F358"/>
  <c r="E358"/>
  <c r="F357"/>
  <c r="E357"/>
  <c r="C357"/>
  <c r="F356"/>
  <c r="E356"/>
  <c r="F355"/>
  <c r="E355"/>
  <c r="F354"/>
  <c r="E354"/>
  <c r="F353"/>
  <c r="E353"/>
  <c r="C353" s="1"/>
  <c r="F352"/>
  <c r="E352"/>
  <c r="C352" s="1"/>
  <c r="F351"/>
  <c r="E351"/>
  <c r="F350"/>
  <c r="E350"/>
  <c r="C350" s="1"/>
  <c r="F349"/>
  <c r="E349"/>
  <c r="C349" s="1"/>
  <c r="F348"/>
  <c r="E348"/>
  <c r="F347"/>
  <c r="E347"/>
  <c r="F346"/>
  <c r="E346"/>
  <c r="C346" s="1"/>
  <c r="F345"/>
  <c r="E345"/>
  <c r="C345" s="1"/>
  <c r="F344"/>
  <c r="E344"/>
  <c r="F343"/>
  <c r="E343"/>
  <c r="F342"/>
  <c r="E342"/>
  <c r="F341"/>
  <c r="E341"/>
  <c r="C341"/>
  <c r="F340"/>
  <c r="E340"/>
  <c r="F339"/>
  <c r="E339"/>
  <c r="C339" s="1"/>
  <c r="F338"/>
  <c r="E338"/>
  <c r="F337"/>
  <c r="E337"/>
  <c r="C337" s="1"/>
  <c r="F336"/>
  <c r="E336"/>
  <c r="C336" s="1"/>
  <c r="F335"/>
  <c r="E335"/>
  <c r="F334"/>
  <c r="E334"/>
  <c r="C334" s="1"/>
  <c r="F333"/>
  <c r="E333"/>
  <c r="C333" s="1"/>
  <c r="F332"/>
  <c r="E332"/>
  <c r="F331"/>
  <c r="E331"/>
  <c r="F330"/>
  <c r="E330"/>
  <c r="C330" s="1"/>
  <c r="F329"/>
  <c r="E329"/>
  <c r="C329" s="1"/>
  <c r="F328"/>
  <c r="E328"/>
  <c r="F327"/>
  <c r="E327"/>
  <c r="F326"/>
  <c r="E326"/>
  <c r="F325"/>
  <c r="E325"/>
  <c r="C325"/>
  <c r="F324"/>
  <c r="E324"/>
  <c r="F323"/>
  <c r="E323"/>
  <c r="C323" s="1"/>
  <c r="F322"/>
  <c r="E322"/>
  <c r="F321"/>
  <c r="E321"/>
  <c r="C321" s="1"/>
  <c r="F320"/>
  <c r="E320"/>
  <c r="F319"/>
  <c r="E319"/>
  <c r="F318"/>
  <c r="E318"/>
  <c r="C318" s="1"/>
  <c r="F317"/>
  <c r="E317"/>
  <c r="C317" s="1"/>
  <c r="F316"/>
  <c r="E316"/>
  <c r="F315"/>
  <c r="E315"/>
  <c r="F314"/>
  <c r="E314"/>
  <c r="C314" s="1"/>
  <c r="F313"/>
  <c r="C313" s="1"/>
  <c r="E313"/>
  <c r="F312"/>
  <c r="E312"/>
  <c r="F311"/>
  <c r="E311"/>
  <c r="F310"/>
  <c r="E310"/>
  <c r="F309"/>
  <c r="E309"/>
  <c r="C309"/>
  <c r="F308"/>
  <c r="E308"/>
  <c r="F307"/>
  <c r="E307"/>
  <c r="C307" s="1"/>
  <c r="F306"/>
  <c r="E306"/>
  <c r="F305"/>
  <c r="E305"/>
  <c r="C305" s="1"/>
  <c r="F304"/>
  <c r="E304"/>
  <c r="C304" s="1"/>
  <c r="F303"/>
  <c r="E303"/>
  <c r="F302"/>
  <c r="E302"/>
  <c r="C302" s="1"/>
  <c r="F301"/>
  <c r="E301"/>
  <c r="C301" s="1"/>
  <c r="F300"/>
  <c r="E300"/>
  <c r="F299"/>
  <c r="E299"/>
  <c r="F298"/>
  <c r="E298"/>
  <c r="C298" s="1"/>
  <c r="F297"/>
  <c r="E297"/>
  <c r="C297" s="1"/>
  <c r="F296"/>
  <c r="E296"/>
  <c r="F295"/>
  <c r="E295"/>
  <c r="F294"/>
  <c r="E294"/>
  <c r="F293"/>
  <c r="E293"/>
  <c r="C293"/>
  <c r="F292"/>
  <c r="E292"/>
  <c r="F291"/>
  <c r="E291"/>
  <c r="C291" s="1"/>
  <c r="F290"/>
  <c r="E290"/>
  <c r="F289"/>
  <c r="E289"/>
  <c r="C289" s="1"/>
  <c r="F288"/>
  <c r="E288"/>
  <c r="C288" s="1"/>
  <c r="F287"/>
  <c r="E287"/>
  <c r="F286"/>
  <c r="E286"/>
  <c r="C286" s="1"/>
  <c r="F285"/>
  <c r="E285"/>
  <c r="C285" s="1"/>
  <c r="F284"/>
  <c r="E284"/>
  <c r="F283"/>
  <c r="E283"/>
  <c r="F282"/>
  <c r="E282"/>
  <c r="C282" s="1"/>
  <c r="F281"/>
  <c r="E281"/>
  <c r="C281" s="1"/>
  <c r="F280"/>
  <c r="D280" s="1"/>
  <c r="E280"/>
  <c r="F279"/>
  <c r="D279" s="1"/>
  <c r="E279"/>
  <c r="F278"/>
  <c r="E278"/>
  <c r="F277"/>
  <c r="E277"/>
  <c r="D277"/>
  <c r="F276"/>
  <c r="D276" s="1"/>
  <c r="E276"/>
  <c r="F275"/>
  <c r="E275"/>
  <c r="F274"/>
  <c r="E274"/>
  <c r="F273"/>
  <c r="E273"/>
  <c r="D273" s="1"/>
  <c r="F272"/>
  <c r="D272" s="1"/>
  <c r="E272"/>
  <c r="F271"/>
  <c r="D271" s="1"/>
  <c r="E271"/>
  <c r="F270"/>
  <c r="E270"/>
  <c r="F269"/>
  <c r="D269" s="1"/>
  <c r="E269"/>
  <c r="F268"/>
  <c r="E268"/>
  <c r="F267"/>
  <c r="E267"/>
  <c r="F266"/>
  <c r="E266"/>
  <c r="D266" s="1"/>
  <c r="F265"/>
  <c r="D265" s="1"/>
  <c r="E265"/>
  <c r="F264"/>
  <c r="D264" s="1"/>
  <c r="E264"/>
  <c r="F263"/>
  <c r="D263" s="1"/>
  <c r="E263"/>
  <c r="F262"/>
  <c r="E262"/>
  <c r="F261"/>
  <c r="E261"/>
  <c r="D261"/>
  <c r="F260"/>
  <c r="D260" s="1"/>
  <c r="E260"/>
  <c r="F259"/>
  <c r="E259"/>
  <c r="F258"/>
  <c r="E258"/>
  <c r="F257"/>
  <c r="E257"/>
  <c r="D257" s="1"/>
  <c r="F256"/>
  <c r="D256" s="1"/>
  <c r="E256"/>
  <c r="F255"/>
  <c r="D255" s="1"/>
  <c r="E255"/>
  <c r="F254"/>
  <c r="E254"/>
  <c r="D254" s="1"/>
  <c r="F253"/>
  <c r="D253" s="1"/>
  <c r="E253"/>
  <c r="F252"/>
  <c r="E252"/>
  <c r="F251"/>
  <c r="E251"/>
  <c r="F250"/>
  <c r="E250"/>
  <c r="D250" s="1"/>
  <c r="F249"/>
  <c r="D249" s="1"/>
  <c r="E249"/>
  <c r="F248"/>
  <c r="D248" s="1"/>
  <c r="E248"/>
  <c r="F247"/>
  <c r="E247"/>
  <c r="F246"/>
  <c r="E246"/>
  <c r="F245"/>
  <c r="E245"/>
  <c r="D245"/>
  <c r="F244"/>
  <c r="D244" s="1"/>
  <c r="E244"/>
  <c r="F243"/>
  <c r="E243"/>
  <c r="F242"/>
  <c r="E242"/>
  <c r="F241"/>
  <c r="E241"/>
  <c r="D241" s="1"/>
  <c r="F240"/>
  <c r="D240" s="1"/>
  <c r="E240"/>
  <c r="F239"/>
  <c r="D239" s="1"/>
  <c r="E239"/>
  <c r="F238"/>
  <c r="E238"/>
  <c r="D238" s="1"/>
  <c r="F237"/>
  <c r="D237" s="1"/>
  <c r="E237"/>
  <c r="F236"/>
  <c r="E236"/>
  <c r="F235"/>
  <c r="E235"/>
  <c r="F234"/>
  <c r="E234"/>
  <c r="D234" s="1"/>
  <c r="F233"/>
  <c r="D233" s="1"/>
  <c r="E233"/>
  <c r="F232"/>
  <c r="D232" s="1"/>
  <c r="E232"/>
  <c r="F231"/>
  <c r="D231" s="1"/>
  <c r="E231"/>
  <c r="F230"/>
  <c r="E230"/>
  <c r="F229"/>
  <c r="E229"/>
  <c r="D229"/>
  <c r="F228"/>
  <c r="D228" s="1"/>
  <c r="E228"/>
  <c r="F227"/>
  <c r="E227"/>
  <c r="F226"/>
  <c r="E226"/>
  <c r="F225"/>
  <c r="E225"/>
  <c r="D225" s="1"/>
  <c r="F224"/>
  <c r="D224" s="1"/>
  <c r="E224"/>
  <c r="F223"/>
  <c r="D223" s="1"/>
  <c r="E223"/>
  <c r="F222"/>
  <c r="E222"/>
  <c r="F221"/>
  <c r="D221" s="1"/>
  <c r="E221"/>
  <c r="F220"/>
  <c r="E220"/>
  <c r="F219"/>
  <c r="E219"/>
  <c r="F218"/>
  <c r="E218"/>
  <c r="D218" s="1"/>
  <c r="F217"/>
  <c r="D217" s="1"/>
  <c r="E217"/>
  <c r="F216"/>
  <c r="D216" s="1"/>
  <c r="E216"/>
  <c r="F215"/>
  <c r="D215" s="1"/>
  <c r="E215"/>
  <c r="F214"/>
  <c r="E214"/>
  <c r="F213"/>
  <c r="E213"/>
  <c r="D213"/>
  <c r="F212"/>
  <c r="D212" s="1"/>
  <c r="E212"/>
  <c r="F211"/>
  <c r="E211"/>
  <c r="F210"/>
  <c r="E210"/>
  <c r="F209"/>
  <c r="E209"/>
  <c r="D209" s="1"/>
  <c r="F208"/>
  <c r="D208" s="1"/>
  <c r="E208"/>
  <c r="F207"/>
  <c r="D207" s="1"/>
  <c r="E207"/>
  <c r="F206"/>
  <c r="E206"/>
  <c r="D206" s="1"/>
  <c r="F205"/>
  <c r="D205" s="1"/>
  <c r="E205"/>
  <c r="F204"/>
  <c r="E204"/>
  <c r="F203"/>
  <c r="E203"/>
  <c r="F202"/>
  <c r="E202"/>
  <c r="D202" s="1"/>
  <c r="F201"/>
  <c r="D201" s="1"/>
  <c r="E201"/>
  <c r="F200"/>
  <c r="D200" s="1"/>
  <c r="E200"/>
  <c r="F199"/>
  <c r="E199"/>
  <c r="F198"/>
  <c r="E198"/>
  <c r="F197"/>
  <c r="E197"/>
  <c r="D197"/>
  <c r="Z270" i="2" s="1"/>
  <c r="F196" i="12"/>
  <c r="D196" s="1"/>
  <c r="Z266" i="2" s="1"/>
  <c r="E196" i="12"/>
  <c r="F195"/>
  <c r="E195"/>
  <c r="F194"/>
  <c r="E194"/>
  <c r="F193"/>
  <c r="E193"/>
  <c r="D193" s="1"/>
  <c r="Z263" i="2" s="1"/>
  <c r="F192" i="12"/>
  <c r="D192" s="1"/>
  <c r="Z262" i="2" s="1"/>
  <c r="E192" i="12"/>
  <c r="F191"/>
  <c r="D191" s="1"/>
  <c r="Z261" i="2" s="1"/>
  <c r="E191" i="12"/>
  <c r="F190"/>
  <c r="E190"/>
  <c r="D190" s="1"/>
  <c r="F189"/>
  <c r="D189" s="1"/>
  <c r="Z256" i="2" s="1"/>
  <c r="E189" i="12"/>
  <c r="F188"/>
  <c r="E188"/>
  <c r="F187"/>
  <c r="E187"/>
  <c r="F186"/>
  <c r="E186"/>
  <c r="D186" s="1"/>
  <c r="Z253" i="2" s="1"/>
  <c r="F185" i="12"/>
  <c r="D185" s="1"/>
  <c r="Z251" i="2" s="1"/>
  <c r="E185" i="12"/>
  <c r="F184"/>
  <c r="D184" s="1"/>
  <c r="Z249" i="2" s="1"/>
  <c r="E184" i="12"/>
  <c r="F183"/>
  <c r="D183" s="1"/>
  <c r="E183"/>
  <c r="F182"/>
  <c r="E182"/>
  <c r="F181"/>
  <c r="E181"/>
  <c r="D181"/>
  <c r="Z246" i="2" s="1"/>
  <c r="F180" i="12"/>
  <c r="D180" s="1"/>
  <c r="Z245" i="2" s="1"/>
  <c r="E180" i="12"/>
  <c r="F179"/>
  <c r="E179"/>
  <c r="F178"/>
  <c r="E178"/>
  <c r="F177"/>
  <c r="E177"/>
  <c r="D177" s="1"/>
  <c r="Z241" i="2" s="1"/>
  <c r="F176" i="12"/>
  <c r="D176" s="1"/>
  <c r="Z240" i="2" s="1"/>
  <c r="E176" i="12"/>
  <c r="F175"/>
  <c r="D175" s="1"/>
  <c r="Z239" i="2" s="1"/>
  <c r="E175" i="12"/>
  <c r="F174"/>
  <c r="E174"/>
  <c r="F173"/>
  <c r="E173"/>
  <c r="C173" s="1"/>
  <c r="Z231" i="2" s="1"/>
  <c r="F172" i="12"/>
  <c r="E172"/>
  <c r="F171"/>
  <c r="E171"/>
  <c r="F170"/>
  <c r="E170"/>
  <c r="C170" s="1"/>
  <c r="Z228" i="2" s="1"/>
  <c r="F169" i="12"/>
  <c r="E169"/>
  <c r="C169" s="1"/>
  <c r="Z227" i="2" s="1"/>
  <c r="F168" i="12"/>
  <c r="E168"/>
  <c r="F167"/>
  <c r="E167"/>
  <c r="F166"/>
  <c r="E166"/>
  <c r="F165"/>
  <c r="E165"/>
  <c r="C165"/>
  <c r="Z221" i="2" s="1"/>
  <c r="F164" i="12"/>
  <c r="E164"/>
  <c r="F163"/>
  <c r="E163"/>
  <c r="C163" s="1"/>
  <c r="Z219" i="2" s="1"/>
  <c r="F162" i="12"/>
  <c r="E162"/>
  <c r="F161"/>
  <c r="E161"/>
  <c r="C161" s="1"/>
  <c r="Z217" i="2" s="1"/>
  <c r="F160" i="12"/>
  <c r="E160"/>
  <c r="C160" s="1"/>
  <c r="Z216" i="2" s="1"/>
  <c r="F159" i="12"/>
  <c r="E159"/>
  <c r="F158"/>
  <c r="E158"/>
  <c r="C158" s="1"/>
  <c r="F157"/>
  <c r="E157"/>
  <c r="C157" s="1"/>
  <c r="F156"/>
  <c r="E156"/>
  <c r="F155"/>
  <c r="E155"/>
  <c r="F154"/>
  <c r="E154"/>
  <c r="C154" s="1"/>
  <c r="F153"/>
  <c r="E153"/>
  <c r="C153" s="1"/>
  <c r="F152"/>
  <c r="E152"/>
  <c r="F151"/>
  <c r="E151"/>
  <c r="F150"/>
  <c r="E150"/>
  <c r="F149"/>
  <c r="E149"/>
  <c r="C149"/>
  <c r="F148"/>
  <c r="E148"/>
  <c r="F147"/>
  <c r="E147"/>
  <c r="F146"/>
  <c r="E146"/>
  <c r="F145"/>
  <c r="E145"/>
  <c r="D145" s="1"/>
  <c r="Z204" i="2" s="1"/>
  <c r="F144" i="12"/>
  <c r="E144"/>
  <c r="C144" s="1"/>
  <c r="Z203" i="2" s="1"/>
  <c r="F143" i="12"/>
  <c r="D143" s="1"/>
  <c r="Z201" i="2" s="1"/>
  <c r="E143" i="12"/>
  <c r="F142"/>
  <c r="E142"/>
  <c r="C142" s="1"/>
  <c r="F141"/>
  <c r="D141" s="1"/>
  <c r="Z198" i="2" s="1"/>
  <c r="E141" i="12"/>
  <c r="F140"/>
  <c r="E140"/>
  <c r="F139"/>
  <c r="E139"/>
  <c r="F138"/>
  <c r="E138"/>
  <c r="C138" s="1"/>
  <c r="Z194" i="2" s="1"/>
  <c r="F137" i="12"/>
  <c r="D137" s="1"/>
  <c r="Z192" i="2" s="1"/>
  <c r="E137" i="12"/>
  <c r="F136"/>
  <c r="E136"/>
  <c r="F135"/>
  <c r="D135" s="1"/>
  <c r="E135"/>
  <c r="F134"/>
  <c r="E134"/>
  <c r="F133"/>
  <c r="E133"/>
  <c r="D133"/>
  <c r="Z185" i="2" s="1"/>
  <c r="F132" i="12"/>
  <c r="E132"/>
  <c r="F131"/>
  <c r="E131"/>
  <c r="F130"/>
  <c r="E130"/>
  <c r="F129"/>
  <c r="E129"/>
  <c r="D129" s="1"/>
  <c r="Z179" i="2" s="1"/>
  <c r="F128" i="12"/>
  <c r="E128"/>
  <c r="C128" s="1"/>
  <c r="Z178" i="2" s="1"/>
  <c r="F127" i="12"/>
  <c r="D127" s="1"/>
  <c r="Z176" i="2" s="1"/>
  <c r="E127" i="12"/>
  <c r="F126"/>
  <c r="E126"/>
  <c r="C126" s="1"/>
  <c r="F125"/>
  <c r="D125" s="1"/>
  <c r="Z173" i="2" s="1"/>
  <c r="E125" i="12"/>
  <c r="F124"/>
  <c r="E124"/>
  <c r="F123"/>
  <c r="E123"/>
  <c r="F122"/>
  <c r="E122"/>
  <c r="C122" s="1"/>
  <c r="Z169" i="2" s="1"/>
  <c r="F121" i="12"/>
  <c r="D121" s="1"/>
  <c r="Z167" i="2" s="1"/>
  <c r="E121" i="12"/>
  <c r="F120"/>
  <c r="E120"/>
  <c r="F119"/>
  <c r="E119"/>
  <c r="F118"/>
  <c r="E118"/>
  <c r="F117"/>
  <c r="E117"/>
  <c r="D117"/>
  <c r="Z161" i="2" s="1"/>
  <c r="F116" i="12"/>
  <c r="E116"/>
  <c r="F115"/>
  <c r="E115"/>
  <c r="F114"/>
  <c r="E114"/>
  <c r="F113"/>
  <c r="E113"/>
  <c r="D113" s="1"/>
  <c r="Z155" i="2" s="1"/>
  <c r="F112" i="12"/>
  <c r="E112"/>
  <c r="C112" s="1"/>
  <c r="Z154" i="2" s="1"/>
  <c r="F111" i="12"/>
  <c r="D111" s="1"/>
  <c r="Z151" i="2" s="1"/>
  <c r="E111" i="12"/>
  <c r="F110"/>
  <c r="E110"/>
  <c r="C110" s="1"/>
  <c r="F109"/>
  <c r="D109" s="1"/>
  <c r="Z148" i="2" s="1"/>
  <c r="E109" i="12"/>
  <c r="F108"/>
  <c r="E108"/>
  <c r="F107"/>
  <c r="E107"/>
  <c r="F106"/>
  <c r="E106"/>
  <c r="C106" s="1"/>
  <c r="Z144" i="2" s="1"/>
  <c r="F105" i="12"/>
  <c r="D105" s="1"/>
  <c r="Z142" i="2" s="1"/>
  <c r="E105" i="12"/>
  <c r="F104"/>
  <c r="E104"/>
  <c r="F103"/>
  <c r="E103"/>
  <c r="F102"/>
  <c r="E102"/>
  <c r="F101"/>
  <c r="E101"/>
  <c r="D101"/>
  <c r="F100"/>
  <c r="E100"/>
  <c r="F99"/>
  <c r="E99"/>
  <c r="F98"/>
  <c r="E98"/>
  <c r="F97"/>
  <c r="E97"/>
  <c r="D97" s="1"/>
  <c r="Z128" i="2" s="1"/>
  <c r="F96" i="12"/>
  <c r="E96"/>
  <c r="C96" s="1"/>
  <c r="Z127" i="2" s="1"/>
  <c r="F95" i="12"/>
  <c r="D95" s="1"/>
  <c r="Z125" i="2" s="1"/>
  <c r="E95" i="12"/>
  <c r="F94"/>
  <c r="E94"/>
  <c r="C94" s="1"/>
  <c r="F93"/>
  <c r="D93" s="1"/>
  <c r="Z122" i="2" s="1"/>
  <c r="E93" i="12"/>
  <c r="F92"/>
  <c r="E92"/>
  <c r="F91"/>
  <c r="E91"/>
  <c r="F90"/>
  <c r="E90"/>
  <c r="C90" s="1"/>
  <c r="Z118" i="2" s="1"/>
  <c r="F89" i="12"/>
  <c r="D89" s="1"/>
  <c r="Z116" i="2" s="1"/>
  <c r="E89" i="12"/>
  <c r="F88"/>
  <c r="E88"/>
  <c r="F87"/>
  <c r="E87"/>
  <c r="F86"/>
  <c r="E86"/>
  <c r="F85"/>
  <c r="E85"/>
  <c r="D85"/>
  <c r="Z109" i="2" s="1"/>
  <c r="F84" i="12"/>
  <c r="E84"/>
  <c r="F83"/>
  <c r="E83"/>
  <c r="F82"/>
  <c r="E82"/>
  <c r="F81"/>
  <c r="E81"/>
  <c r="D81" s="1"/>
  <c r="Z103" i="2" s="1"/>
  <c r="F80" i="12"/>
  <c r="E80"/>
  <c r="C80" s="1"/>
  <c r="Z102" i="2" s="1"/>
  <c r="F79" i="12"/>
  <c r="E79"/>
  <c r="F78"/>
  <c r="E78"/>
  <c r="C78" s="1"/>
  <c r="F77"/>
  <c r="E77"/>
  <c r="C77" s="1"/>
  <c r="Z94" i="2" s="1"/>
  <c r="F76" i="12"/>
  <c r="E76"/>
  <c r="F75"/>
  <c r="E75"/>
  <c r="F74"/>
  <c r="E74"/>
  <c r="C74" s="1"/>
  <c r="Z91" i="2" s="1"/>
  <c r="F73" i="12"/>
  <c r="E73"/>
  <c r="C73" s="1"/>
  <c r="Z87" i="2" s="1"/>
  <c r="F72" i="12"/>
  <c r="E72"/>
  <c r="F71"/>
  <c r="E71"/>
  <c r="F70"/>
  <c r="E70"/>
  <c r="F69"/>
  <c r="E69"/>
  <c r="C69"/>
  <c r="Z82" i="2" s="1"/>
  <c r="F68" i="12"/>
  <c r="E68"/>
  <c r="F67"/>
  <c r="E67"/>
  <c r="C67" s="1"/>
  <c r="Z80" i="2" s="1"/>
  <c r="F66" i="12"/>
  <c r="E66"/>
  <c r="F65"/>
  <c r="E65"/>
  <c r="C65" s="1"/>
  <c r="Z78" i="2" s="1"/>
  <c r="F64" i="12"/>
  <c r="E64"/>
  <c r="C64" s="1"/>
  <c r="Z76" i="2" s="1"/>
  <c r="F63" i="12"/>
  <c r="E63"/>
  <c r="F62"/>
  <c r="E62"/>
  <c r="C62" s="1"/>
  <c r="F61"/>
  <c r="E61"/>
  <c r="C61" s="1"/>
  <c r="Z72" i="2" s="1"/>
  <c r="F60" i="12"/>
  <c r="E60"/>
  <c r="F59"/>
  <c r="E59"/>
  <c r="F58"/>
  <c r="E58"/>
  <c r="C58" s="1"/>
  <c r="Z69" i="2" s="1"/>
  <c r="F57" i="12"/>
  <c r="C57" s="1"/>
  <c r="Z68" i="2" s="1"/>
  <c r="E57" i="12"/>
  <c r="F56"/>
  <c r="E56"/>
  <c r="F55"/>
  <c r="E55"/>
  <c r="F54"/>
  <c r="E54"/>
  <c r="F53"/>
  <c r="E53"/>
  <c r="C53"/>
  <c r="Z64" i="2" s="1"/>
  <c r="F52" i="12"/>
  <c r="E52"/>
  <c r="F51"/>
  <c r="E51"/>
  <c r="C51" s="1"/>
  <c r="Z62" i="2" s="1"/>
  <c r="F50" i="12"/>
  <c r="E50"/>
  <c r="F49"/>
  <c r="E49"/>
  <c r="C49" s="1"/>
  <c r="Z60" i="2" s="1"/>
  <c r="F48" i="12"/>
  <c r="E48"/>
  <c r="C48" s="1"/>
  <c r="Z59" i="2" s="1"/>
  <c r="F47" i="12"/>
  <c r="E47"/>
  <c r="F46"/>
  <c r="E46"/>
  <c r="C46" s="1"/>
  <c r="F45"/>
  <c r="E45"/>
  <c r="C45" s="1"/>
  <c r="Z55" i="2" s="1"/>
  <c r="F44" i="12"/>
  <c r="E44"/>
  <c r="F43"/>
  <c r="E43"/>
  <c r="F42"/>
  <c r="E42"/>
  <c r="C42" s="1"/>
  <c r="F41"/>
  <c r="C41" s="1"/>
  <c r="Z50" i="2" s="1"/>
  <c r="E41" i="12"/>
  <c r="F40"/>
  <c r="E40"/>
  <c r="F39"/>
  <c r="E39"/>
  <c r="F38"/>
  <c r="E38"/>
  <c r="F37"/>
  <c r="E37"/>
  <c r="C37"/>
  <c r="Z44" i="2" s="1"/>
  <c r="F36" i="12"/>
  <c r="E36"/>
  <c r="F35"/>
  <c r="E35"/>
  <c r="C35" s="1"/>
  <c r="Z41" i="2" s="1"/>
  <c r="F34" i="12"/>
  <c r="E34"/>
  <c r="F33"/>
  <c r="E33"/>
  <c r="C33" s="1"/>
  <c r="Z39" i="2" s="1"/>
  <c r="F32" i="12"/>
  <c r="E32"/>
  <c r="C32" s="1"/>
  <c r="Z38" i="2" s="1"/>
  <c r="F31" i="12"/>
  <c r="E31"/>
  <c r="F30"/>
  <c r="E30"/>
  <c r="C30" s="1"/>
  <c r="F29"/>
  <c r="E29"/>
  <c r="C29" s="1"/>
  <c r="Z35" i="2" s="1"/>
  <c r="F28" i="12"/>
  <c r="E28"/>
  <c r="F27"/>
  <c r="E27"/>
  <c r="F26"/>
  <c r="E26"/>
  <c r="C26" s="1"/>
  <c r="Z32" i="2" s="1"/>
  <c r="F25" i="12"/>
  <c r="E25"/>
  <c r="C25" s="1"/>
  <c r="Z29" i="2" s="1"/>
  <c r="F24" i="12"/>
  <c r="E24"/>
  <c r="F23"/>
  <c r="E23"/>
  <c r="F22"/>
  <c r="E22"/>
  <c r="F21"/>
  <c r="E21"/>
  <c r="C21"/>
  <c r="Z24" i="2" s="1"/>
  <c r="F20" i="12"/>
  <c r="E20"/>
  <c r="F19"/>
  <c r="E19"/>
  <c r="C19" s="1"/>
  <c r="Z22" i="2" s="1"/>
  <c r="F18" i="12"/>
  <c r="E18"/>
  <c r="F17"/>
  <c r="E17"/>
  <c r="C17" s="1"/>
  <c r="Z19" i="2" s="1"/>
  <c r="F16" i="12"/>
  <c r="E16"/>
  <c r="C16" s="1"/>
  <c r="Z18" i="2" s="1"/>
  <c r="F15" i="12"/>
  <c r="E15"/>
  <c r="F14"/>
  <c r="E14"/>
  <c r="C14" s="1"/>
  <c r="Z16" i="2" s="1"/>
  <c r="F13" i="12"/>
  <c r="E13"/>
  <c r="C13" s="1"/>
  <c r="Z15" i="2" s="1"/>
  <c r="E9" i="12"/>
  <c r="Y266" i="2"/>
  <c r="Y254"/>
  <c r="Y249"/>
  <c r="Y245"/>
  <c r="Y229"/>
  <c r="Y224"/>
  <c r="Y210"/>
  <c r="Y191"/>
  <c r="Y166"/>
  <c r="Y145"/>
  <c r="Y141"/>
  <c r="Y134"/>
  <c r="Y119"/>
  <c r="Y115"/>
  <c r="Y108"/>
  <c r="Y86"/>
  <c r="Y81"/>
  <c r="Y70"/>
  <c r="Y67"/>
  <c r="Y63"/>
  <c r="Y51"/>
  <c r="Y21"/>
  <c r="F461" i="11"/>
  <c r="E461"/>
  <c r="C461" s="1"/>
  <c r="F460"/>
  <c r="C460" s="1"/>
  <c r="E460"/>
  <c r="F459"/>
  <c r="E459"/>
  <c r="C459" s="1"/>
  <c r="F458"/>
  <c r="E458"/>
  <c r="F457"/>
  <c r="E457"/>
  <c r="C457"/>
  <c r="F456"/>
  <c r="C456" s="1"/>
  <c r="E456"/>
  <c r="F455"/>
  <c r="E455"/>
  <c r="C455" s="1"/>
  <c r="F454"/>
  <c r="E454"/>
  <c r="F453"/>
  <c r="E453"/>
  <c r="C453" s="1"/>
  <c r="F452"/>
  <c r="C452" s="1"/>
  <c r="E452"/>
  <c r="F451"/>
  <c r="E451"/>
  <c r="F450"/>
  <c r="E450"/>
  <c r="F449"/>
  <c r="E449"/>
  <c r="C449" s="1"/>
  <c r="F448"/>
  <c r="E448"/>
  <c r="F447"/>
  <c r="E447"/>
  <c r="F446"/>
  <c r="E446"/>
  <c r="C446" s="1"/>
  <c r="F445"/>
  <c r="C445" s="1"/>
  <c r="E445"/>
  <c r="F444"/>
  <c r="C444" s="1"/>
  <c r="E444"/>
  <c r="F443"/>
  <c r="E443"/>
  <c r="C443" s="1"/>
  <c r="F442"/>
  <c r="E442"/>
  <c r="F441"/>
  <c r="E441"/>
  <c r="C441"/>
  <c r="F440"/>
  <c r="C440" s="1"/>
  <c r="E440"/>
  <c r="F439"/>
  <c r="E439"/>
  <c r="C439" s="1"/>
  <c r="F438"/>
  <c r="E438"/>
  <c r="F437"/>
  <c r="E437"/>
  <c r="C437" s="1"/>
  <c r="F436"/>
  <c r="C436" s="1"/>
  <c r="E436"/>
  <c r="F435"/>
  <c r="E435"/>
  <c r="F434"/>
  <c r="E434"/>
  <c r="F433"/>
  <c r="E433"/>
  <c r="C433" s="1"/>
  <c r="F432"/>
  <c r="E432"/>
  <c r="F431"/>
  <c r="E431"/>
  <c r="F430"/>
  <c r="E430"/>
  <c r="C430" s="1"/>
  <c r="F429"/>
  <c r="C429" s="1"/>
  <c r="E429"/>
  <c r="F428"/>
  <c r="C428" s="1"/>
  <c r="E428"/>
  <c r="F427"/>
  <c r="E427"/>
  <c r="C427" s="1"/>
  <c r="F426"/>
  <c r="E426"/>
  <c r="F425"/>
  <c r="E425"/>
  <c r="C425"/>
  <c r="F424"/>
  <c r="C424" s="1"/>
  <c r="E424"/>
  <c r="F423"/>
  <c r="E423"/>
  <c r="C423" s="1"/>
  <c r="F422"/>
  <c r="E422"/>
  <c r="F421"/>
  <c r="E421"/>
  <c r="C421" s="1"/>
  <c r="F420"/>
  <c r="C420" s="1"/>
  <c r="E420"/>
  <c r="F419"/>
  <c r="E419"/>
  <c r="F418"/>
  <c r="E418"/>
  <c r="F417"/>
  <c r="E417"/>
  <c r="C417" s="1"/>
  <c r="F416"/>
  <c r="E416"/>
  <c r="F415"/>
  <c r="E415"/>
  <c r="F414"/>
  <c r="E414"/>
  <c r="C414" s="1"/>
  <c r="F413"/>
  <c r="E413"/>
  <c r="C413" s="1"/>
  <c r="F412"/>
  <c r="C412" s="1"/>
  <c r="E412"/>
  <c r="F411"/>
  <c r="E411"/>
  <c r="C411" s="1"/>
  <c r="F410"/>
  <c r="E410"/>
  <c r="F409"/>
  <c r="E409"/>
  <c r="C409"/>
  <c r="F408"/>
  <c r="C408" s="1"/>
  <c r="E408"/>
  <c r="F407"/>
  <c r="E407"/>
  <c r="C407" s="1"/>
  <c r="F406"/>
  <c r="E406"/>
  <c r="F405"/>
  <c r="E405"/>
  <c r="C405" s="1"/>
  <c r="F404"/>
  <c r="C404" s="1"/>
  <c r="E404"/>
  <c r="F403"/>
  <c r="E403"/>
  <c r="F402"/>
  <c r="E402"/>
  <c r="F401"/>
  <c r="E401"/>
  <c r="C401" s="1"/>
  <c r="F400"/>
  <c r="E400"/>
  <c r="F399"/>
  <c r="E399"/>
  <c r="F398"/>
  <c r="E398"/>
  <c r="C398" s="1"/>
  <c r="F397"/>
  <c r="E397"/>
  <c r="C397" s="1"/>
  <c r="F396"/>
  <c r="C396" s="1"/>
  <c r="E396"/>
  <c r="F395"/>
  <c r="E395"/>
  <c r="C395" s="1"/>
  <c r="F394"/>
  <c r="E394"/>
  <c r="F393"/>
  <c r="E393"/>
  <c r="C393"/>
  <c r="F392"/>
  <c r="C392" s="1"/>
  <c r="E392"/>
  <c r="F391"/>
  <c r="E391"/>
  <c r="C391" s="1"/>
  <c r="F390"/>
  <c r="E390"/>
  <c r="F389"/>
  <c r="E389"/>
  <c r="C389" s="1"/>
  <c r="F388"/>
  <c r="C388" s="1"/>
  <c r="E388"/>
  <c r="F387"/>
  <c r="E387"/>
  <c r="F386"/>
  <c r="E386"/>
  <c r="F385"/>
  <c r="E385"/>
  <c r="C385" s="1"/>
  <c r="F384"/>
  <c r="E384"/>
  <c r="F383"/>
  <c r="E383"/>
  <c r="F382"/>
  <c r="E382"/>
  <c r="C382" s="1"/>
  <c r="F381"/>
  <c r="C381" s="1"/>
  <c r="E381"/>
  <c r="F380"/>
  <c r="C380" s="1"/>
  <c r="E380"/>
  <c r="F379"/>
  <c r="E379"/>
  <c r="C379" s="1"/>
  <c r="F378"/>
  <c r="E378"/>
  <c r="F377"/>
  <c r="E377"/>
  <c r="C377"/>
  <c r="F376"/>
  <c r="C376" s="1"/>
  <c r="E376"/>
  <c r="F375"/>
  <c r="E375"/>
  <c r="C375" s="1"/>
  <c r="F374"/>
  <c r="E374"/>
  <c r="F373"/>
  <c r="E373"/>
  <c r="C373" s="1"/>
  <c r="F372"/>
  <c r="C372" s="1"/>
  <c r="E372"/>
  <c r="F371"/>
  <c r="E371"/>
  <c r="F370"/>
  <c r="E370"/>
  <c r="C370" s="1"/>
  <c r="F369"/>
  <c r="E369"/>
  <c r="C369" s="1"/>
  <c r="F368"/>
  <c r="E368"/>
  <c r="F367"/>
  <c r="E367"/>
  <c r="F366"/>
  <c r="E366"/>
  <c r="C366" s="1"/>
  <c r="F365"/>
  <c r="C365" s="1"/>
  <c r="E365"/>
  <c r="F364"/>
  <c r="C364" s="1"/>
  <c r="E364"/>
  <c r="F363"/>
  <c r="E363"/>
  <c r="C363" s="1"/>
  <c r="F362"/>
  <c r="E362"/>
  <c r="F361"/>
  <c r="E361"/>
  <c r="C361"/>
  <c r="F360"/>
  <c r="C360" s="1"/>
  <c r="E360"/>
  <c r="F359"/>
  <c r="E359"/>
  <c r="C359" s="1"/>
  <c r="F358"/>
  <c r="E358"/>
  <c r="F357"/>
  <c r="E357"/>
  <c r="C357" s="1"/>
  <c r="F356"/>
  <c r="E356"/>
  <c r="F355"/>
  <c r="E355"/>
  <c r="F354"/>
  <c r="E354"/>
  <c r="C354" s="1"/>
  <c r="F353"/>
  <c r="E353"/>
  <c r="C353" s="1"/>
  <c r="F352"/>
  <c r="E352"/>
  <c r="F351"/>
  <c r="E351"/>
  <c r="F350"/>
  <c r="E350"/>
  <c r="C350" s="1"/>
  <c r="F349"/>
  <c r="C349" s="1"/>
  <c r="E349"/>
  <c r="F348"/>
  <c r="C348" s="1"/>
  <c r="E348"/>
  <c r="F347"/>
  <c r="E347"/>
  <c r="C347" s="1"/>
  <c r="F346"/>
  <c r="E346"/>
  <c r="F345"/>
  <c r="E345"/>
  <c r="C345"/>
  <c r="F344"/>
  <c r="C344" s="1"/>
  <c r="E344"/>
  <c r="F343"/>
  <c r="E343"/>
  <c r="C343" s="1"/>
  <c r="F342"/>
  <c r="E342"/>
  <c r="F341"/>
  <c r="E341"/>
  <c r="C341" s="1"/>
  <c r="F340"/>
  <c r="C340" s="1"/>
  <c r="E340"/>
  <c r="F339"/>
  <c r="E339"/>
  <c r="F338"/>
  <c r="E338"/>
  <c r="F337"/>
  <c r="E337"/>
  <c r="C337" s="1"/>
  <c r="F336"/>
  <c r="E336"/>
  <c r="F335"/>
  <c r="E335"/>
  <c r="F334"/>
  <c r="E334"/>
  <c r="C334" s="1"/>
  <c r="F333"/>
  <c r="E333"/>
  <c r="C333" s="1"/>
  <c r="F332"/>
  <c r="C332" s="1"/>
  <c r="E332"/>
  <c r="F331"/>
  <c r="E331"/>
  <c r="C331" s="1"/>
  <c r="F330"/>
  <c r="E330"/>
  <c r="F329"/>
  <c r="E329"/>
  <c r="C329"/>
  <c r="F328"/>
  <c r="C328" s="1"/>
  <c r="E328"/>
  <c r="F327"/>
  <c r="E327"/>
  <c r="C327" s="1"/>
  <c r="F326"/>
  <c r="E326"/>
  <c r="F325"/>
  <c r="E325"/>
  <c r="C325" s="1"/>
  <c r="F324"/>
  <c r="C324" s="1"/>
  <c r="E324"/>
  <c r="F323"/>
  <c r="E323"/>
  <c r="F322"/>
  <c r="E322"/>
  <c r="C322" s="1"/>
  <c r="F321"/>
  <c r="E321"/>
  <c r="C321" s="1"/>
  <c r="F320"/>
  <c r="E320"/>
  <c r="F319"/>
  <c r="E319"/>
  <c r="F318"/>
  <c r="E318"/>
  <c r="C318" s="1"/>
  <c r="F317"/>
  <c r="E317"/>
  <c r="C317" s="1"/>
  <c r="F316"/>
  <c r="C316" s="1"/>
  <c r="E316"/>
  <c r="F315"/>
  <c r="E315"/>
  <c r="C315" s="1"/>
  <c r="F314"/>
  <c r="E314"/>
  <c r="F313"/>
  <c r="E313"/>
  <c r="C313"/>
  <c r="F312"/>
  <c r="C312" s="1"/>
  <c r="E312"/>
  <c r="F311"/>
  <c r="E311"/>
  <c r="C311" s="1"/>
  <c r="F310"/>
  <c r="E310"/>
  <c r="F309"/>
  <c r="E309"/>
  <c r="C309" s="1"/>
  <c r="F308"/>
  <c r="C308" s="1"/>
  <c r="E308"/>
  <c r="F307"/>
  <c r="E307"/>
  <c r="F306"/>
  <c r="E306"/>
  <c r="F305"/>
  <c r="E305"/>
  <c r="C305" s="1"/>
  <c r="F304"/>
  <c r="E304"/>
  <c r="F303"/>
  <c r="E303"/>
  <c r="F302"/>
  <c r="E302"/>
  <c r="C302" s="1"/>
  <c r="F301"/>
  <c r="E301"/>
  <c r="C301" s="1"/>
  <c r="F300"/>
  <c r="C300" s="1"/>
  <c r="E300"/>
  <c r="F299"/>
  <c r="E299"/>
  <c r="C299" s="1"/>
  <c r="F298"/>
  <c r="E298"/>
  <c r="F297"/>
  <c r="E297"/>
  <c r="C297"/>
  <c r="F296"/>
  <c r="C296" s="1"/>
  <c r="E296"/>
  <c r="F295"/>
  <c r="E295"/>
  <c r="C295" s="1"/>
  <c r="F294"/>
  <c r="E294"/>
  <c r="F293"/>
  <c r="E293"/>
  <c r="C293" s="1"/>
  <c r="F292"/>
  <c r="C292" s="1"/>
  <c r="E292"/>
  <c r="F291"/>
  <c r="E291"/>
  <c r="F290"/>
  <c r="E290"/>
  <c r="C290" s="1"/>
  <c r="F289"/>
  <c r="E289"/>
  <c r="C289" s="1"/>
  <c r="F288"/>
  <c r="E288"/>
  <c r="F287"/>
  <c r="E287"/>
  <c r="F286"/>
  <c r="E286"/>
  <c r="C286" s="1"/>
  <c r="F285"/>
  <c r="C285" s="1"/>
  <c r="E285"/>
  <c r="F284"/>
  <c r="C284" s="1"/>
  <c r="E284"/>
  <c r="F283"/>
  <c r="E283"/>
  <c r="C283" s="1"/>
  <c r="F282"/>
  <c r="E282"/>
  <c r="F281"/>
  <c r="E281"/>
  <c r="C281"/>
  <c r="F280"/>
  <c r="D280" s="1"/>
  <c r="E280"/>
  <c r="F279"/>
  <c r="E279"/>
  <c r="F278"/>
  <c r="E278"/>
  <c r="F277"/>
  <c r="E277"/>
  <c r="D277" s="1"/>
  <c r="F276"/>
  <c r="D276" s="1"/>
  <c r="E276"/>
  <c r="F275"/>
  <c r="D275" s="1"/>
  <c r="E275"/>
  <c r="F274"/>
  <c r="E274"/>
  <c r="D274" s="1"/>
  <c r="F273"/>
  <c r="D273" s="1"/>
  <c r="E273"/>
  <c r="F272"/>
  <c r="E272"/>
  <c r="F271"/>
  <c r="D271" s="1"/>
  <c r="E271"/>
  <c r="F270"/>
  <c r="E270"/>
  <c r="D270" s="1"/>
  <c r="F269"/>
  <c r="D269" s="1"/>
  <c r="E269"/>
  <c r="F268"/>
  <c r="D268" s="1"/>
  <c r="E268"/>
  <c r="F267"/>
  <c r="D267" s="1"/>
  <c r="E267"/>
  <c r="F266"/>
  <c r="E266"/>
  <c r="F265"/>
  <c r="E265"/>
  <c r="D265"/>
  <c r="F264"/>
  <c r="D264" s="1"/>
  <c r="E264"/>
  <c r="F263"/>
  <c r="E263"/>
  <c r="F262"/>
  <c r="E262"/>
  <c r="F261"/>
  <c r="E261"/>
  <c r="D261" s="1"/>
  <c r="F260"/>
  <c r="D260" s="1"/>
  <c r="E260"/>
  <c r="F259"/>
  <c r="D259" s="1"/>
  <c r="E259"/>
  <c r="F258"/>
  <c r="E258"/>
  <c r="F257"/>
  <c r="D257" s="1"/>
  <c r="E257"/>
  <c r="F256"/>
  <c r="E256"/>
  <c r="F255"/>
  <c r="D255" s="1"/>
  <c r="E255"/>
  <c r="F254"/>
  <c r="E254"/>
  <c r="D254" s="1"/>
  <c r="F253"/>
  <c r="D253" s="1"/>
  <c r="E253"/>
  <c r="F252"/>
  <c r="D252" s="1"/>
  <c r="E252"/>
  <c r="F251"/>
  <c r="D251" s="1"/>
  <c r="E251"/>
  <c r="F250"/>
  <c r="E250"/>
  <c r="F249"/>
  <c r="E249"/>
  <c r="D249"/>
  <c r="F248"/>
  <c r="D248" s="1"/>
  <c r="E248"/>
  <c r="F247"/>
  <c r="E247"/>
  <c r="F246"/>
  <c r="E246"/>
  <c r="F245"/>
  <c r="E245"/>
  <c r="D245" s="1"/>
  <c r="F244"/>
  <c r="D244" s="1"/>
  <c r="E244"/>
  <c r="F243"/>
  <c r="D243" s="1"/>
  <c r="E243"/>
  <c r="F242"/>
  <c r="E242"/>
  <c r="F241"/>
  <c r="D241" s="1"/>
  <c r="E241"/>
  <c r="F240"/>
  <c r="E240"/>
  <c r="F239"/>
  <c r="D239" s="1"/>
  <c r="E239"/>
  <c r="F238"/>
  <c r="E238"/>
  <c r="D238" s="1"/>
  <c r="F237"/>
  <c r="D237" s="1"/>
  <c r="E237"/>
  <c r="F236"/>
  <c r="D236" s="1"/>
  <c r="E236"/>
  <c r="F235"/>
  <c r="E235"/>
  <c r="F234"/>
  <c r="E234"/>
  <c r="F233"/>
  <c r="E233"/>
  <c r="D233"/>
  <c r="F232"/>
  <c r="D232" s="1"/>
  <c r="E232"/>
  <c r="F231"/>
  <c r="E231"/>
  <c r="F230"/>
  <c r="E230"/>
  <c r="F229"/>
  <c r="E229"/>
  <c r="D229" s="1"/>
  <c r="F228"/>
  <c r="E228"/>
  <c r="F227"/>
  <c r="D227" s="1"/>
  <c r="E227"/>
  <c r="F226"/>
  <c r="E226"/>
  <c r="D226" s="1"/>
  <c r="F225"/>
  <c r="D225" s="1"/>
  <c r="E225"/>
  <c r="F224"/>
  <c r="E224"/>
  <c r="F223"/>
  <c r="D223" s="1"/>
  <c r="E223"/>
  <c r="F222"/>
  <c r="E222"/>
  <c r="D222" s="1"/>
  <c r="F221"/>
  <c r="D221" s="1"/>
  <c r="E221"/>
  <c r="F220"/>
  <c r="D220" s="1"/>
  <c r="E220"/>
  <c r="F219"/>
  <c r="E219"/>
  <c r="F218"/>
  <c r="E218"/>
  <c r="F217"/>
  <c r="E217"/>
  <c r="D217"/>
  <c r="F216"/>
  <c r="D216" s="1"/>
  <c r="E216"/>
  <c r="F215"/>
  <c r="E215"/>
  <c r="F214"/>
  <c r="E214"/>
  <c r="F213"/>
  <c r="E213"/>
  <c r="D213" s="1"/>
  <c r="F212"/>
  <c r="D212" s="1"/>
  <c r="E212"/>
  <c r="F211"/>
  <c r="D211" s="1"/>
  <c r="E211"/>
  <c r="F210"/>
  <c r="E210"/>
  <c r="F209"/>
  <c r="D209" s="1"/>
  <c r="E209"/>
  <c r="F208"/>
  <c r="E208"/>
  <c r="F207"/>
  <c r="D207" s="1"/>
  <c r="E207"/>
  <c r="F206"/>
  <c r="E206"/>
  <c r="D206" s="1"/>
  <c r="F205"/>
  <c r="D205" s="1"/>
  <c r="E205"/>
  <c r="F204"/>
  <c r="D204" s="1"/>
  <c r="E204"/>
  <c r="F203"/>
  <c r="D203" s="1"/>
  <c r="E203"/>
  <c r="F202"/>
  <c r="E202"/>
  <c r="F201"/>
  <c r="E201"/>
  <c r="D201"/>
  <c r="F200"/>
  <c r="D200" s="1"/>
  <c r="E200"/>
  <c r="F199"/>
  <c r="E199"/>
  <c r="F198"/>
  <c r="E198"/>
  <c r="F197"/>
  <c r="E197"/>
  <c r="D197" s="1"/>
  <c r="Y270" i="2" s="1"/>
  <c r="F196" i="11"/>
  <c r="D196" s="1"/>
  <c r="E196"/>
  <c r="F195"/>
  <c r="D195" s="1"/>
  <c r="Y265" i="2" s="1"/>
  <c r="E195" i="11"/>
  <c r="F194"/>
  <c r="E194"/>
  <c r="F193"/>
  <c r="D193" s="1"/>
  <c r="Y263" i="2" s="1"/>
  <c r="E193" i="11"/>
  <c r="F192"/>
  <c r="E192"/>
  <c r="F191"/>
  <c r="D191" s="1"/>
  <c r="Y261" i="2" s="1"/>
  <c r="E191" i="11"/>
  <c r="F190"/>
  <c r="E190"/>
  <c r="D190" s="1"/>
  <c r="Y257" i="2" s="1"/>
  <c r="F189" i="11"/>
  <c r="D189" s="1"/>
  <c r="Y256" i="2" s="1"/>
  <c r="E189" i="11"/>
  <c r="F188"/>
  <c r="D188" s="1"/>
  <c r="Y255" i="2" s="1"/>
  <c r="E188" i="11"/>
  <c r="F187"/>
  <c r="D187" s="1"/>
  <c r="E187"/>
  <c r="F186"/>
  <c r="E186"/>
  <c r="F185"/>
  <c r="E185"/>
  <c r="D185"/>
  <c r="Y251" i="2" s="1"/>
  <c r="F184" i="11"/>
  <c r="D184" s="1"/>
  <c r="E184"/>
  <c r="F183"/>
  <c r="E183"/>
  <c r="F182"/>
  <c r="E182"/>
  <c r="F181"/>
  <c r="E181"/>
  <c r="D181" s="1"/>
  <c r="Y246" i="2" s="1"/>
  <c r="F180" i="11"/>
  <c r="D180" s="1"/>
  <c r="E180"/>
  <c r="F179"/>
  <c r="D179" s="1"/>
  <c r="Y244" i="2" s="1"/>
  <c r="E179" i="11"/>
  <c r="F178"/>
  <c r="E178"/>
  <c r="F177"/>
  <c r="D177" s="1"/>
  <c r="Y241" i="2" s="1"/>
  <c r="E177" i="11"/>
  <c r="F176"/>
  <c r="E176"/>
  <c r="F175"/>
  <c r="D175" s="1"/>
  <c r="Y239" i="2" s="1"/>
  <c r="E175" i="11"/>
  <c r="F174"/>
  <c r="E174"/>
  <c r="D174" s="1"/>
  <c r="Y238" i="2" s="1"/>
  <c r="F173" i="11"/>
  <c r="C173" s="1"/>
  <c r="Y231" i="2" s="1"/>
  <c r="E173" i="11"/>
  <c r="F172"/>
  <c r="C172" s="1"/>
  <c r="Y230" i="2" s="1"/>
  <c r="E172" i="11"/>
  <c r="F171"/>
  <c r="E171"/>
  <c r="C171" s="1"/>
  <c r="F170"/>
  <c r="E170"/>
  <c r="F169"/>
  <c r="E169"/>
  <c r="C169"/>
  <c r="Y227" i="2" s="1"/>
  <c r="F168" i="11"/>
  <c r="C168" s="1"/>
  <c r="E168"/>
  <c r="F167"/>
  <c r="E167"/>
  <c r="C167" s="1"/>
  <c r="Y223" i="2" s="1"/>
  <c r="F166" i="11"/>
  <c r="E166"/>
  <c r="F165"/>
  <c r="E165"/>
  <c r="C165" s="1"/>
  <c r="Y221" i="2" s="1"/>
  <c r="F164" i="11"/>
  <c r="E164"/>
  <c r="F163"/>
  <c r="E163"/>
  <c r="F162"/>
  <c r="E162"/>
  <c r="C162" s="1"/>
  <c r="Y218" i="2" s="1"/>
  <c r="F161" i="11"/>
  <c r="E161"/>
  <c r="C161" s="1"/>
  <c r="Y217" i="2" s="1"/>
  <c r="F160" i="11"/>
  <c r="E160"/>
  <c r="F159"/>
  <c r="E159"/>
  <c r="F158"/>
  <c r="E158"/>
  <c r="C158" s="1"/>
  <c r="Y213" i="2" s="1"/>
  <c r="F157" i="11"/>
  <c r="E157"/>
  <c r="C157" s="1"/>
  <c r="F156"/>
  <c r="C156" s="1"/>
  <c r="E156"/>
  <c r="F155"/>
  <c r="E155"/>
  <c r="C155" s="1"/>
  <c r="F154"/>
  <c r="E154"/>
  <c r="F153"/>
  <c r="E153"/>
  <c r="C153"/>
  <c r="F152"/>
  <c r="C152" s="1"/>
  <c r="E152"/>
  <c r="F151"/>
  <c r="E151"/>
  <c r="C151" s="1"/>
  <c r="Y211" i="2" s="1"/>
  <c r="F150" i="11"/>
  <c r="E150"/>
  <c r="F149"/>
  <c r="E149"/>
  <c r="C149" s="1"/>
  <c r="F148"/>
  <c r="C148" s="1"/>
  <c r="E148"/>
  <c r="F147"/>
  <c r="D147" s="1"/>
  <c r="Y208" i="2" s="1"/>
  <c r="E147" i="11"/>
  <c r="F146"/>
  <c r="E146"/>
  <c r="C146" s="1"/>
  <c r="Y207" i="2" s="1"/>
  <c r="F145" i="11"/>
  <c r="D145" s="1"/>
  <c r="Y204" i="2" s="1"/>
  <c r="E145" i="11"/>
  <c r="F144"/>
  <c r="E144"/>
  <c r="F143"/>
  <c r="D143" s="1"/>
  <c r="Y201" i="2" s="1"/>
  <c r="E143" i="11"/>
  <c r="F142"/>
  <c r="E142"/>
  <c r="C142" s="1"/>
  <c r="Y200" i="2" s="1"/>
  <c r="F141" i="11"/>
  <c r="D141" s="1"/>
  <c r="Y198" i="2" s="1"/>
  <c r="E141" i="11"/>
  <c r="F140"/>
  <c r="C140" s="1"/>
  <c r="Y197" i="2" s="1"/>
  <c r="E140" i="11"/>
  <c r="F139"/>
  <c r="E139"/>
  <c r="F138"/>
  <c r="E138"/>
  <c r="F137"/>
  <c r="E137"/>
  <c r="D137"/>
  <c r="Y192" i="2" s="1"/>
  <c r="F136" i="11"/>
  <c r="C136" s="1"/>
  <c r="E136"/>
  <c r="F135"/>
  <c r="E135"/>
  <c r="F134"/>
  <c r="E134"/>
  <c r="F133"/>
  <c r="E133"/>
  <c r="D133" s="1"/>
  <c r="Y185" i="2" s="1"/>
  <c r="F132" i="11"/>
  <c r="E132"/>
  <c r="F131"/>
  <c r="D131" s="1"/>
  <c r="Y182" i="2" s="1"/>
  <c r="E131" i="11"/>
  <c r="F130"/>
  <c r="E130"/>
  <c r="C130" s="1"/>
  <c r="Y181" i="2" s="1"/>
  <c r="F129" i="11"/>
  <c r="D129" s="1"/>
  <c r="Y179" i="2" s="1"/>
  <c r="E129" i="11"/>
  <c r="F128"/>
  <c r="E128"/>
  <c r="F127"/>
  <c r="D127" s="1"/>
  <c r="Y176" i="2" s="1"/>
  <c r="E127" i="11"/>
  <c r="F126"/>
  <c r="E126"/>
  <c r="C126" s="1"/>
  <c r="Y175" i="2" s="1"/>
  <c r="F125" i="11"/>
  <c r="D125" s="1"/>
  <c r="Y173" i="2" s="1"/>
  <c r="E125" i="11"/>
  <c r="F124"/>
  <c r="C124" s="1"/>
  <c r="Y172" i="2" s="1"/>
  <c r="E124" i="11"/>
  <c r="F123"/>
  <c r="E123"/>
  <c r="F122"/>
  <c r="E122"/>
  <c r="F121"/>
  <c r="E121"/>
  <c r="D121"/>
  <c r="Y167" i="2" s="1"/>
  <c r="F120" i="11"/>
  <c r="C120" s="1"/>
  <c r="E120"/>
  <c r="F119"/>
  <c r="E119"/>
  <c r="F118"/>
  <c r="E118"/>
  <c r="F117"/>
  <c r="E117"/>
  <c r="D117" s="1"/>
  <c r="Y161" i="2" s="1"/>
  <c r="F116" i="11"/>
  <c r="E116"/>
  <c r="F115"/>
  <c r="D115" s="1"/>
  <c r="Y158" i="2" s="1"/>
  <c r="E115" i="11"/>
  <c r="F114"/>
  <c r="E114"/>
  <c r="C114" s="1"/>
  <c r="Y157" i="2" s="1"/>
  <c r="F113" i="11"/>
  <c r="D113" s="1"/>
  <c r="Y155" i="2" s="1"/>
  <c r="E113" i="11"/>
  <c r="F112"/>
  <c r="E112"/>
  <c r="F111"/>
  <c r="D111" s="1"/>
  <c r="Y151" i="2" s="1"/>
  <c r="E111" i="11"/>
  <c r="F110"/>
  <c r="E110"/>
  <c r="C110" s="1"/>
  <c r="Y150" i="2" s="1"/>
  <c r="F109" i="11"/>
  <c r="D109" s="1"/>
  <c r="Y148" i="2" s="1"/>
  <c r="E109" i="11"/>
  <c r="F108"/>
  <c r="C108" s="1"/>
  <c r="Y147" i="2" s="1"/>
  <c r="E108" i="11"/>
  <c r="F107"/>
  <c r="D107" s="1"/>
  <c r="E107"/>
  <c r="F106"/>
  <c r="E106"/>
  <c r="F105"/>
  <c r="E105"/>
  <c r="D105"/>
  <c r="Y142" i="2" s="1"/>
  <c r="F104" i="11"/>
  <c r="C104" s="1"/>
  <c r="E104"/>
  <c r="F103"/>
  <c r="E103"/>
  <c r="F102"/>
  <c r="E102"/>
  <c r="F101"/>
  <c r="E101"/>
  <c r="D101" s="1"/>
  <c r="F100"/>
  <c r="C100" s="1"/>
  <c r="E100"/>
  <c r="F99"/>
  <c r="D99" s="1"/>
  <c r="Y135" i="2" s="1"/>
  <c r="E99" i="11"/>
  <c r="F98"/>
  <c r="E98"/>
  <c r="F97"/>
  <c r="D97" s="1"/>
  <c r="Y128" i="2" s="1"/>
  <c r="E97" i="11"/>
  <c r="F96"/>
  <c r="E96"/>
  <c r="F95"/>
  <c r="D95" s="1"/>
  <c r="Y125" i="2" s="1"/>
  <c r="E95" i="11"/>
  <c r="F94"/>
  <c r="E94"/>
  <c r="C94" s="1"/>
  <c r="Y124" i="2" s="1"/>
  <c r="F93" i="11"/>
  <c r="D93" s="1"/>
  <c r="Y122" i="2" s="1"/>
  <c r="E93" i="11"/>
  <c r="F92"/>
  <c r="C92" s="1"/>
  <c r="Y121" i="2" s="1"/>
  <c r="E92" i="11"/>
  <c r="F91"/>
  <c r="D91" s="1"/>
  <c r="E91"/>
  <c r="F90"/>
  <c r="E90"/>
  <c r="F89"/>
  <c r="E89"/>
  <c r="D89"/>
  <c r="Y116" i="2" s="1"/>
  <c r="F88" i="11"/>
  <c r="C88" s="1"/>
  <c r="E88"/>
  <c r="F87"/>
  <c r="E87"/>
  <c r="F86"/>
  <c r="E86"/>
  <c r="F85"/>
  <c r="E85"/>
  <c r="D85" s="1"/>
  <c r="Y109" i="2" s="1"/>
  <c r="F84" i="11"/>
  <c r="C84" s="1"/>
  <c r="E84"/>
  <c r="F83"/>
  <c r="D83" s="1"/>
  <c r="Y106" i="2" s="1"/>
  <c r="E83" i="11"/>
  <c r="F82"/>
  <c r="E82"/>
  <c r="F81"/>
  <c r="D81" s="1"/>
  <c r="Y103" i="2" s="1"/>
  <c r="E81" i="11"/>
  <c r="F80"/>
  <c r="E80"/>
  <c r="F79"/>
  <c r="E79"/>
  <c r="F78"/>
  <c r="E78"/>
  <c r="C78" s="1"/>
  <c r="Y96" i="2" s="1"/>
  <c r="F77" i="11"/>
  <c r="E77"/>
  <c r="C77" s="1"/>
  <c r="Y94" i="2" s="1"/>
  <c r="F76" i="11"/>
  <c r="C76" s="1"/>
  <c r="Y93" i="2" s="1"/>
  <c r="E76" i="11"/>
  <c r="F75"/>
  <c r="E75"/>
  <c r="F74"/>
  <c r="E74"/>
  <c r="F73"/>
  <c r="E73"/>
  <c r="C73"/>
  <c r="Y87" i="2" s="1"/>
  <c r="F72" i="11"/>
  <c r="C72" s="1"/>
  <c r="E72"/>
  <c r="F71"/>
  <c r="E71"/>
  <c r="C71" s="1"/>
  <c r="Y84" i="2" s="1"/>
  <c r="F70" i="11"/>
  <c r="E70"/>
  <c r="F69"/>
  <c r="E69"/>
  <c r="C69" s="1"/>
  <c r="Y82" i="2" s="1"/>
  <c r="F68" i="11"/>
  <c r="C68" s="1"/>
  <c r="E68"/>
  <c r="F67"/>
  <c r="E67"/>
  <c r="F66"/>
  <c r="E66"/>
  <c r="F65"/>
  <c r="E65"/>
  <c r="C65" s="1"/>
  <c r="Y78" i="2" s="1"/>
  <c r="F64" i="11"/>
  <c r="E64"/>
  <c r="F63"/>
  <c r="E63"/>
  <c r="F62"/>
  <c r="E62"/>
  <c r="C62" s="1"/>
  <c r="Y74" i="2" s="1"/>
  <c r="F61" i="11"/>
  <c r="E61"/>
  <c r="C61" s="1"/>
  <c r="Y72" i="2" s="1"/>
  <c r="F60" i="11"/>
  <c r="C60" s="1"/>
  <c r="Y71" i="2" s="1"/>
  <c r="E60" i="11"/>
  <c r="F59"/>
  <c r="E59"/>
  <c r="C59" s="1"/>
  <c r="F58"/>
  <c r="E58"/>
  <c r="F57"/>
  <c r="E57"/>
  <c r="C57"/>
  <c r="Y68" i="2" s="1"/>
  <c r="F56" i="11"/>
  <c r="C56" s="1"/>
  <c r="E56"/>
  <c r="F55"/>
  <c r="E55"/>
  <c r="C55" s="1"/>
  <c r="Y66" i="2" s="1"/>
  <c r="F54" i="11"/>
  <c r="E54"/>
  <c r="F53"/>
  <c r="E53"/>
  <c r="C53" s="1"/>
  <c r="Y64" i="2" s="1"/>
  <c r="F52" i="11"/>
  <c r="C52" s="1"/>
  <c r="E52"/>
  <c r="F51"/>
  <c r="E51"/>
  <c r="F50"/>
  <c r="E50"/>
  <c r="C50" s="1"/>
  <c r="Y61" i="2" s="1"/>
  <c r="F49" i="11"/>
  <c r="E49"/>
  <c r="C49" s="1"/>
  <c r="Y60" i="2" s="1"/>
  <c r="F48" i="11"/>
  <c r="E48"/>
  <c r="F47"/>
  <c r="E47"/>
  <c r="F46"/>
  <c r="E46"/>
  <c r="C46" s="1"/>
  <c r="Y56" i="2" s="1"/>
  <c r="F45" i="11"/>
  <c r="E45"/>
  <c r="C45" s="1"/>
  <c r="Y55" i="2" s="1"/>
  <c r="F44" i="11"/>
  <c r="C44" s="1"/>
  <c r="Y54" i="2" s="1"/>
  <c r="E44" i="11"/>
  <c r="F43"/>
  <c r="E43"/>
  <c r="C43" s="1"/>
  <c r="F42"/>
  <c r="E42"/>
  <c r="F41"/>
  <c r="E41"/>
  <c r="C41"/>
  <c r="Y50" i="2" s="1"/>
  <c r="F40" i="11"/>
  <c r="C40" s="1"/>
  <c r="Y48" i="2" s="1"/>
  <c r="E40" i="11"/>
  <c r="F39"/>
  <c r="E39"/>
  <c r="C39" s="1"/>
  <c r="Y46" i="2" s="1"/>
  <c r="F38" i="11"/>
  <c r="E38"/>
  <c r="F37"/>
  <c r="E37"/>
  <c r="C37" s="1"/>
  <c r="Y44" i="2" s="1"/>
  <c r="F36" i="11"/>
  <c r="C36" s="1"/>
  <c r="Y43" i="2" s="1"/>
  <c r="E36" i="11"/>
  <c r="F35"/>
  <c r="E35"/>
  <c r="F34"/>
  <c r="E34"/>
  <c r="F33"/>
  <c r="E33"/>
  <c r="C33" s="1"/>
  <c r="Y39" i="2" s="1"/>
  <c r="F32" i="11"/>
  <c r="E32"/>
  <c r="F31"/>
  <c r="E31"/>
  <c r="F30"/>
  <c r="E30"/>
  <c r="C30" s="1"/>
  <c r="Y36" i="2" s="1"/>
  <c r="F29" i="11"/>
  <c r="C29" s="1"/>
  <c r="E29"/>
  <c r="F28"/>
  <c r="C28" s="1"/>
  <c r="Y34" i="2" s="1"/>
  <c r="E28" i="11"/>
  <c r="F27"/>
  <c r="E27"/>
  <c r="C27" s="1"/>
  <c r="Y33" i="2" s="1"/>
  <c r="F26" i="11"/>
  <c r="E26"/>
  <c r="F25"/>
  <c r="E25"/>
  <c r="C25"/>
  <c r="Y29" i="2" s="1"/>
  <c r="F24" i="11"/>
  <c r="C24" s="1"/>
  <c r="Y28" i="2" s="1"/>
  <c r="E24" i="11"/>
  <c r="F23"/>
  <c r="E23"/>
  <c r="C23" s="1"/>
  <c r="Y27" i="2" s="1"/>
  <c r="F22" i="11"/>
  <c r="E22"/>
  <c r="F21"/>
  <c r="E21"/>
  <c r="C21" s="1"/>
  <c r="Y24" i="2" s="1"/>
  <c r="F20" i="11"/>
  <c r="E20"/>
  <c r="F19"/>
  <c r="E19"/>
  <c r="F18"/>
  <c r="E18"/>
  <c r="C18" s="1"/>
  <c r="F17"/>
  <c r="E17"/>
  <c r="C17" s="1"/>
  <c r="Y19" i="2" s="1"/>
  <c r="F16" i="11"/>
  <c r="E16"/>
  <c r="F15"/>
  <c r="E15"/>
  <c r="F14"/>
  <c r="E14"/>
  <c r="C14" s="1"/>
  <c r="Y16" i="2" s="1"/>
  <c r="F13" i="11"/>
  <c r="E13"/>
  <c r="E9"/>
  <c r="X263" i="2"/>
  <c r="X241"/>
  <c r="X231"/>
  <c r="X204"/>
  <c r="X198"/>
  <c r="X179"/>
  <c r="X173"/>
  <c r="X155"/>
  <c r="X148"/>
  <c r="X128"/>
  <c r="X122"/>
  <c r="X103"/>
  <c r="X72"/>
  <c r="X63"/>
  <c r="X55"/>
  <c r="X43"/>
  <c r="X26"/>
  <c r="F461" i="10"/>
  <c r="E461"/>
  <c r="C461" s="1"/>
  <c r="F460"/>
  <c r="E460"/>
  <c r="F459"/>
  <c r="E459"/>
  <c r="C459"/>
  <c r="F458"/>
  <c r="E458"/>
  <c r="F457"/>
  <c r="E457"/>
  <c r="C457" s="1"/>
  <c r="F456"/>
  <c r="E456"/>
  <c r="F455"/>
  <c r="E455"/>
  <c r="C455" s="1"/>
  <c r="F454"/>
  <c r="E454"/>
  <c r="C454" s="1"/>
  <c r="F453"/>
  <c r="E453"/>
  <c r="F452"/>
  <c r="E452"/>
  <c r="C452" s="1"/>
  <c r="F451"/>
  <c r="E451"/>
  <c r="C451" s="1"/>
  <c r="F450"/>
  <c r="E450"/>
  <c r="C450" s="1"/>
  <c r="F449"/>
  <c r="E449"/>
  <c r="F448"/>
  <c r="E448"/>
  <c r="C448" s="1"/>
  <c r="F447"/>
  <c r="C447" s="1"/>
  <c r="E447"/>
  <c r="F446"/>
  <c r="E446"/>
  <c r="F445"/>
  <c r="E445"/>
  <c r="C445" s="1"/>
  <c r="F444"/>
  <c r="E444"/>
  <c r="F443"/>
  <c r="E443"/>
  <c r="C443"/>
  <c r="F442"/>
  <c r="E442"/>
  <c r="F441"/>
  <c r="E441"/>
  <c r="C441" s="1"/>
  <c r="F440"/>
  <c r="E440"/>
  <c r="F439"/>
  <c r="E439"/>
  <c r="C439" s="1"/>
  <c r="F438"/>
  <c r="E438"/>
  <c r="C438" s="1"/>
  <c r="F437"/>
  <c r="E437"/>
  <c r="F436"/>
  <c r="E436"/>
  <c r="C436" s="1"/>
  <c r="F435"/>
  <c r="E435"/>
  <c r="C435" s="1"/>
  <c r="F434"/>
  <c r="E434"/>
  <c r="C434" s="1"/>
  <c r="F433"/>
  <c r="E433"/>
  <c r="F432"/>
  <c r="E432"/>
  <c r="C432" s="1"/>
  <c r="F431"/>
  <c r="C431" s="1"/>
  <c r="E431"/>
  <c r="F430"/>
  <c r="E430"/>
  <c r="F429"/>
  <c r="E429"/>
  <c r="C429" s="1"/>
  <c r="F428"/>
  <c r="E428"/>
  <c r="F427"/>
  <c r="E427"/>
  <c r="C427"/>
  <c r="F426"/>
  <c r="E426"/>
  <c r="F425"/>
  <c r="E425"/>
  <c r="C425" s="1"/>
  <c r="F424"/>
  <c r="E424"/>
  <c r="F423"/>
  <c r="E423"/>
  <c r="C423" s="1"/>
  <c r="F422"/>
  <c r="E422"/>
  <c r="C422" s="1"/>
  <c r="F421"/>
  <c r="E421"/>
  <c r="F420"/>
  <c r="E420"/>
  <c r="C420" s="1"/>
  <c r="F419"/>
  <c r="E419"/>
  <c r="C419" s="1"/>
  <c r="F418"/>
  <c r="E418"/>
  <c r="C418" s="1"/>
  <c r="F417"/>
  <c r="E417"/>
  <c r="F416"/>
  <c r="E416"/>
  <c r="C416" s="1"/>
  <c r="F415"/>
  <c r="C415" s="1"/>
  <c r="E415"/>
  <c r="F414"/>
  <c r="E414"/>
  <c r="F413"/>
  <c r="E413"/>
  <c r="C413" s="1"/>
  <c r="F412"/>
  <c r="E412"/>
  <c r="F411"/>
  <c r="E411"/>
  <c r="C411"/>
  <c r="F410"/>
  <c r="E410"/>
  <c r="F409"/>
  <c r="E409"/>
  <c r="C409" s="1"/>
  <c r="F408"/>
  <c r="E408"/>
  <c r="F407"/>
  <c r="E407"/>
  <c r="C407" s="1"/>
  <c r="F406"/>
  <c r="E406"/>
  <c r="C406" s="1"/>
  <c r="F405"/>
  <c r="E405"/>
  <c r="F404"/>
  <c r="E404"/>
  <c r="C404" s="1"/>
  <c r="F403"/>
  <c r="E403"/>
  <c r="C403" s="1"/>
  <c r="F402"/>
  <c r="E402"/>
  <c r="C402" s="1"/>
  <c r="F401"/>
  <c r="E401"/>
  <c r="F400"/>
  <c r="E400"/>
  <c r="C400" s="1"/>
  <c r="F399"/>
  <c r="C399" s="1"/>
  <c r="E399"/>
  <c r="F398"/>
  <c r="E398"/>
  <c r="F397"/>
  <c r="E397"/>
  <c r="C397" s="1"/>
  <c r="F396"/>
  <c r="E396"/>
  <c r="F395"/>
  <c r="E395"/>
  <c r="C395"/>
  <c r="F394"/>
  <c r="E394"/>
  <c r="F393"/>
  <c r="E393"/>
  <c r="C393" s="1"/>
  <c r="F392"/>
  <c r="E392"/>
  <c r="F391"/>
  <c r="E391"/>
  <c r="C391" s="1"/>
  <c r="F390"/>
  <c r="E390"/>
  <c r="C390" s="1"/>
  <c r="F389"/>
  <c r="E389"/>
  <c r="F388"/>
  <c r="E388"/>
  <c r="C388" s="1"/>
  <c r="F387"/>
  <c r="E387"/>
  <c r="C387" s="1"/>
  <c r="F386"/>
  <c r="E386"/>
  <c r="C386" s="1"/>
  <c r="F385"/>
  <c r="E385"/>
  <c r="F384"/>
  <c r="E384"/>
  <c r="C384" s="1"/>
  <c r="F383"/>
  <c r="E383"/>
  <c r="C383" s="1"/>
  <c r="F382"/>
  <c r="E382"/>
  <c r="F381"/>
  <c r="E381"/>
  <c r="F380"/>
  <c r="E380"/>
  <c r="F379"/>
  <c r="E379"/>
  <c r="C379"/>
  <c r="F378"/>
  <c r="E378"/>
  <c r="F377"/>
  <c r="E377"/>
  <c r="C377" s="1"/>
  <c r="F376"/>
  <c r="E376"/>
  <c r="F375"/>
  <c r="E375"/>
  <c r="C375" s="1"/>
  <c r="F374"/>
  <c r="E374"/>
  <c r="F373"/>
  <c r="E373"/>
  <c r="F372"/>
  <c r="E372"/>
  <c r="C372" s="1"/>
  <c r="F371"/>
  <c r="E371"/>
  <c r="C371" s="1"/>
  <c r="F370"/>
  <c r="E370"/>
  <c r="F369"/>
  <c r="E369"/>
  <c r="F368"/>
  <c r="E368"/>
  <c r="C368" s="1"/>
  <c r="F367"/>
  <c r="C367" s="1"/>
  <c r="E367"/>
  <c r="F366"/>
  <c r="C366" s="1"/>
  <c r="E366"/>
  <c r="F365"/>
  <c r="E365"/>
  <c r="C365" s="1"/>
  <c r="F364"/>
  <c r="E364"/>
  <c r="F363"/>
  <c r="E363"/>
  <c r="C363"/>
  <c r="F362"/>
  <c r="E362"/>
  <c r="F361"/>
  <c r="E361"/>
  <c r="C361" s="1"/>
  <c r="F360"/>
  <c r="E360"/>
  <c r="F359"/>
  <c r="E359"/>
  <c r="C359" s="1"/>
  <c r="F358"/>
  <c r="E358"/>
  <c r="F357"/>
  <c r="E357"/>
  <c r="F356"/>
  <c r="E356"/>
  <c r="C356" s="1"/>
  <c r="F355"/>
  <c r="E355"/>
  <c r="C355" s="1"/>
  <c r="F354"/>
  <c r="E354"/>
  <c r="F353"/>
  <c r="E353"/>
  <c r="F352"/>
  <c r="E352"/>
  <c r="C352" s="1"/>
  <c r="F351"/>
  <c r="C351" s="1"/>
  <c r="E351"/>
  <c r="F350"/>
  <c r="C350" s="1"/>
  <c r="E350"/>
  <c r="F349"/>
  <c r="E349"/>
  <c r="C349" s="1"/>
  <c r="F348"/>
  <c r="E348"/>
  <c r="F347"/>
  <c r="E347"/>
  <c r="C347"/>
  <c r="F346"/>
  <c r="E346"/>
  <c r="F345"/>
  <c r="E345"/>
  <c r="C345" s="1"/>
  <c r="F344"/>
  <c r="E344"/>
  <c r="F343"/>
  <c r="E343"/>
  <c r="C343" s="1"/>
  <c r="F342"/>
  <c r="C342" s="1"/>
  <c r="E342"/>
  <c r="F341"/>
  <c r="E341"/>
  <c r="F340"/>
  <c r="E340"/>
  <c r="F339"/>
  <c r="E339"/>
  <c r="C339" s="1"/>
  <c r="F338"/>
  <c r="E338"/>
  <c r="F337"/>
  <c r="E337"/>
  <c r="F336"/>
  <c r="E336"/>
  <c r="C336" s="1"/>
  <c r="F335"/>
  <c r="E335"/>
  <c r="C335" s="1"/>
  <c r="F334"/>
  <c r="C334" s="1"/>
  <c r="E334"/>
  <c r="F333"/>
  <c r="E333"/>
  <c r="F332"/>
  <c r="E332"/>
  <c r="F331"/>
  <c r="E331"/>
  <c r="C331"/>
  <c r="F330"/>
  <c r="C330" s="1"/>
  <c r="E330"/>
  <c r="F329"/>
  <c r="E329"/>
  <c r="C329" s="1"/>
  <c r="F328"/>
  <c r="E328"/>
  <c r="F327"/>
  <c r="E327"/>
  <c r="C327" s="1"/>
  <c r="F326"/>
  <c r="C326" s="1"/>
  <c r="E326"/>
  <c r="F325"/>
  <c r="E325"/>
  <c r="F324"/>
  <c r="E324"/>
  <c r="C324" s="1"/>
  <c r="F323"/>
  <c r="E323"/>
  <c r="C323" s="1"/>
  <c r="F322"/>
  <c r="E322"/>
  <c r="F321"/>
  <c r="E321"/>
  <c r="F320"/>
  <c r="E320"/>
  <c r="C320" s="1"/>
  <c r="F319"/>
  <c r="E319"/>
  <c r="C319" s="1"/>
  <c r="F318"/>
  <c r="C318" s="1"/>
  <c r="E318"/>
  <c r="F317"/>
  <c r="E317"/>
  <c r="C317" s="1"/>
  <c r="F316"/>
  <c r="E316"/>
  <c r="F315"/>
  <c r="E315"/>
  <c r="C315"/>
  <c r="F314"/>
  <c r="C314" s="1"/>
  <c r="E314"/>
  <c r="F313"/>
  <c r="E313"/>
  <c r="C313" s="1"/>
  <c r="F312"/>
  <c r="E312"/>
  <c r="F311"/>
  <c r="E311"/>
  <c r="C311" s="1"/>
  <c r="F310"/>
  <c r="C310" s="1"/>
  <c r="E310"/>
  <c r="F309"/>
  <c r="E309"/>
  <c r="F308"/>
  <c r="E308"/>
  <c r="F307"/>
  <c r="E307"/>
  <c r="C307" s="1"/>
  <c r="F306"/>
  <c r="E306"/>
  <c r="F305"/>
  <c r="E305"/>
  <c r="F304"/>
  <c r="E304"/>
  <c r="C304" s="1"/>
  <c r="F303"/>
  <c r="E303"/>
  <c r="C303" s="1"/>
  <c r="F302"/>
  <c r="C302" s="1"/>
  <c r="E302"/>
  <c r="F301"/>
  <c r="E301"/>
  <c r="C301" s="1"/>
  <c r="F300"/>
  <c r="E300"/>
  <c r="F299"/>
  <c r="E299"/>
  <c r="C299"/>
  <c r="F298"/>
  <c r="C298" s="1"/>
  <c r="E298"/>
  <c r="F297"/>
  <c r="E297"/>
  <c r="C297" s="1"/>
  <c r="F296"/>
  <c r="E296"/>
  <c r="F295"/>
  <c r="E295"/>
  <c r="C295" s="1"/>
  <c r="F294"/>
  <c r="C294" s="1"/>
  <c r="E294"/>
  <c r="F293"/>
  <c r="E293"/>
  <c r="F292"/>
  <c r="E292"/>
  <c r="C292" s="1"/>
  <c r="F291"/>
  <c r="E291"/>
  <c r="C291" s="1"/>
  <c r="F290"/>
  <c r="E290"/>
  <c r="F289"/>
  <c r="E289"/>
  <c r="F288"/>
  <c r="E288"/>
  <c r="C288" s="1"/>
  <c r="F287"/>
  <c r="C287" s="1"/>
  <c r="E287"/>
  <c r="F286"/>
  <c r="E286"/>
  <c r="F285"/>
  <c r="E285"/>
  <c r="C285" s="1"/>
  <c r="F284"/>
  <c r="E284"/>
  <c r="F283"/>
  <c r="E283"/>
  <c r="C283"/>
  <c r="F282"/>
  <c r="E282"/>
  <c r="F281"/>
  <c r="E281"/>
  <c r="C281" s="1"/>
  <c r="F280"/>
  <c r="E280"/>
  <c r="F279"/>
  <c r="E279"/>
  <c r="D279" s="1"/>
  <c r="F278"/>
  <c r="D278" s="1"/>
  <c r="E278"/>
  <c r="F277"/>
  <c r="D277" s="1"/>
  <c r="E277"/>
  <c r="F276"/>
  <c r="E276"/>
  <c r="F275"/>
  <c r="D275" s="1"/>
  <c r="E275"/>
  <c r="F274"/>
  <c r="E274"/>
  <c r="F273"/>
  <c r="D273" s="1"/>
  <c r="E273"/>
  <c r="F272"/>
  <c r="E272"/>
  <c r="D272" s="1"/>
  <c r="F271"/>
  <c r="D271" s="1"/>
  <c r="E271"/>
  <c r="F270"/>
  <c r="D270" s="1"/>
  <c r="E270"/>
  <c r="F269"/>
  <c r="E269"/>
  <c r="F268"/>
  <c r="E268"/>
  <c r="F267"/>
  <c r="D267" s="1"/>
  <c r="X276" i="2" s="1"/>
  <c r="E267" i="10"/>
  <c r="F266"/>
  <c r="D266" s="1"/>
  <c r="E266"/>
  <c r="F265"/>
  <c r="E265"/>
  <c r="F264"/>
  <c r="E264"/>
  <c r="F263"/>
  <c r="E263"/>
  <c r="D263" s="1"/>
  <c r="F262"/>
  <c r="D262" s="1"/>
  <c r="E262"/>
  <c r="F261"/>
  <c r="D261" s="1"/>
  <c r="E261"/>
  <c r="F260"/>
  <c r="E260"/>
  <c r="F259"/>
  <c r="D259" s="1"/>
  <c r="E259"/>
  <c r="F258"/>
  <c r="E258"/>
  <c r="F257"/>
  <c r="D257" s="1"/>
  <c r="E257"/>
  <c r="F256"/>
  <c r="E256"/>
  <c r="D256" s="1"/>
  <c r="F255"/>
  <c r="D255" s="1"/>
  <c r="E255"/>
  <c r="F254"/>
  <c r="D254" s="1"/>
  <c r="E254"/>
  <c r="F253"/>
  <c r="E253"/>
  <c r="F252"/>
  <c r="E252"/>
  <c r="F251"/>
  <c r="E251"/>
  <c r="D251"/>
  <c r="F250"/>
  <c r="D250" s="1"/>
  <c r="E250"/>
  <c r="F249"/>
  <c r="E249"/>
  <c r="F248"/>
  <c r="E248"/>
  <c r="F247"/>
  <c r="E247"/>
  <c r="D247" s="1"/>
  <c r="F246"/>
  <c r="D246" s="1"/>
  <c r="E246"/>
  <c r="F245"/>
  <c r="D245" s="1"/>
  <c r="E245"/>
  <c r="F244"/>
  <c r="E244"/>
  <c r="F243"/>
  <c r="D243" s="1"/>
  <c r="E243"/>
  <c r="F242"/>
  <c r="E242"/>
  <c r="F241"/>
  <c r="D241" s="1"/>
  <c r="E241"/>
  <c r="F240"/>
  <c r="E240"/>
  <c r="D240" s="1"/>
  <c r="F239"/>
  <c r="D239" s="1"/>
  <c r="E239"/>
  <c r="F238"/>
  <c r="D238" s="1"/>
  <c r="E238"/>
  <c r="F237"/>
  <c r="D237" s="1"/>
  <c r="E237"/>
  <c r="F236"/>
  <c r="E236"/>
  <c r="F235"/>
  <c r="E235"/>
  <c r="D235"/>
  <c r="F234"/>
  <c r="D234" s="1"/>
  <c r="E234"/>
  <c r="F233"/>
  <c r="E233"/>
  <c r="F232"/>
  <c r="E232"/>
  <c r="F231"/>
  <c r="E231"/>
  <c r="D231" s="1"/>
  <c r="F230"/>
  <c r="D230" s="1"/>
  <c r="E230"/>
  <c r="F229"/>
  <c r="D229" s="1"/>
  <c r="E229"/>
  <c r="F228"/>
  <c r="E228"/>
  <c r="F227"/>
  <c r="D227" s="1"/>
  <c r="E227"/>
  <c r="F226"/>
  <c r="E226"/>
  <c r="F225"/>
  <c r="D225" s="1"/>
  <c r="E225"/>
  <c r="F224"/>
  <c r="E224"/>
  <c r="D224" s="1"/>
  <c r="F223"/>
  <c r="D223" s="1"/>
  <c r="E223"/>
  <c r="F222"/>
  <c r="D222" s="1"/>
  <c r="E222"/>
  <c r="F221"/>
  <c r="E221"/>
  <c r="F220"/>
  <c r="E220"/>
  <c r="F219"/>
  <c r="E219"/>
  <c r="D219"/>
  <c r="F218"/>
  <c r="D218" s="1"/>
  <c r="E218"/>
  <c r="F217"/>
  <c r="E217"/>
  <c r="F216"/>
  <c r="E216"/>
  <c r="F215"/>
  <c r="E215"/>
  <c r="D215" s="1"/>
  <c r="F214"/>
  <c r="D214" s="1"/>
  <c r="E214"/>
  <c r="F213"/>
  <c r="D213" s="1"/>
  <c r="E213"/>
  <c r="F212"/>
  <c r="E212"/>
  <c r="F211"/>
  <c r="D211" s="1"/>
  <c r="E211"/>
  <c r="F210"/>
  <c r="E210"/>
  <c r="F209"/>
  <c r="D209" s="1"/>
  <c r="E209"/>
  <c r="F208"/>
  <c r="E208"/>
  <c r="D208" s="1"/>
  <c r="F207"/>
  <c r="D207" s="1"/>
  <c r="E207"/>
  <c r="F206"/>
  <c r="D206" s="1"/>
  <c r="E206"/>
  <c r="F205"/>
  <c r="D205" s="1"/>
  <c r="E205"/>
  <c r="F204"/>
  <c r="E204"/>
  <c r="F203"/>
  <c r="E203"/>
  <c r="D203"/>
  <c r="F202"/>
  <c r="D202" s="1"/>
  <c r="E202"/>
  <c r="F201"/>
  <c r="E201"/>
  <c r="F200"/>
  <c r="E200"/>
  <c r="F199"/>
  <c r="E199"/>
  <c r="D199" s="1"/>
  <c r="X272" i="2" s="1"/>
  <c r="F198" i="10"/>
  <c r="D198" s="1"/>
  <c r="X271" i="2" s="1"/>
  <c r="E198" i="10"/>
  <c r="F197"/>
  <c r="D197" s="1"/>
  <c r="X270" i="2" s="1"/>
  <c r="E197" i="10"/>
  <c r="F196"/>
  <c r="E196"/>
  <c r="F195"/>
  <c r="D195" s="1"/>
  <c r="X265" i="2" s="1"/>
  <c r="E195" i="10"/>
  <c r="F194"/>
  <c r="E194"/>
  <c r="F193"/>
  <c r="D193" s="1"/>
  <c r="E193"/>
  <c r="F192"/>
  <c r="E192"/>
  <c r="D192" s="1"/>
  <c r="X262" i="2" s="1"/>
  <c r="F191" i="10"/>
  <c r="D191" s="1"/>
  <c r="X261" i="2" s="1"/>
  <c r="E191" i="10"/>
  <c r="F190"/>
  <c r="E190"/>
  <c r="F189"/>
  <c r="E189"/>
  <c r="F188"/>
  <c r="E188"/>
  <c r="F187"/>
  <c r="D187" s="1"/>
  <c r="X254" i="2" s="1"/>
  <c r="E187" i="10"/>
  <c r="F186"/>
  <c r="D186" s="1"/>
  <c r="X253" i="2" s="1"/>
  <c r="E186" i="10"/>
  <c r="F185"/>
  <c r="E185"/>
  <c r="F184"/>
  <c r="E184"/>
  <c r="F183"/>
  <c r="E183"/>
  <c r="D183" s="1"/>
  <c r="X248" i="2" s="1"/>
  <c r="F182" i="10"/>
  <c r="E182"/>
  <c r="F181"/>
  <c r="D181" s="1"/>
  <c r="X246" i="2" s="1"/>
  <c r="E181" i="10"/>
  <c r="F180"/>
  <c r="E180"/>
  <c r="F179"/>
  <c r="D179" s="1"/>
  <c r="X244" i="2" s="1"/>
  <c r="E179" i="10"/>
  <c r="F178"/>
  <c r="E178"/>
  <c r="F177"/>
  <c r="D177" s="1"/>
  <c r="E177"/>
  <c r="F176"/>
  <c r="E176"/>
  <c r="D176" s="1"/>
  <c r="X240" i="2" s="1"/>
  <c r="F175" i="10"/>
  <c r="D175" s="1"/>
  <c r="X239" i="2" s="1"/>
  <c r="E175" i="10"/>
  <c r="F174"/>
  <c r="D174" s="1"/>
  <c r="X238" i="2" s="1"/>
  <c r="E174" i="10"/>
  <c r="F173"/>
  <c r="E173"/>
  <c r="C173" s="1"/>
  <c r="F172"/>
  <c r="E172"/>
  <c r="F171"/>
  <c r="E171"/>
  <c r="C171"/>
  <c r="X229" i="2" s="1"/>
  <c r="F170" i="10"/>
  <c r="E170"/>
  <c r="F169"/>
  <c r="E169"/>
  <c r="C169" s="1"/>
  <c r="X227" i="2" s="1"/>
  <c r="F168" i="10"/>
  <c r="E168"/>
  <c r="F167"/>
  <c r="E167"/>
  <c r="C167" s="1"/>
  <c r="X223" i="2" s="1"/>
  <c r="F166" i="10"/>
  <c r="C166" s="1"/>
  <c r="X222" i="2" s="1"/>
  <c r="E166" i="10"/>
  <c r="F165"/>
  <c r="E165"/>
  <c r="F164"/>
  <c r="E164"/>
  <c r="F163"/>
  <c r="E163"/>
  <c r="C163" s="1"/>
  <c r="X219" i="2" s="1"/>
  <c r="F162" i="10"/>
  <c r="E162"/>
  <c r="F161"/>
  <c r="E161"/>
  <c r="F160"/>
  <c r="E160"/>
  <c r="C160" s="1"/>
  <c r="X216" i="2" s="1"/>
  <c r="F159" i="10"/>
  <c r="E159"/>
  <c r="C159" s="1"/>
  <c r="X215" i="2" s="1"/>
  <c r="F158" i="10"/>
  <c r="C158" s="1"/>
  <c r="X213" i="2" s="1"/>
  <c r="E158" i="10"/>
  <c r="F157"/>
  <c r="E157"/>
  <c r="F156"/>
  <c r="E156"/>
  <c r="F155"/>
  <c r="E155"/>
  <c r="C155"/>
  <c r="F154"/>
  <c r="C154" s="1"/>
  <c r="E154"/>
  <c r="F153"/>
  <c r="E153"/>
  <c r="C153" s="1"/>
  <c r="F152"/>
  <c r="E152"/>
  <c r="F151"/>
  <c r="E151"/>
  <c r="C151" s="1"/>
  <c r="X211" i="2" s="1"/>
  <c r="F150" i="10"/>
  <c r="C150" s="1"/>
  <c r="E150"/>
  <c r="F149"/>
  <c r="E149"/>
  <c r="F148"/>
  <c r="E148"/>
  <c r="F147"/>
  <c r="D147" s="1"/>
  <c r="X208" i="2" s="1"/>
  <c r="E147" i="10"/>
  <c r="F146"/>
  <c r="E146"/>
  <c r="F145"/>
  <c r="D145" s="1"/>
  <c r="E145"/>
  <c r="F144"/>
  <c r="E144"/>
  <c r="C144" s="1"/>
  <c r="X203" i="2" s="1"/>
  <c r="F143" i="10"/>
  <c r="D143" s="1"/>
  <c r="X201" i="2" s="1"/>
  <c r="E143" i="10"/>
  <c r="F142"/>
  <c r="C142" s="1"/>
  <c r="X200" i="2" s="1"/>
  <c r="E142" i="10"/>
  <c r="F141"/>
  <c r="D141" s="1"/>
  <c r="E141"/>
  <c r="F140"/>
  <c r="E140"/>
  <c r="F139"/>
  <c r="E139"/>
  <c r="D139"/>
  <c r="X195" i="2" s="1"/>
  <c r="F138" i="10"/>
  <c r="E138"/>
  <c r="F137"/>
  <c r="E137"/>
  <c r="F136"/>
  <c r="E136"/>
  <c r="F135"/>
  <c r="E135"/>
  <c r="D135" s="1"/>
  <c r="X188" i="2" s="1"/>
  <c r="F134" i="10"/>
  <c r="E134"/>
  <c r="F133"/>
  <c r="D133" s="1"/>
  <c r="X185" i="2" s="1"/>
  <c r="E133" i="10"/>
  <c r="F132"/>
  <c r="E132"/>
  <c r="F131"/>
  <c r="D131" s="1"/>
  <c r="X182" i="2" s="1"/>
  <c r="E131" i="10"/>
  <c r="F130"/>
  <c r="E130"/>
  <c r="C130" s="1"/>
  <c r="X181" i="2" s="1"/>
  <c r="F129" i="10"/>
  <c r="D129" s="1"/>
  <c r="E129"/>
  <c r="F128"/>
  <c r="E128"/>
  <c r="C128" s="1"/>
  <c r="X178" i="2" s="1"/>
  <c r="F127" i="10"/>
  <c r="D127" s="1"/>
  <c r="X176" i="2" s="1"/>
  <c r="E127" i="10"/>
  <c r="F126"/>
  <c r="C126" s="1"/>
  <c r="X175" i="2" s="1"/>
  <c r="E126" i="10"/>
  <c r="F125"/>
  <c r="D125" s="1"/>
  <c r="E125"/>
  <c r="F124"/>
  <c r="E124"/>
  <c r="F123"/>
  <c r="E123"/>
  <c r="D123"/>
  <c r="X170" i="2" s="1"/>
  <c r="F122" i="10"/>
  <c r="E122"/>
  <c r="F121"/>
  <c r="E121"/>
  <c r="F120"/>
  <c r="E120"/>
  <c r="F119"/>
  <c r="E119"/>
  <c r="D119" s="1"/>
  <c r="X164" i="2" s="1"/>
  <c r="F118" i="10"/>
  <c r="E118"/>
  <c r="F117"/>
  <c r="D117" s="1"/>
  <c r="X161" i="2" s="1"/>
  <c r="E117" i="10"/>
  <c r="F116"/>
  <c r="E116"/>
  <c r="F115"/>
  <c r="D115" s="1"/>
  <c r="X158" i="2" s="1"/>
  <c r="E115" i="10"/>
  <c r="F114"/>
  <c r="E114"/>
  <c r="C114" s="1"/>
  <c r="X157" i="2" s="1"/>
  <c r="F113" i="10"/>
  <c r="D113" s="1"/>
  <c r="E113"/>
  <c r="F112"/>
  <c r="E112"/>
  <c r="C112" s="1"/>
  <c r="X154" i="2" s="1"/>
  <c r="F111" i="10"/>
  <c r="D111" s="1"/>
  <c r="X151" i="2" s="1"/>
  <c r="E111" i="10"/>
  <c r="F110"/>
  <c r="E110"/>
  <c r="F109"/>
  <c r="D109" s="1"/>
  <c r="E109"/>
  <c r="F108"/>
  <c r="E108"/>
  <c r="F107"/>
  <c r="E107"/>
  <c r="D107"/>
  <c r="X145" i="2" s="1"/>
  <c r="F106" i="10"/>
  <c r="E106"/>
  <c r="F105"/>
  <c r="E105"/>
  <c r="F104"/>
  <c r="E104"/>
  <c r="F103"/>
  <c r="E103"/>
  <c r="D103" s="1"/>
  <c r="X138" i="2" s="1"/>
  <c r="F102" i="10"/>
  <c r="E102"/>
  <c r="F101"/>
  <c r="D101" s="1"/>
  <c r="E101"/>
  <c r="F100"/>
  <c r="E100"/>
  <c r="F99"/>
  <c r="D99" s="1"/>
  <c r="E99"/>
  <c r="F98"/>
  <c r="E98"/>
  <c r="C98" s="1"/>
  <c r="X131" i="2" s="1"/>
  <c r="F97" i="10"/>
  <c r="D97" s="1"/>
  <c r="E97"/>
  <c r="F96"/>
  <c r="E96"/>
  <c r="C96" s="1"/>
  <c r="X127" i="2" s="1"/>
  <c r="F95" i="10"/>
  <c r="D95" s="1"/>
  <c r="X125" i="2" s="1"/>
  <c r="E95" i="10"/>
  <c r="F94"/>
  <c r="E94"/>
  <c r="F93"/>
  <c r="D93" s="1"/>
  <c r="E93"/>
  <c r="F92"/>
  <c r="E92"/>
  <c r="F91"/>
  <c r="E91"/>
  <c r="D91"/>
  <c r="X119" i="2" s="1"/>
  <c r="F90" i="10"/>
  <c r="E90"/>
  <c r="F89"/>
  <c r="E89"/>
  <c r="F88"/>
  <c r="E88"/>
  <c r="F87"/>
  <c r="E87"/>
  <c r="D87" s="1"/>
  <c r="X112" i="2" s="1"/>
  <c r="F86" i="10"/>
  <c r="E86"/>
  <c r="F85"/>
  <c r="D85" s="1"/>
  <c r="X109" i="2" s="1"/>
  <c r="E85" i="10"/>
  <c r="F84"/>
  <c r="E84"/>
  <c r="F83"/>
  <c r="D83" s="1"/>
  <c r="X106" i="2" s="1"/>
  <c r="E83" i="10"/>
  <c r="F82"/>
  <c r="E82"/>
  <c r="C82" s="1"/>
  <c r="X105" i="2" s="1"/>
  <c r="F81" i="10"/>
  <c r="D81" s="1"/>
  <c r="E81"/>
  <c r="F80"/>
  <c r="E80"/>
  <c r="C80" s="1"/>
  <c r="X102" i="2" s="1"/>
  <c r="F79" i="10"/>
  <c r="E79"/>
  <c r="C79" s="1"/>
  <c r="X100" i="2" s="1"/>
  <c r="F78" i="10"/>
  <c r="E78"/>
  <c r="F77"/>
  <c r="E77"/>
  <c r="F76"/>
  <c r="E76"/>
  <c r="F75"/>
  <c r="E75"/>
  <c r="C75"/>
  <c r="X92" i="2" s="1"/>
  <c r="F74" i="10"/>
  <c r="E74"/>
  <c r="F73"/>
  <c r="E73"/>
  <c r="C73" s="1"/>
  <c r="X87" i="2" s="1"/>
  <c r="F72" i="10"/>
  <c r="E72"/>
  <c r="F71"/>
  <c r="E71"/>
  <c r="C71" s="1"/>
  <c r="X84" i="2" s="1"/>
  <c r="F70" i="10"/>
  <c r="E70"/>
  <c r="F69"/>
  <c r="E69"/>
  <c r="F68"/>
  <c r="E68"/>
  <c r="F67"/>
  <c r="E67"/>
  <c r="C67" s="1"/>
  <c r="X80" i="2" s="1"/>
  <c r="F66" i="10"/>
  <c r="E66"/>
  <c r="C66" s="1"/>
  <c r="X79" i="2" s="1"/>
  <c r="F65" i="10"/>
  <c r="E65"/>
  <c r="F64"/>
  <c r="E64"/>
  <c r="C64" s="1"/>
  <c r="X76" i="2" s="1"/>
  <c r="F63" i="10"/>
  <c r="E63"/>
  <c r="C63" s="1"/>
  <c r="X75" i="2" s="1"/>
  <c r="F62" i="10"/>
  <c r="E62"/>
  <c r="F61"/>
  <c r="E61"/>
  <c r="C61" s="1"/>
  <c r="F60"/>
  <c r="E60"/>
  <c r="F59"/>
  <c r="E59"/>
  <c r="C59"/>
  <c r="X70" i="2" s="1"/>
  <c r="F58" i="10"/>
  <c r="E58"/>
  <c r="F57"/>
  <c r="E57"/>
  <c r="C57" s="1"/>
  <c r="X68" i="2" s="1"/>
  <c r="F56" i="10"/>
  <c r="E56"/>
  <c r="F55"/>
  <c r="E55"/>
  <c r="C55" s="1"/>
  <c r="X66" i="2" s="1"/>
  <c r="F54" i="10"/>
  <c r="E54"/>
  <c r="F53"/>
  <c r="E53"/>
  <c r="F52"/>
  <c r="E52"/>
  <c r="C52" s="1"/>
  <c r="F51"/>
  <c r="E51"/>
  <c r="C51" s="1"/>
  <c r="X62" i="2" s="1"/>
  <c r="F50" i="10"/>
  <c r="E50"/>
  <c r="C50" s="1"/>
  <c r="X61" i="2" s="1"/>
  <c r="F49" i="10"/>
  <c r="E49"/>
  <c r="F48"/>
  <c r="E48"/>
  <c r="C48" s="1"/>
  <c r="X59" i="2" s="1"/>
  <c r="F47" i="10"/>
  <c r="E47"/>
  <c r="C47" s="1"/>
  <c r="X57" i="2" s="1"/>
  <c r="F46" i="10"/>
  <c r="E46"/>
  <c r="F45"/>
  <c r="E45"/>
  <c r="C45" s="1"/>
  <c r="F44"/>
  <c r="E44"/>
  <c r="F43"/>
  <c r="E43"/>
  <c r="C43" s="1"/>
  <c r="X51" i="2" s="1"/>
  <c r="F42" i="10"/>
  <c r="E42"/>
  <c r="F41"/>
  <c r="E41"/>
  <c r="C41" s="1"/>
  <c r="X50" i="2" s="1"/>
  <c r="F40" i="10"/>
  <c r="E40"/>
  <c r="F39"/>
  <c r="E39"/>
  <c r="C39" s="1"/>
  <c r="X46" i="2" s="1"/>
  <c r="F38" i="10"/>
  <c r="E38"/>
  <c r="C38" s="1"/>
  <c r="X45" i="2" s="1"/>
  <c r="F37" i="10"/>
  <c r="E37"/>
  <c r="F36"/>
  <c r="E36"/>
  <c r="C36" s="1"/>
  <c r="F35"/>
  <c r="E35"/>
  <c r="C35" s="1"/>
  <c r="X41" i="2" s="1"/>
  <c r="F34" i="10"/>
  <c r="E34"/>
  <c r="C34" s="1"/>
  <c r="X40" i="2" s="1"/>
  <c r="F33" i="10"/>
  <c r="E33"/>
  <c r="F32"/>
  <c r="E32"/>
  <c r="C32" s="1"/>
  <c r="X38" i="2" s="1"/>
  <c r="F31" i="10"/>
  <c r="C31" s="1"/>
  <c r="X37" i="2" s="1"/>
  <c r="E31" i="10"/>
  <c r="F30"/>
  <c r="E30"/>
  <c r="F29"/>
  <c r="E29"/>
  <c r="C29" s="1"/>
  <c r="F28"/>
  <c r="E28"/>
  <c r="F27"/>
  <c r="E27"/>
  <c r="C27"/>
  <c r="X33" i="2" s="1"/>
  <c r="F26" i="10"/>
  <c r="E26"/>
  <c r="F25"/>
  <c r="E25"/>
  <c r="C25" s="1"/>
  <c r="X29" i="2" s="1"/>
  <c r="F24" i="10"/>
  <c r="E24"/>
  <c r="F23"/>
  <c r="E23"/>
  <c r="C23" s="1"/>
  <c r="X27" i="2" s="1"/>
  <c r="F22" i="10"/>
  <c r="E22"/>
  <c r="C22" s="1"/>
  <c r="F21"/>
  <c r="E21"/>
  <c r="F20"/>
  <c r="E20"/>
  <c r="C20" s="1"/>
  <c r="X23" i="2" s="1"/>
  <c r="F19" i="10"/>
  <c r="E19"/>
  <c r="F18"/>
  <c r="E18"/>
  <c r="C18" s="1"/>
  <c r="X21" i="2" s="1"/>
  <c r="F17" i="10"/>
  <c r="E17"/>
  <c r="F16"/>
  <c r="E16"/>
  <c r="C16" s="1"/>
  <c r="X18" i="2" s="1"/>
  <c r="F15" i="10"/>
  <c r="C15" s="1"/>
  <c r="X17" i="2" s="1"/>
  <c r="E15" i="10"/>
  <c r="F14"/>
  <c r="E14"/>
  <c r="F13"/>
  <c r="E13"/>
  <c r="E9"/>
  <c r="E14" i="4"/>
  <c r="F14"/>
  <c r="E15"/>
  <c r="F15"/>
  <c r="E16"/>
  <c r="F16"/>
  <c r="E17"/>
  <c r="F17"/>
  <c r="E18"/>
  <c r="F18"/>
  <c r="E19"/>
  <c r="F19"/>
  <c r="E20"/>
  <c r="F20"/>
  <c r="E21"/>
  <c r="F21"/>
  <c r="E22"/>
  <c r="F22"/>
  <c r="E23"/>
  <c r="F23"/>
  <c r="E24"/>
  <c r="F24"/>
  <c r="E25"/>
  <c r="F25"/>
  <c r="E26"/>
  <c r="F26"/>
  <c r="E27"/>
  <c r="F27"/>
  <c r="E28"/>
  <c r="F28"/>
  <c r="E29"/>
  <c r="F29"/>
  <c r="E30"/>
  <c r="F30"/>
  <c r="E31"/>
  <c r="F31"/>
  <c r="E32"/>
  <c r="F32"/>
  <c r="E33"/>
  <c r="F33"/>
  <c r="E34"/>
  <c r="F34"/>
  <c r="E35"/>
  <c r="F35"/>
  <c r="E36"/>
  <c r="F36"/>
  <c r="E37"/>
  <c r="F37"/>
  <c r="E38"/>
  <c r="F38"/>
  <c r="E39"/>
  <c r="F39"/>
  <c r="E40"/>
  <c r="F40"/>
  <c r="E41"/>
  <c r="F41"/>
  <c r="E42"/>
  <c r="F42"/>
  <c r="E43"/>
  <c r="F43"/>
  <c r="E44"/>
  <c r="F44"/>
  <c r="E45"/>
  <c r="F45"/>
  <c r="E46"/>
  <c r="F46"/>
  <c r="E47"/>
  <c r="F47"/>
  <c r="E48"/>
  <c r="F48"/>
  <c r="E49"/>
  <c r="F49"/>
  <c r="E50"/>
  <c r="F50"/>
  <c r="E51"/>
  <c r="F51"/>
  <c r="E52"/>
  <c r="F52"/>
  <c r="E53"/>
  <c r="F53"/>
  <c r="E54"/>
  <c r="F54"/>
  <c r="E55"/>
  <c r="F55"/>
  <c r="E56"/>
  <c r="F56"/>
  <c r="E57"/>
  <c r="F57"/>
  <c r="E58"/>
  <c r="F58"/>
  <c r="E59"/>
  <c r="F59"/>
  <c r="E60"/>
  <c r="F60"/>
  <c r="E61"/>
  <c r="F61"/>
  <c r="E62"/>
  <c r="F62"/>
  <c r="E63"/>
  <c r="F63"/>
  <c r="E64"/>
  <c r="F64"/>
  <c r="E65"/>
  <c r="F65"/>
  <c r="E66"/>
  <c r="F66"/>
  <c r="E67"/>
  <c r="F67"/>
  <c r="E68"/>
  <c r="F68"/>
  <c r="E69"/>
  <c r="F69"/>
  <c r="E70"/>
  <c r="F70"/>
  <c r="E71"/>
  <c r="F71"/>
  <c r="E72"/>
  <c r="F72"/>
  <c r="E73"/>
  <c r="F73"/>
  <c r="E74"/>
  <c r="F74"/>
  <c r="E75"/>
  <c r="F75"/>
  <c r="E76"/>
  <c r="F76"/>
  <c r="E77"/>
  <c r="F77"/>
  <c r="E78"/>
  <c r="F78"/>
  <c r="E79"/>
  <c r="F79"/>
  <c r="E80"/>
  <c r="F80"/>
  <c r="E81"/>
  <c r="F81"/>
  <c r="E82"/>
  <c r="F82"/>
  <c r="E83"/>
  <c r="F83"/>
  <c r="E84"/>
  <c r="F84"/>
  <c r="E85"/>
  <c r="F85"/>
  <c r="E86"/>
  <c r="F86"/>
  <c r="E87"/>
  <c r="F87"/>
  <c r="E88"/>
  <c r="F88"/>
  <c r="E89"/>
  <c r="F89"/>
  <c r="E90"/>
  <c r="F90"/>
  <c r="E91"/>
  <c r="F91"/>
  <c r="E92"/>
  <c r="F92"/>
  <c r="E93"/>
  <c r="F93"/>
  <c r="E94"/>
  <c r="F94"/>
  <c r="E95"/>
  <c r="F95"/>
  <c r="E96"/>
  <c r="F96"/>
  <c r="E97"/>
  <c r="F97"/>
  <c r="E98"/>
  <c r="F98"/>
  <c r="E99"/>
  <c r="F99"/>
  <c r="E100"/>
  <c r="F100"/>
  <c r="E101"/>
  <c r="F101"/>
  <c r="E102"/>
  <c r="F102"/>
  <c r="E103"/>
  <c r="F103"/>
  <c r="E104"/>
  <c r="F104"/>
  <c r="E105"/>
  <c r="F105"/>
  <c r="E106"/>
  <c r="F106"/>
  <c r="E107"/>
  <c r="F107"/>
  <c r="E108"/>
  <c r="F108"/>
  <c r="E109"/>
  <c r="F109"/>
  <c r="E110"/>
  <c r="F110"/>
  <c r="E111"/>
  <c r="F111"/>
  <c r="E112"/>
  <c r="F112"/>
  <c r="E113"/>
  <c r="F113"/>
  <c r="E114"/>
  <c r="F114"/>
  <c r="E115"/>
  <c r="F115"/>
  <c r="E116"/>
  <c r="F116"/>
  <c r="E117"/>
  <c r="F117"/>
  <c r="E118"/>
  <c r="F118"/>
  <c r="E119"/>
  <c r="F119"/>
  <c r="E120"/>
  <c r="F120"/>
  <c r="E121"/>
  <c r="F121"/>
  <c r="E122"/>
  <c r="F122"/>
  <c r="E123"/>
  <c r="F123"/>
  <c r="E124"/>
  <c r="F124"/>
  <c r="E125"/>
  <c r="F125"/>
  <c r="E126"/>
  <c r="F126"/>
  <c r="E127"/>
  <c r="F127"/>
  <c r="E128"/>
  <c r="F128"/>
  <c r="E129"/>
  <c r="F129"/>
  <c r="E130"/>
  <c r="F130"/>
  <c r="E131"/>
  <c r="F131"/>
  <c r="E132"/>
  <c r="F132"/>
  <c r="E133"/>
  <c r="F133"/>
  <c r="E134"/>
  <c r="F134"/>
  <c r="E135"/>
  <c r="F135"/>
  <c r="E136"/>
  <c r="F136"/>
  <c r="E137"/>
  <c r="F137"/>
  <c r="E138"/>
  <c r="F138"/>
  <c r="E139"/>
  <c r="F139"/>
  <c r="E140"/>
  <c r="F140"/>
  <c r="E141"/>
  <c r="F141"/>
  <c r="E142"/>
  <c r="F142"/>
  <c r="E143"/>
  <c r="F143"/>
  <c r="E144"/>
  <c r="F144"/>
  <c r="E145"/>
  <c r="F145"/>
  <c r="E146"/>
  <c r="F146"/>
  <c r="E147"/>
  <c r="F147"/>
  <c r="E148"/>
  <c r="F148"/>
  <c r="E149"/>
  <c r="F149"/>
  <c r="E150"/>
  <c r="F150"/>
  <c r="E151"/>
  <c r="F151"/>
  <c r="E152"/>
  <c r="F152"/>
  <c r="E153"/>
  <c r="F153"/>
  <c r="E154"/>
  <c r="F154"/>
  <c r="E155"/>
  <c r="F155"/>
  <c r="E156"/>
  <c r="F156"/>
  <c r="E157"/>
  <c r="F157"/>
  <c r="E158"/>
  <c r="F158"/>
  <c r="E159"/>
  <c r="F159"/>
  <c r="E160"/>
  <c r="F160"/>
  <c r="E161"/>
  <c r="F161"/>
  <c r="E162"/>
  <c r="F162"/>
  <c r="E163"/>
  <c r="F163"/>
  <c r="E164"/>
  <c r="F164"/>
  <c r="E165"/>
  <c r="F165"/>
  <c r="E166"/>
  <c r="F166"/>
  <c r="E167"/>
  <c r="F167"/>
  <c r="E168"/>
  <c r="F168"/>
  <c r="E169"/>
  <c r="F169"/>
  <c r="E170"/>
  <c r="F170"/>
  <c r="E171"/>
  <c r="F171"/>
  <c r="E172"/>
  <c r="F172"/>
  <c r="E173"/>
  <c r="F173"/>
  <c r="E174"/>
  <c r="F174"/>
  <c r="E175"/>
  <c r="F175"/>
  <c r="E176"/>
  <c r="F176"/>
  <c r="E177"/>
  <c r="F177"/>
  <c r="E178"/>
  <c r="F178"/>
  <c r="E179"/>
  <c r="F179"/>
  <c r="E180"/>
  <c r="F180"/>
  <c r="E181"/>
  <c r="F181"/>
  <c r="E182"/>
  <c r="F182"/>
  <c r="E183"/>
  <c r="F183"/>
  <c r="E184"/>
  <c r="F184"/>
  <c r="E185"/>
  <c r="F185"/>
  <c r="E186"/>
  <c r="F186"/>
  <c r="E187"/>
  <c r="F187"/>
  <c r="E188"/>
  <c r="F188"/>
  <c r="E189"/>
  <c r="F189"/>
  <c r="E190"/>
  <c r="F190"/>
  <c r="E191"/>
  <c r="F191"/>
  <c r="E192"/>
  <c r="F192"/>
  <c r="E193"/>
  <c r="F193"/>
  <c r="E194"/>
  <c r="F194"/>
  <c r="E195"/>
  <c r="F195"/>
  <c r="E196"/>
  <c r="F196"/>
  <c r="E197"/>
  <c r="F197"/>
  <c r="E198"/>
  <c r="F198"/>
  <c r="E199"/>
  <c r="F199"/>
  <c r="E200"/>
  <c r="F200"/>
  <c r="E201"/>
  <c r="F201"/>
  <c r="E202"/>
  <c r="F202"/>
  <c r="E203"/>
  <c r="F203"/>
  <c r="E204"/>
  <c r="F204"/>
  <c r="E205"/>
  <c r="F205"/>
  <c r="E206"/>
  <c r="F206"/>
  <c r="E207"/>
  <c r="F207"/>
  <c r="E208"/>
  <c r="F208"/>
  <c r="E209"/>
  <c r="F209"/>
  <c r="E210"/>
  <c r="F210"/>
  <c r="E211"/>
  <c r="F211"/>
  <c r="E212"/>
  <c r="F212"/>
  <c r="E213"/>
  <c r="F213"/>
  <c r="E214"/>
  <c r="F214"/>
  <c r="E215"/>
  <c r="F215"/>
  <c r="E216"/>
  <c r="F216"/>
  <c r="E217"/>
  <c r="F217"/>
  <c r="E218"/>
  <c r="F218"/>
  <c r="E219"/>
  <c r="F219"/>
  <c r="E220"/>
  <c r="F220"/>
  <c r="E221"/>
  <c r="F221"/>
  <c r="E222"/>
  <c r="F222"/>
  <c r="E223"/>
  <c r="F223"/>
  <c r="E224"/>
  <c r="F224"/>
  <c r="E225"/>
  <c r="F225"/>
  <c r="E226"/>
  <c r="F226"/>
  <c r="E227"/>
  <c r="F227"/>
  <c r="E228"/>
  <c r="F228"/>
  <c r="E229"/>
  <c r="F229"/>
  <c r="E230"/>
  <c r="F230"/>
  <c r="E231"/>
  <c r="F231"/>
  <c r="E232"/>
  <c r="F232"/>
  <c r="E233"/>
  <c r="F233"/>
  <c r="E234"/>
  <c r="F234"/>
  <c r="E235"/>
  <c r="F235"/>
  <c r="E236"/>
  <c r="F236"/>
  <c r="E237"/>
  <c r="F237"/>
  <c r="E238"/>
  <c r="F238"/>
  <c r="E239"/>
  <c r="F239"/>
  <c r="E240"/>
  <c r="F240"/>
  <c r="E241"/>
  <c r="F241"/>
  <c r="E242"/>
  <c r="F242"/>
  <c r="E243"/>
  <c r="F243"/>
  <c r="E244"/>
  <c r="F244"/>
  <c r="E245"/>
  <c r="F245"/>
  <c r="E246"/>
  <c r="F246"/>
  <c r="E247"/>
  <c r="F247"/>
  <c r="E248"/>
  <c r="F248"/>
  <c r="E249"/>
  <c r="F249"/>
  <c r="E250"/>
  <c r="F250"/>
  <c r="E251"/>
  <c r="F251"/>
  <c r="E252"/>
  <c r="F252"/>
  <c r="E253"/>
  <c r="F253"/>
  <c r="E254"/>
  <c r="F254"/>
  <c r="E255"/>
  <c r="F255"/>
  <c r="E256"/>
  <c r="F256"/>
  <c r="E257"/>
  <c r="F257"/>
  <c r="E258"/>
  <c r="F258"/>
  <c r="E259"/>
  <c r="F259"/>
  <c r="E260"/>
  <c r="F260"/>
  <c r="E261"/>
  <c r="F261"/>
  <c r="E262"/>
  <c r="F262"/>
  <c r="E263"/>
  <c r="F263"/>
  <c r="E264"/>
  <c r="F264"/>
  <c r="E265"/>
  <c r="F265"/>
  <c r="E266"/>
  <c r="F266"/>
  <c r="E267"/>
  <c r="F267"/>
  <c r="E268"/>
  <c r="F268"/>
  <c r="E269"/>
  <c r="F269"/>
  <c r="E270"/>
  <c r="F270"/>
  <c r="E271"/>
  <c r="F271"/>
  <c r="E272"/>
  <c r="F272"/>
  <c r="E273"/>
  <c r="F273"/>
  <c r="E274"/>
  <c r="F274"/>
  <c r="E275"/>
  <c r="F275"/>
  <c r="E276"/>
  <c r="F276"/>
  <c r="E277"/>
  <c r="F277"/>
  <c r="E278"/>
  <c r="F278"/>
  <c r="E279"/>
  <c r="F279"/>
  <c r="E280"/>
  <c r="F280"/>
  <c r="E281"/>
  <c r="F281"/>
  <c r="E282"/>
  <c r="F282"/>
  <c r="E283"/>
  <c r="F283"/>
  <c r="E284"/>
  <c r="F284"/>
  <c r="E285"/>
  <c r="F285"/>
  <c r="E286"/>
  <c r="F286"/>
  <c r="E287"/>
  <c r="F287"/>
  <c r="E288"/>
  <c r="F288"/>
  <c r="E289"/>
  <c r="F289"/>
  <c r="E290"/>
  <c r="F290"/>
  <c r="E291"/>
  <c r="F291"/>
  <c r="E292"/>
  <c r="F292"/>
  <c r="E293"/>
  <c r="F293"/>
  <c r="E294"/>
  <c r="F294"/>
  <c r="E295"/>
  <c r="F295"/>
  <c r="E296"/>
  <c r="F296"/>
  <c r="E297"/>
  <c r="F297"/>
  <c r="E298"/>
  <c r="F298"/>
  <c r="E299"/>
  <c r="F299"/>
  <c r="E300"/>
  <c r="F300"/>
  <c r="E301"/>
  <c r="F301"/>
  <c r="E302"/>
  <c r="F302"/>
  <c r="E303"/>
  <c r="F303"/>
  <c r="E304"/>
  <c r="F304"/>
  <c r="E305"/>
  <c r="F305"/>
  <c r="E306"/>
  <c r="F306"/>
  <c r="E307"/>
  <c r="F307"/>
  <c r="E308"/>
  <c r="F308"/>
  <c r="E309"/>
  <c r="F309"/>
  <c r="E310"/>
  <c r="F310"/>
  <c r="E311"/>
  <c r="F311"/>
  <c r="E312"/>
  <c r="F312"/>
  <c r="E313"/>
  <c r="F313"/>
  <c r="E314"/>
  <c r="F314"/>
  <c r="E315"/>
  <c r="F315"/>
  <c r="E316"/>
  <c r="F316"/>
  <c r="E317"/>
  <c r="F317"/>
  <c r="E318"/>
  <c r="F318"/>
  <c r="E319"/>
  <c r="F319"/>
  <c r="E320"/>
  <c r="F320"/>
  <c r="E321"/>
  <c r="F321"/>
  <c r="E322"/>
  <c r="F322"/>
  <c r="E323"/>
  <c r="F323"/>
  <c r="E324"/>
  <c r="F324"/>
  <c r="E325"/>
  <c r="F325"/>
  <c r="E326"/>
  <c r="F326"/>
  <c r="E327"/>
  <c r="F327"/>
  <c r="E328"/>
  <c r="F328"/>
  <c r="E329"/>
  <c r="F329"/>
  <c r="E330"/>
  <c r="F330"/>
  <c r="E331"/>
  <c r="F331"/>
  <c r="E332"/>
  <c r="F332"/>
  <c r="E333"/>
  <c r="F333"/>
  <c r="E334"/>
  <c r="F334"/>
  <c r="E335"/>
  <c r="F335"/>
  <c r="E336"/>
  <c r="F336"/>
  <c r="E337"/>
  <c r="F337"/>
  <c r="E338"/>
  <c r="F338"/>
  <c r="E339"/>
  <c r="F339"/>
  <c r="E340"/>
  <c r="F340"/>
  <c r="E341"/>
  <c r="F341"/>
  <c r="E342"/>
  <c r="F342"/>
  <c r="E343"/>
  <c r="F343"/>
  <c r="E344"/>
  <c r="F344"/>
  <c r="E345"/>
  <c r="F345"/>
  <c r="E346"/>
  <c r="F346"/>
  <c r="E347"/>
  <c r="F347"/>
  <c r="E348"/>
  <c r="F348"/>
  <c r="E349"/>
  <c r="F349"/>
  <c r="E350"/>
  <c r="F350"/>
  <c r="E351"/>
  <c r="F351"/>
  <c r="E352"/>
  <c r="F352"/>
  <c r="E353"/>
  <c r="F353"/>
  <c r="E354"/>
  <c r="F354"/>
  <c r="E355"/>
  <c r="F355"/>
  <c r="E356"/>
  <c r="F356"/>
  <c r="E357"/>
  <c r="F357"/>
  <c r="E358"/>
  <c r="F358"/>
  <c r="E359"/>
  <c r="F359"/>
  <c r="E360"/>
  <c r="F360"/>
  <c r="E361"/>
  <c r="F361"/>
  <c r="E362"/>
  <c r="F362"/>
  <c r="E363"/>
  <c r="F363"/>
  <c r="E364"/>
  <c r="F364"/>
  <c r="E365"/>
  <c r="F365"/>
  <c r="E366"/>
  <c r="F366"/>
  <c r="E367"/>
  <c r="F367"/>
  <c r="E368"/>
  <c r="F368"/>
  <c r="E369"/>
  <c r="F369"/>
  <c r="E370"/>
  <c r="F370"/>
  <c r="E371"/>
  <c r="F371"/>
  <c r="E372"/>
  <c r="F372"/>
  <c r="E373"/>
  <c r="F373"/>
  <c r="E374"/>
  <c r="F374"/>
  <c r="E375"/>
  <c r="F375"/>
  <c r="E376"/>
  <c r="F376"/>
  <c r="E377"/>
  <c r="F377"/>
  <c r="E378"/>
  <c r="F378"/>
  <c r="E379"/>
  <c r="F379"/>
  <c r="E380"/>
  <c r="F380"/>
  <c r="E381"/>
  <c r="F381"/>
  <c r="E382"/>
  <c r="F382"/>
  <c r="E383"/>
  <c r="F383"/>
  <c r="E384"/>
  <c r="F384"/>
  <c r="E385"/>
  <c r="F385"/>
  <c r="E386"/>
  <c r="F386"/>
  <c r="E387"/>
  <c r="F387"/>
  <c r="E388"/>
  <c r="F388"/>
  <c r="E389"/>
  <c r="F389"/>
  <c r="E390"/>
  <c r="F390"/>
  <c r="E391"/>
  <c r="F391"/>
  <c r="E392"/>
  <c r="F392"/>
  <c r="E393"/>
  <c r="F393"/>
  <c r="E394"/>
  <c r="F394"/>
  <c r="E395"/>
  <c r="F395"/>
  <c r="E396"/>
  <c r="F396"/>
  <c r="E397"/>
  <c r="F397"/>
  <c r="E398"/>
  <c r="F398"/>
  <c r="E399"/>
  <c r="F399"/>
  <c r="E400"/>
  <c r="F400"/>
  <c r="E401"/>
  <c r="F401"/>
  <c r="E402"/>
  <c r="F402"/>
  <c r="E403"/>
  <c r="F403"/>
  <c r="E404"/>
  <c r="F404"/>
  <c r="E405"/>
  <c r="F405"/>
  <c r="E406"/>
  <c r="F406"/>
  <c r="E407"/>
  <c r="F407"/>
  <c r="E408"/>
  <c r="F408"/>
  <c r="E409"/>
  <c r="F409"/>
  <c r="E410"/>
  <c r="F410"/>
  <c r="E411"/>
  <c r="F411"/>
  <c r="E412"/>
  <c r="F412"/>
  <c r="E413"/>
  <c r="F413"/>
  <c r="E414"/>
  <c r="F414"/>
  <c r="E415"/>
  <c r="F415"/>
  <c r="E416"/>
  <c r="F416"/>
  <c r="E417"/>
  <c r="F417"/>
  <c r="E418"/>
  <c r="F418"/>
  <c r="E419"/>
  <c r="F419"/>
  <c r="E420"/>
  <c r="F420"/>
  <c r="E421"/>
  <c r="F421"/>
  <c r="E422"/>
  <c r="F422"/>
  <c r="E423"/>
  <c r="F423"/>
  <c r="E424"/>
  <c r="F424"/>
  <c r="E425"/>
  <c r="F425"/>
  <c r="E426"/>
  <c r="F426"/>
  <c r="E427"/>
  <c r="F427"/>
  <c r="E428"/>
  <c r="F428"/>
  <c r="E429"/>
  <c r="F429"/>
  <c r="E430"/>
  <c r="F430"/>
  <c r="E431"/>
  <c r="F431"/>
  <c r="E432"/>
  <c r="F432"/>
  <c r="E433"/>
  <c r="F433"/>
  <c r="E434"/>
  <c r="F434"/>
  <c r="E435"/>
  <c r="F435"/>
  <c r="E436"/>
  <c r="F436"/>
  <c r="E437"/>
  <c r="F437"/>
  <c r="E438"/>
  <c r="F438"/>
  <c r="E439"/>
  <c r="F439"/>
  <c r="E440"/>
  <c r="F440"/>
  <c r="E441"/>
  <c r="F441"/>
  <c r="E442"/>
  <c r="F442"/>
  <c r="E443"/>
  <c r="F443"/>
  <c r="E444"/>
  <c r="F444"/>
  <c r="E445"/>
  <c r="F445"/>
  <c r="E446"/>
  <c r="F446"/>
  <c r="E447"/>
  <c r="F447"/>
  <c r="E448"/>
  <c r="F448"/>
  <c r="E449"/>
  <c r="F449"/>
  <c r="E450"/>
  <c r="F450"/>
  <c r="E451"/>
  <c r="F451"/>
  <c r="E452"/>
  <c r="F452"/>
  <c r="E453"/>
  <c r="F453"/>
  <c r="E454"/>
  <c r="F454"/>
  <c r="E455"/>
  <c r="F455"/>
  <c r="E456"/>
  <c r="F456"/>
  <c r="E457"/>
  <c r="F457"/>
  <c r="E458"/>
  <c r="F458"/>
  <c r="E459"/>
  <c r="F459"/>
  <c r="E460"/>
  <c r="F460"/>
  <c r="E461"/>
  <c r="F461"/>
  <c r="E14" i="5"/>
  <c r="F14"/>
  <c r="E15"/>
  <c r="F15"/>
  <c r="E16"/>
  <c r="F16"/>
  <c r="E17"/>
  <c r="F17"/>
  <c r="E18"/>
  <c r="F18"/>
  <c r="E19"/>
  <c r="F19"/>
  <c r="E20"/>
  <c r="F20"/>
  <c r="E21"/>
  <c r="F21"/>
  <c r="E22"/>
  <c r="F22"/>
  <c r="E23"/>
  <c r="F23"/>
  <c r="E24"/>
  <c r="F24"/>
  <c r="E25"/>
  <c r="F25"/>
  <c r="E26"/>
  <c r="F26"/>
  <c r="E27"/>
  <c r="F27"/>
  <c r="E28"/>
  <c r="F28"/>
  <c r="E29"/>
  <c r="F29"/>
  <c r="E30"/>
  <c r="F30"/>
  <c r="E31"/>
  <c r="F31"/>
  <c r="E32"/>
  <c r="F32"/>
  <c r="E33"/>
  <c r="F33"/>
  <c r="E34"/>
  <c r="F34"/>
  <c r="E35"/>
  <c r="F35"/>
  <c r="E36"/>
  <c r="F36"/>
  <c r="E37"/>
  <c r="F37"/>
  <c r="E38"/>
  <c r="F38"/>
  <c r="E39"/>
  <c r="F39"/>
  <c r="E40"/>
  <c r="F40"/>
  <c r="E41"/>
  <c r="F41"/>
  <c r="E42"/>
  <c r="F42"/>
  <c r="E43"/>
  <c r="F43"/>
  <c r="E44"/>
  <c r="F44"/>
  <c r="E45"/>
  <c r="F45"/>
  <c r="E46"/>
  <c r="F46"/>
  <c r="E47"/>
  <c r="F47"/>
  <c r="E48"/>
  <c r="F48"/>
  <c r="E49"/>
  <c r="F49"/>
  <c r="E50"/>
  <c r="F50"/>
  <c r="E51"/>
  <c r="F51"/>
  <c r="E52"/>
  <c r="F52"/>
  <c r="E53"/>
  <c r="F53"/>
  <c r="E54"/>
  <c r="F54"/>
  <c r="E55"/>
  <c r="F55"/>
  <c r="E56"/>
  <c r="F56"/>
  <c r="E57"/>
  <c r="F57"/>
  <c r="E58"/>
  <c r="F58"/>
  <c r="E59"/>
  <c r="F59"/>
  <c r="E60"/>
  <c r="F60"/>
  <c r="E61"/>
  <c r="F61"/>
  <c r="E62"/>
  <c r="F62"/>
  <c r="E63"/>
  <c r="F63"/>
  <c r="E64"/>
  <c r="F64"/>
  <c r="E65"/>
  <c r="F65"/>
  <c r="E66"/>
  <c r="F66"/>
  <c r="E67"/>
  <c r="F67"/>
  <c r="E68"/>
  <c r="F68"/>
  <c r="E69"/>
  <c r="F69"/>
  <c r="E70"/>
  <c r="F70"/>
  <c r="E71"/>
  <c r="F71"/>
  <c r="E72"/>
  <c r="F72"/>
  <c r="E73"/>
  <c r="F73"/>
  <c r="E74"/>
  <c r="F74"/>
  <c r="E75"/>
  <c r="F75"/>
  <c r="E76"/>
  <c r="F76"/>
  <c r="E77"/>
  <c r="F77"/>
  <c r="E78"/>
  <c r="F78"/>
  <c r="E79"/>
  <c r="F79"/>
  <c r="E80"/>
  <c r="F80"/>
  <c r="E81"/>
  <c r="F81"/>
  <c r="E82"/>
  <c r="F82"/>
  <c r="E83"/>
  <c r="F83"/>
  <c r="E84"/>
  <c r="F84"/>
  <c r="E85"/>
  <c r="F85"/>
  <c r="E86"/>
  <c r="F86"/>
  <c r="E87"/>
  <c r="F87"/>
  <c r="E88"/>
  <c r="F88"/>
  <c r="E89"/>
  <c r="F89"/>
  <c r="E90"/>
  <c r="F90"/>
  <c r="E91"/>
  <c r="F91"/>
  <c r="E92"/>
  <c r="F92"/>
  <c r="E93"/>
  <c r="F93"/>
  <c r="E94"/>
  <c r="F94"/>
  <c r="E95"/>
  <c r="F95"/>
  <c r="E96"/>
  <c r="F96"/>
  <c r="E97"/>
  <c r="F97"/>
  <c r="E98"/>
  <c r="F98"/>
  <c r="E99"/>
  <c r="F99"/>
  <c r="E100"/>
  <c r="F100"/>
  <c r="E101"/>
  <c r="F101"/>
  <c r="E102"/>
  <c r="F102"/>
  <c r="E103"/>
  <c r="F103"/>
  <c r="E104"/>
  <c r="F104"/>
  <c r="E105"/>
  <c r="F105"/>
  <c r="E106"/>
  <c r="F106"/>
  <c r="E107"/>
  <c r="F107"/>
  <c r="E108"/>
  <c r="F108"/>
  <c r="E109"/>
  <c r="F109"/>
  <c r="E110"/>
  <c r="F110"/>
  <c r="E111"/>
  <c r="F111"/>
  <c r="E112"/>
  <c r="F112"/>
  <c r="E113"/>
  <c r="F113"/>
  <c r="E114"/>
  <c r="F114"/>
  <c r="E115"/>
  <c r="F115"/>
  <c r="E116"/>
  <c r="F116"/>
  <c r="E117"/>
  <c r="F117"/>
  <c r="E118"/>
  <c r="F118"/>
  <c r="E119"/>
  <c r="F119"/>
  <c r="E120"/>
  <c r="F120"/>
  <c r="E121"/>
  <c r="F121"/>
  <c r="E122"/>
  <c r="F122"/>
  <c r="E123"/>
  <c r="F123"/>
  <c r="E124"/>
  <c r="F124"/>
  <c r="E125"/>
  <c r="F125"/>
  <c r="E126"/>
  <c r="F126"/>
  <c r="E127"/>
  <c r="F127"/>
  <c r="E128"/>
  <c r="F128"/>
  <c r="E129"/>
  <c r="F129"/>
  <c r="E130"/>
  <c r="F130"/>
  <c r="E131"/>
  <c r="F131"/>
  <c r="E132"/>
  <c r="F132"/>
  <c r="E133"/>
  <c r="F133"/>
  <c r="E134"/>
  <c r="F134"/>
  <c r="E135"/>
  <c r="F135"/>
  <c r="E136"/>
  <c r="F136"/>
  <c r="E137"/>
  <c r="F137"/>
  <c r="E138"/>
  <c r="F138"/>
  <c r="E139"/>
  <c r="F139"/>
  <c r="E140"/>
  <c r="F140"/>
  <c r="E141"/>
  <c r="F141"/>
  <c r="E142"/>
  <c r="F142"/>
  <c r="E143"/>
  <c r="F143"/>
  <c r="E144"/>
  <c r="F144"/>
  <c r="E145"/>
  <c r="F145"/>
  <c r="E146"/>
  <c r="F146"/>
  <c r="E147"/>
  <c r="F147"/>
  <c r="E148"/>
  <c r="F148"/>
  <c r="E149"/>
  <c r="F149"/>
  <c r="E150"/>
  <c r="F150"/>
  <c r="E151"/>
  <c r="F151"/>
  <c r="E152"/>
  <c r="F152"/>
  <c r="E153"/>
  <c r="F153"/>
  <c r="E154"/>
  <c r="F154"/>
  <c r="E155"/>
  <c r="F155"/>
  <c r="E156"/>
  <c r="F156"/>
  <c r="E157"/>
  <c r="F157"/>
  <c r="E158"/>
  <c r="F158"/>
  <c r="E159"/>
  <c r="F159"/>
  <c r="E160"/>
  <c r="F160"/>
  <c r="E161"/>
  <c r="F161"/>
  <c r="E162"/>
  <c r="F162"/>
  <c r="E163"/>
  <c r="F163"/>
  <c r="E164"/>
  <c r="F164"/>
  <c r="E165"/>
  <c r="F165"/>
  <c r="E166"/>
  <c r="F166"/>
  <c r="E167"/>
  <c r="F167"/>
  <c r="E168"/>
  <c r="F168"/>
  <c r="E169"/>
  <c r="F169"/>
  <c r="E170"/>
  <c r="F170"/>
  <c r="E171"/>
  <c r="F171"/>
  <c r="E172"/>
  <c r="F172"/>
  <c r="E173"/>
  <c r="F173"/>
  <c r="E174"/>
  <c r="F174"/>
  <c r="E175"/>
  <c r="F175"/>
  <c r="E176"/>
  <c r="F176"/>
  <c r="E177"/>
  <c r="F177"/>
  <c r="E178"/>
  <c r="F178"/>
  <c r="E179"/>
  <c r="F179"/>
  <c r="E180"/>
  <c r="F180"/>
  <c r="E181"/>
  <c r="F181"/>
  <c r="E182"/>
  <c r="F182"/>
  <c r="E183"/>
  <c r="F183"/>
  <c r="E184"/>
  <c r="F184"/>
  <c r="E185"/>
  <c r="F185"/>
  <c r="E186"/>
  <c r="F186"/>
  <c r="E187"/>
  <c r="F187"/>
  <c r="E188"/>
  <c r="F188"/>
  <c r="E189"/>
  <c r="F189"/>
  <c r="E190"/>
  <c r="F190"/>
  <c r="E191"/>
  <c r="F191"/>
  <c r="E192"/>
  <c r="F192"/>
  <c r="E193"/>
  <c r="F193"/>
  <c r="E194"/>
  <c r="F194"/>
  <c r="E195"/>
  <c r="F195"/>
  <c r="E196"/>
  <c r="F196"/>
  <c r="E197"/>
  <c r="F197"/>
  <c r="E198"/>
  <c r="F198"/>
  <c r="E199"/>
  <c r="F199"/>
  <c r="E200"/>
  <c r="F200"/>
  <c r="E201"/>
  <c r="F201"/>
  <c r="E202"/>
  <c r="F202"/>
  <c r="E203"/>
  <c r="F203"/>
  <c r="E204"/>
  <c r="F204"/>
  <c r="E205"/>
  <c r="F205"/>
  <c r="E206"/>
  <c r="F206"/>
  <c r="E207"/>
  <c r="F207"/>
  <c r="E208"/>
  <c r="F208"/>
  <c r="E209"/>
  <c r="F209"/>
  <c r="E210"/>
  <c r="F210"/>
  <c r="E211"/>
  <c r="F211"/>
  <c r="E212"/>
  <c r="F212"/>
  <c r="E213"/>
  <c r="F213"/>
  <c r="E214"/>
  <c r="F214"/>
  <c r="E215"/>
  <c r="F215"/>
  <c r="E216"/>
  <c r="F216"/>
  <c r="E217"/>
  <c r="F217"/>
  <c r="E218"/>
  <c r="F218"/>
  <c r="E219"/>
  <c r="F219"/>
  <c r="E220"/>
  <c r="F220"/>
  <c r="E221"/>
  <c r="F221"/>
  <c r="E222"/>
  <c r="F222"/>
  <c r="E223"/>
  <c r="F223"/>
  <c r="E224"/>
  <c r="F224"/>
  <c r="E225"/>
  <c r="F225"/>
  <c r="E226"/>
  <c r="F226"/>
  <c r="E227"/>
  <c r="F227"/>
  <c r="E228"/>
  <c r="F228"/>
  <c r="E229"/>
  <c r="F229"/>
  <c r="E230"/>
  <c r="F230"/>
  <c r="E231"/>
  <c r="F231"/>
  <c r="E232"/>
  <c r="F232"/>
  <c r="E233"/>
  <c r="F233"/>
  <c r="E234"/>
  <c r="F234"/>
  <c r="E235"/>
  <c r="F235"/>
  <c r="E236"/>
  <c r="F236"/>
  <c r="E237"/>
  <c r="F237"/>
  <c r="E238"/>
  <c r="F238"/>
  <c r="E239"/>
  <c r="F239"/>
  <c r="E240"/>
  <c r="F240"/>
  <c r="E241"/>
  <c r="F241"/>
  <c r="E242"/>
  <c r="F242"/>
  <c r="E243"/>
  <c r="F243"/>
  <c r="E244"/>
  <c r="F244"/>
  <c r="E245"/>
  <c r="F245"/>
  <c r="E246"/>
  <c r="F246"/>
  <c r="E247"/>
  <c r="F247"/>
  <c r="E248"/>
  <c r="F248"/>
  <c r="E249"/>
  <c r="F249"/>
  <c r="E250"/>
  <c r="F250"/>
  <c r="E251"/>
  <c r="F251"/>
  <c r="E252"/>
  <c r="F252"/>
  <c r="E253"/>
  <c r="F253"/>
  <c r="E254"/>
  <c r="F254"/>
  <c r="E255"/>
  <c r="F255"/>
  <c r="E256"/>
  <c r="F256"/>
  <c r="E257"/>
  <c r="F257"/>
  <c r="E258"/>
  <c r="F258"/>
  <c r="E259"/>
  <c r="F259"/>
  <c r="E260"/>
  <c r="F260"/>
  <c r="E261"/>
  <c r="F261"/>
  <c r="E262"/>
  <c r="F262"/>
  <c r="E263"/>
  <c r="F263"/>
  <c r="E264"/>
  <c r="F264"/>
  <c r="E265"/>
  <c r="F265"/>
  <c r="E266"/>
  <c r="F266"/>
  <c r="E267"/>
  <c r="F267"/>
  <c r="E268"/>
  <c r="F268"/>
  <c r="E269"/>
  <c r="F269"/>
  <c r="E270"/>
  <c r="F270"/>
  <c r="E271"/>
  <c r="F271"/>
  <c r="E272"/>
  <c r="F272"/>
  <c r="E273"/>
  <c r="F273"/>
  <c r="E274"/>
  <c r="F274"/>
  <c r="E275"/>
  <c r="F275"/>
  <c r="E276"/>
  <c r="F276"/>
  <c r="E277"/>
  <c r="F277"/>
  <c r="E278"/>
  <c r="F278"/>
  <c r="E279"/>
  <c r="F279"/>
  <c r="E280"/>
  <c r="F280"/>
  <c r="E281"/>
  <c r="F281"/>
  <c r="E282"/>
  <c r="F282"/>
  <c r="E283"/>
  <c r="F283"/>
  <c r="E284"/>
  <c r="F284"/>
  <c r="E285"/>
  <c r="F285"/>
  <c r="E286"/>
  <c r="F286"/>
  <c r="E287"/>
  <c r="F287"/>
  <c r="E288"/>
  <c r="F288"/>
  <c r="E289"/>
  <c r="F289"/>
  <c r="E290"/>
  <c r="F290"/>
  <c r="E291"/>
  <c r="F291"/>
  <c r="E292"/>
  <c r="F292"/>
  <c r="E293"/>
  <c r="F293"/>
  <c r="E294"/>
  <c r="F294"/>
  <c r="E295"/>
  <c r="F295"/>
  <c r="E296"/>
  <c r="F296"/>
  <c r="E297"/>
  <c r="F297"/>
  <c r="E298"/>
  <c r="F298"/>
  <c r="E299"/>
  <c r="F299"/>
  <c r="E300"/>
  <c r="F300"/>
  <c r="E301"/>
  <c r="F301"/>
  <c r="E302"/>
  <c r="F302"/>
  <c r="E303"/>
  <c r="F303"/>
  <c r="E304"/>
  <c r="F304"/>
  <c r="E305"/>
  <c r="F305"/>
  <c r="E306"/>
  <c r="F306"/>
  <c r="E307"/>
  <c r="F307"/>
  <c r="E308"/>
  <c r="F308"/>
  <c r="E309"/>
  <c r="F309"/>
  <c r="E310"/>
  <c r="F310"/>
  <c r="E311"/>
  <c r="F311"/>
  <c r="E312"/>
  <c r="F312"/>
  <c r="E313"/>
  <c r="F313"/>
  <c r="E314"/>
  <c r="F314"/>
  <c r="E315"/>
  <c r="F315"/>
  <c r="E316"/>
  <c r="F316"/>
  <c r="E317"/>
  <c r="F317"/>
  <c r="E318"/>
  <c r="F318"/>
  <c r="E319"/>
  <c r="F319"/>
  <c r="E320"/>
  <c r="F320"/>
  <c r="E321"/>
  <c r="F321"/>
  <c r="E322"/>
  <c r="F322"/>
  <c r="E323"/>
  <c r="F323"/>
  <c r="E324"/>
  <c r="F324"/>
  <c r="E325"/>
  <c r="F325"/>
  <c r="E326"/>
  <c r="F326"/>
  <c r="E327"/>
  <c r="F327"/>
  <c r="E328"/>
  <c r="F328"/>
  <c r="E329"/>
  <c r="F329"/>
  <c r="E330"/>
  <c r="F330"/>
  <c r="E331"/>
  <c r="F331"/>
  <c r="E332"/>
  <c r="F332"/>
  <c r="E333"/>
  <c r="F333"/>
  <c r="E334"/>
  <c r="F334"/>
  <c r="E335"/>
  <c r="F335"/>
  <c r="E336"/>
  <c r="F336"/>
  <c r="E337"/>
  <c r="F337"/>
  <c r="E338"/>
  <c r="F338"/>
  <c r="E339"/>
  <c r="F339"/>
  <c r="E340"/>
  <c r="F340"/>
  <c r="E341"/>
  <c r="F341"/>
  <c r="E342"/>
  <c r="F342"/>
  <c r="E343"/>
  <c r="F343"/>
  <c r="E344"/>
  <c r="F344"/>
  <c r="E345"/>
  <c r="F345"/>
  <c r="E346"/>
  <c r="F346"/>
  <c r="E347"/>
  <c r="F347"/>
  <c r="E348"/>
  <c r="F348"/>
  <c r="E349"/>
  <c r="F349"/>
  <c r="E350"/>
  <c r="F350"/>
  <c r="E351"/>
  <c r="F351"/>
  <c r="E352"/>
  <c r="F352"/>
  <c r="E353"/>
  <c r="F353"/>
  <c r="E354"/>
  <c r="F354"/>
  <c r="E355"/>
  <c r="F355"/>
  <c r="E356"/>
  <c r="F356"/>
  <c r="E357"/>
  <c r="F357"/>
  <c r="E358"/>
  <c r="F358"/>
  <c r="E359"/>
  <c r="F359"/>
  <c r="E360"/>
  <c r="F360"/>
  <c r="E361"/>
  <c r="F361"/>
  <c r="E362"/>
  <c r="F362"/>
  <c r="E363"/>
  <c r="F363"/>
  <c r="E364"/>
  <c r="F364"/>
  <c r="E365"/>
  <c r="F365"/>
  <c r="E366"/>
  <c r="F366"/>
  <c r="E367"/>
  <c r="F367"/>
  <c r="E368"/>
  <c r="F368"/>
  <c r="E369"/>
  <c r="F369"/>
  <c r="E370"/>
  <c r="F370"/>
  <c r="E371"/>
  <c r="F371"/>
  <c r="E372"/>
  <c r="F372"/>
  <c r="E373"/>
  <c r="F373"/>
  <c r="E374"/>
  <c r="F374"/>
  <c r="E375"/>
  <c r="F375"/>
  <c r="E376"/>
  <c r="F376"/>
  <c r="E377"/>
  <c r="F377"/>
  <c r="E378"/>
  <c r="F378"/>
  <c r="E379"/>
  <c r="F379"/>
  <c r="E380"/>
  <c r="F380"/>
  <c r="E381"/>
  <c r="F381"/>
  <c r="E382"/>
  <c r="F382"/>
  <c r="E383"/>
  <c r="F383"/>
  <c r="E384"/>
  <c r="F384"/>
  <c r="E385"/>
  <c r="F385"/>
  <c r="E386"/>
  <c r="F386"/>
  <c r="C386" s="1"/>
  <c r="E387"/>
  <c r="F387"/>
  <c r="E388"/>
  <c r="F388"/>
  <c r="E389"/>
  <c r="F389"/>
  <c r="E390"/>
  <c r="F390"/>
  <c r="E391"/>
  <c r="F391"/>
  <c r="E392"/>
  <c r="F392"/>
  <c r="E393"/>
  <c r="F393"/>
  <c r="E394"/>
  <c r="F394"/>
  <c r="E395"/>
  <c r="F395"/>
  <c r="E396"/>
  <c r="F396"/>
  <c r="E397"/>
  <c r="F397"/>
  <c r="E398"/>
  <c r="F398"/>
  <c r="E399"/>
  <c r="F399"/>
  <c r="E400"/>
  <c r="F400"/>
  <c r="E401"/>
  <c r="F401"/>
  <c r="E402"/>
  <c r="F402"/>
  <c r="E403"/>
  <c r="F403"/>
  <c r="E404"/>
  <c r="F404"/>
  <c r="E405"/>
  <c r="F405"/>
  <c r="E406"/>
  <c r="F406"/>
  <c r="E407"/>
  <c r="F407"/>
  <c r="E408"/>
  <c r="F408"/>
  <c r="E409"/>
  <c r="F409"/>
  <c r="E410"/>
  <c r="F410"/>
  <c r="E411"/>
  <c r="F411"/>
  <c r="E412"/>
  <c r="F412"/>
  <c r="E413"/>
  <c r="F413"/>
  <c r="E414"/>
  <c r="F414"/>
  <c r="E415"/>
  <c r="F415"/>
  <c r="E416"/>
  <c r="F416"/>
  <c r="E417"/>
  <c r="F417"/>
  <c r="E418"/>
  <c r="F418"/>
  <c r="E419"/>
  <c r="F419"/>
  <c r="E420"/>
  <c r="F420"/>
  <c r="E421"/>
  <c r="F421"/>
  <c r="E422"/>
  <c r="F422"/>
  <c r="E423"/>
  <c r="F423"/>
  <c r="E424"/>
  <c r="F424"/>
  <c r="E425"/>
  <c r="F425"/>
  <c r="E426"/>
  <c r="F426"/>
  <c r="E427"/>
  <c r="F427"/>
  <c r="E428"/>
  <c r="F428"/>
  <c r="E429"/>
  <c r="F429"/>
  <c r="E430"/>
  <c r="F430"/>
  <c r="E431"/>
  <c r="F431"/>
  <c r="E432"/>
  <c r="F432"/>
  <c r="E433"/>
  <c r="F433"/>
  <c r="E434"/>
  <c r="F434"/>
  <c r="E435"/>
  <c r="F435"/>
  <c r="E436"/>
  <c r="F436"/>
  <c r="E437"/>
  <c r="F437"/>
  <c r="E438"/>
  <c r="F438"/>
  <c r="E439"/>
  <c r="F439"/>
  <c r="E440"/>
  <c r="F440"/>
  <c r="E441"/>
  <c r="F441"/>
  <c r="E442"/>
  <c r="F442"/>
  <c r="E443"/>
  <c r="F443"/>
  <c r="E444"/>
  <c r="F444"/>
  <c r="E445"/>
  <c r="F445"/>
  <c r="E446"/>
  <c r="F446"/>
  <c r="E447"/>
  <c r="F447"/>
  <c r="E448"/>
  <c r="F448"/>
  <c r="E449"/>
  <c r="F449"/>
  <c r="E450"/>
  <c r="F450"/>
  <c r="E451"/>
  <c r="F451"/>
  <c r="E452"/>
  <c r="F452"/>
  <c r="E453"/>
  <c r="F453"/>
  <c r="E454"/>
  <c r="F454"/>
  <c r="E455"/>
  <c r="F455"/>
  <c r="E456"/>
  <c r="F456"/>
  <c r="E457"/>
  <c r="F457"/>
  <c r="E458"/>
  <c r="F458"/>
  <c r="E459"/>
  <c r="F459"/>
  <c r="E460"/>
  <c r="F460"/>
  <c r="E461"/>
  <c r="F461"/>
  <c r="E14" i="6"/>
  <c r="F14"/>
  <c r="E15"/>
  <c r="F15"/>
  <c r="E16"/>
  <c r="F16"/>
  <c r="E17"/>
  <c r="F17"/>
  <c r="E18"/>
  <c r="F18"/>
  <c r="E19"/>
  <c r="F19"/>
  <c r="E20"/>
  <c r="F20"/>
  <c r="E21"/>
  <c r="F21"/>
  <c r="E22"/>
  <c r="F22"/>
  <c r="E23"/>
  <c r="F23"/>
  <c r="E24"/>
  <c r="F24"/>
  <c r="E25"/>
  <c r="F25"/>
  <c r="E26"/>
  <c r="F26"/>
  <c r="E27"/>
  <c r="F27"/>
  <c r="E28"/>
  <c r="F28"/>
  <c r="E29"/>
  <c r="F29"/>
  <c r="E30"/>
  <c r="F30"/>
  <c r="E31"/>
  <c r="F31"/>
  <c r="E32"/>
  <c r="F32"/>
  <c r="E33"/>
  <c r="F33"/>
  <c r="E34"/>
  <c r="F34"/>
  <c r="E35"/>
  <c r="F35"/>
  <c r="E36"/>
  <c r="F36"/>
  <c r="E37"/>
  <c r="F37"/>
  <c r="E38"/>
  <c r="F38"/>
  <c r="E39"/>
  <c r="F39"/>
  <c r="E40"/>
  <c r="F40"/>
  <c r="E41"/>
  <c r="F41"/>
  <c r="E42"/>
  <c r="F42"/>
  <c r="E43"/>
  <c r="F43"/>
  <c r="E44"/>
  <c r="F44"/>
  <c r="E45"/>
  <c r="F45"/>
  <c r="E46"/>
  <c r="F46"/>
  <c r="E47"/>
  <c r="F47"/>
  <c r="E48"/>
  <c r="F48"/>
  <c r="E49"/>
  <c r="F49"/>
  <c r="E50"/>
  <c r="F50"/>
  <c r="E51"/>
  <c r="F51"/>
  <c r="E52"/>
  <c r="F52"/>
  <c r="E53"/>
  <c r="F53"/>
  <c r="E54"/>
  <c r="F54"/>
  <c r="E55"/>
  <c r="F55"/>
  <c r="E56"/>
  <c r="F56"/>
  <c r="E57"/>
  <c r="F57"/>
  <c r="E58"/>
  <c r="F58"/>
  <c r="E59"/>
  <c r="F59"/>
  <c r="E60"/>
  <c r="F60"/>
  <c r="E61"/>
  <c r="F61"/>
  <c r="E62"/>
  <c r="F62"/>
  <c r="E63"/>
  <c r="F63"/>
  <c r="E64"/>
  <c r="F64"/>
  <c r="E65"/>
  <c r="F65"/>
  <c r="E66"/>
  <c r="F66"/>
  <c r="E67"/>
  <c r="F67"/>
  <c r="E68"/>
  <c r="F68"/>
  <c r="E69"/>
  <c r="F69"/>
  <c r="E70"/>
  <c r="F70"/>
  <c r="E71"/>
  <c r="F71"/>
  <c r="E72"/>
  <c r="F72"/>
  <c r="E73"/>
  <c r="F73"/>
  <c r="E74"/>
  <c r="F74"/>
  <c r="E75"/>
  <c r="F75"/>
  <c r="E76"/>
  <c r="F76"/>
  <c r="E77"/>
  <c r="F77"/>
  <c r="E78"/>
  <c r="F78"/>
  <c r="E79"/>
  <c r="F79"/>
  <c r="E80"/>
  <c r="F80"/>
  <c r="E81"/>
  <c r="F81"/>
  <c r="E82"/>
  <c r="F82"/>
  <c r="E83"/>
  <c r="F83"/>
  <c r="E84"/>
  <c r="F84"/>
  <c r="E85"/>
  <c r="F85"/>
  <c r="E86"/>
  <c r="F86"/>
  <c r="E87"/>
  <c r="F87"/>
  <c r="E88"/>
  <c r="F88"/>
  <c r="E89"/>
  <c r="F89"/>
  <c r="E90"/>
  <c r="F90"/>
  <c r="E91"/>
  <c r="F91"/>
  <c r="E92"/>
  <c r="F92"/>
  <c r="E93"/>
  <c r="F93"/>
  <c r="E94"/>
  <c r="F94"/>
  <c r="E95"/>
  <c r="F95"/>
  <c r="E96"/>
  <c r="F96"/>
  <c r="E97"/>
  <c r="F97"/>
  <c r="E98"/>
  <c r="F98"/>
  <c r="E99"/>
  <c r="F99"/>
  <c r="D99" s="1"/>
  <c r="E100"/>
  <c r="F100"/>
  <c r="E101"/>
  <c r="F101"/>
  <c r="E102"/>
  <c r="F102"/>
  <c r="E103"/>
  <c r="F103"/>
  <c r="E104"/>
  <c r="F104"/>
  <c r="E105"/>
  <c r="F105"/>
  <c r="E106"/>
  <c r="F106"/>
  <c r="E107"/>
  <c r="F107"/>
  <c r="E108"/>
  <c r="F108"/>
  <c r="E109"/>
  <c r="F109"/>
  <c r="E110"/>
  <c r="F110"/>
  <c r="E111"/>
  <c r="F111"/>
  <c r="E112"/>
  <c r="F112"/>
  <c r="E113"/>
  <c r="F113"/>
  <c r="E114"/>
  <c r="F114"/>
  <c r="E115"/>
  <c r="F115"/>
  <c r="E116"/>
  <c r="F116"/>
  <c r="E117"/>
  <c r="F117"/>
  <c r="E118"/>
  <c r="F118"/>
  <c r="E119"/>
  <c r="F119"/>
  <c r="D119" s="1"/>
  <c r="E120"/>
  <c r="F120"/>
  <c r="E121"/>
  <c r="F121"/>
  <c r="E122"/>
  <c r="F122"/>
  <c r="E123"/>
  <c r="F123"/>
  <c r="E124"/>
  <c r="F124"/>
  <c r="E125"/>
  <c r="F125"/>
  <c r="E126"/>
  <c r="F126"/>
  <c r="E127"/>
  <c r="F127"/>
  <c r="E128"/>
  <c r="F128"/>
  <c r="E129"/>
  <c r="F129"/>
  <c r="E130"/>
  <c r="F130"/>
  <c r="E131"/>
  <c r="F131"/>
  <c r="E132"/>
  <c r="F132"/>
  <c r="E133"/>
  <c r="F133"/>
  <c r="E134"/>
  <c r="F134"/>
  <c r="E135"/>
  <c r="F135"/>
  <c r="E136"/>
  <c r="F136"/>
  <c r="E137"/>
  <c r="F137"/>
  <c r="E138"/>
  <c r="F138"/>
  <c r="E139"/>
  <c r="F139"/>
  <c r="E140"/>
  <c r="F140"/>
  <c r="E141"/>
  <c r="F141"/>
  <c r="E142"/>
  <c r="F142"/>
  <c r="E143"/>
  <c r="F143"/>
  <c r="E144"/>
  <c r="F144"/>
  <c r="E145"/>
  <c r="F145"/>
  <c r="E146"/>
  <c r="F146"/>
  <c r="E147"/>
  <c r="F147"/>
  <c r="E148"/>
  <c r="F148"/>
  <c r="E149"/>
  <c r="F149"/>
  <c r="E150"/>
  <c r="F150"/>
  <c r="E151"/>
  <c r="F151"/>
  <c r="E152"/>
  <c r="F152"/>
  <c r="E153"/>
  <c r="F153"/>
  <c r="E154"/>
  <c r="F154"/>
  <c r="E155"/>
  <c r="F155"/>
  <c r="E156"/>
  <c r="F156"/>
  <c r="E157"/>
  <c r="F157"/>
  <c r="E158"/>
  <c r="F158"/>
  <c r="E159"/>
  <c r="F159"/>
  <c r="E160"/>
  <c r="F160"/>
  <c r="E161"/>
  <c r="F161"/>
  <c r="E162"/>
  <c r="F162"/>
  <c r="E163"/>
  <c r="F163"/>
  <c r="E164"/>
  <c r="F164"/>
  <c r="E165"/>
  <c r="F165"/>
  <c r="E166"/>
  <c r="F166"/>
  <c r="E167"/>
  <c r="F167"/>
  <c r="E168"/>
  <c r="F168"/>
  <c r="E169"/>
  <c r="F169"/>
  <c r="E170"/>
  <c r="F170"/>
  <c r="E171"/>
  <c r="F171"/>
  <c r="E172"/>
  <c r="F172"/>
  <c r="E173"/>
  <c r="F173"/>
  <c r="E174"/>
  <c r="F174"/>
  <c r="E175"/>
  <c r="F175"/>
  <c r="E176"/>
  <c r="F176"/>
  <c r="E177"/>
  <c r="F177"/>
  <c r="E178"/>
  <c r="F178"/>
  <c r="E179"/>
  <c r="F179"/>
  <c r="E180"/>
  <c r="F180"/>
  <c r="E181"/>
  <c r="F181"/>
  <c r="E182"/>
  <c r="F182"/>
  <c r="E183"/>
  <c r="F183"/>
  <c r="E184"/>
  <c r="F184"/>
  <c r="E185"/>
  <c r="F185"/>
  <c r="E186"/>
  <c r="F186"/>
  <c r="E187"/>
  <c r="F187"/>
  <c r="E188"/>
  <c r="F188"/>
  <c r="E189"/>
  <c r="F189"/>
  <c r="E190"/>
  <c r="F190"/>
  <c r="E191"/>
  <c r="F191"/>
  <c r="E192"/>
  <c r="F192"/>
  <c r="E193"/>
  <c r="F193"/>
  <c r="E194"/>
  <c r="F194"/>
  <c r="E195"/>
  <c r="F195"/>
  <c r="E196"/>
  <c r="F196"/>
  <c r="E197"/>
  <c r="F197"/>
  <c r="E198"/>
  <c r="F198"/>
  <c r="E199"/>
  <c r="F199"/>
  <c r="E200"/>
  <c r="F200"/>
  <c r="E201"/>
  <c r="F201"/>
  <c r="E202"/>
  <c r="F202"/>
  <c r="E203"/>
  <c r="F203"/>
  <c r="E204"/>
  <c r="F204"/>
  <c r="E205"/>
  <c r="F205"/>
  <c r="E206"/>
  <c r="F206"/>
  <c r="E207"/>
  <c r="F207"/>
  <c r="E208"/>
  <c r="F208"/>
  <c r="E209"/>
  <c r="F209"/>
  <c r="E210"/>
  <c r="F210"/>
  <c r="E211"/>
  <c r="F211"/>
  <c r="E212"/>
  <c r="F212"/>
  <c r="E213"/>
  <c r="F213"/>
  <c r="D213" s="1"/>
  <c r="E214"/>
  <c r="F214"/>
  <c r="E215"/>
  <c r="F215"/>
  <c r="E216"/>
  <c r="F216"/>
  <c r="E217"/>
  <c r="F217"/>
  <c r="E218"/>
  <c r="F218"/>
  <c r="E219"/>
  <c r="F219"/>
  <c r="D219" s="1"/>
  <c r="E220"/>
  <c r="F220"/>
  <c r="E221"/>
  <c r="F221"/>
  <c r="E222"/>
  <c r="F222"/>
  <c r="E223"/>
  <c r="F223"/>
  <c r="E224"/>
  <c r="F224"/>
  <c r="E225"/>
  <c r="F225"/>
  <c r="E226"/>
  <c r="F226"/>
  <c r="E227"/>
  <c r="F227"/>
  <c r="E228"/>
  <c r="F228"/>
  <c r="E229"/>
  <c r="F229"/>
  <c r="E230"/>
  <c r="F230"/>
  <c r="E231"/>
  <c r="F231"/>
  <c r="E232"/>
  <c r="F232"/>
  <c r="E233"/>
  <c r="F233"/>
  <c r="E234"/>
  <c r="F234"/>
  <c r="E235"/>
  <c r="F235"/>
  <c r="E236"/>
  <c r="F236"/>
  <c r="E237"/>
  <c r="F237"/>
  <c r="E238"/>
  <c r="F238"/>
  <c r="E239"/>
  <c r="F239"/>
  <c r="D239" s="1"/>
  <c r="E240"/>
  <c r="F240"/>
  <c r="E241"/>
  <c r="F241"/>
  <c r="E242"/>
  <c r="F242"/>
  <c r="E243"/>
  <c r="F243"/>
  <c r="E244"/>
  <c r="F244"/>
  <c r="E245"/>
  <c r="F245"/>
  <c r="E246"/>
  <c r="F246"/>
  <c r="E247"/>
  <c r="F247"/>
  <c r="E248"/>
  <c r="F248"/>
  <c r="E249"/>
  <c r="F249"/>
  <c r="E250"/>
  <c r="F250"/>
  <c r="E251"/>
  <c r="F251"/>
  <c r="E252"/>
  <c r="F252"/>
  <c r="E253"/>
  <c r="F253"/>
  <c r="E254"/>
  <c r="F254"/>
  <c r="E255"/>
  <c r="F255"/>
  <c r="E256"/>
  <c r="F256"/>
  <c r="E257"/>
  <c r="F257"/>
  <c r="E258"/>
  <c r="F258"/>
  <c r="E259"/>
  <c r="F259"/>
  <c r="D259" s="1"/>
  <c r="E260"/>
  <c r="F260"/>
  <c r="E261"/>
  <c r="F261"/>
  <c r="E262"/>
  <c r="F262"/>
  <c r="E263"/>
  <c r="F263"/>
  <c r="E264"/>
  <c r="F264"/>
  <c r="E265"/>
  <c r="F265"/>
  <c r="E266"/>
  <c r="F266"/>
  <c r="E267"/>
  <c r="F267"/>
  <c r="E268"/>
  <c r="F268"/>
  <c r="E269"/>
  <c r="F269"/>
  <c r="D269" s="1"/>
  <c r="E270"/>
  <c r="F270"/>
  <c r="E271"/>
  <c r="F271"/>
  <c r="E272"/>
  <c r="F272"/>
  <c r="E273"/>
  <c r="F273"/>
  <c r="E274"/>
  <c r="F274"/>
  <c r="E275"/>
  <c r="F275"/>
  <c r="E276"/>
  <c r="F276"/>
  <c r="E277"/>
  <c r="F277"/>
  <c r="E278"/>
  <c r="F278"/>
  <c r="E279"/>
  <c r="F279"/>
  <c r="D279" s="1"/>
  <c r="E280"/>
  <c r="F280"/>
  <c r="E281"/>
  <c r="F281"/>
  <c r="E282"/>
  <c r="F282"/>
  <c r="E283"/>
  <c r="F283"/>
  <c r="E284"/>
  <c r="F284"/>
  <c r="E285"/>
  <c r="F285"/>
  <c r="E286"/>
  <c r="F286"/>
  <c r="E287"/>
  <c r="F287"/>
  <c r="E288"/>
  <c r="F288"/>
  <c r="E289"/>
  <c r="F289"/>
  <c r="E290"/>
  <c r="F290"/>
  <c r="E291"/>
  <c r="F291"/>
  <c r="E292"/>
  <c r="F292"/>
  <c r="E293"/>
  <c r="F293"/>
  <c r="E294"/>
  <c r="F294"/>
  <c r="E295"/>
  <c r="F295"/>
  <c r="E296"/>
  <c r="F296"/>
  <c r="E297"/>
  <c r="F297"/>
  <c r="E298"/>
  <c r="F298"/>
  <c r="E299"/>
  <c r="F299"/>
  <c r="E300"/>
  <c r="F300"/>
  <c r="E301"/>
  <c r="F301"/>
  <c r="E302"/>
  <c r="F302"/>
  <c r="E303"/>
  <c r="F303"/>
  <c r="E304"/>
  <c r="F304"/>
  <c r="E305"/>
  <c r="F305"/>
  <c r="E306"/>
  <c r="F306"/>
  <c r="E307"/>
  <c r="F307"/>
  <c r="E308"/>
  <c r="F308"/>
  <c r="E309"/>
  <c r="F309"/>
  <c r="E310"/>
  <c r="F310"/>
  <c r="E311"/>
  <c r="F311"/>
  <c r="E312"/>
  <c r="F312"/>
  <c r="E313"/>
  <c r="F313"/>
  <c r="E314"/>
  <c r="F314"/>
  <c r="E315"/>
  <c r="F315"/>
  <c r="E316"/>
  <c r="F316"/>
  <c r="E317"/>
  <c r="F317"/>
  <c r="E318"/>
  <c r="F318"/>
  <c r="E319"/>
  <c r="F319"/>
  <c r="E320"/>
  <c r="F320"/>
  <c r="E321"/>
  <c r="F321"/>
  <c r="E322"/>
  <c r="F322"/>
  <c r="E323"/>
  <c r="F323"/>
  <c r="E324"/>
  <c r="F324"/>
  <c r="E325"/>
  <c r="F325"/>
  <c r="E326"/>
  <c r="F326"/>
  <c r="E327"/>
  <c r="F327"/>
  <c r="E328"/>
  <c r="F328"/>
  <c r="E329"/>
  <c r="F329"/>
  <c r="E330"/>
  <c r="F330"/>
  <c r="E331"/>
  <c r="F331"/>
  <c r="E332"/>
  <c r="F332"/>
  <c r="E333"/>
  <c r="F333"/>
  <c r="E334"/>
  <c r="F334"/>
  <c r="E335"/>
  <c r="F335"/>
  <c r="E336"/>
  <c r="F336"/>
  <c r="E337"/>
  <c r="F337"/>
  <c r="E338"/>
  <c r="F338"/>
  <c r="E339"/>
  <c r="F339"/>
  <c r="E340"/>
  <c r="F340"/>
  <c r="E341"/>
  <c r="F341"/>
  <c r="E342"/>
  <c r="F342"/>
  <c r="E343"/>
  <c r="F343"/>
  <c r="E344"/>
  <c r="F344"/>
  <c r="E345"/>
  <c r="F345"/>
  <c r="E346"/>
  <c r="F346"/>
  <c r="E347"/>
  <c r="F347"/>
  <c r="E348"/>
  <c r="F348"/>
  <c r="E349"/>
  <c r="F349"/>
  <c r="E350"/>
  <c r="F350"/>
  <c r="E351"/>
  <c r="F351"/>
  <c r="E352"/>
  <c r="F352"/>
  <c r="E353"/>
  <c r="F353"/>
  <c r="E354"/>
  <c r="F354"/>
  <c r="E355"/>
  <c r="F355"/>
  <c r="E356"/>
  <c r="F356"/>
  <c r="E357"/>
  <c r="F357"/>
  <c r="E358"/>
  <c r="F358"/>
  <c r="E359"/>
  <c r="F359"/>
  <c r="E360"/>
  <c r="F360"/>
  <c r="E361"/>
  <c r="F361"/>
  <c r="E362"/>
  <c r="F362"/>
  <c r="E363"/>
  <c r="F363"/>
  <c r="E364"/>
  <c r="F364"/>
  <c r="E365"/>
  <c r="F365"/>
  <c r="E366"/>
  <c r="F366"/>
  <c r="E367"/>
  <c r="F367"/>
  <c r="E368"/>
  <c r="F368"/>
  <c r="E369"/>
  <c r="F369"/>
  <c r="E370"/>
  <c r="F370"/>
  <c r="E371"/>
  <c r="F371"/>
  <c r="E372"/>
  <c r="F372"/>
  <c r="E373"/>
  <c r="F373"/>
  <c r="E374"/>
  <c r="F374"/>
  <c r="E375"/>
  <c r="F375"/>
  <c r="E376"/>
  <c r="F376"/>
  <c r="E377"/>
  <c r="F377"/>
  <c r="E378"/>
  <c r="F378"/>
  <c r="E379"/>
  <c r="F379"/>
  <c r="E380"/>
  <c r="F380"/>
  <c r="E381"/>
  <c r="F381"/>
  <c r="E382"/>
  <c r="F382"/>
  <c r="E383"/>
  <c r="F383"/>
  <c r="E384"/>
  <c r="F384"/>
  <c r="E385"/>
  <c r="F385"/>
  <c r="E386"/>
  <c r="F386"/>
  <c r="E387"/>
  <c r="F387"/>
  <c r="E388"/>
  <c r="F388"/>
  <c r="E389"/>
  <c r="F389"/>
  <c r="E390"/>
  <c r="F390"/>
  <c r="E391"/>
  <c r="F391"/>
  <c r="E392"/>
  <c r="F392"/>
  <c r="E393"/>
  <c r="F393"/>
  <c r="E394"/>
  <c r="F394"/>
  <c r="E395"/>
  <c r="F395"/>
  <c r="E396"/>
  <c r="F396"/>
  <c r="E397"/>
  <c r="F397"/>
  <c r="E398"/>
  <c r="F398"/>
  <c r="E399"/>
  <c r="F399"/>
  <c r="E400"/>
  <c r="F400"/>
  <c r="E401"/>
  <c r="F401"/>
  <c r="E402"/>
  <c r="F402"/>
  <c r="E403"/>
  <c r="F403"/>
  <c r="E404"/>
  <c r="F404"/>
  <c r="E405"/>
  <c r="F405"/>
  <c r="E406"/>
  <c r="F406"/>
  <c r="E407"/>
  <c r="F407"/>
  <c r="E408"/>
  <c r="F408"/>
  <c r="E409"/>
  <c r="F409"/>
  <c r="E410"/>
  <c r="F410"/>
  <c r="E411"/>
  <c r="F411"/>
  <c r="E412"/>
  <c r="F412"/>
  <c r="E413"/>
  <c r="F413"/>
  <c r="E414"/>
  <c r="F414"/>
  <c r="E415"/>
  <c r="F415"/>
  <c r="E416"/>
  <c r="F416"/>
  <c r="E417"/>
  <c r="F417"/>
  <c r="E418"/>
  <c r="F418"/>
  <c r="E419"/>
  <c r="F419"/>
  <c r="E420"/>
  <c r="F420"/>
  <c r="E421"/>
  <c r="F421"/>
  <c r="E422"/>
  <c r="F422"/>
  <c r="E423"/>
  <c r="F423"/>
  <c r="E424"/>
  <c r="F424"/>
  <c r="E425"/>
  <c r="F425"/>
  <c r="E426"/>
  <c r="F426"/>
  <c r="E427"/>
  <c r="F427"/>
  <c r="E428"/>
  <c r="F428"/>
  <c r="E429"/>
  <c r="F429"/>
  <c r="E430"/>
  <c r="F430"/>
  <c r="E431"/>
  <c r="F431"/>
  <c r="E432"/>
  <c r="F432"/>
  <c r="E433"/>
  <c r="F433"/>
  <c r="E434"/>
  <c r="F434"/>
  <c r="E435"/>
  <c r="F435"/>
  <c r="E436"/>
  <c r="F436"/>
  <c r="E437"/>
  <c r="F437"/>
  <c r="E438"/>
  <c r="F438"/>
  <c r="E439"/>
  <c r="F439"/>
  <c r="E440"/>
  <c r="F440"/>
  <c r="E441"/>
  <c r="F441"/>
  <c r="E442"/>
  <c r="F442"/>
  <c r="E443"/>
  <c r="F443"/>
  <c r="E444"/>
  <c r="F444"/>
  <c r="E445"/>
  <c r="F445"/>
  <c r="E446"/>
  <c r="F446"/>
  <c r="E447"/>
  <c r="F447"/>
  <c r="E448"/>
  <c r="F448"/>
  <c r="E449"/>
  <c r="F449"/>
  <c r="E450"/>
  <c r="F450"/>
  <c r="E451"/>
  <c r="F451"/>
  <c r="E452"/>
  <c r="F452"/>
  <c r="E453"/>
  <c r="F453"/>
  <c r="E454"/>
  <c r="F454"/>
  <c r="E455"/>
  <c r="F455"/>
  <c r="E456"/>
  <c r="F456"/>
  <c r="E457"/>
  <c r="F457"/>
  <c r="E458"/>
  <c r="F458"/>
  <c r="E459"/>
  <c r="F459"/>
  <c r="E460"/>
  <c r="F460"/>
  <c r="E461"/>
  <c r="F461"/>
  <c r="E14" i="7"/>
  <c r="F14"/>
  <c r="E15"/>
  <c r="F15"/>
  <c r="E16"/>
  <c r="F16"/>
  <c r="E17"/>
  <c r="F17"/>
  <c r="E18"/>
  <c r="F18"/>
  <c r="E19"/>
  <c r="F19"/>
  <c r="E20"/>
  <c r="F20"/>
  <c r="E21"/>
  <c r="F21"/>
  <c r="E22"/>
  <c r="F22"/>
  <c r="E23"/>
  <c r="F23"/>
  <c r="E24"/>
  <c r="F24"/>
  <c r="E25"/>
  <c r="F25"/>
  <c r="E26"/>
  <c r="F26"/>
  <c r="E27"/>
  <c r="F27"/>
  <c r="E28"/>
  <c r="F28"/>
  <c r="E29"/>
  <c r="F29"/>
  <c r="E30"/>
  <c r="F30"/>
  <c r="E31"/>
  <c r="F31"/>
  <c r="E32"/>
  <c r="F32"/>
  <c r="E33"/>
  <c r="F33"/>
  <c r="E34"/>
  <c r="F34"/>
  <c r="E35"/>
  <c r="F35"/>
  <c r="E36"/>
  <c r="F36"/>
  <c r="E37"/>
  <c r="F37"/>
  <c r="E38"/>
  <c r="F38"/>
  <c r="E39"/>
  <c r="F39"/>
  <c r="E40"/>
  <c r="F40"/>
  <c r="E41"/>
  <c r="F41"/>
  <c r="E42"/>
  <c r="F42"/>
  <c r="E43"/>
  <c r="F43"/>
  <c r="E44"/>
  <c r="F44"/>
  <c r="E45"/>
  <c r="F45"/>
  <c r="E46"/>
  <c r="F46"/>
  <c r="E47"/>
  <c r="F47"/>
  <c r="E48"/>
  <c r="F48"/>
  <c r="E49"/>
  <c r="F49"/>
  <c r="E50"/>
  <c r="F50"/>
  <c r="E51"/>
  <c r="F51"/>
  <c r="E52"/>
  <c r="F52"/>
  <c r="E53"/>
  <c r="F53"/>
  <c r="E54"/>
  <c r="F54"/>
  <c r="E55"/>
  <c r="F55"/>
  <c r="E56"/>
  <c r="F56"/>
  <c r="E57"/>
  <c r="F57"/>
  <c r="E58"/>
  <c r="F58"/>
  <c r="E59"/>
  <c r="F59"/>
  <c r="E60"/>
  <c r="F60"/>
  <c r="E61"/>
  <c r="F61"/>
  <c r="E62"/>
  <c r="F62"/>
  <c r="E63"/>
  <c r="F63"/>
  <c r="E64"/>
  <c r="F64"/>
  <c r="E65"/>
  <c r="F65"/>
  <c r="E66"/>
  <c r="F66"/>
  <c r="E67"/>
  <c r="F67"/>
  <c r="E68"/>
  <c r="F68"/>
  <c r="E69"/>
  <c r="F69"/>
  <c r="E70"/>
  <c r="F70"/>
  <c r="E71"/>
  <c r="F71"/>
  <c r="E72"/>
  <c r="F72"/>
  <c r="E73"/>
  <c r="F73"/>
  <c r="E74"/>
  <c r="F74"/>
  <c r="E75"/>
  <c r="F75"/>
  <c r="E76"/>
  <c r="F76"/>
  <c r="E77"/>
  <c r="F77"/>
  <c r="E78"/>
  <c r="F78"/>
  <c r="E79"/>
  <c r="F79"/>
  <c r="E80"/>
  <c r="F80"/>
  <c r="E81"/>
  <c r="F81"/>
  <c r="E82"/>
  <c r="C82" s="1"/>
  <c r="F82"/>
  <c r="E83"/>
  <c r="F83"/>
  <c r="E84"/>
  <c r="F84"/>
  <c r="E85"/>
  <c r="F85"/>
  <c r="E86"/>
  <c r="F86"/>
  <c r="E87"/>
  <c r="F87"/>
  <c r="E88"/>
  <c r="F88"/>
  <c r="E89"/>
  <c r="F89"/>
  <c r="E90"/>
  <c r="C90" s="1"/>
  <c r="U118" i="2" s="1"/>
  <c r="F90" i="7"/>
  <c r="E91"/>
  <c r="F91"/>
  <c r="E92"/>
  <c r="F92"/>
  <c r="E93"/>
  <c r="F93"/>
  <c r="E94"/>
  <c r="F94"/>
  <c r="E95"/>
  <c r="F95"/>
  <c r="E96"/>
  <c r="F96"/>
  <c r="E97"/>
  <c r="F97"/>
  <c r="E98"/>
  <c r="F98"/>
  <c r="E99"/>
  <c r="F99"/>
  <c r="E100"/>
  <c r="F100"/>
  <c r="E101"/>
  <c r="F101"/>
  <c r="E102"/>
  <c r="F102"/>
  <c r="E103"/>
  <c r="F103"/>
  <c r="E104"/>
  <c r="F104"/>
  <c r="E105"/>
  <c r="F105"/>
  <c r="E106"/>
  <c r="F106"/>
  <c r="E107"/>
  <c r="F107"/>
  <c r="E108"/>
  <c r="F108"/>
  <c r="E109"/>
  <c r="F109"/>
  <c r="E110"/>
  <c r="F110"/>
  <c r="E111"/>
  <c r="F111"/>
  <c r="E112"/>
  <c r="F112"/>
  <c r="E113"/>
  <c r="F113"/>
  <c r="E114"/>
  <c r="F114"/>
  <c r="E115"/>
  <c r="F115"/>
  <c r="E116"/>
  <c r="F116"/>
  <c r="E117"/>
  <c r="F117"/>
  <c r="E118"/>
  <c r="F118"/>
  <c r="E119"/>
  <c r="F119"/>
  <c r="E120"/>
  <c r="F120"/>
  <c r="E121"/>
  <c r="F121"/>
  <c r="E122"/>
  <c r="F122"/>
  <c r="E123"/>
  <c r="F123"/>
  <c r="E124"/>
  <c r="F124"/>
  <c r="E125"/>
  <c r="F125"/>
  <c r="E126"/>
  <c r="F126"/>
  <c r="E127"/>
  <c r="F127"/>
  <c r="E128"/>
  <c r="F128"/>
  <c r="E129"/>
  <c r="F129"/>
  <c r="E130"/>
  <c r="F130"/>
  <c r="E131"/>
  <c r="F131"/>
  <c r="E132"/>
  <c r="F132"/>
  <c r="E133"/>
  <c r="F133"/>
  <c r="E134"/>
  <c r="F134"/>
  <c r="E135"/>
  <c r="F135"/>
  <c r="E136"/>
  <c r="F136"/>
  <c r="E137"/>
  <c r="F137"/>
  <c r="E138"/>
  <c r="F138"/>
  <c r="E139"/>
  <c r="F139"/>
  <c r="E140"/>
  <c r="F140"/>
  <c r="E141"/>
  <c r="F141"/>
  <c r="E142"/>
  <c r="F142"/>
  <c r="E143"/>
  <c r="F143"/>
  <c r="E144"/>
  <c r="F144"/>
  <c r="E145"/>
  <c r="F145"/>
  <c r="E146"/>
  <c r="F146"/>
  <c r="E147"/>
  <c r="F147"/>
  <c r="E148"/>
  <c r="F148"/>
  <c r="E149"/>
  <c r="F149"/>
  <c r="E150"/>
  <c r="F150"/>
  <c r="E151"/>
  <c r="F151"/>
  <c r="E152"/>
  <c r="F152"/>
  <c r="E153"/>
  <c r="F153"/>
  <c r="E154"/>
  <c r="F154"/>
  <c r="E155"/>
  <c r="F155"/>
  <c r="E156"/>
  <c r="F156"/>
  <c r="E157"/>
  <c r="F157"/>
  <c r="E158"/>
  <c r="C158" s="1"/>
  <c r="U213" i="2" s="1"/>
  <c r="F158" i="7"/>
  <c r="E159"/>
  <c r="F159"/>
  <c r="E160"/>
  <c r="F160"/>
  <c r="E161"/>
  <c r="F161"/>
  <c r="E162"/>
  <c r="F162"/>
  <c r="E163"/>
  <c r="F163"/>
  <c r="E164"/>
  <c r="F164"/>
  <c r="E165"/>
  <c r="F165"/>
  <c r="E166"/>
  <c r="F166"/>
  <c r="E167"/>
  <c r="F167"/>
  <c r="E168"/>
  <c r="F168"/>
  <c r="E169"/>
  <c r="F169"/>
  <c r="E170"/>
  <c r="F170"/>
  <c r="E171"/>
  <c r="F171"/>
  <c r="E172"/>
  <c r="F172"/>
  <c r="E173"/>
  <c r="F173"/>
  <c r="E174"/>
  <c r="F174"/>
  <c r="E175"/>
  <c r="F175"/>
  <c r="E176"/>
  <c r="F176"/>
  <c r="E177"/>
  <c r="F177"/>
  <c r="E178"/>
  <c r="F178"/>
  <c r="E179"/>
  <c r="F179"/>
  <c r="E180"/>
  <c r="D180" s="1"/>
  <c r="U245" i="2" s="1"/>
  <c r="F180" i="7"/>
  <c r="E181"/>
  <c r="F181"/>
  <c r="E182"/>
  <c r="F182"/>
  <c r="E183"/>
  <c r="F183"/>
  <c r="E184"/>
  <c r="F184"/>
  <c r="E185"/>
  <c r="F185"/>
  <c r="E186"/>
  <c r="F186"/>
  <c r="E187"/>
  <c r="F187"/>
  <c r="E188"/>
  <c r="F188"/>
  <c r="E189"/>
  <c r="F189"/>
  <c r="E190"/>
  <c r="F190"/>
  <c r="E191"/>
  <c r="F191"/>
  <c r="E192"/>
  <c r="F192"/>
  <c r="E193"/>
  <c r="F193"/>
  <c r="E194"/>
  <c r="F194"/>
  <c r="E195"/>
  <c r="F195"/>
  <c r="E196"/>
  <c r="F196"/>
  <c r="E197"/>
  <c r="F197"/>
  <c r="E198"/>
  <c r="D198" s="1"/>
  <c r="U271" i="2" s="1"/>
  <c r="F198" i="7"/>
  <c r="E199"/>
  <c r="F199"/>
  <c r="E200"/>
  <c r="F200"/>
  <c r="E201"/>
  <c r="F201"/>
  <c r="E202"/>
  <c r="F202"/>
  <c r="E203"/>
  <c r="F203"/>
  <c r="E204"/>
  <c r="F204"/>
  <c r="E205"/>
  <c r="F205"/>
  <c r="E206"/>
  <c r="F206"/>
  <c r="E207"/>
  <c r="F207"/>
  <c r="E208"/>
  <c r="D208" s="1"/>
  <c r="F208"/>
  <c r="E209"/>
  <c r="F209"/>
  <c r="E210"/>
  <c r="D210" s="1"/>
  <c r="F210"/>
  <c r="E211"/>
  <c r="F211"/>
  <c r="E212"/>
  <c r="F212"/>
  <c r="E213"/>
  <c r="F213"/>
  <c r="E214"/>
  <c r="F214"/>
  <c r="E215"/>
  <c r="F215"/>
  <c r="E216"/>
  <c r="F216"/>
  <c r="E217"/>
  <c r="F217"/>
  <c r="E218"/>
  <c r="F218"/>
  <c r="E219"/>
  <c r="F219"/>
  <c r="E220"/>
  <c r="D220" s="1"/>
  <c r="F220"/>
  <c r="E221"/>
  <c r="F221"/>
  <c r="E222"/>
  <c r="F222"/>
  <c r="E223"/>
  <c r="F223"/>
  <c r="E224"/>
  <c r="F224"/>
  <c r="E225"/>
  <c r="F225"/>
  <c r="E226"/>
  <c r="F226"/>
  <c r="E227"/>
  <c r="F227"/>
  <c r="E228"/>
  <c r="D228" s="1"/>
  <c r="F228"/>
  <c r="E229"/>
  <c r="F229"/>
  <c r="E230"/>
  <c r="F230"/>
  <c r="E231"/>
  <c r="F231"/>
  <c r="E232"/>
  <c r="F232"/>
  <c r="E233"/>
  <c r="F233"/>
  <c r="E234"/>
  <c r="F234"/>
  <c r="E235"/>
  <c r="F235"/>
  <c r="E236"/>
  <c r="F236"/>
  <c r="E237"/>
  <c r="F237"/>
  <c r="E238"/>
  <c r="F238"/>
  <c r="E239"/>
  <c r="F239"/>
  <c r="E240"/>
  <c r="F240"/>
  <c r="E241"/>
  <c r="F241"/>
  <c r="E242"/>
  <c r="F242"/>
  <c r="E243"/>
  <c r="F243"/>
  <c r="E244"/>
  <c r="F244"/>
  <c r="E245"/>
  <c r="F245"/>
  <c r="E246"/>
  <c r="F246"/>
  <c r="E247"/>
  <c r="F247"/>
  <c r="E248"/>
  <c r="F248"/>
  <c r="E249"/>
  <c r="F249"/>
  <c r="E250"/>
  <c r="F250"/>
  <c r="E251"/>
  <c r="F251"/>
  <c r="E252"/>
  <c r="F252"/>
  <c r="E253"/>
  <c r="F253"/>
  <c r="E254"/>
  <c r="F254"/>
  <c r="E255"/>
  <c r="F255"/>
  <c r="E256"/>
  <c r="F256"/>
  <c r="E257"/>
  <c r="F257"/>
  <c r="E258"/>
  <c r="F258"/>
  <c r="E259"/>
  <c r="F259"/>
  <c r="E260"/>
  <c r="F260"/>
  <c r="E261"/>
  <c r="F261"/>
  <c r="E262"/>
  <c r="F262"/>
  <c r="E263"/>
  <c r="F263"/>
  <c r="E264"/>
  <c r="F264"/>
  <c r="E265"/>
  <c r="F265"/>
  <c r="E266"/>
  <c r="F266"/>
  <c r="E267"/>
  <c r="F267"/>
  <c r="E268"/>
  <c r="F268"/>
  <c r="E269"/>
  <c r="F269"/>
  <c r="E270"/>
  <c r="F270"/>
  <c r="E271"/>
  <c r="F271"/>
  <c r="E272"/>
  <c r="F272"/>
  <c r="E273"/>
  <c r="F273"/>
  <c r="E274"/>
  <c r="F274"/>
  <c r="E275"/>
  <c r="F275"/>
  <c r="E276"/>
  <c r="F276"/>
  <c r="E277"/>
  <c r="F277"/>
  <c r="E278"/>
  <c r="F278"/>
  <c r="E279"/>
  <c r="F279"/>
  <c r="E280"/>
  <c r="F280"/>
  <c r="E281"/>
  <c r="F281"/>
  <c r="E282"/>
  <c r="F282"/>
  <c r="E283"/>
  <c r="F283"/>
  <c r="E284"/>
  <c r="F284"/>
  <c r="E285"/>
  <c r="F285"/>
  <c r="E286"/>
  <c r="F286"/>
  <c r="E287"/>
  <c r="F287"/>
  <c r="E288"/>
  <c r="F288"/>
  <c r="E289"/>
  <c r="F289"/>
  <c r="E290"/>
  <c r="F290"/>
  <c r="E291"/>
  <c r="F291"/>
  <c r="E292"/>
  <c r="F292"/>
  <c r="E293"/>
  <c r="F293"/>
  <c r="E294"/>
  <c r="F294"/>
  <c r="E295"/>
  <c r="F295"/>
  <c r="E296"/>
  <c r="F296"/>
  <c r="E297"/>
  <c r="F297"/>
  <c r="E298"/>
  <c r="F298"/>
  <c r="E299"/>
  <c r="F299"/>
  <c r="E300"/>
  <c r="F300"/>
  <c r="E301"/>
  <c r="F301"/>
  <c r="E302"/>
  <c r="F302"/>
  <c r="E303"/>
  <c r="F303"/>
  <c r="E304"/>
  <c r="F304"/>
  <c r="E305"/>
  <c r="F305"/>
  <c r="E306"/>
  <c r="F306"/>
  <c r="E307"/>
  <c r="F307"/>
  <c r="E308"/>
  <c r="F308"/>
  <c r="E309"/>
  <c r="F309"/>
  <c r="E310"/>
  <c r="F310"/>
  <c r="E311"/>
  <c r="F311"/>
  <c r="E312"/>
  <c r="F312"/>
  <c r="E313"/>
  <c r="F313"/>
  <c r="E314"/>
  <c r="F314"/>
  <c r="E315"/>
  <c r="F315"/>
  <c r="E316"/>
  <c r="F316"/>
  <c r="E317"/>
  <c r="F317"/>
  <c r="E318"/>
  <c r="F318"/>
  <c r="E319"/>
  <c r="F319"/>
  <c r="E320"/>
  <c r="F320"/>
  <c r="E321"/>
  <c r="F321"/>
  <c r="E322"/>
  <c r="F322"/>
  <c r="E323"/>
  <c r="F323"/>
  <c r="E324"/>
  <c r="F324"/>
  <c r="E325"/>
  <c r="F325"/>
  <c r="E326"/>
  <c r="C326" s="1"/>
  <c r="F326"/>
  <c r="E327"/>
  <c r="F327"/>
  <c r="E328"/>
  <c r="F328"/>
  <c r="E329"/>
  <c r="F329"/>
  <c r="E330"/>
  <c r="F330"/>
  <c r="E331"/>
  <c r="F331"/>
  <c r="E332"/>
  <c r="F332"/>
  <c r="E333"/>
  <c r="F333"/>
  <c r="E334"/>
  <c r="C334" s="1"/>
  <c r="F334"/>
  <c r="E335"/>
  <c r="F335"/>
  <c r="E336"/>
  <c r="F336"/>
  <c r="E337"/>
  <c r="F337"/>
  <c r="E338"/>
  <c r="F338"/>
  <c r="E339"/>
  <c r="F339"/>
  <c r="E340"/>
  <c r="F340"/>
  <c r="E341"/>
  <c r="F341"/>
  <c r="E342"/>
  <c r="F342"/>
  <c r="E343"/>
  <c r="F343"/>
  <c r="E344"/>
  <c r="F344"/>
  <c r="E345"/>
  <c r="F345"/>
  <c r="E346"/>
  <c r="F346"/>
  <c r="E347"/>
  <c r="F347"/>
  <c r="E348"/>
  <c r="F348"/>
  <c r="E349"/>
  <c r="F349"/>
  <c r="E350"/>
  <c r="F350"/>
  <c r="E351"/>
  <c r="F351"/>
  <c r="E352"/>
  <c r="F352"/>
  <c r="E353"/>
  <c r="F353"/>
  <c r="E354"/>
  <c r="F354"/>
  <c r="E355"/>
  <c r="F355"/>
  <c r="E356"/>
  <c r="F356"/>
  <c r="E357"/>
  <c r="F357"/>
  <c r="E358"/>
  <c r="F358"/>
  <c r="E359"/>
  <c r="F359"/>
  <c r="E360"/>
  <c r="F360"/>
  <c r="E361"/>
  <c r="F361"/>
  <c r="E362"/>
  <c r="F362"/>
  <c r="E363"/>
  <c r="F363"/>
  <c r="E364"/>
  <c r="F364"/>
  <c r="E365"/>
  <c r="F365"/>
  <c r="E366"/>
  <c r="F366"/>
  <c r="E367"/>
  <c r="F367"/>
  <c r="E368"/>
  <c r="F368"/>
  <c r="E369"/>
  <c r="F369"/>
  <c r="E370"/>
  <c r="F370"/>
  <c r="E371"/>
  <c r="F371"/>
  <c r="E372"/>
  <c r="F372"/>
  <c r="E373"/>
  <c r="F373"/>
  <c r="E374"/>
  <c r="F374"/>
  <c r="E375"/>
  <c r="F375"/>
  <c r="E376"/>
  <c r="F376"/>
  <c r="E377"/>
  <c r="F377"/>
  <c r="E378"/>
  <c r="F378"/>
  <c r="E379"/>
  <c r="F379"/>
  <c r="E380"/>
  <c r="F380"/>
  <c r="E381"/>
  <c r="F381"/>
  <c r="E382"/>
  <c r="F382"/>
  <c r="E383"/>
  <c r="F383"/>
  <c r="E384"/>
  <c r="F384"/>
  <c r="E385"/>
  <c r="F385"/>
  <c r="E386"/>
  <c r="F386"/>
  <c r="E387"/>
  <c r="F387"/>
  <c r="E388"/>
  <c r="F388"/>
  <c r="E389"/>
  <c r="F389"/>
  <c r="E390"/>
  <c r="F390"/>
  <c r="E391"/>
  <c r="F391"/>
  <c r="E392"/>
  <c r="F392"/>
  <c r="E393"/>
  <c r="F393"/>
  <c r="E394"/>
  <c r="F394"/>
  <c r="E395"/>
  <c r="F395"/>
  <c r="E396"/>
  <c r="F396"/>
  <c r="E397"/>
  <c r="F397"/>
  <c r="E398"/>
  <c r="F398"/>
  <c r="E399"/>
  <c r="F399"/>
  <c r="E400"/>
  <c r="F400"/>
  <c r="E401"/>
  <c r="F401"/>
  <c r="E402"/>
  <c r="F402"/>
  <c r="E403"/>
  <c r="F403"/>
  <c r="E404"/>
  <c r="F404"/>
  <c r="E405"/>
  <c r="F405"/>
  <c r="E406"/>
  <c r="C406" s="1"/>
  <c r="F406"/>
  <c r="E407"/>
  <c r="F407"/>
  <c r="E408"/>
  <c r="F408"/>
  <c r="E409"/>
  <c r="F409"/>
  <c r="E410"/>
  <c r="F410"/>
  <c r="E411"/>
  <c r="F411"/>
  <c r="E412"/>
  <c r="F412"/>
  <c r="E413"/>
  <c r="F413"/>
  <c r="E414"/>
  <c r="F414"/>
  <c r="E415"/>
  <c r="F415"/>
  <c r="E416"/>
  <c r="F416"/>
  <c r="E417"/>
  <c r="F417"/>
  <c r="E418"/>
  <c r="F418"/>
  <c r="E419"/>
  <c r="F419"/>
  <c r="E420"/>
  <c r="F420"/>
  <c r="E421"/>
  <c r="F421"/>
  <c r="E422"/>
  <c r="F422"/>
  <c r="E423"/>
  <c r="F423"/>
  <c r="E424"/>
  <c r="F424"/>
  <c r="E425"/>
  <c r="F425"/>
  <c r="E426"/>
  <c r="F426"/>
  <c r="E427"/>
  <c r="F427"/>
  <c r="E428"/>
  <c r="F428"/>
  <c r="E429"/>
  <c r="F429"/>
  <c r="E430"/>
  <c r="F430"/>
  <c r="E431"/>
  <c r="F431"/>
  <c r="E432"/>
  <c r="F432"/>
  <c r="E433"/>
  <c r="F433"/>
  <c r="E434"/>
  <c r="F434"/>
  <c r="E435"/>
  <c r="F435"/>
  <c r="E436"/>
  <c r="F436"/>
  <c r="E437"/>
  <c r="F437"/>
  <c r="E438"/>
  <c r="F438"/>
  <c r="E439"/>
  <c r="F439"/>
  <c r="E440"/>
  <c r="F440"/>
  <c r="E441"/>
  <c r="F441"/>
  <c r="E442"/>
  <c r="F442"/>
  <c r="E443"/>
  <c r="F443"/>
  <c r="E444"/>
  <c r="F444"/>
  <c r="E445"/>
  <c r="F445"/>
  <c r="E446"/>
  <c r="F446"/>
  <c r="E447"/>
  <c r="F447"/>
  <c r="E448"/>
  <c r="F448"/>
  <c r="E449"/>
  <c r="F449"/>
  <c r="E450"/>
  <c r="F450"/>
  <c r="E451"/>
  <c r="F451"/>
  <c r="E452"/>
  <c r="F452"/>
  <c r="E453"/>
  <c r="F453"/>
  <c r="E454"/>
  <c r="F454"/>
  <c r="E455"/>
  <c r="F455"/>
  <c r="E456"/>
  <c r="F456"/>
  <c r="E457"/>
  <c r="F457"/>
  <c r="E458"/>
  <c r="F458"/>
  <c r="E459"/>
  <c r="F459"/>
  <c r="E460"/>
  <c r="F460"/>
  <c r="E461"/>
  <c r="F461"/>
  <c r="E14" i="8"/>
  <c r="F14"/>
  <c r="E15"/>
  <c r="F15"/>
  <c r="E16"/>
  <c r="F16"/>
  <c r="E17"/>
  <c r="F17"/>
  <c r="E18"/>
  <c r="F18"/>
  <c r="E19"/>
  <c r="F19"/>
  <c r="E20"/>
  <c r="F20"/>
  <c r="E21"/>
  <c r="F21"/>
  <c r="E22"/>
  <c r="F22"/>
  <c r="E23"/>
  <c r="F23"/>
  <c r="E24"/>
  <c r="F24"/>
  <c r="E25"/>
  <c r="F25"/>
  <c r="E26"/>
  <c r="F26"/>
  <c r="E27"/>
  <c r="F27"/>
  <c r="E28"/>
  <c r="F28"/>
  <c r="E29"/>
  <c r="F29"/>
  <c r="E30"/>
  <c r="F30"/>
  <c r="E31"/>
  <c r="F31"/>
  <c r="E32"/>
  <c r="F32"/>
  <c r="E33"/>
  <c r="F33"/>
  <c r="E34"/>
  <c r="F34"/>
  <c r="E35"/>
  <c r="F35"/>
  <c r="E36"/>
  <c r="F36"/>
  <c r="E37"/>
  <c r="F37"/>
  <c r="E38"/>
  <c r="F38"/>
  <c r="E39"/>
  <c r="F39"/>
  <c r="E40"/>
  <c r="F40"/>
  <c r="E41"/>
  <c r="F41"/>
  <c r="E42"/>
  <c r="F42"/>
  <c r="E43"/>
  <c r="F43"/>
  <c r="E44"/>
  <c r="F44"/>
  <c r="E45"/>
  <c r="F45"/>
  <c r="E46"/>
  <c r="F46"/>
  <c r="E47"/>
  <c r="F47"/>
  <c r="E48"/>
  <c r="F48"/>
  <c r="E49"/>
  <c r="F49"/>
  <c r="E50"/>
  <c r="F50"/>
  <c r="E51"/>
  <c r="F51"/>
  <c r="E52"/>
  <c r="F52"/>
  <c r="E53"/>
  <c r="F53"/>
  <c r="E54"/>
  <c r="F54"/>
  <c r="E55"/>
  <c r="F55"/>
  <c r="E56"/>
  <c r="F56"/>
  <c r="E57"/>
  <c r="F57"/>
  <c r="E58"/>
  <c r="F58"/>
  <c r="E59"/>
  <c r="F59"/>
  <c r="E60"/>
  <c r="F60"/>
  <c r="E61"/>
  <c r="F61"/>
  <c r="E62"/>
  <c r="F62"/>
  <c r="E63"/>
  <c r="F63"/>
  <c r="E64"/>
  <c r="F64"/>
  <c r="E65"/>
  <c r="F65"/>
  <c r="E66"/>
  <c r="F66"/>
  <c r="E67"/>
  <c r="F67"/>
  <c r="E68"/>
  <c r="F68"/>
  <c r="E69"/>
  <c r="F69"/>
  <c r="E70"/>
  <c r="F70"/>
  <c r="E71"/>
  <c r="F71"/>
  <c r="E72"/>
  <c r="F72"/>
  <c r="E73"/>
  <c r="F73"/>
  <c r="E74"/>
  <c r="F74"/>
  <c r="E75"/>
  <c r="F75"/>
  <c r="E76"/>
  <c r="F76"/>
  <c r="E77"/>
  <c r="F77"/>
  <c r="E78"/>
  <c r="F78"/>
  <c r="E79"/>
  <c r="F79"/>
  <c r="E80"/>
  <c r="F80"/>
  <c r="E81"/>
  <c r="F81"/>
  <c r="E82"/>
  <c r="F82"/>
  <c r="E83"/>
  <c r="F83"/>
  <c r="E84"/>
  <c r="F84"/>
  <c r="E85"/>
  <c r="F85"/>
  <c r="E86"/>
  <c r="F86"/>
  <c r="E87"/>
  <c r="F87"/>
  <c r="E88"/>
  <c r="F88"/>
  <c r="E89"/>
  <c r="F89"/>
  <c r="E90"/>
  <c r="F90"/>
  <c r="E91"/>
  <c r="F91"/>
  <c r="E92"/>
  <c r="F92"/>
  <c r="E93"/>
  <c r="F93"/>
  <c r="E94"/>
  <c r="F94"/>
  <c r="E95"/>
  <c r="F95"/>
  <c r="E96"/>
  <c r="F96"/>
  <c r="E97"/>
  <c r="F97"/>
  <c r="E98"/>
  <c r="F98"/>
  <c r="E99"/>
  <c r="F99"/>
  <c r="E100"/>
  <c r="F100"/>
  <c r="E101"/>
  <c r="F101"/>
  <c r="E102"/>
  <c r="F102"/>
  <c r="E103"/>
  <c r="F103"/>
  <c r="E104"/>
  <c r="F104"/>
  <c r="E105"/>
  <c r="F105"/>
  <c r="E106"/>
  <c r="F106"/>
  <c r="E107"/>
  <c r="F107"/>
  <c r="E108"/>
  <c r="F108"/>
  <c r="E109"/>
  <c r="F109"/>
  <c r="E110"/>
  <c r="F110"/>
  <c r="E111"/>
  <c r="F111"/>
  <c r="E112"/>
  <c r="F112"/>
  <c r="E113"/>
  <c r="F113"/>
  <c r="E114"/>
  <c r="F114"/>
  <c r="E115"/>
  <c r="F115"/>
  <c r="E116"/>
  <c r="F116"/>
  <c r="E117"/>
  <c r="F117"/>
  <c r="E118"/>
  <c r="F118"/>
  <c r="E119"/>
  <c r="F119"/>
  <c r="E120"/>
  <c r="F120"/>
  <c r="E121"/>
  <c r="F121"/>
  <c r="E122"/>
  <c r="F122"/>
  <c r="E123"/>
  <c r="F123"/>
  <c r="E124"/>
  <c r="F124"/>
  <c r="E125"/>
  <c r="F125"/>
  <c r="E126"/>
  <c r="F126"/>
  <c r="E127"/>
  <c r="F127"/>
  <c r="E128"/>
  <c r="F128"/>
  <c r="E129"/>
  <c r="F129"/>
  <c r="E130"/>
  <c r="F130"/>
  <c r="E131"/>
  <c r="F131"/>
  <c r="E132"/>
  <c r="F132"/>
  <c r="E133"/>
  <c r="F133"/>
  <c r="E134"/>
  <c r="F134"/>
  <c r="E135"/>
  <c r="F135"/>
  <c r="E136"/>
  <c r="F136"/>
  <c r="E137"/>
  <c r="F137"/>
  <c r="E138"/>
  <c r="F138"/>
  <c r="E139"/>
  <c r="F139"/>
  <c r="E140"/>
  <c r="F140"/>
  <c r="E141"/>
  <c r="F141"/>
  <c r="E142"/>
  <c r="F142"/>
  <c r="E143"/>
  <c r="F143"/>
  <c r="E144"/>
  <c r="F144"/>
  <c r="E145"/>
  <c r="F145"/>
  <c r="E146"/>
  <c r="F146"/>
  <c r="E147"/>
  <c r="F147"/>
  <c r="E148"/>
  <c r="F148"/>
  <c r="E149"/>
  <c r="F149"/>
  <c r="E150"/>
  <c r="F150"/>
  <c r="E151"/>
  <c r="F151"/>
  <c r="E152"/>
  <c r="F152"/>
  <c r="E153"/>
  <c r="F153"/>
  <c r="E154"/>
  <c r="F154"/>
  <c r="E155"/>
  <c r="F155"/>
  <c r="E156"/>
  <c r="F156"/>
  <c r="E157"/>
  <c r="F157"/>
  <c r="E158"/>
  <c r="F158"/>
  <c r="E159"/>
  <c r="F159"/>
  <c r="E160"/>
  <c r="F160"/>
  <c r="E161"/>
  <c r="F161"/>
  <c r="E162"/>
  <c r="F162"/>
  <c r="E163"/>
  <c r="F163"/>
  <c r="E164"/>
  <c r="F164"/>
  <c r="E165"/>
  <c r="F165"/>
  <c r="E166"/>
  <c r="F166"/>
  <c r="E167"/>
  <c r="F167"/>
  <c r="E168"/>
  <c r="F168"/>
  <c r="E169"/>
  <c r="F169"/>
  <c r="E170"/>
  <c r="F170"/>
  <c r="E171"/>
  <c r="F171"/>
  <c r="E172"/>
  <c r="F172"/>
  <c r="E173"/>
  <c r="F173"/>
  <c r="E174"/>
  <c r="F174"/>
  <c r="E175"/>
  <c r="F175"/>
  <c r="E176"/>
  <c r="F176"/>
  <c r="E177"/>
  <c r="F177"/>
  <c r="E178"/>
  <c r="F178"/>
  <c r="E179"/>
  <c r="F179"/>
  <c r="E180"/>
  <c r="F180"/>
  <c r="E181"/>
  <c r="F181"/>
  <c r="E182"/>
  <c r="F182"/>
  <c r="E183"/>
  <c r="F183"/>
  <c r="E184"/>
  <c r="F184"/>
  <c r="E185"/>
  <c r="F185"/>
  <c r="E186"/>
  <c r="F186"/>
  <c r="E187"/>
  <c r="F187"/>
  <c r="E188"/>
  <c r="F188"/>
  <c r="E189"/>
  <c r="F189"/>
  <c r="E190"/>
  <c r="F190"/>
  <c r="E191"/>
  <c r="F191"/>
  <c r="E192"/>
  <c r="F192"/>
  <c r="E193"/>
  <c r="F193"/>
  <c r="E194"/>
  <c r="F194"/>
  <c r="E195"/>
  <c r="F195"/>
  <c r="E196"/>
  <c r="F196"/>
  <c r="E197"/>
  <c r="F197"/>
  <c r="E198"/>
  <c r="F198"/>
  <c r="E199"/>
  <c r="F199"/>
  <c r="E200"/>
  <c r="F200"/>
  <c r="E201"/>
  <c r="F201"/>
  <c r="E202"/>
  <c r="F202"/>
  <c r="E203"/>
  <c r="F203"/>
  <c r="E204"/>
  <c r="F204"/>
  <c r="E205"/>
  <c r="F205"/>
  <c r="E206"/>
  <c r="F206"/>
  <c r="E207"/>
  <c r="F207"/>
  <c r="E208"/>
  <c r="F208"/>
  <c r="E209"/>
  <c r="F209"/>
  <c r="E210"/>
  <c r="F210"/>
  <c r="E211"/>
  <c r="F211"/>
  <c r="E212"/>
  <c r="F212"/>
  <c r="E213"/>
  <c r="F213"/>
  <c r="E214"/>
  <c r="F214"/>
  <c r="E215"/>
  <c r="F215"/>
  <c r="E216"/>
  <c r="F216"/>
  <c r="E217"/>
  <c r="F217"/>
  <c r="E218"/>
  <c r="F218"/>
  <c r="E219"/>
  <c r="F219"/>
  <c r="E220"/>
  <c r="F220"/>
  <c r="E221"/>
  <c r="F221"/>
  <c r="E222"/>
  <c r="F222"/>
  <c r="E223"/>
  <c r="F223"/>
  <c r="E224"/>
  <c r="F224"/>
  <c r="E225"/>
  <c r="F225"/>
  <c r="E226"/>
  <c r="F226"/>
  <c r="E227"/>
  <c r="F227"/>
  <c r="E228"/>
  <c r="F228"/>
  <c r="E229"/>
  <c r="F229"/>
  <c r="E230"/>
  <c r="F230"/>
  <c r="E231"/>
  <c r="F231"/>
  <c r="E232"/>
  <c r="F232"/>
  <c r="E233"/>
  <c r="F233"/>
  <c r="E234"/>
  <c r="F234"/>
  <c r="E235"/>
  <c r="F235"/>
  <c r="E236"/>
  <c r="F236"/>
  <c r="E237"/>
  <c r="F237"/>
  <c r="E238"/>
  <c r="F238"/>
  <c r="E239"/>
  <c r="F239"/>
  <c r="E240"/>
  <c r="F240"/>
  <c r="E241"/>
  <c r="F241"/>
  <c r="E242"/>
  <c r="F242"/>
  <c r="E243"/>
  <c r="F243"/>
  <c r="E244"/>
  <c r="F244"/>
  <c r="E245"/>
  <c r="F245"/>
  <c r="E246"/>
  <c r="F246"/>
  <c r="E247"/>
  <c r="F247"/>
  <c r="E248"/>
  <c r="F248"/>
  <c r="E249"/>
  <c r="F249"/>
  <c r="E250"/>
  <c r="F250"/>
  <c r="E251"/>
  <c r="F251"/>
  <c r="E252"/>
  <c r="F252"/>
  <c r="E253"/>
  <c r="F253"/>
  <c r="E254"/>
  <c r="F254"/>
  <c r="E255"/>
  <c r="F255"/>
  <c r="E256"/>
  <c r="F256"/>
  <c r="E257"/>
  <c r="F257"/>
  <c r="E258"/>
  <c r="F258"/>
  <c r="E259"/>
  <c r="F259"/>
  <c r="E260"/>
  <c r="F260"/>
  <c r="E261"/>
  <c r="F261"/>
  <c r="E262"/>
  <c r="F262"/>
  <c r="E263"/>
  <c r="F263"/>
  <c r="E264"/>
  <c r="F264"/>
  <c r="E265"/>
  <c r="F265"/>
  <c r="E266"/>
  <c r="F266"/>
  <c r="E267"/>
  <c r="F267"/>
  <c r="E268"/>
  <c r="F268"/>
  <c r="E269"/>
  <c r="F269"/>
  <c r="E270"/>
  <c r="F270"/>
  <c r="E271"/>
  <c r="F271"/>
  <c r="E272"/>
  <c r="F272"/>
  <c r="E273"/>
  <c r="F273"/>
  <c r="E274"/>
  <c r="F274"/>
  <c r="E275"/>
  <c r="F275"/>
  <c r="E276"/>
  <c r="F276"/>
  <c r="E277"/>
  <c r="F277"/>
  <c r="E278"/>
  <c r="F278"/>
  <c r="E279"/>
  <c r="F279"/>
  <c r="E280"/>
  <c r="F280"/>
  <c r="E281"/>
  <c r="F281"/>
  <c r="E282"/>
  <c r="F282"/>
  <c r="E283"/>
  <c r="F283"/>
  <c r="E284"/>
  <c r="F284"/>
  <c r="E285"/>
  <c r="F285"/>
  <c r="E286"/>
  <c r="F286"/>
  <c r="E287"/>
  <c r="F287"/>
  <c r="E288"/>
  <c r="F288"/>
  <c r="E289"/>
  <c r="F289"/>
  <c r="E290"/>
  <c r="F290"/>
  <c r="E291"/>
  <c r="F291"/>
  <c r="E292"/>
  <c r="F292"/>
  <c r="E293"/>
  <c r="F293"/>
  <c r="E294"/>
  <c r="F294"/>
  <c r="E295"/>
  <c r="F295"/>
  <c r="E296"/>
  <c r="F296"/>
  <c r="E297"/>
  <c r="F297"/>
  <c r="E298"/>
  <c r="F298"/>
  <c r="E299"/>
  <c r="F299"/>
  <c r="E300"/>
  <c r="F300"/>
  <c r="E301"/>
  <c r="F301"/>
  <c r="E302"/>
  <c r="F302"/>
  <c r="E303"/>
  <c r="F303"/>
  <c r="E304"/>
  <c r="F304"/>
  <c r="E305"/>
  <c r="F305"/>
  <c r="E306"/>
  <c r="F306"/>
  <c r="E307"/>
  <c r="F307"/>
  <c r="E308"/>
  <c r="F308"/>
  <c r="E309"/>
  <c r="F309"/>
  <c r="E310"/>
  <c r="F310"/>
  <c r="E311"/>
  <c r="F311"/>
  <c r="E312"/>
  <c r="F312"/>
  <c r="E313"/>
  <c r="F313"/>
  <c r="E314"/>
  <c r="F314"/>
  <c r="E315"/>
  <c r="F315"/>
  <c r="E316"/>
  <c r="F316"/>
  <c r="E317"/>
  <c r="F317"/>
  <c r="E318"/>
  <c r="F318"/>
  <c r="E319"/>
  <c r="F319"/>
  <c r="E320"/>
  <c r="F320"/>
  <c r="E321"/>
  <c r="F321"/>
  <c r="E322"/>
  <c r="F322"/>
  <c r="E323"/>
  <c r="F323"/>
  <c r="E324"/>
  <c r="F324"/>
  <c r="E325"/>
  <c r="F325"/>
  <c r="E326"/>
  <c r="F326"/>
  <c r="E327"/>
  <c r="F327"/>
  <c r="E328"/>
  <c r="F328"/>
  <c r="E329"/>
  <c r="F329"/>
  <c r="E330"/>
  <c r="F330"/>
  <c r="E331"/>
  <c r="F331"/>
  <c r="E332"/>
  <c r="F332"/>
  <c r="E333"/>
  <c r="F333"/>
  <c r="E334"/>
  <c r="F334"/>
  <c r="E335"/>
  <c r="F335"/>
  <c r="E336"/>
  <c r="F336"/>
  <c r="E337"/>
  <c r="F337"/>
  <c r="E338"/>
  <c r="F338"/>
  <c r="E339"/>
  <c r="F339"/>
  <c r="E340"/>
  <c r="F340"/>
  <c r="E341"/>
  <c r="F341"/>
  <c r="E342"/>
  <c r="F342"/>
  <c r="E343"/>
  <c r="F343"/>
  <c r="E344"/>
  <c r="F344"/>
  <c r="E345"/>
  <c r="F345"/>
  <c r="E346"/>
  <c r="F346"/>
  <c r="E347"/>
  <c r="F347"/>
  <c r="E348"/>
  <c r="F348"/>
  <c r="E349"/>
  <c r="F349"/>
  <c r="E350"/>
  <c r="F350"/>
  <c r="E351"/>
  <c r="F351"/>
  <c r="E352"/>
  <c r="F352"/>
  <c r="E353"/>
  <c r="F353"/>
  <c r="E354"/>
  <c r="F354"/>
  <c r="E355"/>
  <c r="F355"/>
  <c r="E356"/>
  <c r="F356"/>
  <c r="E357"/>
  <c r="F357"/>
  <c r="E358"/>
  <c r="F358"/>
  <c r="E359"/>
  <c r="F359"/>
  <c r="E360"/>
  <c r="F360"/>
  <c r="E361"/>
  <c r="F361"/>
  <c r="E362"/>
  <c r="F362"/>
  <c r="E363"/>
  <c r="F363"/>
  <c r="E364"/>
  <c r="F364"/>
  <c r="E365"/>
  <c r="F365"/>
  <c r="E366"/>
  <c r="F366"/>
  <c r="E367"/>
  <c r="F367"/>
  <c r="E368"/>
  <c r="F368"/>
  <c r="E369"/>
  <c r="F369"/>
  <c r="E370"/>
  <c r="F370"/>
  <c r="E371"/>
  <c r="F371"/>
  <c r="E372"/>
  <c r="F372"/>
  <c r="E373"/>
  <c r="F373"/>
  <c r="E374"/>
  <c r="F374"/>
  <c r="E375"/>
  <c r="F375"/>
  <c r="E376"/>
  <c r="F376"/>
  <c r="E377"/>
  <c r="F377"/>
  <c r="E378"/>
  <c r="F378"/>
  <c r="E379"/>
  <c r="F379"/>
  <c r="E380"/>
  <c r="F380"/>
  <c r="E381"/>
  <c r="F381"/>
  <c r="E382"/>
  <c r="F382"/>
  <c r="E383"/>
  <c r="F383"/>
  <c r="E384"/>
  <c r="F384"/>
  <c r="E385"/>
  <c r="F385"/>
  <c r="E386"/>
  <c r="F386"/>
  <c r="E387"/>
  <c r="F387"/>
  <c r="E388"/>
  <c r="F388"/>
  <c r="E389"/>
  <c r="F389"/>
  <c r="E390"/>
  <c r="F390"/>
  <c r="E391"/>
  <c r="F391"/>
  <c r="E392"/>
  <c r="F392"/>
  <c r="E393"/>
  <c r="F393"/>
  <c r="E394"/>
  <c r="F394"/>
  <c r="E395"/>
  <c r="F395"/>
  <c r="E396"/>
  <c r="F396"/>
  <c r="E397"/>
  <c r="F397"/>
  <c r="E398"/>
  <c r="F398"/>
  <c r="E399"/>
  <c r="F399"/>
  <c r="E400"/>
  <c r="F400"/>
  <c r="E401"/>
  <c r="F401"/>
  <c r="E402"/>
  <c r="F402"/>
  <c r="E403"/>
  <c r="F403"/>
  <c r="E404"/>
  <c r="F404"/>
  <c r="E405"/>
  <c r="F405"/>
  <c r="E406"/>
  <c r="F406"/>
  <c r="E407"/>
  <c r="F407"/>
  <c r="E408"/>
  <c r="F408"/>
  <c r="E409"/>
  <c r="F409"/>
  <c r="E410"/>
  <c r="F410"/>
  <c r="E411"/>
  <c r="F411"/>
  <c r="E412"/>
  <c r="F412"/>
  <c r="E413"/>
  <c r="F413"/>
  <c r="E414"/>
  <c r="F414"/>
  <c r="E415"/>
  <c r="F415"/>
  <c r="E416"/>
  <c r="F416"/>
  <c r="E417"/>
  <c r="F417"/>
  <c r="E418"/>
  <c r="F418"/>
  <c r="E419"/>
  <c r="F419"/>
  <c r="E420"/>
  <c r="F420"/>
  <c r="E421"/>
  <c r="F421"/>
  <c r="E422"/>
  <c r="F422"/>
  <c r="E423"/>
  <c r="F423"/>
  <c r="E424"/>
  <c r="F424"/>
  <c r="E425"/>
  <c r="F425"/>
  <c r="E426"/>
  <c r="C426" s="1"/>
  <c r="F426"/>
  <c r="E427"/>
  <c r="F427"/>
  <c r="E428"/>
  <c r="C428" s="1"/>
  <c r="F428"/>
  <c r="E429"/>
  <c r="F429"/>
  <c r="E430"/>
  <c r="F430"/>
  <c r="E431"/>
  <c r="F431"/>
  <c r="E432"/>
  <c r="F432"/>
  <c r="E433"/>
  <c r="F433"/>
  <c r="E434"/>
  <c r="F434"/>
  <c r="E435"/>
  <c r="F435"/>
  <c r="E436"/>
  <c r="F436"/>
  <c r="E437"/>
  <c r="F437"/>
  <c r="E438"/>
  <c r="F438"/>
  <c r="E439"/>
  <c r="F439"/>
  <c r="E440"/>
  <c r="F440"/>
  <c r="E441"/>
  <c r="F441"/>
  <c r="E442"/>
  <c r="F442"/>
  <c r="E443"/>
  <c r="F443"/>
  <c r="E444"/>
  <c r="F444"/>
  <c r="E445"/>
  <c r="F445"/>
  <c r="E446"/>
  <c r="C446" s="1"/>
  <c r="F446"/>
  <c r="E447"/>
  <c r="F447"/>
  <c r="E448"/>
  <c r="F448"/>
  <c r="E449"/>
  <c r="F449"/>
  <c r="E450"/>
  <c r="C450" s="1"/>
  <c r="F450"/>
  <c r="E451"/>
  <c r="F451"/>
  <c r="E452"/>
  <c r="F452"/>
  <c r="E453"/>
  <c r="F453"/>
  <c r="E454"/>
  <c r="F454"/>
  <c r="E455"/>
  <c r="F455"/>
  <c r="E456"/>
  <c r="F456"/>
  <c r="E457"/>
  <c r="F457"/>
  <c r="E458"/>
  <c r="F458"/>
  <c r="E459"/>
  <c r="F459"/>
  <c r="E460"/>
  <c r="F460"/>
  <c r="E461"/>
  <c r="F461"/>
  <c r="E14" i="9"/>
  <c r="F14"/>
  <c r="E15"/>
  <c r="F15"/>
  <c r="E16"/>
  <c r="F16"/>
  <c r="E17"/>
  <c r="F17"/>
  <c r="E18"/>
  <c r="F18"/>
  <c r="E19"/>
  <c r="F19"/>
  <c r="E20"/>
  <c r="F20"/>
  <c r="E21"/>
  <c r="F21"/>
  <c r="E22"/>
  <c r="F22"/>
  <c r="E23"/>
  <c r="F23"/>
  <c r="E24"/>
  <c r="F24"/>
  <c r="E25"/>
  <c r="F25"/>
  <c r="E26"/>
  <c r="F26"/>
  <c r="E27"/>
  <c r="F27"/>
  <c r="E28"/>
  <c r="F28"/>
  <c r="E29"/>
  <c r="F29"/>
  <c r="E30"/>
  <c r="F30"/>
  <c r="E31"/>
  <c r="F31"/>
  <c r="E32"/>
  <c r="F32"/>
  <c r="E33"/>
  <c r="F33"/>
  <c r="E34"/>
  <c r="F34"/>
  <c r="E35"/>
  <c r="F35"/>
  <c r="E36"/>
  <c r="F36"/>
  <c r="E37"/>
  <c r="F37"/>
  <c r="E38"/>
  <c r="F38"/>
  <c r="E39"/>
  <c r="F39"/>
  <c r="E40"/>
  <c r="F40"/>
  <c r="E41"/>
  <c r="F41"/>
  <c r="E42"/>
  <c r="F42"/>
  <c r="E43"/>
  <c r="F43"/>
  <c r="E44"/>
  <c r="F44"/>
  <c r="E45"/>
  <c r="F45"/>
  <c r="E46"/>
  <c r="F46"/>
  <c r="E47"/>
  <c r="F47"/>
  <c r="E48"/>
  <c r="F48"/>
  <c r="E49"/>
  <c r="F49"/>
  <c r="E50"/>
  <c r="F50"/>
  <c r="E51"/>
  <c r="F51"/>
  <c r="E52"/>
  <c r="F52"/>
  <c r="E53"/>
  <c r="F53"/>
  <c r="E54"/>
  <c r="F54"/>
  <c r="E55"/>
  <c r="F55"/>
  <c r="E56"/>
  <c r="F56"/>
  <c r="E57"/>
  <c r="F57"/>
  <c r="E58"/>
  <c r="F58"/>
  <c r="E59"/>
  <c r="F59"/>
  <c r="E60"/>
  <c r="F60"/>
  <c r="E61"/>
  <c r="F61"/>
  <c r="E62"/>
  <c r="F62"/>
  <c r="E63"/>
  <c r="F63"/>
  <c r="E64"/>
  <c r="F64"/>
  <c r="E65"/>
  <c r="F65"/>
  <c r="E66"/>
  <c r="F66"/>
  <c r="E67"/>
  <c r="F67"/>
  <c r="E68"/>
  <c r="F68"/>
  <c r="E69"/>
  <c r="F69"/>
  <c r="E70"/>
  <c r="F70"/>
  <c r="E71"/>
  <c r="F71"/>
  <c r="E72"/>
  <c r="F72"/>
  <c r="E73"/>
  <c r="F73"/>
  <c r="E74"/>
  <c r="F74"/>
  <c r="E75"/>
  <c r="F75"/>
  <c r="E76"/>
  <c r="F76"/>
  <c r="E77"/>
  <c r="F77"/>
  <c r="E78"/>
  <c r="F78"/>
  <c r="E79"/>
  <c r="F79"/>
  <c r="E80"/>
  <c r="F80"/>
  <c r="E81"/>
  <c r="F81"/>
  <c r="E82"/>
  <c r="F82"/>
  <c r="E83"/>
  <c r="F83"/>
  <c r="E84"/>
  <c r="F84"/>
  <c r="E85"/>
  <c r="F85"/>
  <c r="E86"/>
  <c r="F86"/>
  <c r="E87"/>
  <c r="F87"/>
  <c r="E88"/>
  <c r="F88"/>
  <c r="E89"/>
  <c r="F89"/>
  <c r="E90"/>
  <c r="F90"/>
  <c r="E91"/>
  <c r="F91"/>
  <c r="E92"/>
  <c r="F92"/>
  <c r="E93"/>
  <c r="F93"/>
  <c r="E94"/>
  <c r="F94"/>
  <c r="E95"/>
  <c r="F95"/>
  <c r="E96"/>
  <c r="F96"/>
  <c r="E97"/>
  <c r="F97"/>
  <c r="E98"/>
  <c r="F98"/>
  <c r="E99"/>
  <c r="F99"/>
  <c r="E100"/>
  <c r="F100"/>
  <c r="E101"/>
  <c r="F101"/>
  <c r="E102"/>
  <c r="F102"/>
  <c r="E103"/>
  <c r="F103"/>
  <c r="E104"/>
  <c r="F104"/>
  <c r="E105"/>
  <c r="F105"/>
  <c r="E106"/>
  <c r="F106"/>
  <c r="E107"/>
  <c r="F107"/>
  <c r="E108"/>
  <c r="F108"/>
  <c r="E109"/>
  <c r="F109"/>
  <c r="E110"/>
  <c r="F110"/>
  <c r="E111"/>
  <c r="F111"/>
  <c r="E112"/>
  <c r="F112"/>
  <c r="E113"/>
  <c r="F113"/>
  <c r="E114"/>
  <c r="F114"/>
  <c r="E115"/>
  <c r="F115"/>
  <c r="E116"/>
  <c r="F116"/>
  <c r="E117"/>
  <c r="F117"/>
  <c r="E118"/>
  <c r="F118"/>
  <c r="E119"/>
  <c r="F119"/>
  <c r="E120"/>
  <c r="F120"/>
  <c r="E121"/>
  <c r="F121"/>
  <c r="E122"/>
  <c r="F122"/>
  <c r="E123"/>
  <c r="F123"/>
  <c r="E124"/>
  <c r="F124"/>
  <c r="E125"/>
  <c r="F125"/>
  <c r="E126"/>
  <c r="F126"/>
  <c r="E127"/>
  <c r="F127"/>
  <c r="E128"/>
  <c r="F128"/>
  <c r="E129"/>
  <c r="F129"/>
  <c r="E130"/>
  <c r="F130"/>
  <c r="E131"/>
  <c r="F131"/>
  <c r="E132"/>
  <c r="F132"/>
  <c r="E133"/>
  <c r="F133"/>
  <c r="E134"/>
  <c r="F134"/>
  <c r="E135"/>
  <c r="F135"/>
  <c r="E136"/>
  <c r="F136"/>
  <c r="E137"/>
  <c r="F137"/>
  <c r="E138"/>
  <c r="F138"/>
  <c r="E139"/>
  <c r="F139"/>
  <c r="E140"/>
  <c r="F140"/>
  <c r="E141"/>
  <c r="F141"/>
  <c r="E142"/>
  <c r="F142"/>
  <c r="E143"/>
  <c r="F143"/>
  <c r="E144"/>
  <c r="F144"/>
  <c r="E145"/>
  <c r="F145"/>
  <c r="E146"/>
  <c r="F146"/>
  <c r="E147"/>
  <c r="F147"/>
  <c r="E148"/>
  <c r="F148"/>
  <c r="E149"/>
  <c r="F149"/>
  <c r="E150"/>
  <c r="F150"/>
  <c r="E151"/>
  <c r="F151"/>
  <c r="E152"/>
  <c r="F152"/>
  <c r="E153"/>
  <c r="F153"/>
  <c r="E154"/>
  <c r="F154"/>
  <c r="E155"/>
  <c r="F155"/>
  <c r="E156"/>
  <c r="F156"/>
  <c r="E157"/>
  <c r="F157"/>
  <c r="E158"/>
  <c r="F158"/>
  <c r="E159"/>
  <c r="F159"/>
  <c r="E160"/>
  <c r="F160"/>
  <c r="E161"/>
  <c r="F161"/>
  <c r="E162"/>
  <c r="F162"/>
  <c r="E163"/>
  <c r="F163"/>
  <c r="E164"/>
  <c r="F164"/>
  <c r="E165"/>
  <c r="F165"/>
  <c r="E166"/>
  <c r="F166"/>
  <c r="E167"/>
  <c r="F167"/>
  <c r="E168"/>
  <c r="F168"/>
  <c r="E169"/>
  <c r="F169"/>
  <c r="E170"/>
  <c r="F170"/>
  <c r="E171"/>
  <c r="F171"/>
  <c r="E172"/>
  <c r="F172"/>
  <c r="E173"/>
  <c r="F173"/>
  <c r="E174"/>
  <c r="F174"/>
  <c r="E175"/>
  <c r="F175"/>
  <c r="E176"/>
  <c r="F176"/>
  <c r="E177"/>
  <c r="F177"/>
  <c r="E178"/>
  <c r="F178"/>
  <c r="E179"/>
  <c r="F179"/>
  <c r="E180"/>
  <c r="F180"/>
  <c r="E181"/>
  <c r="F181"/>
  <c r="E182"/>
  <c r="F182"/>
  <c r="E183"/>
  <c r="F183"/>
  <c r="E184"/>
  <c r="F184"/>
  <c r="E185"/>
  <c r="F185"/>
  <c r="E186"/>
  <c r="F186"/>
  <c r="E187"/>
  <c r="F187"/>
  <c r="E188"/>
  <c r="F188"/>
  <c r="E189"/>
  <c r="F189"/>
  <c r="E190"/>
  <c r="F190"/>
  <c r="E191"/>
  <c r="F191"/>
  <c r="E192"/>
  <c r="F192"/>
  <c r="E193"/>
  <c r="F193"/>
  <c r="E194"/>
  <c r="F194"/>
  <c r="E195"/>
  <c r="F195"/>
  <c r="E196"/>
  <c r="F196"/>
  <c r="E197"/>
  <c r="F197"/>
  <c r="E198"/>
  <c r="F198"/>
  <c r="E199"/>
  <c r="F199"/>
  <c r="E200"/>
  <c r="F200"/>
  <c r="E201"/>
  <c r="F201"/>
  <c r="E202"/>
  <c r="F202"/>
  <c r="E203"/>
  <c r="F203"/>
  <c r="E204"/>
  <c r="F204"/>
  <c r="E205"/>
  <c r="F205"/>
  <c r="E206"/>
  <c r="F206"/>
  <c r="E207"/>
  <c r="F207"/>
  <c r="E208"/>
  <c r="F208"/>
  <c r="E209"/>
  <c r="F209"/>
  <c r="E210"/>
  <c r="F210"/>
  <c r="E211"/>
  <c r="F211"/>
  <c r="E212"/>
  <c r="F212"/>
  <c r="E213"/>
  <c r="F213"/>
  <c r="E214"/>
  <c r="F214"/>
  <c r="E215"/>
  <c r="F215"/>
  <c r="E216"/>
  <c r="F216"/>
  <c r="E217"/>
  <c r="F217"/>
  <c r="E218"/>
  <c r="F218"/>
  <c r="E219"/>
  <c r="F219"/>
  <c r="E220"/>
  <c r="F220"/>
  <c r="E221"/>
  <c r="F221"/>
  <c r="E222"/>
  <c r="F222"/>
  <c r="E223"/>
  <c r="F223"/>
  <c r="E224"/>
  <c r="F224"/>
  <c r="E225"/>
  <c r="F225"/>
  <c r="E226"/>
  <c r="F226"/>
  <c r="E227"/>
  <c r="F227"/>
  <c r="E228"/>
  <c r="F228"/>
  <c r="E229"/>
  <c r="F229"/>
  <c r="E230"/>
  <c r="F230"/>
  <c r="E231"/>
  <c r="F231"/>
  <c r="E232"/>
  <c r="F232"/>
  <c r="E233"/>
  <c r="F233"/>
  <c r="E234"/>
  <c r="F234"/>
  <c r="E235"/>
  <c r="F235"/>
  <c r="E236"/>
  <c r="F236"/>
  <c r="E237"/>
  <c r="F237"/>
  <c r="E238"/>
  <c r="F238"/>
  <c r="E239"/>
  <c r="F239"/>
  <c r="E240"/>
  <c r="F240"/>
  <c r="E241"/>
  <c r="F241"/>
  <c r="E242"/>
  <c r="F242"/>
  <c r="E243"/>
  <c r="F243"/>
  <c r="E244"/>
  <c r="F244"/>
  <c r="E245"/>
  <c r="F245"/>
  <c r="E246"/>
  <c r="F246"/>
  <c r="E247"/>
  <c r="F247"/>
  <c r="E248"/>
  <c r="F248"/>
  <c r="E249"/>
  <c r="F249"/>
  <c r="E250"/>
  <c r="F250"/>
  <c r="E251"/>
  <c r="F251"/>
  <c r="E252"/>
  <c r="F252"/>
  <c r="E253"/>
  <c r="F253"/>
  <c r="E254"/>
  <c r="F254"/>
  <c r="E255"/>
  <c r="F255"/>
  <c r="E256"/>
  <c r="F256"/>
  <c r="E257"/>
  <c r="F257"/>
  <c r="E258"/>
  <c r="F258"/>
  <c r="E259"/>
  <c r="F259"/>
  <c r="E260"/>
  <c r="F260"/>
  <c r="E261"/>
  <c r="F261"/>
  <c r="E262"/>
  <c r="F262"/>
  <c r="E263"/>
  <c r="F263"/>
  <c r="E264"/>
  <c r="F264"/>
  <c r="E265"/>
  <c r="F265"/>
  <c r="E266"/>
  <c r="F266"/>
  <c r="E267"/>
  <c r="F267"/>
  <c r="E268"/>
  <c r="F268"/>
  <c r="E269"/>
  <c r="F269"/>
  <c r="E270"/>
  <c r="F270"/>
  <c r="E271"/>
  <c r="F271"/>
  <c r="E272"/>
  <c r="F272"/>
  <c r="E273"/>
  <c r="F273"/>
  <c r="E274"/>
  <c r="F274"/>
  <c r="E275"/>
  <c r="F275"/>
  <c r="E276"/>
  <c r="F276"/>
  <c r="E277"/>
  <c r="F277"/>
  <c r="E278"/>
  <c r="F278"/>
  <c r="E279"/>
  <c r="F279"/>
  <c r="E280"/>
  <c r="F280"/>
  <c r="E281"/>
  <c r="F281"/>
  <c r="E282"/>
  <c r="F282"/>
  <c r="E283"/>
  <c r="F283"/>
  <c r="E284"/>
  <c r="F284"/>
  <c r="E285"/>
  <c r="F285"/>
  <c r="E286"/>
  <c r="F286"/>
  <c r="E287"/>
  <c r="F287"/>
  <c r="E288"/>
  <c r="F288"/>
  <c r="E289"/>
  <c r="F289"/>
  <c r="E290"/>
  <c r="F290"/>
  <c r="E291"/>
  <c r="F291"/>
  <c r="E292"/>
  <c r="F292"/>
  <c r="E293"/>
  <c r="F293"/>
  <c r="E294"/>
  <c r="F294"/>
  <c r="E295"/>
  <c r="F295"/>
  <c r="E296"/>
  <c r="F296"/>
  <c r="E297"/>
  <c r="F297"/>
  <c r="E298"/>
  <c r="F298"/>
  <c r="E299"/>
  <c r="F299"/>
  <c r="E300"/>
  <c r="F300"/>
  <c r="E301"/>
  <c r="F301"/>
  <c r="E302"/>
  <c r="F302"/>
  <c r="E303"/>
  <c r="F303"/>
  <c r="E304"/>
  <c r="F304"/>
  <c r="E305"/>
  <c r="F305"/>
  <c r="E306"/>
  <c r="F306"/>
  <c r="E307"/>
  <c r="F307"/>
  <c r="E308"/>
  <c r="F308"/>
  <c r="E309"/>
  <c r="F309"/>
  <c r="E310"/>
  <c r="F310"/>
  <c r="E311"/>
  <c r="F311"/>
  <c r="E312"/>
  <c r="F312"/>
  <c r="E313"/>
  <c r="F313"/>
  <c r="E314"/>
  <c r="F314"/>
  <c r="E315"/>
  <c r="F315"/>
  <c r="E316"/>
  <c r="F316"/>
  <c r="E317"/>
  <c r="F317"/>
  <c r="E318"/>
  <c r="F318"/>
  <c r="E319"/>
  <c r="F319"/>
  <c r="E320"/>
  <c r="F320"/>
  <c r="E321"/>
  <c r="F321"/>
  <c r="E322"/>
  <c r="F322"/>
  <c r="E323"/>
  <c r="F323"/>
  <c r="E324"/>
  <c r="F324"/>
  <c r="E325"/>
  <c r="F325"/>
  <c r="E326"/>
  <c r="F326"/>
  <c r="E327"/>
  <c r="F327"/>
  <c r="E328"/>
  <c r="F328"/>
  <c r="E329"/>
  <c r="F329"/>
  <c r="E330"/>
  <c r="F330"/>
  <c r="E331"/>
  <c r="F331"/>
  <c r="E332"/>
  <c r="F332"/>
  <c r="E333"/>
  <c r="F333"/>
  <c r="E334"/>
  <c r="F334"/>
  <c r="E335"/>
  <c r="F335"/>
  <c r="E336"/>
  <c r="F336"/>
  <c r="E337"/>
  <c r="F337"/>
  <c r="E338"/>
  <c r="F338"/>
  <c r="E339"/>
  <c r="F339"/>
  <c r="E340"/>
  <c r="F340"/>
  <c r="E341"/>
  <c r="F341"/>
  <c r="E342"/>
  <c r="F342"/>
  <c r="E343"/>
  <c r="F343"/>
  <c r="E344"/>
  <c r="F344"/>
  <c r="E345"/>
  <c r="F345"/>
  <c r="E346"/>
  <c r="F346"/>
  <c r="E347"/>
  <c r="F347"/>
  <c r="E348"/>
  <c r="F348"/>
  <c r="E349"/>
  <c r="F349"/>
  <c r="E350"/>
  <c r="F350"/>
  <c r="E351"/>
  <c r="F351"/>
  <c r="E352"/>
  <c r="F352"/>
  <c r="E353"/>
  <c r="F353"/>
  <c r="E354"/>
  <c r="F354"/>
  <c r="E355"/>
  <c r="F355"/>
  <c r="E356"/>
  <c r="F356"/>
  <c r="E357"/>
  <c r="F357"/>
  <c r="E358"/>
  <c r="F358"/>
  <c r="E359"/>
  <c r="F359"/>
  <c r="E360"/>
  <c r="F360"/>
  <c r="E361"/>
  <c r="F361"/>
  <c r="E362"/>
  <c r="F362"/>
  <c r="E363"/>
  <c r="F363"/>
  <c r="E364"/>
  <c r="F364"/>
  <c r="E365"/>
  <c r="F365"/>
  <c r="E366"/>
  <c r="F366"/>
  <c r="E367"/>
  <c r="F367"/>
  <c r="E368"/>
  <c r="F368"/>
  <c r="E369"/>
  <c r="F369"/>
  <c r="E370"/>
  <c r="F370"/>
  <c r="E371"/>
  <c r="F371"/>
  <c r="E372"/>
  <c r="F372"/>
  <c r="E373"/>
  <c r="F373"/>
  <c r="E374"/>
  <c r="F374"/>
  <c r="E375"/>
  <c r="F375"/>
  <c r="E376"/>
  <c r="F376"/>
  <c r="E377"/>
  <c r="F377"/>
  <c r="E378"/>
  <c r="F378"/>
  <c r="E379"/>
  <c r="F379"/>
  <c r="E380"/>
  <c r="F380"/>
  <c r="E381"/>
  <c r="F381"/>
  <c r="E382"/>
  <c r="F382"/>
  <c r="E383"/>
  <c r="F383"/>
  <c r="E384"/>
  <c r="F384"/>
  <c r="E385"/>
  <c r="F385"/>
  <c r="E386"/>
  <c r="F386"/>
  <c r="E387"/>
  <c r="F387"/>
  <c r="E388"/>
  <c r="F388"/>
  <c r="E389"/>
  <c r="F389"/>
  <c r="E390"/>
  <c r="F390"/>
  <c r="E391"/>
  <c r="F391"/>
  <c r="E392"/>
  <c r="F392"/>
  <c r="E393"/>
  <c r="F393"/>
  <c r="E394"/>
  <c r="F394"/>
  <c r="E395"/>
  <c r="F395"/>
  <c r="E396"/>
  <c r="F396"/>
  <c r="E397"/>
  <c r="F397"/>
  <c r="E398"/>
  <c r="F398"/>
  <c r="E399"/>
  <c r="F399"/>
  <c r="E400"/>
  <c r="F400"/>
  <c r="E401"/>
  <c r="F401"/>
  <c r="E402"/>
  <c r="F402"/>
  <c r="E403"/>
  <c r="F403"/>
  <c r="E404"/>
  <c r="F404"/>
  <c r="E405"/>
  <c r="F405"/>
  <c r="E406"/>
  <c r="F406"/>
  <c r="E407"/>
  <c r="F407"/>
  <c r="E408"/>
  <c r="F408"/>
  <c r="E409"/>
  <c r="F409"/>
  <c r="E410"/>
  <c r="F410"/>
  <c r="E411"/>
  <c r="F411"/>
  <c r="E412"/>
  <c r="F412"/>
  <c r="E413"/>
  <c r="F413"/>
  <c r="E414"/>
  <c r="F414"/>
  <c r="E415"/>
  <c r="F415"/>
  <c r="E416"/>
  <c r="F416"/>
  <c r="E417"/>
  <c r="F417"/>
  <c r="E418"/>
  <c r="F418"/>
  <c r="E419"/>
  <c r="F419"/>
  <c r="E420"/>
  <c r="F420"/>
  <c r="E421"/>
  <c r="F421"/>
  <c r="E422"/>
  <c r="F422"/>
  <c r="E423"/>
  <c r="F423"/>
  <c r="E424"/>
  <c r="F424"/>
  <c r="E425"/>
  <c r="F425"/>
  <c r="E426"/>
  <c r="F426"/>
  <c r="E427"/>
  <c r="F427"/>
  <c r="E428"/>
  <c r="F428"/>
  <c r="E429"/>
  <c r="F429"/>
  <c r="E430"/>
  <c r="F430"/>
  <c r="E431"/>
  <c r="F431"/>
  <c r="E432"/>
  <c r="F432"/>
  <c r="E433"/>
  <c r="F433"/>
  <c r="E434"/>
  <c r="F434"/>
  <c r="E435"/>
  <c r="F435"/>
  <c r="E436"/>
  <c r="F436"/>
  <c r="E437"/>
  <c r="F437"/>
  <c r="E438"/>
  <c r="F438"/>
  <c r="E439"/>
  <c r="F439"/>
  <c r="E440"/>
  <c r="F440"/>
  <c r="E441"/>
  <c r="F441"/>
  <c r="E442"/>
  <c r="F442"/>
  <c r="E443"/>
  <c r="F443"/>
  <c r="E444"/>
  <c r="F444"/>
  <c r="E445"/>
  <c r="F445"/>
  <c r="E446"/>
  <c r="F446"/>
  <c r="E447"/>
  <c r="F447"/>
  <c r="E448"/>
  <c r="F448"/>
  <c r="E449"/>
  <c r="F449"/>
  <c r="E450"/>
  <c r="F450"/>
  <c r="E451"/>
  <c r="F451"/>
  <c r="E452"/>
  <c r="F452"/>
  <c r="E453"/>
  <c r="F453"/>
  <c r="E454"/>
  <c r="F454"/>
  <c r="E455"/>
  <c r="F455"/>
  <c r="E456"/>
  <c r="F456"/>
  <c r="E457"/>
  <c r="F457"/>
  <c r="E458"/>
  <c r="F458"/>
  <c r="E459"/>
  <c r="F459"/>
  <c r="E460"/>
  <c r="F460"/>
  <c r="E461"/>
  <c r="F461"/>
  <c r="E14" i="1"/>
  <c r="F14"/>
  <c r="E15"/>
  <c r="F15"/>
  <c r="E16"/>
  <c r="F16"/>
  <c r="E17"/>
  <c r="F17"/>
  <c r="E18"/>
  <c r="F18"/>
  <c r="E19"/>
  <c r="F19"/>
  <c r="E20"/>
  <c r="F20"/>
  <c r="E21"/>
  <c r="F21"/>
  <c r="E22"/>
  <c r="F22"/>
  <c r="E23"/>
  <c r="F23"/>
  <c r="E24"/>
  <c r="F24"/>
  <c r="E25"/>
  <c r="F25"/>
  <c r="E26"/>
  <c r="F26"/>
  <c r="E27"/>
  <c r="F27"/>
  <c r="E28"/>
  <c r="F28"/>
  <c r="E29"/>
  <c r="F29"/>
  <c r="E30"/>
  <c r="F30"/>
  <c r="E31"/>
  <c r="F31"/>
  <c r="E32"/>
  <c r="F32"/>
  <c r="E33"/>
  <c r="F33"/>
  <c r="E34"/>
  <c r="F34"/>
  <c r="E35"/>
  <c r="F35"/>
  <c r="E36"/>
  <c r="F36"/>
  <c r="E37"/>
  <c r="F37"/>
  <c r="E38"/>
  <c r="F38"/>
  <c r="E39"/>
  <c r="F39"/>
  <c r="E40"/>
  <c r="F40"/>
  <c r="E41"/>
  <c r="F41"/>
  <c r="E42"/>
  <c r="F42"/>
  <c r="E43"/>
  <c r="F43"/>
  <c r="E44"/>
  <c r="F44"/>
  <c r="E45"/>
  <c r="F45"/>
  <c r="E46"/>
  <c r="F46"/>
  <c r="E47"/>
  <c r="F47"/>
  <c r="E48"/>
  <c r="F48"/>
  <c r="E49"/>
  <c r="F49"/>
  <c r="E50"/>
  <c r="F50"/>
  <c r="E51"/>
  <c r="F51"/>
  <c r="E52"/>
  <c r="F52"/>
  <c r="E53"/>
  <c r="F53"/>
  <c r="E54"/>
  <c r="F54"/>
  <c r="E55"/>
  <c r="F55"/>
  <c r="E56"/>
  <c r="F56"/>
  <c r="E57"/>
  <c r="F57"/>
  <c r="E58"/>
  <c r="F58"/>
  <c r="E59"/>
  <c r="F59"/>
  <c r="E60"/>
  <c r="F60"/>
  <c r="E61"/>
  <c r="F61"/>
  <c r="E62"/>
  <c r="F62"/>
  <c r="E63"/>
  <c r="F63"/>
  <c r="E64"/>
  <c r="F64"/>
  <c r="E65"/>
  <c r="F65"/>
  <c r="E66"/>
  <c r="F66"/>
  <c r="E67"/>
  <c r="F67"/>
  <c r="E68"/>
  <c r="F68"/>
  <c r="E69"/>
  <c r="F69"/>
  <c r="E70"/>
  <c r="F70"/>
  <c r="E71"/>
  <c r="F71"/>
  <c r="E72"/>
  <c r="F72"/>
  <c r="E73"/>
  <c r="F73"/>
  <c r="E74"/>
  <c r="F74"/>
  <c r="E75"/>
  <c r="F75"/>
  <c r="E76"/>
  <c r="F76"/>
  <c r="E77"/>
  <c r="F77"/>
  <c r="E78"/>
  <c r="F78"/>
  <c r="E79"/>
  <c r="F79"/>
  <c r="E80"/>
  <c r="F80"/>
  <c r="E81"/>
  <c r="F81"/>
  <c r="E82"/>
  <c r="F82"/>
  <c r="E83"/>
  <c r="F83"/>
  <c r="E84"/>
  <c r="F84"/>
  <c r="E85"/>
  <c r="F85"/>
  <c r="E86"/>
  <c r="F86"/>
  <c r="E87"/>
  <c r="F87"/>
  <c r="E88"/>
  <c r="F88"/>
  <c r="E89"/>
  <c r="F89"/>
  <c r="E90"/>
  <c r="F90"/>
  <c r="E91"/>
  <c r="F91"/>
  <c r="E92"/>
  <c r="F92"/>
  <c r="E93"/>
  <c r="F93"/>
  <c r="E94"/>
  <c r="F94"/>
  <c r="E95"/>
  <c r="F95"/>
  <c r="E96"/>
  <c r="F96"/>
  <c r="E97"/>
  <c r="F97"/>
  <c r="E98"/>
  <c r="F98"/>
  <c r="E99"/>
  <c r="F99"/>
  <c r="E100"/>
  <c r="F100"/>
  <c r="E101"/>
  <c r="F101"/>
  <c r="E102"/>
  <c r="F102"/>
  <c r="E103"/>
  <c r="F103"/>
  <c r="E104"/>
  <c r="F104"/>
  <c r="E105"/>
  <c r="F105"/>
  <c r="E106"/>
  <c r="F106"/>
  <c r="E107"/>
  <c r="F107"/>
  <c r="E108"/>
  <c r="F108"/>
  <c r="E109"/>
  <c r="F109"/>
  <c r="E110"/>
  <c r="F110"/>
  <c r="E111"/>
  <c r="F111"/>
  <c r="E112"/>
  <c r="F112"/>
  <c r="E113"/>
  <c r="F113"/>
  <c r="E114"/>
  <c r="F114"/>
  <c r="E115"/>
  <c r="F115"/>
  <c r="E116"/>
  <c r="F116"/>
  <c r="E117"/>
  <c r="F117"/>
  <c r="E118"/>
  <c r="F118"/>
  <c r="E119"/>
  <c r="F119"/>
  <c r="E120"/>
  <c r="F120"/>
  <c r="E121"/>
  <c r="F121"/>
  <c r="E122"/>
  <c r="F122"/>
  <c r="E123"/>
  <c r="F123"/>
  <c r="E124"/>
  <c r="F124"/>
  <c r="E125"/>
  <c r="F125"/>
  <c r="E126"/>
  <c r="F126"/>
  <c r="E127"/>
  <c r="F127"/>
  <c r="E128"/>
  <c r="F128"/>
  <c r="E129"/>
  <c r="F129"/>
  <c r="E130"/>
  <c r="F130"/>
  <c r="E131"/>
  <c r="F131"/>
  <c r="E132"/>
  <c r="F132"/>
  <c r="E133"/>
  <c r="F133"/>
  <c r="E134"/>
  <c r="F134"/>
  <c r="E135"/>
  <c r="F135"/>
  <c r="E136"/>
  <c r="F136"/>
  <c r="E137"/>
  <c r="F137"/>
  <c r="E138"/>
  <c r="F138"/>
  <c r="E139"/>
  <c r="F139"/>
  <c r="E140"/>
  <c r="F140"/>
  <c r="E141"/>
  <c r="F141"/>
  <c r="E142"/>
  <c r="F142"/>
  <c r="E143"/>
  <c r="F143"/>
  <c r="E144"/>
  <c r="F144"/>
  <c r="E145"/>
  <c r="F145"/>
  <c r="E146"/>
  <c r="F146"/>
  <c r="E147"/>
  <c r="F147"/>
  <c r="E148"/>
  <c r="F148"/>
  <c r="E149"/>
  <c r="F149"/>
  <c r="E150"/>
  <c r="F150"/>
  <c r="E151"/>
  <c r="F151"/>
  <c r="E152"/>
  <c r="F152"/>
  <c r="E153"/>
  <c r="F153"/>
  <c r="E154"/>
  <c r="F154"/>
  <c r="E155"/>
  <c r="F155"/>
  <c r="E156"/>
  <c r="F156"/>
  <c r="E157"/>
  <c r="F157"/>
  <c r="E158"/>
  <c r="F158"/>
  <c r="E159"/>
  <c r="F159"/>
  <c r="E160"/>
  <c r="F160"/>
  <c r="E161"/>
  <c r="F161"/>
  <c r="E162"/>
  <c r="F162"/>
  <c r="E163"/>
  <c r="F163"/>
  <c r="E164"/>
  <c r="F164"/>
  <c r="E165"/>
  <c r="F165"/>
  <c r="E166"/>
  <c r="F166"/>
  <c r="E167"/>
  <c r="F167"/>
  <c r="E168"/>
  <c r="F168"/>
  <c r="E169"/>
  <c r="F169"/>
  <c r="E170"/>
  <c r="F170"/>
  <c r="E171"/>
  <c r="F171"/>
  <c r="E172"/>
  <c r="F172"/>
  <c r="E173"/>
  <c r="F173"/>
  <c r="E174"/>
  <c r="F174"/>
  <c r="E175"/>
  <c r="F175"/>
  <c r="E176"/>
  <c r="F176"/>
  <c r="E177"/>
  <c r="F177"/>
  <c r="E178"/>
  <c r="F178"/>
  <c r="E179"/>
  <c r="F179"/>
  <c r="E180"/>
  <c r="F180"/>
  <c r="E181"/>
  <c r="F181"/>
  <c r="E182"/>
  <c r="F182"/>
  <c r="E183"/>
  <c r="F183"/>
  <c r="E184"/>
  <c r="F184"/>
  <c r="E185"/>
  <c r="F185"/>
  <c r="E186"/>
  <c r="F186"/>
  <c r="E187"/>
  <c r="F187"/>
  <c r="E188"/>
  <c r="F188"/>
  <c r="E189"/>
  <c r="F189"/>
  <c r="E190"/>
  <c r="F190"/>
  <c r="E191"/>
  <c r="F191"/>
  <c r="E192"/>
  <c r="F192"/>
  <c r="E193"/>
  <c r="F193"/>
  <c r="E194"/>
  <c r="F194"/>
  <c r="E195"/>
  <c r="F195"/>
  <c r="E196"/>
  <c r="F196"/>
  <c r="E197"/>
  <c r="F197"/>
  <c r="E198"/>
  <c r="F198"/>
  <c r="E199"/>
  <c r="F199"/>
  <c r="E200"/>
  <c r="F200"/>
  <c r="E201"/>
  <c r="F201"/>
  <c r="E202"/>
  <c r="F202"/>
  <c r="E203"/>
  <c r="F203"/>
  <c r="E204"/>
  <c r="F204"/>
  <c r="E205"/>
  <c r="F205"/>
  <c r="E206"/>
  <c r="F206"/>
  <c r="E207"/>
  <c r="F207"/>
  <c r="E208"/>
  <c r="F208"/>
  <c r="E209"/>
  <c r="F209"/>
  <c r="E210"/>
  <c r="F210"/>
  <c r="E211"/>
  <c r="F211"/>
  <c r="E212"/>
  <c r="F212"/>
  <c r="E213"/>
  <c r="F213"/>
  <c r="E214"/>
  <c r="F214"/>
  <c r="E215"/>
  <c r="F215"/>
  <c r="E216"/>
  <c r="F216"/>
  <c r="E217"/>
  <c r="F217"/>
  <c r="E218"/>
  <c r="F218"/>
  <c r="E219"/>
  <c r="F219"/>
  <c r="E220"/>
  <c r="F220"/>
  <c r="E221"/>
  <c r="F221"/>
  <c r="E222"/>
  <c r="F222"/>
  <c r="E223"/>
  <c r="F223"/>
  <c r="E224"/>
  <c r="F224"/>
  <c r="E225"/>
  <c r="F225"/>
  <c r="E226"/>
  <c r="F226"/>
  <c r="E227"/>
  <c r="F227"/>
  <c r="E228"/>
  <c r="F228"/>
  <c r="E229"/>
  <c r="F229"/>
  <c r="E230"/>
  <c r="F230"/>
  <c r="E231"/>
  <c r="F231"/>
  <c r="E232"/>
  <c r="F232"/>
  <c r="E233"/>
  <c r="F233"/>
  <c r="E234"/>
  <c r="F234"/>
  <c r="E235"/>
  <c r="F235"/>
  <c r="E236"/>
  <c r="F236"/>
  <c r="E237"/>
  <c r="F237"/>
  <c r="E238"/>
  <c r="F238"/>
  <c r="E239"/>
  <c r="F239"/>
  <c r="E240"/>
  <c r="F240"/>
  <c r="E241"/>
  <c r="F241"/>
  <c r="E242"/>
  <c r="F242"/>
  <c r="E243"/>
  <c r="F243"/>
  <c r="E244"/>
  <c r="F244"/>
  <c r="E245"/>
  <c r="F245"/>
  <c r="E246"/>
  <c r="F246"/>
  <c r="E247"/>
  <c r="F247"/>
  <c r="E248"/>
  <c r="F248"/>
  <c r="E249"/>
  <c r="F249"/>
  <c r="E250"/>
  <c r="F250"/>
  <c r="E251"/>
  <c r="F251"/>
  <c r="E252"/>
  <c r="F252"/>
  <c r="E253"/>
  <c r="F253"/>
  <c r="E254"/>
  <c r="F254"/>
  <c r="E255"/>
  <c r="F255"/>
  <c r="E256"/>
  <c r="F256"/>
  <c r="E257"/>
  <c r="F257"/>
  <c r="E258"/>
  <c r="F258"/>
  <c r="E259"/>
  <c r="F259"/>
  <c r="E260"/>
  <c r="F260"/>
  <c r="E261"/>
  <c r="F261"/>
  <c r="E262"/>
  <c r="F262"/>
  <c r="E263"/>
  <c r="F263"/>
  <c r="E264"/>
  <c r="F264"/>
  <c r="E265"/>
  <c r="F265"/>
  <c r="E266"/>
  <c r="F266"/>
  <c r="E267"/>
  <c r="F267"/>
  <c r="E268"/>
  <c r="F268"/>
  <c r="E269"/>
  <c r="F269"/>
  <c r="E270"/>
  <c r="F270"/>
  <c r="E271"/>
  <c r="F271"/>
  <c r="E272"/>
  <c r="F272"/>
  <c r="E273"/>
  <c r="F273"/>
  <c r="E274"/>
  <c r="F274"/>
  <c r="E275"/>
  <c r="F275"/>
  <c r="E276"/>
  <c r="F276"/>
  <c r="E277"/>
  <c r="F277"/>
  <c r="E278"/>
  <c r="F278"/>
  <c r="E279"/>
  <c r="F279"/>
  <c r="E280"/>
  <c r="F280"/>
  <c r="E281"/>
  <c r="F281"/>
  <c r="E282"/>
  <c r="F282"/>
  <c r="E283"/>
  <c r="F283"/>
  <c r="E284"/>
  <c r="F284"/>
  <c r="E285"/>
  <c r="F285"/>
  <c r="E286"/>
  <c r="F286"/>
  <c r="E287"/>
  <c r="F287"/>
  <c r="E288"/>
  <c r="F288"/>
  <c r="E289"/>
  <c r="F289"/>
  <c r="E290"/>
  <c r="F290"/>
  <c r="E291"/>
  <c r="F291"/>
  <c r="E292"/>
  <c r="F292"/>
  <c r="E293"/>
  <c r="F293"/>
  <c r="E294"/>
  <c r="F294"/>
  <c r="E295"/>
  <c r="F295"/>
  <c r="E296"/>
  <c r="F296"/>
  <c r="E297"/>
  <c r="F297"/>
  <c r="E298"/>
  <c r="F298"/>
  <c r="E299"/>
  <c r="F299"/>
  <c r="E300"/>
  <c r="F300"/>
  <c r="E301"/>
  <c r="F301"/>
  <c r="E302"/>
  <c r="F302"/>
  <c r="E303"/>
  <c r="F303"/>
  <c r="E304"/>
  <c r="F304"/>
  <c r="E305"/>
  <c r="F305"/>
  <c r="E306"/>
  <c r="F306"/>
  <c r="E307"/>
  <c r="F307"/>
  <c r="E308"/>
  <c r="F308"/>
  <c r="E309"/>
  <c r="F309"/>
  <c r="E310"/>
  <c r="F310"/>
  <c r="E311"/>
  <c r="F311"/>
  <c r="E312"/>
  <c r="F312"/>
  <c r="E313"/>
  <c r="F313"/>
  <c r="E314"/>
  <c r="F314"/>
  <c r="E315"/>
  <c r="F315"/>
  <c r="E316"/>
  <c r="F316"/>
  <c r="E317"/>
  <c r="F317"/>
  <c r="E318"/>
  <c r="F318"/>
  <c r="E319"/>
  <c r="F319"/>
  <c r="E320"/>
  <c r="F320"/>
  <c r="E321"/>
  <c r="F321"/>
  <c r="E322"/>
  <c r="F322"/>
  <c r="E323"/>
  <c r="F323"/>
  <c r="E324"/>
  <c r="F324"/>
  <c r="E325"/>
  <c r="F325"/>
  <c r="E326"/>
  <c r="F326"/>
  <c r="E327"/>
  <c r="F327"/>
  <c r="E328"/>
  <c r="F328"/>
  <c r="E329"/>
  <c r="F329"/>
  <c r="E330"/>
  <c r="F330"/>
  <c r="E331"/>
  <c r="F331"/>
  <c r="E332"/>
  <c r="F332"/>
  <c r="E333"/>
  <c r="F333"/>
  <c r="E334"/>
  <c r="F334"/>
  <c r="E335"/>
  <c r="F335"/>
  <c r="E336"/>
  <c r="F336"/>
  <c r="E337"/>
  <c r="F337"/>
  <c r="E338"/>
  <c r="F338"/>
  <c r="E339"/>
  <c r="F339"/>
  <c r="E340"/>
  <c r="F340"/>
  <c r="E341"/>
  <c r="F341"/>
  <c r="E342"/>
  <c r="F342"/>
  <c r="E343"/>
  <c r="F343"/>
  <c r="E344"/>
  <c r="F344"/>
  <c r="E345"/>
  <c r="F345"/>
  <c r="E346"/>
  <c r="F346"/>
  <c r="E347"/>
  <c r="F347"/>
  <c r="E348"/>
  <c r="F348"/>
  <c r="E349"/>
  <c r="F349"/>
  <c r="E350"/>
  <c r="F350"/>
  <c r="E351"/>
  <c r="F351"/>
  <c r="E352"/>
  <c r="F352"/>
  <c r="E353"/>
  <c r="F353"/>
  <c r="E354"/>
  <c r="F354"/>
  <c r="E355"/>
  <c r="F355"/>
  <c r="E356"/>
  <c r="F356"/>
  <c r="E357"/>
  <c r="F357"/>
  <c r="E358"/>
  <c r="F358"/>
  <c r="E359"/>
  <c r="F359"/>
  <c r="E360"/>
  <c r="F360"/>
  <c r="E361"/>
  <c r="F361"/>
  <c r="E362"/>
  <c r="F362"/>
  <c r="E363"/>
  <c r="F363"/>
  <c r="E364"/>
  <c r="F364"/>
  <c r="E365"/>
  <c r="F365"/>
  <c r="E366"/>
  <c r="F366"/>
  <c r="E367"/>
  <c r="F367"/>
  <c r="E368"/>
  <c r="F368"/>
  <c r="E369"/>
  <c r="F369"/>
  <c r="E370"/>
  <c r="F370"/>
  <c r="E371"/>
  <c r="F371"/>
  <c r="E372"/>
  <c r="F372"/>
  <c r="E373"/>
  <c r="F373"/>
  <c r="E374"/>
  <c r="F374"/>
  <c r="E375"/>
  <c r="F375"/>
  <c r="E376"/>
  <c r="F376"/>
  <c r="E377"/>
  <c r="F377"/>
  <c r="E378"/>
  <c r="F378"/>
  <c r="E379"/>
  <c r="F379"/>
  <c r="E380"/>
  <c r="F380"/>
  <c r="E381"/>
  <c r="F381"/>
  <c r="E382"/>
  <c r="F382"/>
  <c r="E383"/>
  <c r="F383"/>
  <c r="E384"/>
  <c r="F384"/>
  <c r="E385"/>
  <c r="F385"/>
  <c r="E386"/>
  <c r="F386"/>
  <c r="E387"/>
  <c r="F387"/>
  <c r="E388"/>
  <c r="F388"/>
  <c r="E389"/>
  <c r="F389"/>
  <c r="E390"/>
  <c r="F390"/>
  <c r="E391"/>
  <c r="F391"/>
  <c r="E392"/>
  <c r="F392"/>
  <c r="E393"/>
  <c r="F393"/>
  <c r="E394"/>
  <c r="F394"/>
  <c r="E395"/>
  <c r="F395"/>
  <c r="E396"/>
  <c r="F396"/>
  <c r="E397"/>
  <c r="F397"/>
  <c r="E398"/>
  <c r="F398"/>
  <c r="E399"/>
  <c r="F399"/>
  <c r="E400"/>
  <c r="F400"/>
  <c r="E401"/>
  <c r="F401"/>
  <c r="E402"/>
  <c r="F402"/>
  <c r="E403"/>
  <c r="F403"/>
  <c r="E404"/>
  <c r="F404"/>
  <c r="E405"/>
  <c r="F405"/>
  <c r="E406"/>
  <c r="F406"/>
  <c r="E407"/>
  <c r="F407"/>
  <c r="E408"/>
  <c r="F408"/>
  <c r="E409"/>
  <c r="F409"/>
  <c r="E410"/>
  <c r="F410"/>
  <c r="E411"/>
  <c r="F411"/>
  <c r="E412"/>
  <c r="F412"/>
  <c r="E413"/>
  <c r="F413"/>
  <c r="E414"/>
  <c r="F414"/>
  <c r="E415"/>
  <c r="F415"/>
  <c r="E416"/>
  <c r="F416"/>
  <c r="E417"/>
  <c r="F417"/>
  <c r="E418"/>
  <c r="F418"/>
  <c r="E419"/>
  <c r="F419"/>
  <c r="E420"/>
  <c r="F420"/>
  <c r="E421"/>
  <c r="F421"/>
  <c r="E422"/>
  <c r="F422"/>
  <c r="E423"/>
  <c r="F423"/>
  <c r="E424"/>
  <c r="F424"/>
  <c r="E425"/>
  <c r="F425"/>
  <c r="E426"/>
  <c r="F426"/>
  <c r="E427"/>
  <c r="F427"/>
  <c r="E428"/>
  <c r="F428"/>
  <c r="E429"/>
  <c r="F429"/>
  <c r="E430"/>
  <c r="F430"/>
  <c r="E431"/>
  <c r="F431"/>
  <c r="E432"/>
  <c r="F432"/>
  <c r="E433"/>
  <c r="F433"/>
  <c r="E434"/>
  <c r="F434"/>
  <c r="E435"/>
  <c r="F435"/>
  <c r="E436"/>
  <c r="F436"/>
  <c r="E437"/>
  <c r="F437"/>
  <c r="E438"/>
  <c r="F438"/>
  <c r="E439"/>
  <c r="F439"/>
  <c r="E440"/>
  <c r="F440"/>
  <c r="E441"/>
  <c r="F441"/>
  <c r="E442"/>
  <c r="F442"/>
  <c r="E443"/>
  <c r="F443"/>
  <c r="E444"/>
  <c r="F444"/>
  <c r="E445"/>
  <c r="F445"/>
  <c r="E446"/>
  <c r="F446"/>
  <c r="E447"/>
  <c r="F447"/>
  <c r="E448"/>
  <c r="F448"/>
  <c r="E449"/>
  <c r="F449"/>
  <c r="E450"/>
  <c r="F450"/>
  <c r="E451"/>
  <c r="F451"/>
  <c r="E452"/>
  <c r="F452"/>
  <c r="E453"/>
  <c r="F453"/>
  <c r="E454"/>
  <c r="F454"/>
  <c r="E455"/>
  <c r="F455"/>
  <c r="E456"/>
  <c r="F456"/>
  <c r="E457"/>
  <c r="F457"/>
  <c r="E458"/>
  <c r="F458"/>
  <c r="E459"/>
  <c r="F459"/>
  <c r="E460"/>
  <c r="F460"/>
  <c r="E461"/>
  <c r="F461"/>
  <c r="F13" i="4"/>
  <c r="F13" i="5"/>
  <c r="F13" i="6"/>
  <c r="F13" i="7"/>
  <c r="F13" i="8"/>
  <c r="F13" i="9"/>
  <c r="F13" i="1"/>
  <c r="E13" i="4"/>
  <c r="E13" i="5"/>
  <c r="E13" i="6"/>
  <c r="E13" i="7"/>
  <c r="E13" i="8"/>
  <c r="E13" i="9"/>
  <c r="E13" i="1"/>
  <c r="E9" i="4"/>
  <c r="E9" i="5"/>
  <c r="E9" i="6"/>
  <c r="E9" i="7"/>
  <c r="E9" i="8"/>
  <c r="E9" i="9"/>
  <c r="E9" i="1"/>
  <c r="C413" i="9"/>
  <c r="C405"/>
  <c r="D273" i="8"/>
  <c r="D193"/>
  <c r="V263" i="2" s="1"/>
  <c r="D267" i="6"/>
  <c r="D227"/>
  <c r="D211"/>
  <c r="C51"/>
  <c r="P275" i="2"/>
  <c r="O275"/>
  <c r="N275"/>
  <c r="M275"/>
  <c r="L275"/>
  <c r="I275"/>
  <c r="H275"/>
  <c r="G275"/>
  <c r="F275"/>
  <c r="E275"/>
  <c r="P274"/>
  <c r="O274"/>
  <c r="N274"/>
  <c r="M274"/>
  <c r="L274"/>
  <c r="K274"/>
  <c r="J274"/>
  <c r="I274"/>
  <c r="H274"/>
  <c r="G274"/>
  <c r="F274"/>
  <c r="P269"/>
  <c r="O269"/>
  <c r="N269"/>
  <c r="M269"/>
  <c r="L269"/>
  <c r="K269"/>
  <c r="J269"/>
  <c r="I269"/>
  <c r="H269"/>
  <c r="G269"/>
  <c r="F269"/>
  <c r="P260"/>
  <c r="O260"/>
  <c r="N260"/>
  <c r="M260"/>
  <c r="L260"/>
  <c r="K260"/>
  <c r="J260"/>
  <c r="I260"/>
  <c r="H260"/>
  <c r="G260"/>
  <c r="F260"/>
  <c r="P259"/>
  <c r="O259"/>
  <c r="N259"/>
  <c r="M259"/>
  <c r="L259"/>
  <c r="K259"/>
  <c r="J259"/>
  <c r="I259"/>
  <c r="H259"/>
  <c r="G259"/>
  <c r="F259"/>
  <c r="P236"/>
  <c r="O236"/>
  <c r="N236"/>
  <c r="M236"/>
  <c r="L236"/>
  <c r="H236"/>
  <c r="G236"/>
  <c r="F236"/>
  <c r="E236"/>
  <c r="P235"/>
  <c r="O235"/>
  <c r="N235"/>
  <c r="M235"/>
  <c r="L235"/>
  <c r="H235"/>
  <c r="G235"/>
  <c r="F235"/>
  <c r="E235"/>
  <c r="P234"/>
  <c r="O234"/>
  <c r="N234"/>
  <c r="M234"/>
  <c r="L234"/>
  <c r="H234"/>
  <c r="G234"/>
  <c r="F234"/>
  <c r="E234"/>
  <c r="P226"/>
  <c r="O226"/>
  <c r="N226"/>
  <c r="M226"/>
  <c r="L226"/>
  <c r="K226"/>
  <c r="J226"/>
  <c r="I226"/>
  <c r="H226"/>
  <c r="G226"/>
  <c r="F226"/>
  <c r="E226"/>
  <c r="P98"/>
  <c r="O98"/>
  <c r="N98"/>
  <c r="M98"/>
  <c r="L98"/>
  <c r="K98"/>
  <c r="J98"/>
  <c r="I98"/>
  <c r="H98"/>
  <c r="G98"/>
  <c r="F98"/>
  <c r="E98"/>
  <c r="P89"/>
  <c r="O89"/>
  <c r="N89"/>
  <c r="M89"/>
  <c r="L89"/>
  <c r="K89"/>
  <c r="J89"/>
  <c r="I89"/>
  <c r="H89"/>
  <c r="G89"/>
  <c r="F89"/>
  <c r="C17" i="10" l="1"/>
  <c r="X19" i="2" s="1"/>
  <c r="C19" i="10"/>
  <c r="X22" i="2" s="1"/>
  <c r="C13" i="10"/>
  <c r="X15" i="2" s="1"/>
  <c r="D190" i="10"/>
  <c r="X257" i="2" s="1"/>
  <c r="D182" i="10"/>
  <c r="X247" i="2" s="1"/>
  <c r="C39" i="15"/>
  <c r="C136"/>
  <c r="C435"/>
  <c r="C314"/>
  <c r="C19"/>
  <c r="C417"/>
  <c r="C416"/>
  <c r="C320"/>
  <c r="D256"/>
  <c r="D219"/>
  <c r="D208"/>
  <c r="D204"/>
  <c r="L475"/>
  <c r="C64"/>
  <c r="C21" i="14"/>
  <c r="AB24" i="2" s="1"/>
  <c r="C37" i="14"/>
  <c r="AB44" i="2" s="1"/>
  <c r="C53" i="14"/>
  <c r="AB64" i="2" s="1"/>
  <c r="C60" i="14"/>
  <c r="AB71" i="2" s="1"/>
  <c r="C69" i="14"/>
  <c r="AB82" i="2" s="1"/>
  <c r="D83" i="14"/>
  <c r="AB106" i="2" s="1"/>
  <c r="C92" i="14"/>
  <c r="AB121" i="2" s="1"/>
  <c r="D131" i="14"/>
  <c r="AB182" i="2" s="1"/>
  <c r="C140" i="14"/>
  <c r="AB197" i="2" s="1"/>
  <c r="D147" i="14"/>
  <c r="AB208" i="2" s="1"/>
  <c r="C156" i="14"/>
  <c r="C165"/>
  <c r="AB221" i="2" s="1"/>
  <c r="C284" i="14"/>
  <c r="C291"/>
  <c r="C300"/>
  <c r="C307"/>
  <c r="C316"/>
  <c r="C323"/>
  <c r="C332"/>
  <c r="C339"/>
  <c r="C357"/>
  <c r="C364"/>
  <c r="C371"/>
  <c r="C389"/>
  <c r="C405"/>
  <c r="C421"/>
  <c r="C428"/>
  <c r="C437"/>
  <c r="E462"/>
  <c r="AB35" i="2"/>
  <c r="D89" i="14"/>
  <c r="AB116" i="2" s="1"/>
  <c r="D105" i="14"/>
  <c r="AB142" i="2" s="1"/>
  <c r="D121" i="14"/>
  <c r="AB167" i="2" s="1"/>
  <c r="D123" i="14"/>
  <c r="AB170" i="2" s="1"/>
  <c r="C132" i="14"/>
  <c r="AB184" i="2" s="1"/>
  <c r="D137" i="14"/>
  <c r="AB192" i="2" s="1"/>
  <c r="D139" i="14"/>
  <c r="AB195" i="2" s="1"/>
  <c r="C148" i="14"/>
  <c r="AB210" i="2" s="1"/>
  <c r="C157" i="14"/>
  <c r="D176"/>
  <c r="AB240" i="2" s="1"/>
  <c r="D185" i="14"/>
  <c r="AB251" i="2" s="1"/>
  <c r="D187" i="14"/>
  <c r="AB254" i="2" s="1"/>
  <c r="D192" i="14"/>
  <c r="AB262" i="2" s="1"/>
  <c r="D201" i="14"/>
  <c r="D208"/>
  <c r="D217"/>
  <c r="D224"/>
  <c r="D233"/>
  <c r="D240"/>
  <c r="D249"/>
  <c r="D256"/>
  <c r="D265"/>
  <c r="D272"/>
  <c r="C301"/>
  <c r="C340"/>
  <c r="C365"/>
  <c r="C404"/>
  <c r="C413"/>
  <c r="C441"/>
  <c r="C443"/>
  <c r="C19"/>
  <c r="AB22" i="2" s="1"/>
  <c r="C28" i="14"/>
  <c r="AB34" i="2" s="1"/>
  <c r="C35" i="14"/>
  <c r="AB41" i="2" s="1"/>
  <c r="C44" i="14"/>
  <c r="AB54" i="2" s="1"/>
  <c r="C51" i="14"/>
  <c r="AB62" i="2" s="1"/>
  <c r="C67" i="14"/>
  <c r="AB80" i="2" s="1"/>
  <c r="C76" i="14"/>
  <c r="AB93" i="2" s="1"/>
  <c r="D99" i="14"/>
  <c r="C108"/>
  <c r="AB147" i="2" s="1"/>
  <c r="D115" i="14"/>
  <c r="AB158" i="2" s="1"/>
  <c r="C124" i="14"/>
  <c r="AB172" i="2" s="1"/>
  <c r="C149" i="14"/>
  <c r="C163"/>
  <c r="AB219" i="2" s="1"/>
  <c r="C172" i="14"/>
  <c r="AB230" i="2" s="1"/>
  <c r="D179" i="14"/>
  <c r="AB244" i="2" s="1"/>
  <c r="D195" i="14"/>
  <c r="AB265" i="2" s="1"/>
  <c r="D211" i="14"/>
  <c r="D227"/>
  <c r="D243"/>
  <c r="D259"/>
  <c r="D275"/>
  <c r="C293"/>
  <c r="C309"/>
  <c r="C325"/>
  <c r="C341"/>
  <c r="C348"/>
  <c r="C355"/>
  <c r="C373"/>
  <c r="C380"/>
  <c r="C387"/>
  <c r="C396"/>
  <c r="C403"/>
  <c r="C412"/>
  <c r="C419"/>
  <c r="C435"/>
  <c r="C444"/>
  <c r="C451"/>
  <c r="C460"/>
  <c r="F462"/>
  <c r="F475" s="1"/>
  <c r="C15"/>
  <c r="AB17" i="2" s="1"/>
  <c r="C17" i="14"/>
  <c r="AB19" i="2" s="1"/>
  <c r="C24" i="14"/>
  <c r="AB28" i="2" s="1"/>
  <c r="C31" i="14"/>
  <c r="AB37" i="2" s="1"/>
  <c r="C33" i="14"/>
  <c r="AB39" i="2" s="1"/>
  <c r="C40" i="14"/>
  <c r="AB48" i="2" s="1"/>
  <c r="C47" i="14"/>
  <c r="AB57" i="2" s="1"/>
  <c r="C49" i="14"/>
  <c r="AB60" i="2" s="1"/>
  <c r="C56" i="14"/>
  <c r="AB67" i="2" s="1"/>
  <c r="C63" i="14"/>
  <c r="AB75" i="2" s="1"/>
  <c r="C65" i="14"/>
  <c r="AB78" i="2" s="1"/>
  <c r="C72" i="14"/>
  <c r="AB86" i="2" s="1"/>
  <c r="C79" i="14"/>
  <c r="AB100" i="2" s="1"/>
  <c r="C88" i="14"/>
  <c r="AB115" i="2" s="1"/>
  <c r="D93" i="14"/>
  <c r="AB122" i="2" s="1"/>
  <c r="D95" i="14"/>
  <c r="AB125" i="2" s="1"/>
  <c r="C104" i="14"/>
  <c r="AB141" i="2" s="1"/>
  <c r="D109" i="14"/>
  <c r="AB148" i="2" s="1"/>
  <c r="D111" i="14"/>
  <c r="AB151" i="2" s="1"/>
  <c r="C120" i="14"/>
  <c r="AB166" i="2" s="1"/>
  <c r="D127" i="14"/>
  <c r="AB176" i="2" s="1"/>
  <c r="C136" i="14"/>
  <c r="AB191" i="2" s="1"/>
  <c r="D143" i="14"/>
  <c r="AB201" i="2" s="1"/>
  <c r="C152" i="14"/>
  <c r="C159"/>
  <c r="AB215" i="2" s="1"/>
  <c r="C161" i="14"/>
  <c r="AB217" i="2" s="1"/>
  <c r="C168" i="14"/>
  <c r="AB224" i="2" s="1"/>
  <c r="D175" i="14"/>
  <c r="AB239" i="2" s="1"/>
  <c r="D189" i="14"/>
  <c r="AB256" i="2" s="1"/>
  <c r="D191" i="14"/>
  <c r="AB261" i="2" s="1"/>
  <c r="D196" i="14"/>
  <c r="AB266" i="2" s="1"/>
  <c r="D205" i="14"/>
  <c r="D207"/>
  <c r="D212"/>
  <c r="D221"/>
  <c r="D223"/>
  <c r="D228"/>
  <c r="D237"/>
  <c r="D239"/>
  <c r="D244"/>
  <c r="D253"/>
  <c r="D255"/>
  <c r="D260"/>
  <c r="D269"/>
  <c r="D271"/>
  <c r="D276"/>
  <c r="C287"/>
  <c r="C289"/>
  <c r="C296"/>
  <c r="C303"/>
  <c r="C305"/>
  <c r="C312"/>
  <c r="C319"/>
  <c r="C321"/>
  <c r="C328"/>
  <c r="C335"/>
  <c r="C337"/>
  <c r="C344"/>
  <c r="C351"/>
  <c r="C353"/>
  <c r="C360"/>
  <c r="C367"/>
  <c r="C369"/>
  <c r="C376"/>
  <c r="C383"/>
  <c r="C385"/>
  <c r="C392"/>
  <c r="C399"/>
  <c r="C401"/>
  <c r="C408"/>
  <c r="C415"/>
  <c r="C417"/>
  <c r="C424"/>
  <c r="C431"/>
  <c r="C433"/>
  <c r="C440"/>
  <c r="C447"/>
  <c r="C456"/>
  <c r="AA174" i="2"/>
  <c r="AA146"/>
  <c r="AA199"/>
  <c r="F475" i="13"/>
  <c r="C20"/>
  <c r="AA23" i="2" s="1"/>
  <c r="C29" i="13"/>
  <c r="AA35" i="2" s="1"/>
  <c r="C45" i="13"/>
  <c r="AA55" i="2" s="1"/>
  <c r="C61" i="13"/>
  <c r="AA72" i="2" s="1"/>
  <c r="C75" i="13"/>
  <c r="AA92" i="2" s="1"/>
  <c r="C84" i="13"/>
  <c r="AA108" i="2" s="1"/>
  <c r="D91" i="13"/>
  <c r="AA119" i="2" s="1"/>
  <c r="AA117" s="1"/>
  <c r="C100" i="13"/>
  <c r="AA134" i="2" s="1"/>
  <c r="AA133" s="1"/>
  <c r="D107" i="13"/>
  <c r="AA145" i="2" s="1"/>
  <c r="C116" i="13"/>
  <c r="AA160" i="2" s="1"/>
  <c r="D123" i="13"/>
  <c r="AA170" i="2" s="1"/>
  <c r="AA168" s="1"/>
  <c r="C132" i="13"/>
  <c r="AA184" i="2" s="1"/>
  <c r="C155" i="13"/>
  <c r="C164"/>
  <c r="AA220" i="2" s="1"/>
  <c r="C171" i="13"/>
  <c r="AA229" i="2" s="1"/>
  <c r="D203" i="13"/>
  <c r="D235"/>
  <c r="D251"/>
  <c r="D267"/>
  <c r="C285"/>
  <c r="C324"/>
  <c r="C340"/>
  <c r="C363"/>
  <c r="C372"/>
  <c r="C379"/>
  <c r="C388"/>
  <c r="C395"/>
  <c r="C404"/>
  <c r="C413"/>
  <c r="C429"/>
  <c r="C436"/>
  <c r="C445"/>
  <c r="C459"/>
  <c r="C16"/>
  <c r="AA18" i="2" s="1"/>
  <c r="C23" i="13"/>
  <c r="AA27" i="2" s="1"/>
  <c r="C25" i="13"/>
  <c r="AA29" i="2" s="1"/>
  <c r="C32" i="13"/>
  <c r="AA38" i="2" s="1"/>
  <c r="C39" i="13"/>
  <c r="AA46" i="2" s="1"/>
  <c r="C41" i="13"/>
  <c r="AA50" i="2" s="1"/>
  <c r="C48" i="13"/>
  <c r="AA59" i="2" s="1"/>
  <c r="C55" i="13"/>
  <c r="AA66" i="2" s="1"/>
  <c r="C57" i="13"/>
  <c r="AA68" i="2" s="1"/>
  <c r="C64" i="13"/>
  <c r="AA76" i="2" s="1"/>
  <c r="C71" i="13"/>
  <c r="AA84" i="2" s="1"/>
  <c r="C73" i="13"/>
  <c r="AA87" i="2" s="1"/>
  <c r="C80" i="13"/>
  <c r="AA102" i="2" s="1"/>
  <c r="D85" i="13"/>
  <c r="AA109" i="2" s="1"/>
  <c r="AA107" s="1"/>
  <c r="D87" i="13"/>
  <c r="AA112" i="2" s="1"/>
  <c r="AA110" s="1"/>
  <c r="C96" i="13"/>
  <c r="AA127" i="2" s="1"/>
  <c r="D101" i="13"/>
  <c r="D103"/>
  <c r="AA138" i="2" s="1"/>
  <c r="AA136" s="1"/>
  <c r="C112" i="13"/>
  <c r="AA154" i="2" s="1"/>
  <c r="AA153" s="1"/>
  <c r="D117" i="13"/>
  <c r="AA161" i="2" s="1"/>
  <c r="AA159" s="1"/>
  <c r="D119" i="13"/>
  <c r="AA164" i="2" s="1"/>
  <c r="C128" i="13"/>
  <c r="AA178" i="2" s="1"/>
  <c r="D133" i="13"/>
  <c r="AA185" i="2" s="1"/>
  <c r="D135" i="13"/>
  <c r="AA188" i="2" s="1"/>
  <c r="C144" i="13"/>
  <c r="AA203" i="2" s="1"/>
  <c r="C151" i="13"/>
  <c r="AA211" i="2" s="1"/>
  <c r="C153" i="13"/>
  <c r="C160"/>
  <c r="AA216" i="2" s="1"/>
  <c r="C167" i="13"/>
  <c r="AA223" i="2" s="1"/>
  <c r="C169" i="13"/>
  <c r="AA227" i="2" s="1"/>
  <c r="D181" i="13"/>
  <c r="AA246" i="2" s="1"/>
  <c r="D183" i="13"/>
  <c r="AA248" i="2" s="1"/>
  <c r="D188" i="13"/>
  <c r="AA255" i="2" s="1"/>
  <c r="D197" i="13"/>
  <c r="AA270" i="2" s="1"/>
  <c r="D199" i="13"/>
  <c r="AA272" i="2" s="1"/>
  <c r="D204" i="13"/>
  <c r="D213"/>
  <c r="D215"/>
  <c r="D220"/>
  <c r="D231"/>
  <c r="D247"/>
  <c r="D252"/>
  <c r="D263"/>
  <c r="D279"/>
  <c r="C281"/>
  <c r="C288"/>
  <c r="C295"/>
  <c r="C304"/>
  <c r="C311"/>
  <c r="C320"/>
  <c r="C327"/>
  <c r="C336"/>
  <c r="C343"/>
  <c r="C345"/>
  <c r="C352"/>
  <c r="C357"/>
  <c r="C359"/>
  <c r="C368"/>
  <c r="C375"/>
  <c r="C377"/>
  <c r="C384"/>
  <c r="C391"/>
  <c r="C393"/>
  <c r="C400"/>
  <c r="C407"/>
  <c r="C409"/>
  <c r="C416"/>
  <c r="C423"/>
  <c r="C425"/>
  <c r="C432"/>
  <c r="C439"/>
  <c r="C441"/>
  <c r="C448"/>
  <c r="C453"/>
  <c r="C455"/>
  <c r="E462"/>
  <c r="C27"/>
  <c r="AA33" i="2" s="1"/>
  <c r="C36" i="13"/>
  <c r="AA43" i="2" s="1"/>
  <c r="C43" i="13"/>
  <c r="AA51" i="2" s="1"/>
  <c r="C52" i="13"/>
  <c r="AA63" i="2" s="1"/>
  <c r="C59" i="13"/>
  <c r="AA70" i="2" s="1"/>
  <c r="C68" i="13"/>
  <c r="AA81" i="2" s="1"/>
  <c r="C77" i="13"/>
  <c r="AA94" i="2" s="1"/>
  <c r="D139" i="13"/>
  <c r="AA195" i="2" s="1"/>
  <c r="C148" i="13"/>
  <c r="AA210" i="2" s="1"/>
  <c r="C157" i="13"/>
  <c r="C173"/>
  <c r="AA231" i="2" s="1"/>
  <c r="D187" i="13"/>
  <c r="AA254" i="2" s="1"/>
  <c r="D219" i="13"/>
  <c r="C283"/>
  <c r="C292"/>
  <c r="C299"/>
  <c r="C308"/>
  <c r="C315"/>
  <c r="C331"/>
  <c r="C347"/>
  <c r="C356"/>
  <c r="C381"/>
  <c r="C397"/>
  <c r="C411"/>
  <c r="C420"/>
  <c r="C427"/>
  <c r="C443"/>
  <c r="C452"/>
  <c r="C461"/>
  <c r="D81"/>
  <c r="AA103" i="2" s="1"/>
  <c r="AA101" s="1"/>
  <c r="D97" i="13"/>
  <c r="AA128" i="2" s="1"/>
  <c r="D113" i="13"/>
  <c r="AA155" i="2" s="1"/>
  <c r="D129" i="13"/>
  <c r="AA179" i="2" s="1"/>
  <c r="D145" i="13"/>
  <c r="AA204" i="2" s="1"/>
  <c r="AA202" s="1"/>
  <c r="D177" i="13"/>
  <c r="AA241" i="2" s="1"/>
  <c r="D184" i="13"/>
  <c r="AA249" i="2" s="1"/>
  <c r="D193" i="13"/>
  <c r="AA263" i="2" s="1"/>
  <c r="D200" i="13"/>
  <c r="D209"/>
  <c r="D216"/>
  <c r="D225"/>
  <c r="D232"/>
  <c r="D241"/>
  <c r="D243"/>
  <c r="D248"/>
  <c r="D257"/>
  <c r="D259"/>
  <c r="D264"/>
  <c r="D273"/>
  <c r="D275"/>
  <c r="D280"/>
  <c r="C284"/>
  <c r="C291"/>
  <c r="C300"/>
  <c r="C305"/>
  <c r="C307"/>
  <c r="C321"/>
  <c r="C323"/>
  <c r="C339"/>
  <c r="C353"/>
  <c r="C369"/>
  <c r="C387"/>
  <c r="C389"/>
  <c r="C449"/>
  <c r="C22" i="12"/>
  <c r="Z26" i="2" s="1"/>
  <c r="C40" i="12"/>
  <c r="Z48" i="2" s="1"/>
  <c r="C56" i="12"/>
  <c r="Z67" i="2" s="1"/>
  <c r="C72" i="12"/>
  <c r="Z86" i="2" s="1"/>
  <c r="C88" i="12"/>
  <c r="Z115" i="2" s="1"/>
  <c r="C104" i="12"/>
  <c r="Z141" i="2" s="1"/>
  <c r="C118" i="12"/>
  <c r="Z163" i="2" s="1"/>
  <c r="C134" i="12"/>
  <c r="Z187" i="2" s="1"/>
  <c r="C152" i="12"/>
  <c r="C168"/>
  <c r="Z224" i="2" s="1"/>
  <c r="D198" i="12"/>
  <c r="Z271" i="2" s="1"/>
  <c r="D214" i="12"/>
  <c r="D230"/>
  <c r="D246"/>
  <c r="D262"/>
  <c r="D278"/>
  <c r="C296"/>
  <c r="C310"/>
  <c r="C326"/>
  <c r="C342"/>
  <c r="C360"/>
  <c r="C374"/>
  <c r="C392"/>
  <c r="C408"/>
  <c r="C424"/>
  <c r="C438"/>
  <c r="C454"/>
  <c r="C18"/>
  <c r="Z21" i="2" s="1"/>
  <c r="C27" i="12"/>
  <c r="Z33" i="2" s="1"/>
  <c r="C34" i="12"/>
  <c r="Z40" i="2" s="1"/>
  <c r="C43" i="12"/>
  <c r="Z51" i="2" s="1"/>
  <c r="C50" i="12"/>
  <c r="Z61" i="2" s="1"/>
  <c r="C59" i="12"/>
  <c r="Z70" i="2" s="1"/>
  <c r="C66" i="12"/>
  <c r="Z79" i="2" s="1"/>
  <c r="C75" i="12"/>
  <c r="Z92" i="2" s="1"/>
  <c r="C82" i="12"/>
  <c r="Z105" i="2" s="1"/>
  <c r="D87" i="12"/>
  <c r="Z112" i="2" s="1"/>
  <c r="C98" i="12"/>
  <c r="Z131" i="2" s="1"/>
  <c r="D103" i="12"/>
  <c r="Z138" i="2" s="1"/>
  <c r="C114" i="12"/>
  <c r="Z157" i="2" s="1"/>
  <c r="D119" i="12"/>
  <c r="Z164" i="2" s="1"/>
  <c r="C130" i="12"/>
  <c r="Z181" i="2" s="1"/>
  <c r="C146" i="12"/>
  <c r="Z207" i="2" s="1"/>
  <c r="C155" i="12"/>
  <c r="C162"/>
  <c r="Z218" i="2" s="1"/>
  <c r="C171" i="12"/>
  <c r="Z229" i="2" s="1"/>
  <c r="D178" i="12"/>
  <c r="Z243" i="2" s="1"/>
  <c r="D194" i="12"/>
  <c r="Z264" i="2" s="1"/>
  <c r="D199" i="12"/>
  <c r="Z272" i="2" s="1"/>
  <c r="D210" i="12"/>
  <c r="D226"/>
  <c r="D242"/>
  <c r="D247"/>
  <c r="D258"/>
  <c r="D274"/>
  <c r="C283"/>
  <c r="C290"/>
  <c r="C299"/>
  <c r="C306"/>
  <c r="C315"/>
  <c r="C322"/>
  <c r="C331"/>
  <c r="C338"/>
  <c r="C347"/>
  <c r="C354"/>
  <c r="C356"/>
  <c r="C363"/>
  <c r="C370"/>
  <c r="C372"/>
  <c r="C379"/>
  <c r="C386"/>
  <c r="C388"/>
  <c r="C395"/>
  <c r="C402"/>
  <c r="C404"/>
  <c r="C411"/>
  <c r="C418"/>
  <c r="C420"/>
  <c r="C427"/>
  <c r="C434"/>
  <c r="C436"/>
  <c r="C443"/>
  <c r="C450"/>
  <c r="C452"/>
  <c r="C459"/>
  <c r="C24"/>
  <c r="Z28" i="2" s="1"/>
  <c r="C38" i="12"/>
  <c r="Z45" i="2" s="1"/>
  <c r="C54" i="12"/>
  <c r="Z65" i="2" s="1"/>
  <c r="C70" i="12"/>
  <c r="Z83" i="2" s="1"/>
  <c r="C86" i="12"/>
  <c r="Z111" i="2" s="1"/>
  <c r="C102" i="12"/>
  <c r="Z137" i="2" s="1"/>
  <c r="C120" i="12"/>
  <c r="Z166" i="2" s="1"/>
  <c r="C136" i="12"/>
  <c r="Z191" i="2" s="1"/>
  <c r="C150" i="12"/>
  <c r="C166"/>
  <c r="Z222" i="2" s="1"/>
  <c r="D182" i="12"/>
  <c r="Z247" i="2" s="1"/>
  <c r="C294" i="12"/>
  <c r="C312"/>
  <c r="C328"/>
  <c r="C344"/>
  <c r="C358"/>
  <c r="C376"/>
  <c r="C390"/>
  <c r="C406"/>
  <c r="C422"/>
  <c r="C440"/>
  <c r="C456"/>
  <c r="D174"/>
  <c r="Z238" i="2" s="1"/>
  <c r="D188" i="12"/>
  <c r="Z255" i="2" s="1"/>
  <c r="D204" i="12"/>
  <c r="D220"/>
  <c r="D222"/>
  <c r="D236"/>
  <c r="D252"/>
  <c r="D268"/>
  <c r="D270"/>
  <c r="C320"/>
  <c r="C398"/>
  <c r="C400"/>
  <c r="C448"/>
  <c r="F462" i="11"/>
  <c r="F475" s="1"/>
  <c r="C19"/>
  <c r="Y22" i="2" s="1"/>
  <c r="C26" i="11"/>
  <c r="Y32" i="2" s="1"/>
  <c r="C35" i="11"/>
  <c r="Y41" i="2" s="1"/>
  <c r="C42" i="11"/>
  <c r="Y35" i="2" s="1"/>
  <c r="C51" i="11"/>
  <c r="Y62" i="2" s="1"/>
  <c r="C58" i="11"/>
  <c r="Y69" i="2" s="1"/>
  <c r="C67" i="11"/>
  <c r="Y80" i="2" s="1"/>
  <c r="C74" i="11"/>
  <c r="Y91" i="2" s="1"/>
  <c r="C163" i="11"/>
  <c r="Y219" i="2" s="1"/>
  <c r="D202" i="11"/>
  <c r="D218"/>
  <c r="D234"/>
  <c r="D250"/>
  <c r="C282"/>
  <c r="C291"/>
  <c r="C298"/>
  <c r="C314"/>
  <c r="C323"/>
  <c r="C330"/>
  <c r="C339"/>
  <c r="C371"/>
  <c r="C378"/>
  <c r="C387"/>
  <c r="C403"/>
  <c r="C410"/>
  <c r="C419"/>
  <c r="C426"/>
  <c r="C435"/>
  <c r="C442"/>
  <c r="C451"/>
  <c r="E462"/>
  <c r="C15"/>
  <c r="Y17" i="2" s="1"/>
  <c r="C20" i="11"/>
  <c r="Y23" i="2" s="1"/>
  <c r="C22" i="11"/>
  <c r="Y26" i="2" s="1"/>
  <c r="C31" i="11"/>
  <c r="Y37" i="2" s="1"/>
  <c r="C38" i="11"/>
  <c r="Y45" i="2" s="1"/>
  <c r="C47" i="11"/>
  <c r="Y57" i="2" s="1"/>
  <c r="C54" i="11"/>
  <c r="Y65" i="2" s="1"/>
  <c r="C63" i="11"/>
  <c r="Y75" i="2" s="1"/>
  <c r="C70" i="11"/>
  <c r="Y83" i="2" s="1"/>
  <c r="C79" i="11"/>
  <c r="Y100" i="2" s="1"/>
  <c r="C86" i="11"/>
  <c r="Y111" i="2" s="1"/>
  <c r="C102" i="11"/>
  <c r="Y137" i="2" s="1"/>
  <c r="C116" i="11"/>
  <c r="Y160" i="2" s="1"/>
  <c r="C118" i="11"/>
  <c r="Y163" i="2" s="1"/>
  <c r="D123" i="11"/>
  <c r="Y170" i="2" s="1"/>
  <c r="C132" i="11"/>
  <c r="Y184" i="2" s="1"/>
  <c r="C134" i="11"/>
  <c r="Y187" i="2" s="1"/>
  <c r="D139" i="11"/>
  <c r="Y195" i="2" s="1"/>
  <c r="C150" i="11"/>
  <c r="C159"/>
  <c r="Y215" i="2" s="1"/>
  <c r="C164" i="11"/>
  <c r="Y220" i="2" s="1"/>
  <c r="C166" i="11"/>
  <c r="Y222" i="2" s="1"/>
  <c r="D182" i="11"/>
  <c r="Y247" i="2" s="1"/>
  <c r="D198" i="11"/>
  <c r="Y271" i="2" s="1"/>
  <c r="D214" i="11"/>
  <c r="D219"/>
  <c r="D228"/>
  <c r="D230"/>
  <c r="D235"/>
  <c r="D246"/>
  <c r="D262"/>
  <c r="D278"/>
  <c r="C287"/>
  <c r="C294"/>
  <c r="C303"/>
  <c r="C310"/>
  <c r="C319"/>
  <c r="C326"/>
  <c r="C335"/>
  <c r="C342"/>
  <c r="C351"/>
  <c r="C356"/>
  <c r="C358"/>
  <c r="C367"/>
  <c r="C374"/>
  <c r="C383"/>
  <c r="C390"/>
  <c r="C399"/>
  <c r="C406"/>
  <c r="C415"/>
  <c r="C422"/>
  <c r="C431"/>
  <c r="C438"/>
  <c r="C447"/>
  <c r="C454"/>
  <c r="C347" i="15"/>
  <c r="C90" i="11"/>
  <c r="Y118" i="2" s="1"/>
  <c r="C106" i="11"/>
  <c r="Y144" i="2" s="1"/>
  <c r="C122" i="11"/>
  <c r="Y169" i="2" s="1"/>
  <c r="C138" i="11"/>
  <c r="Y194" i="2" s="1"/>
  <c r="C154" i="11"/>
  <c r="C170"/>
  <c r="Y228" i="2" s="1"/>
  <c r="D186" i="11"/>
  <c r="Y253" i="2" s="1"/>
  <c r="D266" i="11"/>
  <c r="C307"/>
  <c r="C346"/>
  <c r="C355"/>
  <c r="C362"/>
  <c r="C394"/>
  <c r="C458"/>
  <c r="Y132" i="2"/>
  <c r="C13" i="11"/>
  <c r="Y15" i="2" s="1"/>
  <c r="C16" i="11"/>
  <c r="Y18" i="2" s="1"/>
  <c r="C32" i="11"/>
  <c r="Y38" i="2" s="1"/>
  <c r="C34" i="11"/>
  <c r="Y40" i="2" s="1"/>
  <c r="C48" i="11"/>
  <c r="Y59" i="2" s="1"/>
  <c r="C64" i="11"/>
  <c r="Y76" i="2" s="1"/>
  <c r="C66" i="11"/>
  <c r="Y79" i="2" s="1"/>
  <c r="C75" i="11"/>
  <c r="Y92" i="2" s="1"/>
  <c r="C80" i="11"/>
  <c r="Y102" i="2" s="1"/>
  <c r="C82" i="11"/>
  <c r="Y105" i="2" s="1"/>
  <c r="D87" i="11"/>
  <c r="Y112" i="2" s="1"/>
  <c r="C96" i="11"/>
  <c r="Y127" i="2" s="1"/>
  <c r="C98" i="11"/>
  <c r="Y131" i="2" s="1"/>
  <c r="D103" i="11"/>
  <c r="Y138" i="2" s="1"/>
  <c r="C112" i="11"/>
  <c r="Y154" i="2" s="1"/>
  <c r="D119" i="11"/>
  <c r="Y164" i="2" s="1"/>
  <c r="C128" i="11"/>
  <c r="Y178" i="2" s="1"/>
  <c r="D135" i="11"/>
  <c r="Y188" i="2" s="1"/>
  <c r="C144" i="11"/>
  <c r="Y203" i="2" s="1"/>
  <c r="C160" i="11"/>
  <c r="Y216" i="2" s="1"/>
  <c r="D176" i="11"/>
  <c r="Y240" i="2" s="1"/>
  <c r="D178" i="11"/>
  <c r="Y243" i="2" s="1"/>
  <c r="D183" i="11"/>
  <c r="Y248" i="2" s="1"/>
  <c r="D192" i="11"/>
  <c r="Y262" i="2" s="1"/>
  <c r="D194" i="11"/>
  <c r="Y264" i="2" s="1"/>
  <c r="D199" i="11"/>
  <c r="Y272" i="2" s="1"/>
  <c r="D208" i="11"/>
  <c r="D210"/>
  <c r="D215"/>
  <c r="D224"/>
  <c r="D231"/>
  <c r="D240"/>
  <c r="D242"/>
  <c r="D247"/>
  <c r="D256"/>
  <c r="D258"/>
  <c r="D263"/>
  <c r="D272"/>
  <c r="D279"/>
  <c r="C288"/>
  <c r="C304"/>
  <c r="C306"/>
  <c r="C320"/>
  <c r="C336"/>
  <c r="C338"/>
  <c r="C352"/>
  <c r="C368"/>
  <c r="C384"/>
  <c r="C386"/>
  <c r="C400"/>
  <c r="C402"/>
  <c r="C416"/>
  <c r="C418"/>
  <c r="C432"/>
  <c r="C434"/>
  <c r="C448"/>
  <c r="C450"/>
  <c r="X132" i="2"/>
  <c r="X135"/>
  <c r="C14" i="10"/>
  <c r="X16" i="2" s="1"/>
  <c r="C30" i="10"/>
  <c r="X36" i="2" s="1"/>
  <c r="C44" i="10"/>
  <c r="X54" i="2" s="1"/>
  <c r="C53" i="10"/>
  <c r="X64" i="2" s="1"/>
  <c r="C60" i="10"/>
  <c r="X71" i="2" s="1"/>
  <c r="C69" i="10"/>
  <c r="X82" i="2" s="1"/>
  <c r="C76" i="10"/>
  <c r="X93" i="2" s="1"/>
  <c r="C94" i="10"/>
  <c r="X124" i="2" s="1"/>
  <c r="C110" i="10"/>
  <c r="X150" i="2" s="1"/>
  <c r="C124" i="10"/>
  <c r="X172" i="2" s="1"/>
  <c r="C149" i="10"/>
  <c r="C165"/>
  <c r="X221" i="2" s="1"/>
  <c r="C172" i="10"/>
  <c r="X230" i="2" s="1"/>
  <c r="D204" i="10"/>
  <c r="D220"/>
  <c r="D236"/>
  <c r="D252"/>
  <c r="D268"/>
  <c r="C286"/>
  <c r="C293"/>
  <c r="C325"/>
  <c r="C332"/>
  <c r="C341"/>
  <c r="C348"/>
  <c r="C357"/>
  <c r="C382"/>
  <c r="C398"/>
  <c r="C405"/>
  <c r="C412"/>
  <c r="C421"/>
  <c r="C428"/>
  <c r="C437"/>
  <c r="C444"/>
  <c r="C453"/>
  <c r="C54"/>
  <c r="X65" i="2" s="1"/>
  <c r="C68" i="10"/>
  <c r="X81" i="2" s="1"/>
  <c r="C70" i="10"/>
  <c r="X83" i="2" s="1"/>
  <c r="C77" i="10"/>
  <c r="X94" i="2" s="1"/>
  <c r="C84" i="10"/>
  <c r="X108" i="2" s="1"/>
  <c r="C86" i="10"/>
  <c r="X111" i="2" s="1"/>
  <c r="D89" i="10"/>
  <c r="X116" i="2" s="1"/>
  <c r="C100" i="10"/>
  <c r="X134" i="2" s="1"/>
  <c r="C102" i="10"/>
  <c r="X137" i="2" s="1"/>
  <c r="D105" i="10"/>
  <c r="X142" i="2" s="1"/>
  <c r="C116" i="10"/>
  <c r="X160" i="2" s="1"/>
  <c r="C118" i="10"/>
  <c r="X163" i="2" s="1"/>
  <c r="D121" i="10"/>
  <c r="X167" i="2" s="1"/>
  <c r="C132" i="10"/>
  <c r="X184" i="2" s="1"/>
  <c r="C134" i="10"/>
  <c r="X187" i="2" s="1"/>
  <c r="D137" i="10"/>
  <c r="X192" i="2" s="1"/>
  <c r="C146" i="10"/>
  <c r="X207" i="2" s="1"/>
  <c r="C148" i="10"/>
  <c r="X210" i="2" s="1"/>
  <c r="C157" i="10"/>
  <c r="C162"/>
  <c r="X218" i="2" s="1"/>
  <c r="C164" i="10"/>
  <c r="X220" i="2" s="1"/>
  <c r="D178" i="10"/>
  <c r="X243" i="2" s="1"/>
  <c r="D180" i="10"/>
  <c r="X245" i="2" s="1"/>
  <c r="D185" i="10"/>
  <c r="X251" i="2" s="1"/>
  <c r="D194" i="10"/>
  <c r="X264" i="2" s="1"/>
  <c r="D196" i="10"/>
  <c r="X266" i="2" s="1"/>
  <c r="D201" i="10"/>
  <c r="D210"/>
  <c r="D212"/>
  <c r="D217"/>
  <c r="D226"/>
  <c r="D228"/>
  <c r="D233"/>
  <c r="D242"/>
  <c r="D244"/>
  <c r="D249"/>
  <c r="D258"/>
  <c r="D260"/>
  <c r="D265"/>
  <c r="D274"/>
  <c r="D276"/>
  <c r="C290"/>
  <c r="C306"/>
  <c r="C308"/>
  <c r="C322"/>
  <c r="C333"/>
  <c r="C338"/>
  <c r="C340"/>
  <c r="C354"/>
  <c r="C370"/>
  <c r="C374"/>
  <c r="C381"/>
  <c r="C21"/>
  <c r="X24" i="2" s="1"/>
  <c r="C28" i="10"/>
  <c r="X34" i="2" s="1"/>
  <c r="C37" i="10"/>
  <c r="X44" i="2" s="1"/>
  <c r="C46" i="10"/>
  <c r="X56" i="2" s="1"/>
  <c r="C62" i="10"/>
  <c r="X74" i="2" s="1"/>
  <c r="C78" i="10"/>
  <c r="X96" i="2" s="1"/>
  <c r="C92" i="10"/>
  <c r="X121" i="2" s="1"/>
  <c r="C108" i="10"/>
  <c r="X147" i="2" s="1"/>
  <c r="C140" i="10"/>
  <c r="X197" i="2" s="1"/>
  <c r="C156" i="10"/>
  <c r="D188"/>
  <c r="X255" i="2" s="1"/>
  <c r="C284" i="10"/>
  <c r="C300"/>
  <c r="C309"/>
  <c r="C316"/>
  <c r="C364"/>
  <c r="C373"/>
  <c r="C380"/>
  <c r="C389"/>
  <c r="C396"/>
  <c r="C414"/>
  <c r="C430"/>
  <c r="C446"/>
  <c r="C460"/>
  <c r="F462"/>
  <c r="C24"/>
  <c r="X28" i="2" s="1"/>
  <c r="C26" i="10"/>
  <c r="X32" i="2" s="1"/>
  <c r="C33" i="10"/>
  <c r="X39" i="2" s="1"/>
  <c r="C40" i="10"/>
  <c r="X48" i="2" s="1"/>
  <c r="C42" i="10"/>
  <c r="X35" i="2" s="1"/>
  <c r="C49" i="10"/>
  <c r="X60" i="2" s="1"/>
  <c r="C56" i="10"/>
  <c r="X67" i="2" s="1"/>
  <c r="C58" i="10"/>
  <c r="X69" i="2" s="1"/>
  <c r="C65" i="10"/>
  <c r="X78" i="2" s="1"/>
  <c r="C72" i="10"/>
  <c r="X86" i="2" s="1"/>
  <c r="C74" i="10"/>
  <c r="X91" i="2" s="1"/>
  <c r="C88" i="10"/>
  <c r="X115" i="2" s="1"/>
  <c r="C90" i="10"/>
  <c r="X118" i="2" s="1"/>
  <c r="C104" i="10"/>
  <c r="X141" i="2" s="1"/>
  <c r="C106" i="10"/>
  <c r="X144" i="2" s="1"/>
  <c r="C120" i="10"/>
  <c r="X166" i="2" s="1"/>
  <c r="C122" i="10"/>
  <c r="X169" i="2" s="1"/>
  <c r="C136" i="10"/>
  <c r="X191" i="2" s="1"/>
  <c r="C138" i="10"/>
  <c r="X194" i="2" s="1"/>
  <c r="C152" i="10"/>
  <c r="C161"/>
  <c r="X217" i="2" s="1"/>
  <c r="C168" i="10"/>
  <c r="X224" i="2" s="1"/>
  <c r="C170" i="10"/>
  <c r="X228" i="2" s="1"/>
  <c r="D184" i="10"/>
  <c r="X249" i="2" s="1"/>
  <c r="D189" i="10"/>
  <c r="X256" i="2" s="1"/>
  <c r="D200" i="10"/>
  <c r="D216"/>
  <c r="D221"/>
  <c r="D232"/>
  <c r="D248"/>
  <c r="D253"/>
  <c r="D264"/>
  <c r="D269"/>
  <c r="D280"/>
  <c r="C282"/>
  <c r="C289"/>
  <c r="C296"/>
  <c r="C305"/>
  <c r="C312"/>
  <c r="C321"/>
  <c r="C328"/>
  <c r="C337"/>
  <c r="C344"/>
  <c r="C346"/>
  <c r="C353"/>
  <c r="C358"/>
  <c r="C360"/>
  <c r="C362"/>
  <c r="C369"/>
  <c r="C376"/>
  <c r="C378"/>
  <c r="C385"/>
  <c r="C392"/>
  <c r="C394"/>
  <c r="C401"/>
  <c r="C408"/>
  <c r="C410"/>
  <c r="C417"/>
  <c r="C424"/>
  <c r="C426"/>
  <c r="C433"/>
  <c r="C440"/>
  <c r="C442"/>
  <c r="C449"/>
  <c r="C456"/>
  <c r="C458"/>
  <c r="C69" i="15"/>
  <c r="C55"/>
  <c r="D279"/>
  <c r="C407"/>
  <c r="C42"/>
  <c r="C62"/>
  <c r="C126"/>
  <c r="C150"/>
  <c r="D174"/>
  <c r="D246"/>
  <c r="C288"/>
  <c r="C352"/>
  <c r="C376"/>
  <c r="C460"/>
  <c r="C53"/>
  <c r="D123"/>
  <c r="C159"/>
  <c r="D217"/>
  <c r="C290"/>
  <c r="C305"/>
  <c r="C315"/>
  <c r="C321"/>
  <c r="C383"/>
  <c r="C453"/>
  <c r="C29"/>
  <c r="D179"/>
  <c r="C308"/>
  <c r="C33"/>
  <c r="D85"/>
  <c r="D178"/>
  <c r="C15"/>
  <c r="C399"/>
  <c r="C161"/>
  <c r="D91"/>
  <c r="C71"/>
  <c r="D135"/>
  <c r="D231"/>
  <c r="C295"/>
  <c r="C327"/>
  <c r="C455"/>
  <c r="C138"/>
  <c r="D222"/>
  <c r="C88"/>
  <c r="C152"/>
  <c r="C344"/>
  <c r="C428"/>
  <c r="C358"/>
  <c r="C422"/>
  <c r="C77"/>
  <c r="D133"/>
  <c r="D177"/>
  <c r="D187"/>
  <c r="D249"/>
  <c r="C433"/>
  <c r="D233"/>
  <c r="C283"/>
  <c r="C341"/>
  <c r="C355"/>
  <c r="C387"/>
  <c r="C294"/>
  <c r="C458"/>
  <c r="D260"/>
  <c r="C169"/>
  <c r="C285"/>
  <c r="C353"/>
  <c r="C27"/>
  <c r="C155"/>
  <c r="D271"/>
  <c r="C59"/>
  <c r="D143"/>
  <c r="D174" i="7"/>
  <c r="U238" i="2" s="1"/>
  <c r="C419" i="15"/>
  <c r="C379"/>
  <c r="D97"/>
  <c r="C106"/>
  <c r="C17"/>
  <c r="D184"/>
  <c r="D205"/>
  <c r="C281"/>
  <c r="C345"/>
  <c r="C367"/>
  <c r="C402"/>
  <c r="C461"/>
  <c r="D222" i="7"/>
  <c r="D193" i="15"/>
  <c r="C325"/>
  <c r="C446"/>
  <c r="C49"/>
  <c r="D129"/>
  <c r="C401"/>
  <c r="C164"/>
  <c r="C114"/>
  <c r="D265" i="6"/>
  <c r="D217"/>
  <c r="D125"/>
  <c r="D123"/>
  <c r="D121"/>
  <c r="D111"/>
  <c r="T151" i="2" s="1"/>
  <c r="C382" i="15"/>
  <c r="C388"/>
  <c r="C25"/>
  <c r="D181"/>
  <c r="C313"/>
  <c r="D277"/>
  <c r="D99"/>
  <c r="D131"/>
  <c r="D195"/>
  <c r="C451"/>
  <c r="C80"/>
  <c r="C318"/>
  <c r="C350"/>
  <c r="C47"/>
  <c r="D175"/>
  <c r="D185"/>
  <c r="C397"/>
  <c r="C354"/>
  <c r="D145"/>
  <c r="D198"/>
  <c r="D213"/>
  <c r="C349"/>
  <c r="C158"/>
  <c r="C76"/>
  <c r="C357"/>
  <c r="C454"/>
  <c r="C306"/>
  <c r="D254"/>
  <c r="C405"/>
  <c r="C170"/>
  <c r="D234"/>
  <c r="C298"/>
  <c r="C41"/>
  <c r="D105"/>
  <c r="C173"/>
  <c r="D242"/>
  <c r="C52"/>
  <c r="C297"/>
  <c r="C359"/>
  <c r="C128"/>
  <c r="C300"/>
  <c r="C427"/>
  <c r="D253"/>
  <c r="C457"/>
  <c r="C149"/>
  <c r="C56"/>
  <c r="D268"/>
  <c r="C396"/>
  <c r="D262"/>
  <c r="C390"/>
  <c r="C424"/>
  <c r="C82"/>
  <c r="C108"/>
  <c r="D113"/>
  <c r="D197"/>
  <c r="D93"/>
  <c r="C366"/>
  <c r="C425"/>
  <c r="D121"/>
  <c r="D269"/>
  <c r="C369"/>
  <c r="C50"/>
  <c r="D228"/>
  <c r="D115"/>
  <c r="D211"/>
  <c r="C339"/>
  <c r="C38"/>
  <c r="C78"/>
  <c r="C122"/>
  <c r="D278"/>
  <c r="C284"/>
  <c r="C328"/>
  <c r="C348"/>
  <c r="C412"/>
  <c r="C456"/>
  <c r="C68"/>
  <c r="C356"/>
  <c r="C406"/>
  <c r="C426"/>
  <c r="C104"/>
  <c r="C116"/>
  <c r="C445"/>
  <c r="C452"/>
  <c r="C28"/>
  <c r="D264"/>
  <c r="C420"/>
  <c r="C342"/>
  <c r="C437"/>
  <c r="C37"/>
  <c r="C333"/>
  <c r="D103"/>
  <c r="C167"/>
  <c r="C391"/>
  <c r="C74"/>
  <c r="D186"/>
  <c r="D266"/>
  <c r="C24"/>
  <c r="C44"/>
  <c r="D236"/>
  <c r="D190"/>
  <c r="D238"/>
  <c r="C330"/>
  <c r="C418"/>
  <c r="C398"/>
  <c r="D232"/>
  <c r="C386"/>
  <c r="C32"/>
  <c r="D89"/>
  <c r="D111"/>
  <c r="D127"/>
  <c r="D223"/>
  <c r="D229"/>
  <c r="D239"/>
  <c r="C338"/>
  <c r="C380"/>
  <c r="C400"/>
  <c r="C409"/>
  <c r="C148"/>
  <c r="C157"/>
  <c r="D244"/>
  <c r="C361"/>
  <c r="C381"/>
  <c r="C395"/>
  <c r="C324"/>
  <c r="C421"/>
  <c r="C436"/>
  <c r="C45"/>
  <c r="C146"/>
  <c r="C165"/>
  <c r="C362"/>
  <c r="D251"/>
  <c r="D261"/>
  <c r="C35"/>
  <c r="C67"/>
  <c r="C163"/>
  <c r="C291"/>
  <c r="C323"/>
  <c r="C26"/>
  <c r="C70"/>
  <c r="C90"/>
  <c r="C134"/>
  <c r="D214"/>
  <c r="D272"/>
  <c r="C360"/>
  <c r="C444"/>
  <c r="D270"/>
  <c r="C374"/>
  <c r="C414"/>
  <c r="C66"/>
  <c r="C18"/>
  <c r="D125"/>
  <c r="D220"/>
  <c r="C447"/>
  <c r="C86"/>
  <c r="D180"/>
  <c r="C299"/>
  <c r="C450"/>
  <c r="D202"/>
  <c r="C102"/>
  <c r="C51"/>
  <c r="C166"/>
  <c r="D192"/>
  <c r="D240"/>
  <c r="C442"/>
  <c r="C98"/>
  <c r="D200"/>
  <c r="C431"/>
  <c r="C413"/>
  <c r="C132"/>
  <c r="D227"/>
  <c r="D259"/>
  <c r="C16"/>
  <c r="C40"/>
  <c r="C144"/>
  <c r="C316"/>
  <c r="C336"/>
  <c r="D230"/>
  <c r="C394"/>
  <c r="C124"/>
  <c r="C61"/>
  <c r="C377"/>
  <c r="C440"/>
  <c r="C20"/>
  <c r="C43"/>
  <c r="C73"/>
  <c r="C142"/>
  <c r="C151"/>
  <c r="C162"/>
  <c r="D189"/>
  <c r="D203"/>
  <c r="D275"/>
  <c r="C331"/>
  <c r="C403"/>
  <c r="C410"/>
  <c r="C36"/>
  <c r="D273"/>
  <c r="C337"/>
  <c r="C429"/>
  <c r="C370"/>
  <c r="C48"/>
  <c r="C13"/>
  <c r="C94"/>
  <c r="C54"/>
  <c r="D237"/>
  <c r="D147"/>
  <c r="C378"/>
  <c r="C21"/>
  <c r="C441"/>
  <c r="C382" i="5"/>
  <c r="D198"/>
  <c r="S271" i="2" s="1"/>
  <c r="D178" i="5"/>
  <c r="S243" i="2" s="1"/>
  <c r="C30" i="5"/>
  <c r="S36" i="2" s="1"/>
  <c r="C14" i="5"/>
  <c r="S16" i="2" s="1"/>
  <c r="C23" i="15"/>
  <c r="D87"/>
  <c r="D183"/>
  <c r="C286"/>
  <c r="C326"/>
  <c r="C312"/>
  <c r="C332"/>
  <c r="D188"/>
  <c r="C346"/>
  <c r="C430"/>
  <c r="C112"/>
  <c r="C156"/>
  <c r="C172"/>
  <c r="D224"/>
  <c r="C303"/>
  <c r="D83"/>
  <c r="D139"/>
  <c r="C307"/>
  <c r="C340"/>
  <c r="C459"/>
  <c r="D245"/>
  <c r="C292"/>
  <c r="C448"/>
  <c r="C439"/>
  <c r="C438"/>
  <c r="C423"/>
  <c r="C415"/>
  <c r="C404"/>
  <c r="C393"/>
  <c r="C389"/>
  <c r="C385"/>
  <c r="C371"/>
  <c r="C364"/>
  <c r="C363"/>
  <c r="C351"/>
  <c r="C343"/>
  <c r="C329"/>
  <c r="C322"/>
  <c r="C317"/>
  <c r="C311"/>
  <c r="C310"/>
  <c r="C309"/>
  <c r="C304"/>
  <c r="C302"/>
  <c r="C296"/>
  <c r="C282"/>
  <c r="D280"/>
  <c r="D277" i="6"/>
  <c r="D276" i="15"/>
  <c r="D275" i="6"/>
  <c r="D263"/>
  <c r="D255" i="15"/>
  <c r="D252"/>
  <c r="D250"/>
  <c r="D248"/>
  <c r="D243"/>
  <c r="D233" i="6"/>
  <c r="D231"/>
  <c r="D218" i="15"/>
  <c r="D215" i="6"/>
  <c r="D209" i="15"/>
  <c r="D201"/>
  <c r="D137"/>
  <c r="D117"/>
  <c r="D115" i="6"/>
  <c r="D109" i="15"/>
  <c r="D107"/>
  <c r="D101"/>
  <c r="C160"/>
  <c r="C154"/>
  <c r="C153"/>
  <c r="C130"/>
  <c r="C120"/>
  <c r="C118"/>
  <c r="C84"/>
  <c r="C75"/>
  <c r="C63"/>
  <c r="C60"/>
  <c r="C58"/>
  <c r="C57"/>
  <c r="C34"/>
  <c r="C22"/>
  <c r="N475"/>
  <c r="J475"/>
  <c r="C14"/>
  <c r="F462"/>
  <c r="H475"/>
  <c r="C46"/>
  <c r="D206"/>
  <c r="C92"/>
  <c r="C392"/>
  <c r="C432"/>
  <c r="C334"/>
  <c r="C72"/>
  <c r="D176"/>
  <c r="D258"/>
  <c r="D95"/>
  <c r="C319"/>
  <c r="C110"/>
  <c r="C31"/>
  <c r="D265"/>
  <c r="D119"/>
  <c r="D215"/>
  <c r="D247"/>
  <c r="C375"/>
  <c r="C368"/>
  <c r="D191"/>
  <c r="D226"/>
  <c r="D182"/>
  <c r="AA114" i="2"/>
  <c r="AA120"/>
  <c r="AA140"/>
  <c r="AA165"/>
  <c r="AA171"/>
  <c r="AA190"/>
  <c r="AA196"/>
  <c r="AA123"/>
  <c r="AA149"/>
  <c r="AA162"/>
  <c r="AA186"/>
  <c r="E462" i="15"/>
  <c r="AA104" i="2"/>
  <c r="AA130"/>
  <c r="AA143"/>
  <c r="AA156"/>
  <c r="AA180"/>
  <c r="AA214"/>
  <c r="AA193"/>
  <c r="AA206"/>
  <c r="C13" i="14"/>
  <c r="C13" i="13"/>
  <c r="C359" i="12"/>
  <c r="C375"/>
  <c r="C391"/>
  <c r="C407"/>
  <c r="C423"/>
  <c r="C439"/>
  <c r="C455"/>
  <c r="F462"/>
  <c r="F475" s="1"/>
  <c r="C15"/>
  <c r="Z17" i="2" s="1"/>
  <c r="C20" i="12"/>
  <c r="Z23" i="2" s="1"/>
  <c r="C23" i="12"/>
  <c r="Z27" i="2" s="1"/>
  <c r="C28" i="12"/>
  <c r="C31"/>
  <c r="Z37" i="2" s="1"/>
  <c r="C36" i="12"/>
  <c r="Z43" i="2" s="1"/>
  <c r="C39" i="12"/>
  <c r="Z46" i="2" s="1"/>
  <c r="C44" i="12"/>
  <c r="Z54" i="2" s="1"/>
  <c r="C47" i="12"/>
  <c r="Z57" i="2" s="1"/>
  <c r="C52" i="12"/>
  <c r="Z63" i="2" s="1"/>
  <c r="C55" i="12"/>
  <c r="Z66" i="2" s="1"/>
  <c r="C60" i="12"/>
  <c r="Z71" i="2" s="1"/>
  <c r="C63" i="12"/>
  <c r="Z75" i="2" s="1"/>
  <c r="C68" i="12"/>
  <c r="Z81" i="2" s="1"/>
  <c r="C71" i="12"/>
  <c r="Z84" i="2" s="1"/>
  <c r="C76" i="12"/>
  <c r="Z93" i="2" s="1"/>
  <c r="C79" i="12"/>
  <c r="Z100" i="2" s="1"/>
  <c r="C84" i="12"/>
  <c r="Z108" i="2" s="1"/>
  <c r="C92" i="12"/>
  <c r="Z121" i="2" s="1"/>
  <c r="C100" i="12"/>
  <c r="Z134" i="2" s="1"/>
  <c r="C108" i="12"/>
  <c r="Z147" i="2" s="1"/>
  <c r="C116" i="12"/>
  <c r="Z160" i="2" s="1"/>
  <c r="C124" i="12"/>
  <c r="Z172" i="2" s="1"/>
  <c r="C132" i="12"/>
  <c r="Z184" i="2" s="1"/>
  <c r="C140" i="12"/>
  <c r="Z197" i="2" s="1"/>
  <c r="C148" i="12"/>
  <c r="Z210" i="2" s="1"/>
  <c r="C151" i="12"/>
  <c r="Z211" i="2" s="1"/>
  <c r="C156" i="12"/>
  <c r="C159"/>
  <c r="Z215" i="2" s="1"/>
  <c r="C164" i="12"/>
  <c r="Z220" i="2" s="1"/>
  <c r="C167" i="12"/>
  <c r="Z223" i="2" s="1"/>
  <c r="C172" i="12"/>
  <c r="Z230" i="2" s="1"/>
  <c r="C284" i="12"/>
  <c r="C287"/>
  <c r="C292"/>
  <c r="C295"/>
  <c r="C300"/>
  <c r="C303"/>
  <c r="C308"/>
  <c r="C311"/>
  <c r="C316"/>
  <c r="C319"/>
  <c r="C324"/>
  <c r="C327"/>
  <c r="C332"/>
  <c r="C335"/>
  <c r="C340"/>
  <c r="C343"/>
  <c r="C348"/>
  <c r="C355"/>
  <c r="C371"/>
  <c r="C387"/>
  <c r="C403"/>
  <c r="C419"/>
  <c r="C435"/>
  <c r="C451"/>
  <c r="E462"/>
  <c r="D83"/>
  <c r="Z106" i="2" s="1"/>
  <c r="D91" i="12"/>
  <c r="Z119" i="2" s="1"/>
  <c r="D99" i="12"/>
  <c r="D107"/>
  <c r="Z145" i="2" s="1"/>
  <c r="D115" i="12"/>
  <c r="Z158" i="2" s="1"/>
  <c r="D123" i="12"/>
  <c r="Z170" i="2" s="1"/>
  <c r="D131" i="12"/>
  <c r="Z182" i="2" s="1"/>
  <c r="D139" i="12"/>
  <c r="Z195" i="2" s="1"/>
  <c r="D147" i="12"/>
  <c r="Z208" i="2" s="1"/>
  <c r="D179" i="12"/>
  <c r="Z244" i="2" s="1"/>
  <c r="D187" i="12"/>
  <c r="Z254" i="2" s="1"/>
  <c r="D195" i="12"/>
  <c r="Z265" i="2" s="1"/>
  <c r="D203" i="12"/>
  <c r="D211"/>
  <c r="D219"/>
  <c r="D227"/>
  <c r="D235"/>
  <c r="D243"/>
  <c r="D251"/>
  <c r="D259"/>
  <c r="D267"/>
  <c r="D275"/>
  <c r="C351"/>
  <c r="C367"/>
  <c r="C383"/>
  <c r="C399"/>
  <c r="C415"/>
  <c r="C431"/>
  <c r="C447"/>
  <c r="D462" i="11"/>
  <c r="E462" i="10"/>
  <c r="D272" i="9"/>
  <c r="D226" i="7"/>
  <c r="D218"/>
  <c r="D202"/>
  <c r="D176"/>
  <c r="U240" i="2" s="1"/>
  <c r="D210" i="5"/>
  <c r="D174"/>
  <c r="S238" i="2" s="1"/>
  <c r="D224" i="7"/>
  <c r="D212"/>
  <c r="D206"/>
  <c r="D178"/>
  <c r="U243" i="2" s="1"/>
  <c r="D206" i="5"/>
  <c r="C421" i="9"/>
  <c r="C458" i="8"/>
  <c r="C433" i="9"/>
  <c r="C435"/>
  <c r="C437"/>
  <c r="C41" i="4"/>
  <c r="R50" i="2" s="1"/>
  <c r="D277" i="4"/>
  <c r="C297"/>
  <c r="C453"/>
  <c r="C414" i="8"/>
  <c r="C423" i="9"/>
  <c r="C453"/>
  <c r="C42" i="4"/>
  <c r="C44"/>
  <c r="R54" i="2" s="1"/>
  <c r="C163" i="5"/>
  <c r="S219" i="2" s="1"/>
  <c r="C339" i="5"/>
  <c r="D280" i="6"/>
  <c r="C284"/>
  <c r="C296"/>
  <c r="C300"/>
  <c r="C346"/>
  <c r="C360"/>
  <c r="C161" i="7"/>
  <c r="U217" i="2" s="1"/>
  <c r="C165" i="7"/>
  <c r="U221" i="2" s="1"/>
  <c r="D175" i="7"/>
  <c r="U239" i="2" s="1"/>
  <c r="D207" i="7"/>
  <c r="C381"/>
  <c r="C405"/>
  <c r="C409"/>
  <c r="C413"/>
  <c r="C286" i="8"/>
  <c r="C302"/>
  <c r="C334"/>
  <c r="C350"/>
  <c r="C362"/>
  <c r="C400"/>
  <c r="C412"/>
  <c r="C390" i="5"/>
  <c r="C398"/>
  <c r="C402"/>
  <c r="C19"/>
  <c r="S22" i="2" s="1"/>
  <c r="C282" i="6"/>
  <c r="C298"/>
  <c r="C344"/>
  <c r="C348"/>
  <c r="C362"/>
  <c r="C159" i="7"/>
  <c r="U215" i="2" s="1"/>
  <c r="C163" i="7"/>
  <c r="U219" i="2" s="1"/>
  <c r="D203" i="7"/>
  <c r="D211"/>
  <c r="C379"/>
  <c r="C403"/>
  <c r="C407"/>
  <c r="C411"/>
  <c r="C427"/>
  <c r="C14" i="8"/>
  <c r="V16" i="2" s="1"/>
  <c r="C138" i="8"/>
  <c r="V194" i="2" s="1"/>
  <c r="D238" i="8"/>
  <c r="C352"/>
  <c r="C364"/>
  <c r="C398"/>
  <c r="C410"/>
  <c r="D280" i="4"/>
  <c r="C388"/>
  <c r="C392"/>
  <c r="D117" i="9"/>
  <c r="W161" i="2" s="1"/>
  <c r="D129" i="9"/>
  <c r="W179" i="2" s="1"/>
  <c r="D133" i="9"/>
  <c r="W185" i="2" s="1"/>
  <c r="D135" i="9"/>
  <c r="W188" i="2" s="1"/>
  <c r="D137" i="9"/>
  <c r="W192" i="2" s="1"/>
  <c r="D139" i="9"/>
  <c r="W195" i="2" s="1"/>
  <c r="D141" i="9"/>
  <c r="W198" i="2" s="1"/>
  <c r="D143" i="9"/>
  <c r="W201" i="2" s="1"/>
  <c r="D181" i="9"/>
  <c r="W246" i="2" s="1"/>
  <c r="D185" i="9"/>
  <c r="W251" i="2" s="1"/>
  <c r="W250" s="1"/>
  <c r="D187" i="9"/>
  <c r="W254" i="2" s="1"/>
  <c r="D197" i="9"/>
  <c r="W270" i="2" s="1"/>
  <c r="D201" i="9"/>
  <c r="D203"/>
  <c r="D205"/>
  <c r="D207"/>
  <c r="D245"/>
  <c r="D247"/>
  <c r="D249"/>
  <c r="D257"/>
  <c r="D261"/>
  <c r="D263"/>
  <c r="D265"/>
  <c r="D267"/>
  <c r="D269"/>
  <c r="D271"/>
  <c r="C134"/>
  <c r="W187" i="2" s="1"/>
  <c r="C138" i="9"/>
  <c r="W194" i="2" s="1"/>
  <c r="C314" i="9"/>
  <c r="C330"/>
  <c r="C332"/>
  <c r="C35" i="5"/>
  <c r="S41" i="2" s="1"/>
  <c r="D99" i="5"/>
  <c r="S132" i="2" s="1"/>
  <c r="D101" i="5"/>
  <c r="D103"/>
  <c r="S138" i="2" s="1"/>
  <c r="D105" i="5"/>
  <c r="S142" i="2" s="1"/>
  <c r="D107" i="5"/>
  <c r="S145" i="2" s="1"/>
  <c r="D109" i="5"/>
  <c r="S148" i="2" s="1"/>
  <c r="D115" i="5"/>
  <c r="S158" i="2" s="1"/>
  <c r="D119" i="5"/>
  <c r="S164" i="2" s="1"/>
  <c r="D121" i="5"/>
  <c r="S167" i="2" s="1"/>
  <c r="D123" i="5"/>
  <c r="S170" i="2" s="1"/>
  <c r="D125" i="5"/>
  <c r="S173" i="2" s="1"/>
  <c r="D131" i="5"/>
  <c r="S182" i="2" s="1"/>
  <c r="D211" i="5"/>
  <c r="D227"/>
  <c r="D231"/>
  <c r="D233"/>
  <c r="D235"/>
  <c r="D243"/>
  <c r="D247"/>
  <c r="D249"/>
  <c r="D251"/>
  <c r="D253"/>
  <c r="D259"/>
  <c r="D263"/>
  <c r="D265"/>
  <c r="D267"/>
  <c r="D269"/>
  <c r="C343"/>
  <c r="D190" i="6"/>
  <c r="D198"/>
  <c r="D206"/>
  <c r="D210"/>
  <c r="D190" i="8"/>
  <c r="V257" i="2" s="1"/>
  <c r="D194" i="8"/>
  <c r="V264" i="2" s="1"/>
  <c r="D202" i="8"/>
  <c r="C416"/>
  <c r="C69" i="9"/>
  <c r="W82" i="2" s="1"/>
  <c r="D81" i="9"/>
  <c r="W103" i="2" s="1"/>
  <c r="D113" i="9"/>
  <c r="W155" i="2" s="1"/>
  <c r="C417" i="9"/>
  <c r="C136"/>
  <c r="W191" i="2" s="1"/>
  <c r="W190" s="1"/>
  <c r="C140" i="9"/>
  <c r="W197" i="2" s="1"/>
  <c r="C316" i="9"/>
  <c r="C334"/>
  <c r="C376" i="4"/>
  <c r="D232" i="5"/>
  <c r="D248"/>
  <c r="D252"/>
  <c r="D264"/>
  <c r="C312"/>
  <c r="C314"/>
  <c r="C328"/>
  <c r="C330"/>
  <c r="C424"/>
  <c r="C426"/>
  <c r="C428"/>
  <c r="C19" i="6"/>
  <c r="C21"/>
  <c r="C31"/>
  <c r="C35"/>
  <c r="D147"/>
  <c r="C159"/>
  <c r="C161"/>
  <c r="D195"/>
  <c r="D207"/>
  <c r="C435"/>
  <c r="C74" i="7"/>
  <c r="U91" i="2" s="1"/>
  <c r="C314" i="7"/>
  <c r="C67" i="8"/>
  <c r="V80" i="2" s="1"/>
  <c r="C69" i="8"/>
  <c r="V82" i="2" s="1"/>
  <c r="D143" i="8"/>
  <c r="V201" i="2" s="1"/>
  <c r="D147" i="8"/>
  <c r="V208" i="2" s="1"/>
  <c r="C149" i="8"/>
  <c r="C163"/>
  <c r="V219" i="2" s="1"/>
  <c r="C165" i="8"/>
  <c r="V221" i="2" s="1"/>
  <c r="D207" i="8"/>
  <c r="D211"/>
  <c r="C285" i="4"/>
  <c r="C289"/>
  <c r="C293"/>
  <c r="C309"/>
  <c r="C317"/>
  <c r="C325"/>
  <c r="C439"/>
  <c r="C445"/>
  <c r="C449"/>
  <c r="C56" i="5"/>
  <c r="S67" i="2" s="1"/>
  <c r="C120" i="5"/>
  <c r="S166" i="2" s="1"/>
  <c r="C124" i="5"/>
  <c r="S172" i="2" s="1"/>
  <c r="C403" i="5"/>
  <c r="C451"/>
  <c r="C56" i="6"/>
  <c r="T67" i="2" s="1"/>
  <c r="C74" i="6"/>
  <c r="C449"/>
  <c r="C316" i="7"/>
  <c r="C322"/>
  <c r="C398"/>
  <c r="C450"/>
  <c r="C142" i="8"/>
  <c r="V200" i="2" s="1"/>
  <c r="V199" s="1"/>
  <c r="C28" i="9"/>
  <c r="W34" i="2" s="1"/>
  <c r="C44" i="9"/>
  <c r="W54" i="2" s="1"/>
  <c r="C293" i="9"/>
  <c r="C357"/>
  <c r="C391"/>
  <c r="C403"/>
  <c r="D85" i="4"/>
  <c r="R109" i="2" s="1"/>
  <c r="D97" i="4"/>
  <c r="R128" i="2" s="1"/>
  <c r="D133" i="4"/>
  <c r="R185" i="2" s="1"/>
  <c r="D145" i="4"/>
  <c r="R204" i="2" s="1"/>
  <c r="D213" i="4"/>
  <c r="D225"/>
  <c r="D261"/>
  <c r="D273"/>
  <c r="C408"/>
  <c r="C420"/>
  <c r="C440"/>
  <c r="C452"/>
  <c r="D135" i="5"/>
  <c r="S188" i="2" s="1"/>
  <c r="D137" i="5"/>
  <c r="S192" i="2" s="1"/>
  <c r="D139" i="5"/>
  <c r="S195" i="2" s="1"/>
  <c r="D141" i="5"/>
  <c r="S198" i="2" s="1"/>
  <c r="D223" i="5"/>
  <c r="C291"/>
  <c r="C335"/>
  <c r="C337"/>
  <c r="D243" i="6"/>
  <c r="D255"/>
  <c r="C323"/>
  <c r="C371"/>
  <c r="C383"/>
  <c r="C419"/>
  <c r="C421"/>
  <c r="C431"/>
  <c r="C433"/>
  <c r="C76" i="7"/>
  <c r="U93" i="2" s="1"/>
  <c r="C122" i="7"/>
  <c r="U169" i="2" s="1"/>
  <c r="C124" i="7"/>
  <c r="U172" i="2" s="1"/>
  <c r="C134" i="7"/>
  <c r="U187" i="2" s="1"/>
  <c r="C136" i="7"/>
  <c r="U191" i="2" s="1"/>
  <c r="C138" i="7"/>
  <c r="U194" i="2" s="1"/>
  <c r="D250" i="7"/>
  <c r="D262"/>
  <c r="C298"/>
  <c r="C300"/>
  <c r="C310"/>
  <c r="C312"/>
  <c r="C30" i="8"/>
  <c r="V36" i="2" s="1"/>
  <c r="C42" i="8"/>
  <c r="C44"/>
  <c r="V54" i="2" s="1"/>
  <c r="C46" i="8"/>
  <c r="V56" i="2" s="1"/>
  <c r="C62" i="8"/>
  <c r="V74" i="2" s="1"/>
  <c r="C106" i="8"/>
  <c r="V144" i="2" s="1"/>
  <c r="C108" i="8"/>
  <c r="V147" i="2" s="1"/>
  <c r="C110" i="8"/>
  <c r="V150" i="2" s="1"/>
  <c r="C126" i="8"/>
  <c r="V175" i="2" s="1"/>
  <c r="C130" i="8"/>
  <c r="V181" i="2" s="1"/>
  <c r="C134" i="8"/>
  <c r="V187" i="2" s="1"/>
  <c r="C136" i="8"/>
  <c r="V191" i="2" s="1"/>
  <c r="D141" i="8"/>
  <c r="V198" i="2" s="1"/>
  <c r="D225" i="8"/>
  <c r="D233"/>
  <c r="D237"/>
  <c r="C323"/>
  <c r="C325"/>
  <c r="C327"/>
  <c r="D229" i="9"/>
  <c r="D241"/>
  <c r="D276"/>
  <c r="D280"/>
  <c r="C458"/>
  <c r="C460"/>
  <c r="C291" i="4"/>
  <c r="C311"/>
  <c r="C321"/>
  <c r="C341"/>
  <c r="C405"/>
  <c r="C421"/>
  <c r="C437"/>
  <c r="C451"/>
  <c r="C58" i="5"/>
  <c r="S69" i="2" s="1"/>
  <c r="C122" i="5"/>
  <c r="S169" i="2" s="1"/>
  <c r="C126" i="5"/>
  <c r="S175" i="2" s="1"/>
  <c r="C387" i="5"/>
  <c r="C58" i="6"/>
  <c r="C72"/>
  <c r="C76"/>
  <c r="C116"/>
  <c r="C447"/>
  <c r="C346" i="7"/>
  <c r="C358"/>
  <c r="C362"/>
  <c r="C438"/>
  <c r="C452"/>
  <c r="C140" i="8"/>
  <c r="V197" i="2" s="1"/>
  <c r="D222" i="8"/>
  <c r="D234"/>
  <c r="C26" i="9"/>
  <c r="W32" i="2" s="1"/>
  <c r="C42" i="9"/>
  <c r="C289"/>
  <c r="C341"/>
  <c r="C359"/>
  <c r="C369"/>
  <c r="C389"/>
  <c r="C401"/>
  <c r="C72" i="4"/>
  <c r="R86" i="2" s="1"/>
  <c r="C136" i="4"/>
  <c r="R191" i="2" s="1"/>
  <c r="D200" i="4"/>
  <c r="R276" i="2" s="1"/>
  <c r="D264" i="4"/>
  <c r="D276"/>
  <c r="C31" i="5"/>
  <c r="S37" i="2" s="1"/>
  <c r="C33" i="5"/>
  <c r="S39" i="2" s="1"/>
  <c r="D207" i="5"/>
  <c r="D222"/>
  <c r="D226"/>
  <c r="C440"/>
  <c r="C442"/>
  <c r="D214" i="6"/>
  <c r="D222"/>
  <c r="D226"/>
  <c r="D254"/>
  <c r="D258"/>
  <c r="C26" i="7"/>
  <c r="U32" i="2" s="1"/>
  <c r="C28" i="7"/>
  <c r="U34" i="2" s="1"/>
  <c r="C38" i="7"/>
  <c r="U45" i="2" s="1"/>
  <c r="C40" i="7"/>
  <c r="U48" i="2" s="1"/>
  <c r="U47" s="1"/>
  <c r="C70" i="7"/>
  <c r="U83" i="2" s="1"/>
  <c r="C72" i="7"/>
  <c r="U86" i="2" s="1"/>
  <c r="D89" i="7"/>
  <c r="U116" i="2" s="1"/>
  <c r="D121" i="7"/>
  <c r="U167" i="2" s="1"/>
  <c r="D125" i="7"/>
  <c r="U173" i="2" s="1"/>
  <c r="D137" i="7"/>
  <c r="U192" i="2" s="1"/>
  <c r="D221" i="7"/>
  <c r="D229"/>
  <c r="D237"/>
  <c r="D253"/>
  <c r="D265"/>
  <c r="D89" i="8"/>
  <c r="V116" i="2" s="1"/>
  <c r="D97" i="8"/>
  <c r="V128" i="2" s="1"/>
  <c r="D105" i="8"/>
  <c r="V142" i="2" s="1"/>
  <c r="D109" i="8"/>
  <c r="V148" i="2" s="1"/>
  <c r="D129" i="8"/>
  <c r="V179" i="2" s="1"/>
  <c r="D137" i="8"/>
  <c r="V192" i="2" s="1"/>
  <c r="D242" i="8"/>
  <c r="D244"/>
  <c r="D246"/>
  <c r="D248"/>
  <c r="D254"/>
  <c r="D258"/>
  <c r="D260"/>
  <c r="D262"/>
  <c r="D264"/>
  <c r="D270"/>
  <c r="D274"/>
  <c r="D276"/>
  <c r="D278"/>
  <c r="D280"/>
  <c r="D184" i="9"/>
  <c r="W249" i="2" s="1"/>
  <c r="D192" i="9"/>
  <c r="W262" i="2" s="1"/>
  <c r="D196" i="9"/>
  <c r="W266" i="2" s="1"/>
  <c r="D232" i="9"/>
  <c r="D244"/>
  <c r="C409"/>
  <c r="C69" i="4"/>
  <c r="R82" i="2" s="1"/>
  <c r="C77" i="4"/>
  <c r="R94" i="2" s="1"/>
  <c r="C348" i="4"/>
  <c r="C352"/>
  <c r="C364"/>
  <c r="D147" i="5"/>
  <c r="S208" i="2" s="1"/>
  <c r="C159" i="5"/>
  <c r="S215" i="2" s="1"/>
  <c r="C325" i="5"/>
  <c r="C333"/>
  <c r="C340"/>
  <c r="C344"/>
  <c r="C348"/>
  <c r="C360"/>
  <c r="C364"/>
  <c r="C378"/>
  <c r="C453"/>
  <c r="C459"/>
  <c r="C14" i="6"/>
  <c r="D232"/>
  <c r="C337"/>
  <c r="C367"/>
  <c r="C458"/>
  <c r="C22" i="7"/>
  <c r="U26" i="2" s="1"/>
  <c r="D95" i="7"/>
  <c r="U125" i="2" s="1"/>
  <c r="D99" i="7"/>
  <c r="U132" i="2" s="1"/>
  <c r="D246" i="7"/>
  <c r="C331"/>
  <c r="C335"/>
  <c r="C339"/>
  <c r="C400"/>
  <c r="C436"/>
  <c r="C35" i="8"/>
  <c r="V41" i="2" s="1"/>
  <c r="C70" i="8"/>
  <c r="V83" i="2" s="1"/>
  <c r="C102" i="8"/>
  <c r="V137" i="2" s="1"/>
  <c r="D218" i="8"/>
  <c r="D243"/>
  <c r="C346"/>
  <c r="C435"/>
  <c r="C439"/>
  <c r="C453"/>
  <c r="C17" i="9"/>
  <c r="W19" i="2" s="1"/>
  <c r="C53" i="9"/>
  <c r="W64" i="2" s="1"/>
  <c r="C65" i="9"/>
  <c r="W78" i="2" s="1"/>
  <c r="D193" i="9"/>
  <c r="W263" i="2" s="1"/>
  <c r="D225" i="9"/>
  <c r="D250"/>
  <c r="D254"/>
  <c r="D262"/>
  <c r="C355"/>
  <c r="C424"/>
  <c r="C428"/>
  <c r="C455"/>
  <c r="C46" i="4"/>
  <c r="R56" i="2" s="1"/>
  <c r="C48" i="4"/>
  <c r="R59" i="2" s="1"/>
  <c r="C58" i="4"/>
  <c r="R69" i="2" s="1"/>
  <c r="C149" i="4"/>
  <c r="C169"/>
  <c r="R227" i="2" s="1"/>
  <c r="D175" i="4"/>
  <c r="R239" i="2" s="1"/>
  <c r="D197" i="4"/>
  <c r="R270" i="2" s="1"/>
  <c r="C456" i="4"/>
  <c r="C70" i="5"/>
  <c r="S83" i="2" s="1"/>
  <c r="C78" i="5"/>
  <c r="S96" i="2" s="1"/>
  <c r="S95" s="1"/>
  <c r="C82" i="5"/>
  <c r="S105" i="2" s="1"/>
  <c r="D179" i="5"/>
  <c r="S244" i="2" s="1"/>
  <c r="D181" i="5"/>
  <c r="S246" i="2" s="1"/>
  <c r="D183" i="5"/>
  <c r="S248" i="2" s="1"/>
  <c r="D185" i="5"/>
  <c r="S251" i="2" s="1"/>
  <c r="S250" s="1"/>
  <c r="D187" i="5"/>
  <c r="S254" i="2" s="1"/>
  <c r="D189" i="5"/>
  <c r="S256" i="2" s="1"/>
  <c r="D195" i="5"/>
  <c r="S265" i="2" s="1"/>
  <c r="D197" i="5"/>
  <c r="S270" i="2" s="1"/>
  <c r="D199" i="5"/>
  <c r="S272" i="2" s="1"/>
  <c r="D201" i="5"/>
  <c r="D262"/>
  <c r="D270"/>
  <c r="D278"/>
  <c r="C332"/>
  <c r="C351"/>
  <c r="C389"/>
  <c r="C399"/>
  <c r="C401"/>
  <c r="C406"/>
  <c r="C414"/>
  <c r="C418"/>
  <c r="C33" i="6"/>
  <c r="C118"/>
  <c r="C120"/>
  <c r="C122"/>
  <c r="C124"/>
  <c r="C126"/>
  <c r="C163"/>
  <c r="D179"/>
  <c r="D181"/>
  <c r="D183"/>
  <c r="D185"/>
  <c r="Y250" i="2" s="1"/>
  <c r="D187" i="6"/>
  <c r="D189"/>
  <c r="D262"/>
  <c r="D270"/>
  <c r="D274"/>
  <c r="C364"/>
  <c r="C42" i="7"/>
  <c r="C46"/>
  <c r="U56" i="2" s="1"/>
  <c r="C62" i="7"/>
  <c r="U74" i="2" s="1"/>
  <c r="C86" i="7"/>
  <c r="U111" i="2" s="1"/>
  <c r="C88" i="7"/>
  <c r="U115" i="2" s="1"/>
  <c r="D141" i="7"/>
  <c r="U198" i="2" s="1"/>
  <c r="D185" i="7"/>
  <c r="U251" i="2" s="1"/>
  <c r="U250" s="1"/>
  <c r="D189" i="7"/>
  <c r="U256" i="2" s="1"/>
  <c r="D254" i="7"/>
  <c r="D256"/>
  <c r="D266"/>
  <c r="D270"/>
  <c r="D272"/>
  <c r="D274"/>
  <c r="D276"/>
  <c r="C286"/>
  <c r="C324"/>
  <c r="C348"/>
  <c r="C360"/>
  <c r="D185" i="8"/>
  <c r="V251" i="2" s="1"/>
  <c r="V250" s="1"/>
  <c r="D189" i="8"/>
  <c r="V256" i="2" s="1"/>
  <c r="D250" i="8"/>
  <c r="C298"/>
  <c r="C300"/>
  <c r="C430"/>
  <c r="C454"/>
  <c r="C456"/>
  <c r="D85" i="9"/>
  <c r="W109" i="2" s="1"/>
  <c r="D87" i="9"/>
  <c r="W112" i="2" s="1"/>
  <c r="D89" i="9"/>
  <c r="W116" i="2" s="1"/>
  <c r="D91" i="9"/>
  <c r="W119" i="2" s="1"/>
  <c r="D93" i="9"/>
  <c r="W122" i="2" s="1"/>
  <c r="D95" i="9"/>
  <c r="W125" i="2" s="1"/>
  <c r="D176" i="9"/>
  <c r="W240" i="2" s="1"/>
  <c r="D180" i="9"/>
  <c r="W245" i="2" s="1"/>
  <c r="D202" i="9"/>
  <c r="D206"/>
  <c r="D218"/>
  <c r="D277"/>
  <c r="C291"/>
  <c r="C21" i="4"/>
  <c r="R24" i="2" s="1"/>
  <c r="C71" i="4"/>
  <c r="R84" i="2" s="1"/>
  <c r="D81" i="4"/>
  <c r="R103" i="2" s="1"/>
  <c r="C346" i="4"/>
  <c r="C350"/>
  <c r="C362"/>
  <c r="C366"/>
  <c r="C149" i="5"/>
  <c r="C161"/>
  <c r="S217" i="2" s="1"/>
  <c r="C303" i="5"/>
  <c r="C307"/>
  <c r="C323"/>
  <c r="C327"/>
  <c r="C331"/>
  <c r="C342"/>
  <c r="C346"/>
  <c r="C362"/>
  <c r="C376"/>
  <c r="C455"/>
  <c r="C461"/>
  <c r="D131" i="6"/>
  <c r="D143"/>
  <c r="C325"/>
  <c r="C335"/>
  <c r="C369"/>
  <c r="C456"/>
  <c r="C460"/>
  <c r="C24" i="7"/>
  <c r="U28" i="2" s="1"/>
  <c r="D111" i="7"/>
  <c r="U151" i="2" s="1"/>
  <c r="D234" i="7"/>
  <c r="C333"/>
  <c r="C337"/>
  <c r="C341"/>
  <c r="C434"/>
  <c r="C37" i="8"/>
  <c r="V44" i="2" s="1"/>
  <c r="C66" i="8"/>
  <c r="V79" i="2" s="1"/>
  <c r="C72" i="8"/>
  <c r="V86" i="2" s="1"/>
  <c r="C94" i="8"/>
  <c r="V124" i="2" s="1"/>
  <c r="C98" i="8"/>
  <c r="V131" i="2" s="1"/>
  <c r="C104" i="8"/>
  <c r="V141" i="2" s="1"/>
  <c r="D259" i="8"/>
  <c r="C336"/>
  <c r="C348"/>
  <c r="C437"/>
  <c r="C451"/>
  <c r="C455"/>
  <c r="C19" i="9"/>
  <c r="W22" i="2" s="1"/>
  <c r="C67" i="9"/>
  <c r="W80" i="2" s="1"/>
  <c r="C353" i="9"/>
  <c r="C422"/>
  <c r="C426"/>
  <c r="C84" i="4"/>
  <c r="R108" i="2" s="1"/>
  <c r="C170" i="4"/>
  <c r="R228" i="2" s="1"/>
  <c r="C172" i="4"/>
  <c r="R230" i="2" s="1"/>
  <c r="D174" i="4"/>
  <c r="R238" i="2" s="1"/>
  <c r="D186" i="4"/>
  <c r="R253" i="2" s="1"/>
  <c r="D190" i="4"/>
  <c r="R257" i="2" s="1"/>
  <c r="C345" i="4"/>
  <c r="C361"/>
  <c r="C377"/>
  <c r="C455"/>
  <c r="C461"/>
  <c r="F462" i="5"/>
  <c r="C51"/>
  <c r="S62" i="2" s="1"/>
  <c r="C67" i="5"/>
  <c r="S80" i="2" s="1"/>
  <c r="D83" i="5"/>
  <c r="S106" i="2" s="1"/>
  <c r="D95" i="5"/>
  <c r="S125" i="2" s="1"/>
  <c r="C110" i="5"/>
  <c r="S150" i="2" s="1"/>
  <c r="D184" i="5"/>
  <c r="S249" i="2" s="1"/>
  <c r="D215" i="5"/>
  <c r="D275"/>
  <c r="C287"/>
  <c r="C289"/>
  <c r="C405"/>
  <c r="C415"/>
  <c r="C417"/>
  <c r="C419"/>
  <c r="C435"/>
  <c r="C437"/>
  <c r="C447"/>
  <c r="C449"/>
  <c r="F462" i="6"/>
  <c r="C37"/>
  <c r="C47"/>
  <c r="C49"/>
  <c r="T60" i="2" s="1"/>
  <c r="D83" i="6"/>
  <c r="D95"/>
  <c r="C168"/>
  <c r="C170"/>
  <c r="D271"/>
  <c r="C307"/>
  <c r="C309"/>
  <c r="C319"/>
  <c r="C321"/>
  <c r="C392"/>
  <c r="C394"/>
  <c r="C396"/>
  <c r="C408"/>
  <c r="C410"/>
  <c r="C412"/>
  <c r="C47" i="7"/>
  <c r="U57" i="2" s="1"/>
  <c r="C49" i="7"/>
  <c r="U60" i="2" s="1"/>
  <c r="C51" i="7"/>
  <c r="U62" i="2" s="1"/>
  <c r="C53" i="7"/>
  <c r="U64" i="2" s="1"/>
  <c r="C63" i="7"/>
  <c r="U75" i="2" s="1"/>
  <c r="C65" i="7"/>
  <c r="U78" i="2" s="1"/>
  <c r="C67" i="7"/>
  <c r="U80" i="2" s="1"/>
  <c r="C69" i="7"/>
  <c r="U82" i="2" s="1"/>
  <c r="C94" i="7"/>
  <c r="U124" i="2" s="1"/>
  <c r="C110" i="7"/>
  <c r="U150" i="2" s="1"/>
  <c r="C140" i="7"/>
  <c r="U197" i="2" s="1"/>
  <c r="C150" i="7"/>
  <c r="D186"/>
  <c r="U253" i="2" s="1"/>
  <c r="D201" i="7"/>
  <c r="D249"/>
  <c r="D271"/>
  <c r="D275"/>
  <c r="C287"/>
  <c r="C289"/>
  <c r="C291"/>
  <c r="C293"/>
  <c r="C364"/>
  <c r="C370"/>
  <c r="C372"/>
  <c r="C386"/>
  <c r="C388"/>
  <c r="C394"/>
  <c r="C396"/>
  <c r="C459"/>
  <c r="C461"/>
  <c r="C58" i="8"/>
  <c r="V69" i="2" s="1"/>
  <c r="C60" i="8"/>
  <c r="V71" i="2" s="1"/>
  <c r="D111" i="8"/>
  <c r="V151" i="2" s="1"/>
  <c r="D115" i="8"/>
  <c r="V158" i="2" s="1"/>
  <c r="C154" i="8"/>
  <c r="D174"/>
  <c r="V238" i="2" s="1"/>
  <c r="D186" i="8"/>
  <c r="V253" i="2" s="1"/>
  <c r="D201" i="8"/>
  <c r="C314"/>
  <c r="C318"/>
  <c r="C330"/>
  <c r="C332"/>
  <c r="C355"/>
  <c r="C357"/>
  <c r="C359"/>
  <c r="C371"/>
  <c r="C373"/>
  <c r="C387"/>
  <c r="C460"/>
  <c r="C90" i="9"/>
  <c r="W118" i="2" s="1"/>
  <c r="C92" i="9"/>
  <c r="W121" i="2" s="1"/>
  <c r="C106" i="9"/>
  <c r="W144" i="2" s="1"/>
  <c r="C108" i="9"/>
  <c r="W147" i="2" s="1"/>
  <c r="C165" i="9"/>
  <c r="W221" i="2" s="1"/>
  <c r="D177" i="9"/>
  <c r="W241" i="2" s="1"/>
  <c r="C305" i="9"/>
  <c r="C309"/>
  <c r="C325"/>
  <c r="C327"/>
  <c r="C337"/>
  <c r="C339"/>
  <c r="C362"/>
  <c r="C364"/>
  <c r="C366"/>
  <c r="C378"/>
  <c r="C380"/>
  <c r="C449"/>
  <c r="C451"/>
  <c r="C55" i="4"/>
  <c r="R66" i="2" s="1"/>
  <c r="C61" i="4"/>
  <c r="R72" i="2" s="1"/>
  <c r="C65" i="4"/>
  <c r="R78" i="2" s="1"/>
  <c r="C106" i="4"/>
  <c r="R144" i="2" s="1"/>
  <c r="C110" i="4"/>
  <c r="R150" i="2" s="1"/>
  <c r="C124" i="4"/>
  <c r="R172" i="2" s="1"/>
  <c r="D209" i="4"/>
  <c r="C298"/>
  <c r="C302"/>
  <c r="C316"/>
  <c r="C391"/>
  <c r="C397"/>
  <c r="C401"/>
  <c r="C15" i="5"/>
  <c r="S17" i="2" s="1"/>
  <c r="C40" i="5"/>
  <c r="S48" i="2" s="1"/>
  <c r="S47" s="1"/>
  <c r="C79" i="5"/>
  <c r="S100" i="2" s="1"/>
  <c r="C106" i="5"/>
  <c r="S144" i="2" s="1"/>
  <c r="C168" i="5"/>
  <c r="S224" i="2" s="1"/>
  <c r="C17" i="6"/>
  <c r="T19" i="2" s="1"/>
  <c r="C40" i="6"/>
  <c r="C44"/>
  <c r="D127"/>
  <c r="C154"/>
  <c r="D268"/>
  <c r="C339"/>
  <c r="C357"/>
  <c r="C365"/>
  <c r="C374"/>
  <c r="C378"/>
  <c r="C451"/>
  <c r="C60" i="7"/>
  <c r="U71" i="2" s="1"/>
  <c r="C68" i="7"/>
  <c r="U81" i="2" s="1"/>
  <c r="C77" i="7"/>
  <c r="U94" i="2" s="1"/>
  <c r="D83" i="7"/>
  <c r="U106" i="2" s="1"/>
  <c r="C170" i="7"/>
  <c r="U228" i="2" s="1"/>
  <c r="C282" i="7"/>
  <c r="C294"/>
  <c r="C319"/>
  <c r="C323"/>
  <c r="C374"/>
  <c r="C384"/>
  <c r="C17" i="4"/>
  <c r="R19" i="2" s="1"/>
  <c r="C19" i="4"/>
  <c r="R22" i="2" s="1"/>
  <c r="C36" i="4"/>
  <c r="R43" i="2" s="1"/>
  <c r="C68" i="4"/>
  <c r="R81" i="2" s="1"/>
  <c r="D89" i="4"/>
  <c r="R116" i="2" s="1"/>
  <c r="D91" i="4"/>
  <c r="R119" i="2" s="1"/>
  <c r="D101" i="4"/>
  <c r="D105"/>
  <c r="R142" i="2" s="1"/>
  <c r="D107" i="4"/>
  <c r="R145" i="2" s="1"/>
  <c r="D109" i="4"/>
  <c r="R148" i="2" s="1"/>
  <c r="D111" i="4"/>
  <c r="R151" i="2" s="1"/>
  <c r="D117" i="4"/>
  <c r="R161" i="2" s="1"/>
  <c r="D121" i="4"/>
  <c r="R167" i="2" s="1"/>
  <c r="D123" i="4"/>
  <c r="R170" i="2" s="1"/>
  <c r="D125" i="4"/>
  <c r="R173" i="2" s="1"/>
  <c r="D127" i="4"/>
  <c r="R176" i="2" s="1"/>
  <c r="C151" i="4"/>
  <c r="R211" i="2" s="1"/>
  <c r="C157" i="4"/>
  <c r="C161"/>
  <c r="R217" i="2" s="1"/>
  <c r="C165" i="4"/>
  <c r="R221" i="2" s="1"/>
  <c r="D193" i="4"/>
  <c r="R263" i="2" s="1"/>
  <c r="D212" i="4"/>
  <c r="D218"/>
  <c r="D222"/>
  <c r="D234"/>
  <c r="D238"/>
  <c r="D250"/>
  <c r="D254"/>
  <c r="C281"/>
  <c r="C327"/>
  <c r="C333"/>
  <c r="C337"/>
  <c r="C339"/>
  <c r="C404"/>
  <c r="C426"/>
  <c r="C430"/>
  <c r="C24" i="5"/>
  <c r="S28" i="2" s="1"/>
  <c r="C26" i="5"/>
  <c r="S32" i="2" s="1"/>
  <c r="C63" i="5"/>
  <c r="S75" i="2" s="1"/>
  <c r="C65" i="5"/>
  <c r="S78" i="2" s="1"/>
  <c r="C88" i="5"/>
  <c r="S115" i="2" s="1"/>
  <c r="C90" i="5"/>
  <c r="S118" i="2" s="1"/>
  <c r="D127" i="5"/>
  <c r="S176" i="2" s="1"/>
  <c r="C152" i="5"/>
  <c r="C154"/>
  <c r="C156"/>
  <c r="C158"/>
  <c r="S213" i="2" s="1"/>
  <c r="D191" i="5"/>
  <c r="S261" i="2" s="1"/>
  <c r="D271" i="5"/>
  <c r="C296"/>
  <c r="C298"/>
  <c r="C300"/>
  <c r="C355"/>
  <c r="C371"/>
  <c r="C383"/>
  <c r="C385"/>
  <c r="C408"/>
  <c r="C412"/>
  <c r="T164" i="2"/>
  <c r="C15" i="8"/>
  <c r="V17" i="2" s="1"/>
  <c r="C17" i="8"/>
  <c r="V19" i="2" s="1"/>
  <c r="C19" i="8"/>
  <c r="V22" i="2" s="1"/>
  <c r="C21" i="8"/>
  <c r="V24" i="2" s="1"/>
  <c r="C74" i="8"/>
  <c r="V91" i="2" s="1"/>
  <c r="C78" i="8"/>
  <c r="V96" i="2" s="1"/>
  <c r="V95" s="1"/>
  <c r="C90" i="8"/>
  <c r="V118" i="2" s="1"/>
  <c r="C92" i="8"/>
  <c r="V121" i="2" s="1"/>
  <c r="C158" i="8"/>
  <c r="V213" i="2" s="1"/>
  <c r="C170" i="8"/>
  <c r="V228" i="2" s="1"/>
  <c r="C172" i="8"/>
  <c r="V230" i="2" s="1"/>
  <c r="D195" i="8"/>
  <c r="V265" i="2" s="1"/>
  <c r="C282" i="8"/>
  <c r="C284"/>
  <c r="C307"/>
  <c r="C309"/>
  <c r="C366"/>
  <c r="C382"/>
  <c r="C384"/>
  <c r="C394"/>
  <c r="C396"/>
  <c r="C419"/>
  <c r="C421"/>
  <c r="C423"/>
  <c r="C21" i="9"/>
  <c r="W24" i="2" s="1"/>
  <c r="C37" i="9"/>
  <c r="W44" i="2" s="1"/>
  <c r="C49" i="9"/>
  <c r="W60" i="2" s="1"/>
  <c r="C51" i="9"/>
  <c r="W62" i="2" s="1"/>
  <c r="C74" i="9"/>
  <c r="W91" i="2" s="1"/>
  <c r="C76" i="9"/>
  <c r="W93" i="2" s="1"/>
  <c r="C149" i="9"/>
  <c r="C161"/>
  <c r="W217" i="2" s="1"/>
  <c r="C163" i="9"/>
  <c r="W219" i="2" s="1"/>
  <c r="D186" i="9"/>
  <c r="W253" i="2" s="1"/>
  <c r="D273" i="9"/>
  <c r="C298"/>
  <c r="C300"/>
  <c r="C373"/>
  <c r="C385"/>
  <c r="C387"/>
  <c r="C410"/>
  <c r="C412"/>
  <c r="C414"/>
  <c r="C416"/>
  <c r="C37" i="4"/>
  <c r="R44" i="2" s="1"/>
  <c r="C53" i="4"/>
  <c r="R64" i="2" s="1"/>
  <c r="C67" i="4"/>
  <c r="R80" i="2" s="1"/>
  <c r="C90" i="4"/>
  <c r="R118" i="2" s="1"/>
  <c r="C94" i="4"/>
  <c r="R124" i="2" s="1"/>
  <c r="C112" i="4"/>
  <c r="R154" i="2" s="1"/>
  <c r="C122" i="4"/>
  <c r="R169" i="2" s="1"/>
  <c r="R168" s="1"/>
  <c r="C126" i="4"/>
  <c r="R175" i="2" s="1"/>
  <c r="C300" i="4"/>
  <c r="C304"/>
  <c r="C314"/>
  <c r="C389"/>
  <c r="C403"/>
  <c r="C17" i="5"/>
  <c r="S19" i="2" s="1"/>
  <c r="C42" i="5"/>
  <c r="C104"/>
  <c r="S141" i="2" s="1"/>
  <c r="D143" i="5"/>
  <c r="S201" i="2" s="1"/>
  <c r="C170" i="5"/>
  <c r="S228" i="2" s="1"/>
  <c r="D212" i="5"/>
  <c r="C15" i="6"/>
  <c r="C42"/>
  <c r="C152"/>
  <c r="D264"/>
  <c r="C355"/>
  <c r="C359"/>
  <c r="C363"/>
  <c r="C372"/>
  <c r="C376"/>
  <c r="C380"/>
  <c r="C58" i="7"/>
  <c r="U69" i="2" s="1"/>
  <c r="C66" i="7"/>
  <c r="U79" i="2" s="1"/>
  <c r="C75" i="7"/>
  <c r="U92" i="2" s="1"/>
  <c r="C79" i="7"/>
  <c r="U100" i="2" s="1"/>
  <c r="C154" i="7"/>
  <c r="C172"/>
  <c r="U230" i="2" s="1"/>
  <c r="D182" i="7"/>
  <c r="U247" i="2" s="1"/>
  <c r="C284" i="7"/>
  <c r="C296"/>
  <c r="C321"/>
  <c r="C325"/>
  <c r="C382"/>
  <c r="C454"/>
  <c r="C164" i="4"/>
  <c r="R220" i="2" s="1"/>
  <c r="D217" i="4"/>
  <c r="D219"/>
  <c r="D221"/>
  <c r="D229"/>
  <c r="D233"/>
  <c r="D235"/>
  <c r="D237"/>
  <c r="D239"/>
  <c r="D245"/>
  <c r="D249"/>
  <c r="D251"/>
  <c r="D253"/>
  <c r="D255"/>
  <c r="C323"/>
  <c r="C368"/>
  <c r="C409"/>
  <c r="C425"/>
  <c r="C47" i="5"/>
  <c r="S57" i="2" s="1"/>
  <c r="C49" i="5"/>
  <c r="S60" i="2" s="1"/>
  <c r="C54" i="5"/>
  <c r="S65" i="2" s="1"/>
  <c r="C62" i="5"/>
  <c r="S74" i="2" s="1"/>
  <c r="C66" i="5"/>
  <c r="S79" i="2" s="1"/>
  <c r="C72" i="5"/>
  <c r="S86" i="2" s="1"/>
  <c r="D85" i="5"/>
  <c r="S109" i="2" s="1"/>
  <c r="D87" i="5"/>
  <c r="S112" i="2" s="1"/>
  <c r="D89" i="5"/>
  <c r="S116" i="2" s="1"/>
  <c r="D91" i="5"/>
  <c r="S119" i="2" s="1"/>
  <c r="D93" i="5"/>
  <c r="S122" i="2" s="1"/>
  <c r="D111" i="5"/>
  <c r="S151" i="2" s="1"/>
  <c r="C136" i="5"/>
  <c r="S191" i="2" s="1"/>
  <c r="C138" i="5"/>
  <c r="S194" i="2" s="1"/>
  <c r="C140" i="5"/>
  <c r="S197" i="2" s="1"/>
  <c r="C165" i="5"/>
  <c r="S221" i="2" s="1"/>
  <c r="D175" i="5"/>
  <c r="S239" i="2" s="1"/>
  <c r="D182" i="5"/>
  <c r="S247" i="2" s="1"/>
  <c r="D190" i="5"/>
  <c r="S257" i="2" s="1"/>
  <c r="D194" i="5"/>
  <c r="S264" i="2" s="1"/>
  <c r="D200" i="5"/>
  <c r="S276" i="2" s="1"/>
  <c r="D230" i="5"/>
  <c r="D238"/>
  <c r="D242"/>
  <c r="C67" i="6"/>
  <c r="C79"/>
  <c r="C104"/>
  <c r="C106"/>
  <c r="C108"/>
  <c r="C110"/>
  <c r="D191"/>
  <c r="D216"/>
  <c r="C291"/>
  <c r="C293"/>
  <c r="C303"/>
  <c r="C305"/>
  <c r="C328"/>
  <c r="C330"/>
  <c r="C332"/>
  <c r="C387"/>
  <c r="C403"/>
  <c r="C405"/>
  <c r="C415"/>
  <c r="C417"/>
  <c r="C440"/>
  <c r="C442"/>
  <c r="C444"/>
  <c r="C31" i="7"/>
  <c r="U37" i="2" s="1"/>
  <c r="C33" i="7"/>
  <c r="U39" i="2" s="1"/>
  <c r="C35" i="7"/>
  <c r="U41" i="2" s="1"/>
  <c r="C37" i="7"/>
  <c r="U44" i="2" s="1"/>
  <c r="C106" i="7"/>
  <c r="U144" i="2" s="1"/>
  <c r="C108" i="7"/>
  <c r="U147" i="2" s="1"/>
  <c r="C118" i="7"/>
  <c r="U163" i="2" s="1"/>
  <c r="C120" i="7"/>
  <c r="U166" i="2" s="1"/>
  <c r="D143" i="7"/>
  <c r="U201" i="2" s="1"/>
  <c r="D147" i="7"/>
  <c r="U208" i="2" s="1"/>
  <c r="C149" i="7"/>
  <c r="D230"/>
  <c r="D255"/>
  <c r="D259"/>
  <c r="C330"/>
  <c r="C332"/>
  <c r="C342"/>
  <c r="C344"/>
  <c r="C371"/>
  <c r="C373"/>
  <c r="C402"/>
  <c r="C422"/>
  <c r="C426"/>
  <c r="C430"/>
  <c r="C432"/>
  <c r="C439"/>
  <c r="C441"/>
  <c r="C443"/>
  <c r="C445"/>
  <c r="D206" i="8"/>
  <c r="D210"/>
  <c r="D212"/>
  <c r="D214"/>
  <c r="D216"/>
  <c r="D241"/>
  <c r="D249"/>
  <c r="D253"/>
  <c r="D101" i="9"/>
  <c r="D103"/>
  <c r="W138" i="2" s="1"/>
  <c r="D105" i="9"/>
  <c r="W142" i="2" s="1"/>
  <c r="D107" i="9"/>
  <c r="W145" i="2" s="1"/>
  <c r="D109" i="9"/>
  <c r="W148" i="2" s="1"/>
  <c r="W146" s="1"/>
  <c r="D111" i="9"/>
  <c r="W151" i="2" s="1"/>
  <c r="D213" i="9"/>
  <c r="D215"/>
  <c r="D217"/>
  <c r="D219"/>
  <c r="D221"/>
  <c r="D223"/>
  <c r="D248"/>
  <c r="D256"/>
  <c r="D216" i="5"/>
  <c r="D237"/>
  <c r="D255"/>
  <c r="D274"/>
  <c r="D280"/>
  <c r="C282"/>
  <c r="C284"/>
  <c r="C309"/>
  <c r="C319"/>
  <c r="C321"/>
  <c r="C357"/>
  <c r="C367"/>
  <c r="C369"/>
  <c r="C392"/>
  <c r="C421"/>
  <c r="C431"/>
  <c r="C433"/>
  <c r="C456"/>
  <c r="C458"/>
  <c r="C460"/>
  <c r="C24" i="6"/>
  <c r="C26"/>
  <c r="C28"/>
  <c r="C30"/>
  <c r="C39"/>
  <c r="C63"/>
  <c r="C65"/>
  <c r="C88"/>
  <c r="T115" i="2" s="1"/>
  <c r="C90" i="6"/>
  <c r="C92"/>
  <c r="C94"/>
  <c r="T124" i="2" s="1"/>
  <c r="D103" i="6"/>
  <c r="T138" i="2" s="1"/>
  <c r="D105" i="6"/>
  <c r="T142" i="2" s="1"/>
  <c r="C136" i="6"/>
  <c r="C138"/>
  <c r="D175"/>
  <c r="D182"/>
  <c r="D194"/>
  <c r="D200"/>
  <c r="T276" i="2" s="1"/>
  <c r="D221" i="6"/>
  <c r="D242"/>
  <c r="D244"/>
  <c r="D248"/>
  <c r="C287"/>
  <c r="C289"/>
  <c r="C312"/>
  <c r="C314"/>
  <c r="C341"/>
  <c r="C351"/>
  <c r="C353"/>
  <c r="C389"/>
  <c r="C399"/>
  <c r="C401"/>
  <c r="C424"/>
  <c r="C426"/>
  <c r="C428"/>
  <c r="C453"/>
  <c r="C15" i="7"/>
  <c r="U17" i="2" s="1"/>
  <c r="C17" i="7"/>
  <c r="U19" i="2" s="1"/>
  <c r="C19" i="7"/>
  <c r="U22" i="2" s="1"/>
  <c r="C21" i="7"/>
  <c r="U24" i="2" s="1"/>
  <c r="C30" i="7"/>
  <c r="U36" i="2" s="1"/>
  <c r="C44" i="7"/>
  <c r="U54" i="2" s="1"/>
  <c r="C54" i="7"/>
  <c r="U65" i="2" s="1"/>
  <c r="C56" i="7"/>
  <c r="U67" i="2" s="1"/>
  <c r="C78" i="7"/>
  <c r="U96" i="2" s="1"/>
  <c r="U95" s="1"/>
  <c r="C92" i="7"/>
  <c r="U121" i="2" s="1"/>
  <c r="C102" i="7"/>
  <c r="U137" i="2" s="1"/>
  <c r="C104" i="7"/>
  <c r="U141" i="2" s="1"/>
  <c r="D109" i="7"/>
  <c r="U148" i="2" s="1"/>
  <c r="D127" i="7"/>
  <c r="U176" i="2" s="1"/>
  <c r="D131" i="7"/>
  <c r="U182" i="2" s="1"/>
  <c r="C142" i="7"/>
  <c r="U200" i="2" s="1"/>
  <c r="C156" i="7"/>
  <c r="C166"/>
  <c r="U222" i="2" s="1"/>
  <c r="C168" i="7"/>
  <c r="U224" i="2" s="1"/>
  <c r="D191" i="7"/>
  <c r="U261" i="2" s="1"/>
  <c r="D214" i="7"/>
  <c r="D233"/>
  <c r="D239"/>
  <c r="D243"/>
  <c r="D258"/>
  <c r="D260"/>
  <c r="D278"/>
  <c r="C303"/>
  <c r="C305"/>
  <c r="C307"/>
  <c r="C309"/>
  <c r="C318"/>
  <c r="C328"/>
  <c r="C351"/>
  <c r="C353"/>
  <c r="C355"/>
  <c r="C357"/>
  <c r="C366"/>
  <c r="C378"/>
  <c r="C380"/>
  <c r="C387"/>
  <c r="C389"/>
  <c r="C391"/>
  <c r="C393"/>
  <c r="C395"/>
  <c r="C397"/>
  <c r="C404"/>
  <c r="C418"/>
  <c r="C420"/>
  <c r="C458"/>
  <c r="C34" i="8"/>
  <c r="V40" i="2" s="1"/>
  <c r="C38" i="8"/>
  <c r="V45" i="2" s="1"/>
  <c r="C40" i="8"/>
  <c r="V48" i="2" s="1"/>
  <c r="V47" s="1"/>
  <c r="C47" i="8"/>
  <c r="V57" i="2" s="1"/>
  <c r="C49" i="8"/>
  <c r="V60" i="2" s="1"/>
  <c r="C51" i="8"/>
  <c r="V62" i="2" s="1"/>
  <c r="C53" i="8"/>
  <c r="V64" i="2" s="1"/>
  <c r="C76" i="8"/>
  <c r="V93" i="2" s="1"/>
  <c r="D93" i="8"/>
  <c r="V122" i="2" s="1"/>
  <c r="D99" i="8"/>
  <c r="V132" i="2" s="1"/>
  <c r="C122" i="8"/>
  <c r="V169" i="2" s="1"/>
  <c r="C124" i="8"/>
  <c r="V172" i="2" s="1"/>
  <c r="C162" i="8"/>
  <c r="V218" i="2" s="1"/>
  <c r="C166" i="8"/>
  <c r="V222" i="2" s="1"/>
  <c r="C168" i="8"/>
  <c r="V224" i="2" s="1"/>
  <c r="D175" i="8"/>
  <c r="V239" i="2" s="1"/>
  <c r="D179" i="8"/>
  <c r="V244" i="2" s="1"/>
  <c r="D196" i="8"/>
  <c r="V266" i="2" s="1"/>
  <c r="D217" i="8"/>
  <c r="D221"/>
  <c r="D227"/>
  <c r="D266"/>
  <c r="C291"/>
  <c r="C293"/>
  <c r="C320"/>
  <c r="C322"/>
  <c r="C326"/>
  <c r="C328"/>
  <c r="C335"/>
  <c r="C337"/>
  <c r="C339"/>
  <c r="C341"/>
  <c r="C343"/>
  <c r="C345"/>
  <c r="C378"/>
  <c r="C380"/>
  <c r="C403"/>
  <c r="C405"/>
  <c r="C409"/>
  <c r="C442"/>
  <c r="C444"/>
  <c r="C33" i="9"/>
  <c r="W39" i="2" s="1"/>
  <c r="C35" i="9"/>
  <c r="W41" i="2" s="1"/>
  <c r="C58" i="9"/>
  <c r="W69" i="2" s="1"/>
  <c r="C60" i="9"/>
  <c r="W71" i="2" s="1"/>
  <c r="D97" i="9"/>
  <c r="W128" i="2" s="1"/>
  <c r="C122" i="9"/>
  <c r="W169" i="2" s="1"/>
  <c r="C124" i="9"/>
  <c r="W172" i="2" s="1"/>
  <c r="D145" i="9"/>
  <c r="W204" i="2" s="1"/>
  <c r="C170" i="9"/>
  <c r="W228" i="2" s="1"/>
  <c r="C172" i="9"/>
  <c r="W230" i="2" s="1"/>
  <c r="D189" i="9"/>
  <c r="W256" i="2" s="1"/>
  <c r="D191" i="9"/>
  <c r="W261" i="2" s="1"/>
  <c r="D209" i="9"/>
  <c r="D216"/>
  <c r="D228"/>
  <c r="D234"/>
  <c r="D251"/>
  <c r="C282"/>
  <c r="C284"/>
  <c r="C311"/>
  <c r="C321"/>
  <c r="C323"/>
  <c r="C346"/>
  <c r="C348"/>
  <c r="C375"/>
  <c r="C377"/>
  <c r="C381"/>
  <c r="C383"/>
  <c r="C390"/>
  <c r="C392"/>
  <c r="C394"/>
  <c r="C396"/>
  <c r="C398"/>
  <c r="C419"/>
  <c r="C442"/>
  <c r="C444"/>
  <c r="C446"/>
  <c r="D217" i="5"/>
  <c r="D219"/>
  <c r="D221"/>
  <c r="D239"/>
  <c r="D246"/>
  <c r="D258"/>
  <c r="D277"/>
  <c r="D279"/>
  <c r="C293"/>
  <c r="C305"/>
  <c r="C341"/>
  <c r="C353"/>
  <c r="C370"/>
  <c r="C444"/>
  <c r="C23" i="6"/>
  <c r="D87"/>
  <c r="T112" i="2" s="1"/>
  <c r="D89" i="6"/>
  <c r="D91"/>
  <c r="D93"/>
  <c r="D135"/>
  <c r="D137"/>
  <c r="D139"/>
  <c r="D141"/>
  <c r="T198" i="2" s="1"/>
  <c r="D174" i="6"/>
  <c r="D178"/>
  <c r="D184"/>
  <c r="T249" i="2" s="1"/>
  <c r="D197" i="6"/>
  <c r="D199"/>
  <c r="D201"/>
  <c r="D203"/>
  <c r="D205"/>
  <c r="D223"/>
  <c r="D230"/>
  <c r="D247"/>
  <c r="D249"/>
  <c r="D251"/>
  <c r="D253"/>
  <c r="D278"/>
  <c r="C373"/>
  <c r="C385"/>
  <c r="C14" i="7"/>
  <c r="U16" i="2" s="1"/>
  <c r="D93" i="7"/>
  <c r="U122" i="2" s="1"/>
  <c r="D105" i="7"/>
  <c r="U142" i="2" s="1"/>
  <c r="D115" i="7"/>
  <c r="U158" i="2" s="1"/>
  <c r="C126" i="7"/>
  <c r="U175" i="2" s="1"/>
  <c r="C152" i="7"/>
  <c r="D179"/>
  <c r="U244" i="2" s="1"/>
  <c r="D190" i="7"/>
  <c r="U257" i="2" s="1"/>
  <c r="D192" i="7"/>
  <c r="U262" i="2" s="1"/>
  <c r="D213" i="7"/>
  <c r="D217"/>
  <c r="D223"/>
  <c r="D236"/>
  <c r="D238"/>
  <c r="D240"/>
  <c r="D242"/>
  <c r="D244"/>
  <c r="D269"/>
  <c r="C302"/>
  <c r="C350"/>
  <c r="C390"/>
  <c r="C429"/>
  <c r="C26" i="8"/>
  <c r="V32" i="2" s="1"/>
  <c r="C28" i="8"/>
  <c r="V34" i="2" s="1"/>
  <c r="C79" i="8"/>
  <c r="V100" i="2" s="1"/>
  <c r="D83" i="8"/>
  <c r="V106" i="2" s="1"/>
  <c r="D121" i="8"/>
  <c r="V167" i="2" s="1"/>
  <c r="D125" i="8"/>
  <c r="V173" i="2" s="1"/>
  <c r="D131" i="8"/>
  <c r="V182" i="2" s="1"/>
  <c r="C156" i="8"/>
  <c r="D176"/>
  <c r="V240" i="2" s="1"/>
  <c r="D178" i="8"/>
  <c r="V243" i="2" s="1"/>
  <c r="D180" i="8"/>
  <c r="V245" i="2" s="1"/>
  <c r="D182" i="8"/>
  <c r="V247" i="2" s="1"/>
  <c r="D184" i="8"/>
  <c r="V249" i="2" s="1"/>
  <c r="D205" i="8"/>
  <c r="D226"/>
  <c r="D228"/>
  <c r="D230"/>
  <c r="D232"/>
  <c r="D257"/>
  <c r="D265"/>
  <c r="D269"/>
  <c r="D275"/>
  <c r="C316"/>
  <c r="C389"/>
  <c r="C391"/>
  <c r="D119" i="9"/>
  <c r="W164" i="2" s="1"/>
  <c r="D121" i="9"/>
  <c r="W167" i="2" s="1"/>
  <c r="D123" i="9"/>
  <c r="W170" i="2" s="1"/>
  <c r="C154" i="9"/>
  <c r="C156"/>
  <c r="D175"/>
  <c r="W239" i="2" s="1"/>
  <c r="D200" i="9"/>
  <c r="D212"/>
  <c r="D231"/>
  <c r="D233"/>
  <c r="D235"/>
  <c r="D237"/>
  <c r="D239"/>
  <c r="D260"/>
  <c r="D266"/>
  <c r="D279"/>
  <c r="C307"/>
  <c r="C371"/>
  <c r="C407"/>
  <c r="C415"/>
  <c r="T158" i="2"/>
  <c r="C13" i="5"/>
  <c r="C20"/>
  <c r="S23" i="2" s="1"/>
  <c r="C43" i="5"/>
  <c r="S51" i="2" s="1"/>
  <c r="C52" i="5"/>
  <c r="S63" i="2" s="1"/>
  <c r="C71" i="5"/>
  <c r="S84" i="2" s="1"/>
  <c r="C75" i="5"/>
  <c r="S92" i="2" s="1"/>
  <c r="C86" i="5"/>
  <c r="S111" i="2" s="1"/>
  <c r="C118" i="5"/>
  <c r="S163" i="2" s="1"/>
  <c r="C359" i="5"/>
  <c r="C363"/>
  <c r="C372"/>
  <c r="C22" i="6"/>
  <c r="C148"/>
  <c r="D276"/>
  <c r="C26" i="4"/>
  <c r="R32" i="2" s="1"/>
  <c r="C30" i="4"/>
  <c r="R36" i="2" s="1"/>
  <c r="D129" i="4"/>
  <c r="R179" i="2" s="1"/>
  <c r="C156" i="4"/>
  <c r="C160"/>
  <c r="R216" i="2" s="1"/>
  <c r="C282" i="4"/>
  <c r="C286"/>
  <c r="C57"/>
  <c r="R68" i="2" s="1"/>
  <c r="C88" i="4"/>
  <c r="R115" i="2" s="1"/>
  <c r="C100" i="4"/>
  <c r="R134" i="2" s="1"/>
  <c r="D181" i="4"/>
  <c r="R246" i="2" s="1"/>
  <c r="D185" i="4"/>
  <c r="R251" i="2" s="1"/>
  <c r="R250" s="1"/>
  <c r="D187" i="4"/>
  <c r="R254" i="2" s="1"/>
  <c r="D189" i="4"/>
  <c r="R256" i="2" s="1"/>
  <c r="D191" i="4"/>
  <c r="R261" i="2" s="1"/>
  <c r="D216" i="4"/>
  <c r="D228"/>
  <c r="C313"/>
  <c r="C441"/>
  <c r="C23" i="5"/>
  <c r="S27" i="2" s="1"/>
  <c r="C27" i="5"/>
  <c r="S33" i="2" s="1"/>
  <c r="C29" i="5"/>
  <c r="S35" i="2" s="1"/>
  <c r="C36" i="5"/>
  <c r="S43" i="2" s="1"/>
  <c r="C38" i="5"/>
  <c r="S45" i="2" s="1"/>
  <c r="C55" i="5"/>
  <c r="S66" i="2" s="1"/>
  <c r="C59" i="5"/>
  <c r="S70" i="2" s="1"/>
  <c r="C61" i="5"/>
  <c r="S72" i="2" s="1"/>
  <c r="C68" i="5"/>
  <c r="S81" i="2" s="1"/>
  <c r="C100" i="5"/>
  <c r="S134" i="2" s="1"/>
  <c r="C102" i="5"/>
  <c r="S137" i="2" s="1"/>
  <c r="C167" i="5"/>
  <c r="S223" i="2" s="1"/>
  <c r="C171" i="5"/>
  <c r="S229" i="2" s="1"/>
  <c r="C173" i="5"/>
  <c r="S231" i="2" s="1"/>
  <c r="D180" i="5"/>
  <c r="S245" i="2" s="1"/>
  <c r="D203" i="5"/>
  <c r="D205"/>
  <c r="D214"/>
  <c r="C295"/>
  <c r="C299"/>
  <c r="C301"/>
  <c r="C308"/>
  <c r="C310"/>
  <c r="C423"/>
  <c r="C427"/>
  <c r="C429"/>
  <c r="C436"/>
  <c r="C438"/>
  <c r="C71" i="6"/>
  <c r="C75"/>
  <c r="C77"/>
  <c r="C84"/>
  <c r="C86"/>
  <c r="D107"/>
  <c r="D109"/>
  <c r="D212"/>
  <c r="D235"/>
  <c r="D237"/>
  <c r="D246"/>
  <c r="C327"/>
  <c r="C331"/>
  <c r="C333"/>
  <c r="C340"/>
  <c r="C342"/>
  <c r="T62" i="2"/>
  <c r="C22" i="5"/>
  <c r="S26" i="2" s="1"/>
  <c r="C39" i="5"/>
  <c r="S46" i="2" s="1"/>
  <c r="C45" i="5"/>
  <c r="S55" i="2" s="1"/>
  <c r="C77" i="5"/>
  <c r="S94" i="2" s="1"/>
  <c r="C84" i="5"/>
  <c r="S108" i="2" s="1"/>
  <c r="C116" i="5"/>
  <c r="S160" i="2" s="1"/>
  <c r="D244" i="5"/>
  <c r="C365"/>
  <c r="C374"/>
  <c r="C13" i="6"/>
  <c r="C20"/>
  <c r="C150"/>
  <c r="C391"/>
  <c r="C28" i="4"/>
  <c r="R34" i="2" s="1"/>
  <c r="C32" i="4"/>
  <c r="R38" i="2" s="1"/>
  <c r="C154" i="4"/>
  <c r="C158"/>
  <c r="R213" i="2" s="1"/>
  <c r="D257" i="4"/>
  <c r="C284"/>
  <c r="C288"/>
  <c r="C357"/>
  <c r="C373"/>
  <c r="C375"/>
  <c r="C381"/>
  <c r="C385"/>
  <c r="C387"/>
  <c r="C410"/>
  <c r="C414"/>
  <c r="C148" i="5"/>
  <c r="S210" i="2" s="1"/>
  <c r="C150" i="5"/>
  <c r="D276"/>
  <c r="C391"/>
  <c r="C395"/>
  <c r="C397"/>
  <c r="C404"/>
  <c r="C43" i="6"/>
  <c r="C45"/>
  <c r="C52"/>
  <c r="C54"/>
  <c r="C167"/>
  <c r="C171"/>
  <c r="C173"/>
  <c r="D180"/>
  <c r="C295"/>
  <c r="C299"/>
  <c r="C301"/>
  <c r="C308"/>
  <c r="C310"/>
  <c r="T135" i="2"/>
  <c r="T167"/>
  <c r="T173"/>
  <c r="C397" i="6"/>
  <c r="C404"/>
  <c r="C423"/>
  <c r="C427"/>
  <c r="C436"/>
  <c r="C455"/>
  <c r="C461"/>
  <c r="C100" i="7"/>
  <c r="U134" i="2" s="1"/>
  <c r="D107" i="7"/>
  <c r="U145" i="2" s="1"/>
  <c r="D235" i="7"/>
  <c r="C356"/>
  <c r="C365"/>
  <c r="C14" i="4"/>
  <c r="R16" i="2" s="1"/>
  <c r="C16" i="4"/>
  <c r="R18" i="2" s="1"/>
  <c r="C25" i="4"/>
  <c r="R29" i="2" s="1"/>
  <c r="C39" i="4"/>
  <c r="R46" i="2" s="1"/>
  <c r="C45" i="4"/>
  <c r="R55" i="2" s="1"/>
  <c r="C49" i="4"/>
  <c r="R60" i="2" s="1"/>
  <c r="C51" i="4"/>
  <c r="R62" i="2" s="1"/>
  <c r="C56" i="4"/>
  <c r="R67" i="2" s="1"/>
  <c r="C74" i="4"/>
  <c r="R91" i="2" s="1"/>
  <c r="C78" i="4"/>
  <c r="R96" i="2" s="1"/>
  <c r="R95" s="1"/>
  <c r="D93" i="4"/>
  <c r="R122" i="2" s="1"/>
  <c r="D95" i="4"/>
  <c r="R125" i="2" s="1"/>
  <c r="D113" i="4"/>
  <c r="R155" i="2" s="1"/>
  <c r="C132" i="4"/>
  <c r="R184" i="2" s="1"/>
  <c r="C138" i="4"/>
  <c r="R194" i="2" s="1"/>
  <c r="C142" i="4"/>
  <c r="R200" i="2" s="1"/>
  <c r="C144" i="4"/>
  <c r="R203" i="2" s="1"/>
  <c r="C153" i="4"/>
  <c r="C167"/>
  <c r="R223" i="2" s="1"/>
  <c r="C173" i="4"/>
  <c r="R231" i="2" s="1"/>
  <c r="D177" i="4"/>
  <c r="R241" i="2" s="1"/>
  <c r="D184" i="4"/>
  <c r="R249" i="2" s="1"/>
  <c r="D196" i="4"/>
  <c r="R266" i="2" s="1"/>
  <c r="D202" i="4"/>
  <c r="D206"/>
  <c r="D223"/>
  <c r="D241"/>
  <c r="D248"/>
  <c r="D260"/>
  <c r="D266"/>
  <c r="D270"/>
  <c r="C295"/>
  <c r="C301"/>
  <c r="C305"/>
  <c r="C307"/>
  <c r="C330"/>
  <c r="C332"/>
  <c r="C334"/>
  <c r="C336"/>
  <c r="C359"/>
  <c r="C365"/>
  <c r="C369"/>
  <c r="C371"/>
  <c r="C394"/>
  <c r="C398"/>
  <c r="C423"/>
  <c r="C429"/>
  <c r="C433"/>
  <c r="C435"/>
  <c r="C458"/>
  <c r="C16" i="5"/>
  <c r="S18" i="2" s="1"/>
  <c r="C18" i="5"/>
  <c r="S21" i="2" s="1"/>
  <c r="C25" i="5"/>
  <c r="S29" i="2" s="1"/>
  <c r="C32" i="5"/>
  <c r="S38" i="2" s="1"/>
  <c r="C34" i="5"/>
  <c r="S40" i="2" s="1"/>
  <c r="C41" i="5"/>
  <c r="S50" i="2" s="1"/>
  <c r="C48" i="5"/>
  <c r="S59" i="2" s="1"/>
  <c r="C50" i="5"/>
  <c r="S61" i="2" s="1"/>
  <c r="C57" i="5"/>
  <c r="S68" i="2" s="1"/>
  <c r="C64" i="5"/>
  <c r="S76" i="2" s="1"/>
  <c r="C73" i="5"/>
  <c r="S87" i="2" s="1"/>
  <c r="C80" i="5"/>
  <c r="S102" i="2" s="1"/>
  <c r="C96" i="5"/>
  <c r="S127" i="2" s="1"/>
  <c r="C98" i="5"/>
  <c r="S131" i="2" s="1"/>
  <c r="E462" i="7"/>
  <c r="C130"/>
  <c r="U181" i="2" s="1"/>
  <c r="C132" i="7"/>
  <c r="U184" i="2" s="1"/>
  <c r="D139" i="7"/>
  <c r="U195" i="2" s="1"/>
  <c r="D267" i="7"/>
  <c r="C18" i="8"/>
  <c r="V21" i="2" s="1"/>
  <c r="C22" i="8"/>
  <c r="V26" i="2" s="1"/>
  <c r="C24" i="8"/>
  <c r="V28" i="2" s="1"/>
  <c r="C31" i="8"/>
  <c r="V37" i="2" s="1"/>
  <c r="C33" i="8"/>
  <c r="V39" i="2" s="1"/>
  <c r="C50" i="8"/>
  <c r="V61" i="2" s="1"/>
  <c r="C54" i="8"/>
  <c r="V65" i="2" s="1"/>
  <c r="C56" i="8"/>
  <c r="V67" i="2" s="1"/>
  <c r="C63" i="8"/>
  <c r="V75" i="2" s="1"/>
  <c r="C65" i="8"/>
  <c r="V78" i="2" s="1"/>
  <c r="C82" i="8"/>
  <c r="V105" i="2" s="1"/>
  <c r="C86" i="8"/>
  <c r="V111" i="2" s="1"/>
  <c r="C88" i="8"/>
  <c r="V115" i="2" s="1"/>
  <c r="D95" i="8"/>
  <c r="V125" i="2" s="1"/>
  <c r="C114" i="8"/>
  <c r="V157" i="2" s="1"/>
  <c r="C118" i="8"/>
  <c r="V163" i="2" s="1"/>
  <c r="C120" i="8"/>
  <c r="V166" i="2" s="1"/>
  <c r="D127" i="8"/>
  <c r="V176" i="2" s="1"/>
  <c r="C146" i="8"/>
  <c r="V207" i="2" s="1"/>
  <c r="C150" i="8"/>
  <c r="C152"/>
  <c r="C159"/>
  <c r="V215" i="2" s="1"/>
  <c r="C161" i="8"/>
  <c r="V217" i="2" s="1"/>
  <c r="D239" i="8"/>
  <c r="C153" i="9"/>
  <c r="C157"/>
  <c r="C159"/>
  <c r="W215" i="2" s="1"/>
  <c r="C166" i="9"/>
  <c r="W222" i="2" s="1"/>
  <c r="C168" i="9"/>
  <c r="W224" i="2" s="1"/>
  <c r="C395" i="6"/>
  <c r="C406"/>
  <c r="C429"/>
  <c r="C438"/>
  <c r="C459"/>
  <c r="F462" i="7"/>
  <c r="C98"/>
  <c r="U131" i="2" s="1"/>
  <c r="C354" i="7"/>
  <c r="C363"/>
  <c r="F462" i="4"/>
  <c r="C23"/>
  <c r="R27" i="2" s="1"/>
  <c r="C29" i="4"/>
  <c r="R35" i="2" s="1"/>
  <c r="C33" i="4"/>
  <c r="R39" i="2" s="1"/>
  <c r="C35" i="4"/>
  <c r="R41" i="2" s="1"/>
  <c r="C52" i="4"/>
  <c r="R63" i="2" s="1"/>
  <c r="C62" i="4"/>
  <c r="R74" i="2" s="1"/>
  <c r="C73" i="4"/>
  <c r="R87" i="2" s="1"/>
  <c r="C104" i="4"/>
  <c r="R141" i="2" s="1"/>
  <c r="C116" i="4"/>
  <c r="R160" i="2" s="1"/>
  <c r="D137" i="4"/>
  <c r="R192" i="2" s="1"/>
  <c r="D139" i="4"/>
  <c r="R195" i="2" s="1"/>
  <c r="D141" i="4"/>
  <c r="R198" i="2" s="1"/>
  <c r="D143" i="4"/>
  <c r="R201" i="2" s="1"/>
  <c r="C163" i="4"/>
  <c r="R219" i="2" s="1"/>
  <c r="D180" i="4"/>
  <c r="R245" i="2" s="1"/>
  <c r="D201" i="4"/>
  <c r="D203"/>
  <c r="D205"/>
  <c r="D207"/>
  <c r="D232"/>
  <c r="D244"/>
  <c r="D265"/>
  <c r="D267"/>
  <c r="D269"/>
  <c r="D271"/>
  <c r="C318"/>
  <c r="C320"/>
  <c r="C329"/>
  <c r="C343"/>
  <c r="C349"/>
  <c r="C353"/>
  <c r="C355"/>
  <c r="C372"/>
  <c r="C378"/>
  <c r="C382"/>
  <c r="C393"/>
  <c r="C407"/>
  <c r="C413"/>
  <c r="C417"/>
  <c r="C419"/>
  <c r="C424"/>
  <c r="C436"/>
  <c r="C442"/>
  <c r="C446"/>
  <c r="C457"/>
  <c r="C21" i="5"/>
  <c r="S24" i="2" s="1"/>
  <c r="C28" i="5"/>
  <c r="S34" i="2" s="1"/>
  <c r="C37" i="5"/>
  <c r="S44" i="2" s="1"/>
  <c r="C44" i="5"/>
  <c r="S54" i="2" s="1"/>
  <c r="C46" i="5"/>
  <c r="S56" i="2" s="1"/>
  <c r="C53" i="5"/>
  <c r="S64" i="2" s="1"/>
  <c r="C60" i="5"/>
  <c r="S71" i="2" s="1"/>
  <c r="C69" i="5"/>
  <c r="S82" i="2" s="1"/>
  <c r="C74" i="5"/>
  <c r="S91" i="2" s="1"/>
  <c r="C76" i="5"/>
  <c r="S93" i="2" s="1"/>
  <c r="D81" i="5"/>
  <c r="C92"/>
  <c r="S121" i="2" s="1"/>
  <c r="C94" i="5"/>
  <c r="S124" i="2" s="1"/>
  <c r="D97" i="5"/>
  <c r="S128" i="2" s="1"/>
  <c r="C108" i="5"/>
  <c r="S147" i="2" s="1"/>
  <c r="C132" i="5"/>
  <c r="S184" i="2" s="1"/>
  <c r="C134" i="5"/>
  <c r="S187" i="2" s="1"/>
  <c r="C151" i="5"/>
  <c r="S211" i="2" s="1"/>
  <c r="C155" i="5"/>
  <c r="C157"/>
  <c r="C164"/>
  <c r="S220" i="2" s="1"/>
  <c r="C166" i="5"/>
  <c r="S222" i="2" s="1"/>
  <c r="D196" i="5"/>
  <c r="S266" i="2" s="1"/>
  <c r="D228" i="5"/>
  <c r="D260"/>
  <c r="C283"/>
  <c r="C285"/>
  <c r="C292"/>
  <c r="C294"/>
  <c r="C311"/>
  <c r="C315"/>
  <c r="C317"/>
  <c r="C324"/>
  <c r="C326"/>
  <c r="C347"/>
  <c r="C349"/>
  <c r="C356"/>
  <c r="C358"/>
  <c r="C375"/>
  <c r="C379"/>
  <c r="C381"/>
  <c r="C388"/>
  <c r="C407"/>
  <c r="C411"/>
  <c r="C413"/>
  <c r="C420"/>
  <c r="C422"/>
  <c r="C439"/>
  <c r="C443"/>
  <c r="C445"/>
  <c r="C452"/>
  <c r="C454"/>
  <c r="C27" i="6"/>
  <c r="C29"/>
  <c r="C36"/>
  <c r="C38"/>
  <c r="C55"/>
  <c r="C59"/>
  <c r="C61"/>
  <c r="C68"/>
  <c r="C70"/>
  <c r="C100"/>
  <c r="C102"/>
  <c r="C132"/>
  <c r="C134"/>
  <c r="C151"/>
  <c r="C155"/>
  <c r="C157"/>
  <c r="C164"/>
  <c r="C166"/>
  <c r="D196"/>
  <c r="D228"/>
  <c r="D260"/>
  <c r="C283"/>
  <c r="C285"/>
  <c r="C292"/>
  <c r="C294"/>
  <c r="C311"/>
  <c r="C315"/>
  <c r="C317"/>
  <c r="C324"/>
  <c r="C326"/>
  <c r="C343"/>
  <c r="C347"/>
  <c r="C349"/>
  <c r="C356"/>
  <c r="C358"/>
  <c r="C375"/>
  <c r="C379"/>
  <c r="C381"/>
  <c r="C388"/>
  <c r="C390"/>
  <c r="C407"/>
  <c r="C411"/>
  <c r="C413"/>
  <c r="C420"/>
  <c r="C422"/>
  <c r="C439"/>
  <c r="C443"/>
  <c r="C445"/>
  <c r="C452"/>
  <c r="C454"/>
  <c r="T132" i="2"/>
  <c r="T170"/>
  <c r="C34" i="7"/>
  <c r="U40" i="2" s="1"/>
  <c r="C36" i="7"/>
  <c r="U43" i="2" s="1"/>
  <c r="C43" i="7"/>
  <c r="U51" i="2" s="1"/>
  <c r="C45" i="7"/>
  <c r="U55" i="2" s="1"/>
  <c r="C162" i="7"/>
  <c r="U218" i="2" s="1"/>
  <c r="C164" i="7"/>
  <c r="U220" i="2" s="1"/>
  <c r="C171" i="7"/>
  <c r="U229" i="2" s="1"/>
  <c r="C173" i="7"/>
  <c r="U231" i="2" s="1"/>
  <c r="D194" i="7"/>
  <c r="U264" i="2" s="1"/>
  <c r="D196" i="7"/>
  <c r="U266" i="2" s="1"/>
  <c r="D205" i="7"/>
  <c r="C290"/>
  <c r="C292"/>
  <c r="C299"/>
  <c r="C301"/>
  <c r="C112" i="5"/>
  <c r="S154" i="2" s="1"/>
  <c r="C114" i="5"/>
  <c r="S157" i="2" s="1"/>
  <c r="D117" i="5"/>
  <c r="S161" i="2" s="1"/>
  <c r="C128" i="5"/>
  <c r="S178" i="2" s="1"/>
  <c r="C130" i="5"/>
  <c r="S181" i="2" s="1"/>
  <c r="D133" i="5"/>
  <c r="S185" i="2" s="1"/>
  <c r="C144" i="5"/>
  <c r="S203" i="2" s="1"/>
  <c r="C146" i="5"/>
  <c r="S207" i="2" s="1"/>
  <c r="C153" i="5"/>
  <c r="C160"/>
  <c r="S216" i="2" s="1"/>
  <c r="C162" i="5"/>
  <c r="S218" i="2" s="1"/>
  <c r="C169" i="5"/>
  <c r="S227" i="2" s="1"/>
  <c r="D176" i="5"/>
  <c r="S240" i="2" s="1"/>
  <c r="D192" i="5"/>
  <c r="S262" i="2" s="1"/>
  <c r="D208" i="5"/>
  <c r="D213"/>
  <c r="D224"/>
  <c r="D229"/>
  <c r="D240"/>
  <c r="D245"/>
  <c r="D254"/>
  <c r="D256"/>
  <c r="D261"/>
  <c r="D272"/>
  <c r="C281"/>
  <c r="C288"/>
  <c r="C290"/>
  <c r="C297"/>
  <c r="C304"/>
  <c r="C306"/>
  <c r="C313"/>
  <c r="C320"/>
  <c r="C322"/>
  <c r="C329"/>
  <c r="C336"/>
  <c r="C338"/>
  <c r="C345"/>
  <c r="C352"/>
  <c r="C354"/>
  <c r="C361"/>
  <c r="C368"/>
  <c r="C377"/>
  <c r="C384"/>
  <c r="C393"/>
  <c r="C400"/>
  <c r="C409"/>
  <c r="C416"/>
  <c r="C425"/>
  <c r="C432"/>
  <c r="C434"/>
  <c r="C441"/>
  <c r="C448"/>
  <c r="C450"/>
  <c r="C457"/>
  <c r="C16" i="6"/>
  <c r="T18" i="2" s="1"/>
  <c r="C18" i="6"/>
  <c r="C25"/>
  <c r="C32"/>
  <c r="C34"/>
  <c r="C41"/>
  <c r="C48"/>
  <c r="C50"/>
  <c r="C57"/>
  <c r="C64"/>
  <c r="C66"/>
  <c r="C73"/>
  <c r="C80"/>
  <c r="C82"/>
  <c r="D85"/>
  <c r="C96"/>
  <c r="C98"/>
  <c r="D101"/>
  <c r="C112"/>
  <c r="C114"/>
  <c r="D117"/>
  <c r="C128"/>
  <c r="C130"/>
  <c r="D133"/>
  <c r="C144"/>
  <c r="C146"/>
  <c r="C153"/>
  <c r="C160"/>
  <c r="C162"/>
  <c r="C169"/>
  <c r="D176"/>
  <c r="D192"/>
  <c r="D208"/>
  <c r="D224"/>
  <c r="D229"/>
  <c r="D238"/>
  <c r="D240"/>
  <c r="D245"/>
  <c r="D256"/>
  <c r="D261"/>
  <c r="D272"/>
  <c r="C281"/>
  <c r="C288"/>
  <c r="C290"/>
  <c r="C297"/>
  <c r="C304"/>
  <c r="C306"/>
  <c r="C313"/>
  <c r="C320"/>
  <c r="C322"/>
  <c r="C329"/>
  <c r="C336"/>
  <c r="C338"/>
  <c r="C345"/>
  <c r="C352"/>
  <c r="C354"/>
  <c r="C361"/>
  <c r="C368"/>
  <c r="C370"/>
  <c r="C377"/>
  <c r="C384"/>
  <c r="C386"/>
  <c r="C393"/>
  <c r="C400"/>
  <c r="C402"/>
  <c r="C409"/>
  <c r="C416"/>
  <c r="C418"/>
  <c r="C425"/>
  <c r="C432"/>
  <c r="C434"/>
  <c r="C441"/>
  <c r="C448"/>
  <c r="C450"/>
  <c r="C457"/>
  <c r="D113" i="5"/>
  <c r="S155" i="2" s="1"/>
  <c r="D129" i="5"/>
  <c r="S179" i="2" s="1"/>
  <c r="C142" i="5"/>
  <c r="S200" i="2" s="1"/>
  <c r="D145" i="5"/>
  <c r="S204" i="2" s="1"/>
  <c r="C172" i="5"/>
  <c r="S230" i="2" s="1"/>
  <c r="D177" i="5"/>
  <c r="S241" i="2" s="1"/>
  <c r="D186" i="5"/>
  <c r="S253" i="2" s="1"/>
  <c r="D188" i="5"/>
  <c r="S255" i="2" s="1"/>
  <c r="D193" i="5"/>
  <c r="S263" i="2" s="1"/>
  <c r="D202" i="5"/>
  <c r="D204"/>
  <c r="D209"/>
  <c r="D218"/>
  <c r="D220"/>
  <c r="D225"/>
  <c r="D234"/>
  <c r="D236"/>
  <c r="D241"/>
  <c r="D250"/>
  <c r="D257"/>
  <c r="D266"/>
  <c r="D268"/>
  <c r="D273"/>
  <c r="C286"/>
  <c r="C302"/>
  <c r="C316"/>
  <c r="C318"/>
  <c r="C334"/>
  <c r="C350"/>
  <c r="C366"/>
  <c r="C373"/>
  <c r="C380"/>
  <c r="C394"/>
  <c r="C396"/>
  <c r="C410"/>
  <c r="C430"/>
  <c r="C446"/>
  <c r="C46" i="6"/>
  <c r="C53"/>
  <c r="C60"/>
  <c r="C62"/>
  <c r="C69"/>
  <c r="C78"/>
  <c r="D81"/>
  <c r="D97"/>
  <c r="D113"/>
  <c r="D129"/>
  <c r="C140"/>
  <c r="C142"/>
  <c r="D145"/>
  <c r="C149"/>
  <c r="C156"/>
  <c r="C158"/>
  <c r="C165"/>
  <c r="C172"/>
  <c r="D177"/>
  <c r="D186"/>
  <c r="D188"/>
  <c r="D193"/>
  <c r="D202"/>
  <c r="D204"/>
  <c r="D209"/>
  <c r="D218"/>
  <c r="D220"/>
  <c r="D225"/>
  <c r="D234"/>
  <c r="D236"/>
  <c r="D241"/>
  <c r="D250"/>
  <c r="D252"/>
  <c r="D257"/>
  <c r="D266"/>
  <c r="D273"/>
  <c r="C286"/>
  <c r="C302"/>
  <c r="C316"/>
  <c r="C318"/>
  <c r="C334"/>
  <c r="C350"/>
  <c r="C366"/>
  <c r="C382"/>
  <c r="C398"/>
  <c r="C414"/>
  <c r="C430"/>
  <c r="C437"/>
  <c r="C446"/>
  <c r="C18" i="7"/>
  <c r="U21" i="2" s="1"/>
  <c r="C20" i="7"/>
  <c r="U23" i="2" s="1"/>
  <c r="C27" i="7"/>
  <c r="U33" i="2" s="1"/>
  <c r="C29" i="7"/>
  <c r="C50"/>
  <c r="U61" i="2" s="1"/>
  <c r="C52" i="7"/>
  <c r="U63" i="2" s="1"/>
  <c r="C59" i="7"/>
  <c r="U70" i="2" s="1"/>
  <c r="C61" i="7"/>
  <c r="U72" i="2" s="1"/>
  <c r="U105"/>
  <c r="C84" i="7"/>
  <c r="U108" i="2" s="1"/>
  <c r="D91" i="7"/>
  <c r="U119" i="2" s="1"/>
  <c r="U117" s="1"/>
  <c r="C114" i="7"/>
  <c r="U157" i="2" s="1"/>
  <c r="C116" i="7"/>
  <c r="U160" i="2" s="1"/>
  <c r="D123" i="7"/>
  <c r="U170" i="2" s="1"/>
  <c r="C146" i="7"/>
  <c r="U207" i="2" s="1"/>
  <c r="C148" i="7"/>
  <c r="U210" i="2" s="1"/>
  <c r="C155" i="7"/>
  <c r="C157"/>
  <c r="D187"/>
  <c r="U254" i="2" s="1"/>
  <c r="D219" i="7"/>
  <c r="D251"/>
  <c r="C283"/>
  <c r="C285"/>
  <c r="C306"/>
  <c r="C308"/>
  <c r="C315"/>
  <c r="C317"/>
  <c r="C338"/>
  <c r="C340"/>
  <c r="C347"/>
  <c r="C349"/>
  <c r="C354" i="8"/>
  <c r="C358"/>
  <c r="C360"/>
  <c r="C367"/>
  <c r="C369"/>
  <c r="C25" i="9"/>
  <c r="W29" i="2" s="1"/>
  <c r="C29" i="9"/>
  <c r="W35" i="2" s="1"/>
  <c r="C31" i="9"/>
  <c r="W37" i="2" s="1"/>
  <c r="C38" i="9"/>
  <c r="W45" i="2" s="1"/>
  <c r="C40" i="9"/>
  <c r="W48" i="2" s="1"/>
  <c r="W47" s="1"/>
  <c r="C281" i="9"/>
  <c r="C285"/>
  <c r="C287"/>
  <c r="C294"/>
  <c r="C296"/>
  <c r="C16" i="7"/>
  <c r="U18" i="2" s="1"/>
  <c r="C23" i="7"/>
  <c r="U27" i="2" s="1"/>
  <c r="C25" i="7"/>
  <c r="U29" i="2" s="1"/>
  <c r="C32" i="7"/>
  <c r="U38" i="2" s="1"/>
  <c r="C39" i="7"/>
  <c r="U46" i="2" s="1"/>
  <c r="C41" i="7"/>
  <c r="U50" i="2" s="1"/>
  <c r="C48" i="7"/>
  <c r="U59" i="2" s="1"/>
  <c r="C55" i="7"/>
  <c r="U66" i="2" s="1"/>
  <c r="C57" i="7"/>
  <c r="U68" i="2" s="1"/>
  <c r="C64" i="7"/>
  <c r="U76" i="2" s="1"/>
  <c r="C71" i="7"/>
  <c r="U84" i="2" s="1"/>
  <c r="C73" i="7"/>
  <c r="U87" i="2" s="1"/>
  <c r="C80" i="7"/>
  <c r="U102" i="2" s="1"/>
  <c r="D85" i="7"/>
  <c r="D87"/>
  <c r="U112" i="2" s="1"/>
  <c r="C96" i="7"/>
  <c r="U127" i="2" s="1"/>
  <c r="D101" i="7"/>
  <c r="D103"/>
  <c r="U138" i="2" s="1"/>
  <c r="C112" i="7"/>
  <c r="U154" i="2" s="1"/>
  <c r="D117" i="7"/>
  <c r="U161" i="2" s="1"/>
  <c r="D119" i="7"/>
  <c r="U164" i="2" s="1"/>
  <c r="C128" i="7"/>
  <c r="U178" i="2" s="1"/>
  <c r="D133" i="7"/>
  <c r="U185" i="2" s="1"/>
  <c r="D135" i="7"/>
  <c r="U188" i="2" s="1"/>
  <c r="C144" i="7"/>
  <c r="U203" i="2" s="1"/>
  <c r="C151" i="7"/>
  <c r="U211" i="2" s="1"/>
  <c r="C153" i="7"/>
  <c r="C160"/>
  <c r="U216" i="2" s="1"/>
  <c r="C167" i="7"/>
  <c r="U223" i="2" s="1"/>
  <c r="C169" i="7"/>
  <c r="U227" i="2" s="1"/>
  <c r="D181" i="7"/>
  <c r="U246" i="2" s="1"/>
  <c r="D183" i="7"/>
  <c r="U248" i="2" s="1"/>
  <c r="D188" i="7"/>
  <c r="U255" i="2" s="1"/>
  <c r="D197" i="7"/>
  <c r="U270" i="2" s="1"/>
  <c r="D199" i="7"/>
  <c r="U272" i="2" s="1"/>
  <c r="D204" i="7"/>
  <c r="D215"/>
  <c r="D231"/>
  <c r="D245"/>
  <c r="D247"/>
  <c r="D252"/>
  <c r="D261"/>
  <c r="D263"/>
  <c r="D268"/>
  <c r="D277"/>
  <c r="D279"/>
  <c r="C281"/>
  <c r="C288"/>
  <c r="C295"/>
  <c r="C297"/>
  <c r="C304"/>
  <c r="C311"/>
  <c r="C313"/>
  <c r="C320"/>
  <c r="C327"/>
  <c r="C329"/>
  <c r="C336"/>
  <c r="C343"/>
  <c r="C345"/>
  <c r="C352"/>
  <c r="C359"/>
  <c r="C361"/>
  <c r="C368"/>
  <c r="C375"/>
  <c r="C377"/>
  <c r="C410"/>
  <c r="C412"/>
  <c r="C414"/>
  <c r="C416"/>
  <c r="C423"/>
  <c r="C425"/>
  <c r="C442"/>
  <c r="C446"/>
  <c r="C448"/>
  <c r="C455"/>
  <c r="C457"/>
  <c r="D81" i="8"/>
  <c r="D113"/>
  <c r="V155" i="2" s="1"/>
  <c r="D145" i="8"/>
  <c r="V204" i="2" s="1"/>
  <c r="D177" i="8"/>
  <c r="V241" i="2" s="1"/>
  <c r="D271" i="8"/>
  <c r="C386"/>
  <c r="C390"/>
  <c r="C392"/>
  <c r="C399"/>
  <c r="C401"/>
  <c r="C57" i="9"/>
  <c r="W68" i="2" s="1"/>
  <c r="C61" i="9"/>
  <c r="W72" i="2" s="1"/>
  <c r="C63" i="9"/>
  <c r="W75" i="2" s="1"/>
  <c r="C70" i="9"/>
  <c r="W83" i="2" s="1"/>
  <c r="C72" i="9"/>
  <c r="W86" i="2" s="1"/>
  <c r="D198" i="9"/>
  <c r="W271" i="2" s="1"/>
  <c r="C313" i="9"/>
  <c r="C317"/>
  <c r="C319"/>
  <c r="C326"/>
  <c r="C328"/>
  <c r="C441"/>
  <c r="C445"/>
  <c r="C447"/>
  <c r="C454"/>
  <c r="C456"/>
  <c r="D81" i="7"/>
  <c r="U103" i="2" s="1"/>
  <c r="D97" i="7"/>
  <c r="U128" i="2" s="1"/>
  <c r="U126" s="1"/>
  <c r="D113" i="7"/>
  <c r="U155" i="2" s="1"/>
  <c r="D129" i="7"/>
  <c r="U179" i="2" s="1"/>
  <c r="D145" i="7"/>
  <c r="U204" i="2" s="1"/>
  <c r="D177" i="7"/>
  <c r="U241" i="2" s="1"/>
  <c r="D184" i="7"/>
  <c r="U249" i="2" s="1"/>
  <c r="D193" i="7"/>
  <c r="U263" i="2" s="1"/>
  <c r="D195" i="7"/>
  <c r="U265" i="2" s="1"/>
  <c r="D200" i="7"/>
  <c r="U276" i="2" s="1"/>
  <c r="D209" i="7"/>
  <c r="D216"/>
  <c r="D225"/>
  <c r="D227"/>
  <c r="D232"/>
  <c r="D241"/>
  <c r="D248"/>
  <c r="D257"/>
  <c r="D264"/>
  <c r="D273"/>
  <c r="D280"/>
  <c r="F462" i="8"/>
  <c r="D198"/>
  <c r="V271" i="2" s="1"/>
  <c r="D200" i="8"/>
  <c r="D209"/>
  <c r="C290"/>
  <c r="C294"/>
  <c r="C296"/>
  <c r="C303"/>
  <c r="C305"/>
  <c r="C418"/>
  <c r="C422"/>
  <c r="C424"/>
  <c r="C431"/>
  <c r="C433"/>
  <c r="C102" i="9"/>
  <c r="W137" i="2" s="1"/>
  <c r="C104" i="9"/>
  <c r="W141" i="2" s="1"/>
  <c r="D125" i="9"/>
  <c r="W173" i="2" s="1"/>
  <c r="D127" i="9"/>
  <c r="W176" i="2" s="1"/>
  <c r="D230" i="9"/>
  <c r="D253"/>
  <c r="D255"/>
  <c r="D264"/>
  <c r="C345"/>
  <c r="C349"/>
  <c r="C351"/>
  <c r="C358"/>
  <c r="C360"/>
  <c r="E462"/>
  <c r="C13"/>
  <c r="W15" i="2" s="1"/>
  <c r="C367" i="7"/>
  <c r="C369"/>
  <c r="C376"/>
  <c r="C383"/>
  <c r="C385"/>
  <c r="C392"/>
  <c r="C399"/>
  <c r="C401"/>
  <c r="C408"/>
  <c r="C415"/>
  <c r="C417"/>
  <c r="C424"/>
  <c r="C431"/>
  <c r="C433"/>
  <c r="C440"/>
  <c r="C447"/>
  <c r="C449"/>
  <c r="C456"/>
  <c r="C16" i="8"/>
  <c r="V18" i="2" s="1"/>
  <c r="C23" i="8"/>
  <c r="V27" i="2" s="1"/>
  <c r="C25" i="8"/>
  <c r="V29" i="2" s="1"/>
  <c r="C32" i="8"/>
  <c r="V38" i="2" s="1"/>
  <c r="C39" i="8"/>
  <c r="V46" i="2" s="1"/>
  <c r="C41" i="8"/>
  <c r="V50" i="2" s="1"/>
  <c r="C48" i="8"/>
  <c r="V59" i="2" s="1"/>
  <c r="C55" i="8"/>
  <c r="V66" i="2" s="1"/>
  <c r="C57" i="8"/>
  <c r="V68" i="2" s="1"/>
  <c r="C64" i="8"/>
  <c r="V76" i="2" s="1"/>
  <c r="C71" i="8"/>
  <c r="V84" i="2" s="1"/>
  <c r="C73" i="8"/>
  <c r="V87" i="2" s="1"/>
  <c r="C80" i="8"/>
  <c r="V102" i="2" s="1"/>
  <c r="D85" i="8"/>
  <c r="V109" i="2" s="1"/>
  <c r="D87" i="8"/>
  <c r="V112" i="2" s="1"/>
  <c r="C96" i="8"/>
  <c r="V127" i="2" s="1"/>
  <c r="D101" i="8"/>
  <c r="D103"/>
  <c r="V138" i="2" s="1"/>
  <c r="C112" i="8"/>
  <c r="V154" i="2" s="1"/>
  <c r="D117" i="8"/>
  <c r="V161" i="2" s="1"/>
  <c r="D119" i="8"/>
  <c r="V164" i="2" s="1"/>
  <c r="C128" i="8"/>
  <c r="V178" i="2" s="1"/>
  <c r="D133" i="8"/>
  <c r="V185" i="2" s="1"/>
  <c r="D135" i="8"/>
  <c r="V188" i="2" s="1"/>
  <c r="C144" i="8"/>
  <c r="V203" i="2" s="1"/>
  <c r="C151" i="8"/>
  <c r="V211" i="2" s="1"/>
  <c r="C153" i="8"/>
  <c r="C160"/>
  <c r="V216" i="2" s="1"/>
  <c r="C167" i="8"/>
  <c r="V223" i="2" s="1"/>
  <c r="D191" i="8"/>
  <c r="V261" i="2" s="1"/>
  <c r="D223" i="8"/>
  <c r="D255"/>
  <c r="C287"/>
  <c r="C289"/>
  <c r="C306"/>
  <c r="C310"/>
  <c r="C312"/>
  <c r="C319"/>
  <c r="C321"/>
  <c r="C338"/>
  <c r="C342"/>
  <c r="C344"/>
  <c r="C351"/>
  <c r="C353"/>
  <c r="C370"/>
  <c r="C374"/>
  <c r="C376"/>
  <c r="C383"/>
  <c r="C385"/>
  <c r="C402"/>
  <c r="C406"/>
  <c r="C408"/>
  <c r="C415"/>
  <c r="C417"/>
  <c r="C434"/>
  <c r="C438"/>
  <c r="C440"/>
  <c r="C447"/>
  <c r="C449"/>
  <c r="C15" i="9"/>
  <c r="C22"/>
  <c r="W26" i="2" s="1"/>
  <c r="C24" i="9"/>
  <c r="W28" i="2" s="1"/>
  <c r="C41" i="9"/>
  <c r="W50" i="2" s="1"/>
  <c r="C45" i="9"/>
  <c r="W55" i="2" s="1"/>
  <c r="C47" i="9"/>
  <c r="W57" i="2" s="1"/>
  <c r="C54" i="9"/>
  <c r="W65" i="2" s="1"/>
  <c r="C56" i="9"/>
  <c r="W67" i="2" s="1"/>
  <c r="C73" i="9"/>
  <c r="W87" i="2" s="1"/>
  <c r="C77" i="9"/>
  <c r="W94" i="2" s="1"/>
  <c r="C79" i="9"/>
  <c r="W100" i="2" s="1"/>
  <c r="C86" i="9"/>
  <c r="W111" i="2" s="1"/>
  <c r="C88" i="9"/>
  <c r="W115" i="2" s="1"/>
  <c r="C118" i="9"/>
  <c r="W163" i="2" s="1"/>
  <c r="C120" i="9"/>
  <c r="W166" i="2" s="1"/>
  <c r="C150" i="9"/>
  <c r="C152"/>
  <c r="C169"/>
  <c r="W227" i="2" s="1"/>
  <c r="C173" i="9"/>
  <c r="W231" i="2" s="1"/>
  <c r="D182" i="9"/>
  <c r="W247" i="2" s="1"/>
  <c r="D214" i="9"/>
  <c r="D246"/>
  <c r="D278"/>
  <c r="C297"/>
  <c r="C301"/>
  <c r="C303"/>
  <c r="C310"/>
  <c r="C312"/>
  <c r="C329"/>
  <c r="C333"/>
  <c r="C335"/>
  <c r="C342"/>
  <c r="C344"/>
  <c r="C361"/>
  <c r="C365"/>
  <c r="C367"/>
  <c r="C374"/>
  <c r="C376"/>
  <c r="C393"/>
  <c r="C397"/>
  <c r="C399"/>
  <c r="C406"/>
  <c r="C408"/>
  <c r="C425"/>
  <c r="C429"/>
  <c r="C431"/>
  <c r="C438"/>
  <c r="C440"/>
  <c r="C457"/>
  <c r="C461"/>
  <c r="C419" i="7"/>
  <c r="C421"/>
  <c r="C428"/>
  <c r="C435"/>
  <c r="C437"/>
  <c r="C444"/>
  <c r="C451"/>
  <c r="C453"/>
  <c r="C460"/>
  <c r="E462" i="8"/>
  <c r="C20"/>
  <c r="V23" i="2" s="1"/>
  <c r="C27" i="8"/>
  <c r="V33" i="2" s="1"/>
  <c r="C29" i="8"/>
  <c r="V35" i="2" s="1"/>
  <c r="C36" i="8"/>
  <c r="V43" i="2" s="1"/>
  <c r="C43" i="8"/>
  <c r="V51" i="2" s="1"/>
  <c r="C45" i="8"/>
  <c r="V55" i="2" s="1"/>
  <c r="C52" i="8"/>
  <c r="V63" i="2" s="1"/>
  <c r="C59" i="8"/>
  <c r="V70" i="2" s="1"/>
  <c r="C61" i="8"/>
  <c r="V72" i="2" s="1"/>
  <c r="C68" i="8"/>
  <c r="V81" i="2" s="1"/>
  <c r="C75" i="8"/>
  <c r="V92" i="2" s="1"/>
  <c r="C77" i="8"/>
  <c r="V94" i="2" s="1"/>
  <c r="C84" i="8"/>
  <c r="V108" i="2" s="1"/>
  <c r="D91" i="8"/>
  <c r="V119" i="2" s="1"/>
  <c r="C100" i="8"/>
  <c r="V134" i="2" s="1"/>
  <c r="D107" i="8"/>
  <c r="V145" i="2" s="1"/>
  <c r="C116" i="8"/>
  <c r="V160" i="2" s="1"/>
  <c r="V159" s="1"/>
  <c r="D123" i="8"/>
  <c r="V170" i="2" s="1"/>
  <c r="C132" i="8"/>
  <c r="V184" i="2" s="1"/>
  <c r="D139" i="8"/>
  <c r="V195" i="2" s="1"/>
  <c r="C148" i="8"/>
  <c r="V210" i="2" s="1"/>
  <c r="C155" i="8"/>
  <c r="C157"/>
  <c r="C164"/>
  <c r="V220" i="2" s="1"/>
  <c r="C171" i="8"/>
  <c r="V229" i="2" s="1"/>
  <c r="F462" i="9"/>
  <c r="C169" i="8"/>
  <c r="V227" i="2" s="1"/>
  <c r="D181" i="8"/>
  <c r="V246" i="2" s="1"/>
  <c r="D183" i="8"/>
  <c r="V248" i="2" s="1"/>
  <c r="D188" i="8"/>
  <c r="V255" i="2" s="1"/>
  <c r="D197" i="8"/>
  <c r="V270" i="2" s="1"/>
  <c r="D199" i="8"/>
  <c r="V272" i="2" s="1"/>
  <c r="D204" i="8"/>
  <c r="D213"/>
  <c r="D215"/>
  <c r="D220"/>
  <c r="D229"/>
  <c r="D231"/>
  <c r="D236"/>
  <c r="D245"/>
  <c r="D247"/>
  <c r="D252"/>
  <c r="D261"/>
  <c r="D263"/>
  <c r="D268"/>
  <c r="D277"/>
  <c r="D279"/>
  <c r="C281"/>
  <c r="C288"/>
  <c r="C295"/>
  <c r="C297"/>
  <c r="C304"/>
  <c r="C311"/>
  <c r="C313"/>
  <c r="C329"/>
  <c r="C361"/>
  <c r="C368"/>
  <c r="C375"/>
  <c r="C377"/>
  <c r="C393"/>
  <c r="C407"/>
  <c r="C425"/>
  <c r="C432"/>
  <c r="C441"/>
  <c r="C448"/>
  <c r="C457"/>
  <c r="C14" i="9"/>
  <c r="W16" i="2" s="1"/>
  <c r="C16" i="9"/>
  <c r="W18" i="2" s="1"/>
  <c r="C23" i="9"/>
  <c r="W27" i="2" s="1"/>
  <c r="C30" i="9"/>
  <c r="W36" i="2" s="1"/>
  <c r="C32" i="9"/>
  <c r="W38" i="2" s="1"/>
  <c r="C39" i="9"/>
  <c r="W46" i="2" s="1"/>
  <c r="C46" i="9"/>
  <c r="W56" i="2" s="1"/>
  <c r="C48" i="9"/>
  <c r="W59" i="2" s="1"/>
  <c r="C55" i="9"/>
  <c r="W66" i="2" s="1"/>
  <c r="C62" i="9"/>
  <c r="W74" i="2" s="1"/>
  <c r="C64" i="9"/>
  <c r="W76" i="2" s="1"/>
  <c r="C71" i="9"/>
  <c r="W84" i="2" s="1"/>
  <c r="C78" i="9"/>
  <c r="W96" i="2" s="1"/>
  <c r="W95" s="1"/>
  <c r="C80" i="9"/>
  <c r="W102" i="2" s="1"/>
  <c r="D83" i="9"/>
  <c r="C94"/>
  <c r="W124" i="2" s="1"/>
  <c r="C96" i="9"/>
  <c r="W127" i="2" s="1"/>
  <c r="D99" i="9"/>
  <c r="C110"/>
  <c r="W150" i="2" s="1"/>
  <c r="C112" i="9"/>
  <c r="W154" i="2" s="1"/>
  <c r="D115" i="9"/>
  <c r="W158" i="2" s="1"/>
  <c r="C126" i="9"/>
  <c r="W175" i="2" s="1"/>
  <c r="C128" i="9"/>
  <c r="W178" i="2" s="1"/>
  <c r="D131" i="9"/>
  <c r="W182" i="2" s="1"/>
  <c r="C142" i="9"/>
  <c r="W200" i="2" s="1"/>
  <c r="C144" i="9"/>
  <c r="W203" i="2" s="1"/>
  <c r="D147" i="9"/>
  <c r="W208" i="2" s="1"/>
  <c r="C151" i="9"/>
  <c r="W211" i="2" s="1"/>
  <c r="C158" i="9"/>
  <c r="W213" i="2" s="1"/>
  <c r="C160" i="9"/>
  <c r="W216" i="2" s="1"/>
  <c r="C167" i="9"/>
  <c r="W223" i="2" s="1"/>
  <c r="D174" i="9"/>
  <c r="W238" i="2" s="1"/>
  <c r="D179" i="9"/>
  <c r="W244" i="2" s="1"/>
  <c r="D188" i="9"/>
  <c r="W255" i="2" s="1"/>
  <c r="D190" i="9"/>
  <c r="W257" i="2" s="1"/>
  <c r="D195" i="9"/>
  <c r="W265" i="2" s="1"/>
  <c r="D204" i="9"/>
  <c r="D211"/>
  <c r="D220"/>
  <c r="D222"/>
  <c r="D227"/>
  <c r="D236"/>
  <c r="D238"/>
  <c r="D243"/>
  <c r="D252"/>
  <c r="D259"/>
  <c r="D268"/>
  <c r="D270"/>
  <c r="D275"/>
  <c r="C286"/>
  <c r="C288"/>
  <c r="C295"/>
  <c r="C302"/>
  <c r="C304"/>
  <c r="C318"/>
  <c r="C320"/>
  <c r="C336"/>
  <c r="C343"/>
  <c r="C350"/>
  <c r="C352"/>
  <c r="C368"/>
  <c r="C382"/>
  <c r="C384"/>
  <c r="C400"/>
  <c r="C430"/>
  <c r="C432"/>
  <c r="C439"/>
  <c r="C448"/>
  <c r="C173" i="8"/>
  <c r="V231" i="2" s="1"/>
  <c r="D187" i="8"/>
  <c r="V254" i="2" s="1"/>
  <c r="D192" i="8"/>
  <c r="V262" i="2" s="1"/>
  <c r="D203" i="8"/>
  <c r="D208"/>
  <c r="D219"/>
  <c r="D224"/>
  <c r="D235"/>
  <c r="D240"/>
  <c r="D251"/>
  <c r="D256"/>
  <c r="D267"/>
  <c r="D272"/>
  <c r="C283"/>
  <c r="C285"/>
  <c r="C292"/>
  <c r="C299"/>
  <c r="C301"/>
  <c r="C308"/>
  <c r="C315"/>
  <c r="C317"/>
  <c r="C324"/>
  <c r="C331"/>
  <c r="C333"/>
  <c r="C340"/>
  <c r="C347"/>
  <c r="C349"/>
  <c r="C356"/>
  <c r="C363"/>
  <c r="C365"/>
  <c r="C372"/>
  <c r="C379"/>
  <c r="C381"/>
  <c r="C388"/>
  <c r="C395"/>
  <c r="C397"/>
  <c r="C404"/>
  <c r="C411"/>
  <c r="C413"/>
  <c r="C420"/>
  <c r="C427"/>
  <c r="C429"/>
  <c r="C436"/>
  <c r="C443"/>
  <c r="C445"/>
  <c r="C452"/>
  <c r="C459"/>
  <c r="C461"/>
  <c r="C18" i="9"/>
  <c r="W21" i="2" s="1"/>
  <c r="C20" i="9"/>
  <c r="W23" i="2" s="1"/>
  <c r="C27" i="9"/>
  <c r="W33" i="2" s="1"/>
  <c r="C34" i="9"/>
  <c r="W40" i="2" s="1"/>
  <c r="C36" i="9"/>
  <c r="W43" i="2" s="1"/>
  <c r="C43" i="9"/>
  <c r="W51" i="2" s="1"/>
  <c r="C50" i="9"/>
  <c r="W61" i="2" s="1"/>
  <c r="C52" i="9"/>
  <c r="W63" i="2" s="1"/>
  <c r="C59" i="9"/>
  <c r="W70" i="2" s="1"/>
  <c r="C66" i="9"/>
  <c r="W79" i="2" s="1"/>
  <c r="C68" i="9"/>
  <c r="W81" i="2" s="1"/>
  <c r="C75" i="9"/>
  <c r="W92" i="2" s="1"/>
  <c r="C82" i="9"/>
  <c r="W105" i="2" s="1"/>
  <c r="C84" i="9"/>
  <c r="W108" i="2" s="1"/>
  <c r="C98" i="9"/>
  <c r="W131" i="2" s="1"/>
  <c r="C100" i="9"/>
  <c r="W134" i="2" s="1"/>
  <c r="C114" i="9"/>
  <c r="W157" i="2" s="1"/>
  <c r="W156" s="1"/>
  <c r="C116" i="9"/>
  <c r="W160" i="2" s="1"/>
  <c r="C130" i="9"/>
  <c r="W181" i="2" s="1"/>
  <c r="C132" i="9"/>
  <c r="W184" i="2" s="1"/>
  <c r="C146" i="9"/>
  <c r="W207" i="2" s="1"/>
  <c r="C148" i="9"/>
  <c r="W210" i="2" s="1"/>
  <c r="C155" i="9"/>
  <c r="C162"/>
  <c r="W218" i="2" s="1"/>
  <c r="C164" i="9"/>
  <c r="W220" i="2" s="1"/>
  <c r="C171" i="9"/>
  <c r="W229" i="2" s="1"/>
  <c r="D178" i="9"/>
  <c r="W243" i="2" s="1"/>
  <c r="D183" i="9"/>
  <c r="W248" i="2" s="1"/>
  <c r="D194" i="9"/>
  <c r="W264" i="2" s="1"/>
  <c r="D199" i="9"/>
  <c r="W272" i="2" s="1"/>
  <c r="D208" i="9"/>
  <c r="D210"/>
  <c r="D224"/>
  <c r="D226"/>
  <c r="D240"/>
  <c r="D242"/>
  <c r="D258"/>
  <c r="D274"/>
  <c r="C283"/>
  <c r="C290"/>
  <c r="C292"/>
  <c r="C299"/>
  <c r="C306"/>
  <c r="C308"/>
  <c r="C315"/>
  <c r="C322"/>
  <c r="C324"/>
  <c r="C331"/>
  <c r="C338"/>
  <c r="C340"/>
  <c r="C347"/>
  <c r="C354"/>
  <c r="C356"/>
  <c r="C363"/>
  <c r="C370"/>
  <c r="C372"/>
  <c r="C379"/>
  <c r="C386"/>
  <c r="C388"/>
  <c r="C395"/>
  <c r="C402"/>
  <c r="C404"/>
  <c r="C411"/>
  <c r="C418"/>
  <c r="C420"/>
  <c r="C427"/>
  <c r="C434"/>
  <c r="C436"/>
  <c r="C443"/>
  <c r="C450"/>
  <c r="C452"/>
  <c r="C459"/>
  <c r="C13" i="8"/>
  <c r="C13" i="7"/>
  <c r="E462" i="6"/>
  <c r="E462" i="5"/>
  <c r="E462" i="4"/>
  <c r="C24"/>
  <c r="R28" i="2" s="1"/>
  <c r="C31" i="4"/>
  <c r="R37" i="2" s="1"/>
  <c r="C38" i="4"/>
  <c r="R45" i="2" s="1"/>
  <c r="C47" i="4"/>
  <c r="R57" i="2" s="1"/>
  <c r="C79" i="4"/>
  <c r="R100" i="2" s="1"/>
  <c r="C120" i="4"/>
  <c r="R166" i="2" s="1"/>
  <c r="C134" i="4"/>
  <c r="R187" i="2" s="1"/>
  <c r="C150" i="4"/>
  <c r="C159"/>
  <c r="R215" i="2" s="1"/>
  <c r="C168" i="4"/>
  <c r="R224" i="2" s="1"/>
  <c r="D182" i="4"/>
  <c r="R247" i="2" s="1"/>
  <c r="D214" i="4"/>
  <c r="D230"/>
  <c r="D246"/>
  <c r="D262"/>
  <c r="D278"/>
  <c r="C287"/>
  <c r="C294"/>
  <c r="C296"/>
  <c r="C303"/>
  <c r="C310"/>
  <c r="C312"/>
  <c r="C319"/>
  <c r="C326"/>
  <c r="C328"/>
  <c r="C335"/>
  <c r="C342"/>
  <c r="C344"/>
  <c r="C351"/>
  <c r="C358"/>
  <c r="C360"/>
  <c r="C367"/>
  <c r="C374"/>
  <c r="C383"/>
  <c r="C390"/>
  <c r="C399"/>
  <c r="C406"/>
  <c r="C415"/>
  <c r="C422"/>
  <c r="C431"/>
  <c r="C438"/>
  <c r="C447"/>
  <c r="C454"/>
  <c r="C13"/>
  <c r="R15" i="2" s="1"/>
  <c r="C18" i="4"/>
  <c r="R21" i="2" s="1"/>
  <c r="C20" i="4"/>
  <c r="R23" i="2" s="1"/>
  <c r="C27" i="4"/>
  <c r="R33" i="2" s="1"/>
  <c r="C34" i="4"/>
  <c r="R40" i="2" s="1"/>
  <c r="C43" i="4"/>
  <c r="R51" i="2" s="1"/>
  <c r="C50" i="4"/>
  <c r="R61" i="2" s="1"/>
  <c r="C59" i="4"/>
  <c r="R70" i="2" s="1"/>
  <c r="C64" i="4"/>
  <c r="R76" i="2" s="1"/>
  <c r="C66" i="4"/>
  <c r="R79" i="2" s="1"/>
  <c r="C75" i="4"/>
  <c r="R92" i="2" s="1"/>
  <c r="C80" i="4"/>
  <c r="R102" i="2" s="1"/>
  <c r="C82" i="4"/>
  <c r="R105" i="2" s="1"/>
  <c r="D87" i="4"/>
  <c r="R112" i="2" s="1"/>
  <c r="C96" i="4"/>
  <c r="R127" i="2" s="1"/>
  <c r="C98" i="4"/>
  <c r="R131" i="2" s="1"/>
  <c r="D103" i="4"/>
  <c r="R138" i="2" s="1"/>
  <c r="C114" i="4"/>
  <c r="R157" i="2" s="1"/>
  <c r="D119" i="4"/>
  <c r="R164" i="2" s="1"/>
  <c r="C128" i="4"/>
  <c r="R178" i="2" s="1"/>
  <c r="C130" i="4"/>
  <c r="R181" i="2" s="1"/>
  <c r="D135" i="4"/>
  <c r="R188" i="2" s="1"/>
  <c r="C146" i="4"/>
  <c r="R207" i="2" s="1"/>
  <c r="C148" i="4"/>
  <c r="R210" i="2" s="1"/>
  <c r="C155" i="4"/>
  <c r="C162"/>
  <c r="R218" i="2" s="1"/>
  <c r="C171" i="4"/>
  <c r="R229" i="2" s="1"/>
  <c r="D176" i="4"/>
  <c r="R240" i="2" s="1"/>
  <c r="D178" i="4"/>
  <c r="R243" i="2" s="1"/>
  <c r="D183" i="4"/>
  <c r="R248" i="2" s="1"/>
  <c r="D192" i="4"/>
  <c r="R262" i="2" s="1"/>
  <c r="D194" i="4"/>
  <c r="R264" i="2" s="1"/>
  <c r="D199" i="4"/>
  <c r="R272" i="2" s="1"/>
  <c r="D208" i="4"/>
  <c r="D210"/>
  <c r="D215"/>
  <c r="D224"/>
  <c r="D226"/>
  <c r="D231"/>
  <c r="D240"/>
  <c r="D242"/>
  <c r="D247"/>
  <c r="D256"/>
  <c r="D258"/>
  <c r="D263"/>
  <c r="D272"/>
  <c r="D274"/>
  <c r="D279"/>
  <c r="C283"/>
  <c r="C290"/>
  <c r="C292"/>
  <c r="C299"/>
  <c r="C306"/>
  <c r="C308"/>
  <c r="C315"/>
  <c r="C322"/>
  <c r="C324"/>
  <c r="C331"/>
  <c r="C338"/>
  <c r="C340"/>
  <c r="C347"/>
  <c r="C354"/>
  <c r="C356"/>
  <c r="C363"/>
  <c r="C370"/>
  <c r="C379"/>
  <c r="C384"/>
  <c r="C386"/>
  <c r="C395"/>
  <c r="C400"/>
  <c r="C402"/>
  <c r="C411"/>
  <c r="C416"/>
  <c r="C418"/>
  <c r="C427"/>
  <c r="C432"/>
  <c r="C434"/>
  <c r="C443"/>
  <c r="C448"/>
  <c r="C450"/>
  <c r="C459"/>
  <c r="C15"/>
  <c r="R17" i="2" s="1"/>
  <c r="C22" i="4"/>
  <c r="R26" i="2" s="1"/>
  <c r="C40" i="4"/>
  <c r="R48" i="2" s="1"/>
  <c r="R47" s="1"/>
  <c r="C54" i="4"/>
  <c r="R65" i="2" s="1"/>
  <c r="C63" i="4"/>
  <c r="R75" i="2" s="1"/>
  <c r="C70" i="4"/>
  <c r="R83" i="2" s="1"/>
  <c r="C86" i="4"/>
  <c r="R111" i="2" s="1"/>
  <c r="C102" i="4"/>
  <c r="R137" i="2" s="1"/>
  <c r="R136" s="1"/>
  <c r="C118" i="4"/>
  <c r="R163" i="2" s="1"/>
  <c r="C152" i="4"/>
  <c r="C166"/>
  <c r="R222" i="2" s="1"/>
  <c r="D198" i="4"/>
  <c r="R271" i="2" s="1"/>
  <c r="C60" i="4"/>
  <c r="R71" i="2" s="1"/>
  <c r="C76" i="4"/>
  <c r="R93" i="2" s="1"/>
  <c r="D83" i="4"/>
  <c r="C92"/>
  <c r="R121" i="2" s="1"/>
  <c r="D99" i="4"/>
  <c r="C108"/>
  <c r="R147" i="2" s="1"/>
  <c r="D115" i="4"/>
  <c r="R158" i="2" s="1"/>
  <c r="D131" i="4"/>
  <c r="R182" i="2" s="1"/>
  <c r="C140" i="4"/>
  <c r="R197" i="2" s="1"/>
  <c r="D147" i="4"/>
  <c r="R208" i="2" s="1"/>
  <c r="D179" i="4"/>
  <c r="R244" i="2" s="1"/>
  <c r="D188" i="4"/>
  <c r="R255" i="2" s="1"/>
  <c r="D195" i="4"/>
  <c r="R265" i="2" s="1"/>
  <c r="D204" i="4"/>
  <c r="D211"/>
  <c r="D220"/>
  <c r="D227"/>
  <c r="D236"/>
  <c r="D243"/>
  <c r="D252"/>
  <c r="D259"/>
  <c r="D268"/>
  <c r="D275"/>
  <c r="C380"/>
  <c r="C396"/>
  <c r="C412"/>
  <c r="C428"/>
  <c r="C444"/>
  <c r="C460"/>
  <c r="D462" i="10" l="1"/>
  <c r="F475"/>
  <c r="AA126" i="2"/>
  <c r="AA183"/>
  <c r="AA177"/>
  <c r="F475" i="9"/>
  <c r="U35" i="2"/>
  <c r="U31" s="1"/>
  <c r="D462" i="14"/>
  <c r="D475" s="1"/>
  <c r="C462"/>
  <c r="AB15" i="2"/>
  <c r="AB132"/>
  <c r="AB135"/>
  <c r="AB133" s="1"/>
  <c r="C462" i="13"/>
  <c r="AA15" i="2"/>
  <c r="D462" i="13"/>
  <c r="Z47" i="2"/>
  <c r="Z132"/>
  <c r="Z130" s="1"/>
  <c r="Z135"/>
  <c r="Z133" s="1"/>
  <c r="C462" i="12"/>
  <c r="Z34" i="2"/>
  <c r="C462" i="11"/>
  <c r="D475"/>
  <c r="C462" i="10"/>
  <c r="W149" i="2"/>
  <c r="W114"/>
  <c r="W136"/>
  <c r="U136"/>
  <c r="V123"/>
  <c r="W196"/>
  <c r="D462" i="15"/>
  <c r="C462"/>
  <c r="F475"/>
  <c r="T35" i="2"/>
  <c r="V165"/>
  <c r="S190"/>
  <c r="W183"/>
  <c r="W153"/>
  <c r="D462" i="12"/>
  <c r="D475" s="1"/>
  <c r="V193" i="2"/>
  <c r="V180"/>
  <c r="S140"/>
  <c r="U183"/>
  <c r="AB168"/>
  <c r="U114"/>
  <c r="V190"/>
  <c r="X168"/>
  <c r="T169"/>
  <c r="T168" s="1"/>
  <c r="W199"/>
  <c r="U237"/>
  <c r="T69"/>
  <c r="S162"/>
  <c r="W117"/>
  <c r="W159"/>
  <c r="T239"/>
  <c r="W177"/>
  <c r="V126"/>
  <c r="V85"/>
  <c r="U73"/>
  <c r="T246"/>
  <c r="S114"/>
  <c r="F475" i="6"/>
  <c r="T106" i="2"/>
  <c r="T182"/>
  <c r="T228"/>
  <c r="T201"/>
  <c r="T100"/>
  <c r="V186"/>
  <c r="AB171"/>
  <c r="T46"/>
  <c r="S168"/>
  <c r="S135"/>
  <c r="S133" s="1"/>
  <c r="T22"/>
  <c r="S143"/>
  <c r="W186"/>
  <c r="U130"/>
  <c r="V114"/>
  <c r="S107"/>
  <c r="T208"/>
  <c r="T86"/>
  <c r="R49"/>
  <c r="S165"/>
  <c r="S206"/>
  <c r="S205" s="1"/>
  <c r="R114"/>
  <c r="AB190"/>
  <c r="T150"/>
  <c r="T149" s="1"/>
  <c r="T217"/>
  <c r="R117"/>
  <c r="U146"/>
  <c r="S136"/>
  <c r="X171"/>
  <c r="T271"/>
  <c r="T256"/>
  <c r="T122"/>
  <c r="S242"/>
  <c r="Z171"/>
  <c r="U190"/>
  <c r="R126"/>
  <c r="W126"/>
  <c r="U180"/>
  <c r="S85"/>
  <c r="R153"/>
  <c r="S273"/>
  <c r="S193"/>
  <c r="W193"/>
  <c r="U110"/>
  <c r="AA273"/>
  <c r="T39"/>
  <c r="T215"/>
  <c r="R107"/>
  <c r="R209"/>
  <c r="W101"/>
  <c r="U162"/>
  <c r="AB149"/>
  <c r="T24"/>
  <c r="S156"/>
  <c r="T80"/>
  <c r="S146"/>
  <c r="S42"/>
  <c r="R140"/>
  <c r="T37"/>
  <c r="W143"/>
  <c r="U143"/>
  <c r="S149"/>
  <c r="S73"/>
  <c r="U90"/>
  <c r="U97" s="1"/>
  <c r="R174"/>
  <c r="T224"/>
  <c r="U171"/>
  <c r="S171"/>
  <c r="S126"/>
  <c r="X117"/>
  <c r="T163"/>
  <c r="T162" s="1"/>
  <c r="S237"/>
  <c r="V140"/>
  <c r="R177"/>
  <c r="R101"/>
  <c r="W107"/>
  <c r="V143"/>
  <c r="S180"/>
  <c r="R183"/>
  <c r="T160"/>
  <c r="U242"/>
  <c r="S196"/>
  <c r="R190"/>
  <c r="S174"/>
  <c r="V149"/>
  <c r="T265"/>
  <c r="V174"/>
  <c r="W165"/>
  <c r="U85"/>
  <c r="U168"/>
  <c r="T34"/>
  <c r="S199"/>
  <c r="T257"/>
  <c r="AB273"/>
  <c r="T91"/>
  <c r="V206"/>
  <c r="V205" s="1"/>
  <c r="U193"/>
  <c r="T41"/>
  <c r="R202"/>
  <c r="V146"/>
  <c r="T119"/>
  <c r="V120"/>
  <c r="U135"/>
  <c r="U133" s="1"/>
  <c r="R120"/>
  <c r="R73"/>
  <c r="V177"/>
  <c r="V136"/>
  <c r="V237"/>
  <c r="U186"/>
  <c r="U206"/>
  <c r="U205" s="1"/>
  <c r="T270"/>
  <c r="T254"/>
  <c r="S186"/>
  <c r="X250"/>
  <c r="AB165"/>
  <c r="T78"/>
  <c r="S159"/>
  <c r="T244"/>
  <c r="T195"/>
  <c r="Z168"/>
  <c r="V196"/>
  <c r="AB120"/>
  <c r="U53"/>
  <c r="T219"/>
  <c r="R159"/>
  <c r="AA250"/>
  <c r="Y193"/>
  <c r="R162"/>
  <c r="W202"/>
  <c r="W110"/>
  <c r="U156"/>
  <c r="S177"/>
  <c r="R193"/>
  <c r="R85"/>
  <c r="Y165"/>
  <c r="S20"/>
  <c r="T93"/>
  <c r="U165"/>
  <c r="R171"/>
  <c r="R149"/>
  <c r="U149"/>
  <c r="U58"/>
  <c r="R237"/>
  <c r="S104"/>
  <c r="U123"/>
  <c r="T248"/>
  <c r="Y171"/>
  <c r="T172"/>
  <c r="T171" s="1"/>
  <c r="R252"/>
  <c r="R273"/>
  <c r="R242"/>
  <c r="R14"/>
  <c r="F475" i="4"/>
  <c r="Y162" i="2"/>
  <c r="W120"/>
  <c r="W20"/>
  <c r="V183"/>
  <c r="V90"/>
  <c r="V97" s="1"/>
  <c r="V73"/>
  <c r="S153"/>
  <c r="AB123"/>
  <c r="V156"/>
  <c r="V104"/>
  <c r="R123"/>
  <c r="AB250"/>
  <c r="Z250"/>
  <c r="T243"/>
  <c r="T176"/>
  <c r="T125"/>
  <c r="T123" s="1"/>
  <c r="Z165"/>
  <c r="Z162"/>
  <c r="T192"/>
  <c r="T57"/>
  <c r="T17"/>
  <c r="U174"/>
  <c r="V130"/>
  <c r="U199"/>
  <c r="U140"/>
  <c r="V117"/>
  <c r="S117"/>
  <c r="R143"/>
  <c r="T16"/>
  <c r="W168"/>
  <c r="F475" i="5"/>
  <c r="T175" i="2"/>
  <c r="X162"/>
  <c r="T75"/>
  <c r="R196"/>
  <c r="R156"/>
  <c r="W90"/>
  <c r="W97" s="1"/>
  <c r="W123"/>
  <c r="V53"/>
  <c r="F475" i="8"/>
  <c r="U232" i="2"/>
  <c r="U177"/>
  <c r="U49"/>
  <c r="U25"/>
  <c r="U159"/>
  <c r="U104"/>
  <c r="U20"/>
  <c r="T238"/>
  <c r="T44"/>
  <c r="S123"/>
  <c r="S90"/>
  <c r="S97" s="1"/>
  <c r="T194"/>
  <c r="T251"/>
  <c r="T250" s="1"/>
  <c r="T166"/>
  <c r="T165" s="1"/>
  <c r="X165"/>
  <c r="S110"/>
  <c r="U196"/>
  <c r="T141"/>
  <c r="T140" s="1"/>
  <c r="AA47"/>
  <c r="X47"/>
  <c r="T191"/>
  <c r="T54"/>
  <c r="Z123"/>
  <c r="T147"/>
  <c r="S130"/>
  <c r="R20"/>
  <c r="U77"/>
  <c r="S232"/>
  <c r="X140"/>
  <c r="AB47"/>
  <c r="T48"/>
  <c r="T47" s="1"/>
  <c r="T28"/>
  <c r="R146"/>
  <c r="R232"/>
  <c r="R90"/>
  <c r="R97" s="1"/>
  <c r="W242"/>
  <c r="W180"/>
  <c r="W31"/>
  <c r="V242"/>
  <c r="V209"/>
  <c r="V107"/>
  <c r="W85"/>
  <c r="U267"/>
  <c r="W273"/>
  <c r="U42"/>
  <c r="T264"/>
  <c r="T144"/>
  <c r="Y47"/>
  <c r="S31"/>
  <c r="V135"/>
  <c r="V133" s="1"/>
  <c r="T272"/>
  <c r="T188"/>
  <c r="T118"/>
  <c r="T247"/>
  <c r="V171"/>
  <c r="U120"/>
  <c r="X114"/>
  <c r="T121"/>
  <c r="T27"/>
  <c r="T36"/>
  <c r="X149"/>
  <c r="Z149"/>
  <c r="Y149"/>
  <c r="R77"/>
  <c r="W140"/>
  <c r="F475" i="7"/>
  <c r="V110" i="2"/>
  <c r="S58"/>
  <c r="Z117"/>
  <c r="R186"/>
  <c r="R42"/>
  <c r="W267"/>
  <c r="W237"/>
  <c r="V252"/>
  <c r="V168"/>
  <c r="V77"/>
  <c r="V31"/>
  <c r="W232"/>
  <c r="W162"/>
  <c r="V202"/>
  <c r="V42"/>
  <c r="U101"/>
  <c r="U209"/>
  <c r="S202"/>
  <c r="X120"/>
  <c r="S214"/>
  <c r="S212" s="1"/>
  <c r="S183"/>
  <c r="S120"/>
  <c r="S77"/>
  <c r="S53"/>
  <c r="R199"/>
  <c r="R25"/>
  <c r="Z190"/>
  <c r="T116"/>
  <c r="T114" s="1"/>
  <c r="T261"/>
  <c r="AB117"/>
  <c r="T32"/>
  <c r="T103"/>
  <c r="T266"/>
  <c r="T137"/>
  <c r="T136" s="1"/>
  <c r="Y136"/>
  <c r="T43"/>
  <c r="T65"/>
  <c r="R132"/>
  <c r="R130" s="1"/>
  <c r="R135"/>
  <c r="R133" s="1"/>
  <c r="R165"/>
  <c r="D462" i="4"/>
  <c r="R106" i="2"/>
  <c r="R104" s="1"/>
  <c r="T263"/>
  <c r="T230"/>
  <c r="T179"/>
  <c r="X95"/>
  <c r="AB95"/>
  <c r="AA95"/>
  <c r="T96"/>
  <c r="T95" s="1"/>
  <c r="Z95"/>
  <c r="Y95"/>
  <c r="T64"/>
  <c r="T262"/>
  <c r="T216"/>
  <c r="T185"/>
  <c r="Z156"/>
  <c r="Y156"/>
  <c r="T157"/>
  <c r="T156" s="1"/>
  <c r="X156"/>
  <c r="AB156"/>
  <c r="T127"/>
  <c r="T87"/>
  <c r="Z85"/>
  <c r="T61"/>
  <c r="T38"/>
  <c r="T222"/>
  <c r="T211"/>
  <c r="X133"/>
  <c r="Y133"/>
  <c r="T134"/>
  <c r="T133" s="1"/>
  <c r="T70"/>
  <c r="S103"/>
  <c r="S101" s="1"/>
  <c r="D462" i="5"/>
  <c r="T23" i="2"/>
  <c r="T94"/>
  <c r="R180"/>
  <c r="R206"/>
  <c r="R205" s="1"/>
  <c r="R110"/>
  <c r="R31"/>
  <c r="D462" i="6"/>
  <c r="W214" i="2"/>
  <c r="W212" s="1"/>
  <c r="U252"/>
  <c r="S252"/>
  <c r="S267"/>
  <c r="V162"/>
  <c r="R53"/>
  <c r="T241"/>
  <c r="T197"/>
  <c r="T196" s="1"/>
  <c r="T71"/>
  <c r="T72"/>
  <c r="T231"/>
  <c r="T210"/>
  <c r="V103"/>
  <c r="V101" s="1"/>
  <c r="D462" i="8"/>
  <c r="T245" i="2"/>
  <c r="T51"/>
  <c r="W106"/>
  <c r="W104" s="1"/>
  <c r="D462" i="9"/>
  <c r="W17" i="2"/>
  <c r="W14" s="1"/>
  <c r="C462" i="9"/>
  <c r="U109" i="2"/>
  <c r="U107" s="1"/>
  <c r="D462" i="7"/>
  <c r="T240" i="2"/>
  <c r="Y180"/>
  <c r="T181"/>
  <c r="T154"/>
  <c r="T109"/>
  <c r="T79"/>
  <c r="T59"/>
  <c r="T29"/>
  <c r="T15"/>
  <c r="C462" i="6"/>
  <c r="T92" i="2"/>
  <c r="R58"/>
  <c r="R214"/>
  <c r="R212" s="1"/>
  <c r="U202"/>
  <c r="AB162"/>
  <c r="R267"/>
  <c r="W58"/>
  <c r="W53"/>
  <c r="Y168"/>
  <c r="C462" i="7"/>
  <c r="U15" i="2"/>
  <c r="U14" s="1"/>
  <c r="C462" i="8"/>
  <c r="V15" i="2"/>
  <c r="V14" s="1"/>
  <c r="W132"/>
  <c r="W130" s="1"/>
  <c r="W135"/>
  <c r="W133" s="1"/>
  <c r="W171"/>
  <c r="T255"/>
  <c r="T221"/>
  <c r="T204"/>
  <c r="T155"/>
  <c r="T82"/>
  <c r="T56"/>
  <c r="T227"/>
  <c r="T207"/>
  <c r="Y206"/>
  <c r="Y205" s="1"/>
  <c r="T178"/>
  <c r="X104"/>
  <c r="AB104"/>
  <c r="T105"/>
  <c r="Y104"/>
  <c r="T76"/>
  <c r="T50"/>
  <c r="T21"/>
  <c r="T220"/>
  <c r="Z186"/>
  <c r="T187"/>
  <c r="T83"/>
  <c r="T66"/>
  <c r="T33"/>
  <c r="T229"/>
  <c r="T63"/>
  <c r="T148"/>
  <c r="AB146"/>
  <c r="T111"/>
  <c r="T110" s="1"/>
  <c r="T84"/>
  <c r="T26"/>
  <c r="W209"/>
  <c r="W77"/>
  <c r="W252"/>
  <c r="W174"/>
  <c r="W73"/>
  <c r="W49"/>
  <c r="V153"/>
  <c r="V273"/>
  <c r="U214"/>
  <c r="U212" s="1"/>
  <c r="AB174"/>
  <c r="V214"/>
  <c r="V212" s="1"/>
  <c r="V58"/>
  <c r="V25"/>
  <c r="S49"/>
  <c r="S25"/>
  <c r="T253"/>
  <c r="T213"/>
  <c r="Z199"/>
  <c r="Y199"/>
  <c r="X199"/>
  <c r="T200"/>
  <c r="AB199"/>
  <c r="T128"/>
  <c r="T74"/>
  <c r="T218"/>
  <c r="T203"/>
  <c r="X159"/>
  <c r="T161"/>
  <c r="Y130"/>
  <c r="T131"/>
  <c r="T130" s="1"/>
  <c r="X130"/>
  <c r="AB130"/>
  <c r="T102"/>
  <c r="T68"/>
  <c r="T40"/>
  <c r="T184"/>
  <c r="T81"/>
  <c r="T45"/>
  <c r="T223"/>
  <c r="T55"/>
  <c r="T145"/>
  <c r="Z143"/>
  <c r="T108"/>
  <c r="C462" i="5"/>
  <c r="S15" i="2"/>
  <c r="S14" s="1"/>
  <c r="W206"/>
  <c r="W205" s="1"/>
  <c r="W42"/>
  <c r="V232"/>
  <c r="W25"/>
  <c r="V267"/>
  <c r="V49"/>
  <c r="U273"/>
  <c r="U153"/>
  <c r="V20"/>
  <c r="S209"/>
  <c r="C462" i="4"/>
  <c r="D475" i="10" l="1"/>
  <c r="D475" i="13"/>
  <c r="D475" i="15"/>
  <c r="Z104" i="2"/>
  <c r="Z206"/>
  <c r="Z205" s="1"/>
  <c r="X85"/>
  <c r="X190"/>
  <c r="S139"/>
  <c r="Y85"/>
  <c r="Y190"/>
  <c r="T104"/>
  <c r="AB180"/>
  <c r="T190"/>
  <c r="AB85"/>
  <c r="Y186"/>
  <c r="T206"/>
  <c r="T205" s="1"/>
  <c r="T85"/>
  <c r="T107"/>
  <c r="T199"/>
  <c r="X186"/>
  <c r="X177"/>
  <c r="AB206"/>
  <c r="AB205" s="1"/>
  <c r="Z114"/>
  <c r="Z174"/>
  <c r="Z159"/>
  <c r="Z49"/>
  <c r="AA90"/>
  <c r="AA97" s="1"/>
  <c r="AB14"/>
  <c r="T180"/>
  <c r="AA209"/>
  <c r="V189"/>
  <c r="Y114"/>
  <c r="U129"/>
  <c r="AA73"/>
  <c r="Y117"/>
  <c r="AB159"/>
  <c r="V30"/>
  <c r="X110"/>
  <c r="W129"/>
  <c r="W139"/>
  <c r="T120"/>
  <c r="T117"/>
  <c r="Y273"/>
  <c r="T159"/>
  <c r="Y242"/>
  <c r="S52"/>
  <c r="T202"/>
  <c r="Y159"/>
  <c r="Z146"/>
  <c r="T186"/>
  <c r="X232"/>
  <c r="AB196"/>
  <c r="Z120"/>
  <c r="W113"/>
  <c r="W189"/>
  <c r="R30"/>
  <c r="X136"/>
  <c r="X129" s="1"/>
  <c r="Z136"/>
  <c r="Z129" s="1"/>
  <c r="X273"/>
  <c r="Y120"/>
  <c r="Y174"/>
  <c r="X193"/>
  <c r="U52"/>
  <c r="Z193"/>
  <c r="S258"/>
  <c r="S268" s="1"/>
  <c r="S278" s="1"/>
  <c r="S189"/>
  <c r="Z273"/>
  <c r="T143"/>
  <c r="AB183"/>
  <c r="X183"/>
  <c r="AB252"/>
  <c r="Z252"/>
  <c r="Z110"/>
  <c r="V129"/>
  <c r="Z183"/>
  <c r="Y110"/>
  <c r="AB136"/>
  <c r="AB129" s="1"/>
  <c r="AB267"/>
  <c r="AB114"/>
  <c r="U13"/>
  <c r="Y123"/>
  <c r="R189"/>
  <c r="V139"/>
  <c r="X206"/>
  <c r="X205" s="1"/>
  <c r="AA205"/>
  <c r="T14"/>
  <c r="Z180"/>
  <c r="W99"/>
  <c r="T193"/>
  <c r="X123"/>
  <c r="X242"/>
  <c r="R258"/>
  <c r="R268" s="1"/>
  <c r="R278" s="1"/>
  <c r="R113"/>
  <c r="X174"/>
  <c r="U189"/>
  <c r="Y183"/>
  <c r="AB101"/>
  <c r="X180"/>
  <c r="Z242"/>
  <c r="AB242"/>
  <c r="U258"/>
  <c r="U268" s="1"/>
  <c r="U278" s="1"/>
  <c r="S99"/>
  <c r="S113"/>
  <c r="T273"/>
  <c r="V113"/>
  <c r="T174"/>
  <c r="U113"/>
  <c r="S152"/>
  <c r="AA85"/>
  <c r="Y237"/>
  <c r="X53"/>
  <c r="V52"/>
  <c r="W258"/>
  <c r="W268" s="1"/>
  <c r="W278" s="1"/>
  <c r="Y146"/>
  <c r="X90"/>
  <c r="X97" s="1"/>
  <c r="Y90"/>
  <c r="Y97" s="1"/>
  <c r="AA14"/>
  <c r="U99"/>
  <c r="T242"/>
  <c r="U30"/>
  <c r="AB193"/>
  <c r="X267"/>
  <c r="S13"/>
  <c r="AB143"/>
  <c r="X146"/>
  <c r="X31"/>
  <c r="S129"/>
  <c r="Z14"/>
  <c r="Z196"/>
  <c r="D475" i="6"/>
  <c r="R13" i="2"/>
  <c r="U139"/>
  <c r="Y143"/>
  <c r="T183"/>
  <c r="Y31"/>
  <c r="X20"/>
  <c r="X14"/>
  <c r="Y209"/>
  <c r="AB140"/>
  <c r="X143"/>
  <c r="T73"/>
  <c r="Z90"/>
  <c r="Z97" s="1"/>
  <c r="AA77"/>
  <c r="Z153"/>
  <c r="Y196"/>
  <c r="X237"/>
  <c r="R99"/>
  <c r="V258"/>
  <c r="V268" s="1"/>
  <c r="V278" s="1"/>
  <c r="S30"/>
  <c r="Y140"/>
  <c r="R139"/>
  <c r="Y53"/>
  <c r="AA252"/>
  <c r="AB25"/>
  <c r="Z177"/>
  <c r="AA267"/>
  <c r="U152"/>
  <c r="Z107"/>
  <c r="X73"/>
  <c r="Y177"/>
  <c r="Y14"/>
  <c r="AA242"/>
  <c r="T126"/>
  <c r="Y267"/>
  <c r="Z267"/>
  <c r="Z53"/>
  <c r="Z214"/>
  <c r="Z212" s="1"/>
  <c r="Y129"/>
  <c r="AB202"/>
  <c r="AB49"/>
  <c r="AA232"/>
  <c r="AB107"/>
  <c r="T77"/>
  <c r="T31"/>
  <c r="Y101"/>
  <c r="T214"/>
  <c r="T212" s="1"/>
  <c r="T25"/>
  <c r="T146"/>
  <c r="AB31"/>
  <c r="AB186"/>
  <c r="AB20"/>
  <c r="T177"/>
  <c r="AB90"/>
  <c r="AB97" s="1"/>
  <c r="AB237"/>
  <c r="X196"/>
  <c r="Y214"/>
  <c r="Y212" s="1"/>
  <c r="T267"/>
  <c r="Z42"/>
  <c r="X42"/>
  <c r="T101"/>
  <c r="Z140"/>
  <c r="W152"/>
  <c r="Y77"/>
  <c r="D475" i="8"/>
  <c r="X107" i="2"/>
  <c r="T53"/>
  <c r="T42"/>
  <c r="Z31"/>
  <c r="AA129"/>
  <c r="AA212"/>
  <c r="Z73"/>
  <c r="AB214"/>
  <c r="AB212" s="1"/>
  <c r="Z209"/>
  <c r="R152"/>
  <c r="AA31"/>
  <c r="W30"/>
  <c r="AB53"/>
  <c r="Z101"/>
  <c r="X101"/>
  <c r="X214"/>
  <c r="X212" s="1"/>
  <c r="V152"/>
  <c r="AB110"/>
  <c r="AA49"/>
  <c r="T90"/>
  <c r="T97" s="1"/>
  <c r="X77"/>
  <c r="Z77"/>
  <c r="AA237"/>
  <c r="Z237"/>
  <c r="W13"/>
  <c r="V99"/>
  <c r="X209"/>
  <c r="T237"/>
  <c r="R129"/>
  <c r="AB58"/>
  <c r="Y20"/>
  <c r="T49"/>
  <c r="Z232"/>
  <c r="AA58"/>
  <c r="Y153"/>
  <c r="T20"/>
  <c r="X126"/>
  <c r="Z126"/>
  <c r="Y42"/>
  <c r="AB42"/>
  <c r="Y107"/>
  <c r="AA53"/>
  <c r="Y202"/>
  <c r="X202"/>
  <c r="AB73"/>
  <c r="T252"/>
  <c r="Z25"/>
  <c r="X25"/>
  <c r="Z20"/>
  <c r="X49"/>
  <c r="AB232"/>
  <c r="T153"/>
  <c r="V13"/>
  <c r="T58"/>
  <c r="Y58"/>
  <c r="AB77"/>
  <c r="AB153"/>
  <c r="D475" i="7"/>
  <c r="D475" i="9"/>
  <c r="D475" i="5"/>
  <c r="Y126" i="2"/>
  <c r="AA42"/>
  <c r="T129"/>
  <c r="Y252"/>
  <c r="Y232"/>
  <c r="W52"/>
  <c r="D475" i="4"/>
  <c r="Z202" i="2"/>
  <c r="Y73"/>
  <c r="X252"/>
  <c r="AA25"/>
  <c r="Y25"/>
  <c r="AA20"/>
  <c r="Y49"/>
  <c r="AB177"/>
  <c r="T232"/>
  <c r="R52"/>
  <c r="X58"/>
  <c r="Z58"/>
  <c r="X153"/>
  <c r="AB209"/>
  <c r="T209"/>
  <c r="AB126"/>
  <c r="T139" l="1"/>
  <c r="AA13"/>
  <c r="AA99"/>
  <c r="Z152"/>
  <c r="V88"/>
  <c r="AB113"/>
  <c r="T99"/>
  <c r="T189"/>
  <c r="T13"/>
  <c r="Z113"/>
  <c r="Z139"/>
  <c r="T113"/>
  <c r="X152"/>
  <c r="S88"/>
  <c r="X139"/>
  <c r="AB189"/>
  <c r="Y13"/>
  <c r="U88"/>
  <c r="AA189"/>
  <c r="W225"/>
  <c r="AA139"/>
  <c r="X189"/>
  <c r="AB258"/>
  <c r="AB268" s="1"/>
  <c r="AB278" s="1"/>
  <c r="S225"/>
  <c r="T52"/>
  <c r="Z258"/>
  <c r="Z268" s="1"/>
  <c r="Z278" s="1"/>
  <c r="AA258"/>
  <c r="AA268" s="1"/>
  <c r="AA278" s="1"/>
  <c r="AB139"/>
  <c r="Z189"/>
  <c r="U225"/>
  <c r="Y258"/>
  <c r="Y268" s="1"/>
  <c r="Y278" s="1"/>
  <c r="Y113"/>
  <c r="Z13"/>
  <c r="Y189"/>
  <c r="X113"/>
  <c r="X30"/>
  <c r="AB13"/>
  <c r="R88"/>
  <c r="AB52"/>
  <c r="Y152"/>
  <c r="Z30"/>
  <c r="AB30"/>
  <c r="AA113"/>
  <c r="X99"/>
  <c r="X52"/>
  <c r="V225"/>
  <c r="AB99"/>
  <c r="X258"/>
  <c r="X268" s="1"/>
  <c r="X278" s="1"/>
  <c r="Y139"/>
  <c r="AA152"/>
  <c r="AA30"/>
  <c r="T152"/>
  <c r="X13"/>
  <c r="T258"/>
  <c r="T268" s="1"/>
  <c r="T278" s="1"/>
  <c r="Z99"/>
  <c r="Y52"/>
  <c r="T30"/>
  <c r="Z52"/>
  <c r="W88"/>
  <c r="AA52"/>
  <c r="Y30"/>
  <c r="Y99"/>
  <c r="R225"/>
  <c r="AB152"/>
  <c r="U233" l="1"/>
  <c r="U279" s="1"/>
  <c r="W233"/>
  <c r="W279" s="1"/>
  <c r="V233"/>
  <c r="V279" s="1"/>
  <c r="S233"/>
  <c r="S279" s="1"/>
  <c r="T225"/>
  <c r="R233"/>
  <c r="R279" s="1"/>
  <c r="AA88"/>
  <c r="T88"/>
  <c r="Z225"/>
  <c r="Z88"/>
  <c r="AA225"/>
  <c r="AB225"/>
  <c r="X225"/>
  <c r="X88"/>
  <c r="AB88"/>
  <c r="Y88"/>
  <c r="Y225"/>
  <c r="D193" i="1"/>
  <c r="Q263" i="2" s="1"/>
  <c r="D209" i="1"/>
  <c r="D225"/>
  <c r="D241"/>
  <c r="D257"/>
  <c r="D273"/>
  <c r="C305"/>
  <c r="C321"/>
  <c r="C337"/>
  <c r="C353"/>
  <c r="C369"/>
  <c r="C385"/>
  <c r="C401"/>
  <c r="C417"/>
  <c r="C433"/>
  <c r="C449"/>
  <c r="C289"/>
  <c r="T233" i="2" l="1"/>
  <c r="T279" s="1"/>
  <c r="AB233"/>
  <c r="AB279" s="1"/>
  <c r="D190" i="1"/>
  <c r="Q257" i="2" s="1"/>
  <c r="M257" s="1"/>
  <c r="D186" i="1"/>
  <c r="Q253" i="2" s="1"/>
  <c r="H253" s="1"/>
  <c r="C460" i="1"/>
  <c r="C458"/>
  <c r="C456"/>
  <c r="C454"/>
  <c r="C452"/>
  <c r="C450"/>
  <c r="C448"/>
  <c r="C446"/>
  <c r="C444"/>
  <c r="C442"/>
  <c r="C440"/>
  <c r="C438"/>
  <c r="C436"/>
  <c r="C434"/>
  <c r="C432"/>
  <c r="C430"/>
  <c r="C428"/>
  <c r="C426"/>
  <c r="C424"/>
  <c r="C422"/>
  <c r="C420"/>
  <c r="C418"/>
  <c r="C416"/>
  <c r="C414"/>
  <c r="C412"/>
  <c r="C410"/>
  <c r="C408"/>
  <c r="C406"/>
  <c r="C404"/>
  <c r="C402"/>
  <c r="C400"/>
  <c r="C398"/>
  <c r="C396"/>
  <c r="C394"/>
  <c r="C392"/>
  <c r="C390"/>
  <c r="C388"/>
  <c r="C386"/>
  <c r="C384"/>
  <c r="C382"/>
  <c r="C380"/>
  <c r="C378"/>
  <c r="C376"/>
  <c r="C374"/>
  <c r="C372"/>
  <c r="C370"/>
  <c r="C368"/>
  <c r="C366"/>
  <c r="C364"/>
  <c r="C362"/>
  <c r="C360"/>
  <c r="C358"/>
  <c r="C356"/>
  <c r="C354"/>
  <c r="C352"/>
  <c r="C350"/>
  <c r="C348"/>
  <c r="C346"/>
  <c r="C344"/>
  <c r="C342"/>
  <c r="C340"/>
  <c r="C338"/>
  <c r="C336"/>
  <c r="C334"/>
  <c r="C332"/>
  <c r="C330"/>
  <c r="C328"/>
  <c r="C326"/>
  <c r="C324"/>
  <c r="C322"/>
  <c r="C320"/>
  <c r="C318"/>
  <c r="C316"/>
  <c r="C314"/>
  <c r="C312"/>
  <c r="C310"/>
  <c r="C308"/>
  <c r="C306"/>
  <c r="C304"/>
  <c r="C302"/>
  <c r="C300"/>
  <c r="C298"/>
  <c r="C296"/>
  <c r="C294"/>
  <c r="C292"/>
  <c r="C290"/>
  <c r="C288"/>
  <c r="C286"/>
  <c r="C284"/>
  <c r="C282"/>
  <c r="D276"/>
  <c r="D270"/>
  <c r="D266"/>
  <c r="D260"/>
  <c r="D256"/>
  <c r="D254"/>
  <c r="D244"/>
  <c r="D238"/>
  <c r="D234"/>
  <c r="D228"/>
  <c r="D224"/>
  <c r="D222"/>
  <c r="D212"/>
  <c r="D206"/>
  <c r="D202"/>
  <c r="D196"/>
  <c r="Q266" i="2" s="1"/>
  <c r="I266" s="1"/>
  <c r="D192" i="1"/>
  <c r="Q262" i="2" s="1"/>
  <c r="P262" s="1"/>
  <c r="X233"/>
  <c r="X279" s="1"/>
  <c r="AA233"/>
  <c r="AA279" s="1"/>
  <c r="D189" i="1"/>
  <c r="Q256" i="2" s="1"/>
  <c r="K256" s="1"/>
  <c r="D187" i="1"/>
  <c r="Q254" i="2" s="1"/>
  <c r="I254" s="1"/>
  <c r="C461" i="1"/>
  <c r="C457"/>
  <c r="C453"/>
  <c r="C445"/>
  <c r="C441"/>
  <c r="C437"/>
  <c r="C429"/>
  <c r="C425"/>
  <c r="C421"/>
  <c r="C413"/>
  <c r="C409"/>
  <c r="C405"/>
  <c r="C397"/>
  <c r="C393"/>
  <c r="Z233" i="2"/>
  <c r="Z279" s="1"/>
  <c r="C20" i="1"/>
  <c r="Q23" i="2" s="1"/>
  <c r="O23" s="1"/>
  <c r="C32" i="1"/>
  <c r="Q38" i="2" s="1"/>
  <c r="I38" s="1"/>
  <c r="C36" i="1"/>
  <c r="Q43" i="2" s="1"/>
  <c r="M43" s="1"/>
  <c r="C48" i="1"/>
  <c r="Q59" i="2" s="1"/>
  <c r="E59" s="1"/>
  <c r="C68" i="1"/>
  <c r="Q81" i="2" s="1"/>
  <c r="E81" s="1"/>
  <c r="C80" i="1"/>
  <c r="Q102" i="2" s="1"/>
  <c r="F102" s="1"/>
  <c r="C88" i="1"/>
  <c r="Q115" i="2" s="1"/>
  <c r="K115" s="1"/>
  <c r="C110" i="1"/>
  <c r="Q150" i="2" s="1"/>
  <c r="L150" s="1"/>
  <c r="C112" i="1"/>
  <c r="Q154" i="2" s="1"/>
  <c r="H154" s="1"/>
  <c r="C120" i="1"/>
  <c r="Q166" i="2" s="1"/>
  <c r="L166" s="1"/>
  <c r="C134" i="1"/>
  <c r="Q187" i="2" s="1"/>
  <c r="P187" s="1"/>
  <c r="C166" i="1"/>
  <c r="Q222" i="2" s="1"/>
  <c r="L222" s="1"/>
  <c r="D182" i="1"/>
  <c r="Q247" i="2" s="1"/>
  <c r="E247" s="1"/>
  <c r="D184" i="1"/>
  <c r="Q249" i="2" s="1"/>
  <c r="L249" s="1"/>
  <c r="C389" i="1"/>
  <c r="C381"/>
  <c r="C377"/>
  <c r="C373"/>
  <c r="C365"/>
  <c r="C361"/>
  <c r="C357"/>
  <c r="C349"/>
  <c r="C345"/>
  <c r="C341"/>
  <c r="C333"/>
  <c r="C329"/>
  <c r="C325"/>
  <c r="C317"/>
  <c r="C313"/>
  <c r="C309"/>
  <c r="C301"/>
  <c r="C297"/>
  <c r="C293"/>
  <c r="C285"/>
  <c r="C281"/>
  <c r="D277"/>
  <c r="D269"/>
  <c r="D265"/>
  <c r="D261"/>
  <c r="D253"/>
  <c r="D249"/>
  <c r="D245"/>
  <c r="D237"/>
  <c r="D233"/>
  <c r="D229"/>
  <c r="D221"/>
  <c r="D217"/>
  <c r="D213"/>
  <c r="D205"/>
  <c r="D201"/>
  <c r="D197"/>
  <c r="Q270" i="2" s="1"/>
  <c r="E270" s="1"/>
  <c r="C33" i="1"/>
  <c r="Q39" i="2" s="1"/>
  <c r="O39" s="1"/>
  <c r="C65" i="1"/>
  <c r="Q78" i="2" s="1"/>
  <c r="P78" s="1"/>
  <c r="C165" i="1"/>
  <c r="Q221" i="2" s="1"/>
  <c r="J221" s="1"/>
  <c r="D177" i="1"/>
  <c r="Q241" i="2" s="1"/>
  <c r="E241" s="1"/>
  <c r="D181" i="1"/>
  <c r="Q246" i="2" s="1"/>
  <c r="I246" s="1"/>
  <c r="C162" i="1"/>
  <c r="Q218" i="2" s="1"/>
  <c r="E218" s="1"/>
  <c r="Y233"/>
  <c r="Y279" s="1"/>
  <c r="C49" i="1"/>
  <c r="Q60" i="2" s="1"/>
  <c r="I60" s="1"/>
  <c r="C16" i="1"/>
  <c r="Q18" i="2" s="1"/>
  <c r="C29" i="1"/>
  <c r="D272"/>
  <c r="D218"/>
  <c r="D208"/>
  <c r="C37"/>
  <c r="Q44" i="2" s="1"/>
  <c r="E44" s="1"/>
  <c r="C53" i="1"/>
  <c r="Q64" i="2" s="1"/>
  <c r="L64" s="1"/>
  <c r="C69" i="1"/>
  <c r="Q82" i="2" s="1"/>
  <c r="F82" s="1"/>
  <c r="D81" i="1"/>
  <c r="Q103" i="2" s="1"/>
  <c r="I103" s="1"/>
  <c r="D83" i="1"/>
  <c r="Q106" i="2" s="1"/>
  <c r="H106" s="1"/>
  <c r="D85" i="1"/>
  <c r="Q109" i="2" s="1"/>
  <c r="M109" s="1"/>
  <c r="D87" i="1"/>
  <c r="Q112" i="2" s="1"/>
  <c r="G112" s="1"/>
  <c r="D89" i="1"/>
  <c r="Q116" i="2" s="1"/>
  <c r="J116" s="1"/>
  <c r="D91" i="1"/>
  <c r="Q119" i="2" s="1"/>
  <c r="M119" s="1"/>
  <c r="D93" i="1"/>
  <c r="Q122" i="2" s="1"/>
  <c r="G122" s="1"/>
  <c r="D95" i="1"/>
  <c r="Q125" i="2" s="1"/>
  <c r="P125" s="1"/>
  <c r="D97" i="1"/>
  <c r="Q128" i="2" s="1"/>
  <c r="N128" s="1"/>
  <c r="D99" i="1"/>
  <c r="Q132" i="2" s="1"/>
  <c r="D101" i="1"/>
  <c r="D131"/>
  <c r="Q182" i="2" s="1"/>
  <c r="F182" s="1"/>
  <c r="D133" i="1"/>
  <c r="Q185" i="2" s="1"/>
  <c r="P185" s="1"/>
  <c r="D145" i="1"/>
  <c r="Q204" i="2" s="1"/>
  <c r="E204" s="1"/>
  <c r="C149" i="1"/>
  <c r="C161"/>
  <c r="Q217" i="2" s="1"/>
  <c r="H217" s="1"/>
  <c r="D279" i="1"/>
  <c r="D275"/>
  <c r="D271"/>
  <c r="D267"/>
  <c r="D263"/>
  <c r="D259"/>
  <c r="D255"/>
  <c r="D251"/>
  <c r="D247"/>
  <c r="D243"/>
  <c r="D239"/>
  <c r="D235"/>
  <c r="D231"/>
  <c r="D227"/>
  <c r="D223"/>
  <c r="D219"/>
  <c r="D215"/>
  <c r="D211"/>
  <c r="C19"/>
  <c r="Q22" i="2" s="1"/>
  <c r="F22" s="1"/>
  <c r="C25" i="1"/>
  <c r="Q29" i="2" s="1"/>
  <c r="E29" s="1"/>
  <c r="C31" i="1"/>
  <c r="Q37" i="2" s="1"/>
  <c r="G37" s="1"/>
  <c r="D250" i="1"/>
  <c r="D240"/>
  <c r="C54"/>
  <c r="Q65" i="2" s="1"/>
  <c r="J65" s="1"/>
  <c r="C58" i="1"/>
  <c r="Q69" i="2" s="1"/>
  <c r="K69" s="1"/>
  <c r="C102" i="1"/>
  <c r="Q137" i="2" s="1"/>
  <c r="L137" s="1"/>
  <c r="C130" i="1"/>
  <c r="Q181" i="2" s="1"/>
  <c r="P181" s="1"/>
  <c r="C146" i="1"/>
  <c r="Q207" i="2" s="1"/>
  <c r="P207" s="1"/>
  <c r="C148" i="1"/>
  <c r="Q210" i="2" s="1"/>
  <c r="O210" s="1"/>
  <c r="C154" i="1"/>
  <c r="C158"/>
  <c r="Q213" i="2" s="1"/>
  <c r="O213" s="1"/>
  <c r="C160" i="1"/>
  <c r="Q216" i="2" s="1"/>
  <c r="M216" s="1"/>
  <c r="J39"/>
  <c r="K38"/>
  <c r="C42" i="1"/>
  <c r="C67"/>
  <c r="Q80" i="2" s="1"/>
  <c r="C79" i="1"/>
  <c r="Q100" i="2" s="1"/>
  <c r="C138" i="1"/>
  <c r="Q194" i="2" s="1"/>
  <c r="C142" i="1"/>
  <c r="Q200" i="2" s="1"/>
  <c r="C167" i="1"/>
  <c r="Q223" i="2" s="1"/>
  <c r="D183" i="1"/>
  <c r="Q248" i="2" s="1"/>
  <c r="D280" i="1"/>
  <c r="D268"/>
  <c r="D264"/>
  <c r="D258"/>
  <c r="D248"/>
  <c r="D236"/>
  <c r="D232"/>
  <c r="D226"/>
  <c r="D220"/>
  <c r="D216"/>
  <c r="D210"/>
  <c r="C15"/>
  <c r="Q17" i="2" s="1"/>
  <c r="C22" i="1"/>
  <c r="Q26" i="2" s="1"/>
  <c r="C51" i="1"/>
  <c r="Q62" i="2" s="1"/>
  <c r="C57" i="1"/>
  <c r="Q68" i="2" s="1"/>
  <c r="C61" i="1"/>
  <c r="Q72" i="2" s="1"/>
  <c r="C63" i="1"/>
  <c r="Q75" i="2" s="1"/>
  <c r="C106" i="1"/>
  <c r="Q144" i="2" s="1"/>
  <c r="C108" i="1"/>
  <c r="Q147" i="2" s="1"/>
  <c r="C118" i="1"/>
  <c r="Q163" i="2" s="1"/>
  <c r="C126" i="1"/>
  <c r="Q175" i="2" s="1"/>
  <c r="C128" i="1"/>
  <c r="Q178" i="2" s="1"/>
  <c r="C151" i="1"/>
  <c r="Q211" i="2" s="1"/>
  <c r="C155" i="1"/>
  <c r="G263" i="2"/>
  <c r="N263"/>
  <c r="H263"/>
  <c r="L263"/>
  <c r="J263"/>
  <c r="E263"/>
  <c r="M263"/>
  <c r="O263"/>
  <c r="F263"/>
  <c r="I263"/>
  <c r="K263"/>
  <c r="P263"/>
  <c r="O253"/>
  <c r="C38" i="1"/>
  <c r="Q45" i="2" s="1"/>
  <c r="C73" i="1"/>
  <c r="Q87" i="2" s="1"/>
  <c r="C77" i="1"/>
  <c r="Q94" i="2" s="1"/>
  <c r="C132" i="1"/>
  <c r="Q184" i="2" s="1"/>
  <c r="C144" i="1"/>
  <c r="Q203" i="2" s="1"/>
  <c r="C171" i="1"/>
  <c r="Q229" i="2" s="1"/>
  <c r="D278" i="1"/>
  <c r="D274"/>
  <c r="D262"/>
  <c r="D252"/>
  <c r="D246"/>
  <c r="D242"/>
  <c r="D230"/>
  <c r="D214"/>
  <c r="D204"/>
  <c r="D200"/>
  <c r="Q276" i="2" s="1"/>
  <c r="D198" i="1"/>
  <c r="Q271" i="2" s="1"/>
  <c r="D194" i="1"/>
  <c r="Q264" i="2" s="1"/>
  <c r="C21" i="1"/>
  <c r="Q24" i="2" s="1"/>
  <c r="C35" i="1"/>
  <c r="Q41" i="2" s="1"/>
  <c r="C41" i="1"/>
  <c r="Q50" i="2" s="1"/>
  <c r="C45" i="1"/>
  <c r="Q55" i="2" s="1"/>
  <c r="C47" i="1"/>
  <c r="Q57" i="2" s="1"/>
  <c r="C52" i="1"/>
  <c r="Q63" i="2" s="1"/>
  <c r="C64" i="1"/>
  <c r="Q76" i="2" s="1"/>
  <c r="C70" i="1"/>
  <c r="Q83" i="2" s="1"/>
  <c r="C74" i="1"/>
  <c r="Q91" i="2" s="1"/>
  <c r="C86" i="1"/>
  <c r="Q111" i="2" s="1"/>
  <c r="C94" i="1"/>
  <c r="Q124" i="2" s="1"/>
  <c r="C98" i="1"/>
  <c r="Q131" i="2" s="1"/>
  <c r="C100" i="1"/>
  <c r="Q134" i="2" s="1"/>
  <c r="D103" i="1"/>
  <c r="Q138" i="2" s="1"/>
  <c r="D105" i="1"/>
  <c r="Q142" i="2" s="1"/>
  <c r="D107" i="1"/>
  <c r="Q145" i="2" s="1"/>
  <c r="D109" i="1"/>
  <c r="Q148" i="2" s="1"/>
  <c r="D111" i="1"/>
  <c r="Q151" i="2" s="1"/>
  <c r="D113" i="1"/>
  <c r="Q155" i="2" s="1"/>
  <c r="D115" i="1"/>
  <c r="Q158" i="2" s="1"/>
  <c r="D117" i="1"/>
  <c r="Q161" i="2" s="1"/>
  <c r="D119" i="1"/>
  <c r="Q164" i="2" s="1"/>
  <c r="D121" i="1"/>
  <c r="Q167" i="2" s="1"/>
  <c r="Q165" s="1"/>
  <c r="D123" i="1"/>
  <c r="Q170" i="2" s="1"/>
  <c r="D125" i="1"/>
  <c r="Q173" i="2" s="1"/>
  <c r="D127" i="1"/>
  <c r="Q176" i="2" s="1"/>
  <c r="D129" i="1"/>
  <c r="Q179" i="2" s="1"/>
  <c r="D135" i="1"/>
  <c r="Q188" i="2" s="1"/>
  <c r="D139" i="1"/>
  <c r="Q195" i="2" s="1"/>
  <c r="C150" i="1"/>
  <c r="C164"/>
  <c r="Q220" i="2" s="1"/>
  <c r="C170" i="1"/>
  <c r="Q228" i="2" s="1"/>
  <c r="D174" i="1"/>
  <c r="Q238" i="2" s="1"/>
  <c r="D178" i="1"/>
  <c r="Q243" i="2" s="1"/>
  <c r="D207" i="1"/>
  <c r="D203"/>
  <c r="D199"/>
  <c r="Q272" i="2" s="1"/>
  <c r="D195" i="1"/>
  <c r="Q265" i="2" s="1"/>
  <c r="D191" i="1"/>
  <c r="Q261" i="2" s="1"/>
  <c r="C17" i="1"/>
  <c r="Q19" i="2" s="1"/>
  <c r="C27" i="1"/>
  <c r="Q33" i="2" s="1"/>
  <c r="C34" i="1"/>
  <c r="Q40" i="2" s="1"/>
  <c r="C43" i="1"/>
  <c r="Q51" i="2" s="1"/>
  <c r="C59" i="1"/>
  <c r="Q70" i="2" s="1"/>
  <c r="C92" i="1"/>
  <c r="Q121" i="2" s="1"/>
  <c r="C124" i="1"/>
  <c r="Q172" i="2" s="1"/>
  <c r="C140" i="1"/>
  <c r="Q197" i="2" s="1"/>
  <c r="C156" i="1"/>
  <c r="C163"/>
  <c r="Q219" i="2" s="1"/>
  <c r="C172" i="1"/>
  <c r="Q230" i="2" s="1"/>
  <c r="D179" i="1"/>
  <c r="Q244" i="2" s="1"/>
  <c r="C18" i="1"/>
  <c r="Q21" i="2" s="1"/>
  <c r="C13" i="1"/>
  <c r="Q15" i="2" s="1"/>
  <c r="C23" i="1"/>
  <c r="Q27" i="2" s="1"/>
  <c r="C28" i="1"/>
  <c r="Q34" i="2" s="1"/>
  <c r="C30" i="1"/>
  <c r="Q36" i="2" s="1"/>
  <c r="C39" i="1"/>
  <c r="Q46" i="2" s="1"/>
  <c r="C44" i="1"/>
  <c r="Q54" i="2" s="1"/>
  <c r="C46" i="1"/>
  <c r="Q56" i="2" s="1"/>
  <c r="C55" i="1"/>
  <c r="Q66" i="2" s="1"/>
  <c r="C60" i="1"/>
  <c r="Q71" i="2" s="1"/>
  <c r="C62" i="1"/>
  <c r="Q74" i="2" s="1"/>
  <c r="C71" i="1"/>
  <c r="Q84" i="2" s="1"/>
  <c r="C76" i="1"/>
  <c r="Q93" i="2" s="1"/>
  <c r="C78" i="1"/>
  <c r="Q96" i="2" s="1"/>
  <c r="C82" i="1"/>
  <c r="Q105" i="2" s="1"/>
  <c r="C84" i="1"/>
  <c r="Q108" i="2" s="1"/>
  <c r="C104" i="1"/>
  <c r="Q141" i="2" s="1"/>
  <c r="C114" i="1"/>
  <c r="Q157" i="2" s="1"/>
  <c r="C116" i="1"/>
  <c r="Q160" i="2" s="1"/>
  <c r="C136" i="1"/>
  <c r="Q191" i="2" s="1"/>
  <c r="D141" i="1"/>
  <c r="Q198" i="2" s="1"/>
  <c r="D143" i="1"/>
  <c r="Q201" i="2" s="1"/>
  <c r="C152" i="1"/>
  <c r="C157"/>
  <c r="C159"/>
  <c r="Q215" i="2" s="1"/>
  <c r="C168" i="1"/>
  <c r="Q224" i="2" s="1"/>
  <c r="C173" i="1"/>
  <c r="Q231" i="2" s="1"/>
  <c r="D175" i="1"/>
  <c r="Q239" i="2" s="1"/>
  <c r="D180" i="1"/>
  <c r="Q245" i="2" s="1"/>
  <c r="C459" i="1"/>
  <c r="C455"/>
  <c r="C451"/>
  <c r="C447"/>
  <c r="C443"/>
  <c r="C439"/>
  <c r="C435"/>
  <c r="C431"/>
  <c r="C427"/>
  <c r="C423"/>
  <c r="C419"/>
  <c r="C415"/>
  <c r="C411"/>
  <c r="C407"/>
  <c r="C403"/>
  <c r="C399"/>
  <c r="C395"/>
  <c r="C391"/>
  <c r="C387"/>
  <c r="C383"/>
  <c r="C379"/>
  <c r="C375"/>
  <c r="C371"/>
  <c r="C367"/>
  <c r="C363"/>
  <c r="C359"/>
  <c r="C355"/>
  <c r="C351"/>
  <c r="C347"/>
  <c r="C343"/>
  <c r="C339"/>
  <c r="C335"/>
  <c r="C331"/>
  <c r="C327"/>
  <c r="C323"/>
  <c r="C319"/>
  <c r="C315"/>
  <c r="C311"/>
  <c r="C307"/>
  <c r="C303"/>
  <c r="C299"/>
  <c r="C295"/>
  <c r="C291"/>
  <c r="C287"/>
  <c r="C283"/>
  <c r="C50"/>
  <c r="Q61" i="2" s="1"/>
  <c r="C66" i="1"/>
  <c r="Q79" i="2" s="1"/>
  <c r="C75" i="1"/>
  <c r="Q92" i="2" s="1"/>
  <c r="C90" i="1"/>
  <c r="Q118" i="2" s="1"/>
  <c r="C122" i="1"/>
  <c r="Q169" i="2" s="1"/>
  <c r="D147" i="1"/>
  <c r="D188"/>
  <c r="Q255" i="2" s="1"/>
  <c r="C14" i="1"/>
  <c r="Q16" i="2" s="1"/>
  <c r="C24" i="1"/>
  <c r="Q28" i="2" s="1"/>
  <c r="C26" i="1"/>
  <c r="Q32" i="2" s="1"/>
  <c r="C40" i="1"/>
  <c r="Q48" i="2" s="1"/>
  <c r="C56" i="1"/>
  <c r="Q67" i="2" s="1"/>
  <c r="C72" i="1"/>
  <c r="Q86" i="2" s="1"/>
  <c r="C96" i="1"/>
  <c r="Q127" i="2" s="1"/>
  <c r="D137" i="1"/>
  <c r="Q192" i="2" s="1"/>
  <c r="C153" i="1"/>
  <c r="C169"/>
  <c r="Q227" i="2" s="1"/>
  <c r="D176" i="1"/>
  <c r="Q240" i="2" s="1"/>
  <c r="D185" i="1"/>
  <c r="F462"/>
  <c r="E462"/>
  <c r="E18" i="2" l="1"/>
  <c r="N18"/>
  <c r="J18"/>
  <c r="K18"/>
  <c r="P18"/>
  <c r="L18"/>
  <c r="M18"/>
  <c r="I18"/>
  <c r="O18"/>
  <c r="Q35"/>
  <c r="N35" s="1"/>
  <c r="G270"/>
  <c r="K266"/>
  <c r="J103"/>
  <c r="H69"/>
  <c r="N266"/>
  <c r="M266"/>
  <c r="O266"/>
  <c r="J266"/>
  <c r="M39"/>
  <c r="P150"/>
  <c r="K116"/>
  <c r="N37"/>
  <c r="E256"/>
  <c r="E266"/>
  <c r="L266"/>
  <c r="F266"/>
  <c r="L210"/>
  <c r="J59"/>
  <c r="N150"/>
  <c r="N116"/>
  <c r="H185"/>
  <c r="H266"/>
  <c r="F210"/>
  <c r="O128"/>
  <c r="F103"/>
  <c r="G266"/>
  <c r="P266"/>
  <c r="K246"/>
  <c r="F69"/>
  <c r="H254"/>
  <c r="P253"/>
  <c r="K262"/>
  <c r="M81"/>
  <c r="L257"/>
  <c r="I102"/>
  <c r="G254"/>
  <c r="O257"/>
  <c r="G247"/>
  <c r="Q252"/>
  <c r="F252" s="1"/>
  <c r="Q136"/>
  <c r="F136" s="1"/>
  <c r="O166"/>
  <c r="K253"/>
  <c r="G253"/>
  <c r="N257"/>
  <c r="J249"/>
  <c r="P102"/>
  <c r="E154"/>
  <c r="G218"/>
  <c r="O78"/>
  <c r="H262"/>
  <c r="N254"/>
  <c r="M166"/>
  <c r="J253"/>
  <c r="E253"/>
  <c r="G221"/>
  <c r="O249"/>
  <c r="L102"/>
  <c r="E38"/>
  <c r="I262"/>
  <c r="E254"/>
  <c r="J23"/>
  <c r="J257"/>
  <c r="I257"/>
  <c r="J81"/>
  <c r="N262"/>
  <c r="L262"/>
  <c r="M254"/>
  <c r="O254"/>
  <c r="F254"/>
  <c r="N166"/>
  <c r="K166"/>
  <c r="N23"/>
  <c r="L253"/>
  <c r="F253"/>
  <c r="M253"/>
  <c r="K257"/>
  <c r="P257"/>
  <c r="F257"/>
  <c r="H249"/>
  <c r="E249"/>
  <c r="G204"/>
  <c r="N102"/>
  <c r="P81"/>
  <c r="P154"/>
  <c r="P38"/>
  <c r="J38"/>
  <c r="F218"/>
  <c r="G106"/>
  <c r="E262"/>
  <c r="M262"/>
  <c r="G262"/>
  <c r="E78"/>
  <c r="L254"/>
  <c r="K254"/>
  <c r="G257"/>
  <c r="O247"/>
  <c r="K154"/>
  <c r="F262"/>
  <c r="M78"/>
  <c r="J254"/>
  <c r="P254"/>
  <c r="G166"/>
  <c r="P166"/>
  <c r="H23"/>
  <c r="I253"/>
  <c r="N253"/>
  <c r="E257"/>
  <c r="H257"/>
  <c r="I221"/>
  <c r="E109"/>
  <c r="N249"/>
  <c r="M249"/>
  <c r="I247"/>
  <c r="M102"/>
  <c r="J102"/>
  <c r="L44"/>
  <c r="N38"/>
  <c r="H38"/>
  <c r="O218"/>
  <c r="E119"/>
  <c r="E22"/>
  <c r="O262"/>
  <c r="J262"/>
  <c r="E137"/>
  <c r="K187"/>
  <c r="I115"/>
  <c r="M150"/>
  <c r="K128"/>
  <c r="I116"/>
  <c r="P103"/>
  <c r="P37"/>
  <c r="J256"/>
  <c r="H222"/>
  <c r="L185"/>
  <c r="F246"/>
  <c r="E210"/>
  <c r="P69"/>
  <c r="K59"/>
  <c r="G39"/>
  <c r="E43"/>
  <c r="O116"/>
  <c r="O82"/>
  <c r="N256"/>
  <c r="F222"/>
  <c r="J185"/>
  <c r="E217"/>
  <c r="G246"/>
  <c r="N210"/>
  <c r="M69"/>
  <c r="H39"/>
  <c r="F270"/>
  <c r="N187"/>
  <c r="F43"/>
  <c r="F150"/>
  <c r="N241"/>
  <c r="O187"/>
  <c r="G128"/>
  <c r="M128"/>
  <c r="P116"/>
  <c r="H103"/>
  <c r="G103"/>
  <c r="L43"/>
  <c r="E37"/>
  <c r="M37"/>
  <c r="L256"/>
  <c r="M256"/>
  <c r="P222"/>
  <c r="G222"/>
  <c r="G185"/>
  <c r="P182"/>
  <c r="L246"/>
  <c r="P246"/>
  <c r="H210"/>
  <c r="L69"/>
  <c r="P59"/>
  <c r="F59"/>
  <c r="K39"/>
  <c r="P60"/>
  <c r="G115"/>
  <c r="I270"/>
  <c r="G150"/>
  <c r="E150"/>
  <c r="M241"/>
  <c r="G216"/>
  <c r="P128"/>
  <c r="I128"/>
  <c r="M116"/>
  <c r="K103"/>
  <c r="G65"/>
  <c r="H37"/>
  <c r="O37"/>
  <c r="I256"/>
  <c r="M222"/>
  <c r="E222"/>
  <c r="K185"/>
  <c r="I185"/>
  <c r="F115"/>
  <c r="J246"/>
  <c r="P210"/>
  <c r="J69"/>
  <c r="L59"/>
  <c r="N59"/>
  <c r="I39"/>
  <c r="P270"/>
  <c r="J241"/>
  <c r="H187"/>
  <c r="M187"/>
  <c r="H65"/>
  <c r="I43"/>
  <c r="H182"/>
  <c r="P115"/>
  <c r="M115"/>
  <c r="N125"/>
  <c r="K270"/>
  <c r="H270"/>
  <c r="M270"/>
  <c r="K150"/>
  <c r="O150"/>
  <c r="I150"/>
  <c r="K241"/>
  <c r="I216"/>
  <c r="G187"/>
  <c r="J187"/>
  <c r="I187"/>
  <c r="F128"/>
  <c r="J128"/>
  <c r="E128"/>
  <c r="F116"/>
  <c r="H116"/>
  <c r="E116"/>
  <c r="L103"/>
  <c r="N103"/>
  <c r="O103"/>
  <c r="O65"/>
  <c r="H43"/>
  <c r="O43"/>
  <c r="J43"/>
  <c r="I37"/>
  <c r="F37"/>
  <c r="K37"/>
  <c r="H256"/>
  <c r="G256"/>
  <c r="O256"/>
  <c r="O222"/>
  <c r="N222"/>
  <c r="I222"/>
  <c r="M185"/>
  <c r="N185"/>
  <c r="E185"/>
  <c r="K182"/>
  <c r="O115"/>
  <c r="J115"/>
  <c r="H115"/>
  <c r="P217"/>
  <c r="H246"/>
  <c r="M246"/>
  <c r="E246"/>
  <c r="I210"/>
  <c r="M210"/>
  <c r="K210"/>
  <c r="I125"/>
  <c r="L112"/>
  <c r="I69"/>
  <c r="G69"/>
  <c r="E69"/>
  <c r="H59"/>
  <c r="I59"/>
  <c r="G59"/>
  <c r="L39"/>
  <c r="P39"/>
  <c r="N39"/>
  <c r="G29"/>
  <c r="J207"/>
  <c r="N270"/>
  <c r="O270"/>
  <c r="L187"/>
  <c r="P43"/>
  <c r="G43"/>
  <c r="L115"/>
  <c r="E115"/>
  <c r="L217"/>
  <c r="O60"/>
  <c r="Q186"/>
  <c r="I186" s="1"/>
  <c r="J270"/>
  <c r="L270"/>
  <c r="H150"/>
  <c r="J150"/>
  <c r="F241"/>
  <c r="G241"/>
  <c r="O216"/>
  <c r="E187"/>
  <c r="F187"/>
  <c r="H128"/>
  <c r="L128"/>
  <c r="L116"/>
  <c r="G116"/>
  <c r="E103"/>
  <c r="M103"/>
  <c r="K82"/>
  <c r="F65"/>
  <c r="N43"/>
  <c r="K43"/>
  <c r="L37"/>
  <c r="J37"/>
  <c r="P256"/>
  <c r="F256"/>
  <c r="J222"/>
  <c r="K222"/>
  <c r="O185"/>
  <c r="F185"/>
  <c r="J182"/>
  <c r="Q114"/>
  <c r="M114" s="1"/>
  <c r="N115"/>
  <c r="O246"/>
  <c r="N246"/>
  <c r="G210"/>
  <c r="J210"/>
  <c r="H125"/>
  <c r="I112"/>
  <c r="O69"/>
  <c r="N69"/>
  <c r="M59"/>
  <c r="O59"/>
  <c r="E39"/>
  <c r="F39"/>
  <c r="H29"/>
  <c r="H207"/>
  <c r="M23"/>
  <c r="H247"/>
  <c r="M247"/>
  <c r="M204"/>
  <c r="L81"/>
  <c r="F81"/>
  <c r="F154"/>
  <c r="M218"/>
  <c r="N218"/>
  <c r="F119"/>
  <c r="J166"/>
  <c r="F166"/>
  <c r="E166"/>
  <c r="P23"/>
  <c r="F23"/>
  <c r="K23"/>
  <c r="F221"/>
  <c r="K249"/>
  <c r="G249"/>
  <c r="F249"/>
  <c r="L247"/>
  <c r="P247"/>
  <c r="J247"/>
  <c r="O204"/>
  <c r="Q101"/>
  <c r="I101" s="1"/>
  <c r="K102"/>
  <c r="O102"/>
  <c r="E102"/>
  <c r="G81"/>
  <c r="I81"/>
  <c r="N81"/>
  <c r="N154"/>
  <c r="L154"/>
  <c r="O154"/>
  <c r="M38"/>
  <c r="O38"/>
  <c r="L38"/>
  <c r="H218"/>
  <c r="I218"/>
  <c r="P218"/>
  <c r="Q135"/>
  <c r="K135" s="1"/>
  <c r="L119"/>
  <c r="G78"/>
  <c r="H78"/>
  <c r="F78"/>
  <c r="G23"/>
  <c r="E23"/>
  <c r="F247"/>
  <c r="H81"/>
  <c r="I44"/>
  <c r="G154"/>
  <c r="M154"/>
  <c r="J218"/>
  <c r="O106"/>
  <c r="N78"/>
  <c r="I78"/>
  <c r="L78"/>
  <c r="H166"/>
  <c r="I166"/>
  <c r="L23"/>
  <c r="I23"/>
  <c r="I249"/>
  <c r="P249"/>
  <c r="K247"/>
  <c r="N247"/>
  <c r="G102"/>
  <c r="H102"/>
  <c r="K81"/>
  <c r="O81"/>
  <c r="K44"/>
  <c r="J154"/>
  <c r="I154"/>
  <c r="N64"/>
  <c r="G38"/>
  <c r="F38"/>
  <c r="L218"/>
  <c r="K218"/>
  <c r="M106"/>
  <c r="J78"/>
  <c r="K78"/>
  <c r="J137"/>
  <c r="M221"/>
  <c r="K109"/>
  <c r="O241"/>
  <c r="I241"/>
  <c r="P241"/>
  <c r="P221"/>
  <c r="O221"/>
  <c r="K221"/>
  <c r="L216"/>
  <c r="N122"/>
  <c r="N82"/>
  <c r="H82"/>
  <c r="M65"/>
  <c r="I182"/>
  <c r="F217"/>
  <c r="N217"/>
  <c r="P213"/>
  <c r="M125"/>
  <c r="F112"/>
  <c r="P112"/>
  <c r="P29"/>
  <c r="O29"/>
  <c r="J60"/>
  <c r="L60"/>
  <c r="E207"/>
  <c r="F137"/>
  <c r="E221"/>
  <c r="H221"/>
  <c r="J22"/>
  <c r="G181"/>
  <c r="L241"/>
  <c r="H241"/>
  <c r="L221"/>
  <c r="N221"/>
  <c r="P216"/>
  <c r="H216"/>
  <c r="G82"/>
  <c r="L82"/>
  <c r="K65"/>
  <c r="O182"/>
  <c r="M217"/>
  <c r="I213"/>
  <c r="J125"/>
  <c r="O125"/>
  <c r="M112"/>
  <c r="O112"/>
  <c r="L29"/>
  <c r="M29"/>
  <c r="N60"/>
  <c r="E60"/>
  <c r="I207"/>
  <c r="K122"/>
  <c r="G109"/>
  <c r="H64"/>
  <c r="K213"/>
  <c r="N22"/>
  <c r="E181"/>
  <c r="K216"/>
  <c r="N216"/>
  <c r="E216"/>
  <c r="E122"/>
  <c r="N109"/>
  <c r="I109"/>
  <c r="M82"/>
  <c r="P82"/>
  <c r="E82"/>
  <c r="L65"/>
  <c r="P65"/>
  <c r="E65"/>
  <c r="M182"/>
  <c r="G182"/>
  <c r="E182"/>
  <c r="K217"/>
  <c r="O217"/>
  <c r="J217"/>
  <c r="E64"/>
  <c r="P64"/>
  <c r="M213"/>
  <c r="G125"/>
  <c r="L125"/>
  <c r="E125"/>
  <c r="J112"/>
  <c r="H112"/>
  <c r="K112"/>
  <c r="I29"/>
  <c r="N29"/>
  <c r="F29"/>
  <c r="G22"/>
  <c r="M60"/>
  <c r="K60"/>
  <c r="H60"/>
  <c r="N207"/>
  <c r="L207"/>
  <c r="O207"/>
  <c r="Q180"/>
  <c r="P180" s="1"/>
  <c r="I122"/>
  <c r="N213"/>
  <c r="M22"/>
  <c r="J181"/>
  <c r="J216"/>
  <c r="F216"/>
  <c r="M122"/>
  <c r="H122"/>
  <c r="F109"/>
  <c r="J82"/>
  <c r="I82"/>
  <c r="N65"/>
  <c r="I65"/>
  <c r="L182"/>
  <c r="N182"/>
  <c r="I217"/>
  <c r="G217"/>
  <c r="K64"/>
  <c r="G64"/>
  <c r="F213"/>
  <c r="F125"/>
  <c r="K125"/>
  <c r="N112"/>
  <c r="E112"/>
  <c r="K29"/>
  <c r="J29"/>
  <c r="P22"/>
  <c r="G60"/>
  <c r="F60"/>
  <c r="F207"/>
  <c r="K207"/>
  <c r="M181"/>
  <c r="I181"/>
  <c r="J204"/>
  <c r="H44"/>
  <c r="K119"/>
  <c r="F106"/>
  <c r="I137"/>
  <c r="P137"/>
  <c r="G137"/>
  <c r="Q77"/>
  <c r="F77" s="1"/>
  <c r="P122"/>
  <c r="O122"/>
  <c r="F122"/>
  <c r="P109"/>
  <c r="H109"/>
  <c r="J109"/>
  <c r="L204"/>
  <c r="P204"/>
  <c r="K204"/>
  <c r="G44"/>
  <c r="M44"/>
  <c r="F44"/>
  <c r="I64"/>
  <c r="O64"/>
  <c r="J64"/>
  <c r="H213"/>
  <c r="L213"/>
  <c r="E213"/>
  <c r="G119"/>
  <c r="H119"/>
  <c r="N119"/>
  <c r="K106"/>
  <c r="J106"/>
  <c r="E106"/>
  <c r="L22"/>
  <c r="I22"/>
  <c r="O22"/>
  <c r="G207"/>
  <c r="M207"/>
  <c r="L181"/>
  <c r="F181"/>
  <c r="K181"/>
  <c r="O181"/>
  <c r="O137"/>
  <c r="M137"/>
  <c r="K137"/>
  <c r="H204"/>
  <c r="F204"/>
  <c r="O44"/>
  <c r="N44"/>
  <c r="J119"/>
  <c r="P119"/>
  <c r="P106"/>
  <c r="N106"/>
  <c r="J122"/>
  <c r="L122"/>
  <c r="O109"/>
  <c r="L109"/>
  <c r="N204"/>
  <c r="I204"/>
  <c r="P44"/>
  <c r="J44"/>
  <c r="M64"/>
  <c r="F64"/>
  <c r="G213"/>
  <c r="J213"/>
  <c r="I119"/>
  <c r="O119"/>
  <c r="L106"/>
  <c r="I106"/>
  <c r="H22"/>
  <c r="K22"/>
  <c r="H181"/>
  <c r="N181"/>
  <c r="N137"/>
  <c r="H137"/>
  <c r="I48"/>
  <c r="Q47"/>
  <c r="H48"/>
  <c r="J48"/>
  <c r="G48"/>
  <c r="L48"/>
  <c r="O48"/>
  <c r="M48"/>
  <c r="F48"/>
  <c r="N48"/>
  <c r="K48"/>
  <c r="E48"/>
  <c r="P48"/>
  <c r="J92"/>
  <c r="G92"/>
  <c r="F92"/>
  <c r="P92"/>
  <c r="O92"/>
  <c r="E92"/>
  <c r="L92"/>
  <c r="M92"/>
  <c r="K92"/>
  <c r="H92"/>
  <c r="N92"/>
  <c r="I92"/>
  <c r="P245"/>
  <c r="G245"/>
  <c r="E245"/>
  <c r="O245"/>
  <c r="J245"/>
  <c r="N245"/>
  <c r="L245"/>
  <c r="M245"/>
  <c r="H245"/>
  <c r="I245"/>
  <c r="K245"/>
  <c r="F245"/>
  <c r="O198"/>
  <c r="I198"/>
  <c r="F198"/>
  <c r="M198"/>
  <c r="K198"/>
  <c r="E198"/>
  <c r="L198"/>
  <c r="H198"/>
  <c r="N198"/>
  <c r="P198"/>
  <c r="J198"/>
  <c r="G198"/>
  <c r="N93"/>
  <c r="M93"/>
  <c r="H93"/>
  <c r="K93"/>
  <c r="P93"/>
  <c r="O93"/>
  <c r="F93"/>
  <c r="I93"/>
  <c r="E93"/>
  <c r="G93"/>
  <c r="L93"/>
  <c r="J93"/>
  <c r="E21"/>
  <c r="O21"/>
  <c r="H21"/>
  <c r="M21"/>
  <c r="J21"/>
  <c r="N21"/>
  <c r="K21"/>
  <c r="L21"/>
  <c r="F21"/>
  <c r="Q20"/>
  <c r="I21"/>
  <c r="P21"/>
  <c r="G21"/>
  <c r="G19"/>
  <c r="F19"/>
  <c r="I19"/>
  <c r="M19"/>
  <c r="O19"/>
  <c r="P19"/>
  <c r="L19"/>
  <c r="J19"/>
  <c r="H19"/>
  <c r="K19"/>
  <c r="N19"/>
  <c r="E19"/>
  <c r="N243"/>
  <c r="I243"/>
  <c r="M243"/>
  <c r="E243"/>
  <c r="H243"/>
  <c r="L243"/>
  <c r="Q242"/>
  <c r="K243"/>
  <c r="F243"/>
  <c r="O243"/>
  <c r="G243"/>
  <c r="P243"/>
  <c r="J243"/>
  <c r="G164"/>
  <c r="F164"/>
  <c r="I164"/>
  <c r="N164"/>
  <c r="L164"/>
  <c r="J164"/>
  <c r="P164"/>
  <c r="H164"/>
  <c r="O164"/>
  <c r="M164"/>
  <c r="K164"/>
  <c r="E164"/>
  <c r="L111"/>
  <c r="I111"/>
  <c r="N111"/>
  <c r="E111"/>
  <c r="K111"/>
  <c r="M111"/>
  <c r="F111"/>
  <c r="J111"/>
  <c r="G111"/>
  <c r="Q110"/>
  <c r="O111"/>
  <c r="H111"/>
  <c r="P111"/>
  <c r="M41"/>
  <c r="J41"/>
  <c r="P41"/>
  <c r="O41"/>
  <c r="L41"/>
  <c r="N41"/>
  <c r="H41"/>
  <c r="I41"/>
  <c r="G41"/>
  <c r="K41"/>
  <c r="E41"/>
  <c r="F41"/>
  <c r="E165"/>
  <c r="M165"/>
  <c r="J165"/>
  <c r="G165"/>
  <c r="P165"/>
  <c r="L165"/>
  <c r="H165"/>
  <c r="I165"/>
  <c r="O165"/>
  <c r="K165"/>
  <c r="N165"/>
  <c r="F165"/>
  <c r="E62"/>
  <c r="O62"/>
  <c r="L62"/>
  <c r="N62"/>
  <c r="K62"/>
  <c r="J62"/>
  <c r="P62"/>
  <c r="M62"/>
  <c r="F62"/>
  <c r="I62"/>
  <c r="H62"/>
  <c r="G62"/>
  <c r="Q199"/>
  <c r="E200"/>
  <c r="I200"/>
  <c r="M200"/>
  <c r="P200"/>
  <c r="J200"/>
  <c r="N200"/>
  <c r="F200"/>
  <c r="H200"/>
  <c r="L200"/>
  <c r="G200"/>
  <c r="K200"/>
  <c r="O200"/>
  <c r="O67"/>
  <c r="F67"/>
  <c r="E67"/>
  <c r="I67"/>
  <c r="K67"/>
  <c r="J67"/>
  <c r="G67"/>
  <c r="M67"/>
  <c r="P67"/>
  <c r="H67"/>
  <c r="N67"/>
  <c r="L67"/>
  <c r="Q117"/>
  <c r="E118"/>
  <c r="L118"/>
  <c r="I118"/>
  <c r="N118"/>
  <c r="M118"/>
  <c r="G118"/>
  <c r="P118"/>
  <c r="K118"/>
  <c r="H118"/>
  <c r="O118"/>
  <c r="J118"/>
  <c r="F118"/>
  <c r="E201"/>
  <c r="P201"/>
  <c r="M201"/>
  <c r="H201"/>
  <c r="I201"/>
  <c r="J201"/>
  <c r="G201"/>
  <c r="K201"/>
  <c r="F201"/>
  <c r="O201"/>
  <c r="L201"/>
  <c r="N201"/>
  <c r="Q95"/>
  <c r="P96"/>
  <c r="E96"/>
  <c r="O96"/>
  <c r="L96"/>
  <c r="J96"/>
  <c r="H96"/>
  <c r="N96"/>
  <c r="F96"/>
  <c r="K96"/>
  <c r="M96"/>
  <c r="G96"/>
  <c r="I96"/>
  <c r="E46"/>
  <c r="J46"/>
  <c r="O46"/>
  <c r="K46"/>
  <c r="I46"/>
  <c r="G46"/>
  <c r="P46"/>
  <c r="F46"/>
  <c r="H46"/>
  <c r="M46"/>
  <c r="N46"/>
  <c r="L46"/>
  <c r="N219"/>
  <c r="E219"/>
  <c r="O219"/>
  <c r="J219"/>
  <c r="L219"/>
  <c r="F219"/>
  <c r="H219"/>
  <c r="P219"/>
  <c r="K219"/>
  <c r="M219"/>
  <c r="G219"/>
  <c r="I219"/>
  <c r="G33"/>
  <c r="F33"/>
  <c r="J33"/>
  <c r="H33"/>
  <c r="K33"/>
  <c r="N33"/>
  <c r="P33"/>
  <c r="I33"/>
  <c r="O33"/>
  <c r="M33"/>
  <c r="E33"/>
  <c r="L33"/>
  <c r="E167"/>
  <c r="M167"/>
  <c r="H167"/>
  <c r="F167"/>
  <c r="I167"/>
  <c r="N167"/>
  <c r="G167"/>
  <c r="J167"/>
  <c r="P167"/>
  <c r="O167"/>
  <c r="L167"/>
  <c r="K167"/>
  <c r="F142"/>
  <c r="J142"/>
  <c r="P142"/>
  <c r="O142"/>
  <c r="M142"/>
  <c r="K142"/>
  <c r="N142"/>
  <c r="I142"/>
  <c r="L142"/>
  <c r="G142"/>
  <c r="H142"/>
  <c r="E142"/>
  <c r="E50"/>
  <c r="M50"/>
  <c r="K50"/>
  <c r="I50"/>
  <c r="P50"/>
  <c r="Q49"/>
  <c r="G50"/>
  <c r="N50"/>
  <c r="L50"/>
  <c r="F50"/>
  <c r="O50"/>
  <c r="H50"/>
  <c r="J50"/>
  <c r="N203"/>
  <c r="O203"/>
  <c r="Q202"/>
  <c r="H203"/>
  <c r="K203"/>
  <c r="E203"/>
  <c r="L203"/>
  <c r="F203"/>
  <c r="I203"/>
  <c r="J203"/>
  <c r="M203"/>
  <c r="P203"/>
  <c r="G203"/>
  <c r="F211"/>
  <c r="M211"/>
  <c r="O211"/>
  <c r="I211"/>
  <c r="N211"/>
  <c r="G211"/>
  <c r="P211"/>
  <c r="E211"/>
  <c r="J211"/>
  <c r="L211"/>
  <c r="H211"/>
  <c r="K211"/>
  <c r="E223"/>
  <c r="M223"/>
  <c r="H223"/>
  <c r="I223"/>
  <c r="P223"/>
  <c r="N223"/>
  <c r="G223"/>
  <c r="K223"/>
  <c r="L223"/>
  <c r="O223"/>
  <c r="J223"/>
  <c r="F223"/>
  <c r="G28"/>
  <c r="L28"/>
  <c r="K28"/>
  <c r="H28"/>
  <c r="F28"/>
  <c r="N28"/>
  <c r="P28"/>
  <c r="E28"/>
  <c r="I28"/>
  <c r="J28"/>
  <c r="O28"/>
  <c r="M28"/>
  <c r="E160"/>
  <c r="N160"/>
  <c r="H160"/>
  <c r="G160"/>
  <c r="I160"/>
  <c r="L160"/>
  <c r="Q159"/>
  <c r="M160"/>
  <c r="K160"/>
  <c r="P160"/>
  <c r="F160"/>
  <c r="O160"/>
  <c r="J160"/>
  <c r="F54"/>
  <c r="N54"/>
  <c r="I54"/>
  <c r="K54"/>
  <c r="Q53"/>
  <c r="G54"/>
  <c r="L54"/>
  <c r="M54"/>
  <c r="H54"/>
  <c r="P54"/>
  <c r="O54"/>
  <c r="E54"/>
  <c r="J54"/>
  <c r="P172"/>
  <c r="F172"/>
  <c r="Q171"/>
  <c r="E172"/>
  <c r="I172"/>
  <c r="H172"/>
  <c r="G172"/>
  <c r="M172"/>
  <c r="L172"/>
  <c r="J172"/>
  <c r="N172"/>
  <c r="O172"/>
  <c r="K172"/>
  <c r="E228"/>
  <c r="N228"/>
  <c r="M228"/>
  <c r="F228"/>
  <c r="H228"/>
  <c r="G228"/>
  <c r="J228"/>
  <c r="P228"/>
  <c r="I228"/>
  <c r="O228"/>
  <c r="L228"/>
  <c r="K228"/>
  <c r="P145"/>
  <c r="G145"/>
  <c r="F145"/>
  <c r="E145"/>
  <c r="H145"/>
  <c r="N145"/>
  <c r="M145"/>
  <c r="I145"/>
  <c r="K145"/>
  <c r="J145"/>
  <c r="L145"/>
  <c r="O145"/>
  <c r="M55"/>
  <c r="E55"/>
  <c r="L55"/>
  <c r="N55"/>
  <c r="K55"/>
  <c r="J55"/>
  <c r="G55"/>
  <c r="P55"/>
  <c r="F55"/>
  <c r="H55"/>
  <c r="I55"/>
  <c r="O55"/>
  <c r="F87"/>
  <c r="N87"/>
  <c r="M87"/>
  <c r="J87"/>
  <c r="I87"/>
  <c r="O87"/>
  <c r="L87"/>
  <c r="P87"/>
  <c r="E87"/>
  <c r="K87"/>
  <c r="H87"/>
  <c r="G87"/>
  <c r="I163"/>
  <c r="K163"/>
  <c r="F163"/>
  <c r="Q162"/>
  <c r="G163"/>
  <c r="L163"/>
  <c r="N163"/>
  <c r="O163"/>
  <c r="M163"/>
  <c r="P163"/>
  <c r="J163"/>
  <c r="E163"/>
  <c r="H163"/>
  <c r="E132"/>
  <c r="K132"/>
  <c r="P132"/>
  <c r="F132"/>
  <c r="M132"/>
  <c r="O132"/>
  <c r="J132"/>
  <c r="L132"/>
  <c r="H132"/>
  <c r="N132"/>
  <c r="G132"/>
  <c r="I132"/>
  <c r="Q209"/>
  <c r="Q251"/>
  <c r="E192"/>
  <c r="H192"/>
  <c r="K192"/>
  <c r="M192"/>
  <c r="L192"/>
  <c r="O192"/>
  <c r="F192"/>
  <c r="P192"/>
  <c r="J192"/>
  <c r="N192"/>
  <c r="G192"/>
  <c r="I192"/>
  <c r="N255"/>
  <c r="E255"/>
  <c r="G255"/>
  <c r="H255"/>
  <c r="P255"/>
  <c r="I255"/>
  <c r="F255"/>
  <c r="O255"/>
  <c r="J255"/>
  <c r="M255"/>
  <c r="K255"/>
  <c r="L255"/>
  <c r="E215"/>
  <c r="H215"/>
  <c r="P215"/>
  <c r="I215"/>
  <c r="G215"/>
  <c r="K215"/>
  <c r="M215"/>
  <c r="J215"/>
  <c r="N215"/>
  <c r="L215"/>
  <c r="F215"/>
  <c r="Q214"/>
  <c r="O215"/>
  <c r="E141"/>
  <c r="F141"/>
  <c r="I141"/>
  <c r="P141"/>
  <c r="H141"/>
  <c r="Q140"/>
  <c r="N141"/>
  <c r="J141"/>
  <c r="M141"/>
  <c r="O141"/>
  <c r="K141"/>
  <c r="G141"/>
  <c r="L141"/>
  <c r="F66"/>
  <c r="P66"/>
  <c r="I66"/>
  <c r="O66"/>
  <c r="E66"/>
  <c r="H66"/>
  <c r="K66"/>
  <c r="M66"/>
  <c r="L66"/>
  <c r="N66"/>
  <c r="G66"/>
  <c r="J66"/>
  <c r="N36"/>
  <c r="J36"/>
  <c r="I36"/>
  <c r="F36"/>
  <c r="P36"/>
  <c r="H36"/>
  <c r="L36"/>
  <c r="K36"/>
  <c r="M36"/>
  <c r="G36"/>
  <c r="E36"/>
  <c r="O36"/>
  <c r="O70"/>
  <c r="I70"/>
  <c r="N70"/>
  <c r="K70"/>
  <c r="H70"/>
  <c r="J70"/>
  <c r="P70"/>
  <c r="G70"/>
  <c r="L70"/>
  <c r="E70"/>
  <c r="F70"/>
  <c r="M70"/>
  <c r="P265"/>
  <c r="H265"/>
  <c r="M265"/>
  <c r="G265"/>
  <c r="F265"/>
  <c r="E265"/>
  <c r="K265"/>
  <c r="L265"/>
  <c r="N265"/>
  <c r="O265"/>
  <c r="J265"/>
  <c r="I265"/>
  <c r="G176"/>
  <c r="P176"/>
  <c r="I176"/>
  <c r="N176"/>
  <c r="H176"/>
  <c r="L176"/>
  <c r="O176"/>
  <c r="M176"/>
  <c r="F176"/>
  <c r="J176"/>
  <c r="K176"/>
  <c r="E176"/>
  <c r="F151"/>
  <c r="K151"/>
  <c r="O151"/>
  <c r="N151"/>
  <c r="E151"/>
  <c r="H151"/>
  <c r="G151"/>
  <c r="M151"/>
  <c r="I151"/>
  <c r="L151"/>
  <c r="J151"/>
  <c r="P151"/>
  <c r="E138"/>
  <c r="G138"/>
  <c r="N138"/>
  <c r="H138"/>
  <c r="L138"/>
  <c r="O138"/>
  <c r="M138"/>
  <c r="P138"/>
  <c r="K138"/>
  <c r="I138"/>
  <c r="F138"/>
  <c r="J138"/>
  <c r="E63"/>
  <c r="M63"/>
  <c r="I63"/>
  <c r="G63"/>
  <c r="N63"/>
  <c r="O63"/>
  <c r="L63"/>
  <c r="K63"/>
  <c r="J63"/>
  <c r="F63"/>
  <c r="H63"/>
  <c r="P63"/>
  <c r="E276"/>
  <c r="L276"/>
  <c r="H276"/>
  <c r="K276"/>
  <c r="G276"/>
  <c r="O276"/>
  <c r="P276"/>
  <c r="N276"/>
  <c r="J276"/>
  <c r="M276"/>
  <c r="I276"/>
  <c r="F276"/>
  <c r="N184"/>
  <c r="E184"/>
  <c r="Q183"/>
  <c r="P184"/>
  <c r="H184"/>
  <c r="M184"/>
  <c r="K184"/>
  <c r="J184"/>
  <c r="O184"/>
  <c r="I184"/>
  <c r="G184"/>
  <c r="F184"/>
  <c r="L184"/>
  <c r="G178"/>
  <c r="E178"/>
  <c r="Q177"/>
  <c r="F178"/>
  <c r="L178"/>
  <c r="K178"/>
  <c r="J178"/>
  <c r="P178"/>
  <c r="O178"/>
  <c r="M178"/>
  <c r="N178"/>
  <c r="H178"/>
  <c r="I178"/>
  <c r="E144"/>
  <c r="P144"/>
  <c r="Q143"/>
  <c r="L144"/>
  <c r="I144"/>
  <c r="H144"/>
  <c r="G144"/>
  <c r="F144"/>
  <c r="M144"/>
  <c r="J144"/>
  <c r="N144"/>
  <c r="K144"/>
  <c r="O144"/>
  <c r="F16"/>
  <c r="M16"/>
  <c r="E16"/>
  <c r="G16"/>
  <c r="P16"/>
  <c r="H16"/>
  <c r="K16"/>
  <c r="N16"/>
  <c r="L16"/>
  <c r="J16"/>
  <c r="I16"/>
  <c r="O16"/>
  <c r="H224"/>
  <c r="M224"/>
  <c r="E224"/>
  <c r="O224"/>
  <c r="I224"/>
  <c r="F224"/>
  <c r="L224"/>
  <c r="K224"/>
  <c r="P224"/>
  <c r="G224"/>
  <c r="J224"/>
  <c r="N224"/>
  <c r="O157"/>
  <c r="J157"/>
  <c r="E157"/>
  <c r="P157"/>
  <c r="K157"/>
  <c r="F157"/>
  <c r="Q156"/>
  <c r="L157"/>
  <c r="N157"/>
  <c r="M157"/>
  <c r="I157"/>
  <c r="H157"/>
  <c r="G157"/>
  <c r="E71"/>
  <c r="M71"/>
  <c r="G71"/>
  <c r="I71"/>
  <c r="P71"/>
  <c r="O71"/>
  <c r="K71"/>
  <c r="F71"/>
  <c r="H71"/>
  <c r="J71"/>
  <c r="N71"/>
  <c r="L71"/>
  <c r="E15"/>
  <c r="Q14"/>
  <c r="N15"/>
  <c r="P15"/>
  <c r="G15"/>
  <c r="K15"/>
  <c r="M15"/>
  <c r="J15"/>
  <c r="I15"/>
  <c r="H15"/>
  <c r="L15"/>
  <c r="F15"/>
  <c r="O15"/>
  <c r="E121"/>
  <c r="I121"/>
  <c r="P121"/>
  <c r="G121"/>
  <c r="F121"/>
  <c r="K121"/>
  <c r="M121"/>
  <c r="Q120"/>
  <c r="L121"/>
  <c r="N121"/>
  <c r="J121"/>
  <c r="H121"/>
  <c r="O121"/>
  <c r="K261"/>
  <c r="O261"/>
  <c r="M261"/>
  <c r="Q267"/>
  <c r="J261"/>
  <c r="I261"/>
  <c r="L261"/>
  <c r="E261"/>
  <c r="G261"/>
  <c r="N261"/>
  <c r="H261"/>
  <c r="F261"/>
  <c r="P261"/>
  <c r="L220"/>
  <c r="G220"/>
  <c r="P220"/>
  <c r="N220"/>
  <c r="F220"/>
  <c r="K220"/>
  <c r="M220"/>
  <c r="J220"/>
  <c r="E220"/>
  <c r="O220"/>
  <c r="I220"/>
  <c r="H220"/>
  <c r="E179"/>
  <c r="N179"/>
  <c r="H179"/>
  <c r="M179"/>
  <c r="K179"/>
  <c r="P179"/>
  <c r="I179"/>
  <c r="F179"/>
  <c r="O179"/>
  <c r="J179"/>
  <c r="L179"/>
  <c r="G179"/>
  <c r="P155"/>
  <c r="O155"/>
  <c r="E155"/>
  <c r="K155"/>
  <c r="F155"/>
  <c r="J155"/>
  <c r="I155"/>
  <c r="H155"/>
  <c r="L155"/>
  <c r="G155"/>
  <c r="N155"/>
  <c r="M155"/>
  <c r="Q123"/>
  <c r="E124"/>
  <c r="M124"/>
  <c r="L124"/>
  <c r="P124"/>
  <c r="H124"/>
  <c r="N124"/>
  <c r="G124"/>
  <c r="K124"/>
  <c r="O124"/>
  <c r="J124"/>
  <c r="I124"/>
  <c r="F124"/>
  <c r="K76"/>
  <c r="E76"/>
  <c r="F76"/>
  <c r="P76"/>
  <c r="M76"/>
  <c r="J76"/>
  <c r="I76"/>
  <c r="G76"/>
  <c r="O76"/>
  <c r="L76"/>
  <c r="N76"/>
  <c r="H76"/>
  <c r="E271"/>
  <c r="I271"/>
  <c r="H271"/>
  <c r="M271"/>
  <c r="G271"/>
  <c r="P271"/>
  <c r="K271"/>
  <c r="F271"/>
  <c r="L271"/>
  <c r="O271"/>
  <c r="J271"/>
  <c r="N271"/>
  <c r="E45"/>
  <c r="M45"/>
  <c r="F45"/>
  <c r="L45"/>
  <c r="O45"/>
  <c r="H45"/>
  <c r="I45"/>
  <c r="N45"/>
  <c r="P45"/>
  <c r="G45"/>
  <c r="J45"/>
  <c r="K45"/>
  <c r="E147"/>
  <c r="M147"/>
  <c r="H147"/>
  <c r="P147"/>
  <c r="F147"/>
  <c r="I147"/>
  <c r="J147"/>
  <c r="L147"/>
  <c r="O147"/>
  <c r="G147"/>
  <c r="N147"/>
  <c r="Q146"/>
  <c r="K147"/>
  <c r="H68"/>
  <c r="E68"/>
  <c r="I68"/>
  <c r="F68"/>
  <c r="K68"/>
  <c r="J68"/>
  <c r="N68"/>
  <c r="G68"/>
  <c r="M68"/>
  <c r="O68"/>
  <c r="P68"/>
  <c r="L68"/>
  <c r="F80"/>
  <c r="M80"/>
  <c r="I80"/>
  <c r="O80"/>
  <c r="L80"/>
  <c r="K80"/>
  <c r="P80"/>
  <c r="J80"/>
  <c r="G80"/>
  <c r="H80"/>
  <c r="E80"/>
  <c r="N80"/>
  <c r="P227"/>
  <c r="N227"/>
  <c r="M227"/>
  <c r="F227"/>
  <c r="K227"/>
  <c r="O227"/>
  <c r="J227"/>
  <c r="E227"/>
  <c r="L227"/>
  <c r="Q232"/>
  <c r="G227"/>
  <c r="I227"/>
  <c r="H227"/>
  <c r="M86"/>
  <c r="N86"/>
  <c r="F86"/>
  <c r="E86"/>
  <c r="K86"/>
  <c r="O86"/>
  <c r="L86"/>
  <c r="G86"/>
  <c r="I86"/>
  <c r="P86"/>
  <c r="H86"/>
  <c r="J86"/>
  <c r="Q85"/>
  <c r="F169"/>
  <c r="I169"/>
  <c r="E169"/>
  <c r="H169"/>
  <c r="M169"/>
  <c r="G169"/>
  <c r="Q168"/>
  <c r="N169"/>
  <c r="O169"/>
  <c r="L169"/>
  <c r="P169"/>
  <c r="K169"/>
  <c r="J169"/>
  <c r="E61"/>
  <c r="F61"/>
  <c r="P61"/>
  <c r="M61"/>
  <c r="O61"/>
  <c r="N61"/>
  <c r="K61"/>
  <c r="L61"/>
  <c r="I61"/>
  <c r="G61"/>
  <c r="J61"/>
  <c r="H61"/>
  <c r="I231"/>
  <c r="N231"/>
  <c r="G231"/>
  <c r="F231"/>
  <c r="M231"/>
  <c r="K231"/>
  <c r="J231"/>
  <c r="E231"/>
  <c r="L231"/>
  <c r="O231"/>
  <c r="H231"/>
  <c r="P231"/>
  <c r="E105"/>
  <c r="P105"/>
  <c r="Q104"/>
  <c r="L105"/>
  <c r="M105"/>
  <c r="O105"/>
  <c r="J105"/>
  <c r="G105"/>
  <c r="I105"/>
  <c r="K105"/>
  <c r="F105"/>
  <c r="N105"/>
  <c r="H105"/>
  <c r="E74"/>
  <c r="F74"/>
  <c r="O74"/>
  <c r="I74"/>
  <c r="N74"/>
  <c r="J74"/>
  <c r="L74"/>
  <c r="H74"/>
  <c r="Q73"/>
  <c r="K74"/>
  <c r="P74"/>
  <c r="M74"/>
  <c r="G74"/>
  <c r="O27"/>
  <c r="F27"/>
  <c r="E27"/>
  <c r="J27"/>
  <c r="K27"/>
  <c r="P27"/>
  <c r="I27"/>
  <c r="L27"/>
  <c r="M27"/>
  <c r="H27"/>
  <c r="G27"/>
  <c r="N27"/>
  <c r="L230"/>
  <c r="O230"/>
  <c r="M230"/>
  <c r="E230"/>
  <c r="F230"/>
  <c r="I230"/>
  <c r="G230"/>
  <c r="N230"/>
  <c r="K230"/>
  <c r="H230"/>
  <c r="P230"/>
  <c r="J230"/>
  <c r="J40"/>
  <c r="F40"/>
  <c r="E40"/>
  <c r="I40"/>
  <c r="K40"/>
  <c r="G40"/>
  <c r="P40"/>
  <c r="O40"/>
  <c r="L40"/>
  <c r="N40"/>
  <c r="M40"/>
  <c r="H40"/>
  <c r="H188"/>
  <c r="M188"/>
  <c r="L188"/>
  <c r="P188"/>
  <c r="I188"/>
  <c r="O188"/>
  <c r="J188"/>
  <c r="N188"/>
  <c r="G188"/>
  <c r="K188"/>
  <c r="F188"/>
  <c r="E188"/>
  <c r="H170"/>
  <c r="K170"/>
  <c r="F170"/>
  <c r="O170"/>
  <c r="L170"/>
  <c r="P170"/>
  <c r="E170"/>
  <c r="G170"/>
  <c r="M170"/>
  <c r="I170"/>
  <c r="J170"/>
  <c r="N170"/>
  <c r="P158"/>
  <c r="H158"/>
  <c r="M158"/>
  <c r="G158"/>
  <c r="E158"/>
  <c r="N158"/>
  <c r="F158"/>
  <c r="K158"/>
  <c r="I158"/>
  <c r="O158"/>
  <c r="J158"/>
  <c r="L158"/>
  <c r="E131"/>
  <c r="Q130"/>
  <c r="L131"/>
  <c r="M131"/>
  <c r="K131"/>
  <c r="F131"/>
  <c r="H131"/>
  <c r="J131"/>
  <c r="N131"/>
  <c r="I131"/>
  <c r="G131"/>
  <c r="P131"/>
  <c r="O131"/>
  <c r="E83"/>
  <c r="F83"/>
  <c r="I83"/>
  <c r="K83"/>
  <c r="J83"/>
  <c r="O83"/>
  <c r="L83"/>
  <c r="G83"/>
  <c r="P83"/>
  <c r="M83"/>
  <c r="H83"/>
  <c r="N83"/>
  <c r="E264"/>
  <c r="M264"/>
  <c r="H264"/>
  <c r="L264"/>
  <c r="O264"/>
  <c r="I264"/>
  <c r="G264"/>
  <c r="J264"/>
  <c r="N264"/>
  <c r="K264"/>
  <c r="P264"/>
  <c r="F264"/>
  <c r="H229"/>
  <c r="G229"/>
  <c r="M229"/>
  <c r="P229"/>
  <c r="K229"/>
  <c r="O229"/>
  <c r="L229"/>
  <c r="I229"/>
  <c r="N229"/>
  <c r="E229"/>
  <c r="F229"/>
  <c r="J229"/>
  <c r="O72"/>
  <c r="N72"/>
  <c r="K72"/>
  <c r="E72"/>
  <c r="L72"/>
  <c r="G72"/>
  <c r="M72"/>
  <c r="F72"/>
  <c r="P72"/>
  <c r="I72"/>
  <c r="J72"/>
  <c r="H72"/>
  <c r="H17"/>
  <c r="G17"/>
  <c r="J17"/>
  <c r="P17"/>
  <c r="K17"/>
  <c r="L17"/>
  <c r="O17"/>
  <c r="I17"/>
  <c r="N17"/>
  <c r="E17"/>
  <c r="M17"/>
  <c r="F17"/>
  <c r="E248"/>
  <c r="H248"/>
  <c r="N248"/>
  <c r="L248"/>
  <c r="I248"/>
  <c r="M248"/>
  <c r="P248"/>
  <c r="K248"/>
  <c r="F248"/>
  <c r="O248"/>
  <c r="J248"/>
  <c r="G248"/>
  <c r="I100"/>
  <c r="L100"/>
  <c r="O100"/>
  <c r="E100"/>
  <c r="N100"/>
  <c r="K100"/>
  <c r="M100"/>
  <c r="J100"/>
  <c r="P100"/>
  <c r="G100"/>
  <c r="F100"/>
  <c r="H100"/>
  <c r="K240"/>
  <c r="J240"/>
  <c r="G240"/>
  <c r="L240"/>
  <c r="E240"/>
  <c r="O240"/>
  <c r="N240"/>
  <c r="M240"/>
  <c r="I240"/>
  <c r="P240"/>
  <c r="F240"/>
  <c r="H240"/>
  <c r="M127"/>
  <c r="E127"/>
  <c r="H127"/>
  <c r="I127"/>
  <c r="G127"/>
  <c r="F127"/>
  <c r="N127"/>
  <c r="Q126"/>
  <c r="K127"/>
  <c r="J127"/>
  <c r="L127"/>
  <c r="P127"/>
  <c r="O127"/>
  <c r="G32"/>
  <c r="N32"/>
  <c r="O32"/>
  <c r="L32"/>
  <c r="J32"/>
  <c r="E32"/>
  <c r="I32"/>
  <c r="M32"/>
  <c r="P32"/>
  <c r="K32"/>
  <c r="F32"/>
  <c r="H32"/>
  <c r="D462" i="1"/>
  <c r="Q208" i="2"/>
  <c r="F79"/>
  <c r="E79"/>
  <c r="N79"/>
  <c r="M79"/>
  <c r="O79"/>
  <c r="I79"/>
  <c r="L79"/>
  <c r="G79"/>
  <c r="P79"/>
  <c r="J79"/>
  <c r="K79"/>
  <c r="H79"/>
  <c r="E239"/>
  <c r="H239"/>
  <c r="I239"/>
  <c r="O239"/>
  <c r="G239"/>
  <c r="M239"/>
  <c r="P239"/>
  <c r="K239"/>
  <c r="F239"/>
  <c r="L239"/>
  <c r="J239"/>
  <c r="N239"/>
  <c r="Q190"/>
  <c r="M191"/>
  <c r="E191"/>
  <c r="N191"/>
  <c r="G191"/>
  <c r="J191"/>
  <c r="K191"/>
  <c r="I191"/>
  <c r="F191"/>
  <c r="L191"/>
  <c r="H191"/>
  <c r="O191"/>
  <c r="P191"/>
  <c r="G108"/>
  <c r="P108"/>
  <c r="M108"/>
  <c r="J108"/>
  <c r="N108"/>
  <c r="O108"/>
  <c r="E108"/>
  <c r="L108"/>
  <c r="K108"/>
  <c r="I108"/>
  <c r="Q107"/>
  <c r="F108"/>
  <c r="H108"/>
  <c r="E84"/>
  <c r="I84"/>
  <c r="J84"/>
  <c r="G84"/>
  <c r="L84"/>
  <c r="F84"/>
  <c r="H84"/>
  <c r="M84"/>
  <c r="K84"/>
  <c r="N84"/>
  <c r="P84"/>
  <c r="O84"/>
  <c r="E56"/>
  <c r="K56"/>
  <c r="G56"/>
  <c r="O56"/>
  <c r="M56"/>
  <c r="L56"/>
  <c r="P56"/>
  <c r="H56"/>
  <c r="I56"/>
  <c r="F56"/>
  <c r="J56"/>
  <c r="N56"/>
  <c r="G34"/>
  <c r="H34"/>
  <c r="N34"/>
  <c r="M34"/>
  <c r="J34"/>
  <c r="L34"/>
  <c r="K34"/>
  <c r="E34"/>
  <c r="O34"/>
  <c r="P34"/>
  <c r="F34"/>
  <c r="I34"/>
  <c r="K244"/>
  <c r="F244"/>
  <c r="I244"/>
  <c r="N244"/>
  <c r="L244"/>
  <c r="G244"/>
  <c r="O244"/>
  <c r="H244"/>
  <c r="J244"/>
  <c r="P244"/>
  <c r="E244"/>
  <c r="M244"/>
  <c r="H197"/>
  <c r="M197"/>
  <c r="K197"/>
  <c r="N197"/>
  <c r="E197"/>
  <c r="O197"/>
  <c r="I197"/>
  <c r="F197"/>
  <c r="L197"/>
  <c r="G197"/>
  <c r="J197"/>
  <c r="Q196"/>
  <c r="P197"/>
  <c r="I51"/>
  <c r="L51"/>
  <c r="N51"/>
  <c r="K51"/>
  <c r="H51"/>
  <c r="J51"/>
  <c r="G51"/>
  <c r="P51"/>
  <c r="M51"/>
  <c r="E51"/>
  <c r="O51"/>
  <c r="F51"/>
  <c r="O272"/>
  <c r="E272"/>
  <c r="I272"/>
  <c r="P272"/>
  <c r="G272"/>
  <c r="K272"/>
  <c r="N272"/>
  <c r="M272"/>
  <c r="H272"/>
  <c r="J272"/>
  <c r="F272"/>
  <c r="L272"/>
  <c r="I238"/>
  <c r="J238"/>
  <c r="N238"/>
  <c r="E238"/>
  <c r="Q237"/>
  <c r="K238"/>
  <c r="O238"/>
  <c r="H238"/>
  <c r="L238"/>
  <c r="G238"/>
  <c r="F238"/>
  <c r="P238"/>
  <c r="M238"/>
  <c r="E195"/>
  <c r="P195"/>
  <c r="H195"/>
  <c r="I195"/>
  <c r="M195"/>
  <c r="L195"/>
  <c r="F195"/>
  <c r="O195"/>
  <c r="J195"/>
  <c r="N195"/>
  <c r="G195"/>
  <c r="K195"/>
  <c r="E173"/>
  <c r="M173"/>
  <c r="F173"/>
  <c r="O173"/>
  <c r="L173"/>
  <c r="J173"/>
  <c r="G173"/>
  <c r="P173"/>
  <c r="K173"/>
  <c r="I173"/>
  <c r="H173"/>
  <c r="N173"/>
  <c r="L161"/>
  <c r="K161"/>
  <c r="N161"/>
  <c r="H161"/>
  <c r="G161"/>
  <c r="F161"/>
  <c r="J161"/>
  <c r="I161"/>
  <c r="O161"/>
  <c r="P161"/>
  <c r="E161"/>
  <c r="M161"/>
  <c r="I148"/>
  <c r="M148"/>
  <c r="E148"/>
  <c r="F148"/>
  <c r="N148"/>
  <c r="P148"/>
  <c r="O148"/>
  <c r="G148"/>
  <c r="L148"/>
  <c r="K148"/>
  <c r="J148"/>
  <c r="H148"/>
  <c r="E134"/>
  <c r="F134"/>
  <c r="I134"/>
  <c r="N134"/>
  <c r="L134"/>
  <c r="M134"/>
  <c r="J134"/>
  <c r="P134"/>
  <c r="O134"/>
  <c r="K134"/>
  <c r="H134"/>
  <c r="G134"/>
  <c r="E91"/>
  <c r="Q90"/>
  <c r="J91"/>
  <c r="F91"/>
  <c r="K91"/>
  <c r="H91"/>
  <c r="G91"/>
  <c r="O91"/>
  <c r="M91"/>
  <c r="P91"/>
  <c r="N91"/>
  <c r="L91"/>
  <c r="I91"/>
  <c r="N57"/>
  <c r="K57"/>
  <c r="P57"/>
  <c r="J57"/>
  <c r="G57"/>
  <c r="M57"/>
  <c r="I57"/>
  <c r="H57"/>
  <c r="O57"/>
  <c r="E57"/>
  <c r="L57"/>
  <c r="F57"/>
  <c r="G24"/>
  <c r="F24"/>
  <c r="P24"/>
  <c r="M24"/>
  <c r="J24"/>
  <c r="I24"/>
  <c r="O24"/>
  <c r="E24"/>
  <c r="H24"/>
  <c r="N24"/>
  <c r="K24"/>
  <c r="L24"/>
  <c r="J94"/>
  <c r="I94"/>
  <c r="K94"/>
  <c r="P94"/>
  <c r="O94"/>
  <c r="G94"/>
  <c r="L94"/>
  <c r="H94"/>
  <c r="N94"/>
  <c r="M94"/>
  <c r="E94"/>
  <c r="F94"/>
  <c r="F175"/>
  <c r="L175"/>
  <c r="G175"/>
  <c r="J175"/>
  <c r="P175"/>
  <c r="Q174"/>
  <c r="I175"/>
  <c r="E175"/>
  <c r="H175"/>
  <c r="M175"/>
  <c r="N175"/>
  <c r="K175"/>
  <c r="O175"/>
  <c r="E75"/>
  <c r="I75"/>
  <c r="L75"/>
  <c r="H75"/>
  <c r="N75"/>
  <c r="K75"/>
  <c r="M75"/>
  <c r="P75"/>
  <c r="O75"/>
  <c r="F75"/>
  <c r="G75"/>
  <c r="J75"/>
  <c r="Q25"/>
  <c r="E26"/>
  <c r="I26"/>
  <c r="M26"/>
  <c r="L26"/>
  <c r="K26"/>
  <c r="N26"/>
  <c r="O26"/>
  <c r="F26"/>
  <c r="H26"/>
  <c r="J26"/>
  <c r="P26"/>
  <c r="G26"/>
  <c r="I194"/>
  <c r="O194"/>
  <c r="F194"/>
  <c r="N194"/>
  <c r="G194"/>
  <c r="J194"/>
  <c r="P194"/>
  <c r="K194"/>
  <c r="M194"/>
  <c r="H194"/>
  <c r="Q193"/>
  <c r="L194"/>
  <c r="E194"/>
  <c r="Q58"/>
  <c r="Q42"/>
  <c r="Q153"/>
  <c r="Q273"/>
  <c r="Q149"/>
  <c r="F475" i="1"/>
  <c r="C462"/>
  <c r="G35" i="2" l="1"/>
  <c r="E35"/>
  <c r="J35"/>
  <c r="F35"/>
  <c r="O35"/>
  <c r="Q31"/>
  <c r="O31" s="1"/>
  <c r="H35"/>
  <c r="P35"/>
  <c r="K35"/>
  <c r="M35"/>
  <c r="I35"/>
  <c r="L35"/>
  <c r="H180"/>
  <c r="L180"/>
  <c r="E252"/>
  <c r="G136"/>
  <c r="O252"/>
  <c r="N136"/>
  <c r="K252"/>
  <c r="J252"/>
  <c r="L252"/>
  <c r="E136"/>
  <c r="M252"/>
  <c r="H252"/>
  <c r="P252"/>
  <c r="I252"/>
  <c r="N252"/>
  <c r="G252"/>
  <c r="L136"/>
  <c r="O136"/>
  <c r="M136"/>
  <c r="I136"/>
  <c r="K136"/>
  <c r="P136"/>
  <c r="L186"/>
  <c r="J136"/>
  <c r="H136"/>
  <c r="H101"/>
  <c r="L114"/>
  <c r="F180"/>
  <c r="H114"/>
  <c r="F135"/>
  <c r="I180"/>
  <c r="P186"/>
  <c r="N186"/>
  <c r="K186"/>
  <c r="G114"/>
  <c r="P114"/>
  <c r="E186"/>
  <c r="M186"/>
  <c r="O186"/>
  <c r="K77"/>
  <c r="F186"/>
  <c r="H186"/>
  <c r="F101"/>
  <c r="N114"/>
  <c r="O114"/>
  <c r="J186"/>
  <c r="G186"/>
  <c r="O101"/>
  <c r="E135"/>
  <c r="E114"/>
  <c r="I114"/>
  <c r="K114"/>
  <c r="N135"/>
  <c r="F114"/>
  <c r="J114"/>
  <c r="N180"/>
  <c r="K180"/>
  <c r="E101"/>
  <c r="M135"/>
  <c r="J135"/>
  <c r="G101"/>
  <c r="K101"/>
  <c r="M101"/>
  <c r="O135"/>
  <c r="H135"/>
  <c r="L135"/>
  <c r="J180"/>
  <c r="G180"/>
  <c r="O180"/>
  <c r="N101"/>
  <c r="L101"/>
  <c r="I135"/>
  <c r="Q133"/>
  <c r="P133" s="1"/>
  <c r="J101"/>
  <c r="P101"/>
  <c r="P135"/>
  <c r="G135"/>
  <c r="M180"/>
  <c r="E180"/>
  <c r="O77"/>
  <c r="G77"/>
  <c r="P77"/>
  <c r="N77"/>
  <c r="L77"/>
  <c r="E77"/>
  <c r="H77"/>
  <c r="J77"/>
  <c r="M77"/>
  <c r="I77"/>
  <c r="D475" i="1"/>
  <c r="E153" i="2"/>
  <c r="H153"/>
  <c r="F153"/>
  <c r="L153"/>
  <c r="P153"/>
  <c r="N153"/>
  <c r="Q152"/>
  <c r="O153"/>
  <c r="K153"/>
  <c r="I153"/>
  <c r="J153"/>
  <c r="M153"/>
  <c r="G153"/>
  <c r="P174"/>
  <c r="K174"/>
  <c r="F174"/>
  <c r="E174"/>
  <c r="H174"/>
  <c r="M174"/>
  <c r="L174"/>
  <c r="G174"/>
  <c r="J174"/>
  <c r="O174"/>
  <c r="N174"/>
  <c r="I174"/>
  <c r="P237"/>
  <c r="N237"/>
  <c r="L237"/>
  <c r="G237"/>
  <c r="H237"/>
  <c r="M237"/>
  <c r="J237"/>
  <c r="I237"/>
  <c r="E237"/>
  <c r="O237"/>
  <c r="F237"/>
  <c r="K237"/>
  <c r="M126"/>
  <c r="L126"/>
  <c r="G126"/>
  <c r="K126"/>
  <c r="E126"/>
  <c r="F126"/>
  <c r="I126"/>
  <c r="H126"/>
  <c r="O126"/>
  <c r="P126"/>
  <c r="N126"/>
  <c r="J126"/>
  <c r="J130"/>
  <c r="F130"/>
  <c r="E130"/>
  <c r="I130"/>
  <c r="O130"/>
  <c r="K130"/>
  <c r="P130"/>
  <c r="M130"/>
  <c r="G130"/>
  <c r="H130"/>
  <c r="L130"/>
  <c r="N130"/>
  <c r="P120"/>
  <c r="N120"/>
  <c r="O120"/>
  <c r="E120"/>
  <c r="H120"/>
  <c r="M120"/>
  <c r="L120"/>
  <c r="F120"/>
  <c r="K120"/>
  <c r="J120"/>
  <c r="I120"/>
  <c r="G120"/>
  <c r="P159"/>
  <c r="K159"/>
  <c r="N159"/>
  <c r="E159"/>
  <c r="G159"/>
  <c r="I159"/>
  <c r="F159"/>
  <c r="M159"/>
  <c r="L159"/>
  <c r="O159"/>
  <c r="J159"/>
  <c r="H159"/>
  <c r="E190"/>
  <c r="I190"/>
  <c r="O190"/>
  <c r="N190"/>
  <c r="L190"/>
  <c r="F190"/>
  <c r="G190"/>
  <c r="J190"/>
  <c r="K190"/>
  <c r="Q189"/>
  <c r="P190"/>
  <c r="H190"/>
  <c r="M190"/>
  <c r="K267"/>
  <c r="F267"/>
  <c r="P267"/>
  <c r="J267"/>
  <c r="I267"/>
  <c r="G267"/>
  <c r="L267"/>
  <c r="E267"/>
  <c r="O267"/>
  <c r="M267"/>
  <c r="N267"/>
  <c r="H267"/>
  <c r="O156"/>
  <c r="J156"/>
  <c r="I156"/>
  <c r="H156"/>
  <c r="G156"/>
  <c r="E156"/>
  <c r="K156"/>
  <c r="F156"/>
  <c r="M156"/>
  <c r="N156"/>
  <c r="L156"/>
  <c r="P156"/>
  <c r="P49"/>
  <c r="I49"/>
  <c r="G49"/>
  <c r="O49"/>
  <c r="M49"/>
  <c r="J49"/>
  <c r="L49"/>
  <c r="E49"/>
  <c r="N49"/>
  <c r="F49"/>
  <c r="H49"/>
  <c r="K49"/>
  <c r="O242"/>
  <c r="F242"/>
  <c r="I242"/>
  <c r="N242"/>
  <c r="E242"/>
  <c r="P242"/>
  <c r="K242"/>
  <c r="M242"/>
  <c r="H242"/>
  <c r="J242"/>
  <c r="L242"/>
  <c r="G242"/>
  <c r="M73"/>
  <c r="F73"/>
  <c r="G73"/>
  <c r="N73"/>
  <c r="E73"/>
  <c r="P73"/>
  <c r="I73"/>
  <c r="J73"/>
  <c r="H73"/>
  <c r="O73"/>
  <c r="L73"/>
  <c r="K73"/>
  <c r="P168"/>
  <c r="K168"/>
  <c r="M168"/>
  <c r="F168"/>
  <c r="N168"/>
  <c r="L168"/>
  <c r="G168"/>
  <c r="E168"/>
  <c r="O168"/>
  <c r="I168"/>
  <c r="H168"/>
  <c r="J168"/>
  <c r="E183"/>
  <c r="P183"/>
  <c r="N183"/>
  <c r="M183"/>
  <c r="K183"/>
  <c r="O183"/>
  <c r="J183"/>
  <c r="F183"/>
  <c r="I183"/>
  <c r="G183"/>
  <c r="L183"/>
  <c r="H183"/>
  <c r="K209"/>
  <c r="F209"/>
  <c r="J209"/>
  <c r="P209"/>
  <c r="O209"/>
  <c r="I209"/>
  <c r="M209"/>
  <c r="E209"/>
  <c r="H209"/>
  <c r="N209"/>
  <c r="L209"/>
  <c r="G209"/>
  <c r="E171"/>
  <c r="K171"/>
  <c r="N171"/>
  <c r="H171"/>
  <c r="P171"/>
  <c r="I171"/>
  <c r="L171"/>
  <c r="G171"/>
  <c r="J171"/>
  <c r="O171"/>
  <c r="F171"/>
  <c r="M171"/>
  <c r="N117"/>
  <c r="E117"/>
  <c r="O117"/>
  <c r="P117"/>
  <c r="H117"/>
  <c r="K117"/>
  <c r="M117"/>
  <c r="F117"/>
  <c r="L117"/>
  <c r="J117"/>
  <c r="I117"/>
  <c r="G117"/>
  <c r="I47"/>
  <c r="H47"/>
  <c r="J47"/>
  <c r="P47"/>
  <c r="O47"/>
  <c r="F47"/>
  <c r="G47"/>
  <c r="N47"/>
  <c r="M47"/>
  <c r="E47"/>
  <c r="K47"/>
  <c r="L47"/>
  <c r="Q113"/>
  <c r="E25"/>
  <c r="H25"/>
  <c r="F25"/>
  <c r="L25"/>
  <c r="O25"/>
  <c r="M25"/>
  <c r="I25"/>
  <c r="K25"/>
  <c r="J25"/>
  <c r="N25"/>
  <c r="G25"/>
  <c r="P25"/>
  <c r="M107"/>
  <c r="L107"/>
  <c r="F107"/>
  <c r="P107"/>
  <c r="O107"/>
  <c r="K107"/>
  <c r="I107"/>
  <c r="H107"/>
  <c r="J107"/>
  <c r="N107"/>
  <c r="E107"/>
  <c r="G107"/>
  <c r="N208"/>
  <c r="H208"/>
  <c r="L208"/>
  <c r="O208"/>
  <c r="J208"/>
  <c r="M208"/>
  <c r="F208"/>
  <c r="G208"/>
  <c r="K208"/>
  <c r="P208"/>
  <c r="I208"/>
  <c r="E208"/>
  <c r="Q206"/>
  <c r="H143"/>
  <c r="L143"/>
  <c r="M143"/>
  <c r="E143"/>
  <c r="P143"/>
  <c r="I143"/>
  <c r="F143"/>
  <c r="K143"/>
  <c r="O143"/>
  <c r="G143"/>
  <c r="N143"/>
  <c r="J143"/>
  <c r="E214"/>
  <c r="P214"/>
  <c r="L214"/>
  <c r="M214"/>
  <c r="F214"/>
  <c r="I214"/>
  <c r="O214"/>
  <c r="H214"/>
  <c r="J214"/>
  <c r="G214"/>
  <c r="K214"/>
  <c r="N214"/>
  <c r="Q212"/>
  <c r="G251"/>
  <c r="Q250"/>
  <c r="J251"/>
  <c r="M251"/>
  <c r="E251"/>
  <c r="O251"/>
  <c r="P251"/>
  <c r="H251"/>
  <c r="F251"/>
  <c r="K251"/>
  <c r="I251"/>
  <c r="L251"/>
  <c r="N251"/>
  <c r="N162"/>
  <c r="H162"/>
  <c r="L162"/>
  <c r="G162"/>
  <c r="M162"/>
  <c r="F162"/>
  <c r="O162"/>
  <c r="J162"/>
  <c r="I162"/>
  <c r="P162"/>
  <c r="K162"/>
  <c r="E162"/>
  <c r="I273"/>
  <c r="H273"/>
  <c r="F273"/>
  <c r="M273"/>
  <c r="O273"/>
  <c r="E273"/>
  <c r="J273"/>
  <c r="K273"/>
  <c r="L273"/>
  <c r="G273"/>
  <c r="P273"/>
  <c r="N273"/>
  <c r="E14"/>
  <c r="F14"/>
  <c r="P14"/>
  <c r="L14"/>
  <c r="O14"/>
  <c r="J14"/>
  <c r="I14"/>
  <c r="M14"/>
  <c r="Q13"/>
  <c r="N14"/>
  <c r="H14"/>
  <c r="G14"/>
  <c r="K14"/>
  <c r="K199"/>
  <c r="E199"/>
  <c r="M199"/>
  <c r="N199"/>
  <c r="G199"/>
  <c r="J199"/>
  <c r="O199"/>
  <c r="F199"/>
  <c r="H199"/>
  <c r="L199"/>
  <c r="P199"/>
  <c r="I199"/>
  <c r="O110"/>
  <c r="J110"/>
  <c r="H110"/>
  <c r="L110"/>
  <c r="I110"/>
  <c r="K110"/>
  <c r="F110"/>
  <c r="M110"/>
  <c r="N110"/>
  <c r="E110"/>
  <c r="G110"/>
  <c r="P110"/>
  <c r="M149"/>
  <c r="G149"/>
  <c r="F149"/>
  <c r="N149"/>
  <c r="E149"/>
  <c r="P149"/>
  <c r="O149"/>
  <c r="K149"/>
  <c r="I149"/>
  <c r="H149"/>
  <c r="J149"/>
  <c r="L149"/>
  <c r="P58"/>
  <c r="I58"/>
  <c r="O58"/>
  <c r="M58"/>
  <c r="K58"/>
  <c r="H58"/>
  <c r="J58"/>
  <c r="L58"/>
  <c r="E58"/>
  <c r="G58"/>
  <c r="F58"/>
  <c r="N58"/>
  <c r="N196"/>
  <c r="L196"/>
  <c r="J196"/>
  <c r="F196"/>
  <c r="G196"/>
  <c r="H196"/>
  <c r="E196"/>
  <c r="P196"/>
  <c r="I196"/>
  <c r="K196"/>
  <c r="M196"/>
  <c r="O196"/>
  <c r="E42"/>
  <c r="K42"/>
  <c r="L42"/>
  <c r="O42"/>
  <c r="H42"/>
  <c r="G42"/>
  <c r="F42"/>
  <c r="J42"/>
  <c r="I42"/>
  <c r="P42"/>
  <c r="M42"/>
  <c r="N42"/>
  <c r="L193"/>
  <c r="G193"/>
  <c r="F193"/>
  <c r="K193"/>
  <c r="N193"/>
  <c r="J193"/>
  <c r="H193"/>
  <c r="M193"/>
  <c r="P193"/>
  <c r="I193"/>
  <c r="O193"/>
  <c r="E193"/>
  <c r="G90"/>
  <c r="M90"/>
  <c r="F90"/>
  <c r="H90"/>
  <c r="O90"/>
  <c r="I90"/>
  <c r="P90"/>
  <c r="E90"/>
  <c r="J90"/>
  <c r="K90"/>
  <c r="N90"/>
  <c r="L90"/>
  <c r="M104"/>
  <c r="J104"/>
  <c r="F104"/>
  <c r="K104"/>
  <c r="G104"/>
  <c r="I104"/>
  <c r="P104"/>
  <c r="N104"/>
  <c r="H104"/>
  <c r="L104"/>
  <c r="O104"/>
  <c r="E104"/>
  <c r="M85"/>
  <c r="G85"/>
  <c r="F85"/>
  <c r="H85"/>
  <c r="J85"/>
  <c r="L85"/>
  <c r="N85"/>
  <c r="P85"/>
  <c r="I85"/>
  <c r="K85"/>
  <c r="O85"/>
  <c r="E85"/>
  <c r="L232"/>
  <c r="G232"/>
  <c r="E232"/>
  <c r="K232"/>
  <c r="O232"/>
  <c r="M232"/>
  <c r="H232"/>
  <c r="I232"/>
  <c r="J232"/>
  <c r="P232"/>
  <c r="F232"/>
  <c r="N232"/>
  <c r="M146"/>
  <c r="L146"/>
  <c r="F146"/>
  <c r="K146"/>
  <c r="E146"/>
  <c r="O146"/>
  <c r="I146"/>
  <c r="H146"/>
  <c r="N146"/>
  <c r="P146"/>
  <c r="G146"/>
  <c r="J146"/>
  <c r="G123"/>
  <c r="M123"/>
  <c r="E123"/>
  <c r="P123"/>
  <c r="L123"/>
  <c r="F123"/>
  <c r="O123"/>
  <c r="I123"/>
  <c r="K123"/>
  <c r="J123"/>
  <c r="N123"/>
  <c r="H123"/>
  <c r="E177"/>
  <c r="O177"/>
  <c r="J177"/>
  <c r="M177"/>
  <c r="F177"/>
  <c r="H177"/>
  <c r="N177"/>
  <c r="K177"/>
  <c r="G177"/>
  <c r="L177"/>
  <c r="P177"/>
  <c r="I177"/>
  <c r="Q139"/>
  <c r="K140"/>
  <c r="J140"/>
  <c r="H140"/>
  <c r="I140"/>
  <c r="F140"/>
  <c r="M140"/>
  <c r="P140"/>
  <c r="N140"/>
  <c r="O140"/>
  <c r="E140"/>
  <c r="G140"/>
  <c r="L140"/>
  <c r="L53"/>
  <c r="E53"/>
  <c r="N53"/>
  <c r="I53"/>
  <c r="M53"/>
  <c r="O53"/>
  <c r="H53"/>
  <c r="Q52"/>
  <c r="F53"/>
  <c r="P53"/>
  <c r="G53"/>
  <c r="J53"/>
  <c r="K53"/>
  <c r="I202"/>
  <c r="J202"/>
  <c r="O202"/>
  <c r="L202"/>
  <c r="M202"/>
  <c r="F202"/>
  <c r="P202"/>
  <c r="H202"/>
  <c r="E202"/>
  <c r="K202"/>
  <c r="G202"/>
  <c r="N202"/>
  <c r="O95"/>
  <c r="L95"/>
  <c r="J95"/>
  <c r="M95"/>
  <c r="P95"/>
  <c r="N95"/>
  <c r="K95"/>
  <c r="H95"/>
  <c r="E95"/>
  <c r="F95"/>
  <c r="Q97"/>
  <c r="G95"/>
  <c r="I95"/>
  <c r="E20"/>
  <c r="H20"/>
  <c r="K20"/>
  <c r="L20"/>
  <c r="I20"/>
  <c r="P20"/>
  <c r="O20"/>
  <c r="J20"/>
  <c r="M20"/>
  <c r="G20"/>
  <c r="N20"/>
  <c r="F20"/>
  <c r="Q99"/>
  <c r="P31" l="1"/>
  <c r="M31"/>
  <c r="G31"/>
  <c r="I31"/>
  <c r="F31"/>
  <c r="Q30"/>
  <c r="L30" s="1"/>
  <c r="L31"/>
  <c r="K31"/>
  <c r="H31"/>
  <c r="N31"/>
  <c r="J31"/>
  <c r="E31"/>
  <c r="K133"/>
  <c r="N133"/>
  <c r="F133"/>
  <c r="Q129"/>
  <c r="G129" s="1"/>
  <c r="M133"/>
  <c r="E133"/>
  <c r="G133"/>
  <c r="H133"/>
  <c r="L133"/>
  <c r="O133"/>
  <c r="J133"/>
  <c r="I133"/>
  <c r="M99"/>
  <c r="L99"/>
  <c r="F99"/>
  <c r="P99"/>
  <c r="E99"/>
  <c r="J99"/>
  <c r="G99"/>
  <c r="N99"/>
  <c r="K99"/>
  <c r="O99"/>
  <c r="H99"/>
  <c r="I99"/>
  <c r="H206"/>
  <c r="I206"/>
  <c r="Q205"/>
  <c r="L206"/>
  <c r="M206"/>
  <c r="K206"/>
  <c r="O206"/>
  <c r="N206"/>
  <c r="J206"/>
  <c r="G206"/>
  <c r="P206"/>
  <c r="F206"/>
  <c r="E206"/>
  <c r="J97"/>
  <c r="K97"/>
  <c r="E97"/>
  <c r="F97"/>
  <c r="M97"/>
  <c r="H97"/>
  <c r="G97"/>
  <c r="P97"/>
  <c r="N97"/>
  <c r="I97"/>
  <c r="O97"/>
  <c r="L97"/>
  <c r="O52"/>
  <c r="F52"/>
  <c r="H52"/>
  <c r="N52"/>
  <c r="J52"/>
  <c r="L52"/>
  <c r="E52"/>
  <c r="G52"/>
  <c r="P52"/>
  <c r="I52"/>
  <c r="M52"/>
  <c r="K52"/>
  <c r="P212"/>
  <c r="I212"/>
  <c r="F212"/>
  <c r="N212"/>
  <c r="K212"/>
  <c r="G212"/>
  <c r="H212"/>
  <c r="E212"/>
  <c r="L212"/>
  <c r="J212"/>
  <c r="O212"/>
  <c r="M212"/>
  <c r="O152"/>
  <c r="N152"/>
  <c r="L152"/>
  <c r="P152"/>
  <c r="G152"/>
  <c r="F152"/>
  <c r="E152"/>
  <c r="K152"/>
  <c r="I152"/>
  <c r="H152"/>
  <c r="M152"/>
  <c r="J152"/>
  <c r="E13"/>
  <c r="I13"/>
  <c r="N13"/>
  <c r="K13"/>
  <c r="O13"/>
  <c r="F13"/>
  <c r="M13"/>
  <c r="G13"/>
  <c r="J13"/>
  <c r="H13"/>
  <c r="P13"/>
  <c r="L13"/>
  <c r="N250"/>
  <c r="I250"/>
  <c r="F250"/>
  <c r="O250"/>
  <c r="E250"/>
  <c r="L250"/>
  <c r="H250"/>
  <c r="M250"/>
  <c r="J250"/>
  <c r="P250"/>
  <c r="K250"/>
  <c r="G250"/>
  <c r="Q258"/>
  <c r="F113"/>
  <c r="K113"/>
  <c r="E113"/>
  <c r="J113"/>
  <c r="O113"/>
  <c r="I113"/>
  <c r="H113"/>
  <c r="N113"/>
  <c r="M113"/>
  <c r="L113"/>
  <c r="P113"/>
  <c r="G113"/>
  <c r="E139"/>
  <c r="J139"/>
  <c r="M139"/>
  <c r="P139"/>
  <c r="N139"/>
  <c r="G139"/>
  <c r="K139"/>
  <c r="O139"/>
  <c r="I139"/>
  <c r="H139"/>
  <c r="L139"/>
  <c r="F139"/>
  <c r="E189"/>
  <c r="I189"/>
  <c r="M189"/>
  <c r="K189"/>
  <c r="O189"/>
  <c r="F189"/>
  <c r="L189"/>
  <c r="H189"/>
  <c r="J189"/>
  <c r="G189"/>
  <c r="N189"/>
  <c r="P189"/>
  <c r="Q225" l="1"/>
  <c r="E30"/>
  <c r="N30"/>
  <c r="K30"/>
  <c r="O30"/>
  <c r="F30"/>
  <c r="J30"/>
  <c r="G30"/>
  <c r="M30"/>
  <c r="H30"/>
  <c r="Q88"/>
  <c r="P88" s="1"/>
  <c r="I30"/>
  <c r="P30"/>
  <c r="M129"/>
  <c r="J129"/>
  <c r="P129"/>
  <c r="N129"/>
  <c r="E129"/>
  <c r="M225"/>
  <c r="K129"/>
  <c r="O129"/>
  <c r="L129"/>
  <c r="F129"/>
  <c r="I129"/>
  <c r="H129"/>
  <c r="P258"/>
  <c r="N258"/>
  <c r="I258"/>
  <c r="G258"/>
  <c r="Q268"/>
  <c r="K258"/>
  <c r="F258"/>
  <c r="E258"/>
  <c r="O258"/>
  <c r="J258"/>
  <c r="H258"/>
  <c r="M258"/>
  <c r="L258"/>
  <c r="N205"/>
  <c r="P205"/>
  <c r="O205"/>
  <c r="E205"/>
  <c r="I205"/>
  <c r="H205"/>
  <c r="M205"/>
  <c r="F205"/>
  <c r="L205"/>
  <c r="G205"/>
  <c r="K205"/>
  <c r="J205"/>
  <c r="K88" l="1"/>
  <c r="J88"/>
  <c r="H88"/>
  <c r="O88"/>
  <c r="F88"/>
  <c r="N88"/>
  <c r="L88"/>
  <c r="I88"/>
  <c r="E88"/>
  <c r="G88"/>
  <c r="M88"/>
  <c r="E225"/>
  <c r="K225"/>
  <c r="L225"/>
  <c r="I225"/>
  <c r="J225"/>
  <c r="G225"/>
  <c r="N225"/>
  <c r="F225"/>
  <c r="P225"/>
  <c r="Q233"/>
  <c r="L233" s="1"/>
  <c r="H225"/>
  <c r="O225"/>
  <c r="N268"/>
  <c r="H268"/>
  <c r="L268"/>
  <c r="G268"/>
  <c r="I268"/>
  <c r="F268"/>
  <c r="O268"/>
  <c r="M268"/>
  <c r="P268"/>
  <c r="K268"/>
  <c r="E268"/>
  <c r="J268"/>
  <c r="Q278"/>
  <c r="N233" l="1"/>
  <c r="H233"/>
  <c r="M233"/>
  <c r="P233"/>
  <c r="O233"/>
  <c r="K233"/>
  <c r="E233"/>
  <c r="J233"/>
  <c r="G233"/>
  <c r="I233"/>
  <c r="Q279"/>
  <c r="F233"/>
  <c r="M278"/>
  <c r="L278"/>
  <c r="L279" s="1"/>
  <c r="K278"/>
  <c r="P278"/>
  <c r="F278"/>
  <c r="O278"/>
  <c r="E278"/>
  <c r="N278"/>
  <c r="J278"/>
  <c r="I278"/>
  <c r="H278"/>
  <c r="G278"/>
  <c r="E279" l="1"/>
  <c r="G279"/>
  <c r="N279"/>
  <c r="J279"/>
  <c r="I279"/>
  <c r="P279"/>
  <c r="H279"/>
  <c r="K279"/>
  <c r="M279"/>
  <c r="O279"/>
  <c r="F279"/>
  <c r="AE185" i="17" l="1"/>
  <c r="AG135"/>
</calcChain>
</file>

<file path=xl/comments1.xml><?xml version="1.0" encoding="utf-8"?>
<comments xmlns="http://schemas.openxmlformats.org/spreadsheetml/2006/main">
  <authors>
    <author>Intel DH55PJ</author>
  </authors>
  <commentList>
    <comment ref="V847" authorId="0">
      <text>
        <r>
          <rPr>
            <b/>
            <sz val="9"/>
            <color indexed="81"/>
            <rFont val="Tahoma"/>
            <family val="2"/>
          </rPr>
          <t xml:space="preserve">PRMF LGU equity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181" authorId="0">
      <text>
        <r>
          <rPr>
            <b/>
            <sz val="9"/>
            <color indexed="81"/>
            <rFont val="Tahoma"/>
            <family val="2"/>
          </rPr>
          <t xml:space="preserve">LHSD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229" authorId="0">
      <text>
        <r>
          <rPr>
            <b/>
            <sz val="9"/>
            <color indexed="81"/>
            <rFont val="Tahoma"/>
            <family val="2"/>
          </rPr>
          <t>CheckBook
tf-proper</t>
        </r>
      </text>
    </comment>
    <comment ref="V1237" authorId="0">
      <text>
        <r>
          <rPr>
            <b/>
            <sz val="9"/>
            <color indexed="81"/>
            <rFont val="Tahoma"/>
            <family val="2"/>
          </rPr>
          <t>bid docs</t>
        </r>
      </text>
    </comment>
  </commentList>
</comments>
</file>

<file path=xl/sharedStrings.xml><?xml version="1.0" encoding="utf-8"?>
<sst xmlns="http://schemas.openxmlformats.org/spreadsheetml/2006/main" count="13569" uniqueCount="2349">
  <si>
    <t>Republic of the Philippines</t>
  </si>
  <si>
    <t>PROVINCE OF AGUSAN DEL SUR</t>
  </si>
  <si>
    <t>Gov. Democrito O. Plaza Government Center, Prosperidad</t>
  </si>
  <si>
    <t>TRUST  FUND</t>
  </si>
  <si>
    <t xml:space="preserve"> TRIAL BALANCE</t>
  </si>
  <si>
    <t>As of  January  31, 2011</t>
  </si>
  <si>
    <t>Account Title</t>
  </si>
  <si>
    <t>Account Code</t>
  </si>
  <si>
    <t>Debit</t>
  </si>
  <si>
    <t>Credit</t>
  </si>
  <si>
    <t>Check Disbursement</t>
  </si>
  <si>
    <t>General Journal</t>
  </si>
  <si>
    <t xml:space="preserve">Cash in Vault </t>
  </si>
  <si>
    <t>Cash - Collecting Officers</t>
  </si>
  <si>
    <t>102</t>
  </si>
  <si>
    <t>Cash Disbursing Officers</t>
  </si>
  <si>
    <t>103</t>
  </si>
  <si>
    <t>Petty Cash Fund</t>
  </si>
  <si>
    <t>104</t>
  </si>
  <si>
    <t>Payroll Fund</t>
  </si>
  <si>
    <t>106</t>
  </si>
  <si>
    <t xml:space="preserve">Cash - Bangko Sentral ng Pilipinas </t>
  </si>
  <si>
    <t xml:space="preserve">Cash in Bank - Local Currency, Current Account </t>
  </si>
  <si>
    <t xml:space="preserve">Cash in Bank - Local Currency, SavingsAccount </t>
  </si>
  <si>
    <t xml:space="preserve">Cash in Bank - Local Currency, Time Deposits </t>
  </si>
  <si>
    <t xml:space="preserve">Cash in Bank - Foreign Currency, Current Account </t>
  </si>
  <si>
    <t xml:space="preserve">Cash in Bank - Foreign Currency, Savings Account </t>
  </si>
  <si>
    <t>116</t>
  </si>
  <si>
    <t xml:space="preserve">Cash in Bank - Foreign Currency, Time Deposits </t>
  </si>
  <si>
    <t>117</t>
  </si>
  <si>
    <t xml:space="preserve">Accounts Receivable </t>
  </si>
  <si>
    <t>121</t>
  </si>
  <si>
    <t xml:space="preserve">   Allowance for Doubtful Accounts </t>
  </si>
  <si>
    <t>301</t>
  </si>
  <si>
    <t xml:space="preserve">Notes Receivable </t>
  </si>
  <si>
    <t>122</t>
  </si>
  <si>
    <t>Due from Officers and Employees</t>
  </si>
  <si>
    <t>123</t>
  </si>
  <si>
    <t xml:space="preserve">Loans Receivable - GOCCs </t>
  </si>
  <si>
    <t>124</t>
  </si>
  <si>
    <t xml:space="preserve">Loans Receivable - LGUs </t>
  </si>
  <si>
    <t>125</t>
  </si>
  <si>
    <t xml:space="preserve">Loans Receivable - Others </t>
  </si>
  <si>
    <t>126</t>
  </si>
  <si>
    <t xml:space="preserve">Real Property Tax Receivable </t>
  </si>
  <si>
    <t>127</t>
  </si>
  <si>
    <t xml:space="preserve">Special Education Tax Receivable </t>
  </si>
  <si>
    <t>128</t>
  </si>
  <si>
    <t xml:space="preserve">Interests Receivable </t>
  </si>
  <si>
    <t>129</t>
  </si>
  <si>
    <t xml:space="preserve">Due from NGAs </t>
  </si>
  <si>
    <t>136</t>
  </si>
  <si>
    <t xml:space="preserve">Due from GOCCs </t>
  </si>
  <si>
    <t>137</t>
  </si>
  <si>
    <t xml:space="preserve">Due from LGUs </t>
  </si>
  <si>
    <t xml:space="preserve">Due from NGOs/POs </t>
  </si>
  <si>
    <t>139</t>
  </si>
  <si>
    <t xml:space="preserve">Due from Other Funds </t>
  </si>
  <si>
    <t xml:space="preserve">Receivables - Disallowances/Charges </t>
  </si>
  <si>
    <t>146</t>
  </si>
  <si>
    <t>Advances to Officers and Employees</t>
  </si>
  <si>
    <t>148</t>
  </si>
  <si>
    <t xml:space="preserve">Other Receivables </t>
  </si>
  <si>
    <t>149</t>
  </si>
  <si>
    <t xml:space="preserve">Raw Materials Inventory </t>
  </si>
  <si>
    <t>151</t>
  </si>
  <si>
    <t xml:space="preserve">Work-In-Process Inventory </t>
  </si>
  <si>
    <t>152</t>
  </si>
  <si>
    <t xml:space="preserve">Finished Goods Inventory </t>
  </si>
  <si>
    <t>153</t>
  </si>
  <si>
    <t xml:space="preserve">Merchandise Inventory </t>
  </si>
  <si>
    <t>154</t>
  </si>
  <si>
    <t xml:space="preserve">Office Supplies Inventory </t>
  </si>
  <si>
    <t>155</t>
  </si>
  <si>
    <t xml:space="preserve">Accountable Forms Inventory </t>
  </si>
  <si>
    <t>156</t>
  </si>
  <si>
    <t xml:space="preserve">Animal/Zoological Supplies Inventory </t>
  </si>
  <si>
    <t>157</t>
  </si>
  <si>
    <t xml:space="preserve">Food Supplies Inventory </t>
  </si>
  <si>
    <t>158</t>
  </si>
  <si>
    <t xml:space="preserve">Drugs and Medicines Inventory </t>
  </si>
  <si>
    <t>159</t>
  </si>
  <si>
    <t xml:space="preserve">Medical, Dental and Laboratory Supplies Inventory </t>
  </si>
  <si>
    <t>160</t>
  </si>
  <si>
    <t xml:space="preserve">Gasoline, Oil and Lubricants Inventory </t>
  </si>
  <si>
    <t>161</t>
  </si>
  <si>
    <t xml:space="preserve">Agricultural Supplies Inventory </t>
  </si>
  <si>
    <t>162</t>
  </si>
  <si>
    <t xml:space="preserve">Textbooks and Instructional Materials Inventory </t>
  </si>
  <si>
    <t>163</t>
  </si>
  <si>
    <t xml:space="preserve">Military and Police Supplies Inventory </t>
  </si>
  <si>
    <t>164</t>
  </si>
  <si>
    <t xml:space="preserve">Other Supplies Inventory </t>
  </si>
  <si>
    <t xml:space="preserve">Confiscated/Abandoned/Seized Goods Inventory </t>
  </si>
  <si>
    <t xml:space="preserve">Spare Parts Inventory </t>
  </si>
  <si>
    <t xml:space="preserve">Construction Materials Inventory </t>
  </si>
  <si>
    <t>168</t>
  </si>
  <si>
    <t xml:space="preserve">Livestock Inventory </t>
  </si>
  <si>
    <t>169</t>
  </si>
  <si>
    <t xml:space="preserve">Crops and Fruits Inventory </t>
  </si>
  <si>
    <t>170</t>
  </si>
  <si>
    <t xml:space="preserve">Other Agricultural, Fishery and Forestry Products Inventory </t>
  </si>
  <si>
    <t>176</t>
  </si>
  <si>
    <t xml:space="preserve">Prepaid Rent </t>
  </si>
  <si>
    <t>177</t>
  </si>
  <si>
    <t>Prepaid Insurance</t>
  </si>
  <si>
    <t xml:space="preserve">Prepaid Interest </t>
  </si>
  <si>
    <t xml:space="preserve">Deposit on Letters of Credit </t>
  </si>
  <si>
    <t xml:space="preserve">Advances to Contractors </t>
  </si>
  <si>
    <t xml:space="preserve">Deferred Charges </t>
  </si>
  <si>
    <t xml:space="preserve">Other Prepaid Expenses </t>
  </si>
  <si>
    <t xml:space="preserve">Guaranty Deposits </t>
  </si>
  <si>
    <t>186</t>
  </si>
  <si>
    <t xml:space="preserve">Other Current Assets </t>
  </si>
  <si>
    <t>189</t>
  </si>
  <si>
    <t xml:space="preserve">Investments in Treasury Bills </t>
  </si>
  <si>
    <t>191</t>
  </si>
  <si>
    <t xml:space="preserve">Investments in Stocks </t>
  </si>
  <si>
    <t>192</t>
  </si>
  <si>
    <t xml:space="preserve">Investments in Bonds </t>
  </si>
  <si>
    <t>193</t>
  </si>
  <si>
    <t xml:space="preserve">Other Investments and Marketable Securities </t>
  </si>
  <si>
    <t>197</t>
  </si>
  <si>
    <t xml:space="preserve">Sinking Fund </t>
  </si>
  <si>
    <t>198</t>
  </si>
  <si>
    <t>Land</t>
  </si>
  <si>
    <t>Land Improvements</t>
  </si>
  <si>
    <t xml:space="preserve">   Accumulated Depreciation – Land Improvements</t>
  </si>
  <si>
    <t xml:space="preserve">Runways/Taxiways </t>
  </si>
  <si>
    <t xml:space="preserve">   Accumulated Depreciation - Runways/Taxiways </t>
  </si>
  <si>
    <t xml:space="preserve">Railways </t>
  </si>
  <si>
    <t xml:space="preserve">   Accumulated Depreciation - Railways </t>
  </si>
  <si>
    <t xml:space="preserve">Electrification, Power and Energy Structures </t>
  </si>
  <si>
    <t xml:space="preserve">   Accumulated Depreciation - Electrification, Power and Energy</t>
  </si>
  <si>
    <t xml:space="preserve">Office Buildings </t>
  </si>
  <si>
    <t>211</t>
  </si>
  <si>
    <t xml:space="preserve">   Accumulated Depreciation - Office Buildings </t>
  </si>
  <si>
    <t>311</t>
  </si>
  <si>
    <t xml:space="preserve">School Buildings </t>
  </si>
  <si>
    <t>212</t>
  </si>
  <si>
    <t xml:space="preserve">   Accumulated Depreciation - School Buildings </t>
  </si>
  <si>
    <t>312</t>
  </si>
  <si>
    <t xml:space="preserve">Hospitals and Health Centers  </t>
  </si>
  <si>
    <t>213</t>
  </si>
  <si>
    <t xml:space="preserve">   Accumulated Depreciation - Hospitals and Health Centers </t>
  </si>
  <si>
    <t>313</t>
  </si>
  <si>
    <t xml:space="preserve">Markets and Slaughterhouses  </t>
  </si>
  <si>
    <t>214</t>
  </si>
  <si>
    <t xml:space="preserve">   Accumulated Depreciation - Markets and Slaughterhouses </t>
  </si>
  <si>
    <t>314</t>
  </si>
  <si>
    <t xml:space="preserve">Other Structures </t>
  </si>
  <si>
    <t>215</t>
  </si>
  <si>
    <t xml:space="preserve">   Accumulated Depreciation - Other Structures</t>
  </si>
  <si>
    <t>315</t>
  </si>
  <si>
    <t xml:space="preserve">Leasehold Improvements, Land </t>
  </si>
  <si>
    <t>218</t>
  </si>
  <si>
    <t xml:space="preserve">   Accumulated Depreciation - Leasehold Improvements, Land </t>
  </si>
  <si>
    <t>318</t>
  </si>
  <si>
    <t xml:space="preserve">Leasehold Improvements, Buildings </t>
  </si>
  <si>
    <t>219</t>
  </si>
  <si>
    <t xml:space="preserve">   Accumulated Depreciation - Leasehold Improvements, Buildings </t>
  </si>
  <si>
    <t>319</t>
  </si>
  <si>
    <t xml:space="preserve">Other Leasehold Improvements </t>
  </si>
  <si>
    <t>220</t>
  </si>
  <si>
    <t xml:space="preserve">   Accumulated Depreciation - Other Leasehold Improvements </t>
  </si>
  <si>
    <t>320</t>
  </si>
  <si>
    <t xml:space="preserve">Office Equipment </t>
  </si>
  <si>
    <t>221</t>
  </si>
  <si>
    <t xml:space="preserve">   Accumulated Depreciation - Office Equipment </t>
  </si>
  <si>
    <t>321</t>
  </si>
  <si>
    <t xml:space="preserve">Furniture and Fixtures  </t>
  </si>
  <si>
    <t>222</t>
  </si>
  <si>
    <t xml:space="preserve">   Accumulated Depreciation - Furniture and Fixtures </t>
  </si>
  <si>
    <t>322</t>
  </si>
  <si>
    <t xml:space="preserve">IT Equipment and Software  </t>
  </si>
  <si>
    <t>223</t>
  </si>
  <si>
    <t xml:space="preserve">   Accumulated Depreciation - IT Equipment </t>
  </si>
  <si>
    <t>323</t>
  </si>
  <si>
    <t xml:space="preserve">Library Books </t>
  </si>
  <si>
    <t>224</t>
  </si>
  <si>
    <t xml:space="preserve">   Accumulated Depreciation - Library Books </t>
  </si>
  <si>
    <t>324</t>
  </si>
  <si>
    <t xml:space="preserve">Machineries </t>
  </si>
  <si>
    <t>226</t>
  </si>
  <si>
    <t xml:space="preserve">   Accumulated Depreciation - Machineries </t>
  </si>
  <si>
    <t>326</t>
  </si>
  <si>
    <t xml:space="preserve">Agricultural, Fishery and Forestry Equipment </t>
  </si>
  <si>
    <t>227</t>
  </si>
  <si>
    <t xml:space="preserve">   Accumulated Depreciation - Agricultural, Fishery and Forestry</t>
  </si>
  <si>
    <t>327</t>
  </si>
  <si>
    <t xml:space="preserve">Airport Equipment </t>
  </si>
  <si>
    <t>228</t>
  </si>
  <si>
    <t xml:space="preserve">   Accumulated Depreciation - Airport Equipment </t>
  </si>
  <si>
    <t>328</t>
  </si>
  <si>
    <t xml:space="preserve">Communication Equipment </t>
  </si>
  <si>
    <t>229</t>
  </si>
  <si>
    <t xml:space="preserve">   Accumulated Depreciation - Communication Equipt. </t>
  </si>
  <si>
    <t>329</t>
  </si>
  <si>
    <t xml:space="preserve">Construction and Heavy Equipment </t>
  </si>
  <si>
    <t>230</t>
  </si>
  <si>
    <t xml:space="preserve">   Accumulated Depreciation - Construction and Heavy Equipment</t>
  </si>
  <si>
    <t>330</t>
  </si>
  <si>
    <t xml:space="preserve">Firefighting Equipment and Accessories </t>
  </si>
  <si>
    <t>231</t>
  </si>
  <si>
    <t xml:space="preserve">   Accumulated Depreciation - Firefighting Equipment and Accessories </t>
  </si>
  <si>
    <t>331</t>
  </si>
  <si>
    <t xml:space="preserve">Hospital Equipment </t>
  </si>
  <si>
    <t>232</t>
  </si>
  <si>
    <t xml:space="preserve">   Accumulated Depreciation - Hospital Equipment</t>
  </si>
  <si>
    <t>332</t>
  </si>
  <si>
    <t xml:space="preserve">Medical, Dental and Laboratory Equipment </t>
  </si>
  <si>
    <t>233</t>
  </si>
  <si>
    <t xml:space="preserve">   Accumulated Depreciation - Medical, Dental and Laboratory Equipment </t>
  </si>
  <si>
    <t>333</t>
  </si>
  <si>
    <t xml:space="preserve">Military and Police Equipment </t>
  </si>
  <si>
    <t>234</t>
  </si>
  <si>
    <t xml:space="preserve">   Accumulated Depreciation - Military and Police Equipment </t>
  </si>
  <si>
    <t>334</t>
  </si>
  <si>
    <t xml:space="preserve">Sports Equipment </t>
  </si>
  <si>
    <t>235</t>
  </si>
  <si>
    <t xml:space="preserve">   Accumulated Depreciation - Sports Equipment </t>
  </si>
  <si>
    <t>335</t>
  </si>
  <si>
    <t xml:space="preserve">Technical and Scientific Equipment </t>
  </si>
  <si>
    <t>236</t>
  </si>
  <si>
    <t xml:space="preserve">   Accumulated Depreciation - Technical and Scientific Equipment </t>
  </si>
  <si>
    <t>336</t>
  </si>
  <si>
    <t xml:space="preserve">Other Machineries and Equipment </t>
  </si>
  <si>
    <t>240</t>
  </si>
  <si>
    <t xml:space="preserve">   Accumulated Depreciation - Other Mach. and Equipt.</t>
  </si>
  <si>
    <t>340</t>
  </si>
  <si>
    <t xml:space="preserve">Motor Vehicles </t>
  </si>
  <si>
    <t>241</t>
  </si>
  <si>
    <t xml:space="preserve">   Accumulated Depreciation - Motor Vehicles </t>
  </si>
  <si>
    <t>341</t>
  </si>
  <si>
    <t xml:space="preserve">Trains </t>
  </si>
  <si>
    <t>242</t>
  </si>
  <si>
    <t xml:space="preserve">   Accumulated Depreciation - Trains </t>
  </si>
  <si>
    <t>342</t>
  </si>
  <si>
    <t xml:space="preserve">Aircraft and Aircraft Ground Equipment  </t>
  </si>
  <si>
    <t>243</t>
  </si>
  <si>
    <t xml:space="preserve">   Accumulated Depreciation - Aircraft and Aircraft Ground Equipment </t>
  </si>
  <si>
    <t>343</t>
  </si>
  <si>
    <t xml:space="preserve">Watercrafts </t>
  </si>
  <si>
    <t>244</t>
  </si>
  <si>
    <t xml:space="preserve">   Accumulated Depreciation - Watercrafts </t>
  </si>
  <si>
    <t>344</t>
  </si>
  <si>
    <t xml:space="preserve">Other Transportation Equipment </t>
  </si>
  <si>
    <t>248</t>
  </si>
  <si>
    <t xml:space="preserve">   Accumulated Depreciation - Other Transportation Equipment </t>
  </si>
  <si>
    <t>348</t>
  </si>
  <si>
    <t xml:space="preserve">Other Property, Plant and Equipment </t>
  </si>
  <si>
    <t>250</t>
  </si>
  <si>
    <t xml:space="preserve">   Accumulated Depreciation - Other Property, Plant and Equipment </t>
  </si>
  <si>
    <t>350</t>
  </si>
  <si>
    <t xml:space="preserve">Roads, Highways and Bridges  </t>
  </si>
  <si>
    <t>251</t>
  </si>
  <si>
    <t xml:space="preserve">Parks, Plazas and Monuments </t>
  </si>
  <si>
    <t>252</t>
  </si>
  <si>
    <t xml:space="preserve">Ports, Lighthouses and Harbors </t>
  </si>
  <si>
    <t>253</t>
  </si>
  <si>
    <t xml:space="preserve">Artesian Wells, Reservoirs, Pumping Stations and Conduits </t>
  </si>
  <si>
    <t>254</t>
  </si>
  <si>
    <t xml:space="preserve">Irrigation, Canals and Laterals </t>
  </si>
  <si>
    <t>255</t>
  </si>
  <si>
    <t xml:space="preserve">Flood Controls </t>
  </si>
  <si>
    <t>256</t>
  </si>
  <si>
    <t xml:space="preserve">Waterways, Aqueducts, Seawalls, River Walls and Others </t>
  </si>
  <si>
    <t>257</t>
  </si>
  <si>
    <t xml:space="preserve">Other Public Infrastructures </t>
  </si>
  <si>
    <t>260</t>
  </si>
  <si>
    <t xml:space="preserve">Reforestation - Upland </t>
  </si>
  <si>
    <t>261</t>
  </si>
  <si>
    <t xml:space="preserve">Reforestation - Marshland/Swampland </t>
  </si>
  <si>
    <t>262</t>
  </si>
  <si>
    <t xml:space="preserve">Construction in Progress - Agency Assets </t>
  </si>
  <si>
    <t>264</t>
  </si>
  <si>
    <t xml:space="preserve">Construction in Progress - Roads, Highways and Bridges </t>
  </si>
  <si>
    <t>266</t>
  </si>
  <si>
    <t xml:space="preserve">Construction in Progress - Parks, Plazas and Monuments </t>
  </si>
  <si>
    <t>267</t>
  </si>
  <si>
    <t xml:space="preserve">Construction in Progress - Ports, Lighthouses and Harbors </t>
  </si>
  <si>
    <t>268</t>
  </si>
  <si>
    <t>Construction in Progress - Artesian Wells, Reservoirs, Pumping Stations and Conduits</t>
  </si>
  <si>
    <t>269</t>
  </si>
  <si>
    <t xml:space="preserve">Construction in Progress - Irrigation, Canals and Laterals </t>
  </si>
  <si>
    <t>270</t>
  </si>
  <si>
    <t xml:space="preserve">Construction in Progress - Flood Controls </t>
  </si>
  <si>
    <t>271</t>
  </si>
  <si>
    <t>Construction in Progress - Waterways, Aqueducts, Seawalls, River Walls and Others</t>
  </si>
  <si>
    <t>272</t>
  </si>
  <si>
    <t xml:space="preserve">Construction in Progress - Other Public Infrastructures </t>
  </si>
  <si>
    <t>273</t>
  </si>
  <si>
    <t xml:space="preserve">Construction in Progress - Reforestation - Upland </t>
  </si>
  <si>
    <t>274</t>
  </si>
  <si>
    <t xml:space="preserve">Construction in Progress - Reforestation - Marshland/Swampland </t>
  </si>
  <si>
    <t>275</t>
  </si>
  <si>
    <t xml:space="preserve">Work/Other Animals </t>
  </si>
  <si>
    <t>281</t>
  </si>
  <si>
    <t xml:space="preserve">Breeding Stocks </t>
  </si>
  <si>
    <t>282</t>
  </si>
  <si>
    <t xml:space="preserve">Arts, Archeological Specimen and Other Exhibits </t>
  </si>
  <si>
    <t>283</t>
  </si>
  <si>
    <t xml:space="preserve">Items in Transit </t>
  </si>
  <si>
    <t>284</t>
  </si>
  <si>
    <t xml:space="preserve">Other Assets </t>
  </si>
  <si>
    <t>290</t>
  </si>
  <si>
    <t xml:space="preserve">Accounts Payable </t>
  </si>
  <si>
    <t>401</t>
  </si>
  <si>
    <t xml:space="preserve">Notes Payable </t>
  </si>
  <si>
    <t>402</t>
  </si>
  <si>
    <t xml:space="preserve">Due to Officers and Employees </t>
  </si>
  <si>
    <t>403</t>
  </si>
  <si>
    <t xml:space="preserve">Interest Payable </t>
  </si>
  <si>
    <t>409</t>
  </si>
  <si>
    <t xml:space="preserve">Due to BIR </t>
  </si>
  <si>
    <t>412</t>
  </si>
  <si>
    <t xml:space="preserve">Due to GSIS </t>
  </si>
  <si>
    <t>413</t>
  </si>
  <si>
    <t xml:space="preserve">Due to PAG-IBIG </t>
  </si>
  <si>
    <t>414</t>
  </si>
  <si>
    <t xml:space="preserve">Due to PHILHEALTH </t>
  </si>
  <si>
    <t>415</t>
  </si>
  <si>
    <t xml:space="preserve">Due to Other NGAs </t>
  </si>
  <si>
    <t>416</t>
  </si>
  <si>
    <t xml:space="preserve">Due to Other GOCCs </t>
  </si>
  <si>
    <t>417</t>
  </si>
  <si>
    <t xml:space="preserve">Due to LGUs </t>
  </si>
  <si>
    <t>418</t>
  </si>
  <si>
    <t xml:space="preserve">Due to Other Funds </t>
  </si>
  <si>
    <t>424</t>
  </si>
  <si>
    <t xml:space="preserve">Guaranty Deposits Payable </t>
  </si>
  <si>
    <t>426</t>
  </si>
  <si>
    <t xml:space="preserve">Performance/Bidders/Bail Bonds Payable </t>
  </si>
  <si>
    <t>427</t>
  </si>
  <si>
    <t xml:space="preserve">Currency Swap Payable </t>
  </si>
  <si>
    <t>428</t>
  </si>
  <si>
    <t xml:space="preserve">Tax Refunds Payable </t>
  </si>
  <si>
    <t>429</t>
  </si>
  <si>
    <t xml:space="preserve">Other Payables </t>
  </si>
  <si>
    <t>439</t>
  </si>
  <si>
    <t xml:space="preserve">Mortgage Payable </t>
  </si>
  <si>
    <t>441</t>
  </si>
  <si>
    <t xml:space="preserve">Bonds Payable - Domestic </t>
  </si>
  <si>
    <t>442</t>
  </si>
  <si>
    <t xml:space="preserve">Bonds Payable - Foreign </t>
  </si>
  <si>
    <t>443</t>
  </si>
  <si>
    <t xml:space="preserve">Loans Payable - Domestic </t>
  </si>
  <si>
    <t>444</t>
  </si>
  <si>
    <t xml:space="preserve">Loans Payable - Foreign </t>
  </si>
  <si>
    <t>445</t>
  </si>
  <si>
    <t xml:space="preserve">Other Long - Term Liabilities </t>
  </si>
  <si>
    <t>450</t>
  </si>
  <si>
    <t xml:space="preserve">Deferred Real Property Tax Income </t>
  </si>
  <si>
    <t>451</t>
  </si>
  <si>
    <t xml:space="preserve">Deferred Special Education Tax Income </t>
  </si>
  <si>
    <t>452</t>
  </si>
  <si>
    <t xml:space="preserve">Other Deferred Credits </t>
  </si>
  <si>
    <t>455</t>
  </si>
  <si>
    <t xml:space="preserve">Government Equity </t>
  </si>
  <si>
    <t>501</t>
  </si>
  <si>
    <t xml:space="preserve">Cost of Goods Sold </t>
  </si>
  <si>
    <t>511</t>
  </si>
  <si>
    <t xml:space="preserve">Retained Operating Surplus (Year 1) </t>
  </si>
  <si>
    <t>513</t>
  </si>
  <si>
    <t xml:space="preserve">Retained Operating Surplus (Year 2) </t>
  </si>
  <si>
    <t>514</t>
  </si>
  <si>
    <t xml:space="preserve">Retained Operating Surplus (Year 3) </t>
  </si>
  <si>
    <t>515</t>
  </si>
  <si>
    <t>Professional Tax</t>
  </si>
  <si>
    <t>564</t>
  </si>
  <si>
    <t xml:space="preserve">Amusement Tax </t>
  </si>
  <si>
    <t>581</t>
  </si>
  <si>
    <t xml:space="preserve">Business Tax </t>
  </si>
  <si>
    <t>582</t>
  </si>
  <si>
    <t xml:space="preserve">Community Tax </t>
  </si>
  <si>
    <t>583</t>
  </si>
  <si>
    <t xml:space="preserve">Franchise Tax </t>
  </si>
  <si>
    <t>584</t>
  </si>
  <si>
    <t>Occupation Tax  **</t>
  </si>
  <si>
    <t>585</t>
  </si>
  <si>
    <t xml:space="preserve">Printing and Publication Tax </t>
  </si>
  <si>
    <t>586</t>
  </si>
  <si>
    <t xml:space="preserve">Property Transfer Tax </t>
  </si>
  <si>
    <t>587</t>
  </si>
  <si>
    <t xml:space="preserve">Real Property Tax </t>
  </si>
  <si>
    <t>588</t>
  </si>
  <si>
    <t xml:space="preserve">Real Property Tax on Idle Lands </t>
  </si>
  <si>
    <t>589</t>
  </si>
  <si>
    <t xml:space="preserve">Special Assessment Tax </t>
  </si>
  <si>
    <t>590</t>
  </si>
  <si>
    <t xml:space="preserve">Special Education Tax </t>
  </si>
  <si>
    <t>591</t>
  </si>
  <si>
    <t xml:space="preserve">Tax on Delivery Trucks and Vans </t>
  </si>
  <si>
    <t>592</t>
  </si>
  <si>
    <t xml:space="preserve">Tax on Sand, Gravel and Other Quarry Products </t>
  </si>
  <si>
    <t>593</t>
  </si>
  <si>
    <t xml:space="preserve">Other Local Taxes </t>
  </si>
  <si>
    <t>598</t>
  </si>
  <si>
    <t xml:space="preserve">Fines and Penalties - Local Taxes </t>
  </si>
  <si>
    <t>599</t>
  </si>
  <si>
    <t xml:space="preserve">Fees on Weights and Measures </t>
  </si>
  <si>
    <t>601</t>
  </si>
  <si>
    <t>Fishery Rental Fees</t>
  </si>
  <si>
    <t>602</t>
  </si>
  <si>
    <t xml:space="preserve">Franchising and Licensing Fees </t>
  </si>
  <si>
    <t>603</t>
  </si>
  <si>
    <t xml:space="preserve">Motor Vehicles Users Charge </t>
  </si>
  <si>
    <t>604</t>
  </si>
  <si>
    <t xml:space="preserve">Permit Fees </t>
  </si>
  <si>
    <t>605</t>
  </si>
  <si>
    <t xml:space="preserve">Registration Fees </t>
  </si>
  <si>
    <t>606</t>
  </si>
  <si>
    <t xml:space="preserve">Other Permits and Licenses </t>
  </si>
  <si>
    <t>608</t>
  </si>
  <si>
    <t xml:space="preserve">Fines and Penalties - Permits and Licenses </t>
  </si>
  <si>
    <t>609</t>
  </si>
  <si>
    <t xml:space="preserve">Affiliation Fees </t>
  </si>
  <si>
    <t>611</t>
  </si>
  <si>
    <t xml:space="preserve">Athletic and Cultural Fees </t>
  </si>
  <si>
    <t>612</t>
  </si>
  <si>
    <t xml:space="preserve">Clearance and Certification Fees </t>
  </si>
  <si>
    <t>613</t>
  </si>
  <si>
    <t xml:space="preserve">Comprehensive Examination Fees </t>
  </si>
  <si>
    <t>614</t>
  </si>
  <si>
    <t xml:space="preserve">Diploma and Graduation Fees </t>
  </si>
  <si>
    <t>615</t>
  </si>
  <si>
    <t xml:space="preserve">Garbage Fees </t>
  </si>
  <si>
    <t>616</t>
  </si>
  <si>
    <t xml:space="preserve">Inspection Fees </t>
  </si>
  <si>
    <t>617</t>
  </si>
  <si>
    <t xml:space="preserve">Library Fees </t>
  </si>
  <si>
    <t>618</t>
  </si>
  <si>
    <t xml:space="preserve">Medical, Dental and Laboratory Fees </t>
  </si>
  <si>
    <t>619</t>
  </si>
  <si>
    <t xml:space="preserve">Passport and Visa Fees </t>
  </si>
  <si>
    <t>620</t>
  </si>
  <si>
    <t xml:space="preserve">Processing Fees </t>
  </si>
  <si>
    <t>621</t>
  </si>
  <si>
    <t xml:space="preserve">Seminar Fees </t>
  </si>
  <si>
    <t>622</t>
  </si>
  <si>
    <t xml:space="preserve">Toll and Terminal Fees </t>
  </si>
  <si>
    <t>623</t>
  </si>
  <si>
    <t xml:space="preserve">Transcript of Records Fees </t>
  </si>
  <si>
    <t>624</t>
  </si>
  <si>
    <t xml:space="preserve">Other Service Income </t>
  </si>
  <si>
    <t>628</t>
  </si>
  <si>
    <t xml:space="preserve">Fines and Penalties - Service Income </t>
  </si>
  <si>
    <t>629</t>
  </si>
  <si>
    <t xml:space="preserve">Hospital Fees </t>
  </si>
  <si>
    <t>631</t>
  </si>
  <si>
    <t xml:space="preserve">Income from Canteen Operations </t>
  </si>
  <si>
    <t>632</t>
  </si>
  <si>
    <t xml:space="preserve">Income from Cemetery Operations </t>
  </si>
  <si>
    <t>633</t>
  </si>
  <si>
    <t xml:space="preserve">Income from Communication Facilities </t>
  </si>
  <si>
    <t>634</t>
  </si>
  <si>
    <t xml:space="preserve">Income from Dormitory Operations </t>
  </si>
  <si>
    <t>635</t>
  </si>
  <si>
    <t xml:space="preserve">Income from Markets </t>
  </si>
  <si>
    <t>636</t>
  </si>
  <si>
    <t xml:space="preserve">Income from Slaughterhouses </t>
  </si>
  <si>
    <t>637</t>
  </si>
  <si>
    <t xml:space="preserve">Income from Transportation Systems </t>
  </si>
  <si>
    <t>638</t>
  </si>
  <si>
    <t xml:space="preserve">Income from Waterworks Systems </t>
  </si>
  <si>
    <t>639</t>
  </si>
  <si>
    <t xml:space="preserve">Landing and Parking Fees </t>
  </si>
  <si>
    <t>640</t>
  </si>
  <si>
    <t xml:space="preserve">Printing and Publication Income </t>
  </si>
  <si>
    <t>641</t>
  </si>
  <si>
    <t xml:space="preserve">Rent Income </t>
  </si>
  <si>
    <t>642</t>
  </si>
  <si>
    <t xml:space="preserve">Sales Revenue </t>
  </si>
  <si>
    <t>643</t>
  </si>
  <si>
    <t xml:space="preserve">Tuition Fees </t>
  </si>
  <si>
    <t>644</t>
  </si>
  <si>
    <t xml:space="preserve">Other Business Income </t>
  </si>
  <si>
    <t>648</t>
  </si>
  <si>
    <t xml:space="preserve">Fines and Penalties - Business Income </t>
  </si>
  <si>
    <t>649</t>
  </si>
  <si>
    <t xml:space="preserve">Subsidy from other National Government Agencies </t>
  </si>
  <si>
    <t>652</t>
  </si>
  <si>
    <t xml:space="preserve">Subsidy from Other LGUs </t>
  </si>
  <si>
    <t>656</t>
  </si>
  <si>
    <t xml:space="preserve">Subsidy from Other Funds </t>
  </si>
  <si>
    <t>657</t>
  </si>
  <si>
    <t xml:space="preserve">Dividend Income </t>
  </si>
  <si>
    <t>661</t>
  </si>
  <si>
    <t xml:space="preserve">Income from Grants and Donations </t>
  </si>
  <si>
    <t>662</t>
  </si>
  <si>
    <t xml:space="preserve">Insurance Income </t>
  </si>
  <si>
    <t>663</t>
  </si>
  <si>
    <t xml:space="preserve">Interest Income </t>
  </si>
  <si>
    <t>664</t>
  </si>
  <si>
    <t xml:space="preserve">Internal Revenue Allotment </t>
  </si>
  <si>
    <t>665</t>
  </si>
  <si>
    <t xml:space="preserve">Sale of Confiscated/Abandoned/Seized Goods and Properties </t>
  </si>
  <si>
    <t>666</t>
  </si>
  <si>
    <t xml:space="preserve">Share from Economic Zones </t>
  </si>
  <si>
    <t>667</t>
  </si>
  <si>
    <t xml:space="preserve">Share from Expanded Value Added Tax (EVAT) </t>
  </si>
  <si>
    <t>668</t>
  </si>
  <si>
    <t xml:space="preserve">Share from National Wealth </t>
  </si>
  <si>
    <t>669</t>
  </si>
  <si>
    <t xml:space="preserve">Share from PAGCOR/PCSO </t>
  </si>
  <si>
    <t>670</t>
  </si>
  <si>
    <t xml:space="preserve">Share from Tobacco Excise Tax </t>
  </si>
  <si>
    <t>671</t>
  </si>
  <si>
    <t xml:space="preserve">Miscellaneous Income </t>
  </si>
  <si>
    <t>678</t>
  </si>
  <si>
    <t xml:space="preserve">Other Fines and Penalties </t>
  </si>
  <si>
    <t>679</t>
  </si>
  <si>
    <t xml:space="preserve">Gain/Loss on Foreign Exchange (FOREX) </t>
  </si>
  <si>
    <t>681</t>
  </si>
  <si>
    <t xml:space="preserve">Gain/Loss on Sale of Disposed Assets </t>
  </si>
  <si>
    <t>682</t>
  </si>
  <si>
    <t xml:space="preserve">Gain/Loss on Sale of Securities </t>
  </si>
  <si>
    <t>683</t>
  </si>
  <si>
    <t xml:space="preserve">Prior Years' Adjustments </t>
  </si>
  <si>
    <t>684</t>
  </si>
  <si>
    <t xml:space="preserve">Salaries and Wages - Regular </t>
  </si>
  <si>
    <t>701</t>
  </si>
  <si>
    <t xml:space="preserve">Salaries and Wages - Military/Uniformed </t>
  </si>
  <si>
    <t>702</t>
  </si>
  <si>
    <t xml:space="preserve">Salaries and Wages - Part-time </t>
  </si>
  <si>
    <t>703</t>
  </si>
  <si>
    <t xml:space="preserve">Salaries and Wages - Substitute </t>
  </si>
  <si>
    <t>704</t>
  </si>
  <si>
    <t xml:space="preserve">Salaries and Wages - Casual </t>
  </si>
  <si>
    <t>705</t>
  </si>
  <si>
    <t xml:space="preserve">Salaries and Wages - Contractual </t>
  </si>
  <si>
    <t>706</t>
  </si>
  <si>
    <t xml:space="preserve">Salaries and Wages - Emergency </t>
  </si>
  <si>
    <t>707</t>
  </si>
  <si>
    <t xml:space="preserve">Personnel Economic Relief Allowance ( PERA) </t>
  </si>
  <si>
    <t>711</t>
  </si>
  <si>
    <t xml:space="preserve">Additional Compensation ( ADCOM) </t>
  </si>
  <si>
    <t>712</t>
  </si>
  <si>
    <t xml:space="preserve">Representation Allowance (RA) </t>
  </si>
  <si>
    <t>713</t>
  </si>
  <si>
    <t xml:space="preserve">Transportation Allowance (TA) </t>
  </si>
  <si>
    <t>714</t>
  </si>
  <si>
    <t xml:space="preserve">Clothing/Uniform Allowance </t>
  </si>
  <si>
    <t>715</t>
  </si>
  <si>
    <t xml:space="preserve">Subsistence, Laundry and Quarter Allowance </t>
  </si>
  <si>
    <t>716</t>
  </si>
  <si>
    <t xml:space="preserve">Productivity Incentive Allowance </t>
  </si>
  <si>
    <t>717</t>
  </si>
  <si>
    <t xml:space="preserve">Overseas Allowance </t>
  </si>
  <si>
    <t>718</t>
  </si>
  <si>
    <t xml:space="preserve">Other Bonuses and Allowances </t>
  </si>
  <si>
    <t>719</t>
  </si>
  <si>
    <t xml:space="preserve">Honoraria </t>
  </si>
  <si>
    <t>720</t>
  </si>
  <si>
    <t xml:space="preserve">Hazard Pay </t>
  </si>
  <si>
    <t>721</t>
  </si>
  <si>
    <t xml:space="preserve">Longevity Pay </t>
  </si>
  <si>
    <t>722</t>
  </si>
  <si>
    <t xml:space="preserve">Overtime and Night Pay </t>
  </si>
  <si>
    <t>723</t>
  </si>
  <si>
    <t xml:space="preserve">Cash Gift </t>
  </si>
  <si>
    <t>724</t>
  </si>
  <si>
    <t xml:space="preserve">Year End Bonus </t>
  </si>
  <si>
    <t>725</t>
  </si>
  <si>
    <t xml:space="preserve">Life and Retirement Insurance Contributions </t>
  </si>
  <si>
    <t>731</t>
  </si>
  <si>
    <t xml:space="preserve">PAG-IBIG Contributions </t>
  </si>
  <si>
    <t>732</t>
  </si>
  <si>
    <t xml:space="preserve">PHILHEALTH Contributions </t>
  </si>
  <si>
    <t>733</t>
  </si>
  <si>
    <t xml:space="preserve">ECC Contributions </t>
  </si>
  <si>
    <t>734</t>
  </si>
  <si>
    <t xml:space="preserve">Pension Benefits - Civilian </t>
  </si>
  <si>
    <t>738</t>
  </si>
  <si>
    <t xml:space="preserve">Pension Benefits - Military/Uniformed </t>
  </si>
  <si>
    <t>739</t>
  </si>
  <si>
    <t xml:space="preserve">Retirement Benefits - Civilian </t>
  </si>
  <si>
    <t>740</t>
  </si>
  <si>
    <t xml:space="preserve">Retirement Benefits - Military/Uniformed </t>
  </si>
  <si>
    <t>741</t>
  </si>
  <si>
    <t xml:space="preserve">Terminal Leave Benefits </t>
  </si>
  <si>
    <t>742</t>
  </si>
  <si>
    <t xml:space="preserve">Health Workers Benefits </t>
  </si>
  <si>
    <t>743</t>
  </si>
  <si>
    <t xml:space="preserve">Other Personnel Benefits </t>
  </si>
  <si>
    <t>749</t>
  </si>
  <si>
    <t xml:space="preserve">Traveling Expenses - Local </t>
  </si>
  <si>
    <t>751</t>
  </si>
  <si>
    <t xml:space="preserve">Traveling Expenses - Foreign </t>
  </si>
  <si>
    <t>752</t>
  </si>
  <si>
    <t xml:space="preserve">Training Expenses </t>
  </si>
  <si>
    <t>753</t>
  </si>
  <si>
    <t xml:space="preserve">Scholarship Expenses </t>
  </si>
  <si>
    <t>754</t>
  </si>
  <si>
    <t xml:space="preserve">Office Supplies Expenses </t>
  </si>
  <si>
    <t>755</t>
  </si>
  <si>
    <t xml:space="preserve">Accountable Forms Expenses </t>
  </si>
  <si>
    <t>756</t>
  </si>
  <si>
    <t xml:space="preserve">Animal/Zoological Supplies Expenses </t>
  </si>
  <si>
    <t>757</t>
  </si>
  <si>
    <t xml:space="preserve">Food Supplies Expenses </t>
  </si>
  <si>
    <t>758</t>
  </si>
  <si>
    <t xml:space="preserve">Drugs and Medicines Expenses </t>
  </si>
  <si>
    <t>759</t>
  </si>
  <si>
    <t xml:space="preserve">Medical, Dental and Laboratory Supplies Expenses </t>
  </si>
  <si>
    <t>760</t>
  </si>
  <si>
    <t xml:space="preserve">Gasoline, Oil and Lubricants Expenses </t>
  </si>
  <si>
    <t>761</t>
  </si>
  <si>
    <t xml:space="preserve">Agricultural Supplies Expenses </t>
  </si>
  <si>
    <t>762</t>
  </si>
  <si>
    <t xml:space="preserve">Textbooks and Instructional Materials Expenses </t>
  </si>
  <si>
    <t>763</t>
  </si>
  <si>
    <t xml:space="preserve">Military and Police Supplies Expenses </t>
  </si>
  <si>
    <t>764</t>
  </si>
  <si>
    <t xml:space="preserve">Other Supplies Expenses </t>
  </si>
  <si>
    <t>765</t>
  </si>
  <si>
    <t xml:space="preserve">Water Expenses </t>
  </si>
  <si>
    <t>766</t>
  </si>
  <si>
    <t xml:space="preserve">Electricity Expenses </t>
  </si>
  <si>
    <t>767</t>
  </si>
  <si>
    <t xml:space="preserve">Cooking Gas Expenses </t>
  </si>
  <si>
    <t>768</t>
  </si>
  <si>
    <t xml:space="preserve">Postage and Deliveries </t>
  </si>
  <si>
    <t>771</t>
  </si>
  <si>
    <t xml:space="preserve">Telephone Expenses - Landline </t>
  </si>
  <si>
    <t>772</t>
  </si>
  <si>
    <t xml:space="preserve">Telephone Expenses - Mobile </t>
  </si>
  <si>
    <t>773</t>
  </si>
  <si>
    <t xml:space="preserve">Internet Expenses </t>
  </si>
  <si>
    <t>774</t>
  </si>
  <si>
    <t xml:space="preserve">Cable, Satellite, Telegraph, and Radio Expenses </t>
  </si>
  <si>
    <t>775</t>
  </si>
  <si>
    <t xml:space="preserve">Membership Dues and Contributions to Organizations </t>
  </si>
  <si>
    <t>778</t>
  </si>
  <si>
    <t xml:space="preserve">Awards and Indemnities </t>
  </si>
  <si>
    <t>779</t>
  </si>
  <si>
    <t xml:space="preserve">Advertising Expenses </t>
  </si>
  <si>
    <t>780</t>
  </si>
  <si>
    <t xml:space="preserve">Printing and Binding Expenses </t>
  </si>
  <si>
    <t>781</t>
  </si>
  <si>
    <t xml:space="preserve">Rent Expenses </t>
  </si>
  <si>
    <t>782</t>
  </si>
  <si>
    <t xml:space="preserve">Representation Expenses </t>
  </si>
  <si>
    <t>783</t>
  </si>
  <si>
    <t xml:space="preserve">Transportation and Delivery Expenses </t>
  </si>
  <si>
    <t>784</t>
  </si>
  <si>
    <t xml:space="preserve">Storage Expenses </t>
  </si>
  <si>
    <t>785</t>
  </si>
  <si>
    <t xml:space="preserve">Subscriptions Expenses </t>
  </si>
  <si>
    <t>786</t>
  </si>
  <si>
    <t xml:space="preserve">Survey Expenses </t>
  </si>
  <si>
    <t>787</t>
  </si>
  <si>
    <t xml:space="preserve">Rewards and Other Claims </t>
  </si>
  <si>
    <t>788</t>
  </si>
  <si>
    <t xml:space="preserve">Legal Services </t>
  </si>
  <si>
    <t>791</t>
  </si>
  <si>
    <t xml:space="preserve">Auditing Services </t>
  </si>
  <si>
    <t>792</t>
  </si>
  <si>
    <t xml:space="preserve">Consultancy Services </t>
  </si>
  <si>
    <t>793</t>
  </si>
  <si>
    <t xml:space="preserve">Environment/Sanitary Services </t>
  </si>
  <si>
    <t>794</t>
  </si>
  <si>
    <t xml:space="preserve">General Services </t>
  </si>
  <si>
    <t>795</t>
  </si>
  <si>
    <t xml:space="preserve">Janitorial Services </t>
  </si>
  <si>
    <t>796</t>
  </si>
  <si>
    <t xml:space="preserve">Security Services </t>
  </si>
  <si>
    <t>797</t>
  </si>
  <si>
    <t xml:space="preserve">Other Professional Services </t>
  </si>
  <si>
    <t>799</t>
  </si>
  <si>
    <t xml:space="preserve">Repairs and Maintenance - Land Improvements </t>
  </si>
  <si>
    <t>802</t>
  </si>
  <si>
    <t xml:space="preserve">Repairs and Maintenance - Runways/Taxiways </t>
  </si>
  <si>
    <t>803</t>
  </si>
  <si>
    <t xml:space="preserve">Repairs and Maintenance - Railways </t>
  </si>
  <si>
    <t>804</t>
  </si>
  <si>
    <t xml:space="preserve">Repairs and Maintenance - Electrification, Power and Energy Structures </t>
  </si>
  <si>
    <t>805</t>
  </si>
  <si>
    <t xml:space="preserve">Repairs and Maintenance - Office Buildings </t>
  </si>
  <si>
    <t>811</t>
  </si>
  <si>
    <t xml:space="preserve">Repairs and Maintenance - School Buildings </t>
  </si>
  <si>
    <t>812</t>
  </si>
  <si>
    <t xml:space="preserve">Repairs and Maintenance - Hospitals and Health Centers </t>
  </si>
  <si>
    <t>813</t>
  </si>
  <si>
    <t xml:space="preserve">Repairs and Maintenance - Markets and Slaughterhouses </t>
  </si>
  <si>
    <t>814</t>
  </si>
  <si>
    <t xml:space="preserve">Repairs and Maintenance - Other Structures </t>
  </si>
  <si>
    <t>815</t>
  </si>
  <si>
    <t xml:space="preserve">Repairs and Maintenance - Leasehold Improvements, Land </t>
  </si>
  <si>
    <t>818</t>
  </si>
  <si>
    <t xml:space="preserve">Repairs and Maintenance - Leasehold Improvements, Buildings </t>
  </si>
  <si>
    <t>819</t>
  </si>
  <si>
    <t xml:space="preserve">Repairs and Maintenance - Other Leasehold Improvements </t>
  </si>
  <si>
    <t>820</t>
  </si>
  <si>
    <t xml:space="preserve">Repairs and Maintenance - Office Equipment </t>
  </si>
  <si>
    <t>821</t>
  </si>
  <si>
    <t xml:space="preserve">Repairs and Maintenance - Furniture and Fixtures </t>
  </si>
  <si>
    <t>822</t>
  </si>
  <si>
    <t xml:space="preserve">Repairs and Maintenance - IT Equipment and Software </t>
  </si>
  <si>
    <t>823</t>
  </si>
  <si>
    <t xml:space="preserve">Repairs and Maintenance - Machineries </t>
  </si>
  <si>
    <t>826</t>
  </si>
  <si>
    <t xml:space="preserve">Repairs and Maintenance - Agricultural, Fishery and Forestry Equipment </t>
  </si>
  <si>
    <t>827</t>
  </si>
  <si>
    <t xml:space="preserve">Repairs and Maintenance - Airport Equipment </t>
  </si>
  <si>
    <t>828</t>
  </si>
  <si>
    <t xml:space="preserve">Repairs and Maintenance - Communication Equipment </t>
  </si>
  <si>
    <t>829</t>
  </si>
  <si>
    <t xml:space="preserve">Repairs and Maintenance - Construction and Heavy Equipment </t>
  </si>
  <si>
    <t>830</t>
  </si>
  <si>
    <t xml:space="preserve">Repairs and Maintenance - Firefighting Equipment and Accessories </t>
  </si>
  <si>
    <t>831</t>
  </si>
  <si>
    <t xml:space="preserve">Repairs and Maintenance - Hospital Equipment </t>
  </si>
  <si>
    <t>832</t>
  </si>
  <si>
    <t xml:space="preserve">Repairs and Maintenance - Medical, Dental and Laboratory Equipment </t>
  </si>
  <si>
    <t>833</t>
  </si>
  <si>
    <t xml:space="preserve">Repairs and Maintenance - Military and Police Equipment </t>
  </si>
  <si>
    <t>834</t>
  </si>
  <si>
    <t xml:space="preserve">Repairs and Maintenance - Sports Equipment </t>
  </si>
  <si>
    <t>835</t>
  </si>
  <si>
    <t xml:space="preserve">Repairs and Maintenance - Technical and Scientific Equipment </t>
  </si>
  <si>
    <t>836</t>
  </si>
  <si>
    <t xml:space="preserve">Repairs and Maintenance - Other Machineries and Equipment </t>
  </si>
  <si>
    <t>840</t>
  </si>
  <si>
    <t xml:space="preserve">Repairs and Maintenance - Motor Vehicles </t>
  </si>
  <si>
    <t>841</t>
  </si>
  <si>
    <t xml:space="preserve">Repairs and Maintenance - Trains </t>
  </si>
  <si>
    <t>842</t>
  </si>
  <si>
    <t xml:space="preserve">Repairs and Maintenance - Aircraft and Aircraft Ground Equipment </t>
  </si>
  <si>
    <t>843</t>
  </si>
  <si>
    <t xml:space="preserve">Repairs and Maintenance - Watercrafts </t>
  </si>
  <si>
    <t>844</t>
  </si>
  <si>
    <t xml:space="preserve">Repairs and Maintenance - Other Transportation Equipment </t>
  </si>
  <si>
    <t>848</t>
  </si>
  <si>
    <t xml:space="preserve">Repairs and Maintenance - Other Property, Plant and Equipment </t>
  </si>
  <si>
    <t>850</t>
  </si>
  <si>
    <t xml:space="preserve">Repairs and Maintenance - Roads, Highways and Bridges </t>
  </si>
  <si>
    <t>851</t>
  </si>
  <si>
    <t xml:space="preserve">Repairs and Maintenance - Parks, Plazas and Monuments </t>
  </si>
  <si>
    <t>852</t>
  </si>
  <si>
    <t xml:space="preserve">Repairs and Maintenance - Ports, Lighthouses and Harbors </t>
  </si>
  <si>
    <t>853</t>
  </si>
  <si>
    <t>Repairs and Maintenance - Artesian Wells, Reservoirs, Pumping Stations and Conduits</t>
  </si>
  <si>
    <t>854</t>
  </si>
  <si>
    <t xml:space="preserve">Repairs and Maintenance - Irrigation, Canals and Laterals </t>
  </si>
  <si>
    <t>855</t>
  </si>
  <si>
    <t xml:space="preserve">Repairs and Maintenance - Flood Controls </t>
  </si>
  <si>
    <t>856</t>
  </si>
  <si>
    <t>Repairs and Maintenance - Waterways, Aqueducts, Seawalls, Riverwalls and Others</t>
  </si>
  <si>
    <t>857</t>
  </si>
  <si>
    <t xml:space="preserve">Repairs and Maintenance - Other Public Infrastructures </t>
  </si>
  <si>
    <t>860</t>
  </si>
  <si>
    <t xml:space="preserve">Repairs and Maintenance - Reforestation - Upland </t>
  </si>
  <si>
    <t>861</t>
  </si>
  <si>
    <t xml:space="preserve">Repairs and Maintenance - Reforestation - Marshland/Swampland </t>
  </si>
  <si>
    <t>862</t>
  </si>
  <si>
    <t xml:space="preserve">Subsidy to National Government Agencies </t>
  </si>
  <si>
    <t>871</t>
  </si>
  <si>
    <t xml:space="preserve">Subsidy to Local Government Units </t>
  </si>
  <si>
    <t>874</t>
  </si>
  <si>
    <t xml:space="preserve">Subsidy to Government Owned and Controlled Corporations </t>
  </si>
  <si>
    <t>875</t>
  </si>
  <si>
    <t xml:space="preserve">Subsidy to NGOs/POs </t>
  </si>
  <si>
    <t>876</t>
  </si>
  <si>
    <t xml:space="preserve">Subsidy to Other Funds </t>
  </si>
  <si>
    <t>877</t>
  </si>
  <si>
    <t xml:space="preserve">Donations </t>
  </si>
  <si>
    <t>878</t>
  </si>
  <si>
    <t xml:space="preserve">Confidential Expenses </t>
  </si>
  <si>
    <t>881</t>
  </si>
  <si>
    <t xml:space="preserve">Intelligence Expenses </t>
  </si>
  <si>
    <t>882</t>
  </si>
  <si>
    <t xml:space="preserve">Extraordinary Expenses </t>
  </si>
  <si>
    <t>883</t>
  </si>
  <si>
    <t xml:space="preserve">Miscellaneous Expenses </t>
  </si>
  <si>
    <t>884</t>
  </si>
  <si>
    <t xml:space="preserve">Taxes, Duties and Licenses </t>
  </si>
  <si>
    <t>891</t>
  </si>
  <si>
    <t xml:space="preserve">Fidelity Bond Premiums </t>
  </si>
  <si>
    <t>892</t>
  </si>
  <si>
    <t xml:space="preserve">Insurance Expenses </t>
  </si>
  <si>
    <t>893</t>
  </si>
  <si>
    <t xml:space="preserve">Bad Debts Expense </t>
  </si>
  <si>
    <t>901</t>
  </si>
  <si>
    <t xml:space="preserve">Depreciation - Land Improvements </t>
  </si>
  <si>
    <t>902</t>
  </si>
  <si>
    <t xml:space="preserve">Depreciation - Runways/Taxiways </t>
  </si>
  <si>
    <t>903</t>
  </si>
  <si>
    <t xml:space="preserve">Depreciation - Railways </t>
  </si>
  <si>
    <t>904</t>
  </si>
  <si>
    <t xml:space="preserve">Depreciation - Electrification, Power and Energy Structures </t>
  </si>
  <si>
    <t>905</t>
  </si>
  <si>
    <t xml:space="preserve">Depreciation - Office Buildings </t>
  </si>
  <si>
    <t>911</t>
  </si>
  <si>
    <t xml:space="preserve">Depreciation - School Buildings </t>
  </si>
  <si>
    <t>912</t>
  </si>
  <si>
    <t xml:space="preserve">Depreciation - Hospitals and Health Centers </t>
  </si>
  <si>
    <t>913</t>
  </si>
  <si>
    <t xml:space="preserve">Depreciation - Markets and Slaughterhouses </t>
  </si>
  <si>
    <t>914</t>
  </si>
  <si>
    <t xml:space="preserve">Depreciation - Other Structures </t>
  </si>
  <si>
    <t>915</t>
  </si>
  <si>
    <t xml:space="preserve">Depreciation - Leasehold Improvements, Land </t>
  </si>
  <si>
    <t>918</t>
  </si>
  <si>
    <t xml:space="preserve">Depreciation - Leasehold Improvements, Buildings </t>
  </si>
  <si>
    <t>919</t>
  </si>
  <si>
    <t xml:space="preserve">Depreciation - Other Leasehold Improvements </t>
  </si>
  <si>
    <t>920</t>
  </si>
  <si>
    <t xml:space="preserve">Depreciation - Office Equipment </t>
  </si>
  <si>
    <t>921</t>
  </si>
  <si>
    <t xml:space="preserve">Depreciation - Furniture and Fixtures </t>
  </si>
  <si>
    <t>922</t>
  </si>
  <si>
    <t xml:space="preserve">Depreciation - IT Equipment </t>
  </si>
  <si>
    <t>923</t>
  </si>
  <si>
    <t xml:space="preserve">Depreciation - Library Books </t>
  </si>
  <si>
    <t>924</t>
  </si>
  <si>
    <t xml:space="preserve">Depreciation -Machineries  </t>
  </si>
  <si>
    <t>926</t>
  </si>
  <si>
    <t xml:space="preserve">Depreciation - Agricultural, Fishery and Forestry Equipment </t>
  </si>
  <si>
    <t>927</t>
  </si>
  <si>
    <t xml:space="preserve">Depreciation - Airport Equipment </t>
  </si>
  <si>
    <t>928</t>
  </si>
  <si>
    <t xml:space="preserve">Depreciation - Communication Equipment </t>
  </si>
  <si>
    <t>929</t>
  </si>
  <si>
    <t xml:space="preserve">Depreciation - Construction and Heavy Equipment </t>
  </si>
  <si>
    <t>930</t>
  </si>
  <si>
    <t xml:space="preserve">Depreciation - Firefighting Equipment and Accessories </t>
  </si>
  <si>
    <t>931</t>
  </si>
  <si>
    <t xml:space="preserve">Depreciation - Hospital Equipment </t>
  </si>
  <si>
    <t>932</t>
  </si>
  <si>
    <t xml:space="preserve">Depreciation - Medical, Dental and Laboratory Equipment </t>
  </si>
  <si>
    <t>933</t>
  </si>
  <si>
    <t xml:space="preserve">Depreciation - Military and Police Equipment </t>
  </si>
  <si>
    <t>934</t>
  </si>
  <si>
    <t xml:space="preserve">Depreciation - Sports Equipment </t>
  </si>
  <si>
    <t>935</t>
  </si>
  <si>
    <t xml:space="preserve">Depreciation - Technical and Scientific Equipment </t>
  </si>
  <si>
    <t>936</t>
  </si>
  <si>
    <t xml:space="preserve">Depreciation - Other Machineries and Equipment </t>
  </si>
  <si>
    <t>940</t>
  </si>
  <si>
    <t xml:space="preserve">Depreciation - Motor Vehicles </t>
  </si>
  <si>
    <t>941</t>
  </si>
  <si>
    <t xml:space="preserve">Depreciation - Trains </t>
  </si>
  <si>
    <t>942</t>
  </si>
  <si>
    <t xml:space="preserve">Depreciation - Aircraft and Aircraft Ground Equipment </t>
  </si>
  <si>
    <t>943</t>
  </si>
  <si>
    <t xml:space="preserve">Depreciation - Watercrafts </t>
  </si>
  <si>
    <t>944</t>
  </si>
  <si>
    <t xml:space="preserve">Depreciation - Other Transportation Equipment </t>
  </si>
  <si>
    <t>948</t>
  </si>
  <si>
    <t xml:space="preserve">Depreciation - Other Property, Plant and Equipment </t>
  </si>
  <si>
    <t>950</t>
  </si>
  <si>
    <t>Obsolescence - IT Software</t>
  </si>
  <si>
    <t>951</t>
  </si>
  <si>
    <t xml:space="preserve">Discount on Real Property Taxes </t>
  </si>
  <si>
    <t xml:space="preserve">Discount on Special Education Tax </t>
  </si>
  <si>
    <t xml:space="preserve">Loss from Tax Exemptions </t>
  </si>
  <si>
    <t>957</t>
  </si>
  <si>
    <t xml:space="preserve">Tax Refunds </t>
  </si>
  <si>
    <t>958</t>
  </si>
  <si>
    <t xml:space="preserve">Remittance to National Treasury from Assets Disposal </t>
  </si>
  <si>
    <t>959</t>
  </si>
  <si>
    <t xml:space="preserve">Loss of Assets </t>
  </si>
  <si>
    <t>961</t>
  </si>
  <si>
    <t xml:space="preserve">Loss on Guaranty </t>
  </si>
  <si>
    <t>962</t>
  </si>
  <si>
    <t xml:space="preserve">Other Maintenance and Operating Expenses </t>
  </si>
  <si>
    <t>969</t>
  </si>
  <si>
    <t xml:space="preserve">Bank Charges </t>
  </si>
  <si>
    <t>971</t>
  </si>
  <si>
    <t xml:space="preserve">Commitment Fees </t>
  </si>
  <si>
    <t>972</t>
  </si>
  <si>
    <t xml:space="preserve">Debt Service Subsidy to GOCCs </t>
  </si>
  <si>
    <t>973</t>
  </si>
  <si>
    <t xml:space="preserve">Documentary Stamps Expenses </t>
  </si>
  <si>
    <t>974</t>
  </si>
  <si>
    <t xml:space="preserve">Interest Expenses </t>
  </si>
  <si>
    <t>975</t>
  </si>
  <si>
    <t xml:space="preserve">Other Financial Charges </t>
  </si>
  <si>
    <t>979</t>
  </si>
  <si>
    <t>Total</t>
  </si>
  <si>
    <t>Please verify the ff: if not 0</t>
  </si>
  <si>
    <t>Dr vs Cr</t>
  </si>
  <si>
    <t>Presence of accts for SEF use only</t>
  </si>
  <si>
    <t xml:space="preserve">    Special Education Tax Receivable </t>
  </si>
  <si>
    <t xml:space="preserve">    Special Education Tax (Income)</t>
  </si>
  <si>
    <t xml:space="preserve">   Discount on SET</t>
  </si>
  <si>
    <t xml:space="preserve">   Deferred SET</t>
  </si>
  <si>
    <t>Presence of accts for GF use only</t>
  </si>
  <si>
    <t xml:space="preserve">    RPT Receivable </t>
  </si>
  <si>
    <t xml:space="preserve">    RPT (Income)</t>
  </si>
  <si>
    <t xml:space="preserve">   Discount on RPT</t>
  </si>
  <si>
    <t xml:space="preserve">   Deferred RPT</t>
  </si>
  <si>
    <t>Certified Correct:</t>
  </si>
  <si>
    <t xml:space="preserve"> Balance Sheet</t>
  </si>
  <si>
    <t>ASSETS</t>
  </si>
  <si>
    <t>CURRENT ASSETS</t>
  </si>
  <si>
    <t>CASH</t>
  </si>
  <si>
    <t>Cash on Hand</t>
  </si>
  <si>
    <t xml:space="preserve">Cash - Disbursing Officers </t>
  </si>
  <si>
    <t>Cash in Bank - Local Currency</t>
  </si>
  <si>
    <t xml:space="preserve">Cash in Bank - Local Currency, Savings Account </t>
  </si>
  <si>
    <t>Cash in Bank - Foreign Currency</t>
  </si>
  <si>
    <t>RECEIVABLES</t>
  </si>
  <si>
    <t>Receivable Accounts</t>
  </si>
  <si>
    <t>Advances to Officers &amp; Employees</t>
  </si>
  <si>
    <t>Inter-Agency Receivables</t>
  </si>
  <si>
    <t>Intra-Agency Receivables</t>
  </si>
  <si>
    <t>Other Receivables</t>
  </si>
  <si>
    <t>INVENTORIES</t>
  </si>
  <si>
    <t>Materials</t>
  </si>
  <si>
    <t>Supplies</t>
  </si>
  <si>
    <t>Agricultural, Fishery and Forestry Products</t>
  </si>
  <si>
    <t>PREPAYMENTS</t>
  </si>
  <si>
    <t>OTHER CURRENT ASSETS</t>
  </si>
  <si>
    <t>INVESTMENTS</t>
  </si>
  <si>
    <t>INVESTMENT IN SECURITIES</t>
  </si>
  <si>
    <t>SINKING FUND</t>
  </si>
  <si>
    <t>PROPERTY, PLANT AND EQUIPMENT</t>
  </si>
  <si>
    <t>LAND AND LAND IMPROVEMENTS</t>
  </si>
  <si>
    <t>Land Improvements (net)</t>
  </si>
  <si>
    <t>Runways/Taxiways (net)</t>
  </si>
  <si>
    <t>Railways (net)</t>
  </si>
  <si>
    <t>Electrification, Power and Energy Structures  (net)</t>
  </si>
  <si>
    <t>BUILDINGS</t>
  </si>
  <si>
    <t>Office Buildings (net)</t>
  </si>
  <si>
    <t>School Buildings (net)</t>
  </si>
  <si>
    <t>Hospitals and Health Centers (net)</t>
  </si>
  <si>
    <t>Markets and Slaughterhouses   (net)</t>
  </si>
  <si>
    <t>Other Structures    (net)</t>
  </si>
  <si>
    <t>LEASEHOLD IMPROVEMENTS</t>
  </si>
  <si>
    <t>Leasehold Improvements, Land (net)</t>
  </si>
  <si>
    <t>Leasehold Improvements, Buildings (net)</t>
  </si>
  <si>
    <t>Other Leasehold Improvements (net)</t>
  </si>
  <si>
    <t>OFFICE EQUIPMENT, FURNITURE AND FIXTURES</t>
  </si>
  <si>
    <t>Office Equipment (net)</t>
  </si>
  <si>
    <t>Furniture and Fixtures   (net)</t>
  </si>
  <si>
    <t>IT Equipment and Software  (net)</t>
  </si>
  <si>
    <t>Library Books  (net)</t>
  </si>
  <si>
    <t>MACHINERIES AND EQUIPMENT</t>
  </si>
  <si>
    <t>Machineries  (net)</t>
  </si>
  <si>
    <t>Agricultural, Fishery and Forestry Equipment   (net)</t>
  </si>
  <si>
    <t>Airport Equipment   (net)</t>
  </si>
  <si>
    <t>Communication Equipment   (net)</t>
  </si>
  <si>
    <t xml:space="preserve">   Accumulated Depreciation - Communication Equipment </t>
  </si>
  <si>
    <t>Construction and Heavy Equipment   (net)</t>
  </si>
  <si>
    <t>Firefighting Equipment and Accessories  (net)</t>
  </si>
  <si>
    <t>Hospital Equipment   (net)</t>
  </si>
  <si>
    <t>Medical, Dental and Laboratory Equipment (net)</t>
  </si>
  <si>
    <t>Military and Police Equipment  (net)</t>
  </si>
  <si>
    <t>Sports Equipment  (net)</t>
  </si>
  <si>
    <t>Technical and Scientific Equipment  (net)</t>
  </si>
  <si>
    <t>Other Machineries and Equipment  (net)</t>
  </si>
  <si>
    <t xml:space="preserve">   Accumulated Depreciation - Other Machineries and Equipment </t>
  </si>
  <si>
    <t>TRANSPORTATION EQUIPMENT</t>
  </si>
  <si>
    <t>Motor Vehicles  (net)</t>
  </si>
  <si>
    <t>Trains (net)</t>
  </si>
  <si>
    <t>Aircraft and Aircraft Ground Equipment (net)</t>
  </si>
  <si>
    <t>Watercrafts (net)</t>
  </si>
  <si>
    <t>Other Transportation Equipment  (net)</t>
  </si>
  <si>
    <t>OTHER PROPERTY, PLANT AND EQUIPMENT</t>
  </si>
  <si>
    <t>Other Property, Plant and Equipment   (net)</t>
  </si>
  <si>
    <t>PUBLIC INFRASTRUCTURES</t>
  </si>
  <si>
    <t>Roads, Highways and Bridges</t>
  </si>
  <si>
    <t>Artesian wells,Reservoirs, Pumping Stations and Conduits</t>
  </si>
  <si>
    <t>CONSTRUCTION IN PROGRESS</t>
  </si>
  <si>
    <t>Public Infrastructures/Reforestation Projects</t>
  </si>
  <si>
    <t>OTHER ASSETS</t>
  </si>
  <si>
    <t>TOTAL ASSETS</t>
  </si>
  <si>
    <t>LIABILITIES</t>
  </si>
  <si>
    <t>CURRENT LIABILITIES</t>
  </si>
  <si>
    <t>Payable Accounts</t>
  </si>
  <si>
    <t>Inter-Agency Payables</t>
  </si>
  <si>
    <t>Intra-Agency Payables</t>
  </si>
  <si>
    <t>Other Liability Accounts</t>
  </si>
  <si>
    <t>LONG-TERM LIABILITIES</t>
  </si>
  <si>
    <t>Mortgage/Bonds/Loans Payable</t>
  </si>
  <si>
    <t>TOTAL LIABILITIES</t>
  </si>
  <si>
    <t>DEFERRED CREDITS</t>
  </si>
  <si>
    <t>EQUITY</t>
  </si>
  <si>
    <t>TOTAL LIABILITIES AND EQUITY</t>
  </si>
  <si>
    <t>Please verify if not 0</t>
  </si>
  <si>
    <t>JOY D. LAGAT, CPA</t>
  </si>
  <si>
    <t>OIC-Provincial Accountant</t>
  </si>
  <si>
    <t>As of January</t>
  </si>
  <si>
    <t>As of February</t>
  </si>
  <si>
    <t>As of March</t>
  </si>
  <si>
    <t>As of April</t>
  </si>
  <si>
    <t>As of May</t>
  </si>
  <si>
    <t>As of June</t>
  </si>
  <si>
    <t>As of July</t>
  </si>
  <si>
    <t>As of August</t>
  </si>
  <si>
    <t>As of September</t>
  </si>
  <si>
    <t>As of October</t>
  </si>
  <si>
    <t>As of November</t>
  </si>
  <si>
    <t>As of December</t>
  </si>
  <si>
    <t>TOTAL CURRENT ASSETS</t>
  </si>
  <si>
    <t>TOTAL INVESTMENTS</t>
  </si>
  <si>
    <t>TOTAL PROPERTY, PLANT AND EQUIPMENT</t>
  </si>
  <si>
    <t>TOTAL OTHER ASSETS</t>
  </si>
  <si>
    <t>TOTAL CURRENT LIABILITIES</t>
  </si>
  <si>
    <t>TOTAL DEFERRED CREDITS</t>
  </si>
  <si>
    <t>TOTAL LONG-TERM LIABILITIES</t>
  </si>
  <si>
    <t>As of  February 28, 2011</t>
  </si>
  <si>
    <t>As of  March 31, 2011</t>
  </si>
  <si>
    <t>As of  April 30, 2011</t>
  </si>
  <si>
    <t>As of  May 31, 2011</t>
  </si>
  <si>
    <t>As of June 30, 2011</t>
  </si>
  <si>
    <t>As of July 31, 2011</t>
  </si>
  <si>
    <t>Cash Disbursement</t>
  </si>
  <si>
    <t>Cash Receipts</t>
  </si>
  <si>
    <t>As of August 31, 2011</t>
  </si>
  <si>
    <t>As of September 30, 2011</t>
  </si>
  <si>
    <t>As of November 30, 2011</t>
  </si>
  <si>
    <t>As of October 31, 2011</t>
  </si>
  <si>
    <t>As of December 31, 2011</t>
  </si>
  <si>
    <t>TB for April</t>
  </si>
  <si>
    <t>TRUST FUND</t>
  </si>
  <si>
    <t>SCHEDULE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</si>
  <si>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</si>
  <si>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</si>
  <si>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</si>
  <si>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</si>
  <si>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</si>
  <si>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</si>
  <si>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</si>
  <si>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</si>
  <si>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</si>
  <si>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</si>
  <si>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</si>
  <si>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</si>
  <si>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Schedule 1 - 104- Petty Cash Fund</t>
  </si>
  <si>
    <t>Judith R. Lagumbay</t>
  </si>
  <si>
    <t>Schedule 2 - 106- Payroll Fund</t>
  </si>
  <si>
    <t>Corazon Canda</t>
  </si>
  <si>
    <t>Evangeline Cabalan</t>
  </si>
  <si>
    <t>Francisco D. Ayala</t>
  </si>
  <si>
    <t>Hedelita España</t>
  </si>
  <si>
    <t>Josefina Tado</t>
  </si>
  <si>
    <t>Schedule 3 - 111- CASH IN BANK-LCCA</t>
  </si>
  <si>
    <t>(1) LBP</t>
  </si>
  <si>
    <t>-UNICEF</t>
  </si>
  <si>
    <t>-Proper</t>
  </si>
  <si>
    <t>(3) PNB</t>
  </si>
  <si>
    <t>-PCSO Funds</t>
  </si>
  <si>
    <t>(4) LBP</t>
  </si>
  <si>
    <t>-UNDP</t>
  </si>
  <si>
    <t>(5) LBP</t>
  </si>
  <si>
    <t>-LDAP-RPT</t>
  </si>
  <si>
    <t>(7) LBP</t>
  </si>
  <si>
    <t>-PREMIUMED RPTA MDP 3</t>
  </si>
  <si>
    <t>(8) LBP</t>
  </si>
  <si>
    <t>-LPP</t>
  </si>
  <si>
    <t>(9) LBP</t>
  </si>
  <si>
    <t>-LBP Trust Fund Proper</t>
  </si>
  <si>
    <t>(10) LBP</t>
  </si>
  <si>
    <t>-President's Social Fund</t>
  </si>
  <si>
    <t>PSF-</t>
  </si>
  <si>
    <t>PR  20 pcs. Plywood 4x8</t>
  </si>
  <si>
    <t>(11) LBP</t>
  </si>
  <si>
    <t>-Rural Water Supply</t>
  </si>
  <si>
    <t>Cash Adv., &gt;S. Calonzo</t>
  </si>
  <si>
    <t>(13) LBP</t>
  </si>
  <si>
    <t>-BWSA - DPWH</t>
  </si>
  <si>
    <t>(12) DBP</t>
  </si>
  <si>
    <t>For transfer to TF PROPER</t>
  </si>
  <si>
    <t>(17) DBP</t>
  </si>
  <si>
    <t>-Department of Energy</t>
  </si>
  <si>
    <t>11/27/08 Adolph Edward Plaza - reimb of TEV</t>
  </si>
  <si>
    <t>(18) LBP</t>
  </si>
  <si>
    <t>-Malaria  Resource Center</t>
  </si>
  <si>
    <t>11/27/2008 Joselito S. Aala - reimb of TEV</t>
  </si>
  <si>
    <t>(21) DBP</t>
  </si>
  <si>
    <t>-Malaria Control Project</t>
  </si>
  <si>
    <t>11/27/2008 Christopher H. Lindo -C/A travel</t>
  </si>
  <si>
    <t>(22) LBP</t>
  </si>
  <si>
    <t>-LGU Support to Malaria for Revolving Fund</t>
  </si>
  <si>
    <t>12/11/08</t>
  </si>
  <si>
    <t>Gov. MA.V.G.PLAZA</t>
  </si>
  <si>
    <t>travel manila</t>
  </si>
  <si>
    <t>(23) LBP</t>
  </si>
  <si>
    <t>-Hospital Revolving Fund</t>
  </si>
  <si>
    <t>4/07/09</t>
  </si>
  <si>
    <t>Sherwin Calonzo - cash advance of 13 packs PVC Plastic</t>
  </si>
  <si>
    <t>(25) LBP</t>
  </si>
  <si>
    <t>-DOPMH Revolving Fund</t>
  </si>
  <si>
    <t>(28)LBP</t>
  </si>
  <si>
    <t>-DAR-IFAD-LP</t>
  </si>
  <si>
    <t>(29)LBP</t>
  </si>
  <si>
    <t>-DAR-IFAD-GOP</t>
  </si>
  <si>
    <t>(30)LBP</t>
  </si>
  <si>
    <t>-Mutual Fund</t>
  </si>
  <si>
    <t>(31)DBP</t>
  </si>
  <si>
    <t>-PSF-Governor's Guest House</t>
  </si>
  <si>
    <t>(32)DBP</t>
  </si>
  <si>
    <t>-Blood Screening Fee</t>
  </si>
  <si>
    <t>(33)DBP</t>
  </si>
  <si>
    <t>-MINSSAD</t>
  </si>
  <si>
    <t>(34)LBP</t>
  </si>
  <si>
    <t>-SELAP</t>
  </si>
  <si>
    <t>(35)DBP</t>
  </si>
  <si>
    <t>DOPMH AFFILIATION</t>
  </si>
  <si>
    <t>(36)LBP</t>
  </si>
  <si>
    <t>-ECCD</t>
  </si>
  <si>
    <t>(37)DBP</t>
  </si>
  <si>
    <t>-DBP TF-Proper</t>
  </si>
  <si>
    <t>(38)LBP</t>
  </si>
  <si>
    <t>-MRDP LP</t>
  </si>
  <si>
    <t>(39)LBP</t>
  </si>
  <si>
    <t>-MRDP GOP</t>
  </si>
  <si>
    <t>(40)LBP</t>
  </si>
  <si>
    <t>-Provl Road Maintenance Facility</t>
  </si>
  <si>
    <t>(41)DBP</t>
  </si>
  <si>
    <t>-DOPMH EC Revolving Fund</t>
  </si>
  <si>
    <t>TOTAL</t>
  </si>
  <si>
    <t>Schedule  4 - 112- CASH IN BANK-Savings Deposit</t>
  </si>
  <si>
    <t>PNB-KKK</t>
  </si>
  <si>
    <t>PNB-</t>
  </si>
  <si>
    <t>LBP</t>
  </si>
  <si>
    <t>Schedule 5-138-DUE FROM LGU'S</t>
  </si>
  <si>
    <t>Bayugan</t>
  </si>
  <si>
    <t>Bunawan</t>
  </si>
  <si>
    <t>.</t>
  </si>
  <si>
    <t>Esperanza</t>
  </si>
  <si>
    <t>La Paz</t>
  </si>
  <si>
    <t>Loreto</t>
  </si>
  <si>
    <t>Prosperidad</t>
  </si>
  <si>
    <t>Rosario</t>
  </si>
  <si>
    <t>San Francisco</t>
  </si>
  <si>
    <t>San Luis</t>
  </si>
  <si>
    <t>Sibagat</t>
  </si>
  <si>
    <t>Sta. Josefa</t>
  </si>
  <si>
    <t>Talacogon</t>
  </si>
  <si>
    <t>Trento</t>
  </si>
  <si>
    <t>Veruela</t>
  </si>
  <si>
    <t>Schedule  6- 139-DUE FROM NGO'S/PO'S</t>
  </si>
  <si>
    <t>AGUSAN PEOPLES HEALTH DEV'T. FOUNDATION-111(22)</t>
  </si>
  <si>
    <t>AMELITA C. BAHIAN</t>
  </si>
  <si>
    <t>ANNA LIZA AMAMA-ID</t>
  </si>
  <si>
    <t>ANTITOQUIA DEVELOPMENT MPC/Rodrigo Sesdosyo</t>
  </si>
  <si>
    <t>BEAWAN MPC(SELAP) VEG. PROGRAM-ESPERANZA, ADS</t>
  </si>
  <si>
    <t>CROSABICON IRRIGATION ASSOCIATION/Fernando Meñoza</t>
  </si>
  <si>
    <t>EDWARD WOOD FURNITURE/Ms. Lanie Chua</t>
  </si>
  <si>
    <t>Irrigation Association - BALIK/Eugenio Alamillo</t>
  </si>
  <si>
    <t>JOEMARK OSTOS</t>
  </si>
  <si>
    <t>JOSEPHINE TUDTUD</t>
  </si>
  <si>
    <t>MARYJANE CATON</t>
  </si>
  <si>
    <t>MILDA C. GASATAN</t>
  </si>
  <si>
    <t>NELMA DE GUZMAN, Enterprise Dev. Loan Assistance</t>
  </si>
  <si>
    <t>NOVELYN D. ARCHE</t>
  </si>
  <si>
    <t>RUTCHEL MORALES/ RJL CAKES &amp; PASTRIES</t>
  </si>
  <si>
    <t>RUDY AGUILAR</t>
  </si>
  <si>
    <t>SAFRA-ADAP, SAN FRANCISCO</t>
  </si>
  <si>
    <t>SERGIO SANCHEZ</t>
  </si>
  <si>
    <t>ROMANA BAGTILAY (OFW)</t>
  </si>
  <si>
    <t>CHERRY VEE YTAC (OFW)</t>
  </si>
  <si>
    <t>PRUDENCIO MEJOY (OFW)</t>
  </si>
  <si>
    <t xml:space="preserve">Adolph Edward G. Plaza-PSF-Operational </t>
  </si>
  <si>
    <t>Amparo Prochina</t>
  </si>
  <si>
    <t>Anabelle Escrin</t>
  </si>
  <si>
    <t>Andre  Bustamante-PSF</t>
  </si>
  <si>
    <t>Bebis Salome</t>
  </si>
  <si>
    <t>Carlos Saligan</t>
  </si>
  <si>
    <t>Carolina Lagat</t>
  </si>
  <si>
    <t>CASTR</t>
  </si>
  <si>
    <t>Caryl Cavan</t>
  </si>
  <si>
    <t>Ceasar Rufila</t>
  </si>
  <si>
    <t>Celso Balmadres</t>
  </si>
  <si>
    <t>Cerilo Balatero</t>
  </si>
  <si>
    <t>Crisanto  Baldicantos</t>
  </si>
  <si>
    <t>Duterte</t>
  </si>
  <si>
    <t>Daisy Sasil</t>
  </si>
  <si>
    <t>Divina Lagumbay</t>
  </si>
  <si>
    <t>Domingo Castro, Jr.</t>
  </si>
  <si>
    <t>PSF CASH ADVANCES-</t>
  </si>
  <si>
    <t>Eddie Miladona-</t>
  </si>
  <si>
    <t>Edith Mongaya</t>
  </si>
  <si>
    <t>Eidderf Pendon</t>
  </si>
  <si>
    <t>Ellen Tubia</t>
  </si>
  <si>
    <t>Elsa Gunay</t>
  </si>
  <si>
    <t>Emelita  Cano</t>
  </si>
  <si>
    <t>Fe Garay</t>
  </si>
  <si>
    <t>Felipe Parilla</t>
  </si>
  <si>
    <t>Ferdinand Perez</t>
  </si>
  <si>
    <t>Fermeliano Café</t>
  </si>
  <si>
    <t>Francisco Ayala</t>
  </si>
  <si>
    <t>301-10-03-0565</t>
  </si>
  <si>
    <t>301-10-05-0826</t>
  </si>
  <si>
    <t>Francisco Flores</t>
  </si>
  <si>
    <t>Francisco Pobe</t>
  </si>
  <si>
    <t>Janeth Jamorabon</t>
  </si>
  <si>
    <t>301-10-03-0438</t>
  </si>
  <si>
    <t>Jesus Roy Sagrado</t>
  </si>
  <si>
    <t>Joel Esparagoza</t>
  </si>
  <si>
    <t>Jorge Olaer</t>
  </si>
  <si>
    <t>Joris Elevazo</t>
  </si>
  <si>
    <t>Josefina Bajade</t>
  </si>
  <si>
    <t>PDAF MVGP</t>
  </si>
  <si>
    <t>Josefina. Lastimado</t>
  </si>
  <si>
    <t>Lorela Duterte</t>
  </si>
  <si>
    <t>Lourdes Antiga</t>
  </si>
  <si>
    <t>Lourdes Edulan</t>
  </si>
  <si>
    <t>Lourdes Mondejar</t>
  </si>
  <si>
    <t>Lydia Tiu</t>
  </si>
  <si>
    <t>Mercedita Palad</t>
  </si>
  <si>
    <t>Michael Joseph  Santos-</t>
  </si>
  <si>
    <t>Mirazel Bantugan</t>
  </si>
  <si>
    <t>Monyeen Grace Alguno Muncano</t>
  </si>
  <si>
    <t>Nanette Cabanos</t>
  </si>
  <si>
    <t>Naomi Diza</t>
  </si>
  <si>
    <t>Nestor Regañon-</t>
  </si>
  <si>
    <t>Orestes Costebolo</t>
  </si>
  <si>
    <t>Pamela Yucosing</t>
  </si>
  <si>
    <t>Paperio Galido</t>
  </si>
  <si>
    <t>Paul Salinas</t>
  </si>
  <si>
    <t>Reinerio Jalalon</t>
  </si>
  <si>
    <t>Ricky Angwas</t>
  </si>
  <si>
    <t>301-10-05-0772</t>
  </si>
  <si>
    <t>Rodel Manglungsod</t>
  </si>
  <si>
    <t>301-10-06-0937</t>
  </si>
  <si>
    <t>Roselie Torralba</t>
  </si>
  <si>
    <t>Sherwin Calonzo</t>
  </si>
  <si>
    <t>Susan Obedoza</t>
  </si>
  <si>
    <t>Valentina G. Plaza</t>
  </si>
  <si>
    <t>Villa Udad</t>
  </si>
  <si>
    <t>Vilma Mabras</t>
  </si>
  <si>
    <t>Virginia Urbiztondo</t>
  </si>
  <si>
    <t>Yolanda Urbiztondo</t>
  </si>
  <si>
    <t>SUB TOTAL</t>
  </si>
  <si>
    <t xml:space="preserve">Adelaida  Padilla </t>
  </si>
  <si>
    <t>Adolph Edward G. Plaza-PSF-Travel</t>
  </si>
  <si>
    <t>Adonis Carillo</t>
  </si>
  <si>
    <t>301-10-03-0517</t>
  </si>
  <si>
    <t>Agapito Sanchez</t>
  </si>
  <si>
    <t>301-10-05-0799</t>
  </si>
  <si>
    <t>Aime Aclan</t>
  </si>
  <si>
    <t>Albert Parba</t>
  </si>
  <si>
    <t>Alexander Caburian</t>
  </si>
  <si>
    <t>Almar Lambaco</t>
  </si>
  <si>
    <t>Ananias Villacorta</t>
  </si>
  <si>
    <t>Annaliza Guinzal-PSF</t>
  </si>
  <si>
    <t>Antonio Maratas, Jr.</t>
  </si>
  <si>
    <t>Antonio Vecina-RW3SP</t>
  </si>
  <si>
    <t>Ariel Dalagon-DOE</t>
  </si>
  <si>
    <t>Armand Tereso</t>
  </si>
  <si>
    <t>Arnold Calang</t>
  </si>
  <si>
    <t>Arnulfo Recamara</t>
  </si>
  <si>
    <t>301-10-06-0885</t>
  </si>
  <si>
    <t xml:space="preserve">Blanca  Niog </t>
  </si>
  <si>
    <t>Carmen Visto-ICHP</t>
  </si>
  <si>
    <t>Caryl Cavan-DOE</t>
  </si>
  <si>
    <t>Celedenio Dejolde</t>
  </si>
  <si>
    <t>Celedonio  Dejolde, Jr</t>
  </si>
  <si>
    <t>Celso Balmadres-CDF</t>
  </si>
  <si>
    <t>Christopher Lindo</t>
  </si>
  <si>
    <t>Clemente Piencenaves-PSF</t>
  </si>
  <si>
    <t xml:space="preserve">Cynthia  Lumanta </t>
  </si>
  <si>
    <t>Cynthia Lumanta-RW3SP</t>
  </si>
  <si>
    <t xml:space="preserve">Danilda  Legaspi </t>
  </si>
  <si>
    <t>Danny Simbre</t>
  </si>
  <si>
    <t>Democrito Cellan</t>
  </si>
  <si>
    <t>Diomedes Cimagala</t>
  </si>
  <si>
    <t>301-10-03-0518</t>
  </si>
  <si>
    <t>Domingo M. Castro, Jr.</t>
  </si>
  <si>
    <t>Don Paul Carney</t>
  </si>
  <si>
    <t>Edgar Batisting-RW3SP</t>
  </si>
  <si>
    <t>Edna Acolentava-ICHP</t>
  </si>
  <si>
    <t>Ellen Chua-RW3SP</t>
  </si>
  <si>
    <t>Elmer Ruaya</t>
  </si>
  <si>
    <t>Esterlita Dotillos-under deposit</t>
  </si>
  <si>
    <t>Felipe Parilla-</t>
  </si>
  <si>
    <t>Fernando Mordeno-PSF</t>
  </si>
  <si>
    <t>Florencio Ocariz-PSF</t>
  </si>
  <si>
    <t>Francisco Cejuela</t>
  </si>
  <si>
    <t>Gavino Joric</t>
  </si>
  <si>
    <t>Guda Quintino</t>
  </si>
  <si>
    <t>Hector Bianet</t>
  </si>
  <si>
    <t>Jesus Roy  Sagrado-CDF</t>
  </si>
  <si>
    <t>Jet Jonathan De Los Angeles</t>
  </si>
  <si>
    <t>Jocelyn Calo</t>
  </si>
  <si>
    <t>Joey Morales-DOE</t>
  </si>
  <si>
    <t>Jorge Anchangco</t>
  </si>
  <si>
    <t>Jose Lilio</t>
  </si>
  <si>
    <t>Jose Oriol Dy</t>
  </si>
  <si>
    <t>Joselito Guzman</t>
  </si>
  <si>
    <t>Joselito Tui-RW3SP</t>
  </si>
  <si>
    <t xml:space="preserve">Joseph  Doromal  </t>
  </si>
  <si>
    <t>Joseph Doromal-DOE</t>
  </si>
  <si>
    <t>Judith Miro</t>
  </si>
  <si>
    <t>Julie Burlat</t>
  </si>
  <si>
    <t>301-10-06-0883</t>
  </si>
  <si>
    <t>Julieto  Gresola</t>
  </si>
  <si>
    <t>Justiniano Panganoron</t>
  </si>
  <si>
    <t>Laura Tumanda</t>
  </si>
  <si>
    <t>Lauro Galleto</t>
  </si>
  <si>
    <t>Linda Buquir</t>
  </si>
  <si>
    <t>Maria Valentina Plaza</t>
  </si>
  <si>
    <t xml:space="preserve">Marites  Lalisan </t>
  </si>
  <si>
    <t>Maximo Orpina-RW3SP</t>
  </si>
  <si>
    <t>Michael  Joseph Santos</t>
  </si>
  <si>
    <t>Nemesio Maceren</t>
  </si>
  <si>
    <t>Nestor Reganon</t>
  </si>
  <si>
    <t>Niceto Ranario</t>
  </si>
  <si>
    <t>Noel Barabar</t>
  </si>
  <si>
    <t>Nuymie Nuyad</t>
  </si>
  <si>
    <t>Oscar Cañon</t>
  </si>
  <si>
    <t>Panfilo Cortez</t>
  </si>
  <si>
    <t>Patricio Capa-PSF</t>
  </si>
  <si>
    <t>Raben Granath Lozada-RW3SP</t>
  </si>
  <si>
    <t>Ramel Salazar</t>
  </si>
  <si>
    <t>Renato Sombrio</t>
  </si>
  <si>
    <t>Rex Mel Acedillo</t>
  </si>
  <si>
    <t>Richard Torralba</t>
  </si>
  <si>
    <t>Roberto Natividad</t>
  </si>
  <si>
    <t>Rodolfo Ranario-RW3SP</t>
  </si>
  <si>
    <t>Romeo Macheca</t>
  </si>
  <si>
    <t>Ryan Cotapte-ICHP</t>
  </si>
  <si>
    <t>Sixto Manlantao</t>
  </si>
  <si>
    <t>Sofronio Raro</t>
  </si>
  <si>
    <t>Tyrone Fuentes</t>
  </si>
  <si>
    <t>Valentin Gudio</t>
  </si>
  <si>
    <t>Valerriano Palco</t>
  </si>
  <si>
    <t>Vevencio Banog</t>
  </si>
  <si>
    <t>Vincent Ferolin</t>
  </si>
  <si>
    <t xml:space="preserve">Virginia  Urbiztondo </t>
  </si>
  <si>
    <t>301-10-06-0861</t>
  </si>
  <si>
    <t xml:space="preserve">Wilson  Gaspan </t>
  </si>
  <si>
    <t>Zenevev Longaquit</t>
  </si>
  <si>
    <t>Sub total</t>
  </si>
  <si>
    <t>Schedule  8 - 149-OTHER RECEIVABLES</t>
  </si>
  <si>
    <t>Jeffrey's Eatery, over issuance of check</t>
  </si>
  <si>
    <t>-Adela Lumacang</t>
  </si>
  <si>
    <t>-Adelaida Presioso</t>
  </si>
  <si>
    <t>-Alegria Prochina</t>
  </si>
  <si>
    <t>-Alfonso Costino</t>
  </si>
  <si>
    <t>-Alfredo Ampo</t>
  </si>
  <si>
    <t>-Alfredo Laroda</t>
  </si>
  <si>
    <t>-Amoran Buyog</t>
  </si>
  <si>
    <t>-Anacleto Langano</t>
  </si>
  <si>
    <t>-Anaclito Caga</t>
  </si>
  <si>
    <t>-Anaclito Frasco</t>
  </si>
  <si>
    <t>-Andres Oraiz</t>
  </si>
  <si>
    <t>-Andriano Lastimosa</t>
  </si>
  <si>
    <t>-Angelito Nalam</t>
  </si>
  <si>
    <t>-Anita Lalamunan</t>
  </si>
  <si>
    <t>-Antonio Maturan</t>
  </si>
  <si>
    <t>-Antonio Saranza</t>
  </si>
  <si>
    <t>-Arsenia Opo</t>
  </si>
  <si>
    <t>-Arthur Cabana</t>
  </si>
  <si>
    <t>-Asuncion Deano</t>
  </si>
  <si>
    <t>-Avelino Sumipo</t>
  </si>
  <si>
    <t>-Bartolome Buniel</t>
  </si>
  <si>
    <t>-Bebiano Vanzuela</t>
  </si>
  <si>
    <t>-Bernabe Aboloc</t>
  </si>
  <si>
    <t>-Bernardita Ombaogan</t>
  </si>
  <si>
    <t>-Bernardo Bernani</t>
  </si>
  <si>
    <t>-Bonifacia Balicoco</t>
  </si>
  <si>
    <t>-Bonifacio Amarga</t>
  </si>
  <si>
    <t>-Bonifacio Cabellon</t>
  </si>
  <si>
    <t>-Buenafe Solis</t>
  </si>
  <si>
    <t>-Caridad de los Santos</t>
  </si>
  <si>
    <t>-Carolina Misagal</t>
  </si>
  <si>
    <t>-Casimero Guzman</t>
  </si>
  <si>
    <t>-Catalina Queriado</t>
  </si>
  <si>
    <t>-Celedonio Butawan</t>
  </si>
  <si>
    <t>-Celerina Caybot</t>
  </si>
  <si>
    <t>-Celestina Labartini</t>
  </si>
  <si>
    <t>-Celestino Trangia</t>
  </si>
  <si>
    <t>-Ceriaco Sampalo</t>
  </si>
  <si>
    <t>-Cerilo Manquita</t>
  </si>
  <si>
    <t>-Cesar Caballes</t>
  </si>
  <si>
    <t>-Clita Maligmat</t>
  </si>
  <si>
    <t>-Conrado Tapales</t>
  </si>
  <si>
    <t>-Consolaion Sembrano</t>
  </si>
  <si>
    <t>-Constancia Yder</t>
  </si>
  <si>
    <t>-Constantino Granada</t>
  </si>
  <si>
    <t>-Corazon Belgera</t>
  </si>
  <si>
    <t>-Corazon Requena</t>
  </si>
  <si>
    <t>-Coredion Enad</t>
  </si>
  <si>
    <t>-Cornelio Oseco</t>
  </si>
  <si>
    <t>-Cresencia Lacano</t>
  </si>
  <si>
    <t>-Cresencio Nino</t>
  </si>
  <si>
    <t>-Crispulo Roa</t>
  </si>
  <si>
    <t>-Cristina Goloran</t>
  </si>
  <si>
    <t>-Dafrosa Maring</t>
  </si>
  <si>
    <t>-Daniel Viajar</t>
  </si>
  <si>
    <t>-Dario Lumayno</t>
  </si>
  <si>
    <t>-Darlita Dabordabor</t>
  </si>
  <si>
    <t>-Delia Frago</t>
  </si>
  <si>
    <t>-Delilah Rosales</t>
  </si>
  <si>
    <t>-Demetrio Jalop</t>
  </si>
  <si>
    <t>-Dolores Acampado</t>
  </si>
  <si>
    <t>-Dolores Campos</t>
  </si>
  <si>
    <t>-Dolores Otaza</t>
  </si>
  <si>
    <t>-Dominador Fernandez</t>
  </si>
  <si>
    <t>-Domingo Ginoo</t>
  </si>
  <si>
    <t>-Dorothy Zamudio</t>
  </si>
  <si>
    <t>-E. Dotillos</t>
  </si>
  <si>
    <t>-Eddie Ausa</t>
  </si>
  <si>
    <t>-Edith Granada</t>
  </si>
  <si>
    <t>-Eduardo Curato</t>
  </si>
  <si>
    <t>-Efren Quinto</t>
  </si>
  <si>
    <t>-Eladio Nadalo</t>
  </si>
  <si>
    <t>-Elesio Belen</t>
  </si>
  <si>
    <t>-Elias Coquilla</t>
  </si>
  <si>
    <t>-Elias Pulvera</t>
  </si>
  <si>
    <t>-Elisabeth Guay</t>
  </si>
  <si>
    <t>-Elizabeth Contadan</t>
  </si>
  <si>
    <t>-Elma Arrezo</t>
  </si>
  <si>
    <t>-Elpedio Salas</t>
  </si>
  <si>
    <t>-Elsidora Palaran</t>
  </si>
  <si>
    <t>-Elsie Ramos</t>
  </si>
  <si>
    <t>-Emelia Apura</t>
  </si>
  <si>
    <t>-Emelia Libor</t>
  </si>
  <si>
    <t>-Emeregencio Sarigumba</t>
  </si>
  <si>
    <t>-Emerenciana Ostos</t>
  </si>
  <si>
    <t>-Emilio Baladad</t>
  </si>
  <si>
    <t>-Emilio Salahay</t>
  </si>
  <si>
    <t>-Emmanuel Go</t>
  </si>
  <si>
    <t>-Encarnacion  Solloso</t>
  </si>
  <si>
    <t>-Enrique Lasquite</t>
  </si>
  <si>
    <t>-Epifanio Morales</t>
  </si>
  <si>
    <t>-Epifanio Prochina</t>
  </si>
  <si>
    <t>-Erlinda Porras</t>
  </si>
  <si>
    <t>-Erlinda Saavedra</t>
  </si>
  <si>
    <t>-Erlinda Sequida</t>
  </si>
  <si>
    <t>-Ermada Antivo</t>
  </si>
  <si>
    <t>-Ermanita Sudio</t>
  </si>
  <si>
    <t>-Ernesto Bunilla</t>
  </si>
  <si>
    <t>-Erroneous pymt.</t>
  </si>
  <si>
    <t>-Esmeralda Baron</t>
  </si>
  <si>
    <t>-Ester Libo</t>
  </si>
  <si>
    <t>-Eunice Timcang</t>
  </si>
  <si>
    <t>-Evelyn Durango</t>
  </si>
  <si>
    <t>-Felisa Ferol</t>
  </si>
  <si>
    <t>-Felisa Soratorio</t>
  </si>
  <si>
    <t>-Felisicima Guay</t>
  </si>
  <si>
    <t>-Felix Buctot</t>
  </si>
  <si>
    <t>-Fortunato Aspirin</t>
  </si>
  <si>
    <t>-Fortunato Gentalla</t>
  </si>
  <si>
    <t>-Fortunato Sabado</t>
  </si>
  <si>
    <t>-Francisco Lapote</t>
  </si>
  <si>
    <t>-Glecerio Lumancas</t>
  </si>
  <si>
    <t>-Gloria Salvacion</t>
  </si>
  <si>
    <t>-Gonsalo Dionson</t>
  </si>
  <si>
    <t>-Gregorio Galindes</t>
  </si>
  <si>
    <t>-Guillermo Gordo</t>
  </si>
  <si>
    <t>-Hermes Arante</t>
  </si>
  <si>
    <t>-Herminigildo Lacorte</t>
  </si>
  <si>
    <t>-Hilarion Repiso</t>
  </si>
  <si>
    <t>-Ireneo Potol</t>
  </si>
  <si>
    <t>-Ismael Andico</t>
  </si>
  <si>
    <t>-Jaime Begafria</t>
  </si>
  <si>
    <t>-Jaime Vistal</t>
  </si>
  <si>
    <t>-Johnny Vicente</t>
  </si>
  <si>
    <t>-Josefina Gayoso</t>
  </si>
  <si>
    <t>-Josefina Magbanua</t>
  </si>
  <si>
    <t>-Joseph Ebale</t>
  </si>
  <si>
    <t>-Josephine Antolin</t>
  </si>
  <si>
    <t>-Juana Dalen</t>
  </si>
  <si>
    <t>-Juanito Avila</t>
  </si>
  <si>
    <t>-Julian Cabangahan</t>
  </si>
  <si>
    <t>-Julito Galindes</t>
  </si>
  <si>
    <t>-Leo  Ala-an</t>
  </si>
  <si>
    <t>-Leoncia Leones</t>
  </si>
  <si>
    <t>-Leonora Dolatre</t>
  </si>
  <si>
    <t>-Letecia Tandog</t>
  </si>
  <si>
    <t>-LGC Trucking &amp; Construction</t>
  </si>
  <si>
    <t>-Lolita Gunoy</t>
  </si>
  <si>
    <t>-Lolita Villarez</t>
  </si>
  <si>
    <t>-Lorezo Cao</t>
  </si>
  <si>
    <t>-Lorna Mejorada</t>
  </si>
  <si>
    <t>-Lourdes Plando</t>
  </si>
  <si>
    <t>-Lucena Alvarez</t>
  </si>
  <si>
    <t>-Lucila Solon</t>
  </si>
  <si>
    <t>-Lucio Buladaco</t>
  </si>
  <si>
    <t>-Lumin Boholst</t>
  </si>
  <si>
    <t>-Lydia Misola</t>
  </si>
  <si>
    <t>-Macario Gamutan</t>
  </si>
  <si>
    <t>-Magdalina Cabusas</t>
  </si>
  <si>
    <t>-Mamerta Melgar</t>
  </si>
  <si>
    <t>-Mansueta Navas</t>
  </si>
  <si>
    <t>-Manuel Cutao</t>
  </si>
  <si>
    <t>-Marcelino Aparente</t>
  </si>
  <si>
    <t>-Marcelino Husain</t>
  </si>
  <si>
    <t>-Margarita Palomar</t>
  </si>
  <si>
    <t>-Maria Jerry Bello</t>
  </si>
  <si>
    <t>-Mariafe Cano</t>
  </si>
  <si>
    <t>-Marianita Lacre</t>
  </si>
  <si>
    <t>-Marilou Tiposo</t>
  </si>
  <si>
    <t>-Mario Lacson</t>
  </si>
  <si>
    <t>-Mario Rojas</t>
  </si>
  <si>
    <t>-Marlene Martini</t>
  </si>
  <si>
    <t>-Mary Jeanne Dacera</t>
  </si>
  <si>
    <t>-Maximo Virtudazo</t>
  </si>
  <si>
    <t>-Melecio Agacite</t>
  </si>
  <si>
    <t>-Melida Jorda</t>
  </si>
  <si>
    <t>-Meliton Bulaquena</t>
  </si>
  <si>
    <t>-Melquides Merto</t>
  </si>
  <si>
    <t>-Merlinda Torregosa</t>
  </si>
  <si>
    <t>-Milagros Baldoneza</t>
  </si>
  <si>
    <t>-N. Albar</t>
  </si>
  <si>
    <t>-Naomi Perez</t>
  </si>
  <si>
    <t>-Narciso Balaba</t>
  </si>
  <si>
    <t>-Neceforo Quejada</t>
  </si>
  <si>
    <t>-Necomedes Calderon</t>
  </si>
  <si>
    <t>-Necomedes Narciso</t>
  </si>
  <si>
    <t>-Nenita Bayung</t>
  </si>
  <si>
    <t>-Nestor Manlimas</t>
  </si>
  <si>
    <t>-Nita Buque</t>
  </si>
  <si>
    <t>-Norma Lumayno</t>
  </si>
  <si>
    <t>-Opelia Castillo</t>
  </si>
  <si>
    <t>-Orlando Avenida</t>
  </si>
  <si>
    <t>-Oswaldo Dujale</t>
  </si>
  <si>
    <t>-Pablo Deano</t>
  </si>
  <si>
    <t>-Pablo Talisic</t>
  </si>
  <si>
    <t>-Pascual Curitao</t>
  </si>
  <si>
    <t>-Paterna Mariaca</t>
  </si>
  <si>
    <t>-Paterno Bactol</t>
  </si>
  <si>
    <t>-Pedro Barrientos</t>
  </si>
  <si>
    <t>-Pedro Cervantes</t>
  </si>
  <si>
    <t>-Perfecto Roa</t>
  </si>
  <si>
    <t>-Perla Bautista</t>
  </si>
  <si>
    <t>-Perlita Austria</t>
  </si>
  <si>
    <t>-Petronio Borja</t>
  </si>
  <si>
    <t>-Pio Gonzales</t>
  </si>
  <si>
    <t>-Policarpo Sulinay</t>
  </si>
  <si>
    <t>-Porferio Castro</t>
  </si>
  <si>
    <t>-Precilla Casa</t>
  </si>
  <si>
    <t>-Prescilla Tadena</t>
  </si>
  <si>
    <t>-Ramon de la Cruz</t>
  </si>
  <si>
    <t>-Raul Asis</t>
  </si>
  <si>
    <t>-Rebecca Dayot</t>
  </si>
  <si>
    <t>-Rebecca Villarez</t>
  </si>
  <si>
    <t>-Regina Rubio</t>
  </si>
  <si>
    <t>-Regino Tindoy</t>
  </si>
  <si>
    <t>-Remedios Macalit</t>
  </si>
  <si>
    <t>-Remegio Samonte</t>
  </si>
  <si>
    <t>-Restituta Ramos</t>
  </si>
  <si>
    <t>-Ricardo Abrangan</t>
  </si>
  <si>
    <t>-Ricardo Alisoso</t>
  </si>
  <si>
    <t>-Ricardo Zabala</t>
  </si>
  <si>
    <t>-Rodel Casemiro</t>
  </si>
  <si>
    <t>-Rodolfo Estuya</t>
  </si>
  <si>
    <t>-Rodolfo Gumapac</t>
  </si>
  <si>
    <t>-Rodora Anob</t>
  </si>
  <si>
    <t>-Rogelio Lopez</t>
  </si>
  <si>
    <t>-Rogelio Mondejar</t>
  </si>
  <si>
    <t>-Rolando Danlag</t>
  </si>
  <si>
    <t>-Romeo Cultura</t>
  </si>
  <si>
    <t>-Romeo Palmerola</t>
  </si>
  <si>
    <t>-Romualdo Orbiso</t>
  </si>
  <si>
    <t>-Romulo Penaloga</t>
  </si>
  <si>
    <t>-Romulo Yu</t>
  </si>
  <si>
    <t>-Rosalinda Surigao</t>
  </si>
  <si>
    <t>-Rosario Jogasan</t>
  </si>
  <si>
    <t>-Rosendo Bandojo</t>
  </si>
  <si>
    <t>-Rosita Moraga</t>
  </si>
  <si>
    <t>-Rosita Odvina</t>
  </si>
  <si>
    <t>-Rosita Paz</t>
  </si>
  <si>
    <t>-Rudy Juntilla</t>
  </si>
  <si>
    <t>-Ruperto Perla</t>
  </si>
  <si>
    <t>-Rustico Ebale</t>
  </si>
  <si>
    <t>-Salvador Dequita</t>
  </si>
  <si>
    <t>-Salvador Mateo</t>
  </si>
  <si>
    <t>-Sammy Vicente</t>
  </si>
  <si>
    <t>-Samuel Jamandre</t>
  </si>
  <si>
    <t>-Samuel Torralba</t>
  </si>
  <si>
    <t>-Santiago Narvaez</t>
  </si>
  <si>
    <t>-Saturnino Minaya</t>
  </si>
  <si>
    <t>-Sebastian Saladaga</t>
  </si>
  <si>
    <t>-Segundina Anino</t>
  </si>
  <si>
    <t>-Sergio Beljano</t>
  </si>
  <si>
    <t>-Silvestre Diendo</t>
  </si>
  <si>
    <t>-Surcharge</t>
  </si>
  <si>
    <t>-Teofilo Edillor</t>
  </si>
  <si>
    <t>-Teofilo Osin</t>
  </si>
  <si>
    <t>-Teresita Nocus</t>
  </si>
  <si>
    <t>-Tito Badajos</t>
  </si>
  <si>
    <t>-Tomas Colorado</t>
  </si>
  <si>
    <t>-Trinidad Rojas</t>
  </si>
  <si>
    <t>-Venancio Dabales</t>
  </si>
  <si>
    <t>-Vicente Arche</t>
  </si>
  <si>
    <t>-Vicente Mejorada</t>
  </si>
  <si>
    <t>-Vicitacion Morales</t>
  </si>
  <si>
    <t>-Victor Duarte</t>
  </si>
  <si>
    <t>-Victor Sabello</t>
  </si>
  <si>
    <t>-Victorino Cellan</t>
  </si>
  <si>
    <t>-Victorino Pajota</t>
  </si>
  <si>
    <t>-Virginia Adlaon</t>
  </si>
  <si>
    <t>-Warlito Gingo</t>
  </si>
  <si>
    <t>-Wilfredo Canoy</t>
  </si>
  <si>
    <t>-William Gadiano</t>
  </si>
  <si>
    <t>-Yolanda Apat</t>
  </si>
  <si>
    <t>-Zenona Benedicto</t>
  </si>
  <si>
    <t>-Zosimo Galocgoc</t>
  </si>
  <si>
    <t>-ZUELLIG PHARMA</t>
  </si>
  <si>
    <t>-Teresita Aroy</t>
  </si>
  <si>
    <t>RELEASE</t>
  </si>
  <si>
    <t>Schedule 8- 159- DRUGS AND MEDICINE INVENTORY</t>
  </si>
  <si>
    <t xml:space="preserve">JEV# 301-09-01-0111-UNITED LABORATORIES, INC.-PHRTF-P.O.# 4171-08-DC </t>
  </si>
  <si>
    <t>dated 09/03/08-O.R.# 1256066 dated 12/16/08</t>
  </si>
  <si>
    <t xml:space="preserve">JEV# 301-09-01-0112-ZUELIG PHARMA CORP..-PHRTF-P.O.# 4352-08-DC </t>
  </si>
  <si>
    <t>dated 09/06/08-O.R.# 67037 dated 01/20/09</t>
  </si>
  <si>
    <t xml:space="preserve">JEV# 301-09-01-0113-ZUELIG PHARMA CORP..-PHRTF-P.O.# 4220-08-DC </t>
  </si>
  <si>
    <t>dated 09/08/08-O.R.# 67038 dated 01/20/09</t>
  </si>
  <si>
    <t xml:space="preserve">JEV# 301-09-01-0117.ALAAN PHARMACY.-PHRTF-P.O.# 4704-08-SH </t>
  </si>
  <si>
    <t>dated 10/13/08-O.R.# 71453 dated 01/16/09</t>
  </si>
  <si>
    <t xml:space="preserve">JEV# 301-09-02-0333.UNITED LABORATORIES, INC.-PHRTF-P.O.# 5105-08-DC </t>
  </si>
  <si>
    <t>dated 11/04/08-O.R.# 1256100 dated 01/27/09</t>
  </si>
  <si>
    <t xml:space="preserve">JEV# 301-09-02-0334.UNITED LABORATORIES, INC.-PHRTF-P.O.# 5108-08-DC </t>
  </si>
  <si>
    <t>dated 11/04/08-O.R.# 1256251 dated 01/27/09</t>
  </si>
  <si>
    <t xml:space="preserve">JEV# 301-09-02-0335.UNITED LABORATORIES, INC.-PHRTF-P.O.# 5106-08-DC </t>
  </si>
  <si>
    <t>dated 11/04/08-O.R.# 1256099 dated 01/27/09</t>
  </si>
  <si>
    <t xml:space="preserve">JEV# 301-09-02-0336.EURO-MED LABORATORIES, INC.-PHRTF-P.O.# 3513-08-DC </t>
  </si>
  <si>
    <t>dated 17/28/08-O.R.# 126535 dated 02/12/09</t>
  </si>
  <si>
    <t>JEV# 301-09-04-0621.HARJENS TRADE CENTER.-LHSD-P.O.# 0829-09-SH</t>
  </si>
  <si>
    <t>dated 3/05/09-O.R.# 0042 dated 5/4/09</t>
  </si>
  <si>
    <t>JEV# 301-09-04-0622.HARJENS TRADE CENTER.-LHSD-P.O.# 1057-09-SH</t>
  </si>
  <si>
    <t>dated 3/23/09-O.R.# 0041 dated 5/4/09</t>
  </si>
  <si>
    <t>JEV# 301-09-04-0623.HARJENS TRADE CENTER.-LHSD-P.O.# 1058-09-SH</t>
  </si>
  <si>
    <t>dated 3/23/09-O.R.# 0040 dated 5/4/09</t>
  </si>
  <si>
    <t xml:space="preserve">JEV# 301-09-04-0707.JNK MEDICAL SALES.-PHRTF-P.O.# 5750-08-DC </t>
  </si>
  <si>
    <t>dated 12/28/08-O.R.# 1586 dated 04/22/09</t>
  </si>
  <si>
    <t>JEV# 301-09-04-0709.ZUELLIG PHARMA CORP. -PHRTF-P.O.# 5042-08-DC</t>
  </si>
  <si>
    <t>dated 10/30/08-O.R.# 72668 dated 05/05/09</t>
  </si>
  <si>
    <t>JEV# 301-09-04-0710.ZUELLIG PHARMA CORP. -PHRTF-P.O.# 5103-08-DC</t>
  </si>
  <si>
    <t>dated 11/04/08-O.R.# 72667 dated 05/05/09</t>
  </si>
  <si>
    <t>JEV# 301-09-05-0881.JNK MEDICAL SALES. -PHRTF-P.O.# 1062-09-DC</t>
  </si>
  <si>
    <t>dated 03/24/09-O.R.# 1547 dated 05/27/09</t>
  </si>
  <si>
    <t>JEV# 301-09-05-0882.JNK MEDICAL SALES. -PHRTF-P.O.# 1364-09-DC</t>
  </si>
  <si>
    <t>dated 04/22/09-O.R.# 1548 dated 05/27/09</t>
  </si>
  <si>
    <t>JEV# 301-09-06-1068.ZUELLIG PHARMA CORP. -PHRTF-P.O.# 6032-08-DC</t>
  </si>
  <si>
    <t>dated 12/23/08-O.R.# 76077 dated 06/10/09</t>
  </si>
  <si>
    <t>JEV# 301-09-06-1069.ZUELLIG PHARMA CORP. -PHRTF-P.O.# 0525-09-DC</t>
  </si>
  <si>
    <t>dated 2/17/09-O.R.# 76075 dated 06/10/09</t>
  </si>
  <si>
    <t>JEV# 301-09-06-1070.ZUELLIG PHARMA CORP. -PHRTF-P.O.# 0524-09-DC</t>
  </si>
  <si>
    <t>dated 2/17/09-O.R.# 76076 dated 06/10/09</t>
  </si>
  <si>
    <t>JEV# 301-09-06-1071.UNITED LABORATORIES, INC. -PHRTF-PO#6031-08-DC</t>
  </si>
  <si>
    <t>dated 12/23/08-O.R.# 1256368 dated 05/08/09</t>
  </si>
  <si>
    <t>JEV# 301-09-06-1072.JNK MEDICAL SALES. -PHRTF-P.O.# 1472-09-SH</t>
  </si>
  <si>
    <t>dated 05/04/09-O.R.# 1296 dated 06/03/09</t>
  </si>
  <si>
    <t>JEV# 301-09-06-1075.JNK MEDICAL SALES. -PHRTF-P.O.# 1461-09-SH</t>
  </si>
  <si>
    <t>dated 05/04/09-O.R.#2159 dated 06/11/09</t>
  </si>
  <si>
    <t>JEV# 301-09-06-1102.JNK MEDICAL SALES. -LHSD-P.O.#1960-09-SH</t>
  </si>
  <si>
    <t>dated 06/15/09-O.R.#1298 dated 06/25/09</t>
  </si>
  <si>
    <t>JEV# 301-09-07-1282.JNK MEDICAL SALES. -PHRTF-PO#2207-09-DC</t>
  </si>
  <si>
    <t>dated 07/01/09-O.R.#2176 dated 07/15/09</t>
  </si>
  <si>
    <t>JEV# 301-09-07-1284.EURO MED LABORATORIES. -PHRTF-PO#0523-09-DC</t>
  </si>
  <si>
    <t>dated 02/17/09-O.R.#128887 dated 07/30/09</t>
  </si>
  <si>
    <t>JEV# 301-09-07-1285.UNITED LABORATORIES. -PHRTF-PO#1274-09-DC</t>
  </si>
  <si>
    <t>dated 04/14/09-O.R.#1256824 dated 07/20/09</t>
  </si>
  <si>
    <t>JEV# 301-09-07-1286.EURO MED LABORATORIES. -PHRTF-PO#1508-09-DC</t>
  </si>
  <si>
    <t>dated 05/11/09-O.R.#128889 dated 07/30/09</t>
  </si>
  <si>
    <t>JEV# 301-09-07-1287.UNITED LABORATORIES. -PHRTF-PO#1288-09-DC</t>
  </si>
  <si>
    <t>dated 04/15/09-O.R.#1256825 dated 07/20/09</t>
  </si>
  <si>
    <t>JEV# 301-09-07-1288.EURO MED LABORATORIES. -PHRTF-PO#1578-09-DC</t>
  </si>
  <si>
    <t>dated 05/14/09-O.R.#126421 dated 07/30/09</t>
  </si>
  <si>
    <t>JEV# 301-09-07-1289.UNITED LABORATORIES. -PHRTF-PO#0522-09-DC</t>
  </si>
  <si>
    <t>dated 02/17/09-O.R.#1256826 dated 07/22/09</t>
  </si>
  <si>
    <t>JEV# 301-09-07-1292.GETZ BROS. PHIL. INC.. -PHRTF-PO#5619-08-DC</t>
  </si>
  <si>
    <t>dated 12/04/08-O.R.#333857 dated 07/09/09</t>
  </si>
  <si>
    <t>JEV# 301-09-07-1293.EURO MED LABORATORIES. -PHRTF-PO#5620-08-DC</t>
  </si>
  <si>
    <t>dated 12/04/09-O.R.#128873 dated 07/24/09</t>
  </si>
  <si>
    <t>JEV# 301-09-08-1479.JNK MEDICAL SALES. -PHRTF-PO#2246-09-SH</t>
  </si>
  <si>
    <t>dated 07/03/09-OR.#2183 dated 08/14/09</t>
  </si>
  <si>
    <t>JEV# 301-09-08-1480.METRO DRUG CORPORATION -PHRTF-PO#5107-08-DC</t>
  </si>
  <si>
    <t>dated 11/04/08-OR.#763180 dated 08/20/09</t>
  </si>
  <si>
    <t>JEV# 301-09-08-1481.ZUELLIG PHARMA CORPORATION -PHRTF-PO#5621-08-DC</t>
  </si>
  <si>
    <t>dated 12/04/08-OR.#78661 dated 08/19/09</t>
  </si>
  <si>
    <t>JEV# 301-09-08-1489.ZUELLIG PHARMA CORPORATION -PHRTF-PO#1273-09-DC</t>
  </si>
  <si>
    <t>dated 04/14/09-OR.#78660 dated 08/19/09</t>
  </si>
  <si>
    <t>JEV# 301-09-08-1490.ZUELLIG PHARMA CORPORATION -PHRTF-PO#1072-09-DC</t>
  </si>
  <si>
    <t>dated 03/24/09-OR.#73183 dated 08/17/09</t>
  </si>
  <si>
    <t>JEV# 301-09-08-1491.ZUELLIG PHARMA CORPORATION -PHRTF-PO#1174-09-DC</t>
  </si>
  <si>
    <t>dated 04/02/09-OR.#73182 dated 08/17/09</t>
  </si>
  <si>
    <t>JEV# 301-09-08-1492. METRO DRUG, INC-PHRTF-PO#0626-09-DC</t>
  </si>
  <si>
    <t>dated 02/24/09-OR.#763181 dated 08/20/09</t>
  </si>
  <si>
    <t>JEV# 301-09-08-1493.ZUELLIG PHARMA CORPORATION -PHRTF-PO#1011-09-DC</t>
  </si>
  <si>
    <t>dated 03/17/09-OR.#73181 dated 08/17/09</t>
  </si>
  <si>
    <t>JEV# 301-09-09-1712.METRO DRUG INC. -PHRTF-PO#1087-09-DC</t>
  </si>
  <si>
    <t>dated 03/26/09-OR#780864 dated 10/16/09</t>
  </si>
  <si>
    <t>JEV# 301-09-10-2006.ZUELLIG PHARMA CORPORATION -PHRTF-PO#2342-09-DC</t>
  </si>
  <si>
    <t>dated 07/09/09-OR#81109 dated 10/29/09</t>
  </si>
  <si>
    <t>JEV# 301-09-10-2007.ZUELLIG PHARMA CORPORATION -PHRTF-PO#1361-09-DC</t>
  </si>
  <si>
    <t>dated 04/22/09-OR#81112 dated 10/29/09</t>
  </si>
  <si>
    <t>JEV# 301-09-10-2008.JNK MEDICAL SALES -PHRTF-PO#1363-09-DC</t>
  </si>
  <si>
    <t>dated 04/22/09-OR#2056dated 10/14/09</t>
  </si>
  <si>
    <t>JEV# 301-09-10-2010.ZUELLIG PHARMA CORPORATION -PHRTF-PO#1271-09-DC</t>
  </si>
  <si>
    <t>dated 04/14/09-OR#81108 dated 10/29/09</t>
  </si>
  <si>
    <t>JEV# 301-09-10-2011.ZUELLIG PHARMA CORPORATION -PHRTF-PO#3141-09-DC</t>
  </si>
  <si>
    <t>dated 09/09/09-OR#81107 dated 10/29/09</t>
  </si>
  <si>
    <t>JEV# 301-09-10-2012.ZUELLIG PHARMA CORPORATION -PHRTF-PO#2614-09-DC</t>
  </si>
  <si>
    <t>dated 07/31/09-OR#81110 dated 10/29/09</t>
  </si>
  <si>
    <t>JEV# 301-09-10-2013.ZUELLIG PHARMA CORPORATION -PHRTF-PO#3424-09-DC</t>
  </si>
  <si>
    <t>dated 09/24/09-OR#81111 dated 10/29/09</t>
  </si>
  <si>
    <t>JEV# 301-09.11.2227.UNITED LABORATORIES, INC -PHRTF-PO#1882-09-DC</t>
  </si>
  <si>
    <t>dated 06/04/09-OR#1274229 dated 11/5/09</t>
  </si>
  <si>
    <t>JEV# 301-09.11.2231.JNK MEDICAL SALES -PHRTF-PO#3907-09-DC</t>
  </si>
  <si>
    <t>dated 10/29/09-OR#12064 dated 11/25/09</t>
  </si>
  <si>
    <t>JEV# 301-09.11.2232.METRO DRUGS, INC. -PHRTF-PO#3423-09-DC</t>
  </si>
  <si>
    <t>dated 09/24/09-OR#794555 dated 11/27/09</t>
  </si>
  <si>
    <t>Schedule 9 - 416- DUE TO OTHER NGA'S</t>
  </si>
  <si>
    <t>ACT FOR PEACE PROGRAM</t>
  </si>
  <si>
    <t>for Mindanao Week Long peace</t>
  </si>
  <si>
    <t>ACT FOR PEACE PROGRAM  (Disaster Risk REduction)</t>
  </si>
  <si>
    <t>ACT FOR PEACE PROGRAM (SARAS)</t>
  </si>
  <si>
    <t>ACT FOR PEACE PROGRAM(Life Skills Education Training)</t>
  </si>
  <si>
    <t>Allot. for Patin-ay Road Net Work</t>
  </si>
  <si>
    <t>AREA HEALTH ZONE</t>
  </si>
  <si>
    <t>ARSP- San Roque</t>
  </si>
  <si>
    <t>Fund Release</t>
  </si>
  <si>
    <t>ASERBAC NEGO Kart &amp; Kabuhayan Info Tech</t>
  </si>
  <si>
    <t>Assis. Evacuess to the Mun. of Esperanza</t>
  </si>
  <si>
    <t>Assistance from Senator Lacson</t>
  </si>
  <si>
    <t>Less: Cash Adv.</t>
  </si>
  <si>
    <t>BDH Financial Assistance from Cong. Plaza</t>
  </si>
  <si>
    <t>Binhian - DA</t>
  </si>
  <si>
    <t>12/18/09</t>
  </si>
  <si>
    <t>BWSA-DPWH</t>
  </si>
  <si>
    <t xml:space="preserve">Overdraft </t>
  </si>
  <si>
    <t>As of 12/08</t>
  </si>
  <si>
    <t>Calamity Fund</t>
  </si>
  <si>
    <t>Calamity Fund 2009</t>
  </si>
  <si>
    <t>Calamity Fund 2010</t>
  </si>
  <si>
    <t>CDF  PRIORITY PROJECTS</t>
  </si>
  <si>
    <t>(17,633.18 - NRJ San Martin-Maasin 30,400.00)</t>
  </si>
  <si>
    <t>CIDP Bakas - 8277.74</t>
  </si>
  <si>
    <t>CDF- SATUR OCAMPO</t>
  </si>
  <si>
    <t>CDF-DSWD CIDSS</t>
  </si>
  <si>
    <t>CDF-SEN. PEMENTEL</t>
  </si>
  <si>
    <t>DA-CDF</t>
  </si>
  <si>
    <t>NOSA FROM DBM-NO NOTICE OF CASH ALLOCATION-12/27/07</t>
  </si>
  <si>
    <t>CIDP- Patin-ay Lucac FMR</t>
  </si>
  <si>
    <t>CIDP- Patin-ay Lucac FMR (phase 2)</t>
  </si>
  <si>
    <t>CIDP-Anislagan Juction-P3 FMR</t>
  </si>
  <si>
    <t>CIDP-PRJ San Isidro Access Road</t>
  </si>
  <si>
    <t>CIDP-San Jose-Sayon FMR</t>
  </si>
  <si>
    <t>CIDP-Sition Unsayawon-Anilawan FMR</t>
  </si>
  <si>
    <t>COMELEC</t>
  </si>
  <si>
    <t xml:space="preserve">5/5 PTO-pay't 204 liter diesoline </t>
  </si>
  <si>
    <t>CRBI-1980-81</t>
  </si>
  <si>
    <t>CRBI-1985</t>
  </si>
  <si>
    <t>DA- Acquisition of agricultural suplies and inputs</t>
  </si>
  <si>
    <t>DA-BSWM</t>
  </si>
  <si>
    <t>BSWM AGRI - F. CAFÉ c/a</t>
  </si>
  <si>
    <t>NCA</t>
  </si>
  <si>
    <t>DA-Devolved</t>
  </si>
  <si>
    <t>DA-Rehab. NRJ  BRGY. 1-BITAN-AGAN ROAD</t>
  </si>
  <si>
    <t>DA-Rehab. NRJ KARAOS-LAPAG-SOMOGBONG FMR</t>
  </si>
  <si>
    <t>DA-Rehab. Of San Isidro Irrigation Projects at Bayugan, ADS</t>
  </si>
  <si>
    <t>DAR-IFAD-GOP</t>
  </si>
  <si>
    <t>DAR-IFAD-LP</t>
  </si>
  <si>
    <t>DAR-IFAD-LP-BHW Training, Health &amp; Nutrition</t>
  </si>
  <si>
    <t>DA-VAIP GMAP NRJ Cagbas-Saguma-Gamao FMR</t>
  </si>
  <si>
    <t>DA-VAIP GMAP Villa Undayon-New Salem FMR</t>
  </si>
  <si>
    <t>DA-VAIP GMAP-Const. of NRJ Bunawan-Tagbayangbang FMR</t>
  </si>
  <si>
    <t>DA-VAIP GMAP-DEL MONTE</t>
  </si>
  <si>
    <t>DA-VETERENARIAN</t>
  </si>
  <si>
    <t>DBM for Priority Projects</t>
  </si>
  <si>
    <t>DBM-Budgeting Seminar</t>
  </si>
  <si>
    <t>DBM-Region X</t>
  </si>
  <si>
    <t>DECS</t>
  </si>
  <si>
    <t>Depo. of Espe. Hospi. from Nat'l.</t>
  </si>
  <si>
    <t>liQUIDATION</t>
  </si>
  <si>
    <t>DOE-XU ANEC</t>
  </si>
  <si>
    <t>DOH - Health Workers</t>
  </si>
  <si>
    <t>DOH- EMCH(HSRA)</t>
  </si>
  <si>
    <t>DOH-Barangay Health Worker</t>
  </si>
  <si>
    <t>for refundfromMitshobisahi</t>
  </si>
  <si>
    <t>DOH-BDH financial assistance for Health Zone</t>
  </si>
  <si>
    <t>DOH-BHW</t>
  </si>
  <si>
    <t>DOH-BHW -OR# 9371125 dated 6/10/05</t>
  </si>
  <si>
    <t>DOH-Caraga---Medical Assis.to Indigents</t>
  </si>
  <si>
    <t>DOH-Health Sector Reform Agenda-Start Up Fund</t>
  </si>
  <si>
    <t>V- 1/2/06</t>
  </si>
  <si>
    <t>DOH-Health Zone(ILHZ)</t>
  </si>
  <si>
    <t>DOH-HSRA</t>
  </si>
  <si>
    <t>DOH-LHSD</t>
  </si>
  <si>
    <t>DOH-LHSD-OR# 9371124 dated 6/10/05</t>
  </si>
  <si>
    <t>DOH-Lingap Medical Assistance</t>
  </si>
  <si>
    <t>DOH-Local Health Support-Civil Works</t>
  </si>
  <si>
    <t>DOH-Purchase of Medical Equipment</t>
  </si>
  <si>
    <t>DOH-Service Level Agreement</t>
  </si>
  <si>
    <t>DOH-Upgrading of Hospitals(DOPMH)</t>
  </si>
  <si>
    <t>DOLE Caraga Region Office</t>
  </si>
  <si>
    <t>DOPMH -HSRA</t>
  </si>
  <si>
    <t>DOPMH -LHS for Medical equipment</t>
  </si>
  <si>
    <t>DPWH-SLRF MVUC Crossing Luna Duangan</t>
  </si>
  <si>
    <t>DPWH-SLRF MVUC FMR</t>
  </si>
  <si>
    <t>DPWH-SLRF MVUC Illumination</t>
  </si>
  <si>
    <t>DPWH-SLRF MVUC NRJ Borbon Rd</t>
  </si>
  <si>
    <t>DPWH-SLRF MVUC Tagbayagan RD.</t>
  </si>
  <si>
    <t>DPWH-SPECIAL  LOCAL ROADS FUND-MVUC</t>
  </si>
  <si>
    <t>DPWH-VARIOUS INFRAST INCLUDING LOCAL PROJECTS-MAGSASAY</t>
  </si>
  <si>
    <t>DSWD - Assistance</t>
  </si>
  <si>
    <t>ENR-SECAL</t>
  </si>
  <si>
    <t>Integrated CRBI Projects</t>
  </si>
  <si>
    <t xml:space="preserve">KABISIG Program </t>
  </si>
  <si>
    <t>KKK</t>
  </si>
  <si>
    <t>Saving Account 112</t>
  </si>
  <si>
    <t>LDAP-RPTA</t>
  </si>
  <si>
    <t>LWUA - Rural Waterworks System</t>
  </si>
  <si>
    <t>Maitom Bridge</t>
  </si>
  <si>
    <t>MALARIA CONTROL OPERATION</t>
  </si>
  <si>
    <t>Manila Bulletin</t>
  </si>
  <si>
    <t>MINSSAD</t>
  </si>
  <si>
    <t>MSSD Day Care</t>
  </si>
  <si>
    <t>NDCC - DND</t>
  </si>
  <si>
    <t>NHA-Final billing of Patin-ay Resettlement</t>
  </si>
  <si>
    <t>NHA-Lingap sa Mahirap</t>
  </si>
  <si>
    <t>NHA-Lingap sa Mahirap(Brgy. 5)</t>
  </si>
  <si>
    <t>OP-NPUDC</t>
  </si>
  <si>
    <t>PCAMRD-DOST (Aqua Culture Technology)</t>
  </si>
  <si>
    <t>PCSO</t>
  </si>
  <si>
    <t>PDAF Cong. Evelyn P. Mellana</t>
  </si>
  <si>
    <t>Petty Cash Fund - Judith Lagumbay</t>
  </si>
  <si>
    <t>PDAF Cong. Maria Valentina G. Plaza</t>
  </si>
  <si>
    <t>Peace &amp; Order Assistance</t>
  </si>
  <si>
    <t>Phil. Rice Research Institute</t>
  </si>
  <si>
    <t>Physical Fitness &amp; Sports Development</t>
  </si>
  <si>
    <t>POPCOM</t>
  </si>
  <si>
    <t>PRMF Untied Incentives Fund</t>
  </si>
  <si>
    <t>Provincial Reconciliation &amp; Development Council</t>
  </si>
  <si>
    <t>PSF-for socio civic assistance</t>
  </si>
  <si>
    <t>CDF</t>
  </si>
  <si>
    <t>PSF-GOVERNOR'S GUEST HOUSE</t>
  </si>
  <si>
    <t>RW3SP-Loan 1440</t>
  </si>
  <si>
    <t>RW3SP-Loan 1441</t>
  </si>
  <si>
    <t>Seed Money-BLSB-MLG (1983)</t>
  </si>
  <si>
    <t>SELAP-Baka Alang sa Kauswagan sa ADS (BAKAS) 2008</t>
  </si>
  <si>
    <t>SELAP-Banana Production 2008</t>
  </si>
  <si>
    <t>SELAP-GOAT MUTIPLIER</t>
  </si>
  <si>
    <t>SELAP-GOAT PROGRAM</t>
  </si>
  <si>
    <t>SELAP-Rubber Production Program 2008</t>
  </si>
  <si>
    <t>Taxmapping</t>
  </si>
  <si>
    <t>Terminal Leave Benefit</t>
  </si>
  <si>
    <t>TINA's Project from Sen. Juan Miguel Subiri</t>
  </si>
  <si>
    <t>Tourism Master Plan Project</t>
  </si>
  <si>
    <t>UNICEF</t>
  </si>
  <si>
    <t>UNICEF CNSP</t>
  </si>
  <si>
    <t>UNICEF SPLD</t>
  </si>
  <si>
    <t>WOMEN'S HEALTH AND SAFE MOTHERHOOD</t>
  </si>
  <si>
    <t>Schedule 10 - 418- DUE TO LGU'S</t>
  </si>
  <si>
    <t>BDH AREA HEALTH ZONE ASSISTANCE FROM LGU'S</t>
  </si>
  <si>
    <t>LGU Counterpart to Agusan Marsh</t>
  </si>
  <si>
    <t xml:space="preserve">balance </t>
  </si>
  <si>
    <t>LGU Counterpart to Barangay Food Terminal</t>
  </si>
  <si>
    <t>LGU Counterpart to Center Island Electrification(Prosperidad)</t>
  </si>
  <si>
    <t>LGU  Counterpart to ECCD-DSWD</t>
  </si>
  <si>
    <t>LGU Counterpart to  Electrification Project</t>
  </si>
  <si>
    <t>LGU Counterpart to  HIGHWAYElectrification (Sibagat ADS)</t>
  </si>
  <si>
    <t>11/07/08 C/A DM Castro</t>
  </si>
  <si>
    <t>LGU Counterpart to  HIGHWAYElectrification (SAN FRANSCISCO)</t>
  </si>
  <si>
    <t>6189.94 La Paz &amp; Loreto Boundary Conflict</t>
  </si>
  <si>
    <t>LGU Counterpart for Model of Excellence Schools Program of Book for Barrios foundation, INC.</t>
  </si>
  <si>
    <t>LGU Sibagat Counterpart to Fund Health Bldg .</t>
  </si>
  <si>
    <t>LGU Counterpart to PVBDS</t>
  </si>
  <si>
    <t>LGU Counterpart to Water System of P7-Aurora, Prsoperidad</t>
  </si>
  <si>
    <t>LGU Counterpart to WATSAN-Convergence</t>
  </si>
  <si>
    <t>LGU Counterpart to Youth Congress</t>
  </si>
  <si>
    <t>Lydia Tui, cash advance</t>
  </si>
  <si>
    <t>LGU Assistance for Installation of New Reporting System</t>
  </si>
  <si>
    <t>Schedule 11-424-DUE TO OTHER FUNDS/BOOKS</t>
  </si>
  <si>
    <t xml:space="preserve">ADJUSTMENTS </t>
  </si>
  <si>
    <t>Bal.-DOE-</t>
  </si>
  <si>
    <t xml:space="preserve">BARANGAY ELECTRIFICATION </t>
  </si>
  <si>
    <t>CIDP Const. Anislagan Junction-P3, San Luis, ADS</t>
  </si>
  <si>
    <t>CIDP Const. of Patin-ay-Lucac FMR, Prosperidad, ADS</t>
  </si>
  <si>
    <t>CIDP Const. of San Jose-Sayon, Sta. Josefa, ADS</t>
  </si>
  <si>
    <t>CIDP Rehab. NRJ Labnig-Anilawan, Unsayawon, Talacogon, ADS</t>
  </si>
  <si>
    <t>Environmental Tax</t>
  </si>
  <si>
    <t>DOE</t>
  </si>
  <si>
    <t>Insurance of Service Vehicle</t>
  </si>
  <si>
    <t>MINSSAD-20% DEV'T. FUND</t>
  </si>
  <si>
    <t>MRDP GOP</t>
  </si>
  <si>
    <t>MRDP LP</t>
  </si>
  <si>
    <t>Rehab. Of Pisaan-Borbon &amp; NRJ Crossing Luna Duangan Rd</t>
  </si>
  <si>
    <t>111(40)</t>
  </si>
  <si>
    <t>PRMF</t>
  </si>
  <si>
    <t>SELAP-BAKAS</t>
  </si>
  <si>
    <t>SELAP-BUGAS</t>
  </si>
  <si>
    <t>Transfer of funds from TF-Proper to TF-MINSSAD</t>
  </si>
  <si>
    <t>SELAP-DACUTAN &amp; SPILLWAY</t>
  </si>
  <si>
    <t>SELAP-FARM  EQUIPMENT</t>
  </si>
  <si>
    <t>SELAP-FMR</t>
  </si>
  <si>
    <t>SELAP-GOAT DEVELOPMENT PROGRAM</t>
  </si>
  <si>
    <t>SELAP-ORGANIC</t>
  </si>
  <si>
    <t>SELAP-PISOS</t>
  </si>
  <si>
    <t>SELAP-PRUTAS</t>
  </si>
  <si>
    <t>SELAP-RUBBER DEVELOPMENT</t>
  </si>
  <si>
    <t>SELAP-RUBBER NURSERY</t>
  </si>
  <si>
    <t>SELAP-RUBBER PRODUCTION</t>
  </si>
  <si>
    <t>SELAP-SWINE UPGRADING PROGRAM</t>
  </si>
  <si>
    <t>SELAP-VEGETABLE</t>
  </si>
  <si>
    <t>SELPA-BANANA PRODUCTION</t>
  </si>
  <si>
    <t>SLRF MVUC Illumination</t>
  </si>
  <si>
    <t>Schedule 12 - 426-GUARANTY DEPOSIT PAYABLE</t>
  </si>
  <si>
    <t>Balances carried forward</t>
  </si>
  <si>
    <t>Fedil Bolatete-site survey Patin-ay resettlement</t>
  </si>
  <si>
    <t>AGUSAN BUILDERS COOPERATIVE (ABCO) (Rehab. Of NRJ Sitio Unsayawon-Anilawan FMR</t>
  </si>
  <si>
    <t>111(37)</t>
  </si>
  <si>
    <t>EDTING BUILDERS &amp; CONSTRUCTION SUPPLY(Rehab. Of Angas CIS, Sta. Josefa, ADS)</t>
  </si>
  <si>
    <t>111(39)</t>
  </si>
  <si>
    <t>MADYAW CONST. &amp; DEV'T CORP. (Const. of Flood Control Revetment along Riverbank of Poblacion, Veruela, Phase 1 (Revised 1) Veruela</t>
  </si>
  <si>
    <t>AGUSAN BUILDERS COOPERATIVE (ABCO) ( Const. of Flood Control Revetment along Abut A of JVAR Bridge, Veruela</t>
  </si>
  <si>
    <t>w/drawn 5/27/2011</t>
  </si>
  <si>
    <t>MADYAW CONST. AND DEVELOPMENT (Const. of Flood control Revetment along Riverbank of Poblacion, Veruela, Phase 1 )</t>
  </si>
  <si>
    <t>ME3 Construction ( Const. of San Jose-Sayon FMR, Sta. Josefa, ADS)</t>
  </si>
  <si>
    <t>LGC TRUCKING &amp; CONST.,  SELAP AGUINALDO</t>
  </si>
  <si>
    <t>WILPER CONSTRUCTION, INC. (Const. of flood control revetment along riverbank of Poblacion Veruela (phase 2)</t>
  </si>
  <si>
    <t>WILPER CONSTRUCTION, INC. (Const. of flood control revetment along riverbank of Tapaz, Sta. Josefa, ADS)</t>
  </si>
  <si>
    <t>w/drawn 5/24/2011</t>
  </si>
  <si>
    <t>ME3 Construction ( Rechanneling of Bahayan River, Trento, ADS))</t>
  </si>
  <si>
    <t>AGUSAN BUILDERS COOPERATIVE (ABCO) ( Construction of Anislagan-JCT Purok 3 FMR, San Luis, ADS)</t>
  </si>
  <si>
    <t>AGUSAN BUILDERS COOPERATIVE (ABCO) (Rehab. NRJ Sitio Unsayawon-Anilawan FMR))</t>
  </si>
  <si>
    <t>LM CONSTRUCTION &amp; GEN. MKTG (Const. of Sibagat rural Health Building (Phase 1) located at Sibagat, ADS)</t>
  </si>
  <si>
    <t>111(9)</t>
  </si>
  <si>
    <t>w/drawn 3/10/2011</t>
  </si>
  <si>
    <t>LGC TRUCKING &amp; CONST.( Const. of Purok 6-Purok 5 Marcelina FMR, Bayugan City)</t>
  </si>
  <si>
    <t>LGC TRUCKING CORPORATION( Rehab. Of NRJ Bayobo-NIA Access Rd,  Prosperidad, Agusan del Sur)</t>
  </si>
  <si>
    <t>Schedule 13- 427 PERFORMANCE/BIDDERS/BAIL BOND PAYABLE</t>
  </si>
  <si>
    <t>5 J's Hardware</t>
  </si>
  <si>
    <t>68th Auto Supply</t>
  </si>
  <si>
    <t>A &amp; F Photographic Printing</t>
  </si>
  <si>
    <t>A &amp; M Commercial</t>
  </si>
  <si>
    <t>ADELSAA</t>
  </si>
  <si>
    <t>ADFIL Corporation</t>
  </si>
  <si>
    <t>Agusan Builders Coop. (ABCO)</t>
  </si>
  <si>
    <t>Agusan Builders Cooperative</t>
  </si>
  <si>
    <t>Alfredo Juanico</t>
  </si>
  <si>
    <t>ALMARLI  Construction</t>
  </si>
  <si>
    <t>Apollo Medical Equipment</t>
  </si>
  <si>
    <t>ARREZA GEN. MDSE</t>
  </si>
  <si>
    <t>Arth's Gen Mdse</t>
  </si>
  <si>
    <t>Arthur Garay</t>
  </si>
  <si>
    <t>Atlanta Industries Inc.</t>
  </si>
  <si>
    <t>Atlas  farm supply</t>
  </si>
  <si>
    <t>Atrio Enterprises</t>
  </si>
  <si>
    <t>Basic Agri Industry</t>
  </si>
  <si>
    <t>Better Components</t>
  </si>
  <si>
    <t>Betty's School &amp; Office Supply</t>
  </si>
  <si>
    <t>Bormaheco</t>
  </si>
  <si>
    <t>Bureau of Internal Revenue</t>
  </si>
  <si>
    <t>Butuan  Champion Hardware</t>
  </si>
  <si>
    <t>Butuan AVP Mktg.</t>
  </si>
  <si>
    <t>Butuan Champion Hardware</t>
  </si>
  <si>
    <t>Butuan L &amp; A TRADING</t>
  </si>
  <si>
    <t>Byteword Computer</t>
  </si>
  <si>
    <t>MAYGATAS</t>
  </si>
  <si>
    <t>Byteworld Computer</t>
  </si>
  <si>
    <t>Cagayan Educational Supply</t>
  </si>
  <si>
    <t>Carlito Capol</t>
  </si>
  <si>
    <t>CBBI</t>
  </si>
  <si>
    <t>Celsa S. Sanchez</t>
  </si>
  <si>
    <t>Centierrez Marketing</t>
  </si>
  <si>
    <t>Charmie Enterprises</t>
  </si>
  <si>
    <t>Chors Lug Trading</t>
  </si>
  <si>
    <t>CMJ Electronics</t>
  </si>
  <si>
    <t>Columbia Comp. Ctr.</t>
  </si>
  <si>
    <t>Columbia Computer Center</t>
  </si>
  <si>
    <t>COMPAÑERO COM.</t>
  </si>
  <si>
    <t>Conpinco Trading</t>
  </si>
  <si>
    <t>Crisanto Cebrian</t>
  </si>
  <si>
    <t>Cristal Press</t>
  </si>
  <si>
    <t>Crystals Press</t>
  </si>
  <si>
    <t>Cuadra Printing</t>
  </si>
  <si>
    <t>Datalan Commu.</t>
  </si>
  <si>
    <t>Davao Import</t>
  </si>
  <si>
    <t>Digna Numeron</t>
  </si>
  <si>
    <t>DIMDI</t>
  </si>
  <si>
    <t>Dionesio Escaril</t>
  </si>
  <si>
    <t>Dionesio Ong</t>
  </si>
  <si>
    <t>Division School Superintendent</t>
  </si>
  <si>
    <t>Diwata Farm Supply</t>
  </si>
  <si>
    <t>Dod's Auto Parts</t>
  </si>
  <si>
    <t>Dod's Auto Parts &amp; Gen.Mrktg.</t>
  </si>
  <si>
    <t>Dr. Edilberto Dieso</t>
  </si>
  <si>
    <t>Dumas San Franz</t>
  </si>
  <si>
    <t>Dyteban Hardware</t>
  </si>
  <si>
    <t>E.P. MANANTAN</t>
  </si>
  <si>
    <t>Eastern  Rose Printers</t>
  </si>
  <si>
    <t>EJC Video Center</t>
  </si>
  <si>
    <t>EMCOR</t>
  </si>
  <si>
    <t>Emmanuel Aclan</t>
  </si>
  <si>
    <t>Engineering &amp; Services Traders</t>
  </si>
  <si>
    <t>Esphar Medical Center</t>
  </si>
  <si>
    <t>Euro-Med Laboratory Phils.</t>
  </si>
  <si>
    <t>F S D C</t>
  </si>
  <si>
    <t>F. Mar Marketing</t>
  </si>
  <si>
    <t>Felix Uy</t>
  </si>
  <si>
    <t>Felna Printing</t>
  </si>
  <si>
    <t>Felna Printing Press</t>
  </si>
  <si>
    <t>Fit &amp; Son Concrete Products</t>
  </si>
  <si>
    <t>Floriance const. &amp; Supply</t>
  </si>
  <si>
    <t>FMP Marketing</t>
  </si>
  <si>
    <t>Fountain Head</t>
  </si>
  <si>
    <t>G. L. Distributor</t>
  </si>
  <si>
    <t>Gaisano Enterpace</t>
  </si>
  <si>
    <t>Gaisano Mall</t>
  </si>
  <si>
    <t>Gilmore Espia</t>
  </si>
  <si>
    <t>GL Distributors</t>
  </si>
  <si>
    <t>GLOBAL CHIPS</t>
  </si>
  <si>
    <t>GM ENTERPRISE</t>
  </si>
  <si>
    <t>Golden Bill Grand</t>
  </si>
  <si>
    <t>Green Agro</t>
  </si>
  <si>
    <t>Green Agro Poultry Supply</t>
  </si>
  <si>
    <t>GSP</t>
  </si>
  <si>
    <t>H &amp; E  Commercial</t>
  </si>
  <si>
    <t>H &amp; E Commercial</t>
  </si>
  <si>
    <t>Hajmel Printing</t>
  </si>
  <si>
    <t>Hajmel Printing Press</t>
  </si>
  <si>
    <t>Home Place Marketing</t>
  </si>
  <si>
    <t xml:space="preserve">Instatech </t>
  </si>
  <si>
    <t>J E B Trading</t>
  </si>
  <si>
    <t>J F P  Enterprises</t>
  </si>
  <si>
    <t>J V Printing Cooperative Inc.</t>
  </si>
  <si>
    <t>Jeels Masagana Farm Supply</t>
  </si>
  <si>
    <t>Jessel Marketing</t>
  </si>
  <si>
    <t>Jesus Postrano</t>
  </si>
  <si>
    <t>JFP Ent.</t>
  </si>
  <si>
    <t>JNK Medical Sales</t>
  </si>
  <si>
    <t>John Jade Gen. Mdse.</t>
  </si>
  <si>
    <t>Johnny Martensan</t>
  </si>
  <si>
    <t>Joji Afable Trading</t>
  </si>
  <si>
    <t>Juanito Dequito</t>
  </si>
  <si>
    <t>Karagahan Wood Industry Multi-purpose Coop.</t>
  </si>
  <si>
    <t>KIMSON</t>
  </si>
  <si>
    <t>Kristelles</t>
  </si>
  <si>
    <t>LC TING Const.</t>
  </si>
  <si>
    <t>Leyson Printing</t>
  </si>
  <si>
    <t>LGC Const.</t>
  </si>
  <si>
    <t>LGC Trucking &amp; Const.</t>
  </si>
  <si>
    <t>LM CONSTRUCTION &amp; GEN. MKTG.</t>
  </si>
  <si>
    <t>LM Construction &amp; General Mktg</t>
  </si>
  <si>
    <t>LNR CONSTRUCTION</t>
  </si>
  <si>
    <t>Loyola De Oro Dep't. Foundation Inc.</t>
  </si>
  <si>
    <t>M &amp; F Tradelines</t>
  </si>
  <si>
    <t>M. Abatayo</t>
  </si>
  <si>
    <t>Mabuhay Furniture</t>
  </si>
  <si>
    <t>Madjao</t>
  </si>
  <si>
    <t>MADYAW CONST</t>
  </si>
  <si>
    <t>Madyaw Construction &amp; Dev't Corporation</t>
  </si>
  <si>
    <t>Mainland Construction</t>
  </si>
  <si>
    <t>DISALLOWANCE</t>
  </si>
  <si>
    <t>Makline Enterprises</t>
  </si>
  <si>
    <t>ERROR</t>
  </si>
  <si>
    <t>Marites Furniture</t>
  </si>
  <si>
    <t>Mc Jones Elect. Ent.</t>
  </si>
  <si>
    <t>MC Jones Electronics Enterprise</t>
  </si>
  <si>
    <t>Mckline Industry</t>
  </si>
  <si>
    <t>ME3 Construction</t>
  </si>
  <si>
    <t>MedMate Trading</t>
  </si>
  <si>
    <t>Metro Drugs Corp</t>
  </si>
  <si>
    <t>MFCS Enterprises</t>
  </si>
  <si>
    <t>Mindahila Sawmill</t>
  </si>
  <si>
    <t>More Tailorama</t>
  </si>
  <si>
    <t>Multi-Trade</t>
  </si>
  <si>
    <t>New Hervic Com'l.</t>
  </si>
  <si>
    <t>New Hervic Commercial</t>
  </si>
  <si>
    <t>New Surigao</t>
  </si>
  <si>
    <t>Nishimura Shokai C. Ltd.</t>
  </si>
  <si>
    <t>Novie Apit</t>
  </si>
  <si>
    <t>O.I.D.C.</t>
  </si>
  <si>
    <t>Olib Ruiz</t>
  </si>
  <si>
    <t>Olib Ruiz Trading</t>
  </si>
  <si>
    <t>03/02/07 withdrawal</t>
  </si>
  <si>
    <t>03/02/07</t>
  </si>
  <si>
    <t>One Touch Compu.</t>
  </si>
  <si>
    <t>Oriental Radio Electrical Supply</t>
  </si>
  <si>
    <t>04/18/07</t>
  </si>
  <si>
    <t>Oro Asian Automotive</t>
  </si>
  <si>
    <t>0418/07</t>
  </si>
  <si>
    <t>P. T. Medical supply</t>
  </si>
  <si>
    <t>Perfect Pitch</t>
  </si>
  <si>
    <t>OR#1216046 dtd. 11/9/06</t>
  </si>
  <si>
    <t>Perfect Pitch Store</t>
  </si>
  <si>
    <t>OR# 1412086 dated 1/16/07</t>
  </si>
  <si>
    <t>PHILAM Insurance</t>
  </si>
  <si>
    <t>OR# 0091178-7/19/04</t>
  </si>
  <si>
    <t>Pulvera Hardware</t>
  </si>
  <si>
    <t>R C S Concrete Products</t>
  </si>
  <si>
    <t>R I T C</t>
  </si>
  <si>
    <t>R Top Printing Press</t>
  </si>
  <si>
    <t>Radio Shack Enterprises</t>
  </si>
  <si>
    <t>Rhine Marketing</t>
  </si>
  <si>
    <t>RJJN Trapal Supply</t>
  </si>
  <si>
    <t>RMDA ARCHITECT &amp; CO.</t>
  </si>
  <si>
    <t>RODGEM ENTERPRISES</t>
  </si>
  <si>
    <t>Rodrigo Bermejo</t>
  </si>
  <si>
    <t>Rodrigo Ligcuban Anotation fee</t>
  </si>
  <si>
    <t>Ronwood Construction &amp; Supplies</t>
  </si>
  <si>
    <t>Rosalinda Cadiz</t>
  </si>
  <si>
    <t>Rose Printing Press</t>
  </si>
  <si>
    <t>Rovic Pharmacy</t>
  </si>
  <si>
    <t>Samhill Ent. &amp; Gen. Services</t>
  </si>
  <si>
    <t>San Francisco Agro-Mart</t>
  </si>
  <si>
    <t>San Francisco Educational Supply</t>
  </si>
  <si>
    <t>Sergio Ochavilla</t>
  </si>
  <si>
    <t>SF Agromart</t>
  </si>
  <si>
    <t>SG GEN. MDSE.</t>
  </si>
  <si>
    <t>Sibagat Mini Sawmill</t>
  </si>
  <si>
    <t>Smart PC Computer</t>
  </si>
  <si>
    <t>SMR Sand &amp; Gravel</t>
  </si>
  <si>
    <t>St. Elijah Bagmaker</t>
  </si>
  <si>
    <t>Standard Insurance Co.</t>
  </si>
  <si>
    <t>Star Cellular</t>
  </si>
  <si>
    <t>Stronghold Ins. Co.</t>
  </si>
  <si>
    <t>Sungold</t>
  </si>
  <si>
    <t>Sunlite Electrical Supplies</t>
  </si>
  <si>
    <t>Sweet Maricel Dacera</t>
  </si>
  <si>
    <t>T. B. Aganap Sand &amp; Gravel</t>
  </si>
  <si>
    <t>Tam's Emporium</t>
  </si>
  <si>
    <t>Tangile Builders &amp; Const.</t>
  </si>
  <si>
    <t>Techno Structure Construction &amp; Dev't. Corp.</t>
  </si>
  <si>
    <t>TM Trading</t>
  </si>
  <si>
    <t>TN Promed Pharmaceuticals</t>
  </si>
  <si>
    <t>Tomas Jose Enterprises</t>
  </si>
  <si>
    <t>Transport Automotive</t>
  </si>
  <si>
    <t>Venus</t>
  </si>
  <si>
    <t>Venus Drug House</t>
  </si>
  <si>
    <t>Western Educational Supply</t>
  </si>
  <si>
    <t>Wheels Parts</t>
  </si>
  <si>
    <t>Williard Enterprises</t>
  </si>
  <si>
    <t>WILPER Construction</t>
  </si>
  <si>
    <t>Yu Yek Dy</t>
  </si>
  <si>
    <t>Schedule 14-439-OTHER PAYABLES</t>
  </si>
  <si>
    <t>-Accountants Reg. Fee</t>
  </si>
  <si>
    <t>-Agri Product</t>
  </si>
  <si>
    <t>-AGUSAN MARSH Workshop Fucos</t>
  </si>
  <si>
    <t>-Aid to Sportfest</t>
  </si>
  <si>
    <t>-Amort. Of Patin-ay Resettlement Proj.</t>
  </si>
  <si>
    <t>-Amort. Of Tulay ng Pangulo</t>
  </si>
  <si>
    <t>-Anti Rabies</t>
  </si>
  <si>
    <t>-BALIK BUHIS PROGRAM</t>
  </si>
  <si>
    <t>-Basilan Chicken (VEterinary)</t>
  </si>
  <si>
    <t>-BDH Revolving Fund-LHSD</t>
  </si>
  <si>
    <t>-BDH PHRTF</t>
  </si>
  <si>
    <t>-Botica Sa Barangay-Duangan, Esperanza</t>
  </si>
  <si>
    <t>-Botica Sa Barangay-Magkiangkang, Bayugan City</t>
  </si>
  <si>
    <t>-Botica Sa Brgy. Grace Estate</t>
  </si>
  <si>
    <t>-Botica Sa Brgy. Pisaan</t>
  </si>
  <si>
    <t>-BUPSHAI</t>
  </si>
  <si>
    <t>-Calamity Fund from league of municipalities</t>
  </si>
  <si>
    <t>-Child Minding Center</t>
  </si>
  <si>
    <t>111(36)</t>
  </si>
  <si>
    <t>-CIDP Drying Fees</t>
  </si>
  <si>
    <t>-Congressman Chua NATCCO</t>
  </si>
  <si>
    <t>-Dakutan Bag (ASERBAC)</t>
  </si>
  <si>
    <t>-Datu Lipus Makapandong Eco-Tourism</t>
  </si>
  <si>
    <t>-Digitized Maps</t>
  </si>
  <si>
    <t>-Documentary Stamp</t>
  </si>
  <si>
    <t>-Donations to PEO</t>
  </si>
  <si>
    <t>-Donations for Flood Calamity</t>
  </si>
  <si>
    <t>-DOPMH Revolving Fund-LHSD</t>
  </si>
  <si>
    <t>-DOPMH Revolving Fund-PHRTF</t>
  </si>
  <si>
    <t>-DOPMH-AFFILIATION Fees</t>
  </si>
  <si>
    <t>-DOPMH-VOLUNTARY BLOOD DONORS</t>
  </si>
  <si>
    <t>-DUPLO</t>
  </si>
  <si>
    <t>-EC-BDH  Revolving Fund</t>
  </si>
  <si>
    <t>-EC-DOPMH  Revolving Fund</t>
  </si>
  <si>
    <t>-EC-EMCH  Revolving Fund</t>
  </si>
  <si>
    <t>-EC-Loreto  Revolving Fund</t>
  </si>
  <si>
    <t xml:space="preserve">-EC- Revolving Fund </t>
  </si>
  <si>
    <t>(Interest Income)</t>
  </si>
  <si>
    <t>-EMCH Esperanza (Revolving Fund)</t>
  </si>
  <si>
    <t>-EMCH Esperanza(Devolve Fund )</t>
  </si>
  <si>
    <t>01/25/07</t>
  </si>
  <si>
    <t>-Filipinas Palm Oil-LOG CABIN</t>
  </si>
  <si>
    <t>DUPLOP-</t>
  </si>
  <si>
    <t>-FAME Repayments</t>
  </si>
  <si>
    <t>-FAME Repayments (OFW)</t>
  </si>
  <si>
    <t>-Goat Production Seminar</t>
  </si>
  <si>
    <t>-Governor's &amp; Congressman's Cup Bond</t>
  </si>
  <si>
    <t>-Governor's Cup Bond &amp; Solicitation 2011</t>
  </si>
  <si>
    <t>-Hall Rental</t>
  </si>
  <si>
    <t>-Health Certificate (PVO)</t>
  </si>
  <si>
    <t>-HYBRID SEEDS</t>
  </si>
  <si>
    <t>Davao Seed Producer Coop., pay't. of hybrid seeds</t>
  </si>
  <si>
    <t>03/24/09</t>
  </si>
  <si>
    <t>-IDINAUS</t>
  </si>
  <si>
    <t>-Investment Promotional Collateral Project(IPCP) Fund</t>
  </si>
  <si>
    <t xml:space="preserve">-ISDA </t>
  </si>
  <si>
    <t>-ITU</t>
  </si>
  <si>
    <t>BALANCE</t>
  </si>
  <si>
    <t>-K5</t>
  </si>
  <si>
    <t>-KABUS FOUNDATION</t>
  </si>
  <si>
    <t>-KING COOPERATIVE</t>
  </si>
  <si>
    <t>-LAPAZ HOSPITAL-Revolving Fund</t>
  </si>
  <si>
    <t>-LBP Tayuman-Credit Advice</t>
  </si>
  <si>
    <t>-LGU Counterpart for Trainings Mgt..</t>
  </si>
  <si>
    <t>-LGU Share to COA</t>
  </si>
  <si>
    <t>LGU COUNTERPART TO MALARIA</t>
  </si>
  <si>
    <t>Note: 500,000.00 is receivable from AGUSAN PEOPLES HEALTH DEV. FOUNDATION</t>
  </si>
  <si>
    <t>PR 14 BXS. ALCOHOL(CASINA)</t>
  </si>
  <si>
    <t>03/25/09</t>
  </si>
  <si>
    <t>-Loan Assistance to BEAWAN MPC(SELAP FUND)</t>
  </si>
  <si>
    <t>-Loan Repayments of MICRO FINANCE PROJECT -ASERVAC</t>
  </si>
  <si>
    <t>-LORETO HOSPITAL -Devolve fund</t>
  </si>
  <si>
    <t>-LORETO HOSPITAL-Revolving Fund-LHSD</t>
  </si>
  <si>
    <t>-Malaria Resource Center</t>
  </si>
  <si>
    <t>-Manila Bulletin</t>
  </si>
  <si>
    <t>-Material Testing</t>
  </si>
  <si>
    <t>-Mechanical Dryer</t>
  </si>
  <si>
    <t>-Medicare Prof. Fee-BDH</t>
  </si>
  <si>
    <t>-Medicare Prof. Fee-DOPMH</t>
  </si>
  <si>
    <t>-Medicare Prof. Fee-EMCH</t>
  </si>
  <si>
    <t>BDH MED. SHARE-12/20/06</t>
  </si>
  <si>
    <t>-Medicare Prof. Fee-Lapaz Hospital</t>
  </si>
  <si>
    <t xml:space="preserve">F. AYALA, C/A </t>
  </si>
  <si>
    <t>-Medicare Prof. Fee-Loreto Hospital</t>
  </si>
  <si>
    <t>P. Yucosing</t>
  </si>
  <si>
    <t>C/a</t>
  </si>
  <si>
    <t>-Medicare Trust Deposit (Medicare Patients)</t>
  </si>
  <si>
    <t>P. Yocusing</t>
  </si>
  <si>
    <t>-MOA preparation service fee (TLDC)</t>
  </si>
  <si>
    <t>9/06/05</t>
  </si>
  <si>
    <t>-Moral Recovery</t>
  </si>
  <si>
    <t>C/A Mondejar</t>
  </si>
  <si>
    <t>PEO FUND DPWH-</t>
  </si>
  <si>
    <t>PR BUTUAN L &amp; A- 09/07/05</t>
  </si>
  <si>
    <t>-MRDP Reg. Fees</t>
  </si>
  <si>
    <t>C/A Cadeliña</t>
  </si>
  <si>
    <t>Moral Available funds</t>
  </si>
  <si>
    <t>09/02/05</t>
  </si>
  <si>
    <t>8 PCS. CELL PHONES</t>
  </si>
  <si>
    <t>-NALIYAGAN</t>
  </si>
  <si>
    <t>1 unit 5 tons compress motor</t>
  </si>
  <si>
    <t>-NALIYAGAN Booth Rental &amp; Sponsorship 2009</t>
  </si>
  <si>
    <t>-NALIYAGAN Booth Rental &amp; Sponsorship 2010</t>
  </si>
  <si>
    <t>-NEDA Monitoring Projects</t>
  </si>
  <si>
    <t>MRDP Fund-</t>
  </si>
  <si>
    <t>1 tube xerox machine</t>
  </si>
  <si>
    <t>-Organic Fertilizer</t>
  </si>
  <si>
    <t>1 pc. Motolite</t>
  </si>
  <si>
    <t>-Others</t>
  </si>
  <si>
    <t>Y. Urbiztondo, c/a  11/08/06</t>
  </si>
  <si>
    <t>note including travel</t>
  </si>
  <si>
    <t xml:space="preserve">  </t>
  </si>
  <si>
    <t>-PAGTUON</t>
  </si>
  <si>
    <t>Y. Urbiztondo, c/a  4/25/06</t>
  </si>
  <si>
    <t>Balance Reserve for material testing-</t>
  </si>
  <si>
    <t>-Pagkain Ng Bayan (PNB)</t>
  </si>
  <si>
    <t>-Pasko Sa Kapitolyo</t>
  </si>
  <si>
    <t>-Pasko Sa Kapitolyo and Booth Rental 2009</t>
  </si>
  <si>
    <t>-Pasko Sa Kapitolyo and Booth Rental 2010</t>
  </si>
  <si>
    <t>-Patin-ay Street Lights Repalcement</t>
  </si>
  <si>
    <t>-Payment of LGU  loan assistance(IFAD)-PROJECTS</t>
  </si>
  <si>
    <t>-PBAC/PGSO</t>
  </si>
  <si>
    <t>PR  supplies</t>
  </si>
  <si>
    <t>L &amp; A TRADING</t>
  </si>
  <si>
    <t>-PCSO</t>
  </si>
  <si>
    <t>01/12/06</t>
  </si>
  <si>
    <t>-Personnels Fund</t>
  </si>
  <si>
    <t>PR 1 PC. Leaf Spring &amp; etc.</t>
  </si>
  <si>
    <t>Balance</t>
  </si>
  <si>
    <t>-PGSO-Revolving Fund of Gasoline &amp; Diesoline</t>
  </si>
  <si>
    <t>-PHIC Accredited Health Care Provider</t>
  </si>
  <si>
    <t>-POPCOM</t>
  </si>
  <si>
    <t>BAL</t>
  </si>
  <si>
    <t>-power Tiller with engine</t>
  </si>
  <si>
    <t>PBAC-</t>
  </si>
  <si>
    <t>PR 1 PC. Battery</t>
  </si>
  <si>
    <t>-PPDO-MAP</t>
  </si>
  <si>
    <t>PR BLUE PRINTING &amp; ETC.</t>
  </si>
  <si>
    <t>PR 1 PC IGNITION &amp; etc.</t>
  </si>
  <si>
    <t>-Premium Insurance Policy(Malaria)</t>
  </si>
  <si>
    <t>-Project Tubig Fund</t>
  </si>
  <si>
    <t>-Provincial Disaster Coordinating Council</t>
  </si>
  <si>
    <t>-PTC Canteen</t>
  </si>
  <si>
    <t xml:space="preserve">-PTO BOOKS </t>
  </si>
  <si>
    <t>-PTO-REGISTRATION</t>
  </si>
  <si>
    <t>07/25/06</t>
  </si>
  <si>
    <t>-Ramza/Venue Rental/Covered Court</t>
  </si>
  <si>
    <t>-Real Property of ADS Sales</t>
  </si>
  <si>
    <t>-Regional Athletic Meet</t>
  </si>
  <si>
    <t>-Registration of ACCDC</t>
  </si>
  <si>
    <t>-Registration of Basic Customer Services Skills &amp; Update on Anti-Red Tape</t>
  </si>
  <si>
    <t>-Registration Brgy. Training</t>
  </si>
  <si>
    <t>07/06/07</t>
  </si>
  <si>
    <t>-Registration of CBMS</t>
  </si>
  <si>
    <t>-Registration of Local Shelter Formulation -PDPDS</t>
  </si>
  <si>
    <t>-Registration Refresher Course</t>
  </si>
  <si>
    <t>-Registration SDC &amp; VOW</t>
  </si>
  <si>
    <t>-Registration-REV-GENERATION</t>
  </si>
  <si>
    <t>-Registration for 1st Basic Tourist Reception &amp; Tour Guiding Technique Training</t>
  </si>
  <si>
    <t>-Revenue from sales of tapes</t>
  </si>
  <si>
    <t>cash adva. For repair &amp; mat. Of REVO</t>
  </si>
  <si>
    <t>-RODGEM Ent. Accreditation</t>
  </si>
  <si>
    <t>-Rubber Cup Lump</t>
  </si>
  <si>
    <t>-Rural Water Sytem Repayments</t>
  </si>
  <si>
    <t>-SAFRAGEMC</t>
  </si>
  <si>
    <t>-Sales of Medicines-LHSD(Revolving Fund)</t>
  </si>
  <si>
    <t>9/28/07</t>
  </si>
  <si>
    <t>-SEAK</t>
  </si>
  <si>
    <t>-Silya Ni Gloria sa Eskwela</t>
  </si>
  <si>
    <t>-SK Funds</t>
  </si>
  <si>
    <t>-Social Reform Council</t>
  </si>
  <si>
    <t>-Tent &amp; Booth rental</t>
  </si>
  <si>
    <t>-Tilapia Fingerlings Revolving  Fund</t>
  </si>
  <si>
    <t>-Tilapia Lake Oro</t>
  </si>
  <si>
    <t>-TINA'S Badminton's Cup</t>
  </si>
  <si>
    <t>-TINA'S Porject Bio-Sand Water Filter</t>
  </si>
  <si>
    <t>DREAM TEAM VENTURE</t>
  </si>
  <si>
    <t>-TLDC</t>
  </si>
  <si>
    <t>-TLDC Brochures</t>
  </si>
  <si>
    <t>-TRICHODERMA</t>
  </si>
  <si>
    <t>-VTF</t>
  </si>
  <si>
    <t>-VTF Maintenance</t>
  </si>
  <si>
    <t>-VTF REForestation</t>
  </si>
  <si>
    <t>-WATSAN</t>
  </si>
  <si>
    <t>CERTIFIED CORRECT:</t>
  </si>
  <si>
    <t>JOY T. DY-LAGAT, CPA</t>
  </si>
  <si>
    <t>Jerome Montera</t>
  </si>
  <si>
    <t>12/19/06</t>
  </si>
  <si>
    <t>Jovelito Olaer</t>
  </si>
  <si>
    <t>Judith Lagumbay</t>
  </si>
  <si>
    <t>Livelihood Assistance for (14) Former Rebel Returnees in ADS</t>
  </si>
  <si>
    <t>CIDP-Constructuion of Alegria-Supon</t>
  </si>
  <si>
    <t>PSF Gov. Tina</t>
  </si>
  <si>
    <t>Kabataan Party List</t>
  </si>
  <si>
    <t>-Registration Training on Revised  Pre-Marriage Counseling Manual</t>
  </si>
  <si>
    <t>PVBDS</t>
  </si>
  <si>
    <t>LHSD</t>
  </si>
  <si>
    <t>Banog Vevencio</t>
  </si>
  <si>
    <t>-Rolando Sergio</t>
  </si>
  <si>
    <t>Schedule  7 148-1 ADVANCES TO OFFICERS AND EMPLOYEES</t>
  </si>
  <si>
    <t>148-2 ADVANCES TO OFFICERS AND EMPLOYEES</t>
  </si>
  <si>
    <t>Dayot Plant Nursery</t>
  </si>
  <si>
    <t>Dream Team Venture</t>
  </si>
  <si>
    <t>3RG Fortune Enterprises</t>
  </si>
  <si>
    <t>-Protest Bond</t>
  </si>
  <si>
    <t>(2) PNB</t>
  </si>
  <si>
    <t xml:space="preserve">Ricardo  Caldeo </t>
  </si>
  <si>
    <t>Patin-ay Creek Dredging Project</t>
  </si>
  <si>
    <t>DA Combine Harvester</t>
  </si>
  <si>
    <t>Pacifica Agrivet Supply</t>
  </si>
  <si>
    <t>-Botica Sa Brgy. Guadalupe, Ezperanza</t>
  </si>
  <si>
    <t>-LORETO HOSPITAL - PHRTF</t>
  </si>
  <si>
    <t>As of  August 31, 2011</t>
  </si>
  <si>
    <t>-Bagtilay Amado</t>
  </si>
  <si>
    <t>jumbo bridge, school building, nueva era</t>
  </si>
  <si>
    <t>PAMANA Project</t>
  </si>
  <si>
    <t>DOH - PhilHealth</t>
  </si>
  <si>
    <t>Dyteban Trading</t>
  </si>
  <si>
    <t>bid docs</t>
  </si>
  <si>
    <t>-Loan Assistance</t>
  </si>
  <si>
    <t xml:space="preserve">-Registration for Balanced Score Card </t>
  </si>
  <si>
    <t>-ADSCEMCO (Bingo)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</si>
</sst>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(* #,##0.000_);_(* \(#,##0.000\);_(* &quot;-&quot;??_);_(@_)"/>
    <numFmt numFmtId="165" formatCode="[$-409]mmmm\-yy;@"/>
    <numFmt numFmtId="166" formatCode="mmmm\ yyyy"/>
  </numFmts>
  <fonts count="20"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Verdana"/>
      <family val="2"/>
    </font>
    <font>
      <b/>
      <sz val="10"/>
      <name val="Arial"/>
      <family val="2"/>
    </font>
    <font>
      <b/>
      <u val="doubleAccounting"/>
      <sz val="11"/>
      <name val="Arial"/>
      <family val="2"/>
    </font>
    <font>
      <sz val="9"/>
      <name val="Arial"/>
      <family val="2"/>
    </font>
    <font>
      <b/>
      <u val="singleAccounting"/>
      <sz val="10"/>
      <name val="Arial"/>
      <family val="2"/>
    </font>
    <font>
      <u val="singleAccounting"/>
      <sz val="10"/>
      <name val="Arial"/>
      <family val="2"/>
    </font>
    <font>
      <b/>
      <u val="doubleAccounting"/>
      <sz val="10"/>
      <name val="Arial"/>
      <family val="2"/>
    </font>
    <font>
      <b/>
      <sz val="9"/>
      <name val="Arial"/>
      <family val="2"/>
    </font>
    <font>
      <sz val="11"/>
      <color indexed="10"/>
      <name val="Arial"/>
      <family val="2"/>
    </font>
    <font>
      <b/>
      <sz val="11"/>
      <color indexed="10"/>
      <name val="Arial"/>
      <family val="2"/>
    </font>
    <font>
      <sz val="11"/>
      <name val="Times New Roman"/>
      <family val="1"/>
    </font>
    <font>
      <sz val="11"/>
      <name val="Bookman Old Style"/>
      <family val="1"/>
    </font>
    <font>
      <sz val="8"/>
      <name val="Arial"/>
      <family val="2"/>
    </font>
    <font>
      <b/>
      <u/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1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277">
    <xf numFmtId="0" fontId="0" fillId="0" borderId="0" xfId="0"/>
    <xf numFmtId="43" fontId="2" fillId="0" borderId="0" xfId="1" applyFont="1" applyFill="1" applyBorder="1" applyProtection="1"/>
    <xf numFmtId="43" fontId="1" fillId="0" borderId="0" xfId="1" applyFont="1" applyFill="1" applyAlignment="1" applyProtection="1">
      <alignment horizontal="center"/>
    </xf>
    <xf numFmtId="0" fontId="2" fillId="0" borderId="7" xfId="0" applyFont="1" applyBorder="1" applyAlignment="1" applyProtection="1">
      <alignment vertical="center"/>
    </xf>
    <xf numFmtId="49" fontId="2" fillId="0" borderId="7" xfId="1" applyNumberFormat="1" applyFont="1" applyBorder="1" applyAlignment="1" applyProtection="1">
      <alignment horizontal="center" vertical="center"/>
    </xf>
    <xf numFmtId="43" fontId="2" fillId="0" borderId="7" xfId="1" applyFont="1" applyBorder="1" applyAlignment="1" applyProtection="1">
      <alignment horizontal="center" vertical="center"/>
    </xf>
    <xf numFmtId="43" fontId="2" fillId="3" borderId="7" xfId="1" applyFont="1" applyFill="1" applyBorder="1" applyAlignment="1" applyProtection="1">
      <alignment horizontal="center" vertical="center"/>
    </xf>
    <xf numFmtId="43" fontId="2" fillId="0" borderId="7" xfId="1" applyFont="1" applyFill="1" applyBorder="1" applyAlignment="1" applyProtection="1">
      <alignment horizontal="center" vertical="center"/>
    </xf>
    <xf numFmtId="0" fontId="2" fillId="0" borderId="7" xfId="0" applyFont="1" applyBorder="1" applyAlignment="1" applyProtection="1">
      <alignment vertical="center" wrapText="1"/>
    </xf>
    <xf numFmtId="0" fontId="2" fillId="0" borderId="7" xfId="0" applyFont="1" applyBorder="1" applyAlignment="1" applyProtection="1">
      <alignment horizontal="center" vertical="center"/>
    </xf>
    <xf numFmtId="49" fontId="2" fillId="0" borderId="7" xfId="1" applyNumberFormat="1" applyFont="1" applyBorder="1" applyAlignment="1" applyProtection="1">
      <alignment horizontal="center" vertical="center" wrapText="1"/>
    </xf>
    <xf numFmtId="0" fontId="2" fillId="0" borderId="7" xfId="0" applyFont="1" applyFill="1" applyBorder="1" applyAlignment="1" applyProtection="1">
      <alignment vertical="center"/>
    </xf>
    <xf numFmtId="49" fontId="2" fillId="0" borderId="7" xfId="1" applyNumberFormat="1" applyFont="1" applyFill="1" applyBorder="1" applyAlignment="1" applyProtection="1">
      <alignment horizontal="center" vertical="center"/>
    </xf>
    <xf numFmtId="43" fontId="3" fillId="0" borderId="7" xfId="1" applyFont="1" applyBorder="1" applyAlignment="1" applyProtection="1">
      <alignment vertical="center"/>
    </xf>
    <xf numFmtId="49" fontId="3" fillId="0" borderId="7" xfId="1" applyNumberFormat="1" applyFont="1" applyBorder="1" applyAlignment="1" applyProtection="1">
      <alignment horizontal="center" vertical="center"/>
    </xf>
    <xf numFmtId="43" fontId="6" fillId="0" borderId="7" xfId="1" applyFont="1" applyBorder="1" applyAlignment="1" applyProtection="1">
      <alignment horizontal="center" vertical="center"/>
    </xf>
    <xf numFmtId="43" fontId="6" fillId="3" borderId="7" xfId="1" applyFont="1" applyFill="1" applyBorder="1" applyAlignment="1" applyProtection="1">
      <alignment horizontal="center" vertical="center"/>
    </xf>
    <xf numFmtId="43" fontId="2" fillId="5" borderId="8" xfId="1" applyFont="1" applyFill="1" applyBorder="1" applyAlignment="1" applyProtection="1">
      <alignment vertical="center"/>
    </xf>
    <xf numFmtId="49" fontId="2" fillId="5" borderId="8" xfId="1" applyNumberFormat="1" applyFont="1" applyFill="1" applyBorder="1" applyAlignment="1" applyProtection="1">
      <alignment horizontal="center" vertical="center"/>
    </xf>
    <xf numFmtId="43" fontId="2" fillId="0" borderId="0" xfId="1" applyFont="1" applyProtection="1"/>
    <xf numFmtId="43" fontId="2" fillId="5" borderId="9" xfId="1" applyFont="1" applyFill="1" applyBorder="1" applyAlignment="1" applyProtection="1">
      <alignment vertical="center"/>
    </xf>
    <xf numFmtId="49" fontId="2" fillId="5" borderId="9" xfId="1" applyNumberFormat="1" applyFont="1" applyFill="1" applyBorder="1" applyAlignment="1" applyProtection="1">
      <alignment horizontal="center" vertical="center"/>
    </xf>
    <xf numFmtId="0" fontId="2" fillId="5" borderId="9" xfId="0" applyFont="1" applyFill="1" applyBorder="1" applyAlignment="1" applyProtection="1">
      <alignment vertical="center"/>
    </xf>
    <xf numFmtId="43" fontId="2" fillId="0" borderId="0" xfId="1" applyFont="1" applyAlignment="1" applyProtection="1">
      <alignment vertical="center"/>
    </xf>
    <xf numFmtId="49" fontId="2" fillId="0" borderId="0" xfId="1" applyNumberFormat="1" applyFont="1" applyAlignment="1" applyProtection="1">
      <alignment horizontal="center" vertical="center"/>
    </xf>
    <xf numFmtId="43" fontId="2" fillId="4" borderId="7" xfId="1" applyFont="1" applyFill="1" applyBorder="1" applyAlignment="1" applyProtection="1">
      <alignment horizontal="center" vertical="center"/>
      <protection locked="0"/>
    </xf>
    <xf numFmtId="43" fontId="2" fillId="4" borderId="7" xfId="1" applyFont="1" applyFill="1" applyBorder="1" applyAlignment="1" applyProtection="1">
      <alignment horizontal="center"/>
      <protection locked="0"/>
    </xf>
    <xf numFmtId="43" fontId="5" fillId="0" borderId="1" xfId="1" applyFont="1" applyBorder="1" applyAlignment="1" applyProtection="1">
      <alignment vertical="center"/>
    </xf>
    <xf numFmtId="43" fontId="5" fillId="0" borderId="10" xfId="1" applyFont="1" applyBorder="1" applyAlignment="1" applyProtection="1">
      <alignment vertical="center"/>
    </xf>
    <xf numFmtId="166" fontId="11" fillId="7" borderId="7" xfId="1" applyNumberFormat="1" applyFont="1" applyFill="1" applyBorder="1" applyAlignment="1" applyProtection="1">
      <alignment horizontal="center" vertical="center"/>
    </xf>
    <xf numFmtId="43" fontId="5" fillId="0" borderId="4" xfId="1" applyFont="1" applyFill="1" applyBorder="1" applyAlignment="1" applyProtection="1">
      <alignment horizontal="center" vertical="center"/>
    </xf>
    <xf numFmtId="43" fontId="5" fillId="7" borderId="7" xfId="1" applyFont="1" applyFill="1" applyBorder="1" applyAlignment="1" applyProtection="1">
      <alignment horizontal="center" vertical="center"/>
    </xf>
    <xf numFmtId="43" fontId="5" fillId="0" borderId="7" xfId="1" applyFont="1" applyBorder="1" applyAlignment="1" applyProtection="1">
      <alignment vertical="center"/>
    </xf>
    <xf numFmtId="43" fontId="1" fillId="0" borderId="7" xfId="1" applyFont="1" applyBorder="1" applyAlignment="1" applyProtection="1">
      <alignment vertical="center"/>
    </xf>
    <xf numFmtId="0" fontId="0" fillId="0" borderId="7" xfId="0" applyBorder="1" applyAlignment="1" applyProtection="1">
      <alignment vertical="center"/>
    </xf>
    <xf numFmtId="0" fontId="5" fillId="0" borderId="7" xfId="0" applyFont="1" applyBorder="1" applyAlignment="1" applyProtection="1">
      <alignment vertical="center"/>
    </xf>
    <xf numFmtId="43" fontId="1" fillId="0" borderId="7" xfId="1" applyFont="1" applyFill="1" applyBorder="1" applyAlignment="1" applyProtection="1">
      <alignment vertical="center"/>
    </xf>
    <xf numFmtId="0" fontId="0" fillId="0" borderId="7" xfId="0" applyFill="1" applyBorder="1" applyAlignment="1" applyProtection="1">
      <alignment vertical="center"/>
    </xf>
    <xf numFmtId="0" fontId="0" fillId="0" borderId="7" xfId="0" applyBorder="1" applyAlignment="1" applyProtection="1">
      <alignment vertical="center" wrapText="1"/>
    </xf>
    <xf numFmtId="43" fontId="5" fillId="0" borderId="7" xfId="1" applyFont="1" applyBorder="1" applyAlignment="1" applyProtection="1">
      <alignment horizontal="center" vertical="center"/>
    </xf>
    <xf numFmtId="0" fontId="5" fillId="0" borderId="7" xfId="0" applyFont="1" applyBorder="1" applyAlignment="1" applyProtection="1">
      <alignment horizontal="left" vertical="center"/>
    </xf>
    <xf numFmtId="43" fontId="8" fillId="0" borderId="7" xfId="1" applyFont="1" applyBorder="1" applyAlignment="1" applyProtection="1">
      <alignment vertical="center"/>
    </xf>
    <xf numFmtId="43" fontId="1" fillId="0" borderId="7" xfId="1" applyFont="1" applyBorder="1" applyProtection="1"/>
    <xf numFmtId="43" fontId="1" fillId="7" borderId="7" xfId="1" applyFont="1" applyFill="1" applyBorder="1" applyAlignment="1" applyProtection="1">
      <alignment horizontal="center"/>
    </xf>
    <xf numFmtId="166" fontId="11" fillId="2" borderId="7" xfId="1" applyNumberFormat="1" applyFont="1" applyFill="1" applyBorder="1" applyAlignment="1" applyProtection="1">
      <alignment horizontal="center" vertical="center"/>
    </xf>
    <xf numFmtId="43" fontId="5" fillId="2" borderId="7" xfId="1" applyFont="1" applyFill="1" applyBorder="1" applyAlignment="1" applyProtection="1">
      <alignment vertical="center"/>
    </xf>
    <xf numFmtId="43" fontId="8" fillId="2" borderId="7" xfId="1" applyFont="1" applyFill="1" applyBorder="1" applyAlignment="1" applyProtection="1">
      <alignment horizontal="center" vertical="center"/>
    </xf>
    <xf numFmtId="43" fontId="0" fillId="2" borderId="7" xfId="0" applyNumberFormat="1" applyFill="1" applyBorder="1" applyAlignment="1" applyProtection="1">
      <alignment vertical="center"/>
    </xf>
    <xf numFmtId="43" fontId="1" fillId="2" borderId="7" xfId="1" applyFont="1" applyFill="1" applyBorder="1" applyAlignment="1" applyProtection="1">
      <alignment vertical="center"/>
    </xf>
    <xf numFmtId="0" fontId="5" fillId="2" borderId="7" xfId="0" applyFont="1" applyFill="1" applyBorder="1" applyAlignment="1" applyProtection="1">
      <alignment vertical="center"/>
    </xf>
    <xf numFmtId="43" fontId="1" fillId="2" borderId="7" xfId="1" applyFont="1" applyFill="1" applyBorder="1" applyAlignment="1" applyProtection="1">
      <alignment horizontal="center" vertical="center"/>
    </xf>
    <xf numFmtId="43" fontId="10" fillId="2" borderId="7" xfId="1" applyFont="1" applyFill="1" applyBorder="1" applyAlignment="1" applyProtection="1">
      <alignment horizontal="center" vertical="center"/>
    </xf>
    <xf numFmtId="0" fontId="5" fillId="2" borderId="7" xfId="0" applyFont="1" applyFill="1" applyBorder="1" applyAlignment="1" applyProtection="1">
      <alignment horizontal="left" vertical="center"/>
    </xf>
    <xf numFmtId="43" fontId="5" fillId="2" borderId="7" xfId="0" applyNumberFormat="1" applyFont="1" applyFill="1" applyBorder="1" applyAlignment="1" applyProtection="1">
      <alignment vertical="center"/>
    </xf>
    <xf numFmtId="43" fontId="5" fillId="0" borderId="7" xfId="1" applyNumberFormat="1" applyFont="1" applyBorder="1" applyAlignment="1" applyProtection="1">
      <alignment vertical="center"/>
    </xf>
    <xf numFmtId="0" fontId="5" fillId="0" borderId="7" xfId="0" applyNumberFormat="1" applyFont="1" applyBorder="1" applyAlignment="1" applyProtection="1">
      <alignment horizontal="left" vertical="center"/>
    </xf>
    <xf numFmtId="0" fontId="5" fillId="0" borderId="7" xfId="0" applyNumberFormat="1" applyFont="1" applyBorder="1" applyAlignment="1" applyProtection="1">
      <alignment vertical="center"/>
    </xf>
    <xf numFmtId="43" fontId="8" fillId="2" borderId="7" xfId="0" applyNumberFormat="1" applyFont="1" applyFill="1" applyBorder="1" applyAlignment="1" applyProtection="1">
      <alignment vertical="center"/>
    </xf>
    <xf numFmtId="43" fontId="0" fillId="2" borderId="7" xfId="0" applyNumberFormat="1" applyFill="1" applyBorder="1" applyAlignment="1" applyProtection="1">
      <alignment vertical="center" wrapText="1"/>
    </xf>
    <xf numFmtId="43" fontId="8" fillId="7" borderId="7" xfId="1" applyFont="1" applyFill="1" applyBorder="1" applyAlignment="1" applyProtection="1">
      <alignment horizontal="center" vertical="center"/>
    </xf>
    <xf numFmtId="43" fontId="2" fillId="8" borderId="7" xfId="1" applyFont="1" applyFill="1" applyBorder="1" applyAlignment="1" applyProtection="1">
      <alignment horizontal="center" vertical="center"/>
      <protection locked="0"/>
    </xf>
    <xf numFmtId="43" fontId="2" fillId="8" borderId="7" xfId="1" applyFont="1" applyFill="1" applyBorder="1" applyAlignment="1" applyProtection="1">
      <alignment horizontal="center"/>
      <protection locked="0"/>
    </xf>
    <xf numFmtId="43" fontId="2" fillId="9" borderId="7" xfId="1" applyFont="1" applyFill="1" applyBorder="1" applyAlignment="1" applyProtection="1">
      <alignment horizontal="center" vertical="center"/>
      <protection locked="0"/>
    </xf>
    <xf numFmtId="43" fontId="2" fillId="9" borderId="7" xfId="1" applyFont="1" applyFill="1" applyBorder="1" applyAlignment="1" applyProtection="1">
      <alignment horizontal="center"/>
      <protection locked="0"/>
    </xf>
    <xf numFmtId="43" fontId="2" fillId="10" borderId="7" xfId="1" applyFont="1" applyFill="1" applyBorder="1" applyAlignment="1" applyProtection="1">
      <alignment horizontal="center" vertical="center"/>
      <protection locked="0"/>
    </xf>
    <xf numFmtId="43" fontId="2" fillId="10" borderId="7" xfId="1" applyFont="1" applyFill="1" applyBorder="1" applyAlignment="1" applyProtection="1">
      <alignment horizontal="center"/>
      <protection locked="0"/>
    </xf>
    <xf numFmtId="0" fontId="4" fillId="0" borderId="0" xfId="0" applyFont="1" applyProtection="1"/>
    <xf numFmtId="43" fontId="3" fillId="0" borderId="0" xfId="1" applyFont="1" applyProtection="1"/>
    <xf numFmtId="164" fontId="2" fillId="0" borderId="0" xfId="1" quotePrefix="1" applyNumberFormat="1" applyFont="1" applyProtection="1"/>
    <xf numFmtId="49" fontId="2" fillId="0" borderId="0" xfId="1" applyNumberFormat="1" applyFont="1" applyAlignment="1" applyProtection="1">
      <alignment horizontal="center"/>
    </xf>
    <xf numFmtId="43" fontId="2" fillId="0" borderId="0" xfId="1" applyFont="1" applyBorder="1" applyProtection="1"/>
    <xf numFmtId="43" fontId="6" fillId="9" borderId="7" xfId="1" applyFont="1" applyFill="1" applyBorder="1" applyAlignment="1" applyProtection="1">
      <alignment horizontal="center" vertical="center"/>
    </xf>
    <xf numFmtId="43" fontId="3" fillId="8" borderId="7" xfId="1" applyFont="1" applyFill="1" applyBorder="1" applyAlignment="1" applyProtection="1">
      <alignment horizontal="center" vertical="center"/>
    </xf>
    <xf numFmtId="43" fontId="3" fillId="10" borderId="7" xfId="1" applyFont="1" applyFill="1" applyBorder="1" applyAlignment="1" applyProtection="1">
      <alignment horizontal="center" vertical="center"/>
    </xf>
    <xf numFmtId="43" fontId="3" fillId="4" borderId="7" xfId="1" applyFont="1" applyFill="1" applyBorder="1" applyAlignment="1" applyProtection="1">
      <alignment horizontal="center" vertical="center"/>
    </xf>
    <xf numFmtId="49" fontId="2" fillId="0" borderId="0" xfId="1" applyNumberFormat="1" applyFont="1" applyAlignment="1" applyProtection="1">
      <alignment horizontal="left" vertical="center"/>
    </xf>
    <xf numFmtId="43" fontId="1" fillId="0" borderId="0" xfId="1" applyFont="1" applyProtection="1"/>
    <xf numFmtId="43" fontId="7" fillId="0" borderId="0" xfId="1" applyFont="1" applyProtection="1"/>
    <xf numFmtId="43" fontId="5" fillId="0" borderId="0" xfId="1" applyFont="1" applyAlignment="1" applyProtection="1">
      <alignment vertical="center"/>
    </xf>
    <xf numFmtId="43" fontId="1" fillId="0" borderId="0" xfId="1" applyFont="1" applyAlignment="1" applyProtection="1">
      <alignment vertical="center"/>
    </xf>
    <xf numFmtId="43" fontId="1" fillId="0" borderId="0" xfId="1" applyFont="1" applyFill="1" applyAlignment="1" applyProtection="1">
      <alignment vertical="center"/>
    </xf>
    <xf numFmtId="43" fontId="5" fillId="0" borderId="0" xfId="1" applyFont="1" applyAlignment="1" applyProtection="1">
      <alignment horizontal="center" vertical="center"/>
    </xf>
    <xf numFmtId="43" fontId="8" fillId="0" borderId="0" xfId="1" applyFont="1" applyAlignment="1" applyProtection="1">
      <alignment vertical="center"/>
    </xf>
    <xf numFmtId="43" fontId="10" fillId="0" borderId="0" xfId="1" applyFont="1" applyAlignment="1" applyProtection="1">
      <alignment vertical="center"/>
    </xf>
    <xf numFmtId="43" fontId="1" fillId="6" borderId="8" xfId="1" applyFont="1" applyFill="1" applyBorder="1" applyProtection="1"/>
    <xf numFmtId="43" fontId="1" fillId="0" borderId="8" xfId="1" applyFont="1" applyFill="1" applyBorder="1" applyAlignment="1" applyProtection="1">
      <alignment horizontal="center"/>
    </xf>
    <xf numFmtId="43" fontId="1" fillId="6" borderId="0" xfId="1" applyFont="1" applyFill="1" applyProtection="1"/>
    <xf numFmtId="43" fontId="5" fillId="0" borderId="0" xfId="1" applyFont="1" applyAlignment="1" applyProtection="1">
      <alignment horizontal="left"/>
    </xf>
    <xf numFmtId="43" fontId="1" fillId="0" borderId="0" xfId="1" applyFont="1" applyAlignment="1" applyProtection="1">
      <alignment horizontal="center"/>
    </xf>
    <xf numFmtId="43" fontId="1" fillId="0" borderId="0" xfId="1" applyFont="1" applyAlignment="1" applyProtection="1">
      <alignment horizontal="left"/>
    </xf>
    <xf numFmtId="43" fontId="3" fillId="9" borderId="7" xfId="1" applyFont="1" applyFill="1" applyBorder="1" applyAlignment="1" applyProtection="1">
      <alignment horizontal="center" vertical="center"/>
      <protection locked="0"/>
    </xf>
    <xf numFmtId="43" fontId="3" fillId="8" borderId="7" xfId="1" applyFont="1" applyFill="1" applyBorder="1" applyAlignment="1" applyProtection="1">
      <alignment horizontal="center" vertical="center"/>
      <protection locked="0"/>
    </xf>
    <xf numFmtId="43" fontId="3" fillId="10" borderId="7" xfId="1" applyFont="1" applyFill="1" applyBorder="1" applyAlignment="1" applyProtection="1">
      <alignment horizontal="center" vertical="center"/>
      <protection locked="0"/>
    </xf>
    <xf numFmtId="43" fontId="3" fillId="4" borderId="7" xfId="1" applyFont="1" applyFill="1" applyBorder="1" applyAlignment="1" applyProtection="1">
      <alignment horizontal="center" vertical="center"/>
      <protection locked="0"/>
    </xf>
    <xf numFmtId="43" fontId="2" fillId="9" borderId="7" xfId="1" applyFont="1" applyFill="1" applyBorder="1" applyAlignment="1" applyProtection="1">
      <alignment horizontal="center" vertical="center"/>
    </xf>
    <xf numFmtId="43" fontId="2" fillId="8" borderId="7" xfId="1" applyFont="1" applyFill="1" applyBorder="1" applyAlignment="1" applyProtection="1">
      <alignment horizontal="center" vertical="center"/>
    </xf>
    <xf numFmtId="43" fontId="2" fillId="10" borderId="7" xfId="1" applyFont="1" applyFill="1" applyBorder="1" applyAlignment="1" applyProtection="1">
      <alignment horizontal="center" vertical="center"/>
    </xf>
    <xf numFmtId="43" fontId="2" fillId="4" borderId="7" xfId="1" applyFont="1" applyFill="1" applyBorder="1" applyAlignment="1" applyProtection="1">
      <alignment horizontal="center" vertical="center"/>
    </xf>
    <xf numFmtId="43" fontId="3" fillId="9" borderId="7" xfId="1" applyFont="1" applyFill="1" applyBorder="1" applyAlignment="1" applyProtection="1">
      <alignment horizontal="center" vertical="center"/>
    </xf>
    <xf numFmtId="43" fontId="2" fillId="0" borderId="0" xfId="1" applyFont="1" applyAlignment="1" applyProtection="1">
      <alignment horizontal="center" vertical="center"/>
    </xf>
    <xf numFmtId="43" fontId="2" fillId="0" borderId="0" xfId="1" applyFont="1" applyAlignment="1" applyProtection="1">
      <alignment horizontal="center" vertical="center" wrapText="1"/>
    </xf>
    <xf numFmtId="0" fontId="4" fillId="0" borderId="0" xfId="0" applyFont="1" applyAlignment="1" applyProtection="1">
      <alignment horizontal="left"/>
    </xf>
    <xf numFmtId="43" fontId="1" fillId="0" borderId="4" xfId="1" applyFont="1" applyFill="1" applyBorder="1" applyAlignment="1" applyProtection="1">
      <alignment horizontal="center" vertical="center"/>
    </xf>
    <xf numFmtId="43" fontId="1" fillId="7" borderId="7" xfId="1" applyFont="1" applyFill="1" applyBorder="1" applyAlignment="1" applyProtection="1">
      <alignment horizontal="center" vertical="center"/>
    </xf>
    <xf numFmtId="43" fontId="9" fillId="7" borderId="7" xfId="1" applyFont="1" applyFill="1" applyBorder="1" applyAlignment="1" applyProtection="1">
      <alignment horizontal="center" vertical="center"/>
    </xf>
    <xf numFmtId="43" fontId="5" fillId="2" borderId="7" xfId="1" applyFont="1" applyFill="1" applyBorder="1" applyAlignment="1" applyProtection="1">
      <alignment horizontal="center" vertical="center"/>
    </xf>
    <xf numFmtId="43" fontId="10" fillId="7" borderId="7" xfId="1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/>
    </xf>
    <xf numFmtId="0" fontId="2" fillId="0" borderId="0" xfId="0" applyFont="1" applyFill="1"/>
    <xf numFmtId="17" fontId="2" fillId="0" borderId="0" xfId="0" applyNumberFormat="1" applyFont="1" applyFill="1" applyAlignment="1" applyProtection="1">
      <alignment horizontal="centerContinuous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/>
    </xf>
    <xf numFmtId="0" fontId="2" fillId="2" borderId="0" xfId="0" applyFont="1" applyFill="1"/>
    <xf numFmtId="43" fontId="2" fillId="0" borderId="0" xfId="1" applyFont="1" applyFill="1" applyBorder="1"/>
    <xf numFmtId="43" fontId="2" fillId="2" borderId="7" xfId="1" applyFont="1" applyFill="1" applyBorder="1"/>
    <xf numFmtId="43" fontId="2" fillId="0" borderId="0" xfId="1" applyFont="1" applyFill="1" applyAlignment="1" applyProtection="1">
      <alignment horizontal="left"/>
    </xf>
    <xf numFmtId="43" fontId="3" fillId="0" borderId="13" xfId="0" applyNumberFormat="1" applyFont="1" applyFill="1" applyBorder="1"/>
    <xf numFmtId="43" fontId="3" fillId="2" borderId="7" xfId="0" applyNumberFormat="1" applyFont="1" applyFill="1" applyBorder="1"/>
    <xf numFmtId="43" fontId="2" fillId="0" borderId="0" xfId="1" applyFont="1" applyFill="1"/>
    <xf numFmtId="0" fontId="2" fillId="2" borderId="7" xfId="0" applyFont="1" applyFill="1" applyBorder="1"/>
    <xf numFmtId="0" fontId="2" fillId="0" borderId="0" xfId="0" quotePrefix="1" applyFont="1" applyFill="1" applyAlignment="1">
      <alignment horizontal="left"/>
    </xf>
    <xf numFmtId="0" fontId="2" fillId="0" borderId="0" xfId="0" quotePrefix="1" applyFont="1" applyFill="1" applyAlignment="1" applyProtection="1">
      <alignment horizontal="left"/>
    </xf>
    <xf numFmtId="43" fontId="2" fillId="0" borderId="0" xfId="1" applyFont="1" applyFill="1" applyBorder="1" applyAlignment="1" applyProtection="1">
      <alignment horizontal="left"/>
    </xf>
    <xf numFmtId="43" fontId="2" fillId="2" borderId="7" xfId="1" applyFont="1" applyFill="1" applyBorder="1" applyAlignment="1" applyProtection="1">
      <alignment horizontal="left"/>
    </xf>
    <xf numFmtId="0" fontId="3" fillId="0" borderId="0" xfId="0" applyFont="1" applyFill="1"/>
    <xf numFmtId="0" fontId="2" fillId="0" borderId="0" xfId="0" applyFont="1" applyFill="1" applyBorder="1"/>
    <xf numFmtId="0" fontId="2" fillId="0" borderId="0" xfId="0" applyFont="1" applyFill="1" applyAlignment="1" applyProtection="1">
      <alignment horizontal="left"/>
    </xf>
    <xf numFmtId="43" fontId="2" fillId="0" borderId="0" xfId="0" applyNumberFormat="1" applyFont="1" applyFill="1" applyBorder="1"/>
    <xf numFmtId="43" fontId="2" fillId="0" borderId="0" xfId="1" quotePrefix="1" applyFont="1" applyFill="1" applyAlignment="1" applyProtection="1">
      <alignment horizontal="left"/>
    </xf>
    <xf numFmtId="43" fontId="2" fillId="2" borderId="7" xfId="1" quotePrefix="1" applyFont="1" applyFill="1" applyBorder="1" applyAlignment="1" applyProtection="1">
      <alignment horizontal="left"/>
    </xf>
    <xf numFmtId="43" fontId="2" fillId="0" borderId="0" xfId="1" quotePrefix="1" applyFont="1" applyFill="1" applyBorder="1" applyAlignment="1" applyProtection="1">
      <alignment horizontal="left"/>
    </xf>
    <xf numFmtId="43" fontId="12" fillId="0" borderId="0" xfId="1" applyFont="1" applyFill="1"/>
    <xf numFmtId="43" fontId="2" fillId="0" borderId="0" xfId="0" quotePrefix="1" applyNumberFormat="1" applyFont="1" applyFill="1" applyBorder="1" applyAlignment="1" applyProtection="1">
      <alignment horizontal="left"/>
    </xf>
    <xf numFmtId="43" fontId="2" fillId="0" borderId="0" xfId="0" applyNumberFormat="1" applyFont="1" applyFill="1"/>
    <xf numFmtId="0" fontId="2" fillId="0" borderId="0" xfId="0" quotePrefix="1" applyFont="1" applyFill="1"/>
    <xf numFmtId="14" fontId="2" fillId="0" borderId="0" xfId="0" applyNumberFormat="1" applyFont="1" applyFill="1"/>
    <xf numFmtId="16" fontId="2" fillId="0" borderId="0" xfId="0" quotePrefix="1" applyNumberFormat="1" applyFont="1" applyFill="1"/>
    <xf numFmtId="43" fontId="2" fillId="0" borderId="0" xfId="1" applyFont="1" applyFill="1" applyAlignment="1" applyProtection="1">
      <alignment horizontal="center"/>
    </xf>
    <xf numFmtId="43" fontId="2" fillId="0" borderId="13" xfId="1" applyFont="1" applyFill="1" applyBorder="1"/>
    <xf numFmtId="0" fontId="3" fillId="0" borderId="0" xfId="0" applyFont="1" applyFill="1" applyAlignment="1" applyProtection="1">
      <alignment horizontal="left"/>
    </xf>
    <xf numFmtId="43" fontId="3" fillId="0" borderId="13" xfId="1" applyFont="1" applyFill="1" applyBorder="1" applyAlignment="1" applyProtection="1">
      <alignment horizontal="left"/>
    </xf>
    <xf numFmtId="43" fontId="3" fillId="2" borderId="7" xfId="1" applyFont="1" applyFill="1" applyBorder="1" applyAlignment="1" applyProtection="1">
      <alignment horizontal="left"/>
    </xf>
    <xf numFmtId="43" fontId="3" fillId="0" borderId="13" xfId="0" applyNumberFormat="1" applyFont="1" applyFill="1" applyBorder="1" applyAlignment="1" applyProtection="1">
      <alignment horizontal="left"/>
    </xf>
    <xf numFmtId="43" fontId="3" fillId="2" borderId="7" xfId="0" applyNumberFormat="1" applyFont="1" applyFill="1" applyBorder="1" applyAlignment="1" applyProtection="1">
      <alignment horizontal="left"/>
    </xf>
    <xf numFmtId="43" fontId="3" fillId="0" borderId="0" xfId="0" applyNumberFormat="1" applyFont="1" applyFill="1" applyBorder="1" applyAlignment="1" applyProtection="1">
      <alignment horizontal="left"/>
    </xf>
    <xf numFmtId="43" fontId="2" fillId="2" borderId="7" xfId="0" applyNumberFormat="1" applyFont="1" applyFill="1" applyBorder="1"/>
    <xf numFmtId="43" fontId="2" fillId="0" borderId="0" xfId="0" applyNumberFormat="1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left"/>
    </xf>
    <xf numFmtId="0" fontId="2" fillId="0" borderId="0" xfId="0" applyFont="1" applyFill="1" applyAlignment="1" applyProtection="1">
      <alignment horizontal="right"/>
    </xf>
    <xf numFmtId="43" fontId="3" fillId="0" borderId="14" xfId="1" applyFont="1" applyFill="1" applyBorder="1" applyAlignment="1" applyProtection="1">
      <alignment horizontal="left"/>
    </xf>
    <xf numFmtId="43" fontId="3" fillId="0" borderId="15" xfId="1" applyFont="1" applyFill="1" applyBorder="1" applyAlignment="1" applyProtection="1">
      <alignment horizontal="left"/>
    </xf>
    <xf numFmtId="0" fontId="3" fillId="0" borderId="0" xfId="0" applyFont="1" applyFill="1" applyBorder="1"/>
    <xf numFmtId="0" fontId="2" fillId="0" borderId="0" xfId="0" applyFont="1" applyFill="1" applyAlignment="1">
      <alignment horizontal="left"/>
    </xf>
    <xf numFmtId="43" fontId="13" fillId="0" borderId="0" xfId="1" applyFont="1" applyFill="1" applyBorder="1" applyProtection="1"/>
    <xf numFmtId="0" fontId="2" fillId="0" borderId="0" xfId="0" applyFont="1" applyFill="1" applyAlignment="1">
      <alignment horizontal="right"/>
    </xf>
    <xf numFmtId="43" fontId="3" fillId="0" borderId="13" xfId="1" applyFont="1" applyFill="1" applyBorder="1"/>
    <xf numFmtId="43" fontId="3" fillId="2" borderId="7" xfId="1" applyFont="1" applyFill="1" applyBorder="1"/>
    <xf numFmtId="43" fontId="3" fillId="0" borderId="1" xfId="1" applyFont="1" applyFill="1" applyBorder="1" applyAlignment="1" applyProtection="1">
      <alignment horizontal="left"/>
    </xf>
    <xf numFmtId="43" fontId="2" fillId="0" borderId="0" xfId="1" quotePrefix="1" applyFont="1" applyFill="1" applyBorder="1"/>
    <xf numFmtId="43" fontId="2" fillId="2" borderId="7" xfId="1" quotePrefix="1" applyFont="1" applyFill="1" applyBorder="1"/>
    <xf numFmtId="43" fontId="2" fillId="0" borderId="0" xfId="1" applyFont="1" applyFill="1" applyBorder="1" applyAlignment="1" applyProtection="1">
      <alignment horizontal="fill"/>
    </xf>
    <xf numFmtId="43" fontId="3" fillId="0" borderId="14" xfId="1" quotePrefix="1" applyFont="1" applyFill="1" applyBorder="1"/>
    <xf numFmtId="43" fontId="3" fillId="2" borderId="7" xfId="1" quotePrefix="1" applyFont="1" applyFill="1" applyBorder="1"/>
    <xf numFmtId="43" fontId="3" fillId="0" borderId="0" xfId="1" quotePrefix="1" applyFont="1" applyFill="1" applyBorder="1"/>
    <xf numFmtId="14" fontId="2" fillId="0" borderId="0" xfId="0" applyNumberFormat="1" applyFont="1" applyFill="1" applyAlignment="1" applyProtection="1">
      <alignment horizontal="left"/>
    </xf>
    <xf numFmtId="0" fontId="2" fillId="2" borderId="7" xfId="0" applyFont="1" applyFill="1" applyBorder="1" applyAlignment="1" applyProtection="1">
      <alignment horizontal="left"/>
    </xf>
    <xf numFmtId="43" fontId="13" fillId="0" borderId="0" xfId="1" applyFont="1" applyFill="1"/>
    <xf numFmtId="43" fontId="3" fillId="0" borderId="0" xfId="1" applyFont="1" applyFill="1"/>
    <xf numFmtId="43" fontId="12" fillId="0" borderId="0" xfId="0" applyNumberFormat="1" applyFont="1" applyFill="1"/>
    <xf numFmtId="43" fontId="3" fillId="0" borderId="1" xfId="0" applyNumberFormat="1" applyFont="1" applyFill="1" applyBorder="1"/>
    <xf numFmtId="43" fontId="3" fillId="0" borderId="0" xfId="0" applyNumberFormat="1" applyFont="1" applyFill="1" applyBorder="1"/>
    <xf numFmtId="43" fontId="3" fillId="0" borderId="0" xfId="0" applyNumberFormat="1" applyFont="1" applyFill="1"/>
    <xf numFmtId="43" fontId="3" fillId="0" borderId="1" xfId="1" applyFont="1" applyFill="1" applyBorder="1"/>
    <xf numFmtId="43" fontId="2" fillId="0" borderId="1" xfId="0" applyNumberFormat="1" applyFont="1" applyFill="1" applyBorder="1"/>
    <xf numFmtId="43" fontId="3" fillId="0" borderId="0" xfId="0" quotePrefix="1" applyNumberFormat="1" applyFont="1" applyFill="1" applyBorder="1"/>
    <xf numFmtId="43" fontId="2" fillId="0" borderId="13" xfId="0" applyNumberFormat="1" applyFont="1" applyFill="1" applyBorder="1"/>
    <xf numFmtId="43" fontId="3" fillId="0" borderId="0" xfId="1" applyFont="1" applyFill="1" applyBorder="1"/>
    <xf numFmtId="43" fontId="3" fillId="0" borderId="0" xfId="1" applyFont="1" applyFill="1" applyBorder="1" applyAlignment="1" applyProtection="1">
      <alignment horizontal="fill"/>
    </xf>
    <xf numFmtId="43" fontId="12" fillId="0" borderId="15" xfId="1" applyFont="1" applyFill="1" applyBorder="1"/>
    <xf numFmtId="43" fontId="3" fillId="11" borderId="0" xfId="1" applyFont="1" applyFill="1" applyBorder="1" applyAlignment="1" applyProtection="1">
      <alignment horizontal="left"/>
    </xf>
    <xf numFmtId="43" fontId="2" fillId="11" borderId="0" xfId="1" applyFont="1" applyFill="1" applyBorder="1" applyProtection="1"/>
    <xf numFmtId="4" fontId="3" fillId="0" borderId="0" xfId="0" applyNumberFormat="1" applyFont="1" applyFill="1" applyBorder="1"/>
    <xf numFmtId="0" fontId="2" fillId="0" borderId="0" xfId="0" quotePrefix="1" applyFont="1" applyFill="1" applyBorder="1"/>
    <xf numFmtId="43" fontId="12" fillId="0" borderId="0" xfId="0" applyNumberFormat="1" applyFont="1" applyFill="1" applyBorder="1"/>
    <xf numFmtId="0" fontId="14" fillId="0" borderId="0" xfId="0" applyFont="1" applyFill="1" applyBorder="1" applyAlignment="1">
      <alignment vertical="center" wrapText="1"/>
    </xf>
    <xf numFmtId="43" fontId="14" fillId="0" borderId="0" xfId="1" applyFont="1" applyFill="1" applyBorder="1" applyAlignment="1">
      <alignment horizontal="center" vertical="center"/>
    </xf>
    <xf numFmtId="43" fontId="3" fillId="0" borderId="0" xfId="1" quotePrefix="1" applyFont="1" applyFill="1" applyAlignment="1" applyProtection="1">
      <alignment horizontal="left"/>
    </xf>
    <xf numFmtId="43" fontId="2" fillId="0" borderId="16" xfId="1" applyFont="1" applyFill="1" applyBorder="1"/>
    <xf numFmtId="43" fontId="2" fillId="0" borderId="0" xfId="1" quotePrefix="1" applyFont="1" applyFill="1"/>
    <xf numFmtId="14" fontId="2" fillId="0" borderId="0" xfId="0" applyNumberFormat="1" applyFont="1" applyFill="1" applyBorder="1"/>
    <xf numFmtId="43" fontId="12" fillId="0" borderId="0" xfId="1" applyFont="1" applyFill="1" applyBorder="1"/>
    <xf numFmtId="43" fontId="2" fillId="0" borderId="0" xfId="1" quotePrefix="1" applyFont="1" applyFill="1" applyBorder="1" applyAlignment="1" applyProtection="1">
      <alignment horizontal="fill"/>
    </xf>
    <xf numFmtId="0" fontId="2" fillId="0" borderId="0" xfId="0" applyFont="1" applyFill="1" applyAlignment="1">
      <alignment horizontal="center"/>
    </xf>
    <xf numFmtId="14" fontId="2" fillId="0" borderId="0" xfId="0" quotePrefix="1" applyNumberFormat="1" applyFont="1" applyFill="1"/>
    <xf numFmtId="43" fontId="2" fillId="0" borderId="15" xfId="0" applyNumberFormat="1" applyFont="1" applyFill="1" applyBorder="1"/>
    <xf numFmtId="43" fontId="2" fillId="0" borderId="1" xfId="1" applyFont="1" applyFill="1" applyBorder="1"/>
    <xf numFmtId="0" fontId="12" fillId="0" borderId="0" xfId="0" applyFont="1" applyFill="1"/>
    <xf numFmtId="43" fontId="12" fillId="0" borderId="0" xfId="1" quotePrefix="1" applyFont="1" applyFill="1"/>
    <xf numFmtId="43" fontId="2" fillId="0" borderId="0" xfId="1" applyFont="1" applyFill="1" applyBorder="1" applyAlignment="1" applyProtection="1">
      <alignment horizontal="center"/>
    </xf>
    <xf numFmtId="43" fontId="2" fillId="0" borderId="0" xfId="0" applyNumberFormat="1" applyFont="1" applyFill="1" applyBorder="1" applyAlignment="1">
      <alignment horizontal="right"/>
    </xf>
    <xf numFmtId="43" fontId="15" fillId="0" borderId="0" xfId="1" applyFont="1" applyFill="1" applyBorder="1"/>
    <xf numFmtId="43" fontId="12" fillId="0" borderId="0" xfId="1" applyFont="1" applyFill="1" applyBorder="1" applyAlignment="1" applyProtection="1">
      <alignment horizontal="fill"/>
    </xf>
    <xf numFmtId="43" fontId="3" fillId="0" borderId="14" xfId="0" applyNumberFormat="1" applyFont="1" applyFill="1" applyBorder="1"/>
    <xf numFmtId="43" fontId="11" fillId="0" borderId="0" xfId="0" applyNumberFormat="1" applyFont="1" applyFill="1" applyBorder="1"/>
    <xf numFmtId="14" fontId="2" fillId="0" borderId="0" xfId="1" applyNumberFormat="1" applyFont="1" applyFill="1" applyBorder="1"/>
    <xf numFmtId="14" fontId="2" fillId="0" borderId="0" xfId="0" applyNumberFormat="1" applyFont="1" applyFill="1" applyAlignment="1">
      <alignment horizontal="center"/>
    </xf>
    <xf numFmtId="43" fontId="2" fillId="0" borderId="0" xfId="1" applyFont="1" applyFill="1" applyBorder="1" applyAlignment="1" applyProtection="1">
      <alignment horizontal="right"/>
    </xf>
    <xf numFmtId="43" fontId="2" fillId="2" borderId="7" xfId="1" applyFont="1" applyFill="1" applyBorder="1" applyAlignment="1" applyProtection="1">
      <alignment horizontal="right"/>
    </xf>
    <xf numFmtId="43" fontId="3" fillId="0" borderId="0" xfId="1" quotePrefix="1" applyFont="1" applyFill="1"/>
    <xf numFmtId="43" fontId="2" fillId="0" borderId="14" xfId="1" applyFont="1" applyFill="1" applyBorder="1"/>
    <xf numFmtId="43" fontId="3" fillId="0" borderId="14" xfId="1" applyFont="1" applyFill="1" applyBorder="1"/>
    <xf numFmtId="43" fontId="3" fillId="0" borderId="15" xfId="1" applyFont="1" applyFill="1" applyBorder="1"/>
    <xf numFmtId="43" fontId="2" fillId="2" borderId="7" xfId="1" applyFont="1" applyFill="1" applyBorder="1" applyAlignment="1" applyProtection="1">
      <alignment horizontal="center"/>
    </xf>
    <xf numFmtId="43" fontId="2" fillId="0" borderId="0" xfId="1" applyFont="1" applyFill="1" applyAlignment="1">
      <alignment horizontal="center"/>
    </xf>
    <xf numFmtId="43" fontId="2" fillId="2" borderId="7" xfId="1" applyFont="1" applyFill="1" applyBorder="1" applyAlignment="1">
      <alignment horizontal="center"/>
    </xf>
    <xf numFmtId="43" fontId="2" fillId="0" borderId="0" xfId="0" quotePrefix="1" applyNumberFormat="1" applyFont="1" applyFill="1" applyBorder="1"/>
    <xf numFmtId="43" fontId="2" fillId="0" borderId="0" xfId="0" quotePrefix="1" applyNumberFormat="1" applyFont="1" applyFill="1"/>
    <xf numFmtId="0" fontId="2" fillId="0" borderId="0" xfId="0" quotePrefix="1" applyFont="1" applyFill="1" applyAlignment="1">
      <alignment horizontal="right"/>
    </xf>
    <xf numFmtId="43" fontId="3" fillId="0" borderId="0" xfId="1" applyFont="1" applyFill="1" applyAlignment="1" applyProtection="1">
      <alignment horizontal="left"/>
    </xf>
    <xf numFmtId="43" fontId="12" fillId="0" borderId="1" xfId="1" applyFont="1" applyFill="1" applyBorder="1"/>
    <xf numFmtId="0" fontId="2" fillId="0" borderId="0" xfId="0" quotePrefix="1" applyFont="1" applyFill="1" applyAlignment="1">
      <alignment horizontal="center"/>
    </xf>
    <xf numFmtId="0" fontId="12" fillId="0" borderId="0" xfId="0" quotePrefix="1" applyFont="1" applyFill="1"/>
    <xf numFmtId="0" fontId="12" fillId="0" borderId="0" xfId="0" applyFont="1" applyFill="1" applyBorder="1"/>
    <xf numFmtId="43" fontId="16" fillId="0" borderId="0" xfId="0" applyNumberFormat="1" applyFont="1" applyFill="1"/>
    <xf numFmtId="49" fontId="17" fillId="0" borderId="0" xfId="1" applyNumberFormat="1" applyFont="1" applyFill="1" applyAlignment="1"/>
    <xf numFmtId="49" fontId="2" fillId="0" borderId="0" xfId="1" applyNumberFormat="1" applyFont="1" applyFill="1" applyAlignment="1"/>
    <xf numFmtId="43" fontId="2" fillId="0" borderId="17" xfId="0" applyNumberFormat="1" applyFont="1" applyFill="1" applyBorder="1"/>
    <xf numFmtId="43" fontId="2" fillId="0" borderId="0" xfId="1" applyFont="1" applyFill="1" applyBorder="1" applyAlignment="1">
      <alignment horizontal="center"/>
    </xf>
    <xf numFmtId="43" fontId="3" fillId="0" borderId="14" xfId="0" applyNumberFormat="1" applyFont="1" applyFill="1" applyBorder="1" applyAlignment="1" applyProtection="1">
      <alignment horizontal="left"/>
    </xf>
    <xf numFmtId="43" fontId="3" fillId="2" borderId="0" xfId="1" applyFont="1" applyFill="1" applyBorder="1" applyAlignment="1" applyProtection="1">
      <alignment horizontal="left"/>
    </xf>
    <xf numFmtId="49" fontId="2" fillId="0" borderId="0" xfId="0" applyNumberFormat="1" applyFont="1" applyFill="1" applyAlignment="1" applyProtection="1">
      <alignment horizontal="left"/>
    </xf>
    <xf numFmtId="43" fontId="2" fillId="0" borderId="0" xfId="1" applyFont="1" applyAlignment="1" applyProtection="1">
      <alignment horizontal="center" vertical="center" wrapText="1"/>
    </xf>
    <xf numFmtId="43" fontId="3" fillId="0" borderId="0" xfId="1" applyFont="1" applyFill="1" applyBorder="1" applyAlignment="1" applyProtection="1">
      <alignment horizontal="left"/>
    </xf>
    <xf numFmtId="17" fontId="3" fillId="0" borderId="0" xfId="0" applyNumberFormat="1" applyFont="1" applyFill="1" applyAlignment="1" applyProtection="1">
      <alignment horizontal="center"/>
    </xf>
    <xf numFmtId="17" fontId="2" fillId="0" borderId="0" xfId="0" applyNumberFormat="1" applyFont="1" applyFill="1" applyAlignment="1" applyProtection="1">
      <alignment horizontal="center"/>
    </xf>
    <xf numFmtId="43" fontId="3" fillId="0" borderId="0" xfId="1" applyFont="1" applyFill="1" applyBorder="1" applyAlignment="1" applyProtection="1">
      <alignment horizontal="left"/>
    </xf>
    <xf numFmtId="43" fontId="2" fillId="0" borderId="0" xfId="1" applyFont="1" applyAlignment="1" applyProtection="1">
      <alignment horizontal="center" vertical="center"/>
    </xf>
    <xf numFmtId="43" fontId="3" fillId="0" borderId="0" xfId="1" applyFont="1" applyAlignment="1" applyProtection="1">
      <alignment horizontal="center" vertical="center" wrapText="1"/>
    </xf>
    <xf numFmtId="43" fontId="2" fillId="0" borderId="0" xfId="1" applyFont="1" applyAlignment="1" applyProtection="1">
      <alignment horizontal="center" vertical="center" wrapText="1"/>
    </xf>
    <xf numFmtId="17" fontId="2" fillId="0" borderId="1" xfId="1" applyNumberFormat="1" applyFont="1" applyBorder="1" applyAlignment="1" applyProtection="1">
      <alignment horizontal="center"/>
    </xf>
    <xf numFmtId="43" fontId="2" fillId="0" borderId="1" xfId="1" applyFont="1" applyBorder="1" applyAlignment="1" applyProtection="1">
      <alignment horizontal="center"/>
    </xf>
    <xf numFmtId="43" fontId="3" fillId="0" borderId="2" xfId="1" applyFont="1" applyBorder="1" applyAlignment="1" applyProtection="1">
      <alignment horizontal="center" vertical="center" wrapText="1"/>
    </xf>
    <xf numFmtId="43" fontId="3" fillId="0" borderId="5" xfId="1" applyFont="1" applyBorder="1" applyAlignment="1" applyProtection="1">
      <alignment horizontal="center" vertical="center" wrapText="1"/>
    </xf>
    <xf numFmtId="49" fontId="3" fillId="0" borderId="2" xfId="1" applyNumberFormat="1" applyFont="1" applyBorder="1" applyAlignment="1" applyProtection="1">
      <alignment horizontal="center" vertical="center" wrapText="1"/>
    </xf>
    <xf numFmtId="49" fontId="3" fillId="0" borderId="5" xfId="1" applyNumberFormat="1" applyFont="1" applyBorder="1" applyAlignment="1" applyProtection="1">
      <alignment horizontal="center" vertical="center" wrapText="1"/>
    </xf>
    <xf numFmtId="43" fontId="3" fillId="3" borderId="2" xfId="1" applyFont="1" applyFill="1" applyBorder="1" applyAlignment="1" applyProtection="1">
      <alignment horizontal="center" vertical="center" wrapText="1"/>
    </xf>
    <xf numFmtId="43" fontId="3" fillId="3" borderId="5" xfId="1" applyFont="1" applyFill="1" applyBorder="1" applyAlignment="1" applyProtection="1">
      <alignment horizontal="center" vertical="center" wrapText="1"/>
    </xf>
    <xf numFmtId="43" fontId="5" fillId="9" borderId="7" xfId="1" applyFont="1" applyFill="1" applyBorder="1" applyAlignment="1" applyProtection="1">
      <alignment horizontal="center" vertical="center" wrapText="1"/>
    </xf>
    <xf numFmtId="165" fontId="3" fillId="2" borderId="0" xfId="1" applyNumberFormat="1" applyFont="1" applyFill="1" applyBorder="1" applyAlignment="1" applyProtection="1">
      <alignment horizontal="center" vertical="center"/>
    </xf>
    <xf numFmtId="165" fontId="3" fillId="2" borderId="11" xfId="1" applyNumberFormat="1" applyFont="1" applyFill="1" applyBorder="1" applyAlignment="1" applyProtection="1">
      <alignment horizontal="center" vertical="center"/>
    </xf>
    <xf numFmtId="165" fontId="3" fillId="2" borderId="1" xfId="1" applyNumberFormat="1" applyFont="1" applyFill="1" applyBorder="1" applyAlignment="1" applyProtection="1">
      <alignment horizontal="center" vertical="center"/>
    </xf>
    <xf numFmtId="165" fontId="3" fillId="2" borderId="10" xfId="1" applyNumberFormat="1" applyFont="1" applyFill="1" applyBorder="1" applyAlignment="1" applyProtection="1">
      <alignment horizontal="center" vertical="center"/>
    </xf>
    <xf numFmtId="43" fontId="3" fillId="8" borderId="3" xfId="1" applyFont="1" applyFill="1" applyBorder="1" applyAlignment="1" applyProtection="1">
      <alignment horizontal="center" vertical="center" wrapText="1"/>
    </xf>
    <xf numFmtId="43" fontId="3" fillId="8" borderId="12" xfId="1" applyFont="1" applyFill="1" applyBorder="1" applyAlignment="1" applyProtection="1">
      <alignment horizontal="center" vertical="center" wrapText="1"/>
    </xf>
    <xf numFmtId="43" fontId="3" fillId="8" borderId="6" xfId="1" applyFont="1" applyFill="1" applyBorder="1" applyAlignment="1" applyProtection="1">
      <alignment horizontal="center" vertical="center" wrapText="1"/>
    </xf>
    <xf numFmtId="43" fontId="3" fillId="8" borderId="10" xfId="1" applyFont="1" applyFill="1" applyBorder="1" applyAlignment="1" applyProtection="1">
      <alignment horizontal="center" vertical="center" wrapText="1"/>
    </xf>
    <xf numFmtId="43" fontId="5" fillId="8" borderId="7" xfId="1" applyFont="1" applyFill="1" applyBorder="1" applyAlignment="1" applyProtection="1">
      <alignment horizontal="center" vertical="center" wrapText="1"/>
    </xf>
    <xf numFmtId="43" fontId="3" fillId="3" borderId="3" xfId="1" applyFont="1" applyFill="1" applyBorder="1" applyAlignment="1" applyProtection="1">
      <alignment horizontal="center" vertical="center" wrapText="1"/>
    </xf>
    <xf numFmtId="43" fontId="3" fillId="3" borderId="6" xfId="1" applyFont="1" applyFill="1" applyBorder="1" applyAlignment="1" applyProtection="1">
      <alignment horizontal="center" vertical="center" wrapText="1"/>
    </xf>
    <xf numFmtId="43" fontId="3" fillId="9" borderId="3" xfId="1" applyFont="1" applyFill="1" applyBorder="1" applyAlignment="1" applyProtection="1">
      <alignment horizontal="center" vertical="center" wrapText="1"/>
    </xf>
    <xf numFmtId="43" fontId="3" fillId="9" borderId="12" xfId="1" applyFont="1" applyFill="1" applyBorder="1" applyAlignment="1" applyProtection="1">
      <alignment horizontal="center" vertical="center" wrapText="1"/>
    </xf>
    <xf numFmtId="43" fontId="3" fillId="9" borderId="6" xfId="1" applyFont="1" applyFill="1" applyBorder="1" applyAlignment="1" applyProtection="1">
      <alignment horizontal="center" vertical="center" wrapText="1"/>
    </xf>
    <xf numFmtId="43" fontId="3" fillId="9" borderId="10" xfId="1" applyFont="1" applyFill="1" applyBorder="1" applyAlignment="1" applyProtection="1">
      <alignment horizontal="center" vertical="center" wrapText="1"/>
    </xf>
    <xf numFmtId="43" fontId="3" fillId="10" borderId="7" xfId="1" applyFont="1" applyFill="1" applyBorder="1" applyAlignment="1" applyProtection="1">
      <alignment horizontal="center" vertical="center" wrapText="1"/>
    </xf>
    <xf numFmtId="43" fontId="5" fillId="10" borderId="7" xfId="1" applyFont="1" applyFill="1" applyBorder="1" applyAlignment="1" applyProtection="1">
      <alignment horizontal="center" vertical="center" wrapText="1"/>
    </xf>
    <xf numFmtId="43" fontId="3" fillId="4" borderId="7" xfId="1" applyFont="1" applyFill="1" applyBorder="1" applyAlignment="1" applyProtection="1">
      <alignment horizontal="center" vertical="center" wrapText="1"/>
    </xf>
    <xf numFmtId="43" fontId="5" fillId="4" borderId="7" xfId="1" applyFont="1" applyFill="1" applyBorder="1" applyAlignment="1" applyProtection="1">
      <alignment horizontal="center" vertical="center" wrapText="1"/>
    </xf>
    <xf numFmtId="43" fontId="3" fillId="0" borderId="0" xfId="1" applyFont="1" applyAlignment="1">
      <alignment horizontal="center"/>
    </xf>
    <xf numFmtId="43" fontId="2" fillId="0" borderId="0" xfId="1" applyFont="1" applyAlignment="1">
      <alignment horizontal="center"/>
    </xf>
    <xf numFmtId="43" fontId="3" fillId="0" borderId="0" xfId="1" applyFont="1" applyAlignment="1" applyProtection="1">
      <alignment horizontal="center" vertical="center"/>
    </xf>
    <xf numFmtId="17" fontId="3" fillId="0" borderId="0" xfId="0" applyNumberFormat="1" applyFont="1" applyFill="1" applyAlignment="1" applyProtection="1">
      <alignment horizontal="center"/>
    </xf>
    <xf numFmtId="0" fontId="3" fillId="0" borderId="0" xfId="0" applyFont="1" applyFill="1" applyAlignment="1">
      <alignment horizontal="center" vertical="center"/>
    </xf>
    <xf numFmtId="43" fontId="3" fillId="0" borderId="0" xfId="1" applyFont="1" applyFill="1" applyBorder="1" applyAlignment="1" applyProtection="1">
      <alignment horizontal="left"/>
    </xf>
    <xf numFmtId="43" fontId="3" fillId="0" borderId="0" xfId="0" applyNumberFormat="1" applyFont="1" applyFill="1" applyAlignment="1" applyProtection="1">
      <alignment horizontal="center"/>
    </xf>
    <xf numFmtId="17" fontId="2" fillId="0" borderId="0" xfId="0" applyNumberFormat="1" applyFont="1" applyFill="1" applyAlignment="1" applyProtection="1">
      <alignment horizontal="center"/>
    </xf>
  </cellXfs>
  <cellStyles count="4">
    <cellStyle name="Comma" xfId="1" builtinId="3"/>
    <cellStyle name="Normal" xfId="0" builtinId="0"/>
    <cellStyle name="Normal 10" xfId="2"/>
    <cellStyle name="Normal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F%202011\April%20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is_nelrose\My%20Documents\Trust%20Fund%20Control\416\CD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UST%20FUND\TF%202010\JUne,%2020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UST%20FUND\TF%202010\November%2010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B"/>
      <sheetName val="Comparative BS"/>
      <sheetName val="BS"/>
      <sheetName val="SIE"/>
      <sheetName val="SGE"/>
      <sheetName val="Cash flow"/>
      <sheetName val="Cashflow-COA"/>
      <sheetName val="RRR"/>
      <sheetName val="worksheet"/>
      <sheetName val="schedule"/>
    </sheetNames>
    <sheetDataSet>
      <sheetData sheetId="0">
        <row r="7">
          <cell r="A7" t="str">
            <v>As of April 30, 2011</v>
          </cell>
        </row>
        <row r="15">
          <cell r="G15">
            <v>50000</v>
          </cell>
        </row>
        <row r="16">
          <cell r="G16">
            <v>4876.6200000001118</v>
          </cell>
        </row>
        <row r="18">
          <cell r="G18">
            <v>75809617.73999998</v>
          </cell>
        </row>
        <row r="19">
          <cell r="G19">
            <v>4335118.08</v>
          </cell>
        </row>
        <row r="37">
          <cell r="G37">
            <v>1183464.43</v>
          </cell>
        </row>
        <row r="38">
          <cell r="G38">
            <v>1897625</v>
          </cell>
        </row>
        <row r="41">
          <cell r="H41">
            <v>29984964.059999987</v>
          </cell>
        </row>
        <row r="42">
          <cell r="G42">
            <v>312433.89</v>
          </cell>
        </row>
        <row r="51">
          <cell r="G51">
            <v>2812761.87</v>
          </cell>
        </row>
        <row r="181">
          <cell r="J181">
            <v>139724679.95999998</v>
          </cell>
        </row>
        <row r="183">
          <cell r="J183">
            <v>4489047.9400000004</v>
          </cell>
        </row>
        <row r="184">
          <cell r="J184">
            <v>11797618.639999999</v>
          </cell>
        </row>
        <row r="185">
          <cell r="J185">
            <v>5412102.8900000006</v>
          </cell>
        </row>
        <row r="186">
          <cell r="J186">
            <v>1426138.3599999999</v>
          </cell>
        </row>
        <row r="189">
          <cell r="J189">
            <v>50143127.590000004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009"/>
    </sheetNames>
    <sheetDataSet>
      <sheetData sheetId="0">
        <row r="100">
          <cell r="D100">
            <v>1825341.3599999999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bs"/>
      <sheetName val="tb"/>
      <sheetName val="sie"/>
      <sheetName val="sge"/>
      <sheetName val="Dec-CF"/>
      <sheetName val="cashflow"/>
      <sheetName val="Schedule"/>
    </sheetNames>
    <sheetDataSet>
      <sheetData sheetId="0" refreshError="1"/>
      <sheetData sheetId="1">
        <row r="7">
          <cell r="O7">
            <v>497736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B"/>
      <sheetName val="BS"/>
      <sheetName val="SIE"/>
      <sheetName val="SGE"/>
      <sheetName val="Cash flow"/>
      <sheetName val="Cashflow-COA"/>
      <sheetName val="RRR"/>
      <sheetName val="worksheet"/>
      <sheetName val="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440">
          <cell r="E1440">
            <v>6367191.849999995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N483"/>
  <sheetViews>
    <sheetView workbookViewId="0">
      <selection sqref="A1:D1"/>
    </sheetView>
  </sheetViews>
  <sheetFormatPr defaultRowHeight="14.25"/>
  <cols>
    <col min="1" max="1" width="49.7109375" style="19" customWidth="1"/>
    <col min="2" max="2" width="9.7109375" style="69" customWidth="1"/>
    <col min="3" max="6" width="18.7109375" style="19" customWidth="1"/>
    <col min="7" max="7" width="20" style="19" customWidth="1"/>
    <col min="8" max="8" width="18.7109375" style="19" customWidth="1"/>
    <col min="9" max="9" width="20.28515625" style="19" bestFit="1" customWidth="1"/>
    <col min="10" max="10" width="18.7109375" style="19" customWidth="1"/>
    <col min="11" max="11" width="20" style="19" customWidth="1"/>
    <col min="12" max="12" width="18.7109375" style="19" customWidth="1"/>
    <col min="13" max="13" width="20.28515625" style="19" bestFit="1" customWidth="1"/>
    <col min="14" max="14" width="18.7109375" style="19" customWidth="1"/>
    <col min="15" max="16384" width="9.140625" style="19"/>
  </cols>
  <sheetData>
    <row r="1" spans="1:14">
      <c r="A1" s="238" t="s">
        <v>0</v>
      </c>
      <c r="B1" s="238"/>
      <c r="C1" s="238"/>
      <c r="D1" s="238"/>
    </row>
    <row r="2" spans="1:14">
      <c r="A2" s="238" t="s">
        <v>1</v>
      </c>
      <c r="B2" s="238"/>
      <c r="C2" s="238"/>
      <c r="D2" s="238"/>
    </row>
    <row r="3" spans="1:14">
      <c r="A3" s="238" t="s">
        <v>2</v>
      </c>
      <c r="B3" s="238"/>
      <c r="C3" s="238"/>
      <c r="D3" s="238"/>
    </row>
    <row r="4" spans="1:14">
      <c r="A4" s="238"/>
      <c r="B4" s="238"/>
      <c r="C4" s="238"/>
      <c r="D4" s="238"/>
    </row>
    <row r="5" spans="1:14" ht="15">
      <c r="A5" s="238" t="s">
        <v>3</v>
      </c>
      <c r="B5" s="239"/>
      <c r="C5" s="238"/>
      <c r="D5" s="238"/>
    </row>
    <row r="6" spans="1:14" ht="15">
      <c r="A6" s="238" t="s">
        <v>4</v>
      </c>
      <c r="B6" s="239"/>
      <c r="C6" s="238"/>
      <c r="D6" s="238"/>
    </row>
    <row r="7" spans="1:14">
      <c r="A7" s="238" t="s">
        <v>5</v>
      </c>
      <c r="B7" s="240"/>
      <c r="C7" s="238"/>
      <c r="D7" s="238"/>
    </row>
    <row r="8" spans="1:14">
      <c r="A8" s="238"/>
      <c r="B8" s="240"/>
      <c r="C8" s="238"/>
      <c r="D8" s="238"/>
    </row>
    <row r="9" spans="1:14" s="67" customFormat="1" ht="15">
      <c r="A9" s="66"/>
      <c r="B9" s="66"/>
      <c r="E9" s="250" t="str">
        <f>A7</f>
        <v>As of  January  31, 2011</v>
      </c>
      <c r="F9" s="251"/>
      <c r="G9" s="261" t="s">
        <v>10</v>
      </c>
      <c r="H9" s="262"/>
      <c r="I9" s="254" t="s">
        <v>1009</v>
      </c>
      <c r="J9" s="255"/>
      <c r="K9" s="265" t="s">
        <v>1010</v>
      </c>
      <c r="L9" s="265"/>
      <c r="M9" s="267" t="s">
        <v>11</v>
      </c>
      <c r="N9" s="267"/>
    </row>
    <row r="10" spans="1:14" ht="14.25" customHeight="1">
      <c r="A10" s="68"/>
      <c r="C10" s="241"/>
      <c r="D10" s="242"/>
      <c r="E10" s="252"/>
      <c r="F10" s="253"/>
      <c r="G10" s="263"/>
      <c r="H10" s="264"/>
      <c r="I10" s="256"/>
      <c r="J10" s="257"/>
      <c r="K10" s="265"/>
      <c r="L10" s="265"/>
      <c r="M10" s="267"/>
      <c r="N10" s="267"/>
    </row>
    <row r="11" spans="1:14" ht="15" customHeight="1">
      <c r="A11" s="243" t="s">
        <v>6</v>
      </c>
      <c r="B11" s="245" t="s">
        <v>7</v>
      </c>
      <c r="C11" s="243" t="s">
        <v>8</v>
      </c>
      <c r="D11" s="243" t="s">
        <v>9</v>
      </c>
      <c r="E11" s="247" t="s">
        <v>8</v>
      </c>
      <c r="F11" s="259" t="s">
        <v>9</v>
      </c>
      <c r="G11" s="249" t="s">
        <v>8</v>
      </c>
      <c r="H11" s="249" t="s">
        <v>9</v>
      </c>
      <c r="I11" s="258" t="s">
        <v>8</v>
      </c>
      <c r="J11" s="258" t="s">
        <v>9</v>
      </c>
      <c r="K11" s="266" t="s">
        <v>8</v>
      </c>
      <c r="L11" s="266" t="s">
        <v>9</v>
      </c>
      <c r="M11" s="268" t="s">
        <v>8</v>
      </c>
      <c r="N11" s="268" t="s">
        <v>9</v>
      </c>
    </row>
    <row r="12" spans="1:14">
      <c r="A12" s="244"/>
      <c r="B12" s="246"/>
      <c r="C12" s="244"/>
      <c r="D12" s="244"/>
      <c r="E12" s="248"/>
      <c r="F12" s="260"/>
      <c r="G12" s="249"/>
      <c r="H12" s="249"/>
      <c r="I12" s="258"/>
      <c r="J12" s="258"/>
      <c r="K12" s="266"/>
      <c r="L12" s="266"/>
      <c r="M12" s="268"/>
      <c r="N12" s="268"/>
    </row>
    <row r="13" spans="1:14">
      <c r="A13" s="3" t="s">
        <v>12</v>
      </c>
      <c r="B13" s="4">
        <v>101</v>
      </c>
      <c r="C13" s="5">
        <f>E13-F13</f>
        <v>0</v>
      </c>
      <c r="D13" s="5"/>
      <c r="E13" s="6">
        <f>SUM(G13,I13,K13,M13)</f>
        <v>0</v>
      </c>
      <c r="F13" s="6">
        <f>SUM(H13,J13,L13,N13)</f>
        <v>0</v>
      </c>
      <c r="G13" s="62"/>
      <c r="H13" s="62"/>
      <c r="I13" s="60"/>
      <c r="J13" s="60"/>
      <c r="K13" s="64"/>
      <c r="L13" s="64"/>
      <c r="M13" s="25"/>
      <c r="N13" s="25"/>
    </row>
    <row r="14" spans="1:14">
      <c r="A14" s="3" t="s">
        <v>13</v>
      </c>
      <c r="B14" s="4" t="s">
        <v>14</v>
      </c>
      <c r="C14" s="5">
        <f>E14-F14</f>
        <v>0</v>
      </c>
      <c r="D14" s="5"/>
      <c r="E14" s="6">
        <f t="shared" ref="E14:E77" si="0">SUM(G14,I14,K14,M14)</f>
        <v>0</v>
      </c>
      <c r="F14" s="6">
        <f t="shared" ref="F14:F77" si="1">SUM(H14,J14,L14,N14)</f>
        <v>0</v>
      </c>
      <c r="G14" s="62"/>
      <c r="H14" s="62"/>
      <c r="I14" s="60"/>
      <c r="J14" s="60"/>
      <c r="K14" s="64"/>
      <c r="L14" s="64"/>
      <c r="M14" s="25"/>
      <c r="N14" s="25"/>
    </row>
    <row r="15" spans="1:14">
      <c r="A15" s="3" t="s">
        <v>15</v>
      </c>
      <c r="B15" s="4" t="s">
        <v>16</v>
      </c>
      <c r="C15" s="5">
        <f>E15-F15</f>
        <v>0</v>
      </c>
      <c r="D15" s="5"/>
      <c r="E15" s="6">
        <f t="shared" si="0"/>
        <v>0</v>
      </c>
      <c r="F15" s="6">
        <f t="shared" si="1"/>
        <v>0</v>
      </c>
      <c r="G15" s="63"/>
      <c r="H15" s="63"/>
      <c r="I15" s="61"/>
      <c r="J15" s="61"/>
      <c r="K15" s="65"/>
      <c r="L15" s="65"/>
      <c r="M15" s="26"/>
      <c r="N15" s="26"/>
    </row>
    <row r="16" spans="1:14">
      <c r="A16" s="3" t="s">
        <v>17</v>
      </c>
      <c r="B16" s="4" t="s">
        <v>18</v>
      </c>
      <c r="C16" s="5">
        <f>E16-F16</f>
        <v>0</v>
      </c>
      <c r="D16" s="5"/>
      <c r="E16" s="6">
        <f t="shared" si="0"/>
        <v>0</v>
      </c>
      <c r="F16" s="6">
        <f t="shared" si="1"/>
        <v>0</v>
      </c>
      <c r="G16" s="62"/>
      <c r="H16" s="62"/>
      <c r="I16" s="60"/>
      <c r="J16" s="60"/>
      <c r="K16" s="64"/>
      <c r="L16" s="64"/>
      <c r="M16" s="25"/>
      <c r="N16" s="25"/>
    </row>
    <row r="17" spans="1:14">
      <c r="A17" s="3" t="s">
        <v>19</v>
      </c>
      <c r="B17" s="4" t="s">
        <v>20</v>
      </c>
      <c r="C17" s="7">
        <f>E17-F17</f>
        <v>0</v>
      </c>
      <c r="D17" s="7"/>
      <c r="E17" s="6">
        <f t="shared" si="0"/>
        <v>0</v>
      </c>
      <c r="F17" s="6">
        <f t="shared" si="1"/>
        <v>0</v>
      </c>
      <c r="G17" s="62"/>
      <c r="H17" s="62"/>
      <c r="I17" s="60"/>
      <c r="J17" s="60"/>
      <c r="K17" s="64"/>
      <c r="L17" s="64"/>
      <c r="M17" s="25"/>
      <c r="N17" s="25"/>
    </row>
    <row r="18" spans="1:14">
      <c r="A18" s="3" t="s">
        <v>21</v>
      </c>
      <c r="B18" s="4">
        <v>110</v>
      </c>
      <c r="C18" s="7">
        <f t="shared" ref="C18:C80" si="2">E18-F18</f>
        <v>0</v>
      </c>
      <c r="D18" s="7"/>
      <c r="E18" s="6">
        <f t="shared" si="0"/>
        <v>0</v>
      </c>
      <c r="F18" s="6">
        <f t="shared" si="1"/>
        <v>0</v>
      </c>
      <c r="G18" s="62"/>
      <c r="H18" s="62"/>
      <c r="I18" s="60"/>
      <c r="J18" s="60"/>
      <c r="K18" s="64"/>
      <c r="L18" s="64"/>
      <c r="M18" s="25"/>
      <c r="N18" s="25"/>
    </row>
    <row r="19" spans="1:14">
      <c r="A19" s="8" t="s">
        <v>22</v>
      </c>
      <c r="B19" s="4">
        <v>111</v>
      </c>
      <c r="C19" s="7">
        <f t="shared" si="2"/>
        <v>0</v>
      </c>
      <c r="D19" s="7"/>
      <c r="E19" s="6">
        <f t="shared" si="0"/>
        <v>0</v>
      </c>
      <c r="F19" s="6">
        <f t="shared" si="1"/>
        <v>0</v>
      </c>
      <c r="G19" s="62"/>
      <c r="H19" s="62"/>
      <c r="I19" s="60"/>
      <c r="J19" s="60"/>
      <c r="K19" s="64"/>
      <c r="L19" s="64"/>
      <c r="M19" s="25"/>
      <c r="N19" s="25"/>
    </row>
    <row r="20" spans="1:14">
      <c r="A20" s="8" t="s">
        <v>23</v>
      </c>
      <c r="B20" s="4">
        <v>112</v>
      </c>
      <c r="C20" s="7">
        <f t="shared" si="2"/>
        <v>0</v>
      </c>
      <c r="D20" s="7"/>
      <c r="E20" s="6">
        <f t="shared" si="0"/>
        <v>0</v>
      </c>
      <c r="F20" s="6">
        <f t="shared" si="1"/>
        <v>0</v>
      </c>
      <c r="G20" s="62"/>
      <c r="H20" s="62"/>
      <c r="I20" s="60"/>
      <c r="J20" s="60"/>
      <c r="K20" s="64"/>
      <c r="L20" s="64"/>
      <c r="M20" s="25"/>
      <c r="N20" s="25"/>
    </row>
    <row r="21" spans="1:14">
      <c r="A21" s="3" t="s">
        <v>24</v>
      </c>
      <c r="B21" s="4">
        <v>113</v>
      </c>
      <c r="C21" s="7">
        <f t="shared" si="2"/>
        <v>0</v>
      </c>
      <c r="D21" s="7"/>
      <c r="E21" s="6">
        <f t="shared" si="0"/>
        <v>0</v>
      </c>
      <c r="F21" s="6">
        <f t="shared" si="1"/>
        <v>0</v>
      </c>
      <c r="G21" s="62"/>
      <c r="H21" s="62"/>
      <c r="I21" s="60"/>
      <c r="J21" s="60"/>
      <c r="K21" s="64"/>
      <c r="L21" s="64"/>
      <c r="M21" s="25"/>
      <c r="N21" s="25"/>
    </row>
    <row r="22" spans="1:14">
      <c r="A22" s="3" t="s">
        <v>21</v>
      </c>
      <c r="B22" s="4">
        <v>114</v>
      </c>
      <c r="C22" s="7">
        <f t="shared" si="2"/>
        <v>0</v>
      </c>
      <c r="D22" s="7"/>
      <c r="E22" s="6">
        <f t="shared" si="0"/>
        <v>0</v>
      </c>
      <c r="F22" s="6">
        <f t="shared" si="1"/>
        <v>0</v>
      </c>
      <c r="G22" s="62"/>
      <c r="H22" s="62"/>
      <c r="I22" s="60"/>
      <c r="J22" s="60"/>
      <c r="K22" s="64"/>
      <c r="L22" s="64"/>
      <c r="M22" s="25"/>
      <c r="N22" s="25"/>
    </row>
    <row r="23" spans="1:14">
      <c r="A23" s="3" t="s">
        <v>25</v>
      </c>
      <c r="B23" s="4">
        <v>115</v>
      </c>
      <c r="C23" s="7">
        <f t="shared" si="2"/>
        <v>0</v>
      </c>
      <c r="D23" s="7"/>
      <c r="E23" s="6">
        <f t="shared" si="0"/>
        <v>0</v>
      </c>
      <c r="F23" s="6">
        <f t="shared" si="1"/>
        <v>0</v>
      </c>
      <c r="G23" s="62"/>
      <c r="H23" s="62"/>
      <c r="I23" s="60"/>
      <c r="J23" s="60"/>
      <c r="K23" s="64"/>
      <c r="L23" s="64"/>
      <c r="M23" s="25"/>
      <c r="N23" s="25"/>
    </row>
    <row r="24" spans="1:14">
      <c r="A24" s="3" t="s">
        <v>26</v>
      </c>
      <c r="B24" s="4" t="s">
        <v>27</v>
      </c>
      <c r="C24" s="7">
        <f t="shared" si="2"/>
        <v>0</v>
      </c>
      <c r="D24" s="7"/>
      <c r="E24" s="6">
        <f t="shared" si="0"/>
        <v>0</v>
      </c>
      <c r="F24" s="6">
        <f t="shared" si="1"/>
        <v>0</v>
      </c>
      <c r="G24" s="62"/>
      <c r="H24" s="62"/>
      <c r="I24" s="60"/>
      <c r="J24" s="60"/>
      <c r="K24" s="64"/>
      <c r="L24" s="64"/>
      <c r="M24" s="25"/>
      <c r="N24" s="25"/>
    </row>
    <row r="25" spans="1:14">
      <c r="A25" s="3" t="s">
        <v>28</v>
      </c>
      <c r="B25" s="4" t="s">
        <v>29</v>
      </c>
      <c r="C25" s="7">
        <f t="shared" si="2"/>
        <v>0</v>
      </c>
      <c r="D25" s="7"/>
      <c r="E25" s="6">
        <f t="shared" si="0"/>
        <v>0</v>
      </c>
      <c r="F25" s="6">
        <f t="shared" si="1"/>
        <v>0</v>
      </c>
      <c r="G25" s="62"/>
      <c r="H25" s="62"/>
      <c r="I25" s="60"/>
      <c r="J25" s="60"/>
      <c r="K25" s="64"/>
      <c r="L25" s="64"/>
      <c r="M25" s="25"/>
      <c r="N25" s="25"/>
    </row>
    <row r="26" spans="1:14">
      <c r="A26" s="3" t="s">
        <v>30</v>
      </c>
      <c r="B26" s="4" t="s">
        <v>31</v>
      </c>
      <c r="C26" s="7">
        <f t="shared" si="2"/>
        <v>0</v>
      </c>
      <c r="D26" s="7"/>
      <c r="E26" s="6">
        <f t="shared" si="0"/>
        <v>0</v>
      </c>
      <c r="F26" s="6">
        <f t="shared" si="1"/>
        <v>0</v>
      </c>
      <c r="G26" s="62"/>
      <c r="H26" s="62"/>
      <c r="I26" s="60"/>
      <c r="J26" s="60"/>
      <c r="K26" s="64"/>
      <c r="L26" s="64"/>
      <c r="M26" s="25"/>
      <c r="N26" s="25"/>
    </row>
    <row r="27" spans="1:14">
      <c r="A27" s="3" t="s">
        <v>32</v>
      </c>
      <c r="B27" s="4" t="s">
        <v>33</v>
      </c>
      <c r="C27" s="7">
        <f t="shared" si="2"/>
        <v>0</v>
      </c>
      <c r="D27" s="7"/>
      <c r="E27" s="6">
        <f t="shared" si="0"/>
        <v>0</v>
      </c>
      <c r="F27" s="6">
        <f t="shared" si="1"/>
        <v>0</v>
      </c>
      <c r="G27" s="62"/>
      <c r="H27" s="62"/>
      <c r="I27" s="60"/>
      <c r="J27" s="60"/>
      <c r="K27" s="64"/>
      <c r="L27" s="64"/>
      <c r="M27" s="25"/>
      <c r="N27" s="25"/>
    </row>
    <row r="28" spans="1:14">
      <c r="A28" s="3" t="s">
        <v>34</v>
      </c>
      <c r="B28" s="4" t="s">
        <v>35</v>
      </c>
      <c r="C28" s="7">
        <f t="shared" si="2"/>
        <v>0</v>
      </c>
      <c r="D28" s="7"/>
      <c r="E28" s="6">
        <f t="shared" si="0"/>
        <v>0</v>
      </c>
      <c r="F28" s="6">
        <f t="shared" si="1"/>
        <v>0</v>
      </c>
      <c r="G28" s="62"/>
      <c r="H28" s="62"/>
      <c r="I28" s="60"/>
      <c r="J28" s="60"/>
      <c r="K28" s="64"/>
      <c r="L28" s="64"/>
      <c r="M28" s="25"/>
      <c r="N28" s="25"/>
    </row>
    <row r="29" spans="1:14">
      <c r="A29" s="3" t="s">
        <v>36</v>
      </c>
      <c r="B29" s="4" t="s">
        <v>37</v>
      </c>
      <c r="C29" s="7">
        <f t="shared" si="2"/>
        <v>0</v>
      </c>
      <c r="D29" s="7"/>
      <c r="E29" s="6">
        <f t="shared" si="0"/>
        <v>0</v>
      </c>
      <c r="F29" s="6">
        <f t="shared" si="1"/>
        <v>0</v>
      </c>
      <c r="G29" s="62"/>
      <c r="H29" s="62"/>
      <c r="I29" s="60"/>
      <c r="J29" s="60"/>
      <c r="K29" s="64"/>
      <c r="L29" s="64"/>
      <c r="M29" s="25"/>
      <c r="N29" s="25"/>
    </row>
    <row r="30" spans="1:14">
      <c r="A30" s="3" t="s">
        <v>38</v>
      </c>
      <c r="B30" s="4" t="s">
        <v>39</v>
      </c>
      <c r="C30" s="7">
        <f t="shared" si="2"/>
        <v>0</v>
      </c>
      <c r="D30" s="7"/>
      <c r="E30" s="6">
        <f t="shared" si="0"/>
        <v>0</v>
      </c>
      <c r="F30" s="6">
        <f t="shared" si="1"/>
        <v>0</v>
      </c>
      <c r="G30" s="62"/>
      <c r="H30" s="62"/>
      <c r="I30" s="60"/>
      <c r="J30" s="60"/>
      <c r="K30" s="64"/>
      <c r="L30" s="64"/>
      <c r="M30" s="25"/>
      <c r="N30" s="25"/>
    </row>
    <row r="31" spans="1:14">
      <c r="A31" s="3" t="s">
        <v>40</v>
      </c>
      <c r="B31" s="4" t="s">
        <v>41</v>
      </c>
      <c r="C31" s="7">
        <f t="shared" si="2"/>
        <v>0</v>
      </c>
      <c r="D31" s="7"/>
      <c r="E31" s="6">
        <f t="shared" si="0"/>
        <v>0</v>
      </c>
      <c r="F31" s="6">
        <f t="shared" si="1"/>
        <v>0</v>
      </c>
      <c r="G31" s="62"/>
      <c r="H31" s="62"/>
      <c r="I31" s="60"/>
      <c r="J31" s="60"/>
      <c r="K31" s="64"/>
      <c r="L31" s="64"/>
      <c r="M31" s="25"/>
      <c r="N31" s="25"/>
    </row>
    <row r="32" spans="1:14">
      <c r="A32" s="3" t="s">
        <v>42</v>
      </c>
      <c r="B32" s="4" t="s">
        <v>43</v>
      </c>
      <c r="C32" s="7">
        <f t="shared" si="2"/>
        <v>0</v>
      </c>
      <c r="D32" s="7"/>
      <c r="E32" s="6">
        <f t="shared" si="0"/>
        <v>0</v>
      </c>
      <c r="F32" s="6">
        <f t="shared" si="1"/>
        <v>0</v>
      </c>
      <c r="G32" s="62"/>
      <c r="H32" s="62"/>
      <c r="I32" s="60"/>
      <c r="J32" s="60"/>
      <c r="K32" s="64"/>
      <c r="L32" s="64"/>
      <c r="M32" s="25"/>
      <c r="N32" s="25"/>
    </row>
    <row r="33" spans="1:14">
      <c r="A33" s="3" t="s">
        <v>44</v>
      </c>
      <c r="B33" s="4" t="s">
        <v>45</v>
      </c>
      <c r="C33" s="7">
        <f t="shared" si="2"/>
        <v>0</v>
      </c>
      <c r="D33" s="7"/>
      <c r="E33" s="6">
        <f t="shared" si="0"/>
        <v>0</v>
      </c>
      <c r="F33" s="6">
        <f t="shared" si="1"/>
        <v>0</v>
      </c>
      <c r="G33" s="62"/>
      <c r="H33" s="62"/>
      <c r="I33" s="60"/>
      <c r="J33" s="60"/>
      <c r="K33" s="64"/>
      <c r="L33" s="64"/>
      <c r="M33" s="25"/>
      <c r="N33" s="25"/>
    </row>
    <row r="34" spans="1:14">
      <c r="A34" s="3" t="s">
        <v>46</v>
      </c>
      <c r="B34" s="4" t="s">
        <v>47</v>
      </c>
      <c r="C34" s="7">
        <f t="shared" si="2"/>
        <v>0</v>
      </c>
      <c r="D34" s="7"/>
      <c r="E34" s="6">
        <f t="shared" si="0"/>
        <v>0</v>
      </c>
      <c r="F34" s="6">
        <f t="shared" si="1"/>
        <v>0</v>
      </c>
      <c r="G34" s="62"/>
      <c r="H34" s="62"/>
      <c r="I34" s="60"/>
      <c r="J34" s="60"/>
      <c r="K34" s="64"/>
      <c r="L34" s="64"/>
      <c r="M34" s="25"/>
      <c r="N34" s="25"/>
    </row>
    <row r="35" spans="1:14">
      <c r="A35" s="3" t="s">
        <v>48</v>
      </c>
      <c r="B35" s="4" t="s">
        <v>49</v>
      </c>
      <c r="C35" s="7">
        <f t="shared" si="2"/>
        <v>0</v>
      </c>
      <c r="D35" s="7"/>
      <c r="E35" s="6">
        <f t="shared" si="0"/>
        <v>0</v>
      </c>
      <c r="F35" s="6">
        <f t="shared" si="1"/>
        <v>0</v>
      </c>
      <c r="G35" s="62"/>
      <c r="H35" s="62"/>
      <c r="I35" s="60"/>
      <c r="J35" s="60"/>
      <c r="K35" s="64"/>
      <c r="L35" s="64"/>
      <c r="M35" s="25"/>
      <c r="N35" s="25"/>
    </row>
    <row r="36" spans="1:14">
      <c r="A36" s="3" t="s">
        <v>50</v>
      </c>
      <c r="B36" s="4" t="s">
        <v>51</v>
      </c>
      <c r="C36" s="7">
        <f t="shared" si="2"/>
        <v>0</v>
      </c>
      <c r="D36" s="7"/>
      <c r="E36" s="6">
        <f t="shared" si="0"/>
        <v>0</v>
      </c>
      <c r="F36" s="6">
        <f t="shared" si="1"/>
        <v>0</v>
      </c>
      <c r="G36" s="62"/>
      <c r="H36" s="62"/>
      <c r="I36" s="60"/>
      <c r="J36" s="60"/>
      <c r="K36" s="64"/>
      <c r="L36" s="64"/>
      <c r="M36" s="25"/>
      <c r="N36" s="25"/>
    </row>
    <row r="37" spans="1:14">
      <c r="A37" s="3" t="s">
        <v>52</v>
      </c>
      <c r="B37" s="4" t="s">
        <v>53</v>
      </c>
      <c r="C37" s="7">
        <f t="shared" si="2"/>
        <v>0</v>
      </c>
      <c r="D37" s="7"/>
      <c r="E37" s="6">
        <f t="shared" si="0"/>
        <v>0</v>
      </c>
      <c r="F37" s="6">
        <f t="shared" si="1"/>
        <v>0</v>
      </c>
      <c r="G37" s="62"/>
      <c r="H37" s="62"/>
      <c r="I37" s="60"/>
      <c r="J37" s="60"/>
      <c r="K37" s="64"/>
      <c r="L37" s="64"/>
      <c r="M37" s="25"/>
      <c r="N37" s="25"/>
    </row>
    <row r="38" spans="1:14">
      <c r="A38" s="3" t="s">
        <v>54</v>
      </c>
      <c r="B38" s="9">
        <v>138</v>
      </c>
      <c r="C38" s="7">
        <f t="shared" si="2"/>
        <v>0</v>
      </c>
      <c r="D38" s="7"/>
      <c r="E38" s="6">
        <f t="shared" si="0"/>
        <v>0</v>
      </c>
      <c r="F38" s="6">
        <f t="shared" si="1"/>
        <v>0</v>
      </c>
      <c r="G38" s="62"/>
      <c r="H38" s="62"/>
      <c r="I38" s="60"/>
      <c r="J38" s="60"/>
      <c r="K38" s="64"/>
      <c r="L38" s="64"/>
      <c r="M38" s="25"/>
      <c r="N38" s="25"/>
    </row>
    <row r="39" spans="1:14">
      <c r="A39" s="3" t="s">
        <v>55</v>
      </c>
      <c r="B39" s="4" t="s">
        <v>56</v>
      </c>
      <c r="C39" s="7">
        <f t="shared" si="2"/>
        <v>0</v>
      </c>
      <c r="D39" s="7"/>
      <c r="E39" s="6">
        <f t="shared" si="0"/>
        <v>0</v>
      </c>
      <c r="F39" s="6">
        <f t="shared" si="1"/>
        <v>0</v>
      </c>
      <c r="G39" s="62"/>
      <c r="H39" s="62"/>
      <c r="I39" s="60"/>
      <c r="J39" s="60"/>
      <c r="K39" s="64"/>
      <c r="L39" s="64"/>
      <c r="M39" s="25"/>
      <c r="N39" s="25"/>
    </row>
    <row r="40" spans="1:14">
      <c r="A40" s="3" t="s">
        <v>57</v>
      </c>
      <c r="B40" s="9">
        <v>144</v>
      </c>
      <c r="C40" s="7">
        <f t="shared" si="2"/>
        <v>0</v>
      </c>
      <c r="D40" s="7"/>
      <c r="E40" s="6">
        <f t="shared" si="0"/>
        <v>0</v>
      </c>
      <c r="F40" s="6">
        <f t="shared" si="1"/>
        <v>0</v>
      </c>
      <c r="G40" s="62"/>
      <c r="H40" s="62"/>
      <c r="I40" s="60"/>
      <c r="J40" s="60"/>
      <c r="K40" s="64"/>
      <c r="L40" s="64"/>
      <c r="M40" s="25"/>
      <c r="N40" s="25"/>
    </row>
    <row r="41" spans="1:14">
      <c r="A41" s="3" t="s">
        <v>58</v>
      </c>
      <c r="B41" s="4" t="s">
        <v>59</v>
      </c>
      <c r="C41" s="7">
        <f t="shared" si="2"/>
        <v>0</v>
      </c>
      <c r="D41" s="7"/>
      <c r="E41" s="6">
        <f t="shared" si="0"/>
        <v>0</v>
      </c>
      <c r="F41" s="6">
        <f t="shared" si="1"/>
        <v>0</v>
      </c>
      <c r="G41" s="62"/>
      <c r="H41" s="62"/>
      <c r="I41" s="60"/>
      <c r="J41" s="60"/>
      <c r="K41" s="64"/>
      <c r="L41" s="64"/>
      <c r="M41" s="25"/>
      <c r="N41" s="25"/>
    </row>
    <row r="42" spans="1:14">
      <c r="A42" s="3" t="s">
        <v>60</v>
      </c>
      <c r="B42" s="4" t="s">
        <v>61</v>
      </c>
      <c r="C42" s="7">
        <f t="shared" si="2"/>
        <v>0</v>
      </c>
      <c r="D42" s="7"/>
      <c r="E42" s="6">
        <f t="shared" si="0"/>
        <v>0</v>
      </c>
      <c r="F42" s="6">
        <f t="shared" si="1"/>
        <v>0</v>
      </c>
      <c r="G42" s="62"/>
      <c r="H42" s="62"/>
      <c r="I42" s="60"/>
      <c r="J42" s="60"/>
      <c r="K42" s="64"/>
      <c r="L42" s="64"/>
      <c r="M42" s="25"/>
      <c r="N42" s="25"/>
    </row>
    <row r="43" spans="1:14">
      <c r="A43" s="3" t="s">
        <v>62</v>
      </c>
      <c r="B43" s="4" t="s">
        <v>63</v>
      </c>
      <c r="C43" s="7">
        <f t="shared" si="2"/>
        <v>0</v>
      </c>
      <c r="D43" s="7"/>
      <c r="E43" s="6">
        <f t="shared" si="0"/>
        <v>0</v>
      </c>
      <c r="F43" s="6">
        <f t="shared" si="1"/>
        <v>0</v>
      </c>
      <c r="G43" s="62"/>
      <c r="H43" s="62"/>
      <c r="I43" s="60"/>
      <c r="J43" s="60"/>
      <c r="K43" s="64"/>
      <c r="L43" s="64"/>
      <c r="M43" s="25"/>
      <c r="N43" s="25"/>
    </row>
    <row r="44" spans="1:14">
      <c r="A44" s="3" t="s">
        <v>64</v>
      </c>
      <c r="B44" s="4" t="s">
        <v>65</v>
      </c>
      <c r="C44" s="7">
        <f t="shared" si="2"/>
        <v>0</v>
      </c>
      <c r="D44" s="7"/>
      <c r="E44" s="6">
        <f t="shared" si="0"/>
        <v>0</v>
      </c>
      <c r="F44" s="6">
        <f t="shared" si="1"/>
        <v>0</v>
      </c>
      <c r="G44" s="62"/>
      <c r="H44" s="62"/>
      <c r="I44" s="60"/>
      <c r="J44" s="60"/>
      <c r="K44" s="64"/>
      <c r="L44" s="64"/>
      <c r="M44" s="25"/>
      <c r="N44" s="25"/>
    </row>
    <row r="45" spans="1:14">
      <c r="A45" s="3" t="s">
        <v>66</v>
      </c>
      <c r="B45" s="4" t="s">
        <v>67</v>
      </c>
      <c r="C45" s="7">
        <f t="shared" si="2"/>
        <v>0</v>
      </c>
      <c r="D45" s="7"/>
      <c r="E45" s="6">
        <f t="shared" si="0"/>
        <v>0</v>
      </c>
      <c r="F45" s="6">
        <f t="shared" si="1"/>
        <v>0</v>
      </c>
      <c r="G45" s="62"/>
      <c r="H45" s="62"/>
      <c r="I45" s="60"/>
      <c r="J45" s="60"/>
      <c r="K45" s="64"/>
      <c r="L45" s="64"/>
      <c r="M45" s="25"/>
      <c r="N45" s="25"/>
    </row>
    <row r="46" spans="1:14">
      <c r="A46" s="3" t="s">
        <v>68</v>
      </c>
      <c r="B46" s="4" t="s">
        <v>69</v>
      </c>
      <c r="C46" s="7">
        <f t="shared" si="2"/>
        <v>0</v>
      </c>
      <c r="D46" s="7"/>
      <c r="E46" s="6">
        <f t="shared" si="0"/>
        <v>0</v>
      </c>
      <c r="F46" s="6">
        <f t="shared" si="1"/>
        <v>0</v>
      </c>
      <c r="G46" s="62"/>
      <c r="H46" s="62"/>
      <c r="I46" s="60"/>
      <c r="J46" s="60"/>
      <c r="K46" s="64"/>
      <c r="L46" s="64"/>
      <c r="M46" s="25"/>
      <c r="N46" s="25"/>
    </row>
    <row r="47" spans="1:14">
      <c r="A47" s="3" t="s">
        <v>70</v>
      </c>
      <c r="B47" s="4" t="s">
        <v>71</v>
      </c>
      <c r="C47" s="7">
        <f t="shared" si="2"/>
        <v>0</v>
      </c>
      <c r="D47" s="7"/>
      <c r="E47" s="6">
        <f t="shared" si="0"/>
        <v>0</v>
      </c>
      <c r="F47" s="6">
        <f t="shared" si="1"/>
        <v>0</v>
      </c>
      <c r="G47" s="62"/>
      <c r="H47" s="62"/>
      <c r="I47" s="60"/>
      <c r="J47" s="60"/>
      <c r="K47" s="64"/>
      <c r="L47" s="64"/>
      <c r="M47" s="25"/>
      <c r="N47" s="25"/>
    </row>
    <row r="48" spans="1:14">
      <c r="A48" s="3" t="s">
        <v>72</v>
      </c>
      <c r="B48" s="4" t="s">
        <v>73</v>
      </c>
      <c r="C48" s="7">
        <f t="shared" si="2"/>
        <v>0</v>
      </c>
      <c r="D48" s="7"/>
      <c r="E48" s="6">
        <f t="shared" si="0"/>
        <v>0</v>
      </c>
      <c r="F48" s="6">
        <f t="shared" si="1"/>
        <v>0</v>
      </c>
      <c r="G48" s="62"/>
      <c r="H48" s="62"/>
      <c r="I48" s="60"/>
      <c r="J48" s="60"/>
      <c r="K48" s="64"/>
      <c r="L48" s="64"/>
      <c r="M48" s="25"/>
      <c r="N48" s="25"/>
    </row>
    <row r="49" spans="1:14">
      <c r="A49" s="3" t="s">
        <v>74</v>
      </c>
      <c r="B49" s="4" t="s">
        <v>75</v>
      </c>
      <c r="C49" s="7">
        <f t="shared" si="2"/>
        <v>0</v>
      </c>
      <c r="D49" s="7"/>
      <c r="E49" s="6">
        <f t="shared" si="0"/>
        <v>0</v>
      </c>
      <c r="F49" s="6">
        <f t="shared" si="1"/>
        <v>0</v>
      </c>
      <c r="G49" s="62"/>
      <c r="H49" s="62"/>
      <c r="I49" s="60"/>
      <c r="J49" s="60"/>
      <c r="K49" s="64"/>
      <c r="L49" s="64"/>
      <c r="M49" s="25"/>
      <c r="N49" s="25"/>
    </row>
    <row r="50" spans="1:14">
      <c r="A50" s="3" t="s">
        <v>76</v>
      </c>
      <c r="B50" s="4" t="s">
        <v>77</v>
      </c>
      <c r="C50" s="7">
        <f t="shared" si="2"/>
        <v>0</v>
      </c>
      <c r="D50" s="7"/>
      <c r="E50" s="6">
        <f t="shared" si="0"/>
        <v>0</v>
      </c>
      <c r="F50" s="6">
        <f t="shared" si="1"/>
        <v>0</v>
      </c>
      <c r="G50" s="62"/>
      <c r="H50" s="62"/>
      <c r="I50" s="60"/>
      <c r="J50" s="60"/>
      <c r="K50" s="64"/>
      <c r="L50" s="64"/>
      <c r="M50" s="25"/>
      <c r="N50" s="25"/>
    </row>
    <row r="51" spans="1:14">
      <c r="A51" s="3" t="s">
        <v>78</v>
      </c>
      <c r="B51" s="4" t="s">
        <v>79</v>
      </c>
      <c r="C51" s="7">
        <f t="shared" si="2"/>
        <v>0</v>
      </c>
      <c r="D51" s="7"/>
      <c r="E51" s="6">
        <f t="shared" si="0"/>
        <v>0</v>
      </c>
      <c r="F51" s="6">
        <f t="shared" si="1"/>
        <v>0</v>
      </c>
      <c r="G51" s="62"/>
      <c r="H51" s="62"/>
      <c r="I51" s="60"/>
      <c r="J51" s="60"/>
      <c r="K51" s="64"/>
      <c r="L51" s="64"/>
      <c r="M51" s="25"/>
      <c r="N51" s="25"/>
    </row>
    <row r="52" spans="1:14">
      <c r="A52" s="3" t="s">
        <v>80</v>
      </c>
      <c r="B52" s="4" t="s">
        <v>81</v>
      </c>
      <c r="C52" s="7">
        <f t="shared" si="2"/>
        <v>0</v>
      </c>
      <c r="D52" s="7"/>
      <c r="E52" s="6">
        <f t="shared" si="0"/>
        <v>0</v>
      </c>
      <c r="F52" s="6">
        <f t="shared" si="1"/>
        <v>0</v>
      </c>
      <c r="G52" s="62"/>
      <c r="H52" s="62"/>
      <c r="I52" s="60"/>
      <c r="J52" s="60"/>
      <c r="K52" s="64"/>
      <c r="L52" s="64"/>
      <c r="M52" s="25"/>
      <c r="N52" s="25"/>
    </row>
    <row r="53" spans="1:14">
      <c r="A53" s="8" t="s">
        <v>82</v>
      </c>
      <c r="B53" s="4" t="s">
        <v>83</v>
      </c>
      <c r="C53" s="7">
        <f t="shared" si="2"/>
        <v>0</v>
      </c>
      <c r="D53" s="7"/>
      <c r="E53" s="6">
        <f t="shared" si="0"/>
        <v>0</v>
      </c>
      <c r="F53" s="6">
        <f t="shared" si="1"/>
        <v>0</v>
      </c>
      <c r="G53" s="62"/>
      <c r="H53" s="62"/>
      <c r="I53" s="60"/>
      <c r="J53" s="60"/>
      <c r="K53" s="64"/>
      <c r="L53" s="64"/>
      <c r="M53" s="25"/>
      <c r="N53" s="25"/>
    </row>
    <row r="54" spans="1:14">
      <c r="A54" s="3" t="s">
        <v>84</v>
      </c>
      <c r="B54" s="4" t="s">
        <v>85</v>
      </c>
      <c r="C54" s="7">
        <f t="shared" si="2"/>
        <v>0</v>
      </c>
      <c r="D54" s="7"/>
      <c r="E54" s="6">
        <f t="shared" si="0"/>
        <v>0</v>
      </c>
      <c r="F54" s="6">
        <f t="shared" si="1"/>
        <v>0</v>
      </c>
      <c r="G54" s="62"/>
      <c r="H54" s="62"/>
      <c r="I54" s="60"/>
      <c r="J54" s="60"/>
      <c r="K54" s="64"/>
      <c r="L54" s="64"/>
      <c r="M54" s="25"/>
      <c r="N54" s="25"/>
    </row>
    <row r="55" spans="1:14">
      <c r="A55" s="3" t="s">
        <v>86</v>
      </c>
      <c r="B55" s="4" t="s">
        <v>87</v>
      </c>
      <c r="C55" s="7">
        <f t="shared" si="2"/>
        <v>0</v>
      </c>
      <c r="D55" s="7"/>
      <c r="E55" s="6">
        <f t="shared" si="0"/>
        <v>0</v>
      </c>
      <c r="F55" s="6">
        <f t="shared" si="1"/>
        <v>0</v>
      </c>
      <c r="G55" s="62"/>
      <c r="H55" s="62"/>
      <c r="I55" s="60"/>
      <c r="J55" s="60"/>
      <c r="K55" s="64"/>
      <c r="L55" s="64"/>
      <c r="M55" s="25"/>
      <c r="N55" s="25"/>
    </row>
    <row r="56" spans="1:14">
      <c r="A56" s="8" t="s">
        <v>88</v>
      </c>
      <c r="B56" s="4" t="s">
        <v>89</v>
      </c>
      <c r="C56" s="7">
        <f t="shared" si="2"/>
        <v>0</v>
      </c>
      <c r="D56" s="7"/>
      <c r="E56" s="6">
        <f t="shared" si="0"/>
        <v>0</v>
      </c>
      <c r="F56" s="6">
        <f t="shared" si="1"/>
        <v>0</v>
      </c>
      <c r="G56" s="62"/>
      <c r="H56" s="62"/>
      <c r="I56" s="60"/>
      <c r="J56" s="60"/>
      <c r="K56" s="64"/>
      <c r="L56" s="64"/>
      <c r="M56" s="25"/>
      <c r="N56" s="25"/>
    </row>
    <row r="57" spans="1:14">
      <c r="A57" s="3" t="s">
        <v>90</v>
      </c>
      <c r="B57" s="4" t="s">
        <v>91</v>
      </c>
      <c r="C57" s="7">
        <f t="shared" si="2"/>
        <v>0</v>
      </c>
      <c r="D57" s="7"/>
      <c r="E57" s="6">
        <f t="shared" si="0"/>
        <v>0</v>
      </c>
      <c r="F57" s="6">
        <f t="shared" si="1"/>
        <v>0</v>
      </c>
      <c r="G57" s="62"/>
      <c r="H57" s="62"/>
      <c r="I57" s="60"/>
      <c r="J57" s="60"/>
      <c r="K57" s="64"/>
      <c r="L57" s="64"/>
      <c r="M57" s="25"/>
      <c r="N57" s="25"/>
    </row>
    <row r="58" spans="1:14">
      <c r="A58" s="3" t="s">
        <v>92</v>
      </c>
      <c r="B58" s="4">
        <v>165</v>
      </c>
      <c r="C58" s="7">
        <f t="shared" si="2"/>
        <v>0</v>
      </c>
      <c r="D58" s="7"/>
      <c r="E58" s="6">
        <f t="shared" si="0"/>
        <v>0</v>
      </c>
      <c r="F58" s="6">
        <f t="shared" si="1"/>
        <v>0</v>
      </c>
      <c r="G58" s="62"/>
      <c r="H58" s="62"/>
      <c r="I58" s="60"/>
      <c r="J58" s="60"/>
      <c r="K58" s="64"/>
      <c r="L58" s="64"/>
      <c r="M58" s="25"/>
      <c r="N58" s="25"/>
    </row>
    <row r="59" spans="1:14">
      <c r="A59" s="3" t="s">
        <v>93</v>
      </c>
      <c r="B59" s="4">
        <v>166</v>
      </c>
      <c r="C59" s="7">
        <f t="shared" si="2"/>
        <v>0</v>
      </c>
      <c r="D59" s="7"/>
      <c r="E59" s="6">
        <f t="shared" si="0"/>
        <v>0</v>
      </c>
      <c r="F59" s="6">
        <f t="shared" si="1"/>
        <v>0</v>
      </c>
      <c r="G59" s="62"/>
      <c r="H59" s="62"/>
      <c r="I59" s="60"/>
      <c r="J59" s="60"/>
      <c r="K59" s="64"/>
      <c r="L59" s="64"/>
      <c r="M59" s="25"/>
      <c r="N59" s="25"/>
    </row>
    <row r="60" spans="1:14">
      <c r="A60" s="3" t="s">
        <v>94</v>
      </c>
      <c r="B60" s="4">
        <v>167</v>
      </c>
      <c r="C60" s="7">
        <f t="shared" si="2"/>
        <v>0</v>
      </c>
      <c r="D60" s="7"/>
      <c r="E60" s="6">
        <f t="shared" si="0"/>
        <v>0</v>
      </c>
      <c r="F60" s="6">
        <f t="shared" si="1"/>
        <v>0</v>
      </c>
      <c r="G60" s="62"/>
      <c r="H60" s="62"/>
      <c r="I60" s="60"/>
      <c r="J60" s="60"/>
      <c r="K60" s="64"/>
      <c r="L60" s="64"/>
      <c r="M60" s="25"/>
      <c r="N60" s="25"/>
    </row>
    <row r="61" spans="1:14">
      <c r="A61" s="3" t="s">
        <v>95</v>
      </c>
      <c r="B61" s="4" t="s">
        <v>96</v>
      </c>
      <c r="C61" s="7">
        <f t="shared" si="2"/>
        <v>0</v>
      </c>
      <c r="D61" s="7"/>
      <c r="E61" s="6">
        <f t="shared" si="0"/>
        <v>0</v>
      </c>
      <c r="F61" s="6">
        <f t="shared" si="1"/>
        <v>0</v>
      </c>
      <c r="G61" s="62"/>
      <c r="H61" s="62"/>
      <c r="I61" s="60"/>
      <c r="J61" s="60"/>
      <c r="K61" s="64"/>
      <c r="L61" s="64"/>
      <c r="M61" s="25"/>
      <c r="N61" s="25"/>
    </row>
    <row r="62" spans="1:14">
      <c r="A62" s="3" t="s">
        <v>97</v>
      </c>
      <c r="B62" s="4" t="s">
        <v>98</v>
      </c>
      <c r="C62" s="7">
        <f t="shared" si="2"/>
        <v>0</v>
      </c>
      <c r="D62" s="7"/>
      <c r="E62" s="6">
        <f t="shared" si="0"/>
        <v>0</v>
      </c>
      <c r="F62" s="6">
        <f t="shared" si="1"/>
        <v>0</v>
      </c>
      <c r="G62" s="62"/>
      <c r="H62" s="62"/>
      <c r="I62" s="60"/>
      <c r="J62" s="60"/>
      <c r="K62" s="64"/>
      <c r="L62" s="64"/>
      <c r="M62" s="25"/>
      <c r="N62" s="25"/>
    </row>
    <row r="63" spans="1:14">
      <c r="A63" s="3" t="s">
        <v>99</v>
      </c>
      <c r="B63" s="4" t="s">
        <v>100</v>
      </c>
      <c r="C63" s="7">
        <f t="shared" si="2"/>
        <v>0</v>
      </c>
      <c r="D63" s="7"/>
      <c r="E63" s="6">
        <f t="shared" si="0"/>
        <v>0</v>
      </c>
      <c r="F63" s="6">
        <f t="shared" si="1"/>
        <v>0</v>
      </c>
      <c r="G63" s="62"/>
      <c r="H63" s="62"/>
      <c r="I63" s="60"/>
      <c r="J63" s="60"/>
      <c r="K63" s="64"/>
      <c r="L63" s="64"/>
      <c r="M63" s="25"/>
      <c r="N63" s="25"/>
    </row>
    <row r="64" spans="1:14">
      <c r="A64" s="3" t="s">
        <v>101</v>
      </c>
      <c r="B64" s="4" t="s">
        <v>102</v>
      </c>
      <c r="C64" s="7">
        <f t="shared" si="2"/>
        <v>0</v>
      </c>
      <c r="D64" s="7"/>
      <c r="E64" s="6">
        <f t="shared" si="0"/>
        <v>0</v>
      </c>
      <c r="F64" s="6">
        <f t="shared" si="1"/>
        <v>0</v>
      </c>
      <c r="G64" s="62"/>
      <c r="H64" s="62"/>
      <c r="I64" s="60"/>
      <c r="J64" s="60"/>
      <c r="K64" s="64"/>
      <c r="L64" s="64"/>
      <c r="M64" s="25"/>
      <c r="N64" s="25"/>
    </row>
    <row r="65" spans="1:14">
      <c r="A65" s="3" t="s">
        <v>103</v>
      </c>
      <c r="B65" s="4" t="s">
        <v>104</v>
      </c>
      <c r="C65" s="7">
        <f t="shared" si="2"/>
        <v>0</v>
      </c>
      <c r="D65" s="7"/>
      <c r="E65" s="6">
        <f t="shared" si="0"/>
        <v>0</v>
      </c>
      <c r="F65" s="6">
        <f t="shared" si="1"/>
        <v>0</v>
      </c>
      <c r="G65" s="62"/>
      <c r="H65" s="62"/>
      <c r="I65" s="60"/>
      <c r="J65" s="60"/>
      <c r="K65" s="64"/>
      <c r="L65" s="64"/>
      <c r="M65" s="25"/>
      <c r="N65" s="25"/>
    </row>
    <row r="66" spans="1:14">
      <c r="A66" s="3" t="s">
        <v>105</v>
      </c>
      <c r="B66" s="9">
        <v>178</v>
      </c>
      <c r="C66" s="7">
        <f t="shared" si="2"/>
        <v>0</v>
      </c>
      <c r="D66" s="7"/>
      <c r="E66" s="6">
        <f t="shared" si="0"/>
        <v>0</v>
      </c>
      <c r="F66" s="6">
        <f t="shared" si="1"/>
        <v>0</v>
      </c>
      <c r="G66" s="62"/>
      <c r="H66" s="62"/>
      <c r="I66" s="60"/>
      <c r="J66" s="60"/>
      <c r="K66" s="64"/>
      <c r="L66" s="64"/>
      <c r="M66" s="25"/>
      <c r="N66" s="25"/>
    </row>
    <row r="67" spans="1:14">
      <c r="A67" s="3" t="s">
        <v>106</v>
      </c>
      <c r="B67" s="4">
        <v>179</v>
      </c>
      <c r="C67" s="7">
        <f t="shared" si="2"/>
        <v>0</v>
      </c>
      <c r="D67" s="7"/>
      <c r="E67" s="6">
        <f t="shared" si="0"/>
        <v>0</v>
      </c>
      <c r="F67" s="6">
        <f t="shared" si="1"/>
        <v>0</v>
      </c>
      <c r="G67" s="62"/>
      <c r="H67" s="62"/>
      <c r="I67" s="60"/>
      <c r="J67" s="60"/>
      <c r="K67" s="64"/>
      <c r="L67" s="64"/>
      <c r="M67" s="25"/>
      <c r="N67" s="25"/>
    </row>
    <row r="68" spans="1:14">
      <c r="A68" s="3" t="s">
        <v>107</v>
      </c>
      <c r="B68" s="9">
        <v>180</v>
      </c>
      <c r="C68" s="7">
        <f t="shared" si="2"/>
        <v>0</v>
      </c>
      <c r="D68" s="7"/>
      <c r="E68" s="6">
        <f t="shared" si="0"/>
        <v>0</v>
      </c>
      <c r="F68" s="6">
        <f t="shared" si="1"/>
        <v>0</v>
      </c>
      <c r="G68" s="62"/>
      <c r="H68" s="62"/>
      <c r="I68" s="60"/>
      <c r="J68" s="60"/>
      <c r="K68" s="64"/>
      <c r="L68" s="64"/>
      <c r="M68" s="25"/>
      <c r="N68" s="25"/>
    </row>
    <row r="69" spans="1:14">
      <c r="A69" s="3" t="s">
        <v>108</v>
      </c>
      <c r="B69" s="9">
        <v>181</v>
      </c>
      <c r="C69" s="7">
        <f t="shared" si="2"/>
        <v>0</v>
      </c>
      <c r="D69" s="7"/>
      <c r="E69" s="6">
        <f t="shared" si="0"/>
        <v>0</v>
      </c>
      <c r="F69" s="6">
        <f t="shared" si="1"/>
        <v>0</v>
      </c>
      <c r="G69" s="62"/>
      <c r="H69" s="62"/>
      <c r="I69" s="60"/>
      <c r="J69" s="60"/>
      <c r="K69" s="64"/>
      <c r="L69" s="64"/>
      <c r="M69" s="25"/>
      <c r="N69" s="25"/>
    </row>
    <row r="70" spans="1:14">
      <c r="A70" s="3" t="s">
        <v>109</v>
      </c>
      <c r="B70" s="9">
        <v>182</v>
      </c>
      <c r="C70" s="7">
        <f t="shared" si="2"/>
        <v>0</v>
      </c>
      <c r="D70" s="7"/>
      <c r="E70" s="6">
        <f t="shared" si="0"/>
        <v>0</v>
      </c>
      <c r="F70" s="6">
        <f t="shared" si="1"/>
        <v>0</v>
      </c>
      <c r="G70" s="62"/>
      <c r="H70" s="62"/>
      <c r="I70" s="60"/>
      <c r="J70" s="60"/>
      <c r="K70" s="64"/>
      <c r="L70" s="64"/>
      <c r="M70" s="25"/>
      <c r="N70" s="25"/>
    </row>
    <row r="71" spans="1:14">
      <c r="A71" s="3" t="s">
        <v>110</v>
      </c>
      <c r="B71" s="9">
        <v>185</v>
      </c>
      <c r="C71" s="7">
        <f t="shared" si="2"/>
        <v>0</v>
      </c>
      <c r="D71" s="7"/>
      <c r="E71" s="6">
        <f t="shared" si="0"/>
        <v>0</v>
      </c>
      <c r="F71" s="6">
        <f t="shared" si="1"/>
        <v>0</v>
      </c>
      <c r="G71" s="62"/>
      <c r="H71" s="62"/>
      <c r="I71" s="60"/>
      <c r="J71" s="60"/>
      <c r="K71" s="64"/>
      <c r="L71" s="64"/>
      <c r="M71" s="25"/>
      <c r="N71" s="25"/>
    </row>
    <row r="72" spans="1:14">
      <c r="A72" s="3" t="s">
        <v>111</v>
      </c>
      <c r="B72" s="4" t="s">
        <v>112</v>
      </c>
      <c r="C72" s="7">
        <f t="shared" si="2"/>
        <v>0</v>
      </c>
      <c r="D72" s="7"/>
      <c r="E72" s="6">
        <f t="shared" si="0"/>
        <v>0</v>
      </c>
      <c r="F72" s="6">
        <f t="shared" si="1"/>
        <v>0</v>
      </c>
      <c r="G72" s="62"/>
      <c r="H72" s="62"/>
      <c r="I72" s="60"/>
      <c r="J72" s="60"/>
      <c r="K72" s="64"/>
      <c r="L72" s="64"/>
      <c r="M72" s="25"/>
      <c r="N72" s="25"/>
    </row>
    <row r="73" spans="1:14">
      <c r="A73" s="3" t="s">
        <v>113</v>
      </c>
      <c r="B73" s="4" t="s">
        <v>114</v>
      </c>
      <c r="C73" s="7">
        <f t="shared" si="2"/>
        <v>0</v>
      </c>
      <c r="D73" s="7"/>
      <c r="E73" s="6">
        <f t="shared" si="0"/>
        <v>0</v>
      </c>
      <c r="F73" s="6">
        <f t="shared" si="1"/>
        <v>0</v>
      </c>
      <c r="G73" s="62"/>
      <c r="H73" s="62"/>
      <c r="I73" s="60"/>
      <c r="J73" s="60"/>
      <c r="K73" s="64"/>
      <c r="L73" s="64"/>
      <c r="M73" s="25"/>
      <c r="N73" s="25"/>
    </row>
    <row r="74" spans="1:14">
      <c r="A74" s="3" t="s">
        <v>115</v>
      </c>
      <c r="B74" s="4" t="s">
        <v>116</v>
      </c>
      <c r="C74" s="7">
        <f t="shared" si="2"/>
        <v>0</v>
      </c>
      <c r="D74" s="7"/>
      <c r="E74" s="6">
        <f t="shared" si="0"/>
        <v>0</v>
      </c>
      <c r="F74" s="6">
        <f t="shared" si="1"/>
        <v>0</v>
      </c>
      <c r="G74" s="62"/>
      <c r="H74" s="62"/>
      <c r="I74" s="60"/>
      <c r="J74" s="60"/>
      <c r="K74" s="64"/>
      <c r="L74" s="64"/>
      <c r="M74" s="25"/>
      <c r="N74" s="25"/>
    </row>
    <row r="75" spans="1:14">
      <c r="A75" s="3" t="s">
        <v>117</v>
      </c>
      <c r="B75" s="4" t="s">
        <v>118</v>
      </c>
      <c r="C75" s="7">
        <f t="shared" si="2"/>
        <v>0</v>
      </c>
      <c r="D75" s="7"/>
      <c r="E75" s="6">
        <f t="shared" si="0"/>
        <v>0</v>
      </c>
      <c r="F75" s="6">
        <f t="shared" si="1"/>
        <v>0</v>
      </c>
      <c r="G75" s="62"/>
      <c r="H75" s="62"/>
      <c r="I75" s="60"/>
      <c r="J75" s="60"/>
      <c r="K75" s="64"/>
      <c r="L75" s="64"/>
      <c r="M75" s="25"/>
      <c r="N75" s="25"/>
    </row>
    <row r="76" spans="1:14">
      <c r="A76" s="3" t="s">
        <v>119</v>
      </c>
      <c r="B76" s="4" t="s">
        <v>120</v>
      </c>
      <c r="C76" s="7">
        <f t="shared" si="2"/>
        <v>0</v>
      </c>
      <c r="D76" s="7"/>
      <c r="E76" s="6">
        <f t="shared" si="0"/>
        <v>0</v>
      </c>
      <c r="F76" s="6">
        <f t="shared" si="1"/>
        <v>0</v>
      </c>
      <c r="G76" s="62"/>
      <c r="H76" s="62"/>
      <c r="I76" s="60"/>
      <c r="J76" s="60"/>
      <c r="K76" s="64"/>
      <c r="L76" s="64"/>
      <c r="M76" s="25"/>
      <c r="N76" s="25"/>
    </row>
    <row r="77" spans="1:14">
      <c r="A77" s="3" t="s">
        <v>121</v>
      </c>
      <c r="B77" s="4" t="s">
        <v>122</v>
      </c>
      <c r="C77" s="7">
        <f t="shared" si="2"/>
        <v>0</v>
      </c>
      <c r="D77" s="7"/>
      <c r="E77" s="6">
        <f t="shared" si="0"/>
        <v>0</v>
      </c>
      <c r="F77" s="6">
        <f t="shared" si="1"/>
        <v>0</v>
      </c>
      <c r="G77" s="62"/>
      <c r="H77" s="62"/>
      <c r="I77" s="60"/>
      <c r="J77" s="60"/>
      <c r="K77" s="64"/>
      <c r="L77" s="64"/>
      <c r="M77" s="25"/>
      <c r="N77" s="25"/>
    </row>
    <row r="78" spans="1:14">
      <c r="A78" s="3" t="s">
        <v>123</v>
      </c>
      <c r="B78" s="4" t="s">
        <v>124</v>
      </c>
      <c r="C78" s="7">
        <f t="shared" si="2"/>
        <v>0</v>
      </c>
      <c r="D78" s="7"/>
      <c r="E78" s="6">
        <f t="shared" ref="E78:E141" si="3">SUM(G78,I78,K78,M78)</f>
        <v>0</v>
      </c>
      <c r="F78" s="6">
        <f t="shared" ref="F78:F141" si="4">SUM(H78,J78,L78,N78)</f>
        <v>0</v>
      </c>
      <c r="G78" s="62"/>
      <c r="H78" s="62"/>
      <c r="I78" s="60"/>
      <c r="J78" s="60"/>
      <c r="K78" s="64"/>
      <c r="L78" s="64"/>
      <c r="M78" s="25"/>
      <c r="N78" s="25"/>
    </row>
    <row r="79" spans="1:14">
      <c r="A79" s="3" t="s">
        <v>125</v>
      </c>
      <c r="B79" s="4">
        <v>201</v>
      </c>
      <c r="C79" s="7">
        <f t="shared" si="2"/>
        <v>0</v>
      </c>
      <c r="D79" s="7"/>
      <c r="E79" s="6">
        <f t="shared" si="3"/>
        <v>0</v>
      </c>
      <c r="F79" s="6">
        <f t="shared" si="4"/>
        <v>0</v>
      </c>
      <c r="G79" s="62"/>
      <c r="H79" s="62"/>
      <c r="I79" s="60"/>
      <c r="J79" s="60"/>
      <c r="K79" s="64"/>
      <c r="L79" s="64"/>
      <c r="M79" s="25"/>
      <c r="N79" s="25"/>
    </row>
    <row r="80" spans="1:14">
      <c r="A80" s="3" t="s">
        <v>126</v>
      </c>
      <c r="B80" s="4">
        <v>202</v>
      </c>
      <c r="C80" s="7">
        <f t="shared" si="2"/>
        <v>0</v>
      </c>
      <c r="D80" s="7"/>
      <c r="E80" s="6">
        <f t="shared" si="3"/>
        <v>0</v>
      </c>
      <c r="F80" s="6">
        <f t="shared" si="4"/>
        <v>0</v>
      </c>
      <c r="G80" s="62"/>
      <c r="H80" s="62"/>
      <c r="I80" s="60"/>
      <c r="J80" s="60"/>
      <c r="K80" s="64"/>
      <c r="L80" s="64"/>
      <c r="M80" s="25"/>
      <c r="N80" s="25"/>
    </row>
    <row r="81" spans="1:14">
      <c r="A81" s="8" t="s">
        <v>127</v>
      </c>
      <c r="B81" s="4">
        <v>302</v>
      </c>
      <c r="C81" s="7"/>
      <c r="D81" s="7">
        <f>F81-E81</f>
        <v>0</v>
      </c>
      <c r="E81" s="6">
        <f t="shared" si="3"/>
        <v>0</v>
      </c>
      <c r="F81" s="6">
        <f t="shared" si="4"/>
        <v>0</v>
      </c>
      <c r="G81" s="62"/>
      <c r="H81" s="62"/>
      <c r="I81" s="60"/>
      <c r="J81" s="60"/>
      <c r="K81" s="64"/>
      <c r="L81" s="64"/>
      <c r="M81" s="25"/>
      <c r="N81" s="25"/>
    </row>
    <row r="82" spans="1:14">
      <c r="A82" s="3" t="s">
        <v>128</v>
      </c>
      <c r="B82" s="4">
        <v>203</v>
      </c>
      <c r="C82" s="7">
        <f>E82-F82</f>
        <v>0</v>
      </c>
      <c r="D82" s="7"/>
      <c r="E82" s="6">
        <f t="shared" si="3"/>
        <v>0</v>
      </c>
      <c r="F82" s="6">
        <f t="shared" si="4"/>
        <v>0</v>
      </c>
      <c r="G82" s="62"/>
      <c r="H82" s="62"/>
      <c r="I82" s="60"/>
      <c r="J82" s="60"/>
      <c r="K82" s="64"/>
      <c r="L82" s="64"/>
      <c r="M82" s="25"/>
      <c r="N82" s="25"/>
    </row>
    <row r="83" spans="1:14">
      <c r="A83" s="3" t="s">
        <v>129</v>
      </c>
      <c r="B83" s="4">
        <v>303</v>
      </c>
      <c r="C83" s="7"/>
      <c r="D83" s="7">
        <f>F83-E83</f>
        <v>0</v>
      </c>
      <c r="E83" s="6">
        <f t="shared" si="3"/>
        <v>0</v>
      </c>
      <c r="F83" s="6">
        <f t="shared" si="4"/>
        <v>0</v>
      </c>
      <c r="G83" s="62"/>
      <c r="H83" s="62"/>
      <c r="I83" s="60"/>
      <c r="J83" s="60"/>
      <c r="K83" s="64"/>
      <c r="L83" s="64"/>
      <c r="M83" s="25"/>
      <c r="N83" s="25"/>
    </row>
    <row r="84" spans="1:14">
      <c r="A84" s="3" t="s">
        <v>130</v>
      </c>
      <c r="B84" s="4">
        <v>204</v>
      </c>
      <c r="C84" s="7">
        <f>E84-F84</f>
        <v>0</v>
      </c>
      <c r="D84" s="7"/>
      <c r="E84" s="6">
        <f t="shared" si="3"/>
        <v>0</v>
      </c>
      <c r="F84" s="6">
        <f t="shared" si="4"/>
        <v>0</v>
      </c>
      <c r="G84" s="62"/>
      <c r="H84" s="62"/>
      <c r="I84" s="60"/>
      <c r="J84" s="60"/>
      <c r="K84" s="64"/>
      <c r="L84" s="64"/>
      <c r="M84" s="25"/>
      <c r="N84" s="25"/>
    </row>
    <row r="85" spans="1:14">
      <c r="A85" s="3" t="s">
        <v>131</v>
      </c>
      <c r="B85" s="4">
        <v>304</v>
      </c>
      <c r="C85" s="7"/>
      <c r="D85" s="7">
        <f>F85-E85</f>
        <v>0</v>
      </c>
      <c r="E85" s="6">
        <f t="shared" si="3"/>
        <v>0</v>
      </c>
      <c r="F85" s="6">
        <f t="shared" si="4"/>
        <v>0</v>
      </c>
      <c r="G85" s="62"/>
      <c r="H85" s="62"/>
      <c r="I85" s="60"/>
      <c r="J85" s="60"/>
      <c r="K85" s="64"/>
      <c r="L85" s="64"/>
      <c r="M85" s="25"/>
      <c r="N85" s="25"/>
    </row>
    <row r="86" spans="1:14">
      <c r="A86" s="3" t="s">
        <v>132</v>
      </c>
      <c r="B86" s="4">
        <v>205</v>
      </c>
      <c r="C86" s="7">
        <f>E86-F86</f>
        <v>0</v>
      </c>
      <c r="D86" s="7"/>
      <c r="E86" s="6">
        <f t="shared" si="3"/>
        <v>0</v>
      </c>
      <c r="F86" s="6">
        <f t="shared" si="4"/>
        <v>0</v>
      </c>
      <c r="G86" s="62"/>
      <c r="H86" s="62"/>
      <c r="I86" s="60"/>
      <c r="J86" s="60"/>
      <c r="K86" s="64"/>
      <c r="L86" s="64"/>
      <c r="M86" s="25"/>
      <c r="N86" s="25"/>
    </row>
    <row r="87" spans="1:14" ht="28.5">
      <c r="A87" s="8" t="s">
        <v>133</v>
      </c>
      <c r="B87" s="4">
        <v>305</v>
      </c>
      <c r="C87" s="7"/>
      <c r="D87" s="7">
        <f>F87-E87</f>
        <v>0</v>
      </c>
      <c r="E87" s="6">
        <f t="shared" si="3"/>
        <v>0</v>
      </c>
      <c r="F87" s="6">
        <f t="shared" si="4"/>
        <v>0</v>
      </c>
      <c r="G87" s="62"/>
      <c r="H87" s="62"/>
      <c r="I87" s="60"/>
      <c r="J87" s="60"/>
      <c r="K87" s="64"/>
      <c r="L87" s="64"/>
      <c r="M87" s="25"/>
      <c r="N87" s="25"/>
    </row>
    <row r="88" spans="1:14">
      <c r="A88" s="8" t="s">
        <v>134</v>
      </c>
      <c r="B88" s="4" t="s">
        <v>135</v>
      </c>
      <c r="C88" s="7">
        <f>E88-F88</f>
        <v>0</v>
      </c>
      <c r="D88" s="7"/>
      <c r="E88" s="6">
        <f t="shared" si="3"/>
        <v>0</v>
      </c>
      <c r="F88" s="6">
        <f t="shared" si="4"/>
        <v>0</v>
      </c>
      <c r="G88" s="62"/>
      <c r="H88" s="62"/>
      <c r="I88" s="60"/>
      <c r="J88" s="60"/>
      <c r="K88" s="64"/>
      <c r="L88" s="64"/>
      <c r="M88" s="25"/>
      <c r="N88" s="25"/>
    </row>
    <row r="89" spans="1:14">
      <c r="A89" s="8" t="s">
        <v>136</v>
      </c>
      <c r="B89" s="4" t="s">
        <v>137</v>
      </c>
      <c r="C89" s="7"/>
      <c r="D89" s="7">
        <f>F89-E89</f>
        <v>0</v>
      </c>
      <c r="E89" s="6">
        <f t="shared" si="3"/>
        <v>0</v>
      </c>
      <c r="F89" s="6">
        <f t="shared" si="4"/>
        <v>0</v>
      </c>
      <c r="G89" s="62"/>
      <c r="H89" s="62"/>
      <c r="I89" s="60"/>
      <c r="J89" s="60"/>
      <c r="K89" s="64"/>
      <c r="L89" s="64"/>
      <c r="M89" s="25"/>
      <c r="N89" s="25"/>
    </row>
    <row r="90" spans="1:14">
      <c r="A90" s="8" t="s">
        <v>138</v>
      </c>
      <c r="B90" s="4" t="s">
        <v>139</v>
      </c>
      <c r="C90" s="7">
        <f>E90-F90</f>
        <v>0</v>
      </c>
      <c r="D90" s="7"/>
      <c r="E90" s="6">
        <f t="shared" si="3"/>
        <v>0</v>
      </c>
      <c r="F90" s="6">
        <f t="shared" si="4"/>
        <v>0</v>
      </c>
      <c r="G90" s="62"/>
      <c r="H90" s="62"/>
      <c r="I90" s="60"/>
      <c r="J90" s="60"/>
      <c r="K90" s="64"/>
      <c r="L90" s="64"/>
      <c r="M90" s="25"/>
      <c r="N90" s="25"/>
    </row>
    <row r="91" spans="1:14">
      <c r="A91" s="8" t="s">
        <v>140</v>
      </c>
      <c r="B91" s="4" t="s">
        <v>141</v>
      </c>
      <c r="C91" s="7"/>
      <c r="D91" s="7">
        <f>F91-E91</f>
        <v>0</v>
      </c>
      <c r="E91" s="6">
        <f t="shared" si="3"/>
        <v>0</v>
      </c>
      <c r="F91" s="6">
        <f t="shared" si="4"/>
        <v>0</v>
      </c>
      <c r="G91" s="62"/>
      <c r="H91" s="62"/>
      <c r="I91" s="60"/>
      <c r="J91" s="60"/>
      <c r="K91" s="64"/>
      <c r="L91" s="64"/>
      <c r="M91" s="25"/>
      <c r="N91" s="25"/>
    </row>
    <row r="92" spans="1:14">
      <c r="A92" s="8" t="s">
        <v>142</v>
      </c>
      <c r="B92" s="4" t="s">
        <v>143</v>
      </c>
      <c r="C92" s="7">
        <f>E92-F92</f>
        <v>0</v>
      </c>
      <c r="D92" s="7"/>
      <c r="E92" s="6">
        <f t="shared" si="3"/>
        <v>0</v>
      </c>
      <c r="F92" s="6">
        <f t="shared" si="4"/>
        <v>0</v>
      </c>
      <c r="G92" s="62"/>
      <c r="H92" s="62"/>
      <c r="I92" s="60"/>
      <c r="J92" s="60"/>
      <c r="K92" s="64"/>
      <c r="L92" s="64"/>
      <c r="M92" s="25"/>
      <c r="N92" s="25"/>
    </row>
    <row r="93" spans="1:14" ht="28.5">
      <c r="A93" s="8" t="s">
        <v>144</v>
      </c>
      <c r="B93" s="4" t="s">
        <v>145</v>
      </c>
      <c r="C93" s="7"/>
      <c r="D93" s="7">
        <f>F93-E93</f>
        <v>0</v>
      </c>
      <c r="E93" s="6">
        <f t="shared" si="3"/>
        <v>0</v>
      </c>
      <c r="F93" s="6">
        <f t="shared" si="4"/>
        <v>0</v>
      </c>
      <c r="G93" s="62"/>
      <c r="H93" s="62"/>
      <c r="I93" s="60"/>
      <c r="J93" s="60"/>
      <c r="K93" s="64"/>
      <c r="L93" s="64"/>
      <c r="M93" s="25"/>
      <c r="N93" s="25"/>
    </row>
    <row r="94" spans="1:14">
      <c r="A94" s="8" t="s">
        <v>146</v>
      </c>
      <c r="B94" s="4" t="s">
        <v>147</v>
      </c>
      <c r="C94" s="7">
        <f>E94-F94</f>
        <v>0</v>
      </c>
      <c r="D94" s="7"/>
      <c r="E94" s="6">
        <f t="shared" si="3"/>
        <v>0</v>
      </c>
      <c r="F94" s="6">
        <f t="shared" si="4"/>
        <v>0</v>
      </c>
      <c r="G94" s="62"/>
      <c r="H94" s="62"/>
      <c r="I94" s="60"/>
      <c r="J94" s="60"/>
      <c r="K94" s="64"/>
      <c r="L94" s="64"/>
      <c r="M94" s="25"/>
      <c r="N94" s="25"/>
    </row>
    <row r="95" spans="1:14" ht="28.5">
      <c r="A95" s="8" t="s">
        <v>148</v>
      </c>
      <c r="B95" s="4" t="s">
        <v>149</v>
      </c>
      <c r="C95" s="7"/>
      <c r="D95" s="7">
        <f>F95-E95</f>
        <v>0</v>
      </c>
      <c r="E95" s="6">
        <f t="shared" si="3"/>
        <v>0</v>
      </c>
      <c r="F95" s="6">
        <f t="shared" si="4"/>
        <v>0</v>
      </c>
      <c r="G95" s="62"/>
      <c r="H95" s="62"/>
      <c r="I95" s="60"/>
      <c r="J95" s="60"/>
      <c r="K95" s="64"/>
      <c r="L95" s="64"/>
      <c r="M95" s="25"/>
      <c r="N95" s="25"/>
    </row>
    <row r="96" spans="1:14">
      <c r="A96" s="8" t="s">
        <v>150</v>
      </c>
      <c r="B96" s="4" t="s">
        <v>151</v>
      </c>
      <c r="C96" s="7">
        <f>E96-F96</f>
        <v>0</v>
      </c>
      <c r="D96" s="7"/>
      <c r="E96" s="6">
        <f t="shared" si="3"/>
        <v>0</v>
      </c>
      <c r="F96" s="6">
        <f t="shared" si="4"/>
        <v>0</v>
      </c>
      <c r="G96" s="62"/>
      <c r="H96" s="62"/>
      <c r="I96" s="60"/>
      <c r="J96" s="60"/>
      <c r="K96" s="64"/>
      <c r="L96" s="64"/>
      <c r="M96" s="25"/>
      <c r="N96" s="25"/>
    </row>
    <row r="97" spans="1:14">
      <c r="A97" s="8" t="s">
        <v>152</v>
      </c>
      <c r="B97" s="4" t="s">
        <v>153</v>
      </c>
      <c r="C97" s="7"/>
      <c r="D97" s="7">
        <f>F97-E97</f>
        <v>0</v>
      </c>
      <c r="E97" s="6">
        <f t="shared" si="3"/>
        <v>0</v>
      </c>
      <c r="F97" s="6">
        <f t="shared" si="4"/>
        <v>0</v>
      </c>
      <c r="G97" s="62"/>
      <c r="H97" s="62"/>
      <c r="I97" s="60"/>
      <c r="J97" s="60"/>
      <c r="K97" s="64"/>
      <c r="L97" s="64"/>
      <c r="M97" s="25"/>
      <c r="N97" s="25"/>
    </row>
    <row r="98" spans="1:14">
      <c r="A98" s="8" t="s">
        <v>154</v>
      </c>
      <c r="B98" s="4" t="s">
        <v>155</v>
      </c>
      <c r="C98" s="7">
        <f>E98-F98</f>
        <v>0</v>
      </c>
      <c r="D98" s="7"/>
      <c r="E98" s="6">
        <f t="shared" si="3"/>
        <v>0</v>
      </c>
      <c r="F98" s="6">
        <f t="shared" si="4"/>
        <v>0</v>
      </c>
      <c r="G98" s="62"/>
      <c r="H98" s="62"/>
      <c r="I98" s="60"/>
      <c r="J98" s="60"/>
      <c r="K98" s="64"/>
      <c r="L98" s="64"/>
      <c r="M98" s="25"/>
      <c r="N98" s="25"/>
    </row>
    <row r="99" spans="1:14" ht="28.5">
      <c r="A99" s="8" t="s">
        <v>156</v>
      </c>
      <c r="B99" s="4" t="s">
        <v>157</v>
      </c>
      <c r="C99" s="7"/>
      <c r="D99" s="7">
        <f>F99-E99</f>
        <v>0</v>
      </c>
      <c r="E99" s="6">
        <f t="shared" si="3"/>
        <v>0</v>
      </c>
      <c r="F99" s="6">
        <f t="shared" si="4"/>
        <v>0</v>
      </c>
      <c r="G99" s="62"/>
      <c r="H99" s="62"/>
      <c r="I99" s="60"/>
      <c r="J99" s="60"/>
      <c r="K99" s="64"/>
      <c r="L99" s="64"/>
      <c r="M99" s="25"/>
      <c r="N99" s="25"/>
    </row>
    <row r="100" spans="1:14">
      <c r="A100" s="8" t="s">
        <v>158</v>
      </c>
      <c r="B100" s="4" t="s">
        <v>159</v>
      </c>
      <c r="C100" s="7">
        <f>E100-F100</f>
        <v>0</v>
      </c>
      <c r="D100" s="7"/>
      <c r="E100" s="6">
        <f t="shared" si="3"/>
        <v>0</v>
      </c>
      <c r="F100" s="6">
        <f t="shared" si="4"/>
        <v>0</v>
      </c>
      <c r="G100" s="62"/>
      <c r="H100" s="62"/>
      <c r="I100" s="60"/>
      <c r="J100" s="60"/>
      <c r="K100" s="64"/>
      <c r="L100" s="64"/>
      <c r="M100" s="25"/>
      <c r="N100" s="25"/>
    </row>
    <row r="101" spans="1:14" ht="28.5">
      <c r="A101" s="8" t="s">
        <v>160</v>
      </c>
      <c r="B101" s="4" t="s">
        <v>161</v>
      </c>
      <c r="C101" s="7"/>
      <c r="D101" s="7">
        <f>F101-E101</f>
        <v>0</v>
      </c>
      <c r="E101" s="6">
        <f t="shared" si="3"/>
        <v>0</v>
      </c>
      <c r="F101" s="6">
        <f t="shared" si="4"/>
        <v>0</v>
      </c>
      <c r="G101" s="62"/>
      <c r="H101" s="62"/>
      <c r="I101" s="60"/>
      <c r="J101" s="60"/>
      <c r="K101" s="64"/>
      <c r="L101" s="64"/>
      <c r="M101" s="25"/>
      <c r="N101" s="25"/>
    </row>
    <row r="102" spans="1:14">
      <c r="A102" s="8" t="s">
        <v>162</v>
      </c>
      <c r="B102" s="4" t="s">
        <v>163</v>
      </c>
      <c r="C102" s="7">
        <f>E102-F102</f>
        <v>0</v>
      </c>
      <c r="D102" s="7"/>
      <c r="E102" s="6">
        <f t="shared" si="3"/>
        <v>0</v>
      </c>
      <c r="F102" s="6">
        <f t="shared" si="4"/>
        <v>0</v>
      </c>
      <c r="G102" s="62"/>
      <c r="H102" s="62"/>
      <c r="I102" s="60"/>
      <c r="J102" s="60"/>
      <c r="K102" s="64"/>
      <c r="L102" s="64"/>
      <c r="M102" s="25"/>
      <c r="N102" s="25"/>
    </row>
    <row r="103" spans="1:14" ht="28.5">
      <c r="A103" s="8" t="s">
        <v>164</v>
      </c>
      <c r="B103" s="4" t="s">
        <v>165</v>
      </c>
      <c r="C103" s="7"/>
      <c r="D103" s="7">
        <f>F103-E103</f>
        <v>0</v>
      </c>
      <c r="E103" s="6">
        <f t="shared" si="3"/>
        <v>0</v>
      </c>
      <c r="F103" s="6">
        <f t="shared" si="4"/>
        <v>0</v>
      </c>
      <c r="G103" s="62"/>
      <c r="H103" s="62"/>
      <c r="I103" s="60"/>
      <c r="J103" s="60"/>
      <c r="K103" s="64"/>
      <c r="L103" s="64"/>
      <c r="M103" s="25"/>
      <c r="N103" s="25"/>
    </row>
    <row r="104" spans="1:14">
      <c r="A104" s="8" t="s">
        <v>166</v>
      </c>
      <c r="B104" s="4" t="s">
        <v>167</v>
      </c>
      <c r="C104" s="7">
        <f>E104-F104</f>
        <v>0</v>
      </c>
      <c r="D104" s="7"/>
      <c r="E104" s="6">
        <f t="shared" si="3"/>
        <v>0</v>
      </c>
      <c r="F104" s="6">
        <f t="shared" si="4"/>
        <v>0</v>
      </c>
      <c r="G104" s="62"/>
      <c r="H104" s="62"/>
      <c r="I104" s="60"/>
      <c r="J104" s="60"/>
      <c r="K104" s="64"/>
      <c r="L104" s="64"/>
      <c r="M104" s="25"/>
      <c r="N104" s="25"/>
    </row>
    <row r="105" spans="1:14">
      <c r="A105" s="8" t="s">
        <v>168</v>
      </c>
      <c r="B105" s="4" t="s">
        <v>169</v>
      </c>
      <c r="C105" s="7"/>
      <c r="D105" s="7">
        <f>F105-E105</f>
        <v>0</v>
      </c>
      <c r="E105" s="6">
        <f t="shared" si="3"/>
        <v>0</v>
      </c>
      <c r="F105" s="6">
        <f t="shared" si="4"/>
        <v>0</v>
      </c>
      <c r="G105" s="62"/>
      <c r="H105" s="62"/>
      <c r="I105" s="60"/>
      <c r="J105" s="60"/>
      <c r="K105" s="64"/>
      <c r="L105" s="64"/>
      <c r="M105" s="25"/>
      <c r="N105" s="25"/>
    </row>
    <row r="106" spans="1:14">
      <c r="A106" s="8" t="s">
        <v>170</v>
      </c>
      <c r="B106" s="4" t="s">
        <v>171</v>
      </c>
      <c r="C106" s="7">
        <f>E106-F106</f>
        <v>0</v>
      </c>
      <c r="D106" s="7"/>
      <c r="E106" s="6">
        <f t="shared" si="3"/>
        <v>0</v>
      </c>
      <c r="F106" s="6">
        <f t="shared" si="4"/>
        <v>0</v>
      </c>
      <c r="G106" s="62"/>
      <c r="H106" s="62"/>
      <c r="I106" s="60"/>
      <c r="J106" s="60"/>
      <c r="K106" s="64"/>
      <c r="L106" s="64"/>
      <c r="M106" s="25"/>
      <c r="N106" s="25"/>
    </row>
    <row r="107" spans="1:14" ht="28.5">
      <c r="A107" s="8" t="s">
        <v>172</v>
      </c>
      <c r="B107" s="4" t="s">
        <v>173</v>
      </c>
      <c r="C107" s="7"/>
      <c r="D107" s="7">
        <f>F107-E107</f>
        <v>0</v>
      </c>
      <c r="E107" s="6">
        <f t="shared" si="3"/>
        <v>0</v>
      </c>
      <c r="F107" s="6">
        <f t="shared" si="4"/>
        <v>0</v>
      </c>
      <c r="G107" s="62"/>
      <c r="H107" s="62"/>
      <c r="I107" s="60"/>
      <c r="J107" s="60"/>
      <c r="K107" s="64"/>
      <c r="L107" s="64"/>
      <c r="M107" s="25"/>
      <c r="N107" s="25"/>
    </row>
    <row r="108" spans="1:14">
      <c r="A108" s="8" t="s">
        <v>174</v>
      </c>
      <c r="B108" s="4" t="s">
        <v>175</v>
      </c>
      <c r="C108" s="7">
        <f>E108-F108</f>
        <v>0</v>
      </c>
      <c r="D108" s="7"/>
      <c r="E108" s="6">
        <f t="shared" si="3"/>
        <v>0</v>
      </c>
      <c r="F108" s="6">
        <f t="shared" si="4"/>
        <v>0</v>
      </c>
      <c r="G108" s="62"/>
      <c r="H108" s="62"/>
      <c r="I108" s="60"/>
      <c r="J108" s="60"/>
      <c r="K108" s="64"/>
      <c r="L108" s="64"/>
      <c r="M108" s="25"/>
      <c r="N108" s="25"/>
    </row>
    <row r="109" spans="1:14">
      <c r="A109" s="8" t="s">
        <v>176</v>
      </c>
      <c r="B109" s="4" t="s">
        <v>177</v>
      </c>
      <c r="C109" s="7"/>
      <c r="D109" s="7">
        <f>F109-E109</f>
        <v>0</v>
      </c>
      <c r="E109" s="6">
        <f t="shared" si="3"/>
        <v>0</v>
      </c>
      <c r="F109" s="6">
        <f t="shared" si="4"/>
        <v>0</v>
      </c>
      <c r="G109" s="62"/>
      <c r="H109" s="62"/>
      <c r="I109" s="60"/>
      <c r="J109" s="60"/>
      <c r="K109" s="64"/>
      <c r="L109" s="64"/>
      <c r="M109" s="25"/>
      <c r="N109" s="25"/>
    </row>
    <row r="110" spans="1:14">
      <c r="A110" s="8" t="s">
        <v>178</v>
      </c>
      <c r="B110" s="4" t="s">
        <v>179</v>
      </c>
      <c r="C110" s="7">
        <f>E110-F110</f>
        <v>0</v>
      </c>
      <c r="D110" s="7"/>
      <c r="E110" s="6">
        <f t="shared" si="3"/>
        <v>0</v>
      </c>
      <c r="F110" s="6">
        <f t="shared" si="4"/>
        <v>0</v>
      </c>
      <c r="G110" s="62"/>
      <c r="H110" s="62"/>
      <c r="I110" s="60"/>
      <c r="J110" s="60"/>
      <c r="K110" s="64"/>
      <c r="L110" s="64"/>
      <c r="M110" s="25"/>
      <c r="N110" s="25"/>
    </row>
    <row r="111" spans="1:14">
      <c r="A111" s="8" t="s">
        <v>180</v>
      </c>
      <c r="B111" s="4" t="s">
        <v>181</v>
      </c>
      <c r="C111" s="7"/>
      <c r="D111" s="7">
        <f>F111-E111</f>
        <v>0</v>
      </c>
      <c r="E111" s="6">
        <f t="shared" si="3"/>
        <v>0</v>
      </c>
      <c r="F111" s="6">
        <f t="shared" si="4"/>
        <v>0</v>
      </c>
      <c r="G111" s="62"/>
      <c r="H111" s="62"/>
      <c r="I111" s="60"/>
      <c r="J111" s="60"/>
      <c r="K111" s="64"/>
      <c r="L111" s="64"/>
      <c r="M111" s="25"/>
      <c r="N111" s="25"/>
    </row>
    <row r="112" spans="1:14">
      <c r="A112" s="8" t="s">
        <v>182</v>
      </c>
      <c r="B112" s="4" t="s">
        <v>183</v>
      </c>
      <c r="C112" s="7">
        <f>E112-F112</f>
        <v>0</v>
      </c>
      <c r="D112" s="7"/>
      <c r="E112" s="6">
        <f t="shared" si="3"/>
        <v>0</v>
      </c>
      <c r="F112" s="6">
        <f t="shared" si="4"/>
        <v>0</v>
      </c>
      <c r="G112" s="62"/>
      <c r="H112" s="62"/>
      <c r="I112" s="60"/>
      <c r="J112" s="60"/>
      <c r="K112" s="64"/>
      <c r="L112" s="64"/>
      <c r="M112" s="25"/>
      <c r="N112" s="25"/>
    </row>
    <row r="113" spans="1:14">
      <c r="A113" s="8" t="s">
        <v>184</v>
      </c>
      <c r="B113" s="4" t="s">
        <v>185</v>
      </c>
      <c r="C113" s="7"/>
      <c r="D113" s="7">
        <f>F113-E113</f>
        <v>0</v>
      </c>
      <c r="E113" s="6">
        <f t="shared" si="3"/>
        <v>0</v>
      </c>
      <c r="F113" s="6">
        <f t="shared" si="4"/>
        <v>0</v>
      </c>
      <c r="G113" s="62"/>
      <c r="H113" s="62"/>
      <c r="I113" s="60"/>
      <c r="J113" s="60"/>
      <c r="K113" s="64"/>
      <c r="L113" s="64"/>
      <c r="M113" s="25"/>
      <c r="N113" s="25"/>
    </row>
    <row r="114" spans="1:14">
      <c r="A114" s="8" t="s">
        <v>186</v>
      </c>
      <c r="B114" s="4" t="s">
        <v>187</v>
      </c>
      <c r="C114" s="7">
        <f>E114-F114</f>
        <v>0</v>
      </c>
      <c r="D114" s="7"/>
      <c r="E114" s="6">
        <f t="shared" si="3"/>
        <v>0</v>
      </c>
      <c r="F114" s="6">
        <f t="shared" si="4"/>
        <v>0</v>
      </c>
      <c r="G114" s="62"/>
      <c r="H114" s="62"/>
      <c r="I114" s="60"/>
      <c r="J114" s="60"/>
      <c r="K114" s="64"/>
      <c r="L114" s="64"/>
      <c r="M114" s="25"/>
      <c r="N114" s="25"/>
    </row>
    <row r="115" spans="1:14" ht="28.5">
      <c r="A115" s="8" t="s">
        <v>188</v>
      </c>
      <c r="B115" s="4" t="s">
        <v>189</v>
      </c>
      <c r="C115" s="7"/>
      <c r="D115" s="7">
        <f>F115-E115</f>
        <v>0</v>
      </c>
      <c r="E115" s="6">
        <f t="shared" si="3"/>
        <v>0</v>
      </c>
      <c r="F115" s="6">
        <f t="shared" si="4"/>
        <v>0</v>
      </c>
      <c r="G115" s="62"/>
      <c r="H115" s="62"/>
      <c r="I115" s="60"/>
      <c r="J115" s="60"/>
      <c r="K115" s="64"/>
      <c r="L115" s="64"/>
      <c r="M115" s="25"/>
      <c r="N115" s="25"/>
    </row>
    <row r="116" spans="1:14">
      <c r="A116" s="8" t="s">
        <v>190</v>
      </c>
      <c r="B116" s="4" t="s">
        <v>191</v>
      </c>
      <c r="C116" s="7">
        <f>E116-F116</f>
        <v>0</v>
      </c>
      <c r="D116" s="7"/>
      <c r="E116" s="6">
        <f t="shared" si="3"/>
        <v>0</v>
      </c>
      <c r="F116" s="6">
        <f t="shared" si="4"/>
        <v>0</v>
      </c>
      <c r="G116" s="62"/>
      <c r="H116" s="62"/>
      <c r="I116" s="60"/>
      <c r="J116" s="60"/>
      <c r="K116" s="64"/>
      <c r="L116" s="64"/>
      <c r="M116" s="25"/>
      <c r="N116" s="25"/>
    </row>
    <row r="117" spans="1:14">
      <c r="A117" s="8" t="s">
        <v>192</v>
      </c>
      <c r="B117" s="4" t="s">
        <v>193</v>
      </c>
      <c r="C117" s="7"/>
      <c r="D117" s="7">
        <f>F117-E117</f>
        <v>0</v>
      </c>
      <c r="E117" s="6">
        <f t="shared" si="3"/>
        <v>0</v>
      </c>
      <c r="F117" s="6">
        <f t="shared" si="4"/>
        <v>0</v>
      </c>
      <c r="G117" s="62"/>
      <c r="H117" s="62"/>
      <c r="I117" s="60"/>
      <c r="J117" s="60"/>
      <c r="K117" s="64"/>
      <c r="L117" s="64"/>
      <c r="M117" s="25"/>
      <c r="N117" s="25"/>
    </row>
    <row r="118" spans="1:14">
      <c r="A118" s="8" t="s">
        <v>194</v>
      </c>
      <c r="B118" s="4" t="s">
        <v>195</v>
      </c>
      <c r="C118" s="7">
        <f>E118-F118</f>
        <v>0</v>
      </c>
      <c r="D118" s="7"/>
      <c r="E118" s="6">
        <f t="shared" si="3"/>
        <v>0</v>
      </c>
      <c r="F118" s="6">
        <f t="shared" si="4"/>
        <v>0</v>
      </c>
      <c r="G118" s="62"/>
      <c r="H118" s="62"/>
      <c r="I118" s="60"/>
      <c r="J118" s="60"/>
      <c r="K118" s="64"/>
      <c r="L118" s="64"/>
      <c r="M118" s="25"/>
      <c r="N118" s="25"/>
    </row>
    <row r="119" spans="1:14" ht="28.5">
      <c r="A119" s="8" t="s">
        <v>196</v>
      </c>
      <c r="B119" s="4" t="s">
        <v>197</v>
      </c>
      <c r="C119" s="7"/>
      <c r="D119" s="7">
        <f>F119-E119</f>
        <v>0</v>
      </c>
      <c r="E119" s="6">
        <f t="shared" si="3"/>
        <v>0</v>
      </c>
      <c r="F119" s="6">
        <f t="shared" si="4"/>
        <v>0</v>
      </c>
      <c r="G119" s="62"/>
      <c r="H119" s="62"/>
      <c r="I119" s="60"/>
      <c r="J119" s="60"/>
      <c r="K119" s="64"/>
      <c r="L119" s="64"/>
      <c r="M119" s="25"/>
      <c r="N119" s="25"/>
    </row>
    <row r="120" spans="1:14">
      <c r="A120" s="8" t="s">
        <v>198</v>
      </c>
      <c r="B120" s="4" t="s">
        <v>199</v>
      </c>
      <c r="C120" s="7">
        <f>E120-F120</f>
        <v>0</v>
      </c>
      <c r="D120" s="7"/>
      <c r="E120" s="6">
        <f t="shared" si="3"/>
        <v>0</v>
      </c>
      <c r="F120" s="6">
        <f t="shared" si="4"/>
        <v>0</v>
      </c>
      <c r="G120" s="62"/>
      <c r="H120" s="62"/>
      <c r="I120" s="60"/>
      <c r="J120" s="60"/>
      <c r="K120" s="64"/>
      <c r="L120" s="64"/>
      <c r="M120" s="25"/>
      <c r="N120" s="25"/>
    </row>
    <row r="121" spans="1:14" ht="28.5">
      <c r="A121" s="8" t="s">
        <v>200</v>
      </c>
      <c r="B121" s="4" t="s">
        <v>201</v>
      </c>
      <c r="C121" s="7"/>
      <c r="D121" s="7">
        <f>F121-E121</f>
        <v>0</v>
      </c>
      <c r="E121" s="6">
        <f t="shared" si="3"/>
        <v>0</v>
      </c>
      <c r="F121" s="6">
        <f t="shared" si="4"/>
        <v>0</v>
      </c>
      <c r="G121" s="62"/>
      <c r="H121" s="62"/>
      <c r="I121" s="60"/>
      <c r="J121" s="60"/>
      <c r="K121" s="64"/>
      <c r="L121" s="64"/>
      <c r="M121" s="25"/>
      <c r="N121" s="25"/>
    </row>
    <row r="122" spans="1:14">
      <c r="A122" s="8" t="s">
        <v>202</v>
      </c>
      <c r="B122" s="4" t="s">
        <v>203</v>
      </c>
      <c r="C122" s="7">
        <f>E122-F122</f>
        <v>0</v>
      </c>
      <c r="D122" s="7"/>
      <c r="E122" s="6">
        <f t="shared" si="3"/>
        <v>0</v>
      </c>
      <c r="F122" s="6">
        <f t="shared" si="4"/>
        <v>0</v>
      </c>
      <c r="G122" s="62"/>
      <c r="H122" s="62"/>
      <c r="I122" s="60"/>
      <c r="J122" s="60"/>
      <c r="K122" s="64"/>
      <c r="L122" s="64"/>
      <c r="M122" s="25"/>
      <c r="N122" s="25"/>
    </row>
    <row r="123" spans="1:14" ht="28.5">
      <c r="A123" s="8" t="s">
        <v>204</v>
      </c>
      <c r="B123" s="4" t="s">
        <v>205</v>
      </c>
      <c r="C123" s="7"/>
      <c r="D123" s="7">
        <f>F123-E123</f>
        <v>0</v>
      </c>
      <c r="E123" s="6">
        <f t="shared" si="3"/>
        <v>0</v>
      </c>
      <c r="F123" s="6">
        <f t="shared" si="4"/>
        <v>0</v>
      </c>
      <c r="G123" s="62"/>
      <c r="H123" s="62"/>
      <c r="I123" s="60"/>
      <c r="J123" s="60"/>
      <c r="K123" s="64"/>
      <c r="L123" s="64"/>
      <c r="M123" s="25"/>
      <c r="N123" s="25"/>
    </row>
    <row r="124" spans="1:14">
      <c r="A124" s="8" t="s">
        <v>206</v>
      </c>
      <c r="B124" s="4" t="s">
        <v>207</v>
      </c>
      <c r="C124" s="7">
        <f>E124-F124</f>
        <v>0</v>
      </c>
      <c r="D124" s="7"/>
      <c r="E124" s="6">
        <f t="shared" si="3"/>
        <v>0</v>
      </c>
      <c r="F124" s="6">
        <f t="shared" si="4"/>
        <v>0</v>
      </c>
      <c r="G124" s="62"/>
      <c r="H124" s="62"/>
      <c r="I124" s="60"/>
      <c r="J124" s="60"/>
      <c r="K124" s="64"/>
      <c r="L124" s="64"/>
      <c r="M124" s="25"/>
      <c r="N124" s="25"/>
    </row>
    <row r="125" spans="1:14">
      <c r="A125" s="8" t="s">
        <v>208</v>
      </c>
      <c r="B125" s="4" t="s">
        <v>209</v>
      </c>
      <c r="C125" s="7"/>
      <c r="D125" s="7">
        <f>F125-E125</f>
        <v>0</v>
      </c>
      <c r="E125" s="6">
        <f t="shared" si="3"/>
        <v>0</v>
      </c>
      <c r="F125" s="6">
        <f t="shared" si="4"/>
        <v>0</v>
      </c>
      <c r="G125" s="62"/>
      <c r="H125" s="62"/>
      <c r="I125" s="60"/>
      <c r="J125" s="60"/>
      <c r="K125" s="64"/>
      <c r="L125" s="64"/>
      <c r="M125" s="25"/>
      <c r="N125" s="25"/>
    </row>
    <row r="126" spans="1:14">
      <c r="A126" s="8" t="s">
        <v>210</v>
      </c>
      <c r="B126" s="4" t="s">
        <v>211</v>
      </c>
      <c r="C126" s="7">
        <f>E126-F126</f>
        <v>0</v>
      </c>
      <c r="D126" s="7"/>
      <c r="E126" s="6">
        <f t="shared" si="3"/>
        <v>0</v>
      </c>
      <c r="F126" s="6">
        <f t="shared" si="4"/>
        <v>0</v>
      </c>
      <c r="G126" s="62"/>
      <c r="H126" s="62"/>
      <c r="I126" s="60"/>
      <c r="J126" s="60"/>
      <c r="K126" s="64"/>
      <c r="L126" s="64"/>
      <c r="M126" s="25"/>
      <c r="N126" s="25"/>
    </row>
    <row r="127" spans="1:14" ht="28.5">
      <c r="A127" s="8" t="s">
        <v>212</v>
      </c>
      <c r="B127" s="4" t="s">
        <v>213</v>
      </c>
      <c r="C127" s="7"/>
      <c r="D127" s="7">
        <f>F127-E127</f>
        <v>0</v>
      </c>
      <c r="E127" s="6">
        <f t="shared" si="3"/>
        <v>0</v>
      </c>
      <c r="F127" s="6">
        <f t="shared" si="4"/>
        <v>0</v>
      </c>
      <c r="G127" s="62"/>
      <c r="H127" s="62"/>
      <c r="I127" s="60"/>
      <c r="J127" s="60"/>
      <c r="K127" s="64"/>
      <c r="L127" s="64"/>
      <c r="M127" s="25"/>
      <c r="N127" s="25"/>
    </row>
    <row r="128" spans="1:14">
      <c r="A128" s="8" t="s">
        <v>214</v>
      </c>
      <c r="B128" s="4" t="s">
        <v>215</v>
      </c>
      <c r="C128" s="7">
        <f>E128-F128</f>
        <v>0</v>
      </c>
      <c r="D128" s="7"/>
      <c r="E128" s="6">
        <f t="shared" si="3"/>
        <v>0</v>
      </c>
      <c r="F128" s="6">
        <f t="shared" si="4"/>
        <v>0</v>
      </c>
      <c r="G128" s="62"/>
      <c r="H128" s="62"/>
      <c r="I128" s="60"/>
      <c r="J128" s="60"/>
      <c r="K128" s="64"/>
      <c r="L128" s="64"/>
      <c r="M128" s="25"/>
      <c r="N128" s="25"/>
    </row>
    <row r="129" spans="1:14" ht="28.5">
      <c r="A129" s="8" t="s">
        <v>216</v>
      </c>
      <c r="B129" s="4" t="s">
        <v>217</v>
      </c>
      <c r="C129" s="7"/>
      <c r="D129" s="7">
        <f>F129-E129</f>
        <v>0</v>
      </c>
      <c r="E129" s="6">
        <f t="shared" si="3"/>
        <v>0</v>
      </c>
      <c r="F129" s="6">
        <f t="shared" si="4"/>
        <v>0</v>
      </c>
      <c r="G129" s="62"/>
      <c r="H129" s="62"/>
      <c r="I129" s="60"/>
      <c r="J129" s="60"/>
      <c r="K129" s="64"/>
      <c r="L129" s="64"/>
      <c r="M129" s="25"/>
      <c r="N129" s="25"/>
    </row>
    <row r="130" spans="1:14">
      <c r="A130" s="8" t="s">
        <v>218</v>
      </c>
      <c r="B130" s="4" t="s">
        <v>219</v>
      </c>
      <c r="C130" s="7">
        <f>E130-F130</f>
        <v>0</v>
      </c>
      <c r="D130" s="7"/>
      <c r="E130" s="6">
        <f t="shared" si="3"/>
        <v>0</v>
      </c>
      <c r="F130" s="6">
        <f t="shared" si="4"/>
        <v>0</v>
      </c>
      <c r="G130" s="62"/>
      <c r="H130" s="62"/>
      <c r="I130" s="60"/>
      <c r="J130" s="60"/>
      <c r="K130" s="64"/>
      <c r="L130" s="64"/>
      <c r="M130" s="25"/>
      <c r="N130" s="25"/>
    </row>
    <row r="131" spans="1:14">
      <c r="A131" s="8" t="s">
        <v>220</v>
      </c>
      <c r="B131" s="4" t="s">
        <v>221</v>
      </c>
      <c r="C131" s="7"/>
      <c r="D131" s="7">
        <f>F131-E131</f>
        <v>0</v>
      </c>
      <c r="E131" s="6">
        <f t="shared" si="3"/>
        <v>0</v>
      </c>
      <c r="F131" s="6">
        <f t="shared" si="4"/>
        <v>0</v>
      </c>
      <c r="G131" s="62"/>
      <c r="H131" s="62"/>
      <c r="I131" s="60"/>
      <c r="J131" s="60"/>
      <c r="K131" s="64"/>
      <c r="L131" s="64"/>
      <c r="M131" s="25"/>
      <c r="N131" s="25"/>
    </row>
    <row r="132" spans="1:14">
      <c r="A132" s="8" t="s">
        <v>222</v>
      </c>
      <c r="B132" s="4" t="s">
        <v>223</v>
      </c>
      <c r="C132" s="7">
        <f>E132-F132</f>
        <v>0</v>
      </c>
      <c r="D132" s="7"/>
      <c r="E132" s="6">
        <f t="shared" si="3"/>
        <v>0</v>
      </c>
      <c r="F132" s="6">
        <f t="shared" si="4"/>
        <v>0</v>
      </c>
      <c r="G132" s="62"/>
      <c r="H132" s="62"/>
      <c r="I132" s="60"/>
      <c r="J132" s="60"/>
      <c r="K132" s="64"/>
      <c r="L132" s="64"/>
      <c r="M132" s="25"/>
      <c r="N132" s="25"/>
    </row>
    <row r="133" spans="1:14" ht="28.5">
      <c r="A133" s="8" t="s">
        <v>224</v>
      </c>
      <c r="B133" s="4" t="s">
        <v>225</v>
      </c>
      <c r="C133" s="7"/>
      <c r="D133" s="7">
        <f>F133-E133</f>
        <v>0</v>
      </c>
      <c r="E133" s="6">
        <f t="shared" si="3"/>
        <v>0</v>
      </c>
      <c r="F133" s="6">
        <f t="shared" si="4"/>
        <v>0</v>
      </c>
      <c r="G133" s="62"/>
      <c r="H133" s="62"/>
      <c r="I133" s="60"/>
      <c r="J133" s="60"/>
      <c r="K133" s="64"/>
      <c r="L133" s="64"/>
      <c r="M133" s="25"/>
      <c r="N133" s="25"/>
    </row>
    <row r="134" spans="1:14">
      <c r="A134" s="8" t="s">
        <v>226</v>
      </c>
      <c r="B134" s="4" t="s">
        <v>227</v>
      </c>
      <c r="C134" s="7">
        <f>E134-F134</f>
        <v>0</v>
      </c>
      <c r="D134" s="7"/>
      <c r="E134" s="6">
        <f t="shared" si="3"/>
        <v>0</v>
      </c>
      <c r="F134" s="6">
        <f t="shared" si="4"/>
        <v>0</v>
      </c>
      <c r="G134" s="62"/>
      <c r="H134" s="62"/>
      <c r="I134" s="60"/>
      <c r="J134" s="60"/>
      <c r="K134" s="64"/>
      <c r="L134" s="64"/>
      <c r="M134" s="25"/>
      <c r="N134" s="25"/>
    </row>
    <row r="135" spans="1:14" ht="28.5">
      <c r="A135" s="8" t="s">
        <v>228</v>
      </c>
      <c r="B135" s="4" t="s">
        <v>229</v>
      </c>
      <c r="C135" s="7"/>
      <c r="D135" s="7">
        <f>F135-E135</f>
        <v>0</v>
      </c>
      <c r="E135" s="6">
        <f t="shared" si="3"/>
        <v>0</v>
      </c>
      <c r="F135" s="6">
        <f t="shared" si="4"/>
        <v>0</v>
      </c>
      <c r="G135" s="62"/>
      <c r="H135" s="62"/>
      <c r="I135" s="60"/>
      <c r="J135" s="60"/>
      <c r="K135" s="64"/>
      <c r="L135" s="64"/>
      <c r="M135" s="25"/>
      <c r="N135" s="25"/>
    </row>
    <row r="136" spans="1:14">
      <c r="A136" s="8" t="s">
        <v>230</v>
      </c>
      <c r="B136" s="4" t="s">
        <v>231</v>
      </c>
      <c r="C136" s="7">
        <f>E136-F136</f>
        <v>0</v>
      </c>
      <c r="D136" s="7"/>
      <c r="E136" s="6">
        <f t="shared" si="3"/>
        <v>0</v>
      </c>
      <c r="F136" s="6">
        <f t="shared" si="4"/>
        <v>0</v>
      </c>
      <c r="G136" s="62"/>
      <c r="H136" s="62"/>
      <c r="I136" s="60"/>
      <c r="J136" s="60"/>
      <c r="K136" s="64"/>
      <c r="L136" s="64"/>
      <c r="M136" s="25"/>
      <c r="N136" s="25"/>
    </row>
    <row r="137" spans="1:14">
      <c r="A137" s="8" t="s">
        <v>232</v>
      </c>
      <c r="B137" s="4" t="s">
        <v>233</v>
      </c>
      <c r="C137" s="7"/>
      <c r="D137" s="7">
        <f>F137-E137</f>
        <v>0</v>
      </c>
      <c r="E137" s="6">
        <f t="shared" si="3"/>
        <v>0</v>
      </c>
      <c r="F137" s="6">
        <f t="shared" si="4"/>
        <v>0</v>
      </c>
      <c r="G137" s="62"/>
      <c r="H137" s="62"/>
      <c r="I137" s="60"/>
      <c r="J137" s="60"/>
      <c r="K137" s="64"/>
      <c r="L137" s="64"/>
      <c r="M137" s="25"/>
      <c r="N137" s="25"/>
    </row>
    <row r="138" spans="1:14">
      <c r="A138" s="8" t="s">
        <v>234</v>
      </c>
      <c r="B138" s="4" t="s">
        <v>235</v>
      </c>
      <c r="C138" s="7">
        <f>E138-F138</f>
        <v>0</v>
      </c>
      <c r="D138" s="7"/>
      <c r="E138" s="6">
        <f t="shared" si="3"/>
        <v>0</v>
      </c>
      <c r="F138" s="6">
        <f t="shared" si="4"/>
        <v>0</v>
      </c>
      <c r="G138" s="62"/>
      <c r="H138" s="62"/>
      <c r="I138" s="60"/>
      <c r="J138" s="60"/>
      <c r="K138" s="64"/>
      <c r="L138" s="64"/>
      <c r="M138" s="25"/>
      <c r="N138" s="25"/>
    </row>
    <row r="139" spans="1:14">
      <c r="A139" s="8" t="s">
        <v>236</v>
      </c>
      <c r="B139" s="4" t="s">
        <v>237</v>
      </c>
      <c r="C139" s="7"/>
      <c r="D139" s="7">
        <f>F139-E139</f>
        <v>0</v>
      </c>
      <c r="E139" s="6">
        <f t="shared" si="3"/>
        <v>0</v>
      </c>
      <c r="F139" s="6">
        <f t="shared" si="4"/>
        <v>0</v>
      </c>
      <c r="G139" s="62"/>
      <c r="H139" s="62"/>
      <c r="I139" s="60"/>
      <c r="J139" s="60"/>
      <c r="K139" s="64"/>
      <c r="L139" s="64"/>
      <c r="M139" s="25"/>
      <c r="N139" s="25"/>
    </row>
    <row r="140" spans="1:14">
      <c r="A140" s="8" t="s">
        <v>238</v>
      </c>
      <c r="B140" s="4" t="s">
        <v>239</v>
      </c>
      <c r="C140" s="7">
        <f>E140-F140</f>
        <v>0</v>
      </c>
      <c r="D140" s="7"/>
      <c r="E140" s="6">
        <f t="shared" si="3"/>
        <v>0</v>
      </c>
      <c r="F140" s="6">
        <f t="shared" si="4"/>
        <v>0</v>
      </c>
      <c r="G140" s="62"/>
      <c r="H140" s="62"/>
      <c r="I140" s="60"/>
      <c r="J140" s="60"/>
      <c r="K140" s="64"/>
      <c r="L140" s="64"/>
      <c r="M140" s="25"/>
      <c r="N140" s="25"/>
    </row>
    <row r="141" spans="1:14" ht="28.5">
      <c r="A141" s="8" t="s">
        <v>240</v>
      </c>
      <c r="B141" s="4" t="s">
        <v>241</v>
      </c>
      <c r="C141" s="7"/>
      <c r="D141" s="7">
        <f>F141-E141</f>
        <v>0</v>
      </c>
      <c r="E141" s="6">
        <f t="shared" si="3"/>
        <v>0</v>
      </c>
      <c r="F141" s="6">
        <f t="shared" si="4"/>
        <v>0</v>
      </c>
      <c r="G141" s="62"/>
      <c r="H141" s="62"/>
      <c r="I141" s="60"/>
      <c r="J141" s="60"/>
      <c r="K141" s="64"/>
      <c r="L141" s="64"/>
      <c r="M141" s="25"/>
      <c r="N141" s="25"/>
    </row>
    <row r="142" spans="1:14">
      <c r="A142" s="8" t="s">
        <v>242</v>
      </c>
      <c r="B142" s="4" t="s">
        <v>243</v>
      </c>
      <c r="C142" s="7">
        <f>E142-F142</f>
        <v>0</v>
      </c>
      <c r="D142" s="7"/>
      <c r="E142" s="6">
        <f t="shared" ref="E142:E205" si="5">SUM(G142,I142,K142,M142)</f>
        <v>0</v>
      </c>
      <c r="F142" s="6">
        <f t="shared" ref="F142:F205" si="6">SUM(H142,J142,L142,N142)</f>
        <v>0</v>
      </c>
      <c r="G142" s="62"/>
      <c r="H142" s="62"/>
      <c r="I142" s="60"/>
      <c r="J142" s="60"/>
      <c r="K142" s="64"/>
      <c r="L142" s="64"/>
      <c r="M142" s="25"/>
      <c r="N142" s="25"/>
    </row>
    <row r="143" spans="1:14">
      <c r="A143" s="8" t="s">
        <v>244</v>
      </c>
      <c r="B143" s="4" t="s">
        <v>245</v>
      </c>
      <c r="C143" s="7"/>
      <c r="D143" s="7">
        <f>F143-E143</f>
        <v>0</v>
      </c>
      <c r="E143" s="6">
        <f t="shared" si="5"/>
        <v>0</v>
      </c>
      <c r="F143" s="6">
        <f t="shared" si="6"/>
        <v>0</v>
      </c>
      <c r="G143" s="62"/>
      <c r="H143" s="62"/>
      <c r="I143" s="60"/>
      <c r="J143" s="60"/>
      <c r="K143" s="64"/>
      <c r="L143" s="64"/>
      <c r="M143" s="25"/>
      <c r="N143" s="25"/>
    </row>
    <row r="144" spans="1:14">
      <c r="A144" s="8" t="s">
        <v>246</v>
      </c>
      <c r="B144" s="4" t="s">
        <v>247</v>
      </c>
      <c r="C144" s="7">
        <f>E144-F144</f>
        <v>0</v>
      </c>
      <c r="D144" s="7"/>
      <c r="E144" s="6">
        <f t="shared" si="5"/>
        <v>0</v>
      </c>
      <c r="F144" s="6">
        <f t="shared" si="6"/>
        <v>0</v>
      </c>
      <c r="G144" s="62"/>
      <c r="H144" s="62"/>
      <c r="I144" s="60"/>
      <c r="J144" s="60"/>
      <c r="K144" s="64"/>
      <c r="L144" s="64"/>
      <c r="M144" s="25"/>
      <c r="N144" s="25"/>
    </row>
    <row r="145" spans="1:14" ht="28.5">
      <c r="A145" s="8" t="s">
        <v>248</v>
      </c>
      <c r="B145" s="4" t="s">
        <v>249</v>
      </c>
      <c r="C145" s="7"/>
      <c r="D145" s="7">
        <f>F145-E145</f>
        <v>0</v>
      </c>
      <c r="E145" s="6">
        <f t="shared" si="5"/>
        <v>0</v>
      </c>
      <c r="F145" s="6">
        <f t="shared" si="6"/>
        <v>0</v>
      </c>
      <c r="G145" s="62"/>
      <c r="H145" s="62"/>
      <c r="I145" s="60"/>
      <c r="J145" s="60"/>
      <c r="K145" s="64"/>
      <c r="L145" s="64"/>
      <c r="M145" s="25"/>
      <c r="N145" s="25"/>
    </row>
    <row r="146" spans="1:14">
      <c r="A146" s="8" t="s">
        <v>250</v>
      </c>
      <c r="B146" s="4" t="s">
        <v>251</v>
      </c>
      <c r="C146" s="7">
        <f>E146-F146</f>
        <v>0</v>
      </c>
      <c r="D146" s="7"/>
      <c r="E146" s="6">
        <f t="shared" si="5"/>
        <v>0</v>
      </c>
      <c r="F146" s="6">
        <f t="shared" si="6"/>
        <v>0</v>
      </c>
      <c r="G146" s="62"/>
      <c r="H146" s="62"/>
      <c r="I146" s="60"/>
      <c r="J146" s="60"/>
      <c r="K146" s="64"/>
      <c r="L146" s="64"/>
      <c r="M146" s="25"/>
      <c r="N146" s="25"/>
    </row>
    <row r="147" spans="1:14" ht="28.5">
      <c r="A147" s="8" t="s">
        <v>252</v>
      </c>
      <c r="B147" s="4" t="s">
        <v>253</v>
      </c>
      <c r="C147" s="7"/>
      <c r="D147" s="7">
        <f>F147-E147</f>
        <v>0</v>
      </c>
      <c r="E147" s="6">
        <f t="shared" si="5"/>
        <v>0</v>
      </c>
      <c r="F147" s="6">
        <f t="shared" si="6"/>
        <v>0</v>
      </c>
      <c r="G147" s="62"/>
      <c r="H147" s="62"/>
      <c r="I147" s="60"/>
      <c r="J147" s="60"/>
      <c r="K147" s="64"/>
      <c r="L147" s="64"/>
      <c r="M147" s="25"/>
      <c r="N147" s="25"/>
    </row>
    <row r="148" spans="1:14">
      <c r="A148" s="8" t="s">
        <v>254</v>
      </c>
      <c r="B148" s="4" t="s">
        <v>255</v>
      </c>
      <c r="C148" s="7">
        <f t="shared" ref="C148:C173" si="7">E148-F148</f>
        <v>0</v>
      </c>
      <c r="D148" s="7"/>
      <c r="E148" s="6">
        <f t="shared" si="5"/>
        <v>0</v>
      </c>
      <c r="F148" s="6">
        <f t="shared" si="6"/>
        <v>0</v>
      </c>
      <c r="G148" s="62"/>
      <c r="H148" s="62"/>
      <c r="I148" s="60"/>
      <c r="J148" s="60"/>
      <c r="K148" s="64"/>
      <c r="L148" s="64"/>
      <c r="M148" s="25"/>
      <c r="N148" s="25"/>
    </row>
    <row r="149" spans="1:14">
      <c r="A149" s="8" t="s">
        <v>256</v>
      </c>
      <c r="B149" s="4" t="s">
        <v>257</v>
      </c>
      <c r="C149" s="7">
        <f t="shared" si="7"/>
        <v>0</v>
      </c>
      <c r="D149" s="7"/>
      <c r="E149" s="6">
        <f t="shared" si="5"/>
        <v>0</v>
      </c>
      <c r="F149" s="6">
        <f t="shared" si="6"/>
        <v>0</v>
      </c>
      <c r="G149" s="62"/>
      <c r="H149" s="62"/>
      <c r="I149" s="60"/>
      <c r="J149" s="60"/>
      <c r="K149" s="64"/>
      <c r="L149" s="64"/>
      <c r="M149" s="25"/>
      <c r="N149" s="25"/>
    </row>
    <row r="150" spans="1:14">
      <c r="A150" s="8" t="s">
        <v>258</v>
      </c>
      <c r="B150" s="4" t="s">
        <v>259</v>
      </c>
      <c r="C150" s="7">
        <f t="shared" si="7"/>
        <v>0</v>
      </c>
      <c r="D150" s="7"/>
      <c r="E150" s="6">
        <f t="shared" si="5"/>
        <v>0</v>
      </c>
      <c r="F150" s="6">
        <f t="shared" si="6"/>
        <v>0</v>
      </c>
      <c r="G150" s="62"/>
      <c r="H150" s="62"/>
      <c r="I150" s="60"/>
      <c r="J150" s="60"/>
      <c r="K150" s="64"/>
      <c r="L150" s="64"/>
      <c r="M150" s="25"/>
      <c r="N150" s="25"/>
    </row>
    <row r="151" spans="1:14" ht="28.5">
      <c r="A151" s="8" t="s">
        <v>260</v>
      </c>
      <c r="B151" s="4" t="s">
        <v>261</v>
      </c>
      <c r="C151" s="7">
        <f t="shared" si="7"/>
        <v>0</v>
      </c>
      <c r="D151" s="7"/>
      <c r="E151" s="6">
        <f t="shared" si="5"/>
        <v>0</v>
      </c>
      <c r="F151" s="6">
        <f t="shared" si="6"/>
        <v>0</v>
      </c>
      <c r="G151" s="62"/>
      <c r="H151" s="62"/>
      <c r="I151" s="60"/>
      <c r="J151" s="60"/>
      <c r="K151" s="64"/>
      <c r="L151" s="64"/>
      <c r="M151" s="25"/>
      <c r="N151" s="25"/>
    </row>
    <row r="152" spans="1:14">
      <c r="A152" s="8" t="s">
        <v>262</v>
      </c>
      <c r="B152" s="4" t="s">
        <v>263</v>
      </c>
      <c r="C152" s="7">
        <f t="shared" si="7"/>
        <v>0</v>
      </c>
      <c r="D152" s="7"/>
      <c r="E152" s="6">
        <f t="shared" si="5"/>
        <v>0</v>
      </c>
      <c r="F152" s="6">
        <f t="shared" si="6"/>
        <v>0</v>
      </c>
      <c r="G152" s="62"/>
      <c r="H152" s="62"/>
      <c r="I152" s="60"/>
      <c r="J152" s="60"/>
      <c r="K152" s="64"/>
      <c r="L152" s="64"/>
      <c r="M152" s="25"/>
      <c r="N152" s="25"/>
    </row>
    <row r="153" spans="1:14">
      <c r="A153" s="8" t="s">
        <v>264</v>
      </c>
      <c r="B153" s="4" t="s">
        <v>265</v>
      </c>
      <c r="C153" s="7">
        <f t="shared" si="7"/>
        <v>0</v>
      </c>
      <c r="D153" s="7"/>
      <c r="E153" s="6">
        <f t="shared" si="5"/>
        <v>0</v>
      </c>
      <c r="F153" s="6">
        <f t="shared" si="6"/>
        <v>0</v>
      </c>
      <c r="G153" s="62"/>
      <c r="H153" s="62"/>
      <c r="I153" s="60"/>
      <c r="J153" s="60"/>
      <c r="K153" s="64"/>
      <c r="L153" s="64"/>
      <c r="M153" s="25"/>
      <c r="N153" s="25"/>
    </row>
    <row r="154" spans="1:14" ht="28.5">
      <c r="A154" s="8" t="s">
        <v>266</v>
      </c>
      <c r="B154" s="4" t="s">
        <v>267</v>
      </c>
      <c r="C154" s="7">
        <f t="shared" si="7"/>
        <v>0</v>
      </c>
      <c r="D154" s="7"/>
      <c r="E154" s="6">
        <f t="shared" si="5"/>
        <v>0</v>
      </c>
      <c r="F154" s="6">
        <f t="shared" si="6"/>
        <v>0</v>
      </c>
      <c r="G154" s="62"/>
      <c r="H154" s="62"/>
      <c r="I154" s="60"/>
      <c r="J154" s="60"/>
      <c r="K154" s="64"/>
      <c r="L154" s="64"/>
      <c r="M154" s="25"/>
      <c r="N154" s="25"/>
    </row>
    <row r="155" spans="1:14">
      <c r="A155" s="8" t="s">
        <v>268</v>
      </c>
      <c r="B155" s="4" t="s">
        <v>269</v>
      </c>
      <c r="C155" s="7">
        <f t="shared" si="7"/>
        <v>0</v>
      </c>
      <c r="D155" s="7"/>
      <c r="E155" s="6">
        <f t="shared" si="5"/>
        <v>0</v>
      </c>
      <c r="F155" s="6">
        <f t="shared" si="6"/>
        <v>0</v>
      </c>
      <c r="G155" s="62"/>
      <c r="H155" s="62"/>
      <c r="I155" s="60"/>
      <c r="J155" s="60"/>
      <c r="K155" s="64"/>
      <c r="L155" s="64"/>
      <c r="M155" s="25"/>
      <c r="N155" s="25"/>
    </row>
    <row r="156" spans="1:14">
      <c r="A156" s="8" t="s">
        <v>270</v>
      </c>
      <c r="B156" s="4" t="s">
        <v>271</v>
      </c>
      <c r="C156" s="7">
        <f t="shared" si="7"/>
        <v>0</v>
      </c>
      <c r="D156" s="7"/>
      <c r="E156" s="6">
        <f t="shared" si="5"/>
        <v>0</v>
      </c>
      <c r="F156" s="6">
        <f t="shared" si="6"/>
        <v>0</v>
      </c>
      <c r="G156" s="62"/>
      <c r="H156" s="62"/>
      <c r="I156" s="60"/>
      <c r="J156" s="60"/>
      <c r="K156" s="64"/>
      <c r="L156" s="64"/>
      <c r="M156" s="25"/>
      <c r="N156" s="25"/>
    </row>
    <row r="157" spans="1:14">
      <c r="A157" s="8" t="s">
        <v>272</v>
      </c>
      <c r="B157" s="4" t="s">
        <v>273</v>
      </c>
      <c r="C157" s="7">
        <f t="shared" si="7"/>
        <v>0</v>
      </c>
      <c r="D157" s="7"/>
      <c r="E157" s="6">
        <f t="shared" si="5"/>
        <v>0</v>
      </c>
      <c r="F157" s="6">
        <f t="shared" si="6"/>
        <v>0</v>
      </c>
      <c r="G157" s="62"/>
      <c r="H157" s="62"/>
      <c r="I157" s="60"/>
      <c r="J157" s="60"/>
      <c r="K157" s="64"/>
      <c r="L157" s="64"/>
      <c r="M157" s="25"/>
      <c r="N157" s="25"/>
    </row>
    <row r="158" spans="1:14">
      <c r="A158" s="8" t="s">
        <v>274</v>
      </c>
      <c r="B158" s="4" t="s">
        <v>275</v>
      </c>
      <c r="C158" s="7">
        <f t="shared" si="7"/>
        <v>0</v>
      </c>
      <c r="D158" s="7"/>
      <c r="E158" s="6">
        <f t="shared" si="5"/>
        <v>0</v>
      </c>
      <c r="F158" s="6">
        <f t="shared" si="6"/>
        <v>0</v>
      </c>
      <c r="G158" s="62"/>
      <c r="H158" s="62"/>
      <c r="I158" s="60"/>
      <c r="J158" s="60"/>
      <c r="K158" s="64"/>
      <c r="L158" s="64"/>
      <c r="M158" s="25"/>
      <c r="N158" s="25"/>
    </row>
    <row r="159" spans="1:14" ht="28.5">
      <c r="A159" s="8" t="s">
        <v>276</v>
      </c>
      <c r="B159" s="4" t="s">
        <v>277</v>
      </c>
      <c r="C159" s="7">
        <f t="shared" si="7"/>
        <v>0</v>
      </c>
      <c r="D159" s="7"/>
      <c r="E159" s="6">
        <f t="shared" si="5"/>
        <v>0</v>
      </c>
      <c r="F159" s="6">
        <f t="shared" si="6"/>
        <v>0</v>
      </c>
      <c r="G159" s="62"/>
      <c r="H159" s="62"/>
      <c r="I159" s="60"/>
      <c r="J159" s="60"/>
      <c r="K159" s="64"/>
      <c r="L159" s="64"/>
      <c r="M159" s="25"/>
      <c r="N159" s="25"/>
    </row>
    <row r="160" spans="1:14" ht="28.5">
      <c r="A160" s="8" t="s">
        <v>278</v>
      </c>
      <c r="B160" s="4" t="s">
        <v>279</v>
      </c>
      <c r="C160" s="7">
        <f t="shared" si="7"/>
        <v>0</v>
      </c>
      <c r="D160" s="7"/>
      <c r="E160" s="6">
        <f t="shared" si="5"/>
        <v>0</v>
      </c>
      <c r="F160" s="6">
        <f t="shared" si="6"/>
        <v>0</v>
      </c>
      <c r="G160" s="62"/>
      <c r="H160" s="62"/>
      <c r="I160" s="60"/>
      <c r="J160" s="60"/>
      <c r="K160" s="64"/>
      <c r="L160" s="64"/>
      <c r="M160" s="25"/>
      <c r="N160" s="25"/>
    </row>
    <row r="161" spans="1:14" ht="28.5">
      <c r="A161" s="8" t="s">
        <v>280</v>
      </c>
      <c r="B161" s="4" t="s">
        <v>281</v>
      </c>
      <c r="C161" s="7">
        <f t="shared" si="7"/>
        <v>0</v>
      </c>
      <c r="D161" s="7"/>
      <c r="E161" s="6">
        <f t="shared" si="5"/>
        <v>0</v>
      </c>
      <c r="F161" s="6">
        <f t="shared" si="6"/>
        <v>0</v>
      </c>
      <c r="G161" s="62"/>
      <c r="H161" s="62"/>
      <c r="I161" s="60"/>
      <c r="J161" s="60"/>
      <c r="K161" s="64"/>
      <c r="L161" s="64"/>
      <c r="M161" s="25"/>
      <c r="N161" s="25"/>
    </row>
    <row r="162" spans="1:14" ht="28.5">
      <c r="A162" s="8" t="s">
        <v>282</v>
      </c>
      <c r="B162" s="4" t="s">
        <v>283</v>
      </c>
      <c r="C162" s="7">
        <f t="shared" si="7"/>
        <v>0</v>
      </c>
      <c r="D162" s="7"/>
      <c r="E162" s="6">
        <f t="shared" si="5"/>
        <v>0</v>
      </c>
      <c r="F162" s="6">
        <f t="shared" si="6"/>
        <v>0</v>
      </c>
      <c r="G162" s="62"/>
      <c r="H162" s="62"/>
      <c r="I162" s="60"/>
      <c r="J162" s="60"/>
      <c r="K162" s="64"/>
      <c r="L162" s="64"/>
      <c r="M162" s="25"/>
      <c r="N162" s="25"/>
    </row>
    <row r="163" spans="1:14" ht="28.5">
      <c r="A163" s="8" t="s">
        <v>284</v>
      </c>
      <c r="B163" s="4" t="s">
        <v>285</v>
      </c>
      <c r="C163" s="7">
        <f t="shared" si="7"/>
        <v>0</v>
      </c>
      <c r="D163" s="7"/>
      <c r="E163" s="6">
        <f t="shared" si="5"/>
        <v>0</v>
      </c>
      <c r="F163" s="6">
        <f t="shared" si="6"/>
        <v>0</v>
      </c>
      <c r="G163" s="62"/>
      <c r="H163" s="62"/>
      <c r="I163" s="60"/>
      <c r="J163" s="60"/>
      <c r="K163" s="64"/>
      <c r="L163" s="64"/>
      <c r="M163" s="25"/>
      <c r="N163" s="25"/>
    </row>
    <row r="164" spans="1:14">
      <c r="A164" s="8" t="s">
        <v>286</v>
      </c>
      <c r="B164" s="4" t="s">
        <v>287</v>
      </c>
      <c r="C164" s="7">
        <f t="shared" si="7"/>
        <v>0</v>
      </c>
      <c r="D164" s="7"/>
      <c r="E164" s="6">
        <f t="shared" si="5"/>
        <v>0</v>
      </c>
      <c r="F164" s="6">
        <f t="shared" si="6"/>
        <v>0</v>
      </c>
      <c r="G164" s="62"/>
      <c r="H164" s="62"/>
      <c r="I164" s="60"/>
      <c r="J164" s="60"/>
      <c r="K164" s="64"/>
      <c r="L164" s="64"/>
      <c r="M164" s="25"/>
      <c r="N164" s="25"/>
    </row>
    <row r="165" spans="1:14" ht="28.5">
      <c r="A165" s="8" t="s">
        <v>288</v>
      </c>
      <c r="B165" s="4" t="s">
        <v>289</v>
      </c>
      <c r="C165" s="7">
        <f t="shared" si="7"/>
        <v>0</v>
      </c>
      <c r="D165" s="7"/>
      <c r="E165" s="6">
        <f t="shared" si="5"/>
        <v>0</v>
      </c>
      <c r="F165" s="6">
        <f t="shared" si="6"/>
        <v>0</v>
      </c>
      <c r="G165" s="62"/>
      <c r="H165" s="62"/>
      <c r="I165" s="60"/>
      <c r="J165" s="60"/>
      <c r="K165" s="64"/>
      <c r="L165" s="64"/>
      <c r="M165" s="25"/>
      <c r="N165" s="25"/>
    </row>
    <row r="166" spans="1:14" ht="28.5">
      <c r="A166" s="8" t="s">
        <v>290</v>
      </c>
      <c r="B166" s="4" t="s">
        <v>291</v>
      </c>
      <c r="C166" s="7">
        <f t="shared" si="7"/>
        <v>0</v>
      </c>
      <c r="D166" s="7"/>
      <c r="E166" s="6">
        <f t="shared" si="5"/>
        <v>0</v>
      </c>
      <c r="F166" s="6">
        <f t="shared" si="6"/>
        <v>0</v>
      </c>
      <c r="G166" s="62"/>
      <c r="H166" s="62"/>
      <c r="I166" s="60"/>
      <c r="J166" s="60"/>
      <c r="K166" s="64"/>
      <c r="L166" s="64"/>
      <c r="M166" s="25"/>
      <c r="N166" s="25"/>
    </row>
    <row r="167" spans="1:14">
      <c r="A167" s="3" t="s">
        <v>292</v>
      </c>
      <c r="B167" s="4" t="s">
        <v>293</v>
      </c>
      <c r="C167" s="7">
        <f t="shared" si="7"/>
        <v>0</v>
      </c>
      <c r="D167" s="7"/>
      <c r="E167" s="6">
        <f t="shared" si="5"/>
        <v>0</v>
      </c>
      <c r="F167" s="6">
        <f t="shared" si="6"/>
        <v>0</v>
      </c>
      <c r="G167" s="62"/>
      <c r="H167" s="62"/>
      <c r="I167" s="60"/>
      <c r="J167" s="60"/>
      <c r="K167" s="64"/>
      <c r="L167" s="64"/>
      <c r="M167" s="25"/>
      <c r="N167" s="25"/>
    </row>
    <row r="168" spans="1:14">
      <c r="A168" s="3" t="s">
        <v>294</v>
      </c>
      <c r="B168" s="4" t="s">
        <v>295</v>
      </c>
      <c r="C168" s="7">
        <f t="shared" si="7"/>
        <v>0</v>
      </c>
      <c r="D168" s="7"/>
      <c r="E168" s="6">
        <f t="shared" si="5"/>
        <v>0</v>
      </c>
      <c r="F168" s="6">
        <f t="shared" si="6"/>
        <v>0</v>
      </c>
      <c r="G168" s="62"/>
      <c r="H168" s="62"/>
      <c r="I168" s="60"/>
      <c r="J168" s="60"/>
      <c r="K168" s="64"/>
      <c r="L168" s="64"/>
      <c r="M168" s="25"/>
      <c r="N168" s="25"/>
    </row>
    <row r="169" spans="1:14">
      <c r="A169" s="3" t="s">
        <v>296</v>
      </c>
      <c r="B169" s="10" t="s">
        <v>297</v>
      </c>
      <c r="C169" s="7">
        <f t="shared" si="7"/>
        <v>0</v>
      </c>
      <c r="D169" s="7"/>
      <c r="E169" s="6">
        <f t="shared" si="5"/>
        <v>0</v>
      </c>
      <c r="F169" s="6">
        <f t="shared" si="6"/>
        <v>0</v>
      </c>
      <c r="G169" s="62"/>
      <c r="H169" s="62"/>
      <c r="I169" s="60"/>
      <c r="J169" s="60"/>
      <c r="K169" s="64"/>
      <c r="L169" s="64"/>
      <c r="M169" s="25"/>
      <c r="N169" s="25"/>
    </row>
    <row r="170" spans="1:14">
      <c r="A170" s="3" t="s">
        <v>298</v>
      </c>
      <c r="B170" s="10" t="s">
        <v>299</v>
      </c>
      <c r="C170" s="7">
        <f t="shared" si="7"/>
        <v>0</v>
      </c>
      <c r="D170" s="7"/>
      <c r="E170" s="6">
        <f t="shared" si="5"/>
        <v>0</v>
      </c>
      <c r="F170" s="6">
        <f t="shared" si="6"/>
        <v>0</v>
      </c>
      <c r="G170" s="62"/>
      <c r="H170" s="62"/>
      <c r="I170" s="60"/>
      <c r="J170" s="60"/>
      <c r="K170" s="64"/>
      <c r="L170" s="64"/>
      <c r="M170" s="25"/>
      <c r="N170" s="25"/>
    </row>
    <row r="171" spans="1:14">
      <c r="A171" s="3" t="s">
        <v>300</v>
      </c>
      <c r="B171" s="10" t="s">
        <v>301</v>
      </c>
      <c r="C171" s="7">
        <f t="shared" si="7"/>
        <v>0</v>
      </c>
      <c r="D171" s="7"/>
      <c r="E171" s="6">
        <f t="shared" si="5"/>
        <v>0</v>
      </c>
      <c r="F171" s="6">
        <f t="shared" si="6"/>
        <v>0</v>
      </c>
      <c r="G171" s="62"/>
      <c r="H171" s="62"/>
      <c r="I171" s="60"/>
      <c r="J171" s="60"/>
      <c r="K171" s="64"/>
      <c r="L171" s="64"/>
      <c r="M171" s="25"/>
      <c r="N171" s="25"/>
    </row>
    <row r="172" spans="1:14">
      <c r="A172" s="3" t="s">
        <v>302</v>
      </c>
      <c r="B172" s="10" t="s">
        <v>303</v>
      </c>
      <c r="C172" s="7">
        <f t="shared" si="7"/>
        <v>0</v>
      </c>
      <c r="D172" s="7"/>
      <c r="E172" s="6">
        <f t="shared" si="5"/>
        <v>0</v>
      </c>
      <c r="F172" s="6">
        <f t="shared" si="6"/>
        <v>0</v>
      </c>
      <c r="G172" s="62"/>
      <c r="H172" s="62"/>
      <c r="I172" s="60"/>
      <c r="J172" s="60"/>
      <c r="K172" s="64"/>
      <c r="L172" s="64"/>
      <c r="M172" s="25"/>
      <c r="N172" s="25"/>
    </row>
    <row r="173" spans="1:14">
      <c r="A173" s="3" t="s">
        <v>304</v>
      </c>
      <c r="B173" s="10" t="s">
        <v>305</v>
      </c>
      <c r="C173" s="7">
        <f t="shared" si="7"/>
        <v>0</v>
      </c>
      <c r="D173" s="7"/>
      <c r="E173" s="6">
        <f t="shared" si="5"/>
        <v>0</v>
      </c>
      <c r="F173" s="6">
        <f t="shared" si="6"/>
        <v>0</v>
      </c>
      <c r="G173" s="62"/>
      <c r="H173" s="62"/>
      <c r="I173" s="60"/>
      <c r="J173" s="60"/>
      <c r="K173" s="64"/>
      <c r="L173" s="64"/>
      <c r="M173" s="25"/>
      <c r="N173" s="25"/>
    </row>
    <row r="174" spans="1:14">
      <c r="A174" s="3" t="s">
        <v>306</v>
      </c>
      <c r="B174" s="10" t="s">
        <v>307</v>
      </c>
      <c r="C174" s="7"/>
      <c r="D174" s="7">
        <f t="shared" ref="D174:D237" si="8">F174-E174</f>
        <v>0</v>
      </c>
      <c r="E174" s="6">
        <f t="shared" si="5"/>
        <v>0</v>
      </c>
      <c r="F174" s="6">
        <f t="shared" si="6"/>
        <v>0</v>
      </c>
      <c r="G174" s="62"/>
      <c r="H174" s="62"/>
      <c r="I174" s="60"/>
      <c r="J174" s="60"/>
      <c r="K174" s="64"/>
      <c r="L174" s="64"/>
      <c r="M174" s="25"/>
      <c r="N174" s="25"/>
    </row>
    <row r="175" spans="1:14">
      <c r="A175" s="3" t="s">
        <v>308</v>
      </c>
      <c r="B175" s="10" t="s">
        <v>309</v>
      </c>
      <c r="C175" s="7"/>
      <c r="D175" s="7">
        <f t="shared" si="8"/>
        <v>0</v>
      </c>
      <c r="E175" s="6">
        <f t="shared" si="5"/>
        <v>0</v>
      </c>
      <c r="F175" s="6">
        <f t="shared" si="6"/>
        <v>0</v>
      </c>
      <c r="G175" s="62"/>
      <c r="H175" s="62"/>
      <c r="I175" s="60"/>
      <c r="J175" s="60"/>
      <c r="K175" s="64"/>
      <c r="L175" s="64"/>
      <c r="M175" s="25"/>
      <c r="N175" s="25"/>
    </row>
    <row r="176" spans="1:14">
      <c r="A176" s="3" t="s">
        <v>310</v>
      </c>
      <c r="B176" s="10" t="s">
        <v>311</v>
      </c>
      <c r="C176" s="7"/>
      <c r="D176" s="7">
        <f t="shared" si="8"/>
        <v>0</v>
      </c>
      <c r="E176" s="6">
        <f t="shared" si="5"/>
        <v>0</v>
      </c>
      <c r="F176" s="6">
        <f t="shared" si="6"/>
        <v>0</v>
      </c>
      <c r="G176" s="62"/>
      <c r="H176" s="62"/>
      <c r="I176" s="60"/>
      <c r="J176" s="60"/>
      <c r="K176" s="64"/>
      <c r="L176" s="64"/>
      <c r="M176" s="25"/>
      <c r="N176" s="25"/>
    </row>
    <row r="177" spans="1:14">
      <c r="A177" s="3" t="s">
        <v>312</v>
      </c>
      <c r="B177" s="10" t="s">
        <v>313</v>
      </c>
      <c r="C177" s="7"/>
      <c r="D177" s="7">
        <f t="shared" si="8"/>
        <v>0</v>
      </c>
      <c r="E177" s="6">
        <f t="shared" si="5"/>
        <v>0</v>
      </c>
      <c r="F177" s="6">
        <f t="shared" si="6"/>
        <v>0</v>
      </c>
      <c r="G177" s="62"/>
      <c r="H177" s="62"/>
      <c r="I177" s="60"/>
      <c r="J177" s="60"/>
      <c r="K177" s="64"/>
      <c r="L177" s="64"/>
      <c r="M177" s="25"/>
      <c r="N177" s="25"/>
    </row>
    <row r="178" spans="1:14">
      <c r="A178" s="3" t="s">
        <v>314</v>
      </c>
      <c r="B178" s="10" t="s">
        <v>315</v>
      </c>
      <c r="C178" s="7"/>
      <c r="D178" s="7">
        <f t="shared" si="8"/>
        <v>0</v>
      </c>
      <c r="E178" s="6">
        <f t="shared" si="5"/>
        <v>0</v>
      </c>
      <c r="F178" s="6">
        <f t="shared" si="6"/>
        <v>0</v>
      </c>
      <c r="G178" s="62"/>
      <c r="H178" s="62"/>
      <c r="I178" s="60"/>
      <c r="J178" s="60"/>
      <c r="K178" s="64"/>
      <c r="L178" s="64"/>
      <c r="M178" s="25"/>
      <c r="N178" s="25"/>
    </row>
    <row r="179" spans="1:14">
      <c r="A179" s="3" t="s">
        <v>316</v>
      </c>
      <c r="B179" s="10" t="s">
        <v>317</v>
      </c>
      <c r="C179" s="7"/>
      <c r="D179" s="7">
        <f t="shared" si="8"/>
        <v>0</v>
      </c>
      <c r="E179" s="6">
        <f t="shared" si="5"/>
        <v>0</v>
      </c>
      <c r="F179" s="6">
        <f t="shared" si="6"/>
        <v>0</v>
      </c>
      <c r="G179" s="62"/>
      <c r="H179" s="62"/>
      <c r="I179" s="60"/>
      <c r="J179" s="60"/>
      <c r="K179" s="64"/>
      <c r="L179" s="64"/>
      <c r="M179" s="25"/>
      <c r="N179" s="25"/>
    </row>
    <row r="180" spans="1:14">
      <c r="A180" s="3" t="s">
        <v>318</v>
      </c>
      <c r="B180" s="10" t="s">
        <v>319</v>
      </c>
      <c r="C180" s="7"/>
      <c r="D180" s="7">
        <f t="shared" si="8"/>
        <v>0</v>
      </c>
      <c r="E180" s="6">
        <f t="shared" si="5"/>
        <v>0</v>
      </c>
      <c r="F180" s="6">
        <f t="shared" si="6"/>
        <v>0</v>
      </c>
      <c r="G180" s="62"/>
      <c r="H180" s="62"/>
      <c r="I180" s="60"/>
      <c r="J180" s="60"/>
      <c r="K180" s="64"/>
      <c r="L180" s="64"/>
      <c r="M180" s="25"/>
      <c r="N180" s="25"/>
    </row>
    <row r="181" spans="1:14">
      <c r="A181" s="3" t="s">
        <v>320</v>
      </c>
      <c r="B181" s="10" t="s">
        <v>321</v>
      </c>
      <c r="C181" s="7"/>
      <c r="D181" s="7">
        <f t="shared" si="8"/>
        <v>0</v>
      </c>
      <c r="E181" s="6">
        <f t="shared" si="5"/>
        <v>0</v>
      </c>
      <c r="F181" s="6">
        <f t="shared" si="6"/>
        <v>0</v>
      </c>
      <c r="G181" s="62"/>
      <c r="H181" s="62"/>
      <c r="I181" s="60"/>
      <c r="J181" s="60"/>
      <c r="K181" s="64"/>
      <c r="L181" s="64"/>
      <c r="M181" s="25"/>
      <c r="N181" s="25"/>
    </row>
    <row r="182" spans="1:14">
      <c r="A182" s="3" t="s">
        <v>322</v>
      </c>
      <c r="B182" s="10" t="s">
        <v>323</v>
      </c>
      <c r="C182" s="7"/>
      <c r="D182" s="7">
        <f t="shared" si="8"/>
        <v>0</v>
      </c>
      <c r="E182" s="6">
        <f t="shared" si="5"/>
        <v>0</v>
      </c>
      <c r="F182" s="6">
        <f t="shared" si="6"/>
        <v>0</v>
      </c>
      <c r="G182" s="62"/>
      <c r="H182" s="62"/>
      <c r="I182" s="60"/>
      <c r="J182" s="60"/>
      <c r="K182" s="64"/>
      <c r="L182" s="64"/>
      <c r="M182" s="25"/>
      <c r="N182" s="25"/>
    </row>
    <row r="183" spans="1:14">
      <c r="A183" s="3" t="s">
        <v>324</v>
      </c>
      <c r="B183" s="10" t="s">
        <v>325</v>
      </c>
      <c r="C183" s="7"/>
      <c r="D183" s="7">
        <f t="shared" si="8"/>
        <v>0</v>
      </c>
      <c r="E183" s="6">
        <f t="shared" si="5"/>
        <v>0</v>
      </c>
      <c r="F183" s="6">
        <f t="shared" si="6"/>
        <v>0</v>
      </c>
      <c r="G183" s="62"/>
      <c r="H183" s="62"/>
      <c r="I183" s="60"/>
      <c r="J183" s="60"/>
      <c r="K183" s="64"/>
      <c r="L183" s="64"/>
      <c r="M183" s="25"/>
      <c r="N183" s="25"/>
    </row>
    <row r="184" spans="1:14">
      <c r="A184" s="3" t="s">
        <v>326</v>
      </c>
      <c r="B184" s="10" t="s">
        <v>327</v>
      </c>
      <c r="C184" s="7"/>
      <c r="D184" s="7">
        <f t="shared" si="8"/>
        <v>0</v>
      </c>
      <c r="E184" s="6">
        <f t="shared" si="5"/>
        <v>0</v>
      </c>
      <c r="F184" s="6">
        <f t="shared" si="6"/>
        <v>0</v>
      </c>
      <c r="G184" s="62"/>
      <c r="H184" s="62"/>
      <c r="I184" s="60"/>
      <c r="J184" s="60"/>
      <c r="K184" s="64"/>
      <c r="L184" s="64"/>
      <c r="M184" s="25"/>
      <c r="N184" s="25"/>
    </row>
    <row r="185" spans="1:14">
      <c r="A185" s="3" t="s">
        <v>328</v>
      </c>
      <c r="B185" s="10" t="s">
        <v>329</v>
      </c>
      <c r="C185" s="7"/>
      <c r="D185" s="7">
        <f t="shared" si="8"/>
        <v>0</v>
      </c>
      <c r="E185" s="6">
        <f t="shared" si="5"/>
        <v>0</v>
      </c>
      <c r="F185" s="6">
        <f t="shared" si="6"/>
        <v>0</v>
      </c>
      <c r="G185" s="62"/>
      <c r="H185" s="62"/>
      <c r="I185" s="60"/>
      <c r="J185" s="60"/>
      <c r="K185" s="64"/>
      <c r="L185" s="64"/>
      <c r="M185" s="25"/>
      <c r="N185" s="25"/>
    </row>
    <row r="186" spans="1:14">
      <c r="A186" s="3" t="s">
        <v>330</v>
      </c>
      <c r="B186" s="10" t="s">
        <v>331</v>
      </c>
      <c r="C186" s="7"/>
      <c r="D186" s="7">
        <f t="shared" si="8"/>
        <v>0</v>
      </c>
      <c r="E186" s="6">
        <f t="shared" si="5"/>
        <v>0</v>
      </c>
      <c r="F186" s="6">
        <f t="shared" si="6"/>
        <v>0</v>
      </c>
      <c r="G186" s="62"/>
      <c r="H186" s="62"/>
      <c r="I186" s="60"/>
      <c r="J186" s="60"/>
      <c r="K186" s="64"/>
      <c r="L186" s="64"/>
      <c r="M186" s="25"/>
      <c r="N186" s="25"/>
    </row>
    <row r="187" spans="1:14">
      <c r="A187" s="3" t="s">
        <v>332</v>
      </c>
      <c r="B187" s="10" t="s">
        <v>333</v>
      </c>
      <c r="C187" s="5"/>
      <c r="D187" s="5">
        <f t="shared" si="8"/>
        <v>0</v>
      </c>
      <c r="E187" s="6">
        <f t="shared" si="5"/>
        <v>0</v>
      </c>
      <c r="F187" s="6">
        <f t="shared" si="6"/>
        <v>0</v>
      </c>
      <c r="G187" s="62"/>
      <c r="H187" s="62"/>
      <c r="I187" s="60"/>
      <c r="J187" s="60"/>
      <c r="K187" s="64"/>
      <c r="L187" s="64"/>
      <c r="M187" s="25"/>
      <c r="N187" s="25"/>
    </row>
    <row r="188" spans="1:14">
      <c r="A188" s="3" t="s">
        <v>334</v>
      </c>
      <c r="B188" s="10" t="s">
        <v>335</v>
      </c>
      <c r="C188" s="5"/>
      <c r="D188" s="5">
        <f t="shared" si="8"/>
        <v>0</v>
      </c>
      <c r="E188" s="6">
        <f t="shared" si="5"/>
        <v>0</v>
      </c>
      <c r="F188" s="6">
        <f t="shared" si="6"/>
        <v>0</v>
      </c>
      <c r="G188" s="62"/>
      <c r="H188" s="62"/>
      <c r="I188" s="60"/>
      <c r="J188" s="60"/>
      <c r="K188" s="64"/>
      <c r="L188" s="64"/>
      <c r="M188" s="25"/>
      <c r="N188" s="25"/>
    </row>
    <row r="189" spans="1:14">
      <c r="A189" s="3" t="s">
        <v>336</v>
      </c>
      <c r="B189" s="10" t="s">
        <v>337</v>
      </c>
      <c r="C189" s="5"/>
      <c r="D189" s="5">
        <f t="shared" si="8"/>
        <v>0</v>
      </c>
      <c r="E189" s="6">
        <f t="shared" si="5"/>
        <v>0</v>
      </c>
      <c r="F189" s="6">
        <f t="shared" si="6"/>
        <v>0</v>
      </c>
      <c r="G189" s="62"/>
      <c r="H189" s="62"/>
      <c r="I189" s="60"/>
      <c r="J189" s="60"/>
      <c r="K189" s="64"/>
      <c r="L189" s="64"/>
      <c r="M189" s="25"/>
      <c r="N189" s="25"/>
    </row>
    <row r="190" spans="1:14">
      <c r="A190" s="3" t="s">
        <v>338</v>
      </c>
      <c r="B190" s="10" t="s">
        <v>339</v>
      </c>
      <c r="C190" s="5"/>
      <c r="D190" s="5">
        <f t="shared" si="8"/>
        <v>0</v>
      </c>
      <c r="E190" s="6">
        <f t="shared" si="5"/>
        <v>0</v>
      </c>
      <c r="F190" s="6">
        <f t="shared" si="6"/>
        <v>0</v>
      </c>
      <c r="G190" s="62"/>
      <c r="H190" s="62"/>
      <c r="I190" s="60"/>
      <c r="J190" s="60"/>
      <c r="K190" s="64"/>
      <c r="L190" s="64"/>
      <c r="M190" s="25"/>
      <c r="N190" s="25"/>
    </row>
    <row r="191" spans="1:14">
      <c r="A191" s="3" t="s">
        <v>340</v>
      </c>
      <c r="B191" s="10" t="s">
        <v>341</v>
      </c>
      <c r="C191" s="5"/>
      <c r="D191" s="5">
        <f t="shared" si="8"/>
        <v>0</v>
      </c>
      <c r="E191" s="6">
        <f t="shared" si="5"/>
        <v>0</v>
      </c>
      <c r="F191" s="6">
        <f t="shared" si="6"/>
        <v>0</v>
      </c>
      <c r="G191" s="62"/>
      <c r="H191" s="62"/>
      <c r="I191" s="60"/>
      <c r="J191" s="60"/>
      <c r="K191" s="64"/>
      <c r="L191" s="64"/>
      <c r="M191" s="25"/>
      <c r="N191" s="25"/>
    </row>
    <row r="192" spans="1:14">
      <c r="A192" s="3" t="s">
        <v>342</v>
      </c>
      <c r="B192" s="10" t="s">
        <v>343</v>
      </c>
      <c r="C192" s="5"/>
      <c r="D192" s="5">
        <f t="shared" si="8"/>
        <v>0</v>
      </c>
      <c r="E192" s="6">
        <f t="shared" si="5"/>
        <v>0</v>
      </c>
      <c r="F192" s="6">
        <f t="shared" si="6"/>
        <v>0</v>
      </c>
      <c r="G192" s="62"/>
      <c r="H192" s="62"/>
      <c r="I192" s="60"/>
      <c r="J192" s="60"/>
      <c r="K192" s="64"/>
      <c r="L192" s="64"/>
      <c r="M192" s="25"/>
      <c r="N192" s="25"/>
    </row>
    <row r="193" spans="1:14">
      <c r="A193" s="3" t="s">
        <v>344</v>
      </c>
      <c r="B193" s="10" t="s">
        <v>345</v>
      </c>
      <c r="C193" s="5"/>
      <c r="D193" s="5">
        <f t="shared" si="8"/>
        <v>0</v>
      </c>
      <c r="E193" s="6">
        <f t="shared" si="5"/>
        <v>0</v>
      </c>
      <c r="F193" s="6">
        <f t="shared" si="6"/>
        <v>0</v>
      </c>
      <c r="G193" s="62"/>
      <c r="H193" s="62"/>
      <c r="I193" s="60"/>
      <c r="J193" s="60"/>
      <c r="K193" s="64"/>
      <c r="L193" s="64"/>
      <c r="M193" s="25"/>
      <c r="N193" s="25"/>
    </row>
    <row r="194" spans="1:14">
      <c r="A194" s="3" t="s">
        <v>346</v>
      </c>
      <c r="B194" s="10" t="s">
        <v>347</v>
      </c>
      <c r="C194" s="5"/>
      <c r="D194" s="5">
        <f t="shared" si="8"/>
        <v>0</v>
      </c>
      <c r="E194" s="6">
        <f t="shared" si="5"/>
        <v>0</v>
      </c>
      <c r="F194" s="6">
        <f t="shared" si="6"/>
        <v>0</v>
      </c>
      <c r="G194" s="62"/>
      <c r="H194" s="62"/>
      <c r="I194" s="60"/>
      <c r="J194" s="60"/>
      <c r="K194" s="64"/>
      <c r="L194" s="64"/>
      <c r="M194" s="25"/>
      <c r="N194" s="25"/>
    </row>
    <row r="195" spans="1:14">
      <c r="A195" s="3" t="s">
        <v>348</v>
      </c>
      <c r="B195" s="10" t="s">
        <v>349</v>
      </c>
      <c r="C195" s="5"/>
      <c r="D195" s="5">
        <f t="shared" si="8"/>
        <v>0</v>
      </c>
      <c r="E195" s="6">
        <f t="shared" si="5"/>
        <v>0</v>
      </c>
      <c r="F195" s="6">
        <f t="shared" si="6"/>
        <v>0</v>
      </c>
      <c r="G195" s="62"/>
      <c r="H195" s="62"/>
      <c r="I195" s="60"/>
      <c r="J195" s="60"/>
      <c r="K195" s="64"/>
      <c r="L195" s="64"/>
      <c r="M195" s="25"/>
      <c r="N195" s="25"/>
    </row>
    <row r="196" spans="1:14">
      <c r="A196" s="3" t="s">
        <v>350</v>
      </c>
      <c r="B196" s="10" t="s">
        <v>351</v>
      </c>
      <c r="C196" s="5"/>
      <c r="D196" s="5">
        <f t="shared" si="8"/>
        <v>0</v>
      </c>
      <c r="E196" s="6">
        <f t="shared" si="5"/>
        <v>0</v>
      </c>
      <c r="F196" s="6">
        <f t="shared" si="6"/>
        <v>0</v>
      </c>
      <c r="G196" s="62"/>
      <c r="H196" s="62"/>
      <c r="I196" s="60"/>
      <c r="J196" s="60"/>
      <c r="K196" s="64"/>
      <c r="L196" s="64"/>
      <c r="M196" s="25"/>
      <c r="N196" s="25"/>
    </row>
    <row r="197" spans="1:14">
      <c r="A197" s="3" t="s">
        <v>352</v>
      </c>
      <c r="B197" s="10" t="s">
        <v>353</v>
      </c>
      <c r="C197" s="5"/>
      <c r="D197" s="5">
        <f t="shared" si="8"/>
        <v>0</v>
      </c>
      <c r="E197" s="6">
        <f t="shared" si="5"/>
        <v>0</v>
      </c>
      <c r="F197" s="6">
        <f t="shared" si="6"/>
        <v>0</v>
      </c>
      <c r="G197" s="62"/>
      <c r="H197" s="62"/>
      <c r="I197" s="60"/>
      <c r="J197" s="60"/>
      <c r="K197" s="64"/>
      <c r="L197" s="64"/>
      <c r="M197" s="25"/>
      <c r="N197" s="25"/>
    </row>
    <row r="198" spans="1:14">
      <c r="A198" s="3" t="s">
        <v>354</v>
      </c>
      <c r="B198" s="10" t="s">
        <v>355</v>
      </c>
      <c r="C198" s="5"/>
      <c r="D198" s="5">
        <f t="shared" si="8"/>
        <v>0</v>
      </c>
      <c r="E198" s="6">
        <f t="shared" si="5"/>
        <v>0</v>
      </c>
      <c r="F198" s="6">
        <f t="shared" si="6"/>
        <v>0</v>
      </c>
      <c r="G198" s="62"/>
      <c r="H198" s="62"/>
      <c r="I198" s="60"/>
      <c r="J198" s="60"/>
      <c r="K198" s="64"/>
      <c r="L198" s="64"/>
      <c r="M198" s="25"/>
      <c r="N198" s="25"/>
    </row>
    <row r="199" spans="1:14">
      <c r="A199" s="3" t="s">
        <v>356</v>
      </c>
      <c r="B199" s="10" t="s">
        <v>357</v>
      </c>
      <c r="C199" s="5"/>
      <c r="D199" s="5">
        <f t="shared" si="8"/>
        <v>0</v>
      </c>
      <c r="E199" s="6">
        <f t="shared" si="5"/>
        <v>0</v>
      </c>
      <c r="F199" s="6">
        <f t="shared" si="6"/>
        <v>0</v>
      </c>
      <c r="G199" s="62"/>
      <c r="H199" s="62"/>
      <c r="I199" s="60"/>
      <c r="J199" s="60"/>
      <c r="K199" s="64"/>
      <c r="L199" s="64"/>
      <c r="M199" s="25"/>
      <c r="N199" s="25"/>
    </row>
    <row r="200" spans="1:14">
      <c r="A200" s="3" t="s">
        <v>358</v>
      </c>
      <c r="B200" s="10" t="s">
        <v>359</v>
      </c>
      <c r="C200" s="5"/>
      <c r="D200" s="5">
        <f t="shared" si="8"/>
        <v>0</v>
      </c>
      <c r="E200" s="6">
        <f t="shared" si="5"/>
        <v>0</v>
      </c>
      <c r="F200" s="6">
        <f t="shared" si="6"/>
        <v>0</v>
      </c>
      <c r="G200" s="62"/>
      <c r="H200" s="62"/>
      <c r="I200" s="60"/>
      <c r="J200" s="60"/>
      <c r="K200" s="64"/>
      <c r="L200" s="64"/>
      <c r="M200" s="25"/>
      <c r="N200" s="25"/>
    </row>
    <row r="201" spans="1:14">
      <c r="A201" s="3" t="s">
        <v>360</v>
      </c>
      <c r="B201" s="10" t="s">
        <v>361</v>
      </c>
      <c r="C201" s="5"/>
      <c r="D201" s="5">
        <f t="shared" si="8"/>
        <v>0</v>
      </c>
      <c r="E201" s="6">
        <f t="shared" si="5"/>
        <v>0</v>
      </c>
      <c r="F201" s="6">
        <f t="shared" si="6"/>
        <v>0</v>
      </c>
      <c r="G201" s="62"/>
      <c r="H201" s="62"/>
      <c r="I201" s="60"/>
      <c r="J201" s="60"/>
      <c r="K201" s="64"/>
      <c r="L201" s="64"/>
      <c r="M201" s="25"/>
      <c r="N201" s="25"/>
    </row>
    <row r="202" spans="1:14">
      <c r="A202" s="3" t="s">
        <v>362</v>
      </c>
      <c r="B202" s="10" t="s">
        <v>363</v>
      </c>
      <c r="C202" s="5"/>
      <c r="D202" s="5">
        <f t="shared" si="8"/>
        <v>0</v>
      </c>
      <c r="E202" s="6">
        <f t="shared" si="5"/>
        <v>0</v>
      </c>
      <c r="F202" s="6">
        <f t="shared" si="6"/>
        <v>0</v>
      </c>
      <c r="G202" s="62"/>
      <c r="H202" s="62"/>
      <c r="I202" s="60"/>
      <c r="J202" s="60"/>
      <c r="K202" s="64"/>
      <c r="L202" s="64"/>
      <c r="M202" s="25"/>
      <c r="N202" s="25"/>
    </row>
    <row r="203" spans="1:14">
      <c r="A203" s="3" t="s">
        <v>364</v>
      </c>
      <c r="B203" s="10" t="s">
        <v>365</v>
      </c>
      <c r="C203" s="5"/>
      <c r="D203" s="5">
        <f t="shared" si="8"/>
        <v>0</v>
      </c>
      <c r="E203" s="6">
        <f t="shared" si="5"/>
        <v>0</v>
      </c>
      <c r="F203" s="6">
        <f t="shared" si="6"/>
        <v>0</v>
      </c>
      <c r="G203" s="62"/>
      <c r="H203" s="62"/>
      <c r="I203" s="60"/>
      <c r="J203" s="60"/>
      <c r="K203" s="64"/>
      <c r="L203" s="64"/>
      <c r="M203" s="25"/>
      <c r="N203" s="25"/>
    </row>
    <row r="204" spans="1:14">
      <c r="A204" s="3" t="s">
        <v>366</v>
      </c>
      <c r="B204" s="10" t="s">
        <v>367</v>
      </c>
      <c r="C204" s="5"/>
      <c r="D204" s="5">
        <f t="shared" si="8"/>
        <v>0</v>
      </c>
      <c r="E204" s="6">
        <f t="shared" si="5"/>
        <v>0</v>
      </c>
      <c r="F204" s="6">
        <f t="shared" si="6"/>
        <v>0</v>
      </c>
      <c r="G204" s="62"/>
      <c r="H204" s="62"/>
      <c r="I204" s="60"/>
      <c r="J204" s="60"/>
      <c r="K204" s="64"/>
      <c r="L204" s="64"/>
      <c r="M204" s="25"/>
      <c r="N204" s="25"/>
    </row>
    <row r="205" spans="1:14">
      <c r="A205" s="3" t="s">
        <v>368</v>
      </c>
      <c r="B205" s="10" t="s">
        <v>369</v>
      </c>
      <c r="C205" s="5"/>
      <c r="D205" s="5">
        <f t="shared" si="8"/>
        <v>0</v>
      </c>
      <c r="E205" s="6">
        <f t="shared" si="5"/>
        <v>0</v>
      </c>
      <c r="F205" s="6">
        <f t="shared" si="6"/>
        <v>0</v>
      </c>
      <c r="G205" s="62"/>
      <c r="H205" s="62"/>
      <c r="I205" s="60"/>
      <c r="J205" s="60"/>
      <c r="K205" s="64"/>
      <c r="L205" s="64"/>
      <c r="M205" s="25"/>
      <c r="N205" s="25"/>
    </row>
    <row r="206" spans="1:14">
      <c r="A206" s="3" t="s">
        <v>370</v>
      </c>
      <c r="B206" s="10" t="s">
        <v>371</v>
      </c>
      <c r="C206" s="5"/>
      <c r="D206" s="5">
        <f t="shared" si="8"/>
        <v>0</v>
      </c>
      <c r="E206" s="6">
        <f t="shared" ref="E206:E269" si="9">SUM(G206,I206,K206,M206)</f>
        <v>0</v>
      </c>
      <c r="F206" s="6">
        <f t="shared" ref="F206:F269" si="10">SUM(H206,J206,L206,N206)</f>
        <v>0</v>
      </c>
      <c r="G206" s="62"/>
      <c r="H206" s="62"/>
      <c r="I206" s="60"/>
      <c r="J206" s="60"/>
      <c r="K206" s="64"/>
      <c r="L206" s="64"/>
      <c r="M206" s="25"/>
      <c r="N206" s="25"/>
    </row>
    <row r="207" spans="1:14">
      <c r="A207" s="3" t="s">
        <v>372</v>
      </c>
      <c r="B207" s="10" t="s">
        <v>373</v>
      </c>
      <c r="C207" s="5"/>
      <c r="D207" s="5">
        <f t="shared" si="8"/>
        <v>0</v>
      </c>
      <c r="E207" s="6">
        <f t="shared" si="9"/>
        <v>0</v>
      </c>
      <c r="F207" s="6">
        <f t="shared" si="10"/>
        <v>0</v>
      </c>
      <c r="G207" s="62"/>
      <c r="H207" s="62"/>
      <c r="I207" s="60"/>
      <c r="J207" s="60"/>
      <c r="K207" s="64"/>
      <c r="L207" s="64"/>
      <c r="M207" s="25"/>
      <c r="N207" s="25"/>
    </row>
    <row r="208" spans="1:14">
      <c r="A208" s="3" t="s">
        <v>374</v>
      </c>
      <c r="B208" s="10" t="s">
        <v>375</v>
      </c>
      <c r="C208" s="5"/>
      <c r="D208" s="5">
        <f t="shared" si="8"/>
        <v>0</v>
      </c>
      <c r="E208" s="6">
        <f t="shared" si="9"/>
        <v>0</v>
      </c>
      <c r="F208" s="6">
        <f t="shared" si="10"/>
        <v>0</v>
      </c>
      <c r="G208" s="62"/>
      <c r="H208" s="62"/>
      <c r="I208" s="60"/>
      <c r="J208" s="60"/>
      <c r="K208" s="64"/>
      <c r="L208" s="64"/>
      <c r="M208" s="25"/>
      <c r="N208" s="25"/>
    </row>
    <row r="209" spans="1:14">
      <c r="A209" s="3" t="s">
        <v>376</v>
      </c>
      <c r="B209" s="10" t="s">
        <v>377</v>
      </c>
      <c r="C209" s="5"/>
      <c r="D209" s="5">
        <f t="shared" si="8"/>
        <v>0</v>
      </c>
      <c r="E209" s="6">
        <f t="shared" si="9"/>
        <v>0</v>
      </c>
      <c r="F209" s="6">
        <f t="shared" si="10"/>
        <v>0</v>
      </c>
      <c r="G209" s="62"/>
      <c r="H209" s="62"/>
      <c r="I209" s="60"/>
      <c r="J209" s="60"/>
      <c r="K209" s="64"/>
      <c r="L209" s="64"/>
      <c r="M209" s="25"/>
      <c r="N209" s="25"/>
    </row>
    <row r="210" spans="1:14">
      <c r="A210" s="3" t="s">
        <v>378</v>
      </c>
      <c r="B210" s="10" t="s">
        <v>379</v>
      </c>
      <c r="C210" s="5"/>
      <c r="D210" s="5">
        <f t="shared" si="8"/>
        <v>0</v>
      </c>
      <c r="E210" s="6">
        <f t="shared" si="9"/>
        <v>0</v>
      </c>
      <c r="F210" s="6">
        <f t="shared" si="10"/>
        <v>0</v>
      </c>
      <c r="G210" s="62"/>
      <c r="H210" s="62"/>
      <c r="I210" s="60"/>
      <c r="J210" s="60"/>
      <c r="K210" s="64"/>
      <c r="L210" s="64"/>
      <c r="M210" s="25"/>
      <c r="N210" s="25"/>
    </row>
    <row r="211" spans="1:14">
      <c r="A211" s="3" t="s">
        <v>380</v>
      </c>
      <c r="B211" s="10" t="s">
        <v>381</v>
      </c>
      <c r="C211" s="5"/>
      <c r="D211" s="5">
        <f t="shared" si="8"/>
        <v>0</v>
      </c>
      <c r="E211" s="6">
        <f t="shared" si="9"/>
        <v>0</v>
      </c>
      <c r="F211" s="6">
        <f t="shared" si="10"/>
        <v>0</v>
      </c>
      <c r="G211" s="62"/>
      <c r="H211" s="62"/>
      <c r="I211" s="60"/>
      <c r="J211" s="60"/>
      <c r="K211" s="64"/>
      <c r="L211" s="64"/>
      <c r="M211" s="25"/>
      <c r="N211" s="25"/>
    </row>
    <row r="212" spans="1:14">
      <c r="A212" s="3" t="s">
        <v>382</v>
      </c>
      <c r="B212" s="10" t="s">
        <v>383</v>
      </c>
      <c r="C212" s="5"/>
      <c r="D212" s="5">
        <f t="shared" si="8"/>
        <v>0</v>
      </c>
      <c r="E212" s="6">
        <f t="shared" si="9"/>
        <v>0</v>
      </c>
      <c r="F212" s="6">
        <f t="shared" si="10"/>
        <v>0</v>
      </c>
      <c r="G212" s="62"/>
      <c r="H212" s="62"/>
      <c r="I212" s="60"/>
      <c r="J212" s="60"/>
      <c r="K212" s="64"/>
      <c r="L212" s="64"/>
      <c r="M212" s="25"/>
      <c r="N212" s="25"/>
    </row>
    <row r="213" spans="1:14">
      <c r="A213" s="3" t="s">
        <v>384</v>
      </c>
      <c r="B213" s="10" t="s">
        <v>385</v>
      </c>
      <c r="C213" s="5"/>
      <c r="D213" s="5">
        <f t="shared" si="8"/>
        <v>0</v>
      </c>
      <c r="E213" s="6">
        <f t="shared" si="9"/>
        <v>0</v>
      </c>
      <c r="F213" s="6">
        <f t="shared" si="10"/>
        <v>0</v>
      </c>
      <c r="G213" s="62"/>
      <c r="H213" s="62"/>
      <c r="I213" s="60"/>
      <c r="J213" s="60"/>
      <c r="K213" s="64"/>
      <c r="L213" s="64"/>
      <c r="M213" s="25"/>
      <c r="N213" s="25"/>
    </row>
    <row r="214" spans="1:14">
      <c r="A214" s="3" t="s">
        <v>386</v>
      </c>
      <c r="B214" s="10" t="s">
        <v>387</v>
      </c>
      <c r="C214" s="5"/>
      <c r="D214" s="5">
        <f t="shared" si="8"/>
        <v>0</v>
      </c>
      <c r="E214" s="6">
        <f t="shared" si="9"/>
        <v>0</v>
      </c>
      <c r="F214" s="6">
        <f t="shared" si="10"/>
        <v>0</v>
      </c>
      <c r="G214" s="62"/>
      <c r="H214" s="62"/>
      <c r="I214" s="60"/>
      <c r="J214" s="60"/>
      <c r="K214" s="64"/>
      <c r="L214" s="64"/>
      <c r="M214" s="25"/>
      <c r="N214" s="25"/>
    </row>
    <row r="215" spans="1:14">
      <c r="A215" s="3" t="s">
        <v>388</v>
      </c>
      <c r="B215" s="10" t="s">
        <v>389</v>
      </c>
      <c r="C215" s="5"/>
      <c r="D215" s="5">
        <f t="shared" si="8"/>
        <v>0</v>
      </c>
      <c r="E215" s="6">
        <f t="shared" si="9"/>
        <v>0</v>
      </c>
      <c r="F215" s="6">
        <f t="shared" si="10"/>
        <v>0</v>
      </c>
      <c r="G215" s="62"/>
      <c r="H215" s="62"/>
      <c r="I215" s="60"/>
      <c r="J215" s="60"/>
      <c r="K215" s="64"/>
      <c r="L215" s="64"/>
      <c r="M215" s="25"/>
      <c r="N215" s="25"/>
    </row>
    <row r="216" spans="1:14">
      <c r="A216" s="3" t="s">
        <v>390</v>
      </c>
      <c r="B216" s="10" t="s">
        <v>391</v>
      </c>
      <c r="C216" s="5"/>
      <c r="D216" s="5">
        <f t="shared" si="8"/>
        <v>0</v>
      </c>
      <c r="E216" s="6">
        <f t="shared" si="9"/>
        <v>0</v>
      </c>
      <c r="F216" s="6">
        <f t="shared" si="10"/>
        <v>0</v>
      </c>
      <c r="G216" s="62"/>
      <c r="H216" s="62"/>
      <c r="I216" s="60"/>
      <c r="J216" s="60"/>
      <c r="K216" s="64"/>
      <c r="L216" s="64"/>
      <c r="M216" s="25"/>
      <c r="N216" s="25"/>
    </row>
    <row r="217" spans="1:14">
      <c r="A217" s="3" t="s">
        <v>392</v>
      </c>
      <c r="B217" s="10" t="s">
        <v>393</v>
      </c>
      <c r="C217" s="5"/>
      <c r="D217" s="5">
        <f t="shared" si="8"/>
        <v>0</v>
      </c>
      <c r="E217" s="6">
        <f t="shared" si="9"/>
        <v>0</v>
      </c>
      <c r="F217" s="6">
        <f t="shared" si="10"/>
        <v>0</v>
      </c>
      <c r="G217" s="62"/>
      <c r="H217" s="62"/>
      <c r="I217" s="60"/>
      <c r="J217" s="60"/>
      <c r="K217" s="64"/>
      <c r="L217" s="64"/>
      <c r="M217" s="25"/>
      <c r="N217" s="25"/>
    </row>
    <row r="218" spans="1:14">
      <c r="A218" s="3" t="s">
        <v>394</v>
      </c>
      <c r="B218" s="10" t="s">
        <v>395</v>
      </c>
      <c r="C218" s="5"/>
      <c r="D218" s="5">
        <f t="shared" si="8"/>
        <v>0</v>
      </c>
      <c r="E218" s="6">
        <f t="shared" si="9"/>
        <v>0</v>
      </c>
      <c r="F218" s="6">
        <f t="shared" si="10"/>
        <v>0</v>
      </c>
      <c r="G218" s="62"/>
      <c r="H218" s="62"/>
      <c r="I218" s="60"/>
      <c r="J218" s="60"/>
      <c r="K218" s="64"/>
      <c r="L218" s="64"/>
      <c r="M218" s="25"/>
      <c r="N218" s="25"/>
    </row>
    <row r="219" spans="1:14">
      <c r="A219" s="3" t="s">
        <v>396</v>
      </c>
      <c r="B219" s="10" t="s">
        <v>397</v>
      </c>
      <c r="C219" s="5"/>
      <c r="D219" s="5">
        <f t="shared" si="8"/>
        <v>0</v>
      </c>
      <c r="E219" s="6">
        <f t="shared" si="9"/>
        <v>0</v>
      </c>
      <c r="F219" s="6">
        <f t="shared" si="10"/>
        <v>0</v>
      </c>
      <c r="G219" s="62"/>
      <c r="H219" s="62"/>
      <c r="I219" s="60"/>
      <c r="J219" s="60"/>
      <c r="K219" s="64"/>
      <c r="L219" s="64"/>
      <c r="M219" s="25"/>
      <c r="N219" s="25"/>
    </row>
    <row r="220" spans="1:14">
      <c r="A220" s="3" t="s">
        <v>398</v>
      </c>
      <c r="B220" s="10" t="s">
        <v>399</v>
      </c>
      <c r="C220" s="5"/>
      <c r="D220" s="5">
        <f t="shared" si="8"/>
        <v>0</v>
      </c>
      <c r="E220" s="6">
        <f t="shared" si="9"/>
        <v>0</v>
      </c>
      <c r="F220" s="6">
        <f t="shared" si="10"/>
        <v>0</v>
      </c>
      <c r="G220" s="62"/>
      <c r="H220" s="62"/>
      <c r="I220" s="60"/>
      <c r="J220" s="60"/>
      <c r="K220" s="64"/>
      <c r="L220" s="64"/>
      <c r="M220" s="25"/>
      <c r="N220" s="25"/>
    </row>
    <row r="221" spans="1:14">
      <c r="A221" s="3" t="s">
        <v>400</v>
      </c>
      <c r="B221" s="10" t="s">
        <v>401</v>
      </c>
      <c r="C221" s="5"/>
      <c r="D221" s="5">
        <f t="shared" si="8"/>
        <v>0</v>
      </c>
      <c r="E221" s="6">
        <f t="shared" si="9"/>
        <v>0</v>
      </c>
      <c r="F221" s="6">
        <f t="shared" si="10"/>
        <v>0</v>
      </c>
      <c r="G221" s="62"/>
      <c r="H221" s="62"/>
      <c r="I221" s="60"/>
      <c r="J221" s="60"/>
      <c r="K221" s="64"/>
      <c r="L221" s="64"/>
      <c r="M221" s="25"/>
      <c r="N221" s="25"/>
    </row>
    <row r="222" spans="1:14">
      <c r="A222" s="3" t="s">
        <v>402</v>
      </c>
      <c r="B222" s="10" t="s">
        <v>403</v>
      </c>
      <c r="C222" s="5"/>
      <c r="D222" s="5">
        <f t="shared" si="8"/>
        <v>0</v>
      </c>
      <c r="E222" s="6">
        <f t="shared" si="9"/>
        <v>0</v>
      </c>
      <c r="F222" s="6">
        <f t="shared" si="10"/>
        <v>0</v>
      </c>
      <c r="G222" s="62"/>
      <c r="H222" s="62"/>
      <c r="I222" s="60"/>
      <c r="J222" s="60"/>
      <c r="K222" s="64"/>
      <c r="L222" s="64"/>
      <c r="M222" s="25"/>
      <c r="N222" s="25"/>
    </row>
    <row r="223" spans="1:14">
      <c r="A223" s="3" t="s">
        <v>404</v>
      </c>
      <c r="B223" s="10" t="s">
        <v>405</v>
      </c>
      <c r="C223" s="5"/>
      <c r="D223" s="5">
        <f t="shared" si="8"/>
        <v>0</v>
      </c>
      <c r="E223" s="6">
        <f t="shared" si="9"/>
        <v>0</v>
      </c>
      <c r="F223" s="6">
        <f t="shared" si="10"/>
        <v>0</v>
      </c>
      <c r="G223" s="62"/>
      <c r="H223" s="62"/>
      <c r="I223" s="60"/>
      <c r="J223" s="60"/>
      <c r="K223" s="64"/>
      <c r="L223" s="64"/>
      <c r="M223" s="25"/>
      <c r="N223" s="25"/>
    </row>
    <row r="224" spans="1:14">
      <c r="A224" s="3" t="s">
        <v>406</v>
      </c>
      <c r="B224" s="10" t="s">
        <v>407</v>
      </c>
      <c r="C224" s="5"/>
      <c r="D224" s="5">
        <f t="shared" si="8"/>
        <v>0</v>
      </c>
      <c r="E224" s="6">
        <f t="shared" si="9"/>
        <v>0</v>
      </c>
      <c r="F224" s="6">
        <f t="shared" si="10"/>
        <v>0</v>
      </c>
      <c r="G224" s="62"/>
      <c r="H224" s="62"/>
      <c r="I224" s="60"/>
      <c r="J224" s="60"/>
      <c r="K224" s="64"/>
      <c r="L224" s="64"/>
      <c r="M224" s="25"/>
      <c r="N224" s="25"/>
    </row>
    <row r="225" spans="1:14">
      <c r="A225" s="3" t="s">
        <v>408</v>
      </c>
      <c r="B225" s="10" t="s">
        <v>409</v>
      </c>
      <c r="C225" s="5"/>
      <c r="D225" s="5">
        <f t="shared" si="8"/>
        <v>0</v>
      </c>
      <c r="E225" s="6">
        <f t="shared" si="9"/>
        <v>0</v>
      </c>
      <c r="F225" s="6">
        <f t="shared" si="10"/>
        <v>0</v>
      </c>
      <c r="G225" s="62"/>
      <c r="H225" s="62"/>
      <c r="I225" s="60"/>
      <c r="J225" s="60"/>
      <c r="K225" s="64"/>
      <c r="L225" s="64"/>
      <c r="M225" s="25"/>
      <c r="N225" s="25"/>
    </row>
    <row r="226" spans="1:14">
      <c r="A226" s="3" t="s">
        <v>410</v>
      </c>
      <c r="B226" s="10" t="s">
        <v>411</v>
      </c>
      <c r="C226" s="5"/>
      <c r="D226" s="5">
        <f t="shared" si="8"/>
        <v>0</v>
      </c>
      <c r="E226" s="6">
        <f t="shared" si="9"/>
        <v>0</v>
      </c>
      <c r="F226" s="6">
        <f t="shared" si="10"/>
        <v>0</v>
      </c>
      <c r="G226" s="62"/>
      <c r="H226" s="62"/>
      <c r="I226" s="60"/>
      <c r="J226" s="60"/>
      <c r="K226" s="64"/>
      <c r="L226" s="64"/>
      <c r="M226" s="25"/>
      <c r="N226" s="25"/>
    </row>
    <row r="227" spans="1:14">
      <c r="A227" s="3" t="s">
        <v>412</v>
      </c>
      <c r="B227" s="10" t="s">
        <v>413</v>
      </c>
      <c r="C227" s="5"/>
      <c r="D227" s="5">
        <f t="shared" si="8"/>
        <v>0</v>
      </c>
      <c r="E227" s="6">
        <f t="shared" si="9"/>
        <v>0</v>
      </c>
      <c r="F227" s="6">
        <f t="shared" si="10"/>
        <v>0</v>
      </c>
      <c r="G227" s="62"/>
      <c r="H227" s="62"/>
      <c r="I227" s="60"/>
      <c r="J227" s="60"/>
      <c r="K227" s="64"/>
      <c r="L227" s="64"/>
      <c r="M227" s="25"/>
      <c r="N227" s="25"/>
    </row>
    <row r="228" spans="1:14">
      <c r="A228" s="3" t="s">
        <v>414</v>
      </c>
      <c r="B228" s="10" t="s">
        <v>415</v>
      </c>
      <c r="C228" s="5"/>
      <c r="D228" s="5">
        <f t="shared" si="8"/>
        <v>0</v>
      </c>
      <c r="E228" s="6">
        <f t="shared" si="9"/>
        <v>0</v>
      </c>
      <c r="F228" s="6">
        <f t="shared" si="10"/>
        <v>0</v>
      </c>
      <c r="G228" s="62"/>
      <c r="H228" s="62"/>
      <c r="I228" s="60"/>
      <c r="J228" s="60"/>
      <c r="K228" s="64"/>
      <c r="L228" s="64"/>
      <c r="M228" s="25"/>
      <c r="N228" s="25"/>
    </row>
    <row r="229" spans="1:14">
      <c r="A229" s="3" t="s">
        <v>416</v>
      </c>
      <c r="B229" s="10" t="s">
        <v>417</v>
      </c>
      <c r="C229" s="5"/>
      <c r="D229" s="5">
        <f t="shared" si="8"/>
        <v>0</v>
      </c>
      <c r="E229" s="6">
        <f t="shared" si="9"/>
        <v>0</v>
      </c>
      <c r="F229" s="6">
        <f t="shared" si="10"/>
        <v>0</v>
      </c>
      <c r="G229" s="62"/>
      <c r="H229" s="62"/>
      <c r="I229" s="60"/>
      <c r="J229" s="60"/>
      <c r="K229" s="64"/>
      <c r="L229" s="64"/>
      <c r="M229" s="25"/>
      <c r="N229" s="25"/>
    </row>
    <row r="230" spans="1:14">
      <c r="A230" s="3" t="s">
        <v>418</v>
      </c>
      <c r="B230" s="10" t="s">
        <v>419</v>
      </c>
      <c r="C230" s="5"/>
      <c r="D230" s="5">
        <f t="shared" si="8"/>
        <v>0</v>
      </c>
      <c r="E230" s="6">
        <f t="shared" si="9"/>
        <v>0</v>
      </c>
      <c r="F230" s="6">
        <f t="shared" si="10"/>
        <v>0</v>
      </c>
      <c r="G230" s="62"/>
      <c r="H230" s="62"/>
      <c r="I230" s="60"/>
      <c r="J230" s="60"/>
      <c r="K230" s="64"/>
      <c r="L230" s="64"/>
      <c r="M230" s="25"/>
      <c r="N230" s="25"/>
    </row>
    <row r="231" spans="1:14">
      <c r="A231" s="3" t="s">
        <v>420</v>
      </c>
      <c r="B231" s="10" t="s">
        <v>421</v>
      </c>
      <c r="C231" s="5"/>
      <c r="D231" s="5">
        <f t="shared" si="8"/>
        <v>0</v>
      </c>
      <c r="E231" s="6">
        <f t="shared" si="9"/>
        <v>0</v>
      </c>
      <c r="F231" s="6">
        <f t="shared" si="10"/>
        <v>0</v>
      </c>
      <c r="G231" s="62"/>
      <c r="H231" s="62"/>
      <c r="I231" s="60"/>
      <c r="J231" s="60"/>
      <c r="K231" s="64"/>
      <c r="L231" s="64"/>
      <c r="M231" s="25"/>
      <c r="N231" s="25"/>
    </row>
    <row r="232" spans="1:14">
      <c r="A232" s="3" t="s">
        <v>422</v>
      </c>
      <c r="B232" s="10" t="s">
        <v>423</v>
      </c>
      <c r="C232" s="5"/>
      <c r="D232" s="5">
        <f t="shared" si="8"/>
        <v>0</v>
      </c>
      <c r="E232" s="6">
        <f t="shared" si="9"/>
        <v>0</v>
      </c>
      <c r="F232" s="6">
        <f t="shared" si="10"/>
        <v>0</v>
      </c>
      <c r="G232" s="62"/>
      <c r="H232" s="62"/>
      <c r="I232" s="60"/>
      <c r="J232" s="60"/>
      <c r="K232" s="64"/>
      <c r="L232" s="64"/>
      <c r="M232" s="25"/>
      <c r="N232" s="25"/>
    </row>
    <row r="233" spans="1:14">
      <c r="A233" s="3" t="s">
        <v>424</v>
      </c>
      <c r="B233" s="10" t="s">
        <v>425</v>
      </c>
      <c r="C233" s="5"/>
      <c r="D233" s="5">
        <f t="shared" si="8"/>
        <v>0</v>
      </c>
      <c r="E233" s="6">
        <f t="shared" si="9"/>
        <v>0</v>
      </c>
      <c r="F233" s="6">
        <f t="shared" si="10"/>
        <v>0</v>
      </c>
      <c r="G233" s="62"/>
      <c r="H233" s="62"/>
      <c r="I233" s="60"/>
      <c r="J233" s="60"/>
      <c r="K233" s="64"/>
      <c r="L233" s="64"/>
      <c r="M233" s="25"/>
      <c r="N233" s="25"/>
    </row>
    <row r="234" spans="1:14">
      <c r="A234" s="3" t="s">
        <v>426</v>
      </c>
      <c r="B234" s="10" t="s">
        <v>427</v>
      </c>
      <c r="C234" s="5"/>
      <c r="D234" s="5">
        <f t="shared" si="8"/>
        <v>0</v>
      </c>
      <c r="E234" s="6">
        <f t="shared" si="9"/>
        <v>0</v>
      </c>
      <c r="F234" s="6">
        <f t="shared" si="10"/>
        <v>0</v>
      </c>
      <c r="G234" s="62"/>
      <c r="H234" s="62"/>
      <c r="I234" s="60"/>
      <c r="J234" s="60"/>
      <c r="K234" s="64"/>
      <c r="L234" s="64"/>
      <c r="M234" s="25"/>
      <c r="N234" s="25"/>
    </row>
    <row r="235" spans="1:14">
      <c r="A235" s="3" t="s">
        <v>428</v>
      </c>
      <c r="B235" s="10" t="s">
        <v>429</v>
      </c>
      <c r="C235" s="5"/>
      <c r="D235" s="5">
        <f t="shared" si="8"/>
        <v>0</v>
      </c>
      <c r="E235" s="6">
        <f t="shared" si="9"/>
        <v>0</v>
      </c>
      <c r="F235" s="6">
        <f t="shared" si="10"/>
        <v>0</v>
      </c>
      <c r="G235" s="62"/>
      <c r="H235" s="62"/>
      <c r="I235" s="60"/>
      <c r="J235" s="60"/>
      <c r="K235" s="64"/>
      <c r="L235" s="64"/>
      <c r="M235" s="25"/>
      <c r="N235" s="25"/>
    </row>
    <row r="236" spans="1:14">
      <c r="A236" s="3" t="s">
        <v>430</v>
      </c>
      <c r="B236" s="10" t="s">
        <v>431</v>
      </c>
      <c r="C236" s="5"/>
      <c r="D236" s="5">
        <f t="shared" si="8"/>
        <v>0</v>
      </c>
      <c r="E236" s="6">
        <f t="shared" si="9"/>
        <v>0</v>
      </c>
      <c r="F236" s="6">
        <f t="shared" si="10"/>
        <v>0</v>
      </c>
      <c r="G236" s="62"/>
      <c r="H236" s="62"/>
      <c r="I236" s="60"/>
      <c r="J236" s="60"/>
      <c r="K236" s="64"/>
      <c r="L236" s="64"/>
      <c r="M236" s="25"/>
      <c r="N236" s="25"/>
    </row>
    <row r="237" spans="1:14">
      <c r="A237" s="3" t="s">
        <v>432</v>
      </c>
      <c r="B237" s="10" t="s">
        <v>433</v>
      </c>
      <c r="C237" s="5"/>
      <c r="D237" s="5">
        <f t="shared" si="8"/>
        <v>0</v>
      </c>
      <c r="E237" s="6">
        <f t="shared" si="9"/>
        <v>0</v>
      </c>
      <c r="F237" s="6">
        <f t="shared" si="10"/>
        <v>0</v>
      </c>
      <c r="G237" s="62"/>
      <c r="H237" s="62"/>
      <c r="I237" s="60"/>
      <c r="J237" s="60"/>
      <c r="K237" s="64"/>
      <c r="L237" s="64"/>
      <c r="M237" s="25"/>
      <c r="N237" s="25"/>
    </row>
    <row r="238" spans="1:14">
      <c r="A238" s="3" t="s">
        <v>434</v>
      </c>
      <c r="B238" s="10" t="s">
        <v>435</v>
      </c>
      <c r="C238" s="5"/>
      <c r="D238" s="5">
        <f t="shared" ref="D238:D280" si="11">F238-E238</f>
        <v>0</v>
      </c>
      <c r="E238" s="6">
        <f t="shared" si="9"/>
        <v>0</v>
      </c>
      <c r="F238" s="6">
        <f t="shared" si="10"/>
        <v>0</v>
      </c>
      <c r="G238" s="62"/>
      <c r="H238" s="62"/>
      <c r="I238" s="60"/>
      <c r="J238" s="60"/>
      <c r="K238" s="64"/>
      <c r="L238" s="64"/>
      <c r="M238" s="25"/>
      <c r="N238" s="25"/>
    </row>
    <row r="239" spans="1:14">
      <c r="A239" s="3" t="s">
        <v>436</v>
      </c>
      <c r="B239" s="10" t="s">
        <v>437</v>
      </c>
      <c r="C239" s="5"/>
      <c r="D239" s="5">
        <f t="shared" si="11"/>
        <v>0</v>
      </c>
      <c r="E239" s="6">
        <f t="shared" si="9"/>
        <v>0</v>
      </c>
      <c r="F239" s="6">
        <f t="shared" si="10"/>
        <v>0</v>
      </c>
      <c r="G239" s="62"/>
      <c r="H239" s="62"/>
      <c r="I239" s="60"/>
      <c r="J239" s="60"/>
      <c r="K239" s="64"/>
      <c r="L239" s="64"/>
      <c r="M239" s="25"/>
      <c r="N239" s="25"/>
    </row>
    <row r="240" spans="1:14">
      <c r="A240" s="3" t="s">
        <v>438</v>
      </c>
      <c r="B240" s="10" t="s">
        <v>439</v>
      </c>
      <c r="C240" s="5"/>
      <c r="D240" s="5">
        <f t="shared" si="11"/>
        <v>0</v>
      </c>
      <c r="E240" s="6">
        <f t="shared" si="9"/>
        <v>0</v>
      </c>
      <c r="F240" s="6">
        <f t="shared" si="10"/>
        <v>0</v>
      </c>
      <c r="G240" s="62"/>
      <c r="H240" s="62"/>
      <c r="I240" s="60"/>
      <c r="J240" s="60"/>
      <c r="K240" s="64"/>
      <c r="L240" s="64"/>
      <c r="M240" s="25"/>
      <c r="N240" s="25"/>
    </row>
    <row r="241" spans="1:14">
      <c r="A241" s="3" t="s">
        <v>440</v>
      </c>
      <c r="B241" s="10" t="s">
        <v>441</v>
      </c>
      <c r="C241" s="5"/>
      <c r="D241" s="5">
        <f t="shared" si="11"/>
        <v>0</v>
      </c>
      <c r="E241" s="6">
        <f t="shared" si="9"/>
        <v>0</v>
      </c>
      <c r="F241" s="6">
        <f t="shared" si="10"/>
        <v>0</v>
      </c>
      <c r="G241" s="62"/>
      <c r="H241" s="62"/>
      <c r="I241" s="60"/>
      <c r="J241" s="60"/>
      <c r="K241" s="64"/>
      <c r="L241" s="64"/>
      <c r="M241" s="25"/>
      <c r="N241" s="25"/>
    </row>
    <row r="242" spans="1:14">
      <c r="A242" s="3" t="s">
        <v>442</v>
      </c>
      <c r="B242" s="10" t="s">
        <v>443</v>
      </c>
      <c r="C242" s="5"/>
      <c r="D242" s="5">
        <f t="shared" si="11"/>
        <v>0</v>
      </c>
      <c r="E242" s="6">
        <f t="shared" si="9"/>
        <v>0</v>
      </c>
      <c r="F242" s="6">
        <f t="shared" si="10"/>
        <v>0</v>
      </c>
      <c r="G242" s="62"/>
      <c r="H242" s="62"/>
      <c r="I242" s="60"/>
      <c r="J242" s="60"/>
      <c r="K242" s="64"/>
      <c r="L242" s="64"/>
      <c r="M242" s="25"/>
      <c r="N242" s="25"/>
    </row>
    <row r="243" spans="1:14">
      <c r="A243" s="3" t="s">
        <v>444</v>
      </c>
      <c r="B243" s="10" t="s">
        <v>445</v>
      </c>
      <c r="C243" s="5"/>
      <c r="D243" s="5">
        <f t="shared" si="11"/>
        <v>0</v>
      </c>
      <c r="E243" s="6">
        <f t="shared" si="9"/>
        <v>0</v>
      </c>
      <c r="F243" s="6">
        <f t="shared" si="10"/>
        <v>0</v>
      </c>
      <c r="G243" s="62"/>
      <c r="H243" s="62"/>
      <c r="I243" s="60"/>
      <c r="J243" s="60"/>
      <c r="K243" s="64"/>
      <c r="L243" s="64"/>
      <c r="M243" s="25"/>
      <c r="N243" s="25"/>
    </row>
    <row r="244" spans="1:14">
      <c r="A244" s="3" t="s">
        <v>446</v>
      </c>
      <c r="B244" s="10" t="s">
        <v>447</v>
      </c>
      <c r="C244" s="5"/>
      <c r="D244" s="5">
        <f t="shared" si="11"/>
        <v>0</v>
      </c>
      <c r="E244" s="6">
        <f t="shared" si="9"/>
        <v>0</v>
      </c>
      <c r="F244" s="6">
        <f t="shared" si="10"/>
        <v>0</v>
      </c>
      <c r="G244" s="62"/>
      <c r="H244" s="62"/>
      <c r="I244" s="60"/>
      <c r="J244" s="60"/>
      <c r="K244" s="64"/>
      <c r="L244" s="64"/>
      <c r="M244" s="25"/>
      <c r="N244" s="25"/>
    </row>
    <row r="245" spans="1:14">
      <c r="A245" s="3" t="s">
        <v>448</v>
      </c>
      <c r="B245" s="10" t="s">
        <v>449</v>
      </c>
      <c r="C245" s="5"/>
      <c r="D245" s="5">
        <f t="shared" si="11"/>
        <v>0</v>
      </c>
      <c r="E245" s="6">
        <f t="shared" si="9"/>
        <v>0</v>
      </c>
      <c r="F245" s="6">
        <f t="shared" si="10"/>
        <v>0</v>
      </c>
      <c r="G245" s="62"/>
      <c r="H245" s="62"/>
      <c r="I245" s="60"/>
      <c r="J245" s="60"/>
      <c r="K245" s="64"/>
      <c r="L245" s="64"/>
      <c r="M245" s="25"/>
      <c r="N245" s="25"/>
    </row>
    <row r="246" spans="1:14">
      <c r="A246" s="3" t="s">
        <v>450</v>
      </c>
      <c r="B246" s="10" t="s">
        <v>451</v>
      </c>
      <c r="C246" s="5"/>
      <c r="D246" s="5">
        <f t="shared" si="11"/>
        <v>0</v>
      </c>
      <c r="E246" s="6">
        <f t="shared" si="9"/>
        <v>0</v>
      </c>
      <c r="F246" s="6">
        <f t="shared" si="10"/>
        <v>0</v>
      </c>
      <c r="G246" s="62"/>
      <c r="H246" s="62"/>
      <c r="I246" s="60"/>
      <c r="J246" s="60"/>
      <c r="K246" s="64"/>
      <c r="L246" s="64"/>
      <c r="M246" s="25"/>
      <c r="N246" s="25"/>
    </row>
    <row r="247" spans="1:14">
      <c r="A247" s="3" t="s">
        <v>452</v>
      </c>
      <c r="B247" s="10" t="s">
        <v>453</v>
      </c>
      <c r="C247" s="5"/>
      <c r="D247" s="5">
        <f t="shared" si="11"/>
        <v>0</v>
      </c>
      <c r="E247" s="6">
        <f t="shared" si="9"/>
        <v>0</v>
      </c>
      <c r="F247" s="6">
        <f t="shared" si="10"/>
        <v>0</v>
      </c>
      <c r="G247" s="62"/>
      <c r="H247" s="62"/>
      <c r="I247" s="60"/>
      <c r="J247" s="60"/>
      <c r="K247" s="64"/>
      <c r="L247" s="64"/>
      <c r="M247" s="25"/>
      <c r="N247" s="25"/>
    </row>
    <row r="248" spans="1:14">
      <c r="A248" s="3" t="s">
        <v>454</v>
      </c>
      <c r="B248" s="10" t="s">
        <v>455</v>
      </c>
      <c r="C248" s="5"/>
      <c r="D248" s="5">
        <f t="shared" si="11"/>
        <v>0</v>
      </c>
      <c r="E248" s="6">
        <f t="shared" si="9"/>
        <v>0</v>
      </c>
      <c r="F248" s="6">
        <f t="shared" si="10"/>
        <v>0</v>
      </c>
      <c r="G248" s="62"/>
      <c r="H248" s="62"/>
      <c r="I248" s="60"/>
      <c r="J248" s="60"/>
      <c r="K248" s="64"/>
      <c r="L248" s="64"/>
      <c r="M248" s="25"/>
      <c r="N248" s="25"/>
    </row>
    <row r="249" spans="1:14">
      <c r="A249" s="3" t="s">
        <v>456</v>
      </c>
      <c r="B249" s="10" t="s">
        <v>457</v>
      </c>
      <c r="C249" s="5"/>
      <c r="D249" s="5">
        <f t="shared" si="11"/>
        <v>0</v>
      </c>
      <c r="E249" s="6">
        <f t="shared" si="9"/>
        <v>0</v>
      </c>
      <c r="F249" s="6">
        <f t="shared" si="10"/>
        <v>0</v>
      </c>
      <c r="G249" s="62"/>
      <c r="H249" s="62"/>
      <c r="I249" s="60"/>
      <c r="J249" s="60"/>
      <c r="K249" s="64"/>
      <c r="L249" s="64"/>
      <c r="M249" s="25"/>
      <c r="N249" s="25"/>
    </row>
    <row r="250" spans="1:14">
      <c r="A250" s="3" t="s">
        <v>458</v>
      </c>
      <c r="B250" s="10" t="s">
        <v>459</v>
      </c>
      <c r="C250" s="5"/>
      <c r="D250" s="5">
        <f t="shared" si="11"/>
        <v>0</v>
      </c>
      <c r="E250" s="6">
        <f t="shared" si="9"/>
        <v>0</v>
      </c>
      <c r="F250" s="6">
        <f t="shared" si="10"/>
        <v>0</v>
      </c>
      <c r="G250" s="62"/>
      <c r="H250" s="62"/>
      <c r="I250" s="60"/>
      <c r="J250" s="60"/>
      <c r="K250" s="64"/>
      <c r="L250" s="64"/>
      <c r="M250" s="25"/>
      <c r="N250" s="25"/>
    </row>
    <row r="251" spans="1:14">
      <c r="A251" s="3" t="s">
        <v>460</v>
      </c>
      <c r="B251" s="10" t="s">
        <v>461</v>
      </c>
      <c r="C251" s="5"/>
      <c r="D251" s="5">
        <f t="shared" si="11"/>
        <v>0</v>
      </c>
      <c r="E251" s="6">
        <f t="shared" si="9"/>
        <v>0</v>
      </c>
      <c r="F251" s="6">
        <f t="shared" si="10"/>
        <v>0</v>
      </c>
      <c r="G251" s="62"/>
      <c r="H251" s="62"/>
      <c r="I251" s="60"/>
      <c r="J251" s="60"/>
      <c r="K251" s="64"/>
      <c r="L251" s="64"/>
      <c r="M251" s="25"/>
      <c r="N251" s="25"/>
    </row>
    <row r="252" spans="1:14">
      <c r="A252" s="3" t="s">
        <v>462</v>
      </c>
      <c r="B252" s="10" t="s">
        <v>463</v>
      </c>
      <c r="C252" s="5"/>
      <c r="D252" s="5">
        <f t="shared" si="11"/>
        <v>0</v>
      </c>
      <c r="E252" s="6">
        <f t="shared" si="9"/>
        <v>0</v>
      </c>
      <c r="F252" s="6">
        <f t="shared" si="10"/>
        <v>0</v>
      </c>
      <c r="G252" s="62"/>
      <c r="H252" s="62"/>
      <c r="I252" s="60"/>
      <c r="J252" s="60"/>
      <c r="K252" s="64"/>
      <c r="L252" s="64"/>
      <c r="M252" s="25"/>
      <c r="N252" s="25"/>
    </row>
    <row r="253" spans="1:14">
      <c r="A253" s="3" t="s">
        <v>464</v>
      </c>
      <c r="B253" s="10" t="s">
        <v>465</v>
      </c>
      <c r="C253" s="5"/>
      <c r="D253" s="5">
        <f t="shared" si="11"/>
        <v>0</v>
      </c>
      <c r="E253" s="6">
        <f t="shared" si="9"/>
        <v>0</v>
      </c>
      <c r="F253" s="6">
        <f t="shared" si="10"/>
        <v>0</v>
      </c>
      <c r="G253" s="62"/>
      <c r="H253" s="62"/>
      <c r="I253" s="60"/>
      <c r="J253" s="60"/>
      <c r="K253" s="64"/>
      <c r="L253" s="64"/>
      <c r="M253" s="25"/>
      <c r="N253" s="25"/>
    </row>
    <row r="254" spans="1:14">
      <c r="A254" s="3" t="s">
        <v>466</v>
      </c>
      <c r="B254" s="10" t="s">
        <v>467</v>
      </c>
      <c r="C254" s="5"/>
      <c r="D254" s="5">
        <f t="shared" si="11"/>
        <v>0</v>
      </c>
      <c r="E254" s="6">
        <f t="shared" si="9"/>
        <v>0</v>
      </c>
      <c r="F254" s="6">
        <f t="shared" si="10"/>
        <v>0</v>
      </c>
      <c r="G254" s="62"/>
      <c r="H254" s="62"/>
      <c r="I254" s="60"/>
      <c r="J254" s="60"/>
      <c r="K254" s="64"/>
      <c r="L254" s="64"/>
      <c r="M254" s="25"/>
      <c r="N254" s="25"/>
    </row>
    <row r="255" spans="1:14">
      <c r="A255" s="3" t="s">
        <v>468</v>
      </c>
      <c r="B255" s="10" t="s">
        <v>469</v>
      </c>
      <c r="C255" s="5"/>
      <c r="D255" s="5">
        <f t="shared" si="11"/>
        <v>0</v>
      </c>
      <c r="E255" s="6">
        <f t="shared" si="9"/>
        <v>0</v>
      </c>
      <c r="F255" s="6">
        <f t="shared" si="10"/>
        <v>0</v>
      </c>
      <c r="G255" s="62"/>
      <c r="H255" s="62"/>
      <c r="I255" s="60"/>
      <c r="J255" s="60"/>
      <c r="K255" s="64"/>
      <c r="L255" s="64"/>
      <c r="M255" s="25"/>
      <c r="N255" s="25"/>
    </row>
    <row r="256" spans="1:14">
      <c r="A256" s="3" t="s">
        <v>470</v>
      </c>
      <c r="B256" s="10" t="s">
        <v>471</v>
      </c>
      <c r="C256" s="5"/>
      <c r="D256" s="5">
        <f t="shared" si="11"/>
        <v>0</v>
      </c>
      <c r="E256" s="6">
        <f t="shared" si="9"/>
        <v>0</v>
      </c>
      <c r="F256" s="6">
        <f t="shared" si="10"/>
        <v>0</v>
      </c>
      <c r="G256" s="62"/>
      <c r="H256" s="62"/>
      <c r="I256" s="60"/>
      <c r="J256" s="60"/>
      <c r="K256" s="64"/>
      <c r="L256" s="64"/>
      <c r="M256" s="25"/>
      <c r="N256" s="25"/>
    </row>
    <row r="257" spans="1:14">
      <c r="A257" s="3" t="s">
        <v>472</v>
      </c>
      <c r="B257" s="10" t="s">
        <v>473</v>
      </c>
      <c r="C257" s="5"/>
      <c r="D257" s="5">
        <f t="shared" si="11"/>
        <v>0</v>
      </c>
      <c r="E257" s="6">
        <f t="shared" si="9"/>
        <v>0</v>
      </c>
      <c r="F257" s="6">
        <f t="shared" si="10"/>
        <v>0</v>
      </c>
      <c r="G257" s="62"/>
      <c r="H257" s="62"/>
      <c r="I257" s="60"/>
      <c r="J257" s="60"/>
      <c r="K257" s="64"/>
      <c r="L257" s="64"/>
      <c r="M257" s="25"/>
      <c r="N257" s="25"/>
    </row>
    <row r="258" spans="1:14">
      <c r="A258" s="3" t="s">
        <v>474</v>
      </c>
      <c r="B258" s="10" t="s">
        <v>475</v>
      </c>
      <c r="C258" s="5"/>
      <c r="D258" s="5">
        <f t="shared" si="11"/>
        <v>0</v>
      </c>
      <c r="E258" s="6">
        <f t="shared" si="9"/>
        <v>0</v>
      </c>
      <c r="F258" s="6">
        <f t="shared" si="10"/>
        <v>0</v>
      </c>
      <c r="G258" s="62"/>
      <c r="H258" s="62"/>
      <c r="I258" s="60"/>
      <c r="J258" s="60"/>
      <c r="K258" s="64"/>
      <c r="L258" s="64"/>
      <c r="M258" s="25"/>
      <c r="N258" s="25"/>
    </row>
    <row r="259" spans="1:14">
      <c r="A259" s="3" t="s">
        <v>476</v>
      </c>
      <c r="B259" s="10" t="s">
        <v>477</v>
      </c>
      <c r="C259" s="5"/>
      <c r="D259" s="5">
        <f t="shared" si="11"/>
        <v>0</v>
      </c>
      <c r="E259" s="6">
        <f t="shared" si="9"/>
        <v>0</v>
      </c>
      <c r="F259" s="6">
        <f t="shared" si="10"/>
        <v>0</v>
      </c>
      <c r="G259" s="62"/>
      <c r="H259" s="62"/>
      <c r="I259" s="60"/>
      <c r="J259" s="60"/>
      <c r="K259" s="64"/>
      <c r="L259" s="64"/>
      <c r="M259" s="25"/>
      <c r="N259" s="25"/>
    </row>
    <row r="260" spans="1:14">
      <c r="A260" s="3" t="s">
        <v>478</v>
      </c>
      <c r="B260" s="10" t="s">
        <v>479</v>
      </c>
      <c r="C260" s="5"/>
      <c r="D260" s="5">
        <f t="shared" si="11"/>
        <v>0</v>
      </c>
      <c r="E260" s="6">
        <f t="shared" si="9"/>
        <v>0</v>
      </c>
      <c r="F260" s="6">
        <f t="shared" si="10"/>
        <v>0</v>
      </c>
      <c r="G260" s="62"/>
      <c r="H260" s="62"/>
      <c r="I260" s="60"/>
      <c r="J260" s="60"/>
      <c r="K260" s="64"/>
      <c r="L260" s="64"/>
      <c r="M260" s="25"/>
      <c r="N260" s="25"/>
    </row>
    <row r="261" spans="1:14">
      <c r="A261" s="3" t="s">
        <v>480</v>
      </c>
      <c r="B261" s="10" t="s">
        <v>481</v>
      </c>
      <c r="C261" s="5"/>
      <c r="D261" s="5">
        <f t="shared" si="11"/>
        <v>0</v>
      </c>
      <c r="E261" s="6">
        <f t="shared" si="9"/>
        <v>0</v>
      </c>
      <c r="F261" s="6">
        <f t="shared" si="10"/>
        <v>0</v>
      </c>
      <c r="G261" s="62"/>
      <c r="H261" s="62"/>
      <c r="I261" s="60"/>
      <c r="J261" s="60"/>
      <c r="K261" s="64"/>
      <c r="L261" s="64"/>
      <c r="M261" s="25"/>
      <c r="N261" s="25"/>
    </row>
    <row r="262" spans="1:14">
      <c r="A262" s="3" t="s">
        <v>482</v>
      </c>
      <c r="B262" s="10" t="s">
        <v>483</v>
      </c>
      <c r="C262" s="5"/>
      <c r="D262" s="5">
        <f t="shared" si="11"/>
        <v>0</v>
      </c>
      <c r="E262" s="6">
        <f t="shared" si="9"/>
        <v>0</v>
      </c>
      <c r="F262" s="6">
        <f t="shared" si="10"/>
        <v>0</v>
      </c>
      <c r="G262" s="62"/>
      <c r="H262" s="62"/>
      <c r="I262" s="60"/>
      <c r="J262" s="60"/>
      <c r="K262" s="64"/>
      <c r="L262" s="64"/>
      <c r="M262" s="25"/>
      <c r="N262" s="25"/>
    </row>
    <row r="263" spans="1:14">
      <c r="A263" s="3" t="s">
        <v>484</v>
      </c>
      <c r="B263" s="10" t="s">
        <v>485</v>
      </c>
      <c r="C263" s="5"/>
      <c r="D263" s="5">
        <f t="shared" si="11"/>
        <v>0</v>
      </c>
      <c r="E263" s="6">
        <f t="shared" si="9"/>
        <v>0</v>
      </c>
      <c r="F263" s="6">
        <f t="shared" si="10"/>
        <v>0</v>
      </c>
      <c r="G263" s="62"/>
      <c r="H263" s="62"/>
      <c r="I263" s="60"/>
      <c r="J263" s="60"/>
      <c r="K263" s="64"/>
      <c r="L263" s="64"/>
      <c r="M263" s="25"/>
      <c r="N263" s="25"/>
    </row>
    <row r="264" spans="1:14">
      <c r="A264" s="3" t="s">
        <v>486</v>
      </c>
      <c r="B264" s="10" t="s">
        <v>487</v>
      </c>
      <c r="C264" s="5"/>
      <c r="D264" s="5">
        <f t="shared" si="11"/>
        <v>0</v>
      </c>
      <c r="E264" s="6">
        <f t="shared" si="9"/>
        <v>0</v>
      </c>
      <c r="F264" s="6">
        <f t="shared" si="10"/>
        <v>0</v>
      </c>
      <c r="G264" s="62"/>
      <c r="H264" s="62"/>
      <c r="I264" s="60"/>
      <c r="J264" s="60"/>
      <c r="K264" s="64"/>
      <c r="L264" s="64"/>
      <c r="M264" s="25"/>
      <c r="N264" s="25"/>
    </row>
    <row r="265" spans="1:14">
      <c r="A265" s="3" t="s">
        <v>488</v>
      </c>
      <c r="B265" s="10" t="s">
        <v>489</v>
      </c>
      <c r="C265" s="5"/>
      <c r="D265" s="5">
        <f t="shared" si="11"/>
        <v>0</v>
      </c>
      <c r="E265" s="6">
        <f t="shared" si="9"/>
        <v>0</v>
      </c>
      <c r="F265" s="6">
        <f t="shared" si="10"/>
        <v>0</v>
      </c>
      <c r="G265" s="62"/>
      <c r="H265" s="62"/>
      <c r="I265" s="60"/>
      <c r="J265" s="60"/>
      <c r="K265" s="64"/>
      <c r="L265" s="64"/>
      <c r="M265" s="25"/>
      <c r="N265" s="25"/>
    </row>
    <row r="266" spans="1:14">
      <c r="A266" s="3" t="s">
        <v>490</v>
      </c>
      <c r="B266" s="10" t="s">
        <v>491</v>
      </c>
      <c r="C266" s="5"/>
      <c r="D266" s="5">
        <f t="shared" si="11"/>
        <v>0</v>
      </c>
      <c r="E266" s="6">
        <f t="shared" si="9"/>
        <v>0</v>
      </c>
      <c r="F266" s="6">
        <f t="shared" si="10"/>
        <v>0</v>
      </c>
      <c r="G266" s="62"/>
      <c r="H266" s="62"/>
      <c r="I266" s="60"/>
      <c r="J266" s="60"/>
      <c r="K266" s="64"/>
      <c r="L266" s="64"/>
      <c r="M266" s="25"/>
      <c r="N266" s="25"/>
    </row>
    <row r="267" spans="1:14">
      <c r="A267" s="3" t="s">
        <v>492</v>
      </c>
      <c r="B267" s="10" t="s">
        <v>493</v>
      </c>
      <c r="C267" s="5"/>
      <c r="D267" s="5">
        <f t="shared" si="11"/>
        <v>0</v>
      </c>
      <c r="E267" s="6">
        <f t="shared" si="9"/>
        <v>0</v>
      </c>
      <c r="F267" s="6">
        <f t="shared" si="10"/>
        <v>0</v>
      </c>
      <c r="G267" s="62"/>
      <c r="H267" s="62"/>
      <c r="I267" s="60"/>
      <c r="J267" s="60"/>
      <c r="K267" s="64"/>
      <c r="L267" s="64"/>
      <c r="M267" s="25"/>
      <c r="N267" s="25"/>
    </row>
    <row r="268" spans="1:14">
      <c r="A268" s="3" t="s">
        <v>494</v>
      </c>
      <c r="B268" s="10" t="s">
        <v>495</v>
      </c>
      <c r="C268" s="5"/>
      <c r="D268" s="5">
        <f t="shared" si="11"/>
        <v>0</v>
      </c>
      <c r="E268" s="6">
        <f t="shared" si="9"/>
        <v>0</v>
      </c>
      <c r="F268" s="6">
        <f t="shared" si="10"/>
        <v>0</v>
      </c>
      <c r="G268" s="62"/>
      <c r="H268" s="62"/>
      <c r="I268" s="60"/>
      <c r="J268" s="60"/>
      <c r="K268" s="64"/>
      <c r="L268" s="64"/>
      <c r="M268" s="25"/>
      <c r="N268" s="25"/>
    </row>
    <row r="269" spans="1:14">
      <c r="A269" s="3" t="s">
        <v>496</v>
      </c>
      <c r="B269" s="10" t="s">
        <v>497</v>
      </c>
      <c r="C269" s="5"/>
      <c r="D269" s="5">
        <f t="shared" si="11"/>
        <v>0</v>
      </c>
      <c r="E269" s="6">
        <f t="shared" si="9"/>
        <v>0</v>
      </c>
      <c r="F269" s="6">
        <f t="shared" si="10"/>
        <v>0</v>
      </c>
      <c r="G269" s="62"/>
      <c r="H269" s="62"/>
      <c r="I269" s="60"/>
      <c r="J269" s="60"/>
      <c r="K269" s="64"/>
      <c r="L269" s="64"/>
      <c r="M269" s="25"/>
      <c r="N269" s="25"/>
    </row>
    <row r="270" spans="1:14">
      <c r="A270" s="3" t="s">
        <v>498</v>
      </c>
      <c r="B270" s="10" t="s">
        <v>499</v>
      </c>
      <c r="C270" s="5"/>
      <c r="D270" s="5">
        <f t="shared" si="11"/>
        <v>0</v>
      </c>
      <c r="E270" s="6">
        <f t="shared" ref="E270:E333" si="12">SUM(G270,I270,K270,M270)</f>
        <v>0</v>
      </c>
      <c r="F270" s="6">
        <f t="shared" ref="F270:F333" si="13">SUM(H270,J270,L270,N270)</f>
        <v>0</v>
      </c>
      <c r="G270" s="62"/>
      <c r="H270" s="62"/>
      <c r="I270" s="60"/>
      <c r="J270" s="60"/>
      <c r="K270" s="64"/>
      <c r="L270" s="64"/>
      <c r="M270" s="25"/>
      <c r="N270" s="25"/>
    </row>
    <row r="271" spans="1:14">
      <c r="A271" s="3" t="s">
        <v>500</v>
      </c>
      <c r="B271" s="10" t="s">
        <v>501</v>
      </c>
      <c r="C271" s="5"/>
      <c r="D271" s="5">
        <f t="shared" si="11"/>
        <v>0</v>
      </c>
      <c r="E271" s="6">
        <f t="shared" si="12"/>
        <v>0</v>
      </c>
      <c r="F271" s="6">
        <f t="shared" si="13"/>
        <v>0</v>
      </c>
      <c r="G271" s="62"/>
      <c r="H271" s="62"/>
      <c r="I271" s="60"/>
      <c r="J271" s="60"/>
      <c r="K271" s="64"/>
      <c r="L271" s="64"/>
      <c r="M271" s="25"/>
      <c r="N271" s="25"/>
    </row>
    <row r="272" spans="1:14">
      <c r="A272" s="3" t="s">
        <v>502</v>
      </c>
      <c r="B272" s="10" t="s">
        <v>503</v>
      </c>
      <c r="C272" s="5"/>
      <c r="D272" s="5">
        <f t="shared" si="11"/>
        <v>0</v>
      </c>
      <c r="E272" s="6">
        <f t="shared" si="12"/>
        <v>0</v>
      </c>
      <c r="F272" s="6">
        <f t="shared" si="13"/>
        <v>0</v>
      </c>
      <c r="G272" s="62"/>
      <c r="H272" s="62"/>
      <c r="I272" s="60"/>
      <c r="J272" s="60"/>
      <c r="K272" s="64"/>
      <c r="L272" s="64"/>
      <c r="M272" s="25"/>
      <c r="N272" s="25"/>
    </row>
    <row r="273" spans="1:14">
      <c r="A273" s="3" t="s">
        <v>504</v>
      </c>
      <c r="B273" s="10" t="s">
        <v>505</v>
      </c>
      <c r="C273" s="5"/>
      <c r="D273" s="5">
        <f t="shared" si="11"/>
        <v>0</v>
      </c>
      <c r="E273" s="6">
        <f t="shared" si="12"/>
        <v>0</v>
      </c>
      <c r="F273" s="6">
        <f t="shared" si="13"/>
        <v>0</v>
      </c>
      <c r="G273" s="62"/>
      <c r="H273" s="62"/>
      <c r="I273" s="60"/>
      <c r="J273" s="60"/>
      <c r="K273" s="64"/>
      <c r="L273" s="64"/>
      <c r="M273" s="25"/>
      <c r="N273" s="25"/>
    </row>
    <row r="274" spans="1:14">
      <c r="A274" s="3" t="s">
        <v>506</v>
      </c>
      <c r="B274" s="10" t="s">
        <v>507</v>
      </c>
      <c r="C274" s="5"/>
      <c r="D274" s="5">
        <f t="shared" si="11"/>
        <v>0</v>
      </c>
      <c r="E274" s="6">
        <f t="shared" si="12"/>
        <v>0</v>
      </c>
      <c r="F274" s="6">
        <f t="shared" si="13"/>
        <v>0</v>
      </c>
      <c r="G274" s="62"/>
      <c r="H274" s="62"/>
      <c r="I274" s="60"/>
      <c r="J274" s="60"/>
      <c r="K274" s="64"/>
      <c r="L274" s="64"/>
      <c r="M274" s="25"/>
      <c r="N274" s="25"/>
    </row>
    <row r="275" spans="1:14">
      <c r="A275" s="3" t="s">
        <v>508</v>
      </c>
      <c r="B275" s="10" t="s">
        <v>509</v>
      </c>
      <c r="C275" s="5"/>
      <c r="D275" s="5">
        <f t="shared" si="11"/>
        <v>0</v>
      </c>
      <c r="E275" s="6">
        <f t="shared" si="12"/>
        <v>0</v>
      </c>
      <c r="F275" s="6">
        <f t="shared" si="13"/>
        <v>0</v>
      </c>
      <c r="G275" s="62"/>
      <c r="H275" s="62"/>
      <c r="I275" s="60"/>
      <c r="J275" s="60"/>
      <c r="K275" s="64"/>
      <c r="L275" s="64"/>
      <c r="M275" s="25"/>
      <c r="N275" s="25"/>
    </row>
    <row r="276" spans="1:14">
      <c r="A276" s="3" t="s">
        <v>510</v>
      </c>
      <c r="B276" s="10" t="s">
        <v>511</v>
      </c>
      <c r="C276" s="5"/>
      <c r="D276" s="5">
        <f t="shared" si="11"/>
        <v>0</v>
      </c>
      <c r="E276" s="6">
        <f t="shared" si="12"/>
        <v>0</v>
      </c>
      <c r="F276" s="6">
        <f t="shared" si="13"/>
        <v>0</v>
      </c>
      <c r="G276" s="62"/>
      <c r="H276" s="62"/>
      <c r="I276" s="60"/>
      <c r="J276" s="60"/>
      <c r="K276" s="64"/>
      <c r="L276" s="64"/>
      <c r="M276" s="25"/>
      <c r="N276" s="25"/>
    </row>
    <row r="277" spans="1:14">
      <c r="A277" s="3" t="s">
        <v>512</v>
      </c>
      <c r="B277" s="10" t="s">
        <v>513</v>
      </c>
      <c r="C277" s="5"/>
      <c r="D277" s="5">
        <f t="shared" si="11"/>
        <v>0</v>
      </c>
      <c r="E277" s="6">
        <f t="shared" si="12"/>
        <v>0</v>
      </c>
      <c r="F277" s="6">
        <f t="shared" si="13"/>
        <v>0</v>
      </c>
      <c r="G277" s="62"/>
      <c r="H277" s="62"/>
      <c r="I277" s="60"/>
      <c r="J277" s="60"/>
      <c r="K277" s="64"/>
      <c r="L277" s="64"/>
      <c r="M277" s="25"/>
      <c r="N277" s="25"/>
    </row>
    <row r="278" spans="1:14">
      <c r="A278" s="3" t="s">
        <v>514</v>
      </c>
      <c r="B278" s="10" t="s">
        <v>515</v>
      </c>
      <c r="C278" s="5"/>
      <c r="D278" s="5">
        <f t="shared" si="11"/>
        <v>0</v>
      </c>
      <c r="E278" s="6">
        <f t="shared" si="12"/>
        <v>0</v>
      </c>
      <c r="F278" s="6">
        <f t="shared" si="13"/>
        <v>0</v>
      </c>
      <c r="G278" s="62"/>
      <c r="H278" s="62"/>
      <c r="I278" s="60"/>
      <c r="J278" s="60"/>
      <c r="K278" s="64"/>
      <c r="L278" s="64"/>
      <c r="M278" s="25"/>
      <c r="N278" s="25"/>
    </row>
    <row r="279" spans="1:14">
      <c r="A279" s="3" t="s">
        <v>516</v>
      </c>
      <c r="B279" s="10" t="s">
        <v>517</v>
      </c>
      <c r="C279" s="5"/>
      <c r="D279" s="5">
        <f t="shared" si="11"/>
        <v>0</v>
      </c>
      <c r="E279" s="6">
        <f t="shared" si="12"/>
        <v>0</v>
      </c>
      <c r="F279" s="6">
        <f t="shared" si="13"/>
        <v>0</v>
      </c>
      <c r="G279" s="62"/>
      <c r="H279" s="62"/>
      <c r="I279" s="60"/>
      <c r="J279" s="60"/>
      <c r="K279" s="64"/>
      <c r="L279" s="64"/>
      <c r="M279" s="25"/>
      <c r="N279" s="25"/>
    </row>
    <row r="280" spans="1:14">
      <c r="A280" s="3" t="s">
        <v>518</v>
      </c>
      <c r="B280" s="10" t="s">
        <v>519</v>
      </c>
      <c r="C280" s="5"/>
      <c r="D280" s="5">
        <f t="shared" si="11"/>
        <v>0</v>
      </c>
      <c r="E280" s="6">
        <f t="shared" si="12"/>
        <v>0</v>
      </c>
      <c r="F280" s="6">
        <f t="shared" si="13"/>
        <v>0</v>
      </c>
      <c r="G280" s="62"/>
      <c r="H280" s="62"/>
      <c r="I280" s="60"/>
      <c r="J280" s="60"/>
      <c r="K280" s="64"/>
      <c r="L280" s="64"/>
      <c r="M280" s="25"/>
      <c r="N280" s="25"/>
    </row>
    <row r="281" spans="1:14">
      <c r="A281" s="3" t="s">
        <v>520</v>
      </c>
      <c r="B281" s="4" t="s">
        <v>521</v>
      </c>
      <c r="C281" s="5">
        <f t="shared" ref="C281:C344" si="14">E281-F281</f>
        <v>0</v>
      </c>
      <c r="D281" s="5"/>
      <c r="E281" s="6">
        <f t="shared" si="12"/>
        <v>0</v>
      </c>
      <c r="F281" s="6">
        <f t="shared" si="13"/>
        <v>0</v>
      </c>
      <c r="G281" s="62"/>
      <c r="H281" s="62"/>
      <c r="I281" s="60"/>
      <c r="J281" s="60"/>
      <c r="K281" s="64"/>
      <c r="L281" s="64"/>
      <c r="M281" s="25"/>
      <c r="N281" s="25"/>
    </row>
    <row r="282" spans="1:14">
      <c r="A282" s="3" t="s">
        <v>522</v>
      </c>
      <c r="B282" s="4" t="s">
        <v>523</v>
      </c>
      <c r="C282" s="5">
        <f t="shared" si="14"/>
        <v>0</v>
      </c>
      <c r="D282" s="5"/>
      <c r="E282" s="6">
        <f t="shared" si="12"/>
        <v>0</v>
      </c>
      <c r="F282" s="6">
        <f t="shared" si="13"/>
        <v>0</v>
      </c>
      <c r="G282" s="62"/>
      <c r="H282" s="62"/>
      <c r="I282" s="60"/>
      <c r="J282" s="60"/>
      <c r="K282" s="64"/>
      <c r="L282" s="64"/>
      <c r="M282" s="25"/>
      <c r="N282" s="25"/>
    </row>
    <row r="283" spans="1:14">
      <c r="A283" s="3" t="s">
        <v>524</v>
      </c>
      <c r="B283" s="4" t="s">
        <v>525</v>
      </c>
      <c r="C283" s="5">
        <f t="shared" si="14"/>
        <v>0</v>
      </c>
      <c r="D283" s="5"/>
      <c r="E283" s="6">
        <f t="shared" si="12"/>
        <v>0</v>
      </c>
      <c r="F283" s="6">
        <f t="shared" si="13"/>
        <v>0</v>
      </c>
      <c r="G283" s="62"/>
      <c r="H283" s="62"/>
      <c r="I283" s="60"/>
      <c r="J283" s="60"/>
      <c r="K283" s="64"/>
      <c r="L283" s="64"/>
      <c r="M283" s="25"/>
      <c r="N283" s="25"/>
    </row>
    <row r="284" spans="1:14">
      <c r="A284" s="3" t="s">
        <v>526</v>
      </c>
      <c r="B284" s="4" t="s">
        <v>527</v>
      </c>
      <c r="C284" s="5">
        <f t="shared" si="14"/>
        <v>0</v>
      </c>
      <c r="D284" s="5"/>
      <c r="E284" s="6">
        <f t="shared" si="12"/>
        <v>0</v>
      </c>
      <c r="F284" s="6">
        <f t="shared" si="13"/>
        <v>0</v>
      </c>
      <c r="G284" s="62"/>
      <c r="H284" s="62"/>
      <c r="I284" s="60"/>
      <c r="J284" s="60"/>
      <c r="K284" s="64"/>
      <c r="L284" s="64"/>
      <c r="M284" s="25"/>
      <c r="N284" s="25"/>
    </row>
    <row r="285" spans="1:14">
      <c r="A285" s="3" t="s">
        <v>528</v>
      </c>
      <c r="B285" s="4" t="s">
        <v>529</v>
      </c>
      <c r="C285" s="5">
        <f t="shared" si="14"/>
        <v>0</v>
      </c>
      <c r="D285" s="5"/>
      <c r="E285" s="6">
        <f t="shared" si="12"/>
        <v>0</v>
      </c>
      <c r="F285" s="6">
        <f t="shared" si="13"/>
        <v>0</v>
      </c>
      <c r="G285" s="62"/>
      <c r="H285" s="62"/>
      <c r="I285" s="60"/>
      <c r="J285" s="60"/>
      <c r="K285" s="64"/>
      <c r="L285" s="64"/>
      <c r="M285" s="25"/>
      <c r="N285" s="25"/>
    </row>
    <row r="286" spans="1:14">
      <c r="A286" s="3" t="s">
        <v>530</v>
      </c>
      <c r="B286" s="4" t="s">
        <v>531</v>
      </c>
      <c r="C286" s="5">
        <f t="shared" si="14"/>
        <v>0</v>
      </c>
      <c r="D286" s="5"/>
      <c r="E286" s="6">
        <f t="shared" si="12"/>
        <v>0</v>
      </c>
      <c r="F286" s="6">
        <f t="shared" si="13"/>
        <v>0</v>
      </c>
      <c r="G286" s="62"/>
      <c r="H286" s="62"/>
      <c r="I286" s="60"/>
      <c r="J286" s="60"/>
      <c r="K286" s="64"/>
      <c r="L286" s="64"/>
      <c r="M286" s="25"/>
      <c r="N286" s="25"/>
    </row>
    <row r="287" spans="1:14">
      <c r="A287" s="3" t="s">
        <v>532</v>
      </c>
      <c r="B287" s="4" t="s">
        <v>533</v>
      </c>
      <c r="C287" s="5">
        <f t="shared" si="14"/>
        <v>0</v>
      </c>
      <c r="D287" s="5"/>
      <c r="E287" s="6">
        <f t="shared" si="12"/>
        <v>0</v>
      </c>
      <c r="F287" s="6">
        <f t="shared" si="13"/>
        <v>0</v>
      </c>
      <c r="G287" s="62"/>
      <c r="H287" s="62"/>
      <c r="I287" s="60"/>
      <c r="J287" s="60"/>
      <c r="K287" s="64"/>
      <c r="L287" s="64"/>
      <c r="M287" s="25"/>
      <c r="N287" s="25"/>
    </row>
    <row r="288" spans="1:14">
      <c r="A288" s="3" t="s">
        <v>534</v>
      </c>
      <c r="B288" s="4" t="s">
        <v>535</v>
      </c>
      <c r="C288" s="5">
        <f t="shared" si="14"/>
        <v>0</v>
      </c>
      <c r="D288" s="5"/>
      <c r="E288" s="6">
        <f t="shared" si="12"/>
        <v>0</v>
      </c>
      <c r="F288" s="6">
        <f t="shared" si="13"/>
        <v>0</v>
      </c>
      <c r="G288" s="62"/>
      <c r="H288" s="62"/>
      <c r="I288" s="60"/>
      <c r="J288" s="60"/>
      <c r="K288" s="64"/>
      <c r="L288" s="64"/>
      <c r="M288" s="25"/>
      <c r="N288" s="25"/>
    </row>
    <row r="289" spans="1:14">
      <c r="A289" s="3" t="s">
        <v>536</v>
      </c>
      <c r="B289" s="4" t="s">
        <v>537</v>
      </c>
      <c r="C289" s="5">
        <f t="shared" si="14"/>
        <v>0</v>
      </c>
      <c r="D289" s="5"/>
      <c r="E289" s="6">
        <f t="shared" si="12"/>
        <v>0</v>
      </c>
      <c r="F289" s="6">
        <f t="shared" si="13"/>
        <v>0</v>
      </c>
      <c r="G289" s="62"/>
      <c r="H289" s="62"/>
      <c r="I289" s="60"/>
      <c r="J289" s="60"/>
      <c r="K289" s="64"/>
      <c r="L289" s="64"/>
      <c r="M289" s="25"/>
      <c r="N289" s="25"/>
    </row>
    <row r="290" spans="1:14">
      <c r="A290" s="3" t="s">
        <v>538</v>
      </c>
      <c r="B290" s="4" t="s">
        <v>539</v>
      </c>
      <c r="C290" s="5">
        <f t="shared" si="14"/>
        <v>0</v>
      </c>
      <c r="D290" s="5"/>
      <c r="E290" s="6">
        <f t="shared" si="12"/>
        <v>0</v>
      </c>
      <c r="F290" s="6">
        <f t="shared" si="13"/>
        <v>0</v>
      </c>
      <c r="G290" s="62"/>
      <c r="H290" s="62"/>
      <c r="I290" s="60"/>
      <c r="J290" s="60"/>
      <c r="K290" s="64"/>
      <c r="L290" s="64"/>
      <c r="M290" s="25"/>
      <c r="N290" s="25"/>
    </row>
    <row r="291" spans="1:14">
      <c r="A291" s="3" t="s">
        <v>540</v>
      </c>
      <c r="B291" s="4" t="s">
        <v>541</v>
      </c>
      <c r="C291" s="5">
        <f t="shared" si="14"/>
        <v>0</v>
      </c>
      <c r="D291" s="5"/>
      <c r="E291" s="6">
        <f t="shared" si="12"/>
        <v>0</v>
      </c>
      <c r="F291" s="6">
        <f t="shared" si="13"/>
        <v>0</v>
      </c>
      <c r="G291" s="62"/>
      <c r="H291" s="62"/>
      <c r="I291" s="60"/>
      <c r="J291" s="60"/>
      <c r="K291" s="64"/>
      <c r="L291" s="64"/>
      <c r="M291" s="25"/>
      <c r="N291" s="25"/>
    </row>
    <row r="292" spans="1:14">
      <c r="A292" s="3" t="s">
        <v>542</v>
      </c>
      <c r="B292" s="4" t="s">
        <v>543</v>
      </c>
      <c r="C292" s="5">
        <f t="shared" si="14"/>
        <v>0</v>
      </c>
      <c r="D292" s="5"/>
      <c r="E292" s="6">
        <f t="shared" si="12"/>
        <v>0</v>
      </c>
      <c r="F292" s="6">
        <f t="shared" si="13"/>
        <v>0</v>
      </c>
      <c r="G292" s="62"/>
      <c r="H292" s="62"/>
      <c r="I292" s="60"/>
      <c r="J292" s="60"/>
      <c r="K292" s="64"/>
      <c r="L292" s="64"/>
      <c r="M292" s="25"/>
      <c r="N292" s="25"/>
    </row>
    <row r="293" spans="1:14">
      <c r="A293" s="3" t="s">
        <v>544</v>
      </c>
      <c r="B293" s="4" t="s">
        <v>545</v>
      </c>
      <c r="C293" s="5">
        <f t="shared" si="14"/>
        <v>0</v>
      </c>
      <c r="D293" s="5"/>
      <c r="E293" s="6">
        <f t="shared" si="12"/>
        <v>0</v>
      </c>
      <c r="F293" s="6">
        <f t="shared" si="13"/>
        <v>0</v>
      </c>
      <c r="G293" s="62"/>
      <c r="H293" s="62"/>
      <c r="I293" s="60"/>
      <c r="J293" s="60"/>
      <c r="K293" s="64"/>
      <c r="L293" s="64"/>
      <c r="M293" s="25"/>
      <c r="N293" s="25"/>
    </row>
    <row r="294" spans="1:14">
      <c r="A294" s="3" t="s">
        <v>546</v>
      </c>
      <c r="B294" s="4" t="s">
        <v>547</v>
      </c>
      <c r="C294" s="5">
        <f t="shared" si="14"/>
        <v>0</v>
      </c>
      <c r="D294" s="5"/>
      <c r="E294" s="6">
        <f t="shared" si="12"/>
        <v>0</v>
      </c>
      <c r="F294" s="6">
        <f t="shared" si="13"/>
        <v>0</v>
      </c>
      <c r="G294" s="62"/>
      <c r="H294" s="62"/>
      <c r="I294" s="60"/>
      <c r="J294" s="60"/>
      <c r="K294" s="64"/>
      <c r="L294" s="64"/>
      <c r="M294" s="25"/>
      <c r="N294" s="25"/>
    </row>
    <row r="295" spans="1:14">
      <c r="A295" s="3" t="s">
        <v>548</v>
      </c>
      <c r="B295" s="4" t="s">
        <v>549</v>
      </c>
      <c r="C295" s="5">
        <f t="shared" si="14"/>
        <v>0</v>
      </c>
      <c r="D295" s="5"/>
      <c r="E295" s="6">
        <f t="shared" si="12"/>
        <v>0</v>
      </c>
      <c r="F295" s="6">
        <f t="shared" si="13"/>
        <v>0</v>
      </c>
      <c r="G295" s="62"/>
      <c r="H295" s="62"/>
      <c r="I295" s="60"/>
      <c r="J295" s="60"/>
      <c r="K295" s="64"/>
      <c r="L295" s="64"/>
      <c r="M295" s="25"/>
      <c r="N295" s="25"/>
    </row>
    <row r="296" spans="1:14">
      <c r="A296" s="3" t="s">
        <v>550</v>
      </c>
      <c r="B296" s="4" t="s">
        <v>551</v>
      </c>
      <c r="C296" s="5">
        <f t="shared" si="14"/>
        <v>0</v>
      </c>
      <c r="D296" s="5"/>
      <c r="E296" s="6">
        <f t="shared" si="12"/>
        <v>0</v>
      </c>
      <c r="F296" s="6">
        <f t="shared" si="13"/>
        <v>0</v>
      </c>
      <c r="G296" s="62"/>
      <c r="H296" s="62"/>
      <c r="I296" s="60"/>
      <c r="J296" s="60"/>
      <c r="K296" s="64"/>
      <c r="L296" s="64"/>
      <c r="M296" s="25"/>
      <c r="N296" s="25"/>
    </row>
    <row r="297" spans="1:14">
      <c r="A297" s="3" t="s">
        <v>552</v>
      </c>
      <c r="B297" s="4" t="s">
        <v>553</v>
      </c>
      <c r="C297" s="5">
        <f t="shared" si="14"/>
        <v>0</v>
      </c>
      <c r="D297" s="5"/>
      <c r="E297" s="6">
        <f t="shared" si="12"/>
        <v>0</v>
      </c>
      <c r="F297" s="6">
        <f t="shared" si="13"/>
        <v>0</v>
      </c>
      <c r="G297" s="62"/>
      <c r="H297" s="62"/>
      <c r="I297" s="60"/>
      <c r="J297" s="60"/>
      <c r="K297" s="64"/>
      <c r="L297" s="64"/>
      <c r="M297" s="25"/>
      <c r="N297" s="25"/>
    </row>
    <row r="298" spans="1:14">
      <c r="A298" s="3" t="s">
        <v>554</v>
      </c>
      <c r="B298" s="4" t="s">
        <v>555</v>
      </c>
      <c r="C298" s="5">
        <f t="shared" si="14"/>
        <v>0</v>
      </c>
      <c r="D298" s="5"/>
      <c r="E298" s="6">
        <f t="shared" si="12"/>
        <v>0</v>
      </c>
      <c r="F298" s="6">
        <f t="shared" si="13"/>
        <v>0</v>
      </c>
      <c r="G298" s="62"/>
      <c r="H298" s="62"/>
      <c r="I298" s="60"/>
      <c r="J298" s="60"/>
      <c r="K298" s="64"/>
      <c r="L298" s="64"/>
      <c r="M298" s="25"/>
      <c r="N298" s="25"/>
    </row>
    <row r="299" spans="1:14">
      <c r="A299" s="3" t="s">
        <v>556</v>
      </c>
      <c r="B299" s="4" t="s">
        <v>557</v>
      </c>
      <c r="C299" s="5">
        <f t="shared" si="14"/>
        <v>0</v>
      </c>
      <c r="D299" s="5"/>
      <c r="E299" s="6">
        <f t="shared" si="12"/>
        <v>0</v>
      </c>
      <c r="F299" s="6">
        <f t="shared" si="13"/>
        <v>0</v>
      </c>
      <c r="G299" s="62"/>
      <c r="H299" s="62"/>
      <c r="I299" s="60"/>
      <c r="J299" s="60"/>
      <c r="K299" s="64"/>
      <c r="L299" s="64"/>
      <c r="M299" s="25"/>
      <c r="N299" s="25"/>
    </row>
    <row r="300" spans="1:14">
      <c r="A300" s="3" t="s">
        <v>558</v>
      </c>
      <c r="B300" s="4" t="s">
        <v>559</v>
      </c>
      <c r="C300" s="5">
        <f t="shared" si="14"/>
        <v>0</v>
      </c>
      <c r="D300" s="5"/>
      <c r="E300" s="6">
        <f t="shared" si="12"/>
        <v>0</v>
      </c>
      <c r="F300" s="6">
        <f t="shared" si="13"/>
        <v>0</v>
      </c>
      <c r="G300" s="62"/>
      <c r="H300" s="62"/>
      <c r="I300" s="60"/>
      <c r="J300" s="60"/>
      <c r="K300" s="64"/>
      <c r="L300" s="64"/>
      <c r="M300" s="25"/>
      <c r="N300" s="25"/>
    </row>
    <row r="301" spans="1:14">
      <c r="A301" s="3" t="s">
        <v>560</v>
      </c>
      <c r="B301" s="4" t="s">
        <v>561</v>
      </c>
      <c r="C301" s="5">
        <f t="shared" si="14"/>
        <v>0</v>
      </c>
      <c r="D301" s="5"/>
      <c r="E301" s="6">
        <f t="shared" si="12"/>
        <v>0</v>
      </c>
      <c r="F301" s="6">
        <f t="shared" si="13"/>
        <v>0</v>
      </c>
      <c r="G301" s="62"/>
      <c r="H301" s="62"/>
      <c r="I301" s="60"/>
      <c r="J301" s="60"/>
      <c r="K301" s="64"/>
      <c r="L301" s="64"/>
      <c r="M301" s="25"/>
      <c r="N301" s="25"/>
    </row>
    <row r="302" spans="1:14">
      <c r="A302" s="3" t="s">
        <v>562</v>
      </c>
      <c r="B302" s="4" t="s">
        <v>563</v>
      </c>
      <c r="C302" s="5">
        <f t="shared" si="14"/>
        <v>0</v>
      </c>
      <c r="D302" s="5"/>
      <c r="E302" s="6">
        <f t="shared" si="12"/>
        <v>0</v>
      </c>
      <c r="F302" s="6">
        <f t="shared" si="13"/>
        <v>0</v>
      </c>
      <c r="G302" s="62"/>
      <c r="H302" s="62"/>
      <c r="I302" s="60"/>
      <c r="J302" s="60"/>
      <c r="K302" s="64"/>
      <c r="L302" s="64"/>
      <c r="M302" s="25"/>
      <c r="N302" s="25"/>
    </row>
    <row r="303" spans="1:14">
      <c r="A303" s="3" t="s">
        <v>564</v>
      </c>
      <c r="B303" s="4" t="s">
        <v>565</v>
      </c>
      <c r="C303" s="5">
        <f t="shared" si="14"/>
        <v>0</v>
      </c>
      <c r="D303" s="5"/>
      <c r="E303" s="6">
        <f t="shared" si="12"/>
        <v>0</v>
      </c>
      <c r="F303" s="6">
        <f t="shared" si="13"/>
        <v>0</v>
      </c>
      <c r="G303" s="62"/>
      <c r="H303" s="62"/>
      <c r="I303" s="60"/>
      <c r="J303" s="60"/>
      <c r="K303" s="64"/>
      <c r="L303" s="64"/>
      <c r="M303" s="25"/>
      <c r="N303" s="25"/>
    </row>
    <row r="304" spans="1:14">
      <c r="A304" s="3" t="s">
        <v>566</v>
      </c>
      <c r="B304" s="4" t="s">
        <v>567</v>
      </c>
      <c r="C304" s="5">
        <f t="shared" si="14"/>
        <v>0</v>
      </c>
      <c r="D304" s="5"/>
      <c r="E304" s="6">
        <f t="shared" si="12"/>
        <v>0</v>
      </c>
      <c r="F304" s="6">
        <f t="shared" si="13"/>
        <v>0</v>
      </c>
      <c r="G304" s="62"/>
      <c r="H304" s="62"/>
      <c r="I304" s="60"/>
      <c r="J304" s="60"/>
      <c r="K304" s="64"/>
      <c r="L304" s="64"/>
      <c r="M304" s="25"/>
      <c r="N304" s="25"/>
    </row>
    <row r="305" spans="1:14">
      <c r="A305" s="3" t="s">
        <v>568</v>
      </c>
      <c r="B305" s="4" t="s">
        <v>569</v>
      </c>
      <c r="C305" s="5">
        <f t="shared" si="14"/>
        <v>0</v>
      </c>
      <c r="D305" s="5"/>
      <c r="E305" s="6">
        <f t="shared" si="12"/>
        <v>0</v>
      </c>
      <c r="F305" s="6">
        <f t="shared" si="13"/>
        <v>0</v>
      </c>
      <c r="G305" s="62"/>
      <c r="H305" s="62"/>
      <c r="I305" s="60"/>
      <c r="J305" s="60"/>
      <c r="K305" s="64"/>
      <c r="L305" s="64"/>
      <c r="M305" s="25"/>
      <c r="N305" s="25"/>
    </row>
    <row r="306" spans="1:14">
      <c r="A306" s="3" t="s">
        <v>570</v>
      </c>
      <c r="B306" s="4" t="s">
        <v>571</v>
      </c>
      <c r="C306" s="5">
        <f t="shared" si="14"/>
        <v>0</v>
      </c>
      <c r="D306" s="5"/>
      <c r="E306" s="6">
        <f t="shared" si="12"/>
        <v>0</v>
      </c>
      <c r="F306" s="6">
        <f t="shared" si="13"/>
        <v>0</v>
      </c>
      <c r="G306" s="62"/>
      <c r="H306" s="62"/>
      <c r="I306" s="60"/>
      <c r="J306" s="60"/>
      <c r="K306" s="64"/>
      <c r="L306" s="64"/>
      <c r="M306" s="25"/>
      <c r="N306" s="25"/>
    </row>
    <row r="307" spans="1:14">
      <c r="A307" s="3" t="s">
        <v>572</v>
      </c>
      <c r="B307" s="4" t="s">
        <v>573</v>
      </c>
      <c r="C307" s="5">
        <f t="shared" si="14"/>
        <v>0</v>
      </c>
      <c r="D307" s="5"/>
      <c r="E307" s="6">
        <f t="shared" si="12"/>
        <v>0</v>
      </c>
      <c r="F307" s="6">
        <f t="shared" si="13"/>
        <v>0</v>
      </c>
      <c r="G307" s="62"/>
      <c r="H307" s="62"/>
      <c r="I307" s="60"/>
      <c r="J307" s="60"/>
      <c r="K307" s="64"/>
      <c r="L307" s="64"/>
      <c r="M307" s="25"/>
      <c r="N307" s="25"/>
    </row>
    <row r="308" spans="1:14">
      <c r="A308" s="3" t="s">
        <v>574</v>
      </c>
      <c r="B308" s="4" t="s">
        <v>575</v>
      </c>
      <c r="C308" s="5">
        <f t="shared" si="14"/>
        <v>0</v>
      </c>
      <c r="D308" s="5"/>
      <c r="E308" s="6">
        <f t="shared" si="12"/>
        <v>0</v>
      </c>
      <c r="F308" s="6">
        <f t="shared" si="13"/>
        <v>0</v>
      </c>
      <c r="G308" s="62"/>
      <c r="H308" s="62"/>
      <c r="I308" s="60"/>
      <c r="J308" s="60"/>
      <c r="K308" s="64"/>
      <c r="L308" s="64"/>
      <c r="M308" s="25"/>
      <c r="N308" s="25"/>
    </row>
    <row r="309" spans="1:14">
      <c r="A309" s="3" t="s">
        <v>576</v>
      </c>
      <c r="B309" s="4" t="s">
        <v>577</v>
      </c>
      <c r="C309" s="5">
        <f t="shared" si="14"/>
        <v>0</v>
      </c>
      <c r="D309" s="5"/>
      <c r="E309" s="6">
        <f t="shared" si="12"/>
        <v>0</v>
      </c>
      <c r="F309" s="6">
        <f t="shared" si="13"/>
        <v>0</v>
      </c>
      <c r="G309" s="62"/>
      <c r="H309" s="62"/>
      <c r="I309" s="60"/>
      <c r="J309" s="60"/>
      <c r="K309" s="64"/>
      <c r="L309" s="64"/>
      <c r="M309" s="25"/>
      <c r="N309" s="25"/>
    </row>
    <row r="310" spans="1:14">
      <c r="A310" s="3" t="s">
        <v>578</v>
      </c>
      <c r="B310" s="4" t="s">
        <v>579</v>
      </c>
      <c r="C310" s="5">
        <f t="shared" si="14"/>
        <v>0</v>
      </c>
      <c r="D310" s="5"/>
      <c r="E310" s="6">
        <f t="shared" si="12"/>
        <v>0</v>
      </c>
      <c r="F310" s="6">
        <f t="shared" si="13"/>
        <v>0</v>
      </c>
      <c r="G310" s="62"/>
      <c r="H310" s="62"/>
      <c r="I310" s="60"/>
      <c r="J310" s="60"/>
      <c r="K310" s="64"/>
      <c r="L310" s="64"/>
      <c r="M310" s="25"/>
      <c r="N310" s="25"/>
    </row>
    <row r="311" spans="1:14">
      <c r="A311" s="3" t="s">
        <v>580</v>
      </c>
      <c r="B311" s="4" t="s">
        <v>581</v>
      </c>
      <c r="C311" s="5">
        <f t="shared" si="14"/>
        <v>0</v>
      </c>
      <c r="D311" s="5"/>
      <c r="E311" s="6">
        <f t="shared" si="12"/>
        <v>0</v>
      </c>
      <c r="F311" s="6">
        <f t="shared" si="13"/>
        <v>0</v>
      </c>
      <c r="G311" s="62"/>
      <c r="H311" s="62"/>
      <c r="I311" s="60"/>
      <c r="J311" s="60"/>
      <c r="K311" s="64"/>
      <c r="L311" s="64"/>
      <c r="M311" s="25"/>
      <c r="N311" s="25"/>
    </row>
    <row r="312" spans="1:14">
      <c r="A312" s="3" t="s">
        <v>582</v>
      </c>
      <c r="B312" s="4" t="s">
        <v>583</v>
      </c>
      <c r="C312" s="5">
        <f t="shared" si="14"/>
        <v>0</v>
      </c>
      <c r="D312" s="5"/>
      <c r="E312" s="6">
        <f t="shared" si="12"/>
        <v>0</v>
      </c>
      <c r="F312" s="6">
        <f t="shared" si="13"/>
        <v>0</v>
      </c>
      <c r="G312" s="62"/>
      <c r="H312" s="62"/>
      <c r="I312" s="60"/>
      <c r="J312" s="60"/>
      <c r="K312" s="64"/>
      <c r="L312" s="64"/>
      <c r="M312" s="25"/>
      <c r="N312" s="25"/>
    </row>
    <row r="313" spans="1:14">
      <c r="A313" s="3" t="s">
        <v>584</v>
      </c>
      <c r="B313" s="4" t="s">
        <v>585</v>
      </c>
      <c r="C313" s="5">
        <f t="shared" si="14"/>
        <v>0</v>
      </c>
      <c r="D313" s="5"/>
      <c r="E313" s="6">
        <f t="shared" si="12"/>
        <v>0</v>
      </c>
      <c r="F313" s="6">
        <f t="shared" si="13"/>
        <v>0</v>
      </c>
      <c r="G313" s="62"/>
      <c r="H313" s="62"/>
      <c r="I313" s="60"/>
      <c r="J313" s="60"/>
      <c r="K313" s="64"/>
      <c r="L313" s="64"/>
      <c r="M313" s="25"/>
      <c r="N313" s="25"/>
    </row>
    <row r="314" spans="1:14">
      <c r="A314" s="3" t="s">
        <v>586</v>
      </c>
      <c r="B314" s="4" t="s">
        <v>587</v>
      </c>
      <c r="C314" s="5">
        <f t="shared" si="14"/>
        <v>0</v>
      </c>
      <c r="D314" s="5"/>
      <c r="E314" s="6">
        <f t="shared" si="12"/>
        <v>0</v>
      </c>
      <c r="F314" s="6">
        <f t="shared" si="13"/>
        <v>0</v>
      </c>
      <c r="G314" s="62"/>
      <c r="H314" s="62"/>
      <c r="I314" s="60"/>
      <c r="J314" s="60"/>
      <c r="K314" s="64"/>
      <c r="L314" s="64"/>
      <c r="M314" s="25"/>
      <c r="N314" s="25"/>
    </row>
    <row r="315" spans="1:14">
      <c r="A315" s="3" t="s">
        <v>588</v>
      </c>
      <c r="B315" s="4" t="s">
        <v>589</v>
      </c>
      <c r="C315" s="5">
        <f t="shared" si="14"/>
        <v>0</v>
      </c>
      <c r="D315" s="5"/>
      <c r="E315" s="6">
        <f t="shared" si="12"/>
        <v>0</v>
      </c>
      <c r="F315" s="6">
        <f t="shared" si="13"/>
        <v>0</v>
      </c>
      <c r="G315" s="62"/>
      <c r="H315" s="62"/>
      <c r="I315" s="60"/>
      <c r="J315" s="60"/>
      <c r="K315" s="64"/>
      <c r="L315" s="64"/>
      <c r="M315" s="25"/>
      <c r="N315" s="25"/>
    </row>
    <row r="316" spans="1:14">
      <c r="A316" s="3" t="s">
        <v>590</v>
      </c>
      <c r="B316" s="4" t="s">
        <v>591</v>
      </c>
      <c r="C316" s="5">
        <f t="shared" si="14"/>
        <v>0</v>
      </c>
      <c r="D316" s="5"/>
      <c r="E316" s="6">
        <f t="shared" si="12"/>
        <v>0</v>
      </c>
      <c r="F316" s="6">
        <f t="shared" si="13"/>
        <v>0</v>
      </c>
      <c r="G316" s="62"/>
      <c r="H316" s="62"/>
      <c r="I316" s="60"/>
      <c r="J316" s="60"/>
      <c r="K316" s="64"/>
      <c r="L316" s="64"/>
      <c r="M316" s="25"/>
      <c r="N316" s="25"/>
    </row>
    <row r="317" spans="1:14">
      <c r="A317" s="3" t="s">
        <v>592</v>
      </c>
      <c r="B317" s="4" t="s">
        <v>593</v>
      </c>
      <c r="C317" s="5">
        <f t="shared" si="14"/>
        <v>0</v>
      </c>
      <c r="D317" s="5"/>
      <c r="E317" s="6">
        <f t="shared" si="12"/>
        <v>0</v>
      </c>
      <c r="F317" s="6">
        <f t="shared" si="13"/>
        <v>0</v>
      </c>
      <c r="G317" s="62"/>
      <c r="H317" s="62"/>
      <c r="I317" s="60"/>
      <c r="J317" s="60"/>
      <c r="K317" s="64"/>
      <c r="L317" s="64"/>
      <c r="M317" s="25"/>
      <c r="N317" s="25"/>
    </row>
    <row r="318" spans="1:14">
      <c r="A318" s="3" t="s">
        <v>594</v>
      </c>
      <c r="B318" s="4" t="s">
        <v>595</v>
      </c>
      <c r="C318" s="5">
        <f t="shared" si="14"/>
        <v>0</v>
      </c>
      <c r="D318" s="5"/>
      <c r="E318" s="6">
        <f t="shared" si="12"/>
        <v>0</v>
      </c>
      <c r="F318" s="6">
        <f t="shared" si="13"/>
        <v>0</v>
      </c>
      <c r="G318" s="62"/>
      <c r="H318" s="62"/>
      <c r="I318" s="60"/>
      <c r="J318" s="60"/>
      <c r="K318" s="64"/>
      <c r="L318" s="64"/>
      <c r="M318" s="25"/>
      <c r="N318" s="25"/>
    </row>
    <row r="319" spans="1:14">
      <c r="A319" s="3" t="s">
        <v>596</v>
      </c>
      <c r="B319" s="4" t="s">
        <v>597</v>
      </c>
      <c r="C319" s="5">
        <f t="shared" si="14"/>
        <v>0</v>
      </c>
      <c r="D319" s="5"/>
      <c r="E319" s="6">
        <f t="shared" si="12"/>
        <v>0</v>
      </c>
      <c r="F319" s="6">
        <f t="shared" si="13"/>
        <v>0</v>
      </c>
      <c r="G319" s="62"/>
      <c r="H319" s="62"/>
      <c r="I319" s="60"/>
      <c r="J319" s="60"/>
      <c r="K319" s="64"/>
      <c r="L319" s="64"/>
      <c r="M319" s="25"/>
      <c r="N319" s="25"/>
    </row>
    <row r="320" spans="1:14">
      <c r="A320" s="3" t="s">
        <v>598</v>
      </c>
      <c r="B320" s="4" t="s">
        <v>599</v>
      </c>
      <c r="C320" s="5">
        <f t="shared" si="14"/>
        <v>0</v>
      </c>
      <c r="D320" s="5"/>
      <c r="E320" s="6">
        <f t="shared" si="12"/>
        <v>0</v>
      </c>
      <c r="F320" s="6">
        <f t="shared" si="13"/>
        <v>0</v>
      </c>
      <c r="G320" s="62"/>
      <c r="H320" s="62"/>
      <c r="I320" s="60"/>
      <c r="J320" s="60"/>
      <c r="K320" s="64"/>
      <c r="L320" s="64"/>
      <c r="M320" s="25"/>
      <c r="N320" s="25"/>
    </row>
    <row r="321" spans="1:14">
      <c r="A321" s="3" t="s">
        <v>600</v>
      </c>
      <c r="B321" s="4" t="s">
        <v>601</v>
      </c>
      <c r="C321" s="5">
        <f t="shared" si="14"/>
        <v>0</v>
      </c>
      <c r="D321" s="5"/>
      <c r="E321" s="6">
        <f t="shared" si="12"/>
        <v>0</v>
      </c>
      <c r="F321" s="6">
        <f t="shared" si="13"/>
        <v>0</v>
      </c>
      <c r="G321" s="62"/>
      <c r="H321" s="62"/>
      <c r="I321" s="60"/>
      <c r="J321" s="60"/>
      <c r="K321" s="64"/>
      <c r="L321" s="64"/>
      <c r="M321" s="25"/>
      <c r="N321" s="25"/>
    </row>
    <row r="322" spans="1:14">
      <c r="A322" s="3" t="s">
        <v>602</v>
      </c>
      <c r="B322" s="4" t="s">
        <v>603</v>
      </c>
      <c r="C322" s="5">
        <f t="shared" si="14"/>
        <v>0</v>
      </c>
      <c r="D322" s="5"/>
      <c r="E322" s="6">
        <f t="shared" si="12"/>
        <v>0</v>
      </c>
      <c r="F322" s="6">
        <f t="shared" si="13"/>
        <v>0</v>
      </c>
      <c r="G322" s="62"/>
      <c r="H322" s="62"/>
      <c r="I322" s="60"/>
      <c r="J322" s="60"/>
      <c r="K322" s="64"/>
      <c r="L322" s="64"/>
      <c r="M322" s="25"/>
      <c r="N322" s="25"/>
    </row>
    <row r="323" spans="1:14">
      <c r="A323" s="3" t="s">
        <v>604</v>
      </c>
      <c r="B323" s="4" t="s">
        <v>605</v>
      </c>
      <c r="C323" s="5">
        <f t="shared" si="14"/>
        <v>0</v>
      </c>
      <c r="D323" s="5"/>
      <c r="E323" s="6">
        <f t="shared" si="12"/>
        <v>0</v>
      </c>
      <c r="F323" s="6">
        <f t="shared" si="13"/>
        <v>0</v>
      </c>
      <c r="G323" s="62"/>
      <c r="H323" s="62"/>
      <c r="I323" s="60"/>
      <c r="J323" s="60"/>
      <c r="K323" s="64"/>
      <c r="L323" s="64"/>
      <c r="M323" s="25"/>
      <c r="N323" s="25"/>
    </row>
    <row r="324" spans="1:14" s="70" customFormat="1">
      <c r="A324" s="3" t="s">
        <v>606</v>
      </c>
      <c r="B324" s="4" t="s">
        <v>607</v>
      </c>
      <c r="C324" s="5">
        <f t="shared" si="14"/>
        <v>0</v>
      </c>
      <c r="D324" s="5"/>
      <c r="E324" s="6">
        <f t="shared" si="12"/>
        <v>0</v>
      </c>
      <c r="F324" s="6">
        <f t="shared" si="13"/>
        <v>0</v>
      </c>
      <c r="G324" s="62"/>
      <c r="H324" s="62"/>
      <c r="I324" s="60"/>
      <c r="J324" s="60"/>
      <c r="K324" s="64"/>
      <c r="L324" s="64"/>
      <c r="M324" s="25"/>
      <c r="N324" s="25"/>
    </row>
    <row r="325" spans="1:14" s="70" customFormat="1">
      <c r="A325" s="3" t="s">
        <v>608</v>
      </c>
      <c r="B325" s="4" t="s">
        <v>609</v>
      </c>
      <c r="C325" s="5">
        <f t="shared" si="14"/>
        <v>0</v>
      </c>
      <c r="D325" s="5"/>
      <c r="E325" s="6">
        <f t="shared" si="12"/>
        <v>0</v>
      </c>
      <c r="F325" s="6">
        <f t="shared" si="13"/>
        <v>0</v>
      </c>
      <c r="G325" s="62"/>
      <c r="H325" s="62"/>
      <c r="I325" s="60"/>
      <c r="J325" s="60"/>
      <c r="K325" s="64"/>
      <c r="L325" s="64"/>
      <c r="M325" s="25"/>
      <c r="N325" s="25"/>
    </row>
    <row r="326" spans="1:14" s="70" customFormat="1">
      <c r="A326" s="3" t="s">
        <v>610</v>
      </c>
      <c r="B326" s="4" t="s">
        <v>611</v>
      </c>
      <c r="C326" s="5">
        <f t="shared" si="14"/>
        <v>0</v>
      </c>
      <c r="D326" s="5"/>
      <c r="E326" s="6">
        <f t="shared" si="12"/>
        <v>0</v>
      </c>
      <c r="F326" s="6">
        <f t="shared" si="13"/>
        <v>0</v>
      </c>
      <c r="G326" s="62"/>
      <c r="H326" s="62"/>
      <c r="I326" s="60"/>
      <c r="J326" s="60"/>
      <c r="K326" s="64"/>
      <c r="L326" s="64"/>
      <c r="M326" s="25"/>
      <c r="N326" s="25"/>
    </row>
    <row r="327" spans="1:14" s="70" customFormat="1">
      <c r="A327" s="3" t="s">
        <v>612</v>
      </c>
      <c r="B327" s="4" t="s">
        <v>613</v>
      </c>
      <c r="C327" s="5">
        <f t="shared" si="14"/>
        <v>0</v>
      </c>
      <c r="D327" s="5"/>
      <c r="E327" s="6">
        <f t="shared" si="12"/>
        <v>0</v>
      </c>
      <c r="F327" s="6">
        <f t="shared" si="13"/>
        <v>0</v>
      </c>
      <c r="G327" s="62"/>
      <c r="H327" s="62"/>
      <c r="I327" s="60"/>
      <c r="J327" s="60"/>
      <c r="K327" s="64"/>
      <c r="L327" s="64"/>
      <c r="M327" s="25"/>
      <c r="N327" s="25"/>
    </row>
    <row r="328" spans="1:14" s="1" customFormat="1">
      <c r="A328" s="3" t="s">
        <v>614</v>
      </c>
      <c r="B328" s="4" t="s">
        <v>615</v>
      </c>
      <c r="C328" s="5">
        <f t="shared" si="14"/>
        <v>0</v>
      </c>
      <c r="D328" s="5"/>
      <c r="E328" s="6">
        <f t="shared" si="12"/>
        <v>0</v>
      </c>
      <c r="F328" s="6">
        <f t="shared" si="13"/>
        <v>0</v>
      </c>
      <c r="G328" s="62"/>
      <c r="H328" s="62"/>
      <c r="I328" s="60"/>
      <c r="J328" s="60"/>
      <c r="K328" s="64"/>
      <c r="L328" s="64"/>
      <c r="M328" s="25"/>
      <c r="N328" s="25"/>
    </row>
    <row r="329" spans="1:14" s="70" customFormat="1">
      <c r="A329" s="3" t="s">
        <v>616</v>
      </c>
      <c r="B329" s="4" t="s">
        <v>617</v>
      </c>
      <c r="C329" s="5">
        <f t="shared" si="14"/>
        <v>0</v>
      </c>
      <c r="D329" s="5"/>
      <c r="E329" s="6">
        <f t="shared" si="12"/>
        <v>0</v>
      </c>
      <c r="F329" s="6">
        <f t="shared" si="13"/>
        <v>0</v>
      </c>
      <c r="G329" s="62"/>
      <c r="H329" s="62"/>
      <c r="I329" s="60"/>
      <c r="J329" s="60"/>
      <c r="K329" s="64"/>
      <c r="L329" s="64"/>
      <c r="M329" s="25"/>
      <c r="N329" s="25"/>
    </row>
    <row r="330" spans="1:14" s="70" customFormat="1">
      <c r="A330" s="3" t="s">
        <v>618</v>
      </c>
      <c r="B330" s="4" t="s">
        <v>619</v>
      </c>
      <c r="C330" s="5">
        <f t="shared" si="14"/>
        <v>0</v>
      </c>
      <c r="D330" s="5"/>
      <c r="E330" s="6">
        <f t="shared" si="12"/>
        <v>0</v>
      </c>
      <c r="F330" s="6">
        <f t="shared" si="13"/>
        <v>0</v>
      </c>
      <c r="G330" s="62"/>
      <c r="H330" s="62"/>
      <c r="I330" s="60"/>
      <c r="J330" s="60"/>
      <c r="K330" s="64"/>
      <c r="L330" s="64"/>
      <c r="M330" s="25"/>
      <c r="N330" s="25"/>
    </row>
    <row r="331" spans="1:14" s="70" customFormat="1">
      <c r="A331" s="11" t="s">
        <v>620</v>
      </c>
      <c r="B331" s="12" t="s">
        <v>621</v>
      </c>
      <c r="C331" s="5">
        <f t="shared" si="14"/>
        <v>0</v>
      </c>
      <c r="D331" s="5"/>
      <c r="E331" s="6">
        <f t="shared" si="12"/>
        <v>0</v>
      </c>
      <c r="F331" s="6">
        <f t="shared" si="13"/>
        <v>0</v>
      </c>
      <c r="G331" s="62"/>
      <c r="H331" s="62"/>
      <c r="I331" s="60"/>
      <c r="J331" s="60"/>
      <c r="K331" s="64"/>
      <c r="L331" s="64"/>
      <c r="M331" s="25"/>
      <c r="N331" s="25"/>
    </row>
    <row r="332" spans="1:14" s="70" customFormat="1">
      <c r="A332" s="3" t="s">
        <v>622</v>
      </c>
      <c r="B332" s="4" t="s">
        <v>623</v>
      </c>
      <c r="C332" s="5">
        <f t="shared" si="14"/>
        <v>0</v>
      </c>
      <c r="D332" s="5"/>
      <c r="E332" s="6">
        <f t="shared" si="12"/>
        <v>0</v>
      </c>
      <c r="F332" s="6">
        <f t="shared" si="13"/>
        <v>0</v>
      </c>
      <c r="G332" s="62"/>
      <c r="H332" s="62"/>
      <c r="I332" s="60"/>
      <c r="J332" s="60"/>
      <c r="K332" s="64"/>
      <c r="L332" s="64"/>
      <c r="M332" s="25"/>
      <c r="N332" s="25"/>
    </row>
    <row r="333" spans="1:14" s="70" customFormat="1">
      <c r="A333" s="3" t="s">
        <v>624</v>
      </c>
      <c r="B333" s="4" t="s">
        <v>625</v>
      </c>
      <c r="C333" s="5">
        <f t="shared" si="14"/>
        <v>0</v>
      </c>
      <c r="D333" s="5"/>
      <c r="E333" s="6">
        <f t="shared" si="12"/>
        <v>0</v>
      </c>
      <c r="F333" s="6">
        <f t="shared" si="13"/>
        <v>0</v>
      </c>
      <c r="G333" s="62"/>
      <c r="H333" s="62"/>
      <c r="I333" s="60"/>
      <c r="J333" s="60"/>
      <c r="K333" s="64"/>
      <c r="L333" s="64"/>
      <c r="M333" s="25"/>
      <c r="N333" s="25"/>
    </row>
    <row r="334" spans="1:14">
      <c r="A334" s="3" t="s">
        <v>626</v>
      </c>
      <c r="B334" s="4" t="s">
        <v>627</v>
      </c>
      <c r="C334" s="5">
        <f t="shared" si="14"/>
        <v>0</v>
      </c>
      <c r="D334" s="5"/>
      <c r="E334" s="6">
        <f t="shared" ref="E334:E397" si="15">SUM(G334,I334,K334,M334)</f>
        <v>0</v>
      </c>
      <c r="F334" s="6">
        <f t="shared" ref="F334:F397" si="16">SUM(H334,J334,L334,N334)</f>
        <v>0</v>
      </c>
      <c r="G334" s="62"/>
      <c r="H334" s="62"/>
      <c r="I334" s="60"/>
      <c r="J334" s="60"/>
      <c r="K334" s="64"/>
      <c r="L334" s="64"/>
      <c r="M334" s="25"/>
      <c r="N334" s="25"/>
    </row>
    <row r="335" spans="1:14">
      <c r="A335" s="3" t="s">
        <v>628</v>
      </c>
      <c r="B335" s="4" t="s">
        <v>629</v>
      </c>
      <c r="C335" s="5">
        <f t="shared" si="14"/>
        <v>0</v>
      </c>
      <c r="D335" s="5"/>
      <c r="E335" s="6">
        <f t="shared" si="15"/>
        <v>0</v>
      </c>
      <c r="F335" s="6">
        <f t="shared" si="16"/>
        <v>0</v>
      </c>
      <c r="G335" s="62"/>
      <c r="H335" s="62"/>
      <c r="I335" s="60"/>
      <c r="J335" s="60"/>
      <c r="K335" s="64"/>
      <c r="L335" s="64"/>
      <c r="M335" s="25"/>
      <c r="N335" s="25"/>
    </row>
    <row r="336" spans="1:14">
      <c r="A336" s="3" t="s">
        <v>630</v>
      </c>
      <c r="B336" s="4" t="s">
        <v>631</v>
      </c>
      <c r="C336" s="5">
        <f t="shared" si="14"/>
        <v>0</v>
      </c>
      <c r="D336" s="5"/>
      <c r="E336" s="6">
        <f t="shared" si="15"/>
        <v>0</v>
      </c>
      <c r="F336" s="6">
        <f t="shared" si="16"/>
        <v>0</v>
      </c>
      <c r="G336" s="62"/>
      <c r="H336" s="62"/>
      <c r="I336" s="60"/>
      <c r="J336" s="60"/>
      <c r="K336" s="64"/>
      <c r="L336" s="64"/>
      <c r="M336" s="25"/>
      <c r="N336" s="25"/>
    </row>
    <row r="337" spans="1:14">
      <c r="A337" s="3" t="s">
        <v>632</v>
      </c>
      <c r="B337" s="4" t="s">
        <v>633</v>
      </c>
      <c r="C337" s="5">
        <f t="shared" si="14"/>
        <v>0</v>
      </c>
      <c r="D337" s="5"/>
      <c r="E337" s="6">
        <f t="shared" si="15"/>
        <v>0</v>
      </c>
      <c r="F337" s="6">
        <f t="shared" si="16"/>
        <v>0</v>
      </c>
      <c r="G337" s="62"/>
      <c r="H337" s="62"/>
      <c r="I337" s="60"/>
      <c r="J337" s="60"/>
      <c r="K337" s="64"/>
      <c r="L337" s="64"/>
      <c r="M337" s="25"/>
      <c r="N337" s="25"/>
    </row>
    <row r="338" spans="1:14">
      <c r="A338" s="3" t="s">
        <v>634</v>
      </c>
      <c r="B338" s="4" t="s">
        <v>635</v>
      </c>
      <c r="C338" s="5">
        <f t="shared" si="14"/>
        <v>0</v>
      </c>
      <c r="D338" s="5"/>
      <c r="E338" s="6">
        <f t="shared" si="15"/>
        <v>0</v>
      </c>
      <c r="F338" s="6">
        <f t="shared" si="16"/>
        <v>0</v>
      </c>
      <c r="G338" s="62"/>
      <c r="H338" s="62"/>
      <c r="I338" s="60"/>
      <c r="J338" s="60"/>
      <c r="K338" s="64"/>
      <c r="L338" s="64"/>
      <c r="M338" s="25"/>
      <c r="N338" s="25"/>
    </row>
    <row r="339" spans="1:14">
      <c r="A339" s="3" t="s">
        <v>636</v>
      </c>
      <c r="B339" s="4" t="s">
        <v>637</v>
      </c>
      <c r="C339" s="5">
        <f t="shared" si="14"/>
        <v>0</v>
      </c>
      <c r="D339" s="5"/>
      <c r="E339" s="6">
        <f t="shared" si="15"/>
        <v>0</v>
      </c>
      <c r="F339" s="6">
        <f t="shared" si="16"/>
        <v>0</v>
      </c>
      <c r="G339" s="62"/>
      <c r="H339" s="62"/>
      <c r="I339" s="60"/>
      <c r="J339" s="60"/>
      <c r="K339" s="64"/>
      <c r="L339" s="64"/>
      <c r="M339" s="25"/>
      <c r="N339" s="25"/>
    </row>
    <row r="340" spans="1:14">
      <c r="A340" s="3" t="s">
        <v>638</v>
      </c>
      <c r="B340" s="4" t="s">
        <v>639</v>
      </c>
      <c r="C340" s="5">
        <f t="shared" si="14"/>
        <v>0</v>
      </c>
      <c r="D340" s="5"/>
      <c r="E340" s="6">
        <f t="shared" si="15"/>
        <v>0</v>
      </c>
      <c r="F340" s="6">
        <f t="shared" si="16"/>
        <v>0</v>
      </c>
      <c r="G340" s="62"/>
      <c r="H340" s="62"/>
      <c r="I340" s="60"/>
      <c r="J340" s="60"/>
      <c r="K340" s="64"/>
      <c r="L340" s="64"/>
      <c r="M340" s="25"/>
      <c r="N340" s="25"/>
    </row>
    <row r="341" spans="1:14">
      <c r="A341" s="3" t="s">
        <v>640</v>
      </c>
      <c r="B341" s="4" t="s">
        <v>641</v>
      </c>
      <c r="C341" s="5">
        <f t="shared" si="14"/>
        <v>0</v>
      </c>
      <c r="D341" s="5"/>
      <c r="E341" s="6">
        <f t="shared" si="15"/>
        <v>0</v>
      </c>
      <c r="F341" s="6">
        <f t="shared" si="16"/>
        <v>0</v>
      </c>
      <c r="G341" s="62"/>
      <c r="H341" s="62"/>
      <c r="I341" s="60"/>
      <c r="J341" s="60"/>
      <c r="K341" s="64"/>
      <c r="L341" s="64"/>
      <c r="M341" s="25"/>
      <c r="N341" s="25"/>
    </row>
    <row r="342" spans="1:14">
      <c r="A342" s="3" t="s">
        <v>642</v>
      </c>
      <c r="B342" s="4" t="s">
        <v>643</v>
      </c>
      <c r="C342" s="5">
        <f t="shared" si="14"/>
        <v>0</v>
      </c>
      <c r="D342" s="5"/>
      <c r="E342" s="6">
        <f t="shared" si="15"/>
        <v>0</v>
      </c>
      <c r="F342" s="6">
        <f t="shared" si="16"/>
        <v>0</v>
      </c>
      <c r="G342" s="62"/>
      <c r="H342" s="62"/>
      <c r="I342" s="60"/>
      <c r="J342" s="60"/>
      <c r="K342" s="64"/>
      <c r="L342" s="64"/>
      <c r="M342" s="25"/>
      <c r="N342" s="25"/>
    </row>
    <row r="343" spans="1:14">
      <c r="A343" s="3" t="s">
        <v>644</v>
      </c>
      <c r="B343" s="4" t="s">
        <v>645</v>
      </c>
      <c r="C343" s="5">
        <f t="shared" si="14"/>
        <v>0</v>
      </c>
      <c r="D343" s="5"/>
      <c r="E343" s="6">
        <f t="shared" si="15"/>
        <v>0</v>
      </c>
      <c r="F343" s="6">
        <f t="shared" si="16"/>
        <v>0</v>
      </c>
      <c r="G343" s="62"/>
      <c r="H343" s="62"/>
      <c r="I343" s="60"/>
      <c r="J343" s="60"/>
      <c r="K343" s="64"/>
      <c r="L343" s="64"/>
      <c r="M343" s="25"/>
      <c r="N343" s="25"/>
    </row>
    <row r="344" spans="1:14">
      <c r="A344" s="3" t="s">
        <v>646</v>
      </c>
      <c r="B344" s="4" t="s">
        <v>647</v>
      </c>
      <c r="C344" s="5">
        <f t="shared" si="14"/>
        <v>0</v>
      </c>
      <c r="D344" s="5"/>
      <c r="E344" s="6">
        <f t="shared" si="15"/>
        <v>0</v>
      </c>
      <c r="F344" s="6">
        <f t="shared" si="16"/>
        <v>0</v>
      </c>
      <c r="G344" s="62"/>
      <c r="H344" s="62"/>
      <c r="I344" s="60"/>
      <c r="J344" s="60"/>
      <c r="K344" s="64"/>
      <c r="L344" s="64"/>
      <c r="M344" s="25"/>
      <c r="N344" s="25"/>
    </row>
    <row r="345" spans="1:14">
      <c r="A345" s="3" t="s">
        <v>648</v>
      </c>
      <c r="B345" s="4" t="s">
        <v>649</v>
      </c>
      <c r="C345" s="5">
        <f t="shared" ref="C345:C408" si="17">E345-F345</f>
        <v>0</v>
      </c>
      <c r="D345" s="5"/>
      <c r="E345" s="6">
        <f t="shared" si="15"/>
        <v>0</v>
      </c>
      <c r="F345" s="6">
        <f t="shared" si="16"/>
        <v>0</v>
      </c>
      <c r="G345" s="62"/>
      <c r="H345" s="62"/>
      <c r="I345" s="60"/>
      <c r="J345" s="60"/>
      <c r="K345" s="64"/>
      <c r="L345" s="64"/>
      <c r="M345" s="25"/>
      <c r="N345" s="25"/>
    </row>
    <row r="346" spans="1:14">
      <c r="A346" s="3" t="s">
        <v>650</v>
      </c>
      <c r="B346" s="4" t="s">
        <v>651</v>
      </c>
      <c r="C346" s="5">
        <f t="shared" si="17"/>
        <v>0</v>
      </c>
      <c r="D346" s="5"/>
      <c r="E346" s="6">
        <f t="shared" si="15"/>
        <v>0</v>
      </c>
      <c r="F346" s="6">
        <f t="shared" si="16"/>
        <v>0</v>
      </c>
      <c r="G346" s="62"/>
      <c r="H346" s="62"/>
      <c r="I346" s="60"/>
      <c r="J346" s="60"/>
      <c r="K346" s="64"/>
      <c r="L346" s="64"/>
      <c r="M346" s="25"/>
      <c r="N346" s="25"/>
    </row>
    <row r="347" spans="1:14">
      <c r="A347" s="3" t="s">
        <v>652</v>
      </c>
      <c r="B347" s="4" t="s">
        <v>653</v>
      </c>
      <c r="C347" s="5">
        <f t="shared" si="17"/>
        <v>0</v>
      </c>
      <c r="D347" s="5"/>
      <c r="E347" s="6">
        <f t="shared" si="15"/>
        <v>0</v>
      </c>
      <c r="F347" s="6">
        <f t="shared" si="16"/>
        <v>0</v>
      </c>
      <c r="G347" s="62"/>
      <c r="H347" s="62"/>
      <c r="I347" s="60"/>
      <c r="J347" s="60"/>
      <c r="K347" s="64"/>
      <c r="L347" s="64"/>
      <c r="M347" s="25"/>
      <c r="N347" s="25"/>
    </row>
    <row r="348" spans="1:14">
      <c r="A348" s="3" t="s">
        <v>654</v>
      </c>
      <c r="B348" s="4" t="s">
        <v>655</v>
      </c>
      <c r="C348" s="5">
        <f t="shared" si="17"/>
        <v>0</v>
      </c>
      <c r="D348" s="5"/>
      <c r="E348" s="6">
        <f t="shared" si="15"/>
        <v>0</v>
      </c>
      <c r="F348" s="6">
        <f t="shared" si="16"/>
        <v>0</v>
      </c>
      <c r="G348" s="62"/>
      <c r="H348" s="62"/>
      <c r="I348" s="60"/>
      <c r="J348" s="60"/>
      <c r="K348" s="64"/>
      <c r="L348" s="64"/>
      <c r="M348" s="25"/>
      <c r="N348" s="25"/>
    </row>
    <row r="349" spans="1:14">
      <c r="A349" s="3" t="s">
        <v>656</v>
      </c>
      <c r="B349" s="4" t="s">
        <v>657</v>
      </c>
      <c r="C349" s="5">
        <f t="shared" si="17"/>
        <v>0</v>
      </c>
      <c r="D349" s="5"/>
      <c r="E349" s="6">
        <f t="shared" si="15"/>
        <v>0</v>
      </c>
      <c r="F349" s="6">
        <f t="shared" si="16"/>
        <v>0</v>
      </c>
      <c r="G349" s="62"/>
      <c r="H349" s="62"/>
      <c r="I349" s="60"/>
      <c r="J349" s="60"/>
      <c r="K349" s="64"/>
      <c r="L349" s="64"/>
      <c r="M349" s="25"/>
      <c r="N349" s="25"/>
    </row>
    <row r="350" spans="1:14">
      <c r="A350" s="3" t="s">
        <v>658</v>
      </c>
      <c r="B350" s="4" t="s">
        <v>659</v>
      </c>
      <c r="C350" s="5">
        <f t="shared" si="17"/>
        <v>0</v>
      </c>
      <c r="D350" s="5"/>
      <c r="E350" s="6">
        <f t="shared" si="15"/>
        <v>0</v>
      </c>
      <c r="F350" s="6">
        <f t="shared" si="16"/>
        <v>0</v>
      </c>
      <c r="G350" s="62"/>
      <c r="H350" s="62"/>
      <c r="I350" s="60"/>
      <c r="J350" s="60"/>
      <c r="K350" s="64"/>
      <c r="L350" s="64"/>
      <c r="M350" s="25"/>
      <c r="N350" s="25"/>
    </row>
    <row r="351" spans="1:14">
      <c r="A351" s="3" t="s">
        <v>660</v>
      </c>
      <c r="B351" s="4" t="s">
        <v>661</v>
      </c>
      <c r="C351" s="5">
        <f t="shared" si="17"/>
        <v>0</v>
      </c>
      <c r="D351" s="5"/>
      <c r="E351" s="6">
        <f t="shared" si="15"/>
        <v>0</v>
      </c>
      <c r="F351" s="6">
        <f t="shared" si="16"/>
        <v>0</v>
      </c>
      <c r="G351" s="62"/>
      <c r="H351" s="62"/>
      <c r="I351" s="60"/>
      <c r="J351" s="60"/>
      <c r="K351" s="64"/>
      <c r="L351" s="64"/>
      <c r="M351" s="25"/>
      <c r="N351" s="25"/>
    </row>
    <row r="352" spans="1:14">
      <c r="A352" s="3" t="s">
        <v>662</v>
      </c>
      <c r="B352" s="4" t="s">
        <v>663</v>
      </c>
      <c r="C352" s="5">
        <f t="shared" si="17"/>
        <v>0</v>
      </c>
      <c r="D352" s="5"/>
      <c r="E352" s="6">
        <f t="shared" si="15"/>
        <v>0</v>
      </c>
      <c r="F352" s="6">
        <f t="shared" si="16"/>
        <v>0</v>
      </c>
      <c r="G352" s="62"/>
      <c r="H352" s="62"/>
      <c r="I352" s="60"/>
      <c r="J352" s="60"/>
      <c r="K352" s="64"/>
      <c r="L352" s="64"/>
      <c r="M352" s="25"/>
      <c r="N352" s="25"/>
    </row>
    <row r="353" spans="1:14">
      <c r="A353" s="3" t="s">
        <v>664</v>
      </c>
      <c r="B353" s="4" t="s">
        <v>665</v>
      </c>
      <c r="C353" s="5">
        <f t="shared" si="17"/>
        <v>0</v>
      </c>
      <c r="D353" s="5"/>
      <c r="E353" s="6">
        <f t="shared" si="15"/>
        <v>0</v>
      </c>
      <c r="F353" s="6">
        <f t="shared" si="16"/>
        <v>0</v>
      </c>
      <c r="G353" s="62"/>
      <c r="H353" s="62"/>
      <c r="I353" s="60"/>
      <c r="J353" s="60"/>
      <c r="K353" s="64"/>
      <c r="L353" s="64"/>
      <c r="M353" s="25"/>
      <c r="N353" s="25"/>
    </row>
    <row r="354" spans="1:14">
      <c r="A354" s="3" t="s">
        <v>666</v>
      </c>
      <c r="B354" s="4" t="s">
        <v>667</v>
      </c>
      <c r="C354" s="5">
        <f t="shared" si="17"/>
        <v>0</v>
      </c>
      <c r="D354" s="5"/>
      <c r="E354" s="6">
        <f t="shared" si="15"/>
        <v>0</v>
      </c>
      <c r="F354" s="6">
        <f t="shared" si="16"/>
        <v>0</v>
      </c>
      <c r="G354" s="62"/>
      <c r="H354" s="62"/>
      <c r="I354" s="60"/>
      <c r="J354" s="60"/>
      <c r="K354" s="64"/>
      <c r="L354" s="64"/>
      <c r="M354" s="25"/>
      <c r="N354" s="25"/>
    </row>
    <row r="355" spans="1:14">
      <c r="A355" s="3" t="s">
        <v>668</v>
      </c>
      <c r="B355" s="4" t="s">
        <v>669</v>
      </c>
      <c r="C355" s="5">
        <f t="shared" si="17"/>
        <v>0</v>
      </c>
      <c r="D355" s="5"/>
      <c r="E355" s="6">
        <f t="shared" si="15"/>
        <v>0</v>
      </c>
      <c r="F355" s="6">
        <f t="shared" si="16"/>
        <v>0</v>
      </c>
      <c r="G355" s="62"/>
      <c r="H355" s="62"/>
      <c r="I355" s="60"/>
      <c r="J355" s="60"/>
      <c r="K355" s="64"/>
      <c r="L355" s="64"/>
      <c r="M355" s="25"/>
      <c r="N355" s="25"/>
    </row>
    <row r="356" spans="1:14">
      <c r="A356" s="3" t="s">
        <v>670</v>
      </c>
      <c r="B356" s="4" t="s">
        <v>671</v>
      </c>
      <c r="C356" s="5">
        <f t="shared" si="17"/>
        <v>0</v>
      </c>
      <c r="D356" s="5"/>
      <c r="E356" s="6">
        <f t="shared" si="15"/>
        <v>0</v>
      </c>
      <c r="F356" s="6">
        <f t="shared" si="16"/>
        <v>0</v>
      </c>
      <c r="G356" s="62"/>
      <c r="H356" s="62"/>
      <c r="I356" s="60"/>
      <c r="J356" s="60"/>
      <c r="K356" s="64"/>
      <c r="L356" s="64"/>
      <c r="M356" s="25"/>
      <c r="N356" s="25"/>
    </row>
    <row r="357" spans="1:14">
      <c r="A357" s="3" t="s">
        <v>672</v>
      </c>
      <c r="B357" s="4" t="s">
        <v>673</v>
      </c>
      <c r="C357" s="5">
        <f t="shared" si="17"/>
        <v>0</v>
      </c>
      <c r="D357" s="5"/>
      <c r="E357" s="6">
        <f t="shared" si="15"/>
        <v>0</v>
      </c>
      <c r="F357" s="6">
        <f t="shared" si="16"/>
        <v>0</v>
      </c>
      <c r="G357" s="62"/>
      <c r="H357" s="62"/>
      <c r="I357" s="60"/>
      <c r="J357" s="60"/>
      <c r="K357" s="64"/>
      <c r="L357" s="64"/>
      <c r="M357" s="25"/>
      <c r="N357" s="25"/>
    </row>
    <row r="358" spans="1:14">
      <c r="A358" s="3" t="s">
        <v>674</v>
      </c>
      <c r="B358" s="4" t="s">
        <v>675</v>
      </c>
      <c r="C358" s="5">
        <f t="shared" si="17"/>
        <v>0</v>
      </c>
      <c r="D358" s="5"/>
      <c r="E358" s="6">
        <f t="shared" si="15"/>
        <v>0</v>
      </c>
      <c r="F358" s="6">
        <f t="shared" si="16"/>
        <v>0</v>
      </c>
      <c r="G358" s="62"/>
      <c r="H358" s="62"/>
      <c r="I358" s="60"/>
      <c r="J358" s="60"/>
      <c r="K358" s="64"/>
      <c r="L358" s="64"/>
      <c r="M358" s="25"/>
      <c r="N358" s="25"/>
    </row>
    <row r="359" spans="1:14">
      <c r="A359" s="3" t="s">
        <v>676</v>
      </c>
      <c r="B359" s="4" t="s">
        <v>677</v>
      </c>
      <c r="C359" s="5">
        <f t="shared" si="17"/>
        <v>0</v>
      </c>
      <c r="D359" s="5"/>
      <c r="E359" s="6">
        <f t="shared" si="15"/>
        <v>0</v>
      </c>
      <c r="F359" s="6">
        <f t="shared" si="16"/>
        <v>0</v>
      </c>
      <c r="G359" s="62"/>
      <c r="H359" s="62"/>
      <c r="I359" s="60"/>
      <c r="J359" s="60"/>
      <c r="K359" s="64"/>
      <c r="L359" s="64"/>
      <c r="M359" s="25"/>
      <c r="N359" s="25"/>
    </row>
    <row r="360" spans="1:14">
      <c r="A360" s="3" t="s">
        <v>678</v>
      </c>
      <c r="B360" s="4" t="s">
        <v>679</v>
      </c>
      <c r="C360" s="5">
        <f t="shared" si="17"/>
        <v>0</v>
      </c>
      <c r="D360" s="5"/>
      <c r="E360" s="6">
        <f t="shared" si="15"/>
        <v>0</v>
      </c>
      <c r="F360" s="6">
        <f t="shared" si="16"/>
        <v>0</v>
      </c>
      <c r="G360" s="62"/>
      <c r="H360" s="62"/>
      <c r="I360" s="60"/>
      <c r="J360" s="60"/>
      <c r="K360" s="64"/>
      <c r="L360" s="64"/>
      <c r="M360" s="25"/>
      <c r="N360" s="25"/>
    </row>
    <row r="361" spans="1:14">
      <c r="A361" s="3" t="s">
        <v>680</v>
      </c>
      <c r="B361" s="4" t="s">
        <v>681</v>
      </c>
      <c r="C361" s="5">
        <f t="shared" si="17"/>
        <v>0</v>
      </c>
      <c r="D361" s="5"/>
      <c r="E361" s="6">
        <f t="shared" si="15"/>
        <v>0</v>
      </c>
      <c r="F361" s="6">
        <f t="shared" si="16"/>
        <v>0</v>
      </c>
      <c r="G361" s="62"/>
      <c r="H361" s="62"/>
      <c r="I361" s="60"/>
      <c r="J361" s="60"/>
      <c r="K361" s="64"/>
      <c r="L361" s="64"/>
      <c r="M361" s="25"/>
      <c r="N361" s="25"/>
    </row>
    <row r="362" spans="1:14">
      <c r="A362" s="3" t="s">
        <v>682</v>
      </c>
      <c r="B362" s="4" t="s">
        <v>683</v>
      </c>
      <c r="C362" s="5">
        <f t="shared" si="17"/>
        <v>0</v>
      </c>
      <c r="D362" s="5"/>
      <c r="E362" s="6">
        <f t="shared" si="15"/>
        <v>0</v>
      </c>
      <c r="F362" s="6">
        <f t="shared" si="16"/>
        <v>0</v>
      </c>
      <c r="G362" s="62"/>
      <c r="H362" s="62"/>
      <c r="I362" s="60"/>
      <c r="J362" s="60"/>
      <c r="K362" s="64"/>
      <c r="L362" s="64"/>
      <c r="M362" s="25"/>
      <c r="N362" s="25"/>
    </row>
    <row r="363" spans="1:14">
      <c r="A363" s="3" t="s">
        <v>684</v>
      </c>
      <c r="B363" s="4" t="s">
        <v>685</v>
      </c>
      <c r="C363" s="5">
        <f t="shared" si="17"/>
        <v>0</v>
      </c>
      <c r="D363" s="5"/>
      <c r="E363" s="6">
        <f t="shared" si="15"/>
        <v>0</v>
      </c>
      <c r="F363" s="6">
        <f t="shared" si="16"/>
        <v>0</v>
      </c>
      <c r="G363" s="62"/>
      <c r="H363" s="62"/>
      <c r="I363" s="60"/>
      <c r="J363" s="60"/>
      <c r="K363" s="64"/>
      <c r="L363" s="64"/>
      <c r="M363" s="25"/>
      <c r="N363" s="25"/>
    </row>
    <row r="364" spans="1:14">
      <c r="A364" s="3" t="s">
        <v>686</v>
      </c>
      <c r="B364" s="4" t="s">
        <v>687</v>
      </c>
      <c r="C364" s="5">
        <f t="shared" si="17"/>
        <v>0</v>
      </c>
      <c r="D364" s="5"/>
      <c r="E364" s="6">
        <f t="shared" si="15"/>
        <v>0</v>
      </c>
      <c r="F364" s="6">
        <f t="shared" si="16"/>
        <v>0</v>
      </c>
      <c r="G364" s="62"/>
      <c r="H364" s="62"/>
      <c r="I364" s="60"/>
      <c r="J364" s="60"/>
      <c r="K364" s="64"/>
      <c r="L364" s="64"/>
      <c r="M364" s="25"/>
      <c r="N364" s="25"/>
    </row>
    <row r="365" spans="1:14">
      <c r="A365" s="3" t="s">
        <v>688</v>
      </c>
      <c r="B365" s="4" t="s">
        <v>689</v>
      </c>
      <c r="C365" s="5">
        <f t="shared" si="17"/>
        <v>0</v>
      </c>
      <c r="D365" s="5"/>
      <c r="E365" s="6">
        <f t="shared" si="15"/>
        <v>0</v>
      </c>
      <c r="F365" s="6">
        <f t="shared" si="16"/>
        <v>0</v>
      </c>
      <c r="G365" s="62"/>
      <c r="H365" s="62"/>
      <c r="I365" s="60"/>
      <c r="J365" s="60"/>
      <c r="K365" s="64"/>
      <c r="L365" s="64"/>
      <c r="M365" s="25"/>
      <c r="N365" s="25"/>
    </row>
    <row r="366" spans="1:14">
      <c r="A366" s="3" t="s">
        <v>690</v>
      </c>
      <c r="B366" s="4" t="s">
        <v>691</v>
      </c>
      <c r="C366" s="5">
        <f t="shared" si="17"/>
        <v>0</v>
      </c>
      <c r="D366" s="5"/>
      <c r="E366" s="6">
        <f t="shared" si="15"/>
        <v>0</v>
      </c>
      <c r="F366" s="6">
        <f t="shared" si="16"/>
        <v>0</v>
      </c>
      <c r="G366" s="62"/>
      <c r="H366" s="62"/>
      <c r="I366" s="60"/>
      <c r="J366" s="60"/>
      <c r="K366" s="64"/>
      <c r="L366" s="64"/>
      <c r="M366" s="25"/>
      <c r="N366" s="25"/>
    </row>
    <row r="367" spans="1:14">
      <c r="A367" s="3" t="s">
        <v>692</v>
      </c>
      <c r="B367" s="4" t="s">
        <v>693</v>
      </c>
      <c r="C367" s="5">
        <f t="shared" si="17"/>
        <v>0</v>
      </c>
      <c r="D367" s="5"/>
      <c r="E367" s="6">
        <f t="shared" si="15"/>
        <v>0</v>
      </c>
      <c r="F367" s="6">
        <f t="shared" si="16"/>
        <v>0</v>
      </c>
      <c r="G367" s="62"/>
      <c r="H367" s="62"/>
      <c r="I367" s="60"/>
      <c r="J367" s="60"/>
      <c r="K367" s="64"/>
      <c r="L367" s="64"/>
      <c r="M367" s="25"/>
      <c r="N367" s="25"/>
    </row>
    <row r="368" spans="1:14">
      <c r="A368" s="3" t="s">
        <v>694</v>
      </c>
      <c r="B368" s="4" t="s">
        <v>695</v>
      </c>
      <c r="C368" s="5">
        <f t="shared" si="17"/>
        <v>0</v>
      </c>
      <c r="D368" s="5"/>
      <c r="E368" s="6">
        <f t="shared" si="15"/>
        <v>0</v>
      </c>
      <c r="F368" s="6">
        <f t="shared" si="16"/>
        <v>0</v>
      </c>
      <c r="G368" s="62"/>
      <c r="H368" s="62"/>
      <c r="I368" s="60"/>
      <c r="J368" s="60"/>
      <c r="K368" s="64"/>
      <c r="L368" s="64"/>
      <c r="M368" s="25"/>
      <c r="N368" s="25"/>
    </row>
    <row r="369" spans="1:14">
      <c r="A369" s="3" t="s">
        <v>696</v>
      </c>
      <c r="B369" s="4" t="s">
        <v>697</v>
      </c>
      <c r="C369" s="5">
        <f t="shared" si="17"/>
        <v>0</v>
      </c>
      <c r="D369" s="5"/>
      <c r="E369" s="6">
        <f t="shared" si="15"/>
        <v>0</v>
      </c>
      <c r="F369" s="6">
        <f t="shared" si="16"/>
        <v>0</v>
      </c>
      <c r="G369" s="62"/>
      <c r="H369" s="62"/>
      <c r="I369" s="60"/>
      <c r="J369" s="60"/>
      <c r="K369" s="64"/>
      <c r="L369" s="64"/>
      <c r="M369" s="25"/>
      <c r="N369" s="25"/>
    </row>
    <row r="370" spans="1:14">
      <c r="A370" s="3" t="s">
        <v>698</v>
      </c>
      <c r="B370" s="4" t="s">
        <v>699</v>
      </c>
      <c r="C370" s="5">
        <f t="shared" si="17"/>
        <v>0</v>
      </c>
      <c r="D370" s="5"/>
      <c r="E370" s="6">
        <f t="shared" si="15"/>
        <v>0</v>
      </c>
      <c r="F370" s="6">
        <f t="shared" si="16"/>
        <v>0</v>
      </c>
      <c r="G370" s="62"/>
      <c r="H370" s="62"/>
      <c r="I370" s="60"/>
      <c r="J370" s="60"/>
      <c r="K370" s="64"/>
      <c r="L370" s="64"/>
      <c r="M370" s="25"/>
      <c r="N370" s="25"/>
    </row>
    <row r="371" spans="1:14">
      <c r="A371" s="3" t="s">
        <v>700</v>
      </c>
      <c r="B371" s="4" t="s">
        <v>701</v>
      </c>
      <c r="C371" s="5">
        <f t="shared" si="17"/>
        <v>0</v>
      </c>
      <c r="D371" s="5"/>
      <c r="E371" s="6">
        <f t="shared" si="15"/>
        <v>0</v>
      </c>
      <c r="F371" s="6">
        <f t="shared" si="16"/>
        <v>0</v>
      </c>
      <c r="G371" s="62"/>
      <c r="H371" s="62"/>
      <c r="I371" s="60"/>
      <c r="J371" s="60"/>
      <c r="K371" s="64"/>
      <c r="L371" s="64"/>
      <c r="M371" s="25"/>
      <c r="N371" s="25"/>
    </row>
    <row r="372" spans="1:14">
      <c r="A372" s="3" t="s">
        <v>702</v>
      </c>
      <c r="B372" s="4" t="s">
        <v>703</v>
      </c>
      <c r="C372" s="5">
        <f t="shared" si="17"/>
        <v>0</v>
      </c>
      <c r="D372" s="5"/>
      <c r="E372" s="6">
        <f t="shared" si="15"/>
        <v>0</v>
      </c>
      <c r="F372" s="6">
        <f t="shared" si="16"/>
        <v>0</v>
      </c>
      <c r="G372" s="62"/>
      <c r="H372" s="62"/>
      <c r="I372" s="60"/>
      <c r="J372" s="60"/>
      <c r="K372" s="64"/>
      <c r="L372" s="64"/>
      <c r="M372" s="25"/>
      <c r="N372" s="25"/>
    </row>
    <row r="373" spans="1:14">
      <c r="A373" s="3" t="s">
        <v>704</v>
      </c>
      <c r="B373" s="4" t="s">
        <v>705</v>
      </c>
      <c r="C373" s="5">
        <f t="shared" si="17"/>
        <v>0</v>
      </c>
      <c r="D373" s="5"/>
      <c r="E373" s="6">
        <f t="shared" si="15"/>
        <v>0</v>
      </c>
      <c r="F373" s="6">
        <f t="shared" si="16"/>
        <v>0</v>
      </c>
      <c r="G373" s="62"/>
      <c r="H373" s="62"/>
      <c r="I373" s="60"/>
      <c r="J373" s="60"/>
      <c r="K373" s="64"/>
      <c r="L373" s="64"/>
      <c r="M373" s="25"/>
      <c r="N373" s="25"/>
    </row>
    <row r="374" spans="1:14">
      <c r="A374" s="3" t="s">
        <v>706</v>
      </c>
      <c r="B374" s="4" t="s">
        <v>707</v>
      </c>
      <c r="C374" s="5">
        <f t="shared" si="17"/>
        <v>0</v>
      </c>
      <c r="D374" s="5"/>
      <c r="E374" s="6">
        <f t="shared" si="15"/>
        <v>0</v>
      </c>
      <c r="F374" s="6">
        <f t="shared" si="16"/>
        <v>0</v>
      </c>
      <c r="G374" s="62"/>
      <c r="H374" s="62"/>
      <c r="I374" s="60"/>
      <c r="J374" s="60"/>
      <c r="K374" s="64"/>
      <c r="L374" s="64"/>
      <c r="M374" s="25"/>
      <c r="N374" s="25"/>
    </row>
    <row r="375" spans="1:14">
      <c r="A375" s="3" t="s">
        <v>708</v>
      </c>
      <c r="B375" s="4" t="s">
        <v>709</v>
      </c>
      <c r="C375" s="5">
        <f t="shared" si="17"/>
        <v>0</v>
      </c>
      <c r="D375" s="5"/>
      <c r="E375" s="6">
        <f t="shared" si="15"/>
        <v>0</v>
      </c>
      <c r="F375" s="6">
        <f t="shared" si="16"/>
        <v>0</v>
      </c>
      <c r="G375" s="62"/>
      <c r="H375" s="62"/>
      <c r="I375" s="60"/>
      <c r="J375" s="60"/>
      <c r="K375" s="64"/>
      <c r="L375" s="64"/>
      <c r="M375" s="25"/>
      <c r="N375" s="25"/>
    </row>
    <row r="376" spans="1:14">
      <c r="A376" s="3" t="s">
        <v>710</v>
      </c>
      <c r="B376" s="4" t="s">
        <v>711</v>
      </c>
      <c r="C376" s="5">
        <f t="shared" si="17"/>
        <v>0</v>
      </c>
      <c r="D376" s="5"/>
      <c r="E376" s="6">
        <f t="shared" si="15"/>
        <v>0</v>
      </c>
      <c r="F376" s="6">
        <f t="shared" si="16"/>
        <v>0</v>
      </c>
      <c r="G376" s="62"/>
      <c r="H376" s="62"/>
      <c r="I376" s="60"/>
      <c r="J376" s="60"/>
      <c r="K376" s="64"/>
      <c r="L376" s="64"/>
      <c r="M376" s="25"/>
      <c r="N376" s="25"/>
    </row>
    <row r="377" spans="1:14">
      <c r="A377" s="3" t="s">
        <v>712</v>
      </c>
      <c r="B377" s="4" t="s">
        <v>713</v>
      </c>
      <c r="C377" s="5">
        <f t="shared" si="17"/>
        <v>0</v>
      </c>
      <c r="D377" s="5"/>
      <c r="E377" s="6">
        <f t="shared" si="15"/>
        <v>0</v>
      </c>
      <c r="F377" s="6">
        <f t="shared" si="16"/>
        <v>0</v>
      </c>
      <c r="G377" s="62"/>
      <c r="H377" s="62"/>
      <c r="I377" s="60"/>
      <c r="J377" s="60"/>
      <c r="K377" s="64"/>
      <c r="L377" s="64"/>
      <c r="M377" s="25"/>
      <c r="N377" s="25"/>
    </row>
    <row r="378" spans="1:14">
      <c r="A378" s="3" t="s">
        <v>714</v>
      </c>
      <c r="B378" s="4" t="s">
        <v>715</v>
      </c>
      <c r="C378" s="5">
        <f t="shared" si="17"/>
        <v>0</v>
      </c>
      <c r="D378" s="5"/>
      <c r="E378" s="6">
        <f t="shared" si="15"/>
        <v>0</v>
      </c>
      <c r="F378" s="6">
        <f t="shared" si="16"/>
        <v>0</v>
      </c>
      <c r="G378" s="62"/>
      <c r="H378" s="62"/>
      <c r="I378" s="60"/>
      <c r="J378" s="60"/>
      <c r="K378" s="64"/>
      <c r="L378" s="64"/>
      <c r="M378" s="25"/>
      <c r="N378" s="25"/>
    </row>
    <row r="379" spans="1:14">
      <c r="A379" s="3" t="s">
        <v>716</v>
      </c>
      <c r="B379" s="4" t="s">
        <v>717</v>
      </c>
      <c r="C379" s="5">
        <f t="shared" si="17"/>
        <v>0</v>
      </c>
      <c r="D379" s="5"/>
      <c r="E379" s="6">
        <f t="shared" si="15"/>
        <v>0</v>
      </c>
      <c r="F379" s="6">
        <f t="shared" si="16"/>
        <v>0</v>
      </c>
      <c r="G379" s="62"/>
      <c r="H379" s="62"/>
      <c r="I379" s="60"/>
      <c r="J379" s="60"/>
      <c r="K379" s="64"/>
      <c r="L379" s="64"/>
      <c r="M379" s="25"/>
      <c r="N379" s="25"/>
    </row>
    <row r="380" spans="1:14">
      <c r="A380" s="3" t="s">
        <v>718</v>
      </c>
      <c r="B380" s="4" t="s">
        <v>719</v>
      </c>
      <c r="C380" s="5">
        <f t="shared" si="17"/>
        <v>0</v>
      </c>
      <c r="D380" s="5"/>
      <c r="E380" s="6">
        <f t="shared" si="15"/>
        <v>0</v>
      </c>
      <c r="F380" s="6">
        <f t="shared" si="16"/>
        <v>0</v>
      </c>
      <c r="G380" s="62"/>
      <c r="H380" s="62"/>
      <c r="I380" s="60"/>
      <c r="J380" s="60"/>
      <c r="K380" s="64"/>
      <c r="L380" s="64"/>
      <c r="M380" s="25"/>
      <c r="N380" s="25"/>
    </row>
    <row r="381" spans="1:14">
      <c r="A381" s="3" t="s">
        <v>720</v>
      </c>
      <c r="B381" s="4" t="s">
        <v>721</v>
      </c>
      <c r="C381" s="5">
        <f t="shared" si="17"/>
        <v>0</v>
      </c>
      <c r="D381" s="5"/>
      <c r="E381" s="6">
        <f t="shared" si="15"/>
        <v>0</v>
      </c>
      <c r="F381" s="6">
        <f t="shared" si="16"/>
        <v>0</v>
      </c>
      <c r="G381" s="62"/>
      <c r="H381" s="62"/>
      <c r="I381" s="60"/>
      <c r="J381" s="60"/>
      <c r="K381" s="64"/>
      <c r="L381" s="64"/>
      <c r="M381" s="25"/>
      <c r="N381" s="25"/>
    </row>
    <row r="382" spans="1:14">
      <c r="A382" s="3" t="s">
        <v>722</v>
      </c>
      <c r="B382" s="4" t="s">
        <v>723</v>
      </c>
      <c r="C382" s="5">
        <f t="shared" si="17"/>
        <v>0</v>
      </c>
      <c r="D382" s="5"/>
      <c r="E382" s="6">
        <f t="shared" si="15"/>
        <v>0</v>
      </c>
      <c r="F382" s="6">
        <f t="shared" si="16"/>
        <v>0</v>
      </c>
      <c r="G382" s="62"/>
      <c r="H382" s="62"/>
      <c r="I382" s="60"/>
      <c r="J382" s="60"/>
      <c r="K382" s="64"/>
      <c r="L382" s="64"/>
      <c r="M382" s="25"/>
      <c r="N382" s="25"/>
    </row>
    <row r="383" spans="1:14">
      <c r="A383" s="3" t="s">
        <v>724</v>
      </c>
      <c r="B383" s="4" t="s">
        <v>725</v>
      </c>
      <c r="C383" s="5">
        <f t="shared" si="17"/>
        <v>0</v>
      </c>
      <c r="D383" s="5"/>
      <c r="E383" s="6">
        <f t="shared" si="15"/>
        <v>0</v>
      </c>
      <c r="F383" s="6">
        <f t="shared" si="16"/>
        <v>0</v>
      </c>
      <c r="G383" s="62"/>
      <c r="H383" s="62"/>
      <c r="I383" s="60"/>
      <c r="J383" s="60"/>
      <c r="K383" s="64"/>
      <c r="L383" s="64"/>
      <c r="M383" s="25"/>
      <c r="N383" s="25"/>
    </row>
    <row r="384" spans="1:14">
      <c r="A384" s="3" t="s">
        <v>726</v>
      </c>
      <c r="B384" s="4" t="s">
        <v>727</v>
      </c>
      <c r="C384" s="5">
        <f t="shared" si="17"/>
        <v>0</v>
      </c>
      <c r="D384" s="5"/>
      <c r="E384" s="6">
        <f t="shared" si="15"/>
        <v>0</v>
      </c>
      <c r="F384" s="6">
        <f t="shared" si="16"/>
        <v>0</v>
      </c>
      <c r="G384" s="62"/>
      <c r="H384" s="62"/>
      <c r="I384" s="60"/>
      <c r="J384" s="60"/>
      <c r="K384" s="64"/>
      <c r="L384" s="64"/>
      <c r="M384" s="25"/>
      <c r="N384" s="25"/>
    </row>
    <row r="385" spans="1:14">
      <c r="A385" s="3" t="s">
        <v>728</v>
      </c>
      <c r="B385" s="4" t="s">
        <v>729</v>
      </c>
      <c r="C385" s="5">
        <f t="shared" si="17"/>
        <v>0</v>
      </c>
      <c r="D385" s="5"/>
      <c r="E385" s="6">
        <f t="shared" si="15"/>
        <v>0</v>
      </c>
      <c r="F385" s="6">
        <f t="shared" si="16"/>
        <v>0</v>
      </c>
      <c r="G385" s="62"/>
      <c r="H385" s="62"/>
      <c r="I385" s="60"/>
      <c r="J385" s="60"/>
      <c r="K385" s="64"/>
      <c r="L385" s="64"/>
      <c r="M385" s="25"/>
      <c r="N385" s="25"/>
    </row>
    <row r="386" spans="1:14">
      <c r="A386" s="3" t="s">
        <v>730</v>
      </c>
      <c r="B386" s="4" t="s">
        <v>731</v>
      </c>
      <c r="C386" s="5">
        <f t="shared" si="17"/>
        <v>0</v>
      </c>
      <c r="D386" s="5"/>
      <c r="E386" s="6">
        <f t="shared" si="15"/>
        <v>0</v>
      </c>
      <c r="F386" s="6">
        <f t="shared" si="16"/>
        <v>0</v>
      </c>
      <c r="G386" s="62"/>
      <c r="H386" s="62"/>
      <c r="I386" s="60"/>
      <c r="J386" s="60"/>
      <c r="K386" s="64"/>
      <c r="L386" s="64"/>
      <c r="M386" s="25"/>
      <c r="N386" s="25"/>
    </row>
    <row r="387" spans="1:14">
      <c r="A387" s="3" t="s">
        <v>732</v>
      </c>
      <c r="B387" s="4" t="s">
        <v>733</v>
      </c>
      <c r="C387" s="5">
        <f t="shared" si="17"/>
        <v>0</v>
      </c>
      <c r="D387" s="5"/>
      <c r="E387" s="6">
        <f t="shared" si="15"/>
        <v>0</v>
      </c>
      <c r="F387" s="6">
        <f t="shared" si="16"/>
        <v>0</v>
      </c>
      <c r="G387" s="62"/>
      <c r="H387" s="62"/>
      <c r="I387" s="60"/>
      <c r="J387" s="60"/>
      <c r="K387" s="64"/>
      <c r="L387" s="64"/>
      <c r="M387" s="25"/>
      <c r="N387" s="25"/>
    </row>
    <row r="388" spans="1:14">
      <c r="A388" s="3" t="s">
        <v>734</v>
      </c>
      <c r="B388" s="4" t="s">
        <v>735</v>
      </c>
      <c r="C388" s="5">
        <f t="shared" si="17"/>
        <v>0</v>
      </c>
      <c r="D388" s="5"/>
      <c r="E388" s="6">
        <f t="shared" si="15"/>
        <v>0</v>
      </c>
      <c r="F388" s="6">
        <f t="shared" si="16"/>
        <v>0</v>
      </c>
      <c r="G388" s="62"/>
      <c r="H388" s="62"/>
      <c r="I388" s="60"/>
      <c r="J388" s="60"/>
      <c r="K388" s="64"/>
      <c r="L388" s="64"/>
      <c r="M388" s="25"/>
      <c r="N388" s="25"/>
    </row>
    <row r="389" spans="1:14">
      <c r="A389" s="3" t="s">
        <v>736</v>
      </c>
      <c r="B389" s="4" t="s">
        <v>737</v>
      </c>
      <c r="C389" s="5">
        <f t="shared" si="17"/>
        <v>0</v>
      </c>
      <c r="D389" s="5"/>
      <c r="E389" s="6">
        <f t="shared" si="15"/>
        <v>0</v>
      </c>
      <c r="F389" s="6">
        <f t="shared" si="16"/>
        <v>0</v>
      </c>
      <c r="G389" s="62"/>
      <c r="H389" s="62"/>
      <c r="I389" s="60"/>
      <c r="J389" s="60"/>
      <c r="K389" s="64"/>
      <c r="L389" s="64"/>
      <c r="M389" s="25"/>
      <c r="N389" s="25"/>
    </row>
    <row r="390" spans="1:14">
      <c r="A390" s="3" t="s">
        <v>738</v>
      </c>
      <c r="B390" s="4" t="s">
        <v>739</v>
      </c>
      <c r="C390" s="5">
        <f t="shared" si="17"/>
        <v>0</v>
      </c>
      <c r="D390" s="5"/>
      <c r="E390" s="6">
        <f t="shared" si="15"/>
        <v>0</v>
      </c>
      <c r="F390" s="6">
        <f t="shared" si="16"/>
        <v>0</v>
      </c>
      <c r="G390" s="62"/>
      <c r="H390" s="62"/>
      <c r="I390" s="60"/>
      <c r="J390" s="60"/>
      <c r="K390" s="64"/>
      <c r="L390" s="64"/>
      <c r="M390" s="25"/>
      <c r="N390" s="25"/>
    </row>
    <row r="391" spans="1:14">
      <c r="A391" s="3" t="s">
        <v>740</v>
      </c>
      <c r="B391" s="4" t="s">
        <v>741</v>
      </c>
      <c r="C391" s="5">
        <f t="shared" si="17"/>
        <v>0</v>
      </c>
      <c r="D391" s="5"/>
      <c r="E391" s="6">
        <f t="shared" si="15"/>
        <v>0</v>
      </c>
      <c r="F391" s="6">
        <f t="shared" si="16"/>
        <v>0</v>
      </c>
      <c r="G391" s="62"/>
      <c r="H391" s="62"/>
      <c r="I391" s="60"/>
      <c r="J391" s="60"/>
      <c r="K391" s="64"/>
      <c r="L391" s="64"/>
      <c r="M391" s="25"/>
      <c r="N391" s="25"/>
    </row>
    <row r="392" spans="1:14">
      <c r="A392" s="3" t="s">
        <v>742</v>
      </c>
      <c r="B392" s="4" t="s">
        <v>743</v>
      </c>
      <c r="C392" s="5">
        <f t="shared" si="17"/>
        <v>0</v>
      </c>
      <c r="D392" s="5"/>
      <c r="E392" s="6">
        <f t="shared" si="15"/>
        <v>0</v>
      </c>
      <c r="F392" s="6">
        <f t="shared" si="16"/>
        <v>0</v>
      </c>
      <c r="G392" s="62"/>
      <c r="H392" s="62"/>
      <c r="I392" s="60"/>
      <c r="J392" s="60"/>
      <c r="K392" s="64"/>
      <c r="L392" s="64"/>
      <c r="M392" s="25"/>
      <c r="N392" s="25"/>
    </row>
    <row r="393" spans="1:14">
      <c r="A393" s="3" t="s">
        <v>744</v>
      </c>
      <c r="B393" s="4" t="s">
        <v>745</v>
      </c>
      <c r="C393" s="5">
        <f t="shared" si="17"/>
        <v>0</v>
      </c>
      <c r="D393" s="5"/>
      <c r="E393" s="6">
        <f t="shared" si="15"/>
        <v>0</v>
      </c>
      <c r="F393" s="6">
        <f t="shared" si="16"/>
        <v>0</v>
      </c>
      <c r="G393" s="62"/>
      <c r="H393" s="62"/>
      <c r="I393" s="60"/>
      <c r="J393" s="60"/>
      <c r="K393" s="64"/>
      <c r="L393" s="64"/>
      <c r="M393" s="25"/>
      <c r="N393" s="25"/>
    </row>
    <row r="394" spans="1:14">
      <c r="A394" s="3" t="s">
        <v>746</v>
      </c>
      <c r="B394" s="4" t="s">
        <v>747</v>
      </c>
      <c r="C394" s="5">
        <f t="shared" si="17"/>
        <v>0</v>
      </c>
      <c r="D394" s="5"/>
      <c r="E394" s="6">
        <f t="shared" si="15"/>
        <v>0</v>
      </c>
      <c r="F394" s="6">
        <f t="shared" si="16"/>
        <v>0</v>
      </c>
      <c r="G394" s="62"/>
      <c r="H394" s="62"/>
      <c r="I394" s="60"/>
      <c r="J394" s="60"/>
      <c r="K394" s="64"/>
      <c r="L394" s="64"/>
      <c r="M394" s="25"/>
      <c r="N394" s="25"/>
    </row>
    <row r="395" spans="1:14">
      <c r="A395" s="3" t="s">
        <v>748</v>
      </c>
      <c r="B395" s="4" t="s">
        <v>749</v>
      </c>
      <c r="C395" s="5">
        <f t="shared" si="17"/>
        <v>0</v>
      </c>
      <c r="D395" s="5"/>
      <c r="E395" s="6">
        <f t="shared" si="15"/>
        <v>0</v>
      </c>
      <c r="F395" s="6">
        <f t="shared" si="16"/>
        <v>0</v>
      </c>
      <c r="G395" s="62"/>
      <c r="H395" s="62"/>
      <c r="I395" s="60"/>
      <c r="J395" s="60"/>
      <c r="K395" s="64"/>
      <c r="L395" s="64"/>
      <c r="M395" s="25"/>
      <c r="N395" s="25"/>
    </row>
    <row r="396" spans="1:14">
      <c r="A396" s="3" t="s">
        <v>750</v>
      </c>
      <c r="B396" s="4" t="s">
        <v>751</v>
      </c>
      <c r="C396" s="5">
        <f t="shared" si="17"/>
        <v>0</v>
      </c>
      <c r="D396" s="5"/>
      <c r="E396" s="6">
        <f t="shared" si="15"/>
        <v>0</v>
      </c>
      <c r="F396" s="6">
        <f t="shared" si="16"/>
        <v>0</v>
      </c>
      <c r="G396" s="62"/>
      <c r="H396" s="62"/>
      <c r="I396" s="60"/>
      <c r="J396" s="60"/>
      <c r="K396" s="64"/>
      <c r="L396" s="64"/>
      <c r="M396" s="25"/>
      <c r="N396" s="25"/>
    </row>
    <row r="397" spans="1:14">
      <c r="A397" s="3" t="s">
        <v>752</v>
      </c>
      <c r="B397" s="4" t="s">
        <v>753</v>
      </c>
      <c r="C397" s="5">
        <f t="shared" si="17"/>
        <v>0</v>
      </c>
      <c r="D397" s="5"/>
      <c r="E397" s="6">
        <f t="shared" si="15"/>
        <v>0</v>
      </c>
      <c r="F397" s="6">
        <f t="shared" si="16"/>
        <v>0</v>
      </c>
      <c r="G397" s="62"/>
      <c r="H397" s="62"/>
      <c r="I397" s="60"/>
      <c r="J397" s="60"/>
      <c r="K397" s="64"/>
      <c r="L397" s="64"/>
      <c r="M397" s="25"/>
      <c r="N397" s="25"/>
    </row>
    <row r="398" spans="1:14">
      <c r="A398" s="3" t="s">
        <v>754</v>
      </c>
      <c r="B398" s="4" t="s">
        <v>755</v>
      </c>
      <c r="C398" s="5">
        <f t="shared" si="17"/>
        <v>0</v>
      </c>
      <c r="D398" s="5"/>
      <c r="E398" s="6">
        <f t="shared" ref="E398:E461" si="18">SUM(G398,I398,K398,M398)</f>
        <v>0</v>
      </c>
      <c r="F398" s="6">
        <f t="shared" ref="F398:F461" si="19">SUM(H398,J398,L398,N398)</f>
        <v>0</v>
      </c>
      <c r="G398" s="62"/>
      <c r="H398" s="62"/>
      <c r="I398" s="60"/>
      <c r="J398" s="60"/>
      <c r="K398" s="64"/>
      <c r="L398" s="64"/>
      <c r="M398" s="25"/>
      <c r="N398" s="25"/>
    </row>
    <row r="399" spans="1:14">
      <c r="A399" s="3" t="s">
        <v>756</v>
      </c>
      <c r="B399" s="4" t="s">
        <v>757</v>
      </c>
      <c r="C399" s="5">
        <f t="shared" si="17"/>
        <v>0</v>
      </c>
      <c r="D399" s="5"/>
      <c r="E399" s="6">
        <f t="shared" si="18"/>
        <v>0</v>
      </c>
      <c r="F399" s="6">
        <f t="shared" si="19"/>
        <v>0</v>
      </c>
      <c r="G399" s="62"/>
      <c r="H399" s="62"/>
      <c r="I399" s="60"/>
      <c r="J399" s="60"/>
      <c r="K399" s="64"/>
      <c r="L399" s="64"/>
      <c r="M399" s="25"/>
      <c r="N399" s="25"/>
    </row>
    <row r="400" spans="1:14">
      <c r="A400" s="3" t="s">
        <v>758</v>
      </c>
      <c r="B400" s="4" t="s">
        <v>759</v>
      </c>
      <c r="C400" s="5">
        <f t="shared" si="17"/>
        <v>0</v>
      </c>
      <c r="D400" s="5"/>
      <c r="E400" s="6">
        <f t="shared" si="18"/>
        <v>0</v>
      </c>
      <c r="F400" s="6">
        <f t="shared" si="19"/>
        <v>0</v>
      </c>
      <c r="G400" s="62"/>
      <c r="H400" s="62"/>
      <c r="I400" s="60"/>
      <c r="J400" s="60"/>
      <c r="K400" s="64"/>
      <c r="L400" s="64"/>
      <c r="M400" s="25"/>
      <c r="N400" s="25"/>
    </row>
    <row r="401" spans="1:14">
      <c r="A401" s="3" t="s">
        <v>760</v>
      </c>
      <c r="B401" s="4" t="s">
        <v>761</v>
      </c>
      <c r="C401" s="5">
        <f t="shared" si="17"/>
        <v>0</v>
      </c>
      <c r="D401" s="5"/>
      <c r="E401" s="6">
        <f t="shared" si="18"/>
        <v>0</v>
      </c>
      <c r="F401" s="6">
        <f t="shared" si="19"/>
        <v>0</v>
      </c>
      <c r="G401" s="62"/>
      <c r="H401" s="62"/>
      <c r="I401" s="60"/>
      <c r="J401" s="60"/>
      <c r="K401" s="64"/>
      <c r="L401" s="64"/>
      <c r="M401" s="25"/>
      <c r="N401" s="25"/>
    </row>
    <row r="402" spans="1:14">
      <c r="A402" s="3" t="s">
        <v>762</v>
      </c>
      <c r="B402" s="4" t="s">
        <v>763</v>
      </c>
      <c r="C402" s="5">
        <f t="shared" si="17"/>
        <v>0</v>
      </c>
      <c r="D402" s="5"/>
      <c r="E402" s="6">
        <f t="shared" si="18"/>
        <v>0</v>
      </c>
      <c r="F402" s="6">
        <f t="shared" si="19"/>
        <v>0</v>
      </c>
      <c r="G402" s="62"/>
      <c r="H402" s="62"/>
      <c r="I402" s="60"/>
      <c r="J402" s="60"/>
      <c r="K402" s="64"/>
      <c r="L402" s="64"/>
      <c r="M402" s="25"/>
      <c r="N402" s="25"/>
    </row>
    <row r="403" spans="1:14">
      <c r="A403" s="3" t="s">
        <v>764</v>
      </c>
      <c r="B403" s="4" t="s">
        <v>765</v>
      </c>
      <c r="C403" s="5">
        <f t="shared" si="17"/>
        <v>0</v>
      </c>
      <c r="D403" s="5"/>
      <c r="E403" s="6">
        <f t="shared" si="18"/>
        <v>0</v>
      </c>
      <c r="F403" s="6">
        <f t="shared" si="19"/>
        <v>0</v>
      </c>
      <c r="G403" s="62"/>
      <c r="H403" s="62"/>
      <c r="I403" s="60"/>
      <c r="J403" s="60"/>
      <c r="K403" s="64"/>
      <c r="L403" s="64"/>
      <c r="M403" s="25"/>
      <c r="N403" s="25"/>
    </row>
    <row r="404" spans="1:14">
      <c r="A404" s="3" t="s">
        <v>766</v>
      </c>
      <c r="B404" s="4" t="s">
        <v>767</v>
      </c>
      <c r="C404" s="5">
        <f t="shared" si="17"/>
        <v>0</v>
      </c>
      <c r="D404" s="5"/>
      <c r="E404" s="6">
        <f t="shared" si="18"/>
        <v>0</v>
      </c>
      <c r="F404" s="6">
        <f t="shared" si="19"/>
        <v>0</v>
      </c>
      <c r="G404" s="62"/>
      <c r="H404" s="62"/>
      <c r="I404" s="60"/>
      <c r="J404" s="60"/>
      <c r="K404" s="64"/>
      <c r="L404" s="64"/>
      <c r="M404" s="25"/>
      <c r="N404" s="25"/>
    </row>
    <row r="405" spans="1:14">
      <c r="A405" s="3" t="s">
        <v>768</v>
      </c>
      <c r="B405" s="4" t="s">
        <v>769</v>
      </c>
      <c r="C405" s="5">
        <f t="shared" si="17"/>
        <v>0</v>
      </c>
      <c r="D405" s="5"/>
      <c r="E405" s="6">
        <f t="shared" si="18"/>
        <v>0</v>
      </c>
      <c r="F405" s="6">
        <f t="shared" si="19"/>
        <v>0</v>
      </c>
      <c r="G405" s="62"/>
      <c r="H405" s="62"/>
      <c r="I405" s="60"/>
      <c r="J405" s="60"/>
      <c r="K405" s="64"/>
      <c r="L405" s="64"/>
      <c r="M405" s="25"/>
      <c r="N405" s="25"/>
    </row>
    <row r="406" spans="1:14">
      <c r="A406" s="3" t="s">
        <v>770</v>
      </c>
      <c r="B406" s="4" t="s">
        <v>771</v>
      </c>
      <c r="C406" s="5">
        <f t="shared" si="17"/>
        <v>0</v>
      </c>
      <c r="D406" s="5"/>
      <c r="E406" s="6">
        <f t="shared" si="18"/>
        <v>0</v>
      </c>
      <c r="F406" s="6">
        <f t="shared" si="19"/>
        <v>0</v>
      </c>
      <c r="G406" s="62"/>
      <c r="H406" s="62"/>
      <c r="I406" s="60"/>
      <c r="J406" s="60"/>
      <c r="K406" s="64"/>
      <c r="L406" s="64"/>
      <c r="M406" s="25"/>
      <c r="N406" s="25"/>
    </row>
    <row r="407" spans="1:14">
      <c r="A407" s="3" t="s">
        <v>772</v>
      </c>
      <c r="B407" s="4" t="s">
        <v>773</v>
      </c>
      <c r="C407" s="5">
        <f t="shared" si="17"/>
        <v>0</v>
      </c>
      <c r="D407" s="5"/>
      <c r="E407" s="6">
        <f t="shared" si="18"/>
        <v>0</v>
      </c>
      <c r="F407" s="6">
        <f t="shared" si="19"/>
        <v>0</v>
      </c>
      <c r="G407" s="62"/>
      <c r="H407" s="62"/>
      <c r="I407" s="60"/>
      <c r="J407" s="60"/>
      <c r="K407" s="64"/>
      <c r="L407" s="64"/>
      <c r="M407" s="25"/>
      <c r="N407" s="25"/>
    </row>
    <row r="408" spans="1:14">
      <c r="A408" s="3" t="s">
        <v>774</v>
      </c>
      <c r="B408" s="4" t="s">
        <v>775</v>
      </c>
      <c r="C408" s="5">
        <f t="shared" si="17"/>
        <v>0</v>
      </c>
      <c r="D408" s="5"/>
      <c r="E408" s="6">
        <f t="shared" si="18"/>
        <v>0</v>
      </c>
      <c r="F408" s="6">
        <f t="shared" si="19"/>
        <v>0</v>
      </c>
      <c r="G408" s="62"/>
      <c r="H408" s="62"/>
      <c r="I408" s="60"/>
      <c r="J408" s="60"/>
      <c r="K408" s="64"/>
      <c r="L408" s="64"/>
      <c r="M408" s="25"/>
      <c r="N408" s="25"/>
    </row>
    <row r="409" spans="1:14">
      <c r="A409" s="3" t="s">
        <v>776</v>
      </c>
      <c r="B409" s="4" t="s">
        <v>777</v>
      </c>
      <c r="C409" s="5">
        <f t="shared" ref="C409:C461" si="20">E409-F409</f>
        <v>0</v>
      </c>
      <c r="D409" s="5"/>
      <c r="E409" s="6">
        <f t="shared" si="18"/>
        <v>0</v>
      </c>
      <c r="F409" s="6">
        <f t="shared" si="19"/>
        <v>0</v>
      </c>
      <c r="G409" s="62"/>
      <c r="H409" s="62"/>
      <c r="I409" s="60"/>
      <c r="J409" s="60"/>
      <c r="K409" s="64"/>
      <c r="L409" s="64"/>
      <c r="M409" s="25"/>
      <c r="N409" s="25"/>
    </row>
    <row r="410" spans="1:14">
      <c r="A410" s="3" t="s">
        <v>778</v>
      </c>
      <c r="B410" s="4" t="s">
        <v>779</v>
      </c>
      <c r="C410" s="5">
        <f t="shared" si="20"/>
        <v>0</v>
      </c>
      <c r="D410" s="5"/>
      <c r="E410" s="6">
        <f t="shared" si="18"/>
        <v>0</v>
      </c>
      <c r="F410" s="6">
        <f t="shared" si="19"/>
        <v>0</v>
      </c>
      <c r="G410" s="62"/>
      <c r="H410" s="62"/>
      <c r="I410" s="60"/>
      <c r="J410" s="60"/>
      <c r="K410" s="64"/>
      <c r="L410" s="64"/>
      <c r="M410" s="25"/>
      <c r="N410" s="25"/>
    </row>
    <row r="411" spans="1:14">
      <c r="A411" s="3" t="s">
        <v>780</v>
      </c>
      <c r="B411" s="4" t="s">
        <v>781</v>
      </c>
      <c r="C411" s="5">
        <f t="shared" si="20"/>
        <v>0</v>
      </c>
      <c r="D411" s="5"/>
      <c r="E411" s="6">
        <f t="shared" si="18"/>
        <v>0</v>
      </c>
      <c r="F411" s="6">
        <f t="shared" si="19"/>
        <v>0</v>
      </c>
      <c r="G411" s="62"/>
      <c r="H411" s="62"/>
      <c r="I411" s="60"/>
      <c r="J411" s="60"/>
      <c r="K411" s="64"/>
      <c r="L411" s="64"/>
      <c r="M411" s="25"/>
      <c r="N411" s="25"/>
    </row>
    <row r="412" spans="1:14">
      <c r="A412" s="3" t="s">
        <v>782</v>
      </c>
      <c r="B412" s="4" t="s">
        <v>783</v>
      </c>
      <c r="C412" s="5">
        <f t="shared" si="20"/>
        <v>0</v>
      </c>
      <c r="D412" s="5"/>
      <c r="E412" s="6">
        <f t="shared" si="18"/>
        <v>0</v>
      </c>
      <c r="F412" s="6">
        <f t="shared" si="19"/>
        <v>0</v>
      </c>
      <c r="G412" s="62"/>
      <c r="H412" s="62"/>
      <c r="I412" s="60"/>
      <c r="J412" s="60"/>
      <c r="K412" s="64"/>
      <c r="L412" s="64"/>
      <c r="M412" s="25"/>
      <c r="N412" s="25"/>
    </row>
    <row r="413" spans="1:14">
      <c r="A413" s="3" t="s">
        <v>784</v>
      </c>
      <c r="B413" s="4" t="s">
        <v>785</v>
      </c>
      <c r="C413" s="5">
        <f t="shared" si="20"/>
        <v>0</v>
      </c>
      <c r="D413" s="5"/>
      <c r="E413" s="6">
        <f t="shared" si="18"/>
        <v>0</v>
      </c>
      <c r="F413" s="6">
        <f t="shared" si="19"/>
        <v>0</v>
      </c>
      <c r="G413" s="62"/>
      <c r="H413" s="62"/>
      <c r="I413" s="60"/>
      <c r="J413" s="60"/>
      <c r="K413" s="64"/>
      <c r="L413" s="64"/>
      <c r="M413" s="25"/>
      <c r="N413" s="25"/>
    </row>
    <row r="414" spans="1:14">
      <c r="A414" s="3" t="s">
        <v>786</v>
      </c>
      <c r="B414" s="4" t="s">
        <v>787</v>
      </c>
      <c r="C414" s="5">
        <f t="shared" si="20"/>
        <v>0</v>
      </c>
      <c r="D414" s="5"/>
      <c r="E414" s="6">
        <f t="shared" si="18"/>
        <v>0</v>
      </c>
      <c r="F414" s="6">
        <f t="shared" si="19"/>
        <v>0</v>
      </c>
      <c r="G414" s="62"/>
      <c r="H414" s="62"/>
      <c r="I414" s="60"/>
      <c r="J414" s="60"/>
      <c r="K414" s="64"/>
      <c r="L414" s="64"/>
      <c r="M414" s="25"/>
      <c r="N414" s="25"/>
    </row>
    <row r="415" spans="1:14">
      <c r="A415" s="3" t="s">
        <v>788</v>
      </c>
      <c r="B415" s="4" t="s">
        <v>789</v>
      </c>
      <c r="C415" s="5">
        <f t="shared" si="20"/>
        <v>0</v>
      </c>
      <c r="D415" s="5"/>
      <c r="E415" s="6">
        <f t="shared" si="18"/>
        <v>0</v>
      </c>
      <c r="F415" s="6">
        <f t="shared" si="19"/>
        <v>0</v>
      </c>
      <c r="G415" s="62"/>
      <c r="H415" s="62"/>
      <c r="I415" s="60"/>
      <c r="J415" s="60"/>
      <c r="K415" s="64"/>
      <c r="L415" s="64"/>
      <c r="M415" s="25"/>
      <c r="N415" s="25"/>
    </row>
    <row r="416" spans="1:14">
      <c r="A416" s="3" t="s">
        <v>790</v>
      </c>
      <c r="B416" s="4" t="s">
        <v>791</v>
      </c>
      <c r="C416" s="5">
        <f t="shared" si="20"/>
        <v>0</v>
      </c>
      <c r="D416" s="5"/>
      <c r="E416" s="6">
        <f t="shared" si="18"/>
        <v>0</v>
      </c>
      <c r="F416" s="6">
        <f t="shared" si="19"/>
        <v>0</v>
      </c>
      <c r="G416" s="62"/>
      <c r="H416" s="62"/>
      <c r="I416" s="60"/>
      <c r="J416" s="60"/>
      <c r="K416" s="64"/>
      <c r="L416" s="64"/>
      <c r="M416" s="25"/>
      <c r="N416" s="25"/>
    </row>
    <row r="417" spans="1:14">
      <c r="A417" s="3" t="s">
        <v>792</v>
      </c>
      <c r="B417" s="4" t="s">
        <v>793</v>
      </c>
      <c r="C417" s="5">
        <f t="shared" si="20"/>
        <v>0</v>
      </c>
      <c r="D417" s="5"/>
      <c r="E417" s="6">
        <f t="shared" si="18"/>
        <v>0</v>
      </c>
      <c r="F417" s="6">
        <f t="shared" si="19"/>
        <v>0</v>
      </c>
      <c r="G417" s="62"/>
      <c r="H417" s="62"/>
      <c r="I417" s="60"/>
      <c r="J417" s="60"/>
      <c r="K417" s="64"/>
      <c r="L417" s="64"/>
      <c r="M417" s="25"/>
      <c r="N417" s="25"/>
    </row>
    <row r="418" spans="1:14">
      <c r="A418" s="3" t="s">
        <v>794</v>
      </c>
      <c r="B418" s="4" t="s">
        <v>795</v>
      </c>
      <c r="C418" s="5">
        <f t="shared" si="20"/>
        <v>0</v>
      </c>
      <c r="D418" s="5"/>
      <c r="E418" s="6">
        <f t="shared" si="18"/>
        <v>0</v>
      </c>
      <c r="F418" s="6">
        <f t="shared" si="19"/>
        <v>0</v>
      </c>
      <c r="G418" s="62"/>
      <c r="H418" s="62"/>
      <c r="I418" s="60"/>
      <c r="J418" s="60"/>
      <c r="K418" s="64"/>
      <c r="L418" s="64"/>
      <c r="M418" s="25"/>
      <c r="N418" s="25"/>
    </row>
    <row r="419" spans="1:14">
      <c r="A419" s="3" t="s">
        <v>796</v>
      </c>
      <c r="B419" s="4" t="s">
        <v>797</v>
      </c>
      <c r="C419" s="5">
        <f t="shared" si="20"/>
        <v>0</v>
      </c>
      <c r="D419" s="5"/>
      <c r="E419" s="6">
        <f t="shared" si="18"/>
        <v>0</v>
      </c>
      <c r="F419" s="6">
        <f t="shared" si="19"/>
        <v>0</v>
      </c>
      <c r="G419" s="62"/>
      <c r="H419" s="62"/>
      <c r="I419" s="60"/>
      <c r="J419" s="60"/>
      <c r="K419" s="64"/>
      <c r="L419" s="64"/>
      <c r="M419" s="25"/>
      <c r="N419" s="25"/>
    </row>
    <row r="420" spans="1:14">
      <c r="A420" s="3" t="s">
        <v>798</v>
      </c>
      <c r="B420" s="4" t="s">
        <v>799</v>
      </c>
      <c r="C420" s="5">
        <f t="shared" si="20"/>
        <v>0</v>
      </c>
      <c r="D420" s="5"/>
      <c r="E420" s="6">
        <f t="shared" si="18"/>
        <v>0</v>
      </c>
      <c r="F420" s="6">
        <f t="shared" si="19"/>
        <v>0</v>
      </c>
      <c r="G420" s="62"/>
      <c r="H420" s="62"/>
      <c r="I420" s="60"/>
      <c r="J420" s="60"/>
      <c r="K420" s="64"/>
      <c r="L420" s="64"/>
      <c r="M420" s="25"/>
      <c r="N420" s="25"/>
    </row>
    <row r="421" spans="1:14">
      <c r="A421" s="3" t="s">
        <v>800</v>
      </c>
      <c r="B421" s="4" t="s">
        <v>801</v>
      </c>
      <c r="C421" s="5">
        <f t="shared" si="20"/>
        <v>0</v>
      </c>
      <c r="D421" s="5"/>
      <c r="E421" s="6">
        <f t="shared" si="18"/>
        <v>0</v>
      </c>
      <c r="F421" s="6">
        <f t="shared" si="19"/>
        <v>0</v>
      </c>
      <c r="G421" s="62"/>
      <c r="H421" s="62"/>
      <c r="I421" s="60"/>
      <c r="J421" s="60"/>
      <c r="K421" s="64"/>
      <c r="L421" s="64"/>
      <c r="M421" s="25"/>
      <c r="N421" s="25"/>
    </row>
    <row r="422" spans="1:14">
      <c r="A422" s="3" t="s">
        <v>802</v>
      </c>
      <c r="B422" s="4" t="s">
        <v>803</v>
      </c>
      <c r="C422" s="5">
        <f t="shared" si="20"/>
        <v>0</v>
      </c>
      <c r="D422" s="5"/>
      <c r="E422" s="6">
        <f t="shared" si="18"/>
        <v>0</v>
      </c>
      <c r="F422" s="6">
        <f t="shared" si="19"/>
        <v>0</v>
      </c>
      <c r="G422" s="62"/>
      <c r="H422" s="62"/>
      <c r="I422" s="60"/>
      <c r="J422" s="60"/>
      <c r="K422" s="64"/>
      <c r="L422" s="64"/>
      <c r="M422" s="25"/>
      <c r="N422" s="25"/>
    </row>
    <row r="423" spans="1:14">
      <c r="A423" s="3" t="s">
        <v>804</v>
      </c>
      <c r="B423" s="4" t="s">
        <v>805</v>
      </c>
      <c r="C423" s="5">
        <f t="shared" si="20"/>
        <v>0</v>
      </c>
      <c r="D423" s="5"/>
      <c r="E423" s="6">
        <f t="shared" si="18"/>
        <v>0</v>
      </c>
      <c r="F423" s="6">
        <f t="shared" si="19"/>
        <v>0</v>
      </c>
      <c r="G423" s="62"/>
      <c r="H423" s="62"/>
      <c r="I423" s="60"/>
      <c r="J423" s="60"/>
      <c r="K423" s="64"/>
      <c r="L423" s="64"/>
      <c r="M423" s="25"/>
      <c r="N423" s="25"/>
    </row>
    <row r="424" spans="1:14">
      <c r="A424" s="3" t="s">
        <v>806</v>
      </c>
      <c r="B424" s="4" t="s">
        <v>807</v>
      </c>
      <c r="C424" s="5">
        <f t="shared" si="20"/>
        <v>0</v>
      </c>
      <c r="D424" s="5"/>
      <c r="E424" s="6">
        <f t="shared" si="18"/>
        <v>0</v>
      </c>
      <c r="F424" s="6">
        <f t="shared" si="19"/>
        <v>0</v>
      </c>
      <c r="G424" s="62"/>
      <c r="H424" s="62"/>
      <c r="I424" s="60"/>
      <c r="J424" s="60"/>
      <c r="K424" s="64"/>
      <c r="L424" s="64"/>
      <c r="M424" s="25"/>
      <c r="N424" s="25"/>
    </row>
    <row r="425" spans="1:14">
      <c r="A425" s="3" t="s">
        <v>808</v>
      </c>
      <c r="B425" s="4" t="s">
        <v>809</v>
      </c>
      <c r="C425" s="5">
        <f t="shared" si="20"/>
        <v>0</v>
      </c>
      <c r="D425" s="5"/>
      <c r="E425" s="6">
        <f t="shared" si="18"/>
        <v>0</v>
      </c>
      <c r="F425" s="6">
        <f t="shared" si="19"/>
        <v>0</v>
      </c>
      <c r="G425" s="62"/>
      <c r="H425" s="62"/>
      <c r="I425" s="60"/>
      <c r="J425" s="60"/>
      <c r="K425" s="64"/>
      <c r="L425" s="64"/>
      <c r="M425" s="25"/>
      <c r="N425" s="25"/>
    </row>
    <row r="426" spans="1:14">
      <c r="A426" s="3" t="s">
        <v>810</v>
      </c>
      <c r="B426" s="4" t="s">
        <v>811</v>
      </c>
      <c r="C426" s="5">
        <f t="shared" si="20"/>
        <v>0</v>
      </c>
      <c r="D426" s="5"/>
      <c r="E426" s="6">
        <f t="shared" si="18"/>
        <v>0</v>
      </c>
      <c r="F426" s="6">
        <f t="shared" si="19"/>
        <v>0</v>
      </c>
      <c r="G426" s="62"/>
      <c r="H426" s="62"/>
      <c r="I426" s="60"/>
      <c r="J426" s="60"/>
      <c r="K426" s="64"/>
      <c r="L426" s="64"/>
      <c r="M426" s="25"/>
      <c r="N426" s="25"/>
    </row>
    <row r="427" spans="1:14">
      <c r="A427" s="3" t="s">
        <v>812</v>
      </c>
      <c r="B427" s="4" t="s">
        <v>813</v>
      </c>
      <c r="C427" s="5">
        <f t="shared" si="20"/>
        <v>0</v>
      </c>
      <c r="D427" s="5"/>
      <c r="E427" s="6">
        <f t="shared" si="18"/>
        <v>0</v>
      </c>
      <c r="F427" s="6">
        <f t="shared" si="19"/>
        <v>0</v>
      </c>
      <c r="G427" s="62"/>
      <c r="H427" s="62"/>
      <c r="I427" s="60"/>
      <c r="J427" s="60"/>
      <c r="K427" s="64"/>
      <c r="L427" s="64"/>
      <c r="M427" s="25"/>
      <c r="N427" s="25"/>
    </row>
    <row r="428" spans="1:14">
      <c r="A428" s="3" t="s">
        <v>814</v>
      </c>
      <c r="B428" s="4" t="s">
        <v>815</v>
      </c>
      <c r="C428" s="5">
        <f t="shared" si="20"/>
        <v>0</v>
      </c>
      <c r="D428" s="5"/>
      <c r="E428" s="6">
        <f t="shared" si="18"/>
        <v>0</v>
      </c>
      <c r="F428" s="6">
        <f t="shared" si="19"/>
        <v>0</v>
      </c>
      <c r="G428" s="62"/>
      <c r="H428" s="62"/>
      <c r="I428" s="60"/>
      <c r="J428" s="60"/>
      <c r="K428" s="64"/>
      <c r="L428" s="64"/>
      <c r="M428" s="25"/>
      <c r="N428" s="25"/>
    </row>
    <row r="429" spans="1:14">
      <c r="A429" s="3" t="s">
        <v>816</v>
      </c>
      <c r="B429" s="4" t="s">
        <v>817</v>
      </c>
      <c r="C429" s="5">
        <f t="shared" si="20"/>
        <v>0</v>
      </c>
      <c r="D429" s="5"/>
      <c r="E429" s="6">
        <f t="shared" si="18"/>
        <v>0</v>
      </c>
      <c r="F429" s="6">
        <f t="shared" si="19"/>
        <v>0</v>
      </c>
      <c r="G429" s="62"/>
      <c r="H429" s="62"/>
      <c r="I429" s="60"/>
      <c r="J429" s="60"/>
      <c r="K429" s="64"/>
      <c r="L429" s="64"/>
      <c r="M429" s="25"/>
      <c r="N429" s="25"/>
    </row>
    <row r="430" spans="1:14">
      <c r="A430" s="3" t="s">
        <v>818</v>
      </c>
      <c r="B430" s="4" t="s">
        <v>819</v>
      </c>
      <c r="C430" s="5">
        <f t="shared" si="20"/>
        <v>0</v>
      </c>
      <c r="D430" s="5"/>
      <c r="E430" s="6">
        <f t="shared" si="18"/>
        <v>0</v>
      </c>
      <c r="F430" s="6">
        <f t="shared" si="19"/>
        <v>0</v>
      </c>
      <c r="G430" s="62"/>
      <c r="H430" s="62"/>
      <c r="I430" s="60"/>
      <c r="J430" s="60"/>
      <c r="K430" s="64"/>
      <c r="L430" s="64"/>
      <c r="M430" s="25"/>
      <c r="N430" s="25"/>
    </row>
    <row r="431" spans="1:14">
      <c r="A431" s="3" t="s">
        <v>820</v>
      </c>
      <c r="B431" s="4" t="s">
        <v>821</v>
      </c>
      <c r="C431" s="5">
        <f t="shared" si="20"/>
        <v>0</v>
      </c>
      <c r="D431" s="5"/>
      <c r="E431" s="6">
        <f t="shared" si="18"/>
        <v>0</v>
      </c>
      <c r="F431" s="6">
        <f t="shared" si="19"/>
        <v>0</v>
      </c>
      <c r="G431" s="62"/>
      <c r="H431" s="62"/>
      <c r="I431" s="60"/>
      <c r="J431" s="60"/>
      <c r="K431" s="64"/>
      <c r="L431" s="64"/>
      <c r="M431" s="25"/>
      <c r="N431" s="25"/>
    </row>
    <row r="432" spans="1:14">
      <c r="A432" s="3" t="s">
        <v>822</v>
      </c>
      <c r="B432" s="4" t="s">
        <v>823</v>
      </c>
      <c r="C432" s="5">
        <f t="shared" si="20"/>
        <v>0</v>
      </c>
      <c r="D432" s="5"/>
      <c r="E432" s="6">
        <f t="shared" si="18"/>
        <v>0</v>
      </c>
      <c r="F432" s="6">
        <f t="shared" si="19"/>
        <v>0</v>
      </c>
      <c r="G432" s="62"/>
      <c r="H432" s="62"/>
      <c r="I432" s="60"/>
      <c r="J432" s="60"/>
      <c r="K432" s="64"/>
      <c r="L432" s="64"/>
      <c r="M432" s="25"/>
      <c r="N432" s="25"/>
    </row>
    <row r="433" spans="1:14">
      <c r="A433" s="3" t="s">
        <v>824</v>
      </c>
      <c r="B433" s="4" t="s">
        <v>825</v>
      </c>
      <c r="C433" s="5">
        <f t="shared" si="20"/>
        <v>0</v>
      </c>
      <c r="D433" s="5"/>
      <c r="E433" s="6">
        <f t="shared" si="18"/>
        <v>0</v>
      </c>
      <c r="F433" s="6">
        <f t="shared" si="19"/>
        <v>0</v>
      </c>
      <c r="G433" s="62"/>
      <c r="H433" s="62"/>
      <c r="I433" s="60"/>
      <c r="J433" s="60"/>
      <c r="K433" s="64"/>
      <c r="L433" s="64"/>
      <c r="M433" s="25"/>
      <c r="N433" s="25"/>
    </row>
    <row r="434" spans="1:14">
      <c r="A434" s="3" t="s">
        <v>826</v>
      </c>
      <c r="B434" s="4" t="s">
        <v>827</v>
      </c>
      <c r="C434" s="5">
        <f t="shared" si="20"/>
        <v>0</v>
      </c>
      <c r="D434" s="5"/>
      <c r="E434" s="6">
        <f t="shared" si="18"/>
        <v>0</v>
      </c>
      <c r="F434" s="6">
        <f t="shared" si="19"/>
        <v>0</v>
      </c>
      <c r="G434" s="62"/>
      <c r="H434" s="62"/>
      <c r="I434" s="60"/>
      <c r="J434" s="60"/>
      <c r="K434" s="64"/>
      <c r="L434" s="64"/>
      <c r="M434" s="25"/>
      <c r="N434" s="25"/>
    </row>
    <row r="435" spans="1:14">
      <c r="A435" s="3" t="s">
        <v>828</v>
      </c>
      <c r="B435" s="4" t="s">
        <v>829</v>
      </c>
      <c r="C435" s="5">
        <f t="shared" si="20"/>
        <v>0</v>
      </c>
      <c r="D435" s="5"/>
      <c r="E435" s="6">
        <f t="shared" si="18"/>
        <v>0</v>
      </c>
      <c r="F435" s="6">
        <f t="shared" si="19"/>
        <v>0</v>
      </c>
      <c r="G435" s="62"/>
      <c r="H435" s="62"/>
      <c r="I435" s="60"/>
      <c r="J435" s="60"/>
      <c r="K435" s="64"/>
      <c r="L435" s="64"/>
      <c r="M435" s="25"/>
      <c r="N435" s="25"/>
    </row>
    <row r="436" spans="1:14">
      <c r="A436" s="3" t="s">
        <v>830</v>
      </c>
      <c r="B436" s="4" t="s">
        <v>831</v>
      </c>
      <c r="C436" s="5">
        <f t="shared" si="20"/>
        <v>0</v>
      </c>
      <c r="D436" s="5"/>
      <c r="E436" s="6">
        <f t="shared" si="18"/>
        <v>0</v>
      </c>
      <c r="F436" s="6">
        <f t="shared" si="19"/>
        <v>0</v>
      </c>
      <c r="G436" s="62"/>
      <c r="H436" s="62"/>
      <c r="I436" s="60"/>
      <c r="J436" s="60"/>
      <c r="K436" s="64"/>
      <c r="L436" s="64"/>
      <c r="M436" s="25"/>
      <c r="N436" s="25"/>
    </row>
    <row r="437" spans="1:14">
      <c r="A437" s="3" t="s">
        <v>832</v>
      </c>
      <c r="B437" s="4" t="s">
        <v>833</v>
      </c>
      <c r="C437" s="5">
        <f t="shared" si="20"/>
        <v>0</v>
      </c>
      <c r="D437" s="5"/>
      <c r="E437" s="6">
        <f t="shared" si="18"/>
        <v>0</v>
      </c>
      <c r="F437" s="6">
        <f t="shared" si="19"/>
        <v>0</v>
      </c>
      <c r="G437" s="62"/>
      <c r="H437" s="62"/>
      <c r="I437" s="60"/>
      <c r="J437" s="60"/>
      <c r="K437" s="64"/>
      <c r="L437" s="64"/>
      <c r="M437" s="25"/>
      <c r="N437" s="25"/>
    </row>
    <row r="438" spans="1:14">
      <c r="A438" s="3" t="s">
        <v>834</v>
      </c>
      <c r="B438" s="4" t="s">
        <v>835</v>
      </c>
      <c r="C438" s="5">
        <f t="shared" si="20"/>
        <v>0</v>
      </c>
      <c r="D438" s="5"/>
      <c r="E438" s="6">
        <f t="shared" si="18"/>
        <v>0</v>
      </c>
      <c r="F438" s="6">
        <f t="shared" si="19"/>
        <v>0</v>
      </c>
      <c r="G438" s="62"/>
      <c r="H438" s="62"/>
      <c r="I438" s="60"/>
      <c r="J438" s="60"/>
      <c r="K438" s="64"/>
      <c r="L438" s="64"/>
      <c r="M438" s="25"/>
      <c r="N438" s="25"/>
    </row>
    <row r="439" spans="1:14">
      <c r="A439" s="3" t="s">
        <v>836</v>
      </c>
      <c r="B439" s="4" t="s">
        <v>837</v>
      </c>
      <c r="C439" s="5">
        <f t="shared" si="20"/>
        <v>0</v>
      </c>
      <c r="D439" s="5"/>
      <c r="E439" s="6">
        <f t="shared" si="18"/>
        <v>0</v>
      </c>
      <c r="F439" s="6">
        <f t="shared" si="19"/>
        <v>0</v>
      </c>
      <c r="G439" s="62"/>
      <c r="H439" s="62"/>
      <c r="I439" s="60"/>
      <c r="J439" s="60"/>
      <c r="K439" s="64"/>
      <c r="L439" s="64"/>
      <c r="M439" s="25"/>
      <c r="N439" s="25"/>
    </row>
    <row r="440" spans="1:14">
      <c r="A440" s="3" t="s">
        <v>838</v>
      </c>
      <c r="B440" s="4" t="s">
        <v>839</v>
      </c>
      <c r="C440" s="5">
        <f t="shared" si="20"/>
        <v>0</v>
      </c>
      <c r="D440" s="5"/>
      <c r="E440" s="6">
        <f t="shared" si="18"/>
        <v>0</v>
      </c>
      <c r="F440" s="6">
        <f t="shared" si="19"/>
        <v>0</v>
      </c>
      <c r="G440" s="62"/>
      <c r="H440" s="62"/>
      <c r="I440" s="60"/>
      <c r="J440" s="60"/>
      <c r="K440" s="64"/>
      <c r="L440" s="64"/>
      <c r="M440" s="25"/>
      <c r="N440" s="25"/>
    </row>
    <row r="441" spans="1:14">
      <c r="A441" s="3" t="s">
        <v>840</v>
      </c>
      <c r="B441" s="4" t="s">
        <v>841</v>
      </c>
      <c r="C441" s="5">
        <f t="shared" si="20"/>
        <v>0</v>
      </c>
      <c r="D441" s="5"/>
      <c r="E441" s="6">
        <f t="shared" si="18"/>
        <v>0</v>
      </c>
      <c r="F441" s="6">
        <f t="shared" si="19"/>
        <v>0</v>
      </c>
      <c r="G441" s="62"/>
      <c r="H441" s="62"/>
      <c r="I441" s="60"/>
      <c r="J441" s="60"/>
      <c r="K441" s="64"/>
      <c r="L441" s="64"/>
      <c r="M441" s="25"/>
      <c r="N441" s="25"/>
    </row>
    <row r="442" spans="1:14">
      <c r="A442" s="3" t="s">
        <v>842</v>
      </c>
      <c r="B442" s="4" t="s">
        <v>843</v>
      </c>
      <c r="C442" s="5">
        <f t="shared" si="20"/>
        <v>0</v>
      </c>
      <c r="D442" s="5"/>
      <c r="E442" s="6">
        <f t="shared" si="18"/>
        <v>0</v>
      </c>
      <c r="F442" s="6">
        <f t="shared" si="19"/>
        <v>0</v>
      </c>
      <c r="G442" s="62"/>
      <c r="H442" s="62"/>
      <c r="I442" s="60"/>
      <c r="J442" s="60"/>
      <c r="K442" s="64"/>
      <c r="L442" s="64"/>
      <c r="M442" s="25"/>
      <c r="N442" s="25"/>
    </row>
    <row r="443" spans="1:14">
      <c r="A443" s="3" t="s">
        <v>844</v>
      </c>
      <c r="B443" s="4" t="s">
        <v>845</v>
      </c>
      <c r="C443" s="5">
        <f t="shared" si="20"/>
        <v>0</v>
      </c>
      <c r="D443" s="5"/>
      <c r="E443" s="6">
        <f t="shared" si="18"/>
        <v>0</v>
      </c>
      <c r="F443" s="6">
        <f t="shared" si="19"/>
        <v>0</v>
      </c>
      <c r="G443" s="62"/>
      <c r="H443" s="62"/>
      <c r="I443" s="60"/>
      <c r="J443" s="60"/>
      <c r="K443" s="64"/>
      <c r="L443" s="64"/>
      <c r="M443" s="25"/>
      <c r="N443" s="25"/>
    </row>
    <row r="444" spans="1:14">
      <c r="A444" s="3" t="s">
        <v>846</v>
      </c>
      <c r="B444" s="4" t="s">
        <v>847</v>
      </c>
      <c r="C444" s="5">
        <f t="shared" si="20"/>
        <v>0</v>
      </c>
      <c r="D444" s="5"/>
      <c r="E444" s="6">
        <f t="shared" si="18"/>
        <v>0</v>
      </c>
      <c r="F444" s="6">
        <f t="shared" si="19"/>
        <v>0</v>
      </c>
      <c r="G444" s="62"/>
      <c r="H444" s="62"/>
      <c r="I444" s="60"/>
      <c r="J444" s="60"/>
      <c r="K444" s="64"/>
      <c r="L444" s="64"/>
      <c r="M444" s="25"/>
      <c r="N444" s="25"/>
    </row>
    <row r="445" spans="1:14">
      <c r="A445" s="3" t="s">
        <v>848</v>
      </c>
      <c r="B445" s="4" t="s">
        <v>849</v>
      </c>
      <c r="C445" s="5">
        <f t="shared" si="20"/>
        <v>0</v>
      </c>
      <c r="D445" s="5"/>
      <c r="E445" s="6">
        <f t="shared" si="18"/>
        <v>0</v>
      </c>
      <c r="F445" s="6">
        <f t="shared" si="19"/>
        <v>0</v>
      </c>
      <c r="G445" s="62"/>
      <c r="H445" s="62"/>
      <c r="I445" s="60"/>
      <c r="J445" s="60"/>
      <c r="K445" s="64"/>
      <c r="L445" s="64"/>
      <c r="M445" s="25"/>
      <c r="N445" s="25"/>
    </row>
    <row r="446" spans="1:14">
      <c r="A446" s="3" t="s">
        <v>850</v>
      </c>
      <c r="B446" s="4" t="s">
        <v>851</v>
      </c>
      <c r="C446" s="5">
        <f t="shared" si="20"/>
        <v>0</v>
      </c>
      <c r="D446" s="5"/>
      <c r="E446" s="6">
        <f t="shared" si="18"/>
        <v>0</v>
      </c>
      <c r="F446" s="6">
        <f t="shared" si="19"/>
        <v>0</v>
      </c>
      <c r="G446" s="62"/>
      <c r="H446" s="62"/>
      <c r="I446" s="60"/>
      <c r="J446" s="60"/>
      <c r="K446" s="64"/>
      <c r="L446" s="64"/>
      <c r="M446" s="25"/>
      <c r="N446" s="25"/>
    </row>
    <row r="447" spans="1:14">
      <c r="A447" s="3" t="s">
        <v>852</v>
      </c>
      <c r="B447" s="4" t="s">
        <v>853</v>
      </c>
      <c r="C447" s="5">
        <f t="shared" si="20"/>
        <v>0</v>
      </c>
      <c r="D447" s="5"/>
      <c r="E447" s="6">
        <f t="shared" si="18"/>
        <v>0</v>
      </c>
      <c r="F447" s="6">
        <f t="shared" si="19"/>
        <v>0</v>
      </c>
      <c r="G447" s="62"/>
      <c r="H447" s="62"/>
      <c r="I447" s="60"/>
      <c r="J447" s="60"/>
      <c r="K447" s="64"/>
      <c r="L447" s="64"/>
      <c r="M447" s="25"/>
      <c r="N447" s="25"/>
    </row>
    <row r="448" spans="1:14">
      <c r="A448" s="3" t="s">
        <v>854</v>
      </c>
      <c r="B448" s="4">
        <v>954</v>
      </c>
      <c r="C448" s="5">
        <f t="shared" si="20"/>
        <v>0</v>
      </c>
      <c r="D448" s="5"/>
      <c r="E448" s="6">
        <f t="shared" si="18"/>
        <v>0</v>
      </c>
      <c r="F448" s="6">
        <f t="shared" si="19"/>
        <v>0</v>
      </c>
      <c r="G448" s="62"/>
      <c r="H448" s="62"/>
      <c r="I448" s="60"/>
      <c r="J448" s="60"/>
      <c r="K448" s="64"/>
      <c r="L448" s="64"/>
      <c r="M448" s="25"/>
      <c r="N448" s="25"/>
    </row>
    <row r="449" spans="1:14">
      <c r="A449" s="3" t="s">
        <v>855</v>
      </c>
      <c r="B449" s="4">
        <v>955</v>
      </c>
      <c r="C449" s="5">
        <f t="shared" si="20"/>
        <v>0</v>
      </c>
      <c r="D449" s="5"/>
      <c r="E449" s="6">
        <f t="shared" si="18"/>
        <v>0</v>
      </c>
      <c r="F449" s="6">
        <f t="shared" si="19"/>
        <v>0</v>
      </c>
      <c r="G449" s="62"/>
      <c r="H449" s="62"/>
      <c r="I449" s="60"/>
      <c r="J449" s="60"/>
      <c r="K449" s="64"/>
      <c r="L449" s="64"/>
      <c r="M449" s="25"/>
      <c r="N449" s="25"/>
    </row>
    <row r="450" spans="1:14">
      <c r="A450" s="3" t="s">
        <v>856</v>
      </c>
      <c r="B450" s="4" t="s">
        <v>857</v>
      </c>
      <c r="C450" s="5">
        <f t="shared" si="20"/>
        <v>0</v>
      </c>
      <c r="D450" s="5"/>
      <c r="E450" s="6">
        <f t="shared" si="18"/>
        <v>0</v>
      </c>
      <c r="F450" s="6">
        <f t="shared" si="19"/>
        <v>0</v>
      </c>
      <c r="G450" s="62"/>
      <c r="H450" s="62"/>
      <c r="I450" s="60"/>
      <c r="J450" s="60"/>
      <c r="K450" s="64"/>
      <c r="L450" s="64"/>
      <c r="M450" s="25"/>
      <c r="N450" s="25"/>
    </row>
    <row r="451" spans="1:14">
      <c r="A451" s="3" t="s">
        <v>858</v>
      </c>
      <c r="B451" s="4" t="s">
        <v>859</v>
      </c>
      <c r="C451" s="5">
        <f t="shared" si="20"/>
        <v>0</v>
      </c>
      <c r="D451" s="5"/>
      <c r="E451" s="6">
        <f t="shared" si="18"/>
        <v>0</v>
      </c>
      <c r="F451" s="6">
        <f t="shared" si="19"/>
        <v>0</v>
      </c>
      <c r="G451" s="62"/>
      <c r="H451" s="62"/>
      <c r="I451" s="60"/>
      <c r="J451" s="60"/>
      <c r="K451" s="64"/>
      <c r="L451" s="64"/>
      <c r="M451" s="25"/>
      <c r="N451" s="25"/>
    </row>
    <row r="452" spans="1:14">
      <c r="A452" s="3" t="s">
        <v>860</v>
      </c>
      <c r="B452" s="4" t="s">
        <v>861</v>
      </c>
      <c r="C452" s="5">
        <f t="shared" si="20"/>
        <v>0</v>
      </c>
      <c r="D452" s="5"/>
      <c r="E452" s="6">
        <f t="shared" si="18"/>
        <v>0</v>
      </c>
      <c r="F452" s="6">
        <f t="shared" si="19"/>
        <v>0</v>
      </c>
      <c r="G452" s="62"/>
      <c r="H452" s="62"/>
      <c r="I452" s="60"/>
      <c r="J452" s="60"/>
      <c r="K452" s="64"/>
      <c r="L452" s="64"/>
      <c r="M452" s="25"/>
      <c r="N452" s="25"/>
    </row>
    <row r="453" spans="1:14">
      <c r="A453" s="3" t="s">
        <v>862</v>
      </c>
      <c r="B453" s="4" t="s">
        <v>863</v>
      </c>
      <c r="C453" s="5">
        <f t="shared" si="20"/>
        <v>0</v>
      </c>
      <c r="D453" s="5"/>
      <c r="E453" s="6">
        <f t="shared" si="18"/>
        <v>0</v>
      </c>
      <c r="F453" s="6">
        <f t="shared" si="19"/>
        <v>0</v>
      </c>
      <c r="G453" s="62"/>
      <c r="H453" s="62"/>
      <c r="I453" s="60"/>
      <c r="J453" s="60"/>
      <c r="K453" s="64"/>
      <c r="L453" s="64"/>
      <c r="M453" s="25"/>
      <c r="N453" s="25"/>
    </row>
    <row r="454" spans="1:14">
      <c r="A454" s="3" t="s">
        <v>864</v>
      </c>
      <c r="B454" s="4" t="s">
        <v>865</v>
      </c>
      <c r="C454" s="5">
        <f t="shared" si="20"/>
        <v>0</v>
      </c>
      <c r="D454" s="5"/>
      <c r="E454" s="6">
        <f t="shared" si="18"/>
        <v>0</v>
      </c>
      <c r="F454" s="6">
        <f t="shared" si="19"/>
        <v>0</v>
      </c>
      <c r="G454" s="62"/>
      <c r="H454" s="62"/>
      <c r="I454" s="60"/>
      <c r="J454" s="60"/>
      <c r="K454" s="64"/>
      <c r="L454" s="64"/>
      <c r="M454" s="25"/>
      <c r="N454" s="25"/>
    </row>
    <row r="455" spans="1:14">
      <c r="A455" s="3" t="s">
        <v>866</v>
      </c>
      <c r="B455" s="4" t="s">
        <v>867</v>
      </c>
      <c r="C455" s="5">
        <f t="shared" si="20"/>
        <v>0</v>
      </c>
      <c r="D455" s="5"/>
      <c r="E455" s="6">
        <f t="shared" si="18"/>
        <v>0</v>
      </c>
      <c r="F455" s="6">
        <f t="shared" si="19"/>
        <v>0</v>
      </c>
      <c r="G455" s="62"/>
      <c r="H455" s="62"/>
      <c r="I455" s="60"/>
      <c r="J455" s="60"/>
      <c r="K455" s="64"/>
      <c r="L455" s="64"/>
      <c r="M455" s="25"/>
      <c r="N455" s="25"/>
    </row>
    <row r="456" spans="1:14">
      <c r="A456" s="3" t="s">
        <v>868</v>
      </c>
      <c r="B456" s="4" t="s">
        <v>869</v>
      </c>
      <c r="C456" s="5">
        <f t="shared" si="20"/>
        <v>0</v>
      </c>
      <c r="D456" s="5"/>
      <c r="E456" s="6">
        <f t="shared" si="18"/>
        <v>0</v>
      </c>
      <c r="F456" s="6">
        <f t="shared" si="19"/>
        <v>0</v>
      </c>
      <c r="G456" s="62"/>
      <c r="H456" s="62"/>
      <c r="I456" s="60"/>
      <c r="J456" s="60"/>
      <c r="K456" s="64"/>
      <c r="L456" s="64"/>
      <c r="M456" s="25"/>
      <c r="N456" s="25"/>
    </row>
    <row r="457" spans="1:14">
      <c r="A457" s="3" t="s">
        <v>870</v>
      </c>
      <c r="B457" s="4" t="s">
        <v>871</v>
      </c>
      <c r="C457" s="5">
        <f t="shared" si="20"/>
        <v>0</v>
      </c>
      <c r="D457" s="5"/>
      <c r="E457" s="6">
        <f t="shared" si="18"/>
        <v>0</v>
      </c>
      <c r="F457" s="6">
        <f t="shared" si="19"/>
        <v>0</v>
      </c>
      <c r="G457" s="62"/>
      <c r="H457" s="62"/>
      <c r="I457" s="60"/>
      <c r="J457" s="60"/>
      <c r="K457" s="64"/>
      <c r="L457" s="64"/>
      <c r="M457" s="25"/>
      <c r="N457" s="25"/>
    </row>
    <row r="458" spans="1:14">
      <c r="A458" s="3" t="s">
        <v>872</v>
      </c>
      <c r="B458" s="4" t="s">
        <v>873</v>
      </c>
      <c r="C458" s="5">
        <f t="shared" si="20"/>
        <v>0</v>
      </c>
      <c r="D458" s="5"/>
      <c r="E458" s="6">
        <f t="shared" si="18"/>
        <v>0</v>
      </c>
      <c r="F458" s="6">
        <f t="shared" si="19"/>
        <v>0</v>
      </c>
      <c r="G458" s="62"/>
      <c r="H458" s="62"/>
      <c r="I458" s="60"/>
      <c r="J458" s="60"/>
      <c r="K458" s="64"/>
      <c r="L458" s="64"/>
      <c r="M458" s="25"/>
      <c r="N458" s="25"/>
    </row>
    <row r="459" spans="1:14" s="67" customFormat="1" ht="15">
      <c r="A459" s="3" t="s">
        <v>874</v>
      </c>
      <c r="B459" s="4" t="s">
        <v>875</v>
      </c>
      <c r="C459" s="5">
        <f t="shared" si="20"/>
        <v>0</v>
      </c>
      <c r="D459" s="5"/>
      <c r="E459" s="6">
        <f t="shared" si="18"/>
        <v>0</v>
      </c>
      <c r="F459" s="6">
        <f t="shared" si="19"/>
        <v>0</v>
      </c>
      <c r="G459" s="62"/>
      <c r="H459" s="62"/>
      <c r="I459" s="60"/>
      <c r="J459" s="60"/>
      <c r="K459" s="64"/>
      <c r="L459" s="64"/>
      <c r="M459" s="25"/>
      <c r="N459" s="25"/>
    </row>
    <row r="460" spans="1:14">
      <c r="A460" s="3" t="s">
        <v>876</v>
      </c>
      <c r="B460" s="4" t="s">
        <v>877</v>
      </c>
      <c r="C460" s="5">
        <f t="shared" si="20"/>
        <v>0</v>
      </c>
      <c r="D460" s="5"/>
      <c r="E460" s="6">
        <f t="shared" si="18"/>
        <v>0</v>
      </c>
      <c r="F460" s="6">
        <f t="shared" si="19"/>
        <v>0</v>
      </c>
      <c r="G460" s="62"/>
      <c r="H460" s="62"/>
      <c r="I460" s="60"/>
      <c r="J460" s="60"/>
      <c r="K460" s="64"/>
      <c r="L460" s="64"/>
      <c r="M460" s="25"/>
      <c r="N460" s="25"/>
    </row>
    <row r="461" spans="1:14" s="1" customFormat="1">
      <c r="A461" s="3" t="s">
        <v>878</v>
      </c>
      <c r="B461" s="4" t="s">
        <v>879</v>
      </c>
      <c r="C461" s="5">
        <f t="shared" si="20"/>
        <v>0</v>
      </c>
      <c r="D461" s="5"/>
      <c r="E461" s="6">
        <f t="shared" si="18"/>
        <v>0</v>
      </c>
      <c r="F461" s="6">
        <f t="shared" si="19"/>
        <v>0</v>
      </c>
      <c r="G461" s="62"/>
      <c r="H461" s="62"/>
      <c r="I461" s="60"/>
      <c r="J461" s="60"/>
      <c r="K461" s="64"/>
      <c r="L461" s="64"/>
      <c r="M461" s="25"/>
      <c r="N461" s="25"/>
    </row>
    <row r="462" spans="1:14" ht="17.25">
      <c r="A462" s="13" t="s">
        <v>880</v>
      </c>
      <c r="B462" s="14"/>
      <c r="C462" s="15">
        <f>SUM(C13:C461)</f>
        <v>0</v>
      </c>
      <c r="D462" s="15">
        <f>SUM(D13:D461)</f>
        <v>0</v>
      </c>
      <c r="E462" s="16">
        <f>SUM(E13:E461)</f>
        <v>0</v>
      </c>
      <c r="F462" s="16">
        <f>SUM(F13:F461)</f>
        <v>0</v>
      </c>
      <c r="G462" s="90">
        <f>SUM(G13:G461)</f>
        <v>0</v>
      </c>
      <c r="H462" s="90">
        <f t="shared" ref="H462:N462" si="21">SUM(H13:H461)</f>
        <v>0</v>
      </c>
      <c r="I462" s="91">
        <f t="shared" si="21"/>
        <v>0</v>
      </c>
      <c r="J462" s="91">
        <f t="shared" si="21"/>
        <v>0</v>
      </c>
      <c r="K462" s="92">
        <f t="shared" si="21"/>
        <v>0</v>
      </c>
      <c r="L462" s="92">
        <f t="shared" si="21"/>
        <v>0</v>
      </c>
      <c r="M462" s="93">
        <f t="shared" si="21"/>
        <v>0</v>
      </c>
      <c r="N462" s="93">
        <f t="shared" si="21"/>
        <v>0</v>
      </c>
    </row>
    <row r="463" spans="1:14" hidden="1">
      <c r="A463" s="17" t="s">
        <v>881</v>
      </c>
      <c r="B463" s="18"/>
    </row>
    <row r="464" spans="1:14" hidden="1">
      <c r="A464" s="20" t="s">
        <v>882</v>
      </c>
      <c r="B464" s="21"/>
    </row>
    <row r="465" spans="1:14" hidden="1">
      <c r="A465" s="20" t="s">
        <v>883</v>
      </c>
      <c r="B465" s="21"/>
    </row>
    <row r="466" spans="1:14" hidden="1">
      <c r="A466" s="22" t="s">
        <v>884</v>
      </c>
      <c r="B466" s="21"/>
    </row>
    <row r="467" spans="1:14" hidden="1">
      <c r="A467" s="22" t="s">
        <v>885</v>
      </c>
      <c r="B467" s="21"/>
    </row>
    <row r="468" spans="1:14" hidden="1">
      <c r="A468" s="20" t="s">
        <v>886</v>
      </c>
      <c r="B468" s="21"/>
    </row>
    <row r="469" spans="1:14" hidden="1">
      <c r="A469" s="20" t="s">
        <v>887</v>
      </c>
      <c r="B469" s="21"/>
    </row>
    <row r="470" spans="1:14" hidden="1">
      <c r="A470" s="20" t="s">
        <v>888</v>
      </c>
      <c r="B470" s="21"/>
    </row>
    <row r="471" spans="1:14" hidden="1">
      <c r="A471" s="22" t="s">
        <v>889</v>
      </c>
      <c r="B471" s="21"/>
    </row>
    <row r="472" spans="1:14" hidden="1">
      <c r="A472" s="22" t="s">
        <v>890</v>
      </c>
      <c r="B472" s="21"/>
    </row>
    <row r="473" spans="1:14" hidden="1">
      <c r="A473" s="20" t="s">
        <v>891</v>
      </c>
      <c r="B473" s="21"/>
    </row>
    <row r="474" spans="1:14" hidden="1">
      <c r="A474" s="20" t="s">
        <v>892</v>
      </c>
      <c r="B474" s="21"/>
    </row>
    <row r="475" spans="1:14">
      <c r="A475" s="23"/>
      <c r="B475" s="24"/>
      <c r="D475" s="19">
        <f>D462-C462</f>
        <v>0</v>
      </c>
      <c r="F475" s="19">
        <f>F462-E462</f>
        <v>0</v>
      </c>
      <c r="H475" s="19">
        <f>H462-G462</f>
        <v>0</v>
      </c>
      <c r="J475" s="19">
        <f>J462-I462</f>
        <v>0</v>
      </c>
      <c r="L475" s="19">
        <f>L462-K462</f>
        <v>0</v>
      </c>
      <c r="N475" s="19">
        <f>N462-M462</f>
        <v>0</v>
      </c>
    </row>
    <row r="476" spans="1:14">
      <c r="A476" s="23"/>
      <c r="B476" s="24"/>
    </row>
    <row r="477" spans="1:14">
      <c r="A477" s="23"/>
      <c r="B477" s="24"/>
    </row>
    <row r="478" spans="1:14">
      <c r="A478" s="23"/>
      <c r="B478" s="75" t="s">
        <v>893</v>
      </c>
    </row>
    <row r="479" spans="1:14">
      <c r="A479" s="23"/>
      <c r="B479" s="24"/>
    </row>
    <row r="480" spans="1:14">
      <c r="A480" s="23"/>
      <c r="B480" s="24"/>
    </row>
    <row r="481" spans="1:2">
      <c r="A481" s="23"/>
      <c r="B481" s="24"/>
    </row>
    <row r="482" spans="1:2">
      <c r="A482" s="23"/>
      <c r="B482" s="24"/>
    </row>
    <row r="483" spans="1:2">
      <c r="A483" s="23"/>
      <c r="B483" s="24"/>
    </row>
  </sheetData>
  <mergeCells count="28">
    <mergeCell ref="K9:L10"/>
    <mergeCell ref="L11:L12"/>
    <mergeCell ref="K11:K12"/>
    <mergeCell ref="M9:N10"/>
    <mergeCell ref="N11:N12"/>
    <mergeCell ref="M11:M12"/>
    <mergeCell ref="E11:E12"/>
    <mergeCell ref="G11:G12"/>
    <mergeCell ref="H11:H12"/>
    <mergeCell ref="E9:F10"/>
    <mergeCell ref="I9:J10"/>
    <mergeCell ref="I11:I12"/>
    <mergeCell ref="J11:J12"/>
    <mergeCell ref="F11:F12"/>
    <mergeCell ref="G9:H10"/>
    <mergeCell ref="A6:D6"/>
    <mergeCell ref="A7:D7"/>
    <mergeCell ref="A8:D8"/>
    <mergeCell ref="C10:D10"/>
    <mergeCell ref="A11:A12"/>
    <mergeCell ref="B11:B12"/>
    <mergeCell ref="C11:C12"/>
    <mergeCell ref="D11:D12"/>
    <mergeCell ref="A1:D1"/>
    <mergeCell ref="A2:D2"/>
    <mergeCell ref="A3:D3"/>
    <mergeCell ref="A4:D4"/>
    <mergeCell ref="A5:D5"/>
  </mergeCells>
  <printOptions horizontalCentered="1"/>
  <pageMargins left="1" right="1" top="1" bottom="1" header="0.5" footer="0.5"/>
  <pageSetup paperSize="149" scale="8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A1:N483"/>
  <sheetViews>
    <sheetView workbookViewId="0">
      <selection sqref="A1:D1"/>
    </sheetView>
  </sheetViews>
  <sheetFormatPr defaultRowHeight="14.25"/>
  <cols>
    <col min="1" max="1" width="49.7109375" style="19" customWidth="1"/>
    <col min="2" max="2" width="9.7109375" style="69" customWidth="1"/>
    <col min="3" max="6" width="18.7109375" style="19" customWidth="1"/>
    <col min="7" max="7" width="20" style="19" customWidth="1"/>
    <col min="8" max="8" width="18.7109375" style="19" customWidth="1"/>
    <col min="9" max="9" width="20.28515625" style="19" bestFit="1" customWidth="1"/>
    <col min="10" max="10" width="18.7109375" style="19" customWidth="1"/>
    <col min="11" max="11" width="20" style="19" customWidth="1"/>
    <col min="12" max="12" width="18.7109375" style="19" customWidth="1"/>
    <col min="13" max="13" width="20.28515625" style="19" bestFit="1" customWidth="1"/>
    <col min="14" max="14" width="18.7109375" style="19" customWidth="1"/>
    <col min="15" max="16384" width="9.140625" style="19"/>
  </cols>
  <sheetData>
    <row r="1" spans="1:14">
      <c r="A1" s="238" t="s">
        <v>0</v>
      </c>
      <c r="B1" s="238"/>
      <c r="C1" s="238"/>
      <c r="D1" s="238"/>
    </row>
    <row r="2" spans="1:14">
      <c r="A2" s="238" t="s">
        <v>1</v>
      </c>
      <c r="B2" s="238"/>
      <c r="C2" s="238"/>
      <c r="D2" s="238"/>
    </row>
    <row r="3" spans="1:14">
      <c r="A3" s="238" t="s">
        <v>2</v>
      </c>
      <c r="B3" s="238"/>
      <c r="C3" s="238"/>
      <c r="D3" s="238"/>
    </row>
    <row r="4" spans="1:14">
      <c r="A4" s="238"/>
      <c r="B4" s="238"/>
      <c r="C4" s="238"/>
      <c r="D4" s="238"/>
    </row>
    <row r="5" spans="1:14" ht="15">
      <c r="A5" s="238" t="s">
        <v>3</v>
      </c>
      <c r="B5" s="239"/>
      <c r="C5" s="238"/>
      <c r="D5" s="238"/>
    </row>
    <row r="6" spans="1:14" ht="15">
      <c r="A6" s="238" t="s">
        <v>4</v>
      </c>
      <c r="B6" s="239"/>
      <c r="C6" s="238"/>
      <c r="D6" s="238"/>
    </row>
    <row r="7" spans="1:14">
      <c r="A7" s="238" t="s">
        <v>1003</v>
      </c>
      <c r="B7" s="240"/>
      <c r="C7" s="238"/>
      <c r="D7" s="238"/>
    </row>
    <row r="8" spans="1:14">
      <c r="A8" s="238"/>
      <c r="B8" s="240"/>
      <c r="C8" s="238"/>
      <c r="D8" s="238"/>
    </row>
    <row r="9" spans="1:14" s="67" customFormat="1" ht="15">
      <c r="A9" s="66"/>
      <c r="B9" s="66"/>
      <c r="E9" s="250" t="str">
        <f>A7</f>
        <v>As of  February 28, 2011</v>
      </c>
      <c r="F9" s="251"/>
      <c r="G9" s="261" t="s">
        <v>10</v>
      </c>
      <c r="H9" s="262"/>
      <c r="I9" s="254" t="s">
        <v>1009</v>
      </c>
      <c r="J9" s="255"/>
      <c r="K9" s="265" t="s">
        <v>1010</v>
      </c>
      <c r="L9" s="265"/>
      <c r="M9" s="267" t="s">
        <v>11</v>
      </c>
      <c r="N9" s="267"/>
    </row>
    <row r="10" spans="1:14" ht="14.25" customHeight="1">
      <c r="A10" s="68"/>
      <c r="C10" s="241"/>
      <c r="D10" s="242"/>
      <c r="E10" s="252"/>
      <c r="F10" s="253"/>
      <c r="G10" s="263"/>
      <c r="H10" s="264"/>
      <c r="I10" s="256"/>
      <c r="J10" s="257"/>
      <c r="K10" s="265"/>
      <c r="L10" s="265"/>
      <c r="M10" s="267"/>
      <c r="N10" s="267"/>
    </row>
    <row r="11" spans="1:14" ht="15" customHeight="1">
      <c r="A11" s="243" t="s">
        <v>6</v>
      </c>
      <c r="B11" s="245" t="s">
        <v>7</v>
      </c>
      <c r="C11" s="243" t="s">
        <v>8</v>
      </c>
      <c r="D11" s="243" t="s">
        <v>9</v>
      </c>
      <c r="E11" s="247" t="s">
        <v>8</v>
      </c>
      <c r="F11" s="259" t="s">
        <v>9</v>
      </c>
      <c r="G11" s="249" t="s">
        <v>8</v>
      </c>
      <c r="H11" s="249" t="s">
        <v>9</v>
      </c>
      <c r="I11" s="258" t="s">
        <v>8</v>
      </c>
      <c r="J11" s="258" t="s">
        <v>9</v>
      </c>
      <c r="K11" s="266" t="s">
        <v>8</v>
      </c>
      <c r="L11" s="266" t="s">
        <v>9</v>
      </c>
      <c r="M11" s="268" t="s">
        <v>8</v>
      </c>
      <c r="N11" s="268" t="s">
        <v>9</v>
      </c>
    </row>
    <row r="12" spans="1:14">
      <c r="A12" s="244"/>
      <c r="B12" s="246"/>
      <c r="C12" s="244"/>
      <c r="D12" s="244"/>
      <c r="E12" s="248"/>
      <c r="F12" s="260"/>
      <c r="G12" s="249"/>
      <c r="H12" s="249"/>
      <c r="I12" s="258"/>
      <c r="J12" s="258"/>
      <c r="K12" s="266"/>
      <c r="L12" s="266"/>
      <c r="M12" s="268"/>
      <c r="N12" s="268"/>
    </row>
    <row r="13" spans="1:14">
      <c r="A13" s="3" t="s">
        <v>12</v>
      </c>
      <c r="B13" s="4">
        <v>101</v>
      </c>
      <c r="C13" s="5">
        <f>E13-F13</f>
        <v>0</v>
      </c>
      <c r="D13" s="5"/>
      <c r="E13" s="6">
        <f>SUM(G13,I13,K13,M13)</f>
        <v>0</v>
      </c>
      <c r="F13" s="6">
        <f>SUM(H13,J13,L13,N13)</f>
        <v>0</v>
      </c>
      <c r="G13" s="62"/>
      <c r="H13" s="62"/>
      <c r="I13" s="60"/>
      <c r="J13" s="60"/>
      <c r="K13" s="64"/>
      <c r="L13" s="64"/>
      <c r="M13" s="25"/>
      <c r="N13" s="25"/>
    </row>
    <row r="14" spans="1:14">
      <c r="A14" s="3" t="s">
        <v>13</v>
      </c>
      <c r="B14" s="4" t="s">
        <v>14</v>
      </c>
      <c r="C14" s="5">
        <f>E14-F14</f>
        <v>0</v>
      </c>
      <c r="D14" s="5"/>
      <c r="E14" s="6">
        <f t="shared" ref="E14:E77" si="0">SUM(G14,I14,K14,M14)</f>
        <v>0</v>
      </c>
      <c r="F14" s="6">
        <f t="shared" ref="F14:F77" si="1">SUM(H14,J14,L14,N14)</f>
        <v>0</v>
      </c>
      <c r="G14" s="62"/>
      <c r="H14" s="62"/>
      <c r="I14" s="60"/>
      <c r="J14" s="60"/>
      <c r="K14" s="64"/>
      <c r="L14" s="64"/>
      <c r="M14" s="25"/>
      <c r="N14" s="25"/>
    </row>
    <row r="15" spans="1:14">
      <c r="A15" s="3" t="s">
        <v>15</v>
      </c>
      <c r="B15" s="4" t="s">
        <v>16</v>
      </c>
      <c r="C15" s="5">
        <f>E15-F15</f>
        <v>0</v>
      </c>
      <c r="D15" s="5"/>
      <c r="E15" s="6">
        <f t="shared" si="0"/>
        <v>0</v>
      </c>
      <c r="F15" s="6">
        <f t="shared" si="1"/>
        <v>0</v>
      </c>
      <c r="G15" s="63"/>
      <c r="H15" s="63"/>
      <c r="I15" s="61"/>
      <c r="J15" s="61"/>
      <c r="K15" s="65"/>
      <c r="L15" s="65"/>
      <c r="M15" s="26"/>
      <c r="N15" s="26"/>
    </row>
    <row r="16" spans="1:14">
      <c r="A16" s="3" t="s">
        <v>17</v>
      </c>
      <c r="B16" s="4" t="s">
        <v>18</v>
      </c>
      <c r="C16" s="5">
        <f>E16-F16</f>
        <v>0</v>
      </c>
      <c r="D16" s="5"/>
      <c r="E16" s="6">
        <f t="shared" si="0"/>
        <v>0</v>
      </c>
      <c r="F16" s="6">
        <f t="shared" si="1"/>
        <v>0</v>
      </c>
      <c r="G16" s="62"/>
      <c r="H16" s="62"/>
      <c r="I16" s="60"/>
      <c r="J16" s="60"/>
      <c r="K16" s="64"/>
      <c r="L16" s="64"/>
      <c r="M16" s="25"/>
      <c r="N16" s="25"/>
    </row>
    <row r="17" spans="1:14">
      <c r="A17" s="3" t="s">
        <v>19</v>
      </c>
      <c r="B17" s="4" t="s">
        <v>20</v>
      </c>
      <c r="C17" s="7">
        <f>E17-F17</f>
        <v>0</v>
      </c>
      <c r="D17" s="7"/>
      <c r="E17" s="6">
        <f t="shared" si="0"/>
        <v>0</v>
      </c>
      <c r="F17" s="6">
        <f t="shared" si="1"/>
        <v>0</v>
      </c>
      <c r="G17" s="62"/>
      <c r="H17" s="62"/>
      <c r="I17" s="60"/>
      <c r="J17" s="60"/>
      <c r="K17" s="64"/>
      <c r="L17" s="64"/>
      <c r="M17" s="25"/>
      <c r="N17" s="25"/>
    </row>
    <row r="18" spans="1:14">
      <c r="A18" s="3" t="s">
        <v>21</v>
      </c>
      <c r="B18" s="4">
        <v>110</v>
      </c>
      <c r="C18" s="7">
        <f t="shared" ref="C18:C80" si="2">E18-F18</f>
        <v>0</v>
      </c>
      <c r="D18" s="7"/>
      <c r="E18" s="6">
        <f t="shared" si="0"/>
        <v>0</v>
      </c>
      <c r="F18" s="6">
        <f t="shared" si="1"/>
        <v>0</v>
      </c>
      <c r="G18" s="62"/>
      <c r="H18" s="62"/>
      <c r="I18" s="60"/>
      <c r="J18" s="60"/>
      <c r="K18" s="64"/>
      <c r="L18" s="64"/>
      <c r="M18" s="25"/>
      <c r="N18" s="25"/>
    </row>
    <row r="19" spans="1:14">
      <c r="A19" s="8" t="s">
        <v>22</v>
      </c>
      <c r="B19" s="4">
        <v>111</v>
      </c>
      <c r="C19" s="7">
        <f t="shared" si="2"/>
        <v>0</v>
      </c>
      <c r="D19" s="7"/>
      <c r="E19" s="6">
        <f t="shared" si="0"/>
        <v>0</v>
      </c>
      <c r="F19" s="6">
        <f t="shared" si="1"/>
        <v>0</v>
      </c>
      <c r="G19" s="62"/>
      <c r="H19" s="62"/>
      <c r="I19" s="60"/>
      <c r="J19" s="60"/>
      <c r="K19" s="64"/>
      <c r="L19" s="64"/>
      <c r="M19" s="25"/>
      <c r="N19" s="25"/>
    </row>
    <row r="20" spans="1:14">
      <c r="A20" s="8" t="s">
        <v>23</v>
      </c>
      <c r="B20" s="4">
        <v>112</v>
      </c>
      <c r="C20" s="7">
        <f t="shared" si="2"/>
        <v>0</v>
      </c>
      <c r="D20" s="7"/>
      <c r="E20" s="6">
        <f t="shared" si="0"/>
        <v>0</v>
      </c>
      <c r="F20" s="6">
        <f t="shared" si="1"/>
        <v>0</v>
      </c>
      <c r="G20" s="62"/>
      <c r="H20" s="62"/>
      <c r="I20" s="60"/>
      <c r="J20" s="60"/>
      <c r="K20" s="64"/>
      <c r="L20" s="64"/>
      <c r="M20" s="25"/>
      <c r="N20" s="25"/>
    </row>
    <row r="21" spans="1:14">
      <c r="A21" s="3" t="s">
        <v>24</v>
      </c>
      <c r="B21" s="4">
        <v>113</v>
      </c>
      <c r="C21" s="7">
        <f t="shared" si="2"/>
        <v>0</v>
      </c>
      <c r="D21" s="7"/>
      <c r="E21" s="6">
        <f t="shared" si="0"/>
        <v>0</v>
      </c>
      <c r="F21" s="6">
        <f t="shared" si="1"/>
        <v>0</v>
      </c>
      <c r="G21" s="62"/>
      <c r="H21" s="62"/>
      <c r="I21" s="60"/>
      <c r="J21" s="60"/>
      <c r="K21" s="64"/>
      <c r="L21" s="64"/>
      <c r="M21" s="25"/>
      <c r="N21" s="25"/>
    </row>
    <row r="22" spans="1:14">
      <c r="A22" s="3" t="s">
        <v>21</v>
      </c>
      <c r="B22" s="4">
        <v>114</v>
      </c>
      <c r="C22" s="7">
        <f t="shared" si="2"/>
        <v>0</v>
      </c>
      <c r="D22" s="7"/>
      <c r="E22" s="6">
        <f t="shared" si="0"/>
        <v>0</v>
      </c>
      <c r="F22" s="6">
        <f t="shared" si="1"/>
        <v>0</v>
      </c>
      <c r="G22" s="62"/>
      <c r="H22" s="62"/>
      <c r="I22" s="60"/>
      <c r="J22" s="60"/>
      <c r="K22" s="64"/>
      <c r="L22" s="64"/>
      <c r="M22" s="25"/>
      <c r="N22" s="25"/>
    </row>
    <row r="23" spans="1:14">
      <c r="A23" s="3" t="s">
        <v>25</v>
      </c>
      <c r="B23" s="4">
        <v>115</v>
      </c>
      <c r="C23" s="7">
        <f t="shared" si="2"/>
        <v>0</v>
      </c>
      <c r="D23" s="7"/>
      <c r="E23" s="6">
        <f t="shared" si="0"/>
        <v>0</v>
      </c>
      <c r="F23" s="6">
        <f t="shared" si="1"/>
        <v>0</v>
      </c>
      <c r="G23" s="62"/>
      <c r="H23" s="62"/>
      <c r="I23" s="60"/>
      <c r="J23" s="60"/>
      <c r="K23" s="64"/>
      <c r="L23" s="64"/>
      <c r="M23" s="25"/>
      <c r="N23" s="25"/>
    </row>
    <row r="24" spans="1:14">
      <c r="A24" s="3" t="s">
        <v>26</v>
      </c>
      <c r="B24" s="4" t="s">
        <v>27</v>
      </c>
      <c r="C24" s="7">
        <f t="shared" si="2"/>
        <v>0</v>
      </c>
      <c r="D24" s="7"/>
      <c r="E24" s="6">
        <f t="shared" si="0"/>
        <v>0</v>
      </c>
      <c r="F24" s="6">
        <f t="shared" si="1"/>
        <v>0</v>
      </c>
      <c r="G24" s="62"/>
      <c r="H24" s="62"/>
      <c r="I24" s="60"/>
      <c r="J24" s="60"/>
      <c r="K24" s="64"/>
      <c r="L24" s="64"/>
      <c r="M24" s="25"/>
      <c r="N24" s="25"/>
    </row>
    <row r="25" spans="1:14">
      <c r="A25" s="3" t="s">
        <v>28</v>
      </c>
      <c r="B25" s="4" t="s">
        <v>29</v>
      </c>
      <c r="C25" s="7">
        <f t="shared" si="2"/>
        <v>0</v>
      </c>
      <c r="D25" s="7"/>
      <c r="E25" s="6">
        <f t="shared" si="0"/>
        <v>0</v>
      </c>
      <c r="F25" s="6">
        <f t="shared" si="1"/>
        <v>0</v>
      </c>
      <c r="G25" s="62"/>
      <c r="H25" s="62"/>
      <c r="I25" s="60"/>
      <c r="J25" s="60"/>
      <c r="K25" s="64"/>
      <c r="L25" s="64"/>
      <c r="M25" s="25"/>
      <c r="N25" s="25"/>
    </row>
    <row r="26" spans="1:14">
      <c r="A26" s="3" t="s">
        <v>30</v>
      </c>
      <c r="B26" s="4" t="s">
        <v>31</v>
      </c>
      <c r="C26" s="7">
        <f t="shared" si="2"/>
        <v>0</v>
      </c>
      <c r="D26" s="7"/>
      <c r="E26" s="6">
        <f t="shared" si="0"/>
        <v>0</v>
      </c>
      <c r="F26" s="6">
        <f t="shared" si="1"/>
        <v>0</v>
      </c>
      <c r="G26" s="62"/>
      <c r="H26" s="62"/>
      <c r="I26" s="60"/>
      <c r="J26" s="60"/>
      <c r="K26" s="64"/>
      <c r="L26" s="64"/>
      <c r="M26" s="25"/>
      <c r="N26" s="25"/>
    </row>
    <row r="27" spans="1:14">
      <c r="A27" s="3" t="s">
        <v>32</v>
      </c>
      <c r="B27" s="4" t="s">
        <v>33</v>
      </c>
      <c r="C27" s="7">
        <f t="shared" si="2"/>
        <v>0</v>
      </c>
      <c r="D27" s="7"/>
      <c r="E27" s="6">
        <f t="shared" si="0"/>
        <v>0</v>
      </c>
      <c r="F27" s="6">
        <f t="shared" si="1"/>
        <v>0</v>
      </c>
      <c r="G27" s="62"/>
      <c r="H27" s="62"/>
      <c r="I27" s="60"/>
      <c r="J27" s="60"/>
      <c r="K27" s="64"/>
      <c r="L27" s="64"/>
      <c r="M27" s="25"/>
      <c r="N27" s="25"/>
    </row>
    <row r="28" spans="1:14">
      <c r="A28" s="3" t="s">
        <v>34</v>
      </c>
      <c r="B28" s="4" t="s">
        <v>35</v>
      </c>
      <c r="C28" s="7">
        <f t="shared" si="2"/>
        <v>0</v>
      </c>
      <c r="D28" s="7"/>
      <c r="E28" s="6">
        <f t="shared" si="0"/>
        <v>0</v>
      </c>
      <c r="F28" s="6">
        <f t="shared" si="1"/>
        <v>0</v>
      </c>
      <c r="G28" s="62"/>
      <c r="H28" s="62"/>
      <c r="I28" s="60"/>
      <c r="J28" s="60"/>
      <c r="K28" s="64"/>
      <c r="L28" s="64"/>
      <c r="M28" s="25"/>
      <c r="N28" s="25"/>
    </row>
    <row r="29" spans="1:14">
      <c r="A29" s="3" t="s">
        <v>36</v>
      </c>
      <c r="B29" s="4" t="s">
        <v>37</v>
      </c>
      <c r="C29" s="7">
        <f t="shared" si="2"/>
        <v>0</v>
      </c>
      <c r="D29" s="7"/>
      <c r="E29" s="6">
        <f t="shared" si="0"/>
        <v>0</v>
      </c>
      <c r="F29" s="6">
        <f t="shared" si="1"/>
        <v>0</v>
      </c>
      <c r="G29" s="62"/>
      <c r="H29" s="62"/>
      <c r="I29" s="60"/>
      <c r="J29" s="60"/>
      <c r="K29" s="64"/>
      <c r="L29" s="64"/>
      <c r="M29" s="25"/>
      <c r="N29" s="25"/>
    </row>
    <row r="30" spans="1:14">
      <c r="A30" s="3" t="s">
        <v>38</v>
      </c>
      <c r="B30" s="4" t="s">
        <v>39</v>
      </c>
      <c r="C30" s="7">
        <f t="shared" si="2"/>
        <v>0</v>
      </c>
      <c r="D30" s="7"/>
      <c r="E30" s="6">
        <f t="shared" si="0"/>
        <v>0</v>
      </c>
      <c r="F30" s="6">
        <f t="shared" si="1"/>
        <v>0</v>
      </c>
      <c r="G30" s="62"/>
      <c r="H30" s="62"/>
      <c r="I30" s="60"/>
      <c r="J30" s="60"/>
      <c r="K30" s="64"/>
      <c r="L30" s="64"/>
      <c r="M30" s="25"/>
      <c r="N30" s="25"/>
    </row>
    <row r="31" spans="1:14">
      <c r="A31" s="3" t="s">
        <v>40</v>
      </c>
      <c r="B31" s="4" t="s">
        <v>41</v>
      </c>
      <c r="C31" s="7">
        <f t="shared" si="2"/>
        <v>0</v>
      </c>
      <c r="D31" s="7"/>
      <c r="E31" s="6">
        <f t="shared" si="0"/>
        <v>0</v>
      </c>
      <c r="F31" s="6">
        <f t="shared" si="1"/>
        <v>0</v>
      </c>
      <c r="G31" s="62"/>
      <c r="H31" s="62"/>
      <c r="I31" s="60"/>
      <c r="J31" s="60"/>
      <c r="K31" s="64"/>
      <c r="L31" s="64"/>
      <c r="M31" s="25"/>
      <c r="N31" s="25"/>
    </row>
    <row r="32" spans="1:14">
      <c r="A32" s="3" t="s">
        <v>42</v>
      </c>
      <c r="B32" s="4" t="s">
        <v>43</v>
      </c>
      <c r="C32" s="7">
        <f t="shared" si="2"/>
        <v>0</v>
      </c>
      <c r="D32" s="7"/>
      <c r="E32" s="6">
        <f t="shared" si="0"/>
        <v>0</v>
      </c>
      <c r="F32" s="6">
        <f t="shared" si="1"/>
        <v>0</v>
      </c>
      <c r="G32" s="62"/>
      <c r="H32" s="62"/>
      <c r="I32" s="60"/>
      <c r="J32" s="60"/>
      <c r="K32" s="64"/>
      <c r="L32" s="64"/>
      <c r="M32" s="25"/>
      <c r="N32" s="25"/>
    </row>
    <row r="33" spans="1:14">
      <c r="A33" s="3" t="s">
        <v>44</v>
      </c>
      <c r="B33" s="4" t="s">
        <v>45</v>
      </c>
      <c r="C33" s="7">
        <f t="shared" si="2"/>
        <v>0</v>
      </c>
      <c r="D33" s="7"/>
      <c r="E33" s="6">
        <f t="shared" si="0"/>
        <v>0</v>
      </c>
      <c r="F33" s="6">
        <f t="shared" si="1"/>
        <v>0</v>
      </c>
      <c r="G33" s="62"/>
      <c r="H33" s="62"/>
      <c r="I33" s="60"/>
      <c r="J33" s="60"/>
      <c r="K33" s="64"/>
      <c r="L33" s="64"/>
      <c r="M33" s="25"/>
      <c r="N33" s="25"/>
    </row>
    <row r="34" spans="1:14">
      <c r="A34" s="3" t="s">
        <v>46</v>
      </c>
      <c r="B34" s="4" t="s">
        <v>47</v>
      </c>
      <c r="C34" s="7">
        <f t="shared" si="2"/>
        <v>0</v>
      </c>
      <c r="D34" s="7"/>
      <c r="E34" s="6">
        <f t="shared" si="0"/>
        <v>0</v>
      </c>
      <c r="F34" s="6">
        <f t="shared" si="1"/>
        <v>0</v>
      </c>
      <c r="G34" s="62"/>
      <c r="H34" s="62"/>
      <c r="I34" s="60"/>
      <c r="J34" s="60"/>
      <c r="K34" s="64"/>
      <c r="L34" s="64"/>
      <c r="M34" s="25"/>
      <c r="N34" s="25"/>
    </row>
    <row r="35" spans="1:14">
      <c r="A35" s="3" t="s">
        <v>48</v>
      </c>
      <c r="B35" s="4" t="s">
        <v>49</v>
      </c>
      <c r="C35" s="7">
        <f t="shared" si="2"/>
        <v>0</v>
      </c>
      <c r="D35" s="7"/>
      <c r="E35" s="6">
        <f t="shared" si="0"/>
        <v>0</v>
      </c>
      <c r="F35" s="6">
        <f t="shared" si="1"/>
        <v>0</v>
      </c>
      <c r="G35" s="62"/>
      <c r="H35" s="62"/>
      <c r="I35" s="60"/>
      <c r="J35" s="60"/>
      <c r="K35" s="64"/>
      <c r="L35" s="64"/>
      <c r="M35" s="25"/>
      <c r="N35" s="25"/>
    </row>
    <row r="36" spans="1:14">
      <c r="A36" s="3" t="s">
        <v>50</v>
      </c>
      <c r="B36" s="4" t="s">
        <v>51</v>
      </c>
      <c r="C36" s="7">
        <f t="shared" si="2"/>
        <v>0</v>
      </c>
      <c r="D36" s="7"/>
      <c r="E36" s="6">
        <f t="shared" si="0"/>
        <v>0</v>
      </c>
      <c r="F36" s="6">
        <f t="shared" si="1"/>
        <v>0</v>
      </c>
      <c r="G36" s="62"/>
      <c r="H36" s="62"/>
      <c r="I36" s="60"/>
      <c r="J36" s="60"/>
      <c r="K36" s="64"/>
      <c r="L36" s="64"/>
      <c r="M36" s="25"/>
      <c r="N36" s="25"/>
    </row>
    <row r="37" spans="1:14">
      <c r="A37" s="3" t="s">
        <v>52</v>
      </c>
      <c r="B37" s="4" t="s">
        <v>53</v>
      </c>
      <c r="C37" s="7">
        <f t="shared" si="2"/>
        <v>0</v>
      </c>
      <c r="D37" s="7"/>
      <c r="E37" s="6">
        <f t="shared" si="0"/>
        <v>0</v>
      </c>
      <c r="F37" s="6">
        <f t="shared" si="1"/>
        <v>0</v>
      </c>
      <c r="G37" s="62"/>
      <c r="H37" s="62"/>
      <c r="I37" s="60"/>
      <c r="J37" s="60"/>
      <c r="K37" s="64"/>
      <c r="L37" s="64"/>
      <c r="M37" s="25"/>
      <c r="N37" s="25"/>
    </row>
    <row r="38" spans="1:14">
      <c r="A38" s="3" t="s">
        <v>54</v>
      </c>
      <c r="B38" s="9">
        <v>138</v>
      </c>
      <c r="C38" s="7">
        <f t="shared" si="2"/>
        <v>0</v>
      </c>
      <c r="D38" s="7"/>
      <c r="E38" s="6">
        <f t="shared" si="0"/>
        <v>0</v>
      </c>
      <c r="F38" s="6">
        <f t="shared" si="1"/>
        <v>0</v>
      </c>
      <c r="G38" s="62"/>
      <c r="H38" s="62"/>
      <c r="I38" s="60"/>
      <c r="J38" s="60"/>
      <c r="K38" s="64"/>
      <c r="L38" s="64"/>
      <c r="M38" s="25"/>
      <c r="N38" s="25"/>
    </row>
    <row r="39" spans="1:14">
      <c r="A39" s="3" t="s">
        <v>55</v>
      </c>
      <c r="B39" s="4" t="s">
        <v>56</v>
      </c>
      <c r="C39" s="7">
        <f t="shared" si="2"/>
        <v>0</v>
      </c>
      <c r="D39" s="7"/>
      <c r="E39" s="6">
        <f t="shared" si="0"/>
        <v>0</v>
      </c>
      <c r="F39" s="6">
        <f t="shared" si="1"/>
        <v>0</v>
      </c>
      <c r="G39" s="62"/>
      <c r="H39" s="62"/>
      <c r="I39" s="60"/>
      <c r="J39" s="60"/>
      <c r="K39" s="64"/>
      <c r="L39" s="64"/>
      <c r="M39" s="25"/>
      <c r="N39" s="25"/>
    </row>
    <row r="40" spans="1:14">
      <c r="A40" s="3" t="s">
        <v>57</v>
      </c>
      <c r="B40" s="9">
        <v>144</v>
      </c>
      <c r="C40" s="7">
        <f t="shared" si="2"/>
        <v>0</v>
      </c>
      <c r="D40" s="7"/>
      <c r="E40" s="6">
        <f t="shared" si="0"/>
        <v>0</v>
      </c>
      <c r="F40" s="6">
        <f t="shared" si="1"/>
        <v>0</v>
      </c>
      <c r="G40" s="62"/>
      <c r="H40" s="62"/>
      <c r="I40" s="60"/>
      <c r="J40" s="60"/>
      <c r="K40" s="64"/>
      <c r="L40" s="64"/>
      <c r="M40" s="25"/>
      <c r="N40" s="25"/>
    </row>
    <row r="41" spans="1:14">
      <c r="A41" s="3" t="s">
        <v>58</v>
      </c>
      <c r="B41" s="4" t="s">
        <v>59</v>
      </c>
      <c r="C41" s="7">
        <f t="shared" si="2"/>
        <v>0</v>
      </c>
      <c r="D41" s="7"/>
      <c r="E41" s="6">
        <f t="shared" si="0"/>
        <v>0</v>
      </c>
      <c r="F41" s="6">
        <f t="shared" si="1"/>
        <v>0</v>
      </c>
      <c r="G41" s="62"/>
      <c r="H41" s="62"/>
      <c r="I41" s="60"/>
      <c r="J41" s="60"/>
      <c r="K41" s="64"/>
      <c r="L41" s="64"/>
      <c r="M41" s="25"/>
      <c r="N41" s="25"/>
    </row>
    <row r="42" spans="1:14">
      <c r="A42" s="3" t="s">
        <v>60</v>
      </c>
      <c r="B42" s="4" t="s">
        <v>61</v>
      </c>
      <c r="C42" s="7">
        <f t="shared" si="2"/>
        <v>0</v>
      </c>
      <c r="D42" s="7"/>
      <c r="E42" s="6">
        <f t="shared" si="0"/>
        <v>0</v>
      </c>
      <c r="F42" s="6">
        <f t="shared" si="1"/>
        <v>0</v>
      </c>
      <c r="G42" s="62"/>
      <c r="H42" s="62"/>
      <c r="I42" s="60"/>
      <c r="J42" s="60"/>
      <c r="K42" s="64"/>
      <c r="L42" s="64"/>
      <c r="M42" s="25"/>
      <c r="N42" s="25"/>
    </row>
    <row r="43" spans="1:14">
      <c r="A43" s="3" t="s">
        <v>62</v>
      </c>
      <c r="B43" s="4" t="s">
        <v>63</v>
      </c>
      <c r="C43" s="7">
        <f t="shared" si="2"/>
        <v>0</v>
      </c>
      <c r="D43" s="7"/>
      <c r="E43" s="6">
        <f t="shared" si="0"/>
        <v>0</v>
      </c>
      <c r="F43" s="6">
        <f t="shared" si="1"/>
        <v>0</v>
      </c>
      <c r="G43" s="62"/>
      <c r="H43" s="62"/>
      <c r="I43" s="60"/>
      <c r="J43" s="60"/>
      <c r="K43" s="64"/>
      <c r="L43" s="64"/>
      <c r="M43" s="25"/>
      <c r="N43" s="25"/>
    </row>
    <row r="44" spans="1:14">
      <c r="A44" s="3" t="s">
        <v>64</v>
      </c>
      <c r="B44" s="4" t="s">
        <v>65</v>
      </c>
      <c r="C44" s="7">
        <f t="shared" si="2"/>
        <v>0</v>
      </c>
      <c r="D44" s="7"/>
      <c r="E44" s="6">
        <f t="shared" si="0"/>
        <v>0</v>
      </c>
      <c r="F44" s="6">
        <f t="shared" si="1"/>
        <v>0</v>
      </c>
      <c r="G44" s="62"/>
      <c r="H44" s="62"/>
      <c r="I44" s="60"/>
      <c r="J44" s="60"/>
      <c r="K44" s="64"/>
      <c r="L44" s="64"/>
      <c r="M44" s="25"/>
      <c r="N44" s="25"/>
    </row>
    <row r="45" spans="1:14">
      <c r="A45" s="3" t="s">
        <v>66</v>
      </c>
      <c r="B45" s="4" t="s">
        <v>67</v>
      </c>
      <c r="C45" s="7">
        <f t="shared" si="2"/>
        <v>0</v>
      </c>
      <c r="D45" s="7"/>
      <c r="E45" s="6">
        <f t="shared" si="0"/>
        <v>0</v>
      </c>
      <c r="F45" s="6">
        <f t="shared" si="1"/>
        <v>0</v>
      </c>
      <c r="G45" s="62"/>
      <c r="H45" s="62"/>
      <c r="I45" s="60"/>
      <c r="J45" s="60"/>
      <c r="K45" s="64"/>
      <c r="L45" s="64"/>
      <c r="M45" s="25"/>
      <c r="N45" s="25"/>
    </row>
    <row r="46" spans="1:14">
      <c r="A46" s="3" t="s">
        <v>68</v>
      </c>
      <c r="B46" s="4" t="s">
        <v>69</v>
      </c>
      <c r="C46" s="7">
        <f t="shared" si="2"/>
        <v>0</v>
      </c>
      <c r="D46" s="7"/>
      <c r="E46" s="6">
        <f t="shared" si="0"/>
        <v>0</v>
      </c>
      <c r="F46" s="6">
        <f t="shared" si="1"/>
        <v>0</v>
      </c>
      <c r="G46" s="62"/>
      <c r="H46" s="62"/>
      <c r="I46" s="60"/>
      <c r="J46" s="60"/>
      <c r="K46" s="64"/>
      <c r="L46" s="64"/>
      <c r="M46" s="25"/>
      <c r="N46" s="25"/>
    </row>
    <row r="47" spans="1:14">
      <c r="A47" s="3" t="s">
        <v>70</v>
      </c>
      <c r="B47" s="4" t="s">
        <v>71</v>
      </c>
      <c r="C47" s="7">
        <f t="shared" si="2"/>
        <v>0</v>
      </c>
      <c r="D47" s="7"/>
      <c r="E47" s="6">
        <f t="shared" si="0"/>
        <v>0</v>
      </c>
      <c r="F47" s="6">
        <f t="shared" si="1"/>
        <v>0</v>
      </c>
      <c r="G47" s="62"/>
      <c r="H47" s="62"/>
      <c r="I47" s="60"/>
      <c r="J47" s="60"/>
      <c r="K47" s="64"/>
      <c r="L47" s="64"/>
      <c r="M47" s="25"/>
      <c r="N47" s="25"/>
    </row>
    <row r="48" spans="1:14">
      <c r="A48" s="3" t="s">
        <v>72</v>
      </c>
      <c r="B48" s="4" t="s">
        <v>73</v>
      </c>
      <c r="C48" s="7">
        <f t="shared" si="2"/>
        <v>0</v>
      </c>
      <c r="D48" s="7"/>
      <c r="E48" s="6">
        <f t="shared" si="0"/>
        <v>0</v>
      </c>
      <c r="F48" s="6">
        <f t="shared" si="1"/>
        <v>0</v>
      </c>
      <c r="G48" s="62"/>
      <c r="H48" s="62"/>
      <c r="I48" s="60"/>
      <c r="J48" s="60"/>
      <c r="K48" s="64"/>
      <c r="L48" s="64"/>
      <c r="M48" s="25"/>
      <c r="N48" s="25"/>
    </row>
    <row r="49" spans="1:14">
      <c r="A49" s="3" t="s">
        <v>74</v>
      </c>
      <c r="B49" s="4" t="s">
        <v>75</v>
      </c>
      <c r="C49" s="7">
        <f t="shared" si="2"/>
        <v>0</v>
      </c>
      <c r="D49" s="7"/>
      <c r="E49" s="6">
        <f t="shared" si="0"/>
        <v>0</v>
      </c>
      <c r="F49" s="6">
        <f t="shared" si="1"/>
        <v>0</v>
      </c>
      <c r="G49" s="62"/>
      <c r="H49" s="62"/>
      <c r="I49" s="60"/>
      <c r="J49" s="60"/>
      <c r="K49" s="64"/>
      <c r="L49" s="64"/>
      <c r="M49" s="25"/>
      <c r="N49" s="25"/>
    </row>
    <row r="50" spans="1:14">
      <c r="A50" s="3" t="s">
        <v>76</v>
      </c>
      <c r="B50" s="4" t="s">
        <v>77</v>
      </c>
      <c r="C50" s="7">
        <f t="shared" si="2"/>
        <v>0</v>
      </c>
      <c r="D50" s="7"/>
      <c r="E50" s="6">
        <f t="shared" si="0"/>
        <v>0</v>
      </c>
      <c r="F50" s="6">
        <f t="shared" si="1"/>
        <v>0</v>
      </c>
      <c r="G50" s="62"/>
      <c r="H50" s="62"/>
      <c r="I50" s="60"/>
      <c r="J50" s="60"/>
      <c r="K50" s="64"/>
      <c r="L50" s="64"/>
      <c r="M50" s="25"/>
      <c r="N50" s="25"/>
    </row>
    <row r="51" spans="1:14">
      <c r="A51" s="3" t="s">
        <v>78</v>
      </c>
      <c r="B51" s="4" t="s">
        <v>79</v>
      </c>
      <c r="C51" s="7">
        <f t="shared" si="2"/>
        <v>0</v>
      </c>
      <c r="D51" s="7"/>
      <c r="E51" s="6">
        <f t="shared" si="0"/>
        <v>0</v>
      </c>
      <c r="F51" s="6">
        <f t="shared" si="1"/>
        <v>0</v>
      </c>
      <c r="G51" s="62"/>
      <c r="H51" s="62"/>
      <c r="I51" s="60"/>
      <c r="J51" s="60"/>
      <c r="K51" s="64"/>
      <c r="L51" s="64"/>
      <c r="M51" s="25"/>
      <c r="N51" s="25"/>
    </row>
    <row r="52" spans="1:14">
      <c r="A52" s="3" t="s">
        <v>80</v>
      </c>
      <c r="B52" s="4" t="s">
        <v>81</v>
      </c>
      <c r="C52" s="7">
        <f t="shared" si="2"/>
        <v>0</v>
      </c>
      <c r="D52" s="7"/>
      <c r="E52" s="6">
        <f t="shared" si="0"/>
        <v>0</v>
      </c>
      <c r="F52" s="6">
        <f t="shared" si="1"/>
        <v>0</v>
      </c>
      <c r="G52" s="62"/>
      <c r="H52" s="62"/>
      <c r="I52" s="60"/>
      <c r="J52" s="60"/>
      <c r="K52" s="64"/>
      <c r="L52" s="64"/>
      <c r="M52" s="25"/>
      <c r="N52" s="25"/>
    </row>
    <row r="53" spans="1:14">
      <c r="A53" s="8" t="s">
        <v>82</v>
      </c>
      <c r="B53" s="4" t="s">
        <v>83</v>
      </c>
      <c r="C53" s="7">
        <f t="shared" si="2"/>
        <v>0</v>
      </c>
      <c r="D53" s="7"/>
      <c r="E53" s="6">
        <f t="shared" si="0"/>
        <v>0</v>
      </c>
      <c r="F53" s="6">
        <f t="shared" si="1"/>
        <v>0</v>
      </c>
      <c r="G53" s="62"/>
      <c r="H53" s="62"/>
      <c r="I53" s="60"/>
      <c r="J53" s="60"/>
      <c r="K53" s="64"/>
      <c r="L53" s="64"/>
      <c r="M53" s="25"/>
      <c r="N53" s="25"/>
    </row>
    <row r="54" spans="1:14">
      <c r="A54" s="3" t="s">
        <v>84</v>
      </c>
      <c r="B54" s="4" t="s">
        <v>85</v>
      </c>
      <c r="C54" s="7">
        <f t="shared" si="2"/>
        <v>0</v>
      </c>
      <c r="D54" s="7"/>
      <c r="E54" s="6">
        <f t="shared" si="0"/>
        <v>0</v>
      </c>
      <c r="F54" s="6">
        <f t="shared" si="1"/>
        <v>0</v>
      </c>
      <c r="G54" s="62"/>
      <c r="H54" s="62"/>
      <c r="I54" s="60"/>
      <c r="J54" s="60"/>
      <c r="K54" s="64"/>
      <c r="L54" s="64"/>
      <c r="M54" s="25"/>
      <c r="N54" s="25"/>
    </row>
    <row r="55" spans="1:14">
      <c r="A55" s="3" t="s">
        <v>86</v>
      </c>
      <c r="B55" s="4" t="s">
        <v>87</v>
      </c>
      <c r="C55" s="7">
        <f t="shared" si="2"/>
        <v>0</v>
      </c>
      <c r="D55" s="7"/>
      <c r="E55" s="6">
        <f t="shared" si="0"/>
        <v>0</v>
      </c>
      <c r="F55" s="6">
        <f t="shared" si="1"/>
        <v>0</v>
      </c>
      <c r="G55" s="62"/>
      <c r="H55" s="62"/>
      <c r="I55" s="60"/>
      <c r="J55" s="60"/>
      <c r="K55" s="64"/>
      <c r="L55" s="64"/>
      <c r="M55" s="25"/>
      <c r="N55" s="25"/>
    </row>
    <row r="56" spans="1:14">
      <c r="A56" s="8" t="s">
        <v>88</v>
      </c>
      <c r="B56" s="4" t="s">
        <v>89</v>
      </c>
      <c r="C56" s="7">
        <f t="shared" si="2"/>
        <v>0</v>
      </c>
      <c r="D56" s="7"/>
      <c r="E56" s="6">
        <f t="shared" si="0"/>
        <v>0</v>
      </c>
      <c r="F56" s="6">
        <f t="shared" si="1"/>
        <v>0</v>
      </c>
      <c r="G56" s="62"/>
      <c r="H56" s="62"/>
      <c r="I56" s="60"/>
      <c r="J56" s="60"/>
      <c r="K56" s="64"/>
      <c r="L56" s="64"/>
      <c r="M56" s="25"/>
      <c r="N56" s="25"/>
    </row>
    <row r="57" spans="1:14">
      <c r="A57" s="3" t="s">
        <v>90</v>
      </c>
      <c r="B57" s="4" t="s">
        <v>91</v>
      </c>
      <c r="C57" s="7">
        <f t="shared" si="2"/>
        <v>0</v>
      </c>
      <c r="D57" s="7"/>
      <c r="E57" s="6">
        <f t="shared" si="0"/>
        <v>0</v>
      </c>
      <c r="F57" s="6">
        <f t="shared" si="1"/>
        <v>0</v>
      </c>
      <c r="G57" s="62"/>
      <c r="H57" s="62"/>
      <c r="I57" s="60"/>
      <c r="J57" s="60"/>
      <c r="K57" s="64"/>
      <c r="L57" s="64"/>
      <c r="M57" s="25"/>
      <c r="N57" s="25"/>
    </row>
    <row r="58" spans="1:14">
      <c r="A58" s="3" t="s">
        <v>92</v>
      </c>
      <c r="B58" s="4">
        <v>165</v>
      </c>
      <c r="C58" s="7">
        <f t="shared" si="2"/>
        <v>0</v>
      </c>
      <c r="D58" s="7"/>
      <c r="E58" s="6">
        <f t="shared" si="0"/>
        <v>0</v>
      </c>
      <c r="F58" s="6">
        <f t="shared" si="1"/>
        <v>0</v>
      </c>
      <c r="G58" s="62"/>
      <c r="H58" s="62"/>
      <c r="I58" s="60"/>
      <c r="J58" s="60"/>
      <c r="K58" s="64"/>
      <c r="L58" s="64"/>
      <c r="M58" s="25"/>
      <c r="N58" s="25"/>
    </row>
    <row r="59" spans="1:14">
      <c r="A59" s="3" t="s">
        <v>93</v>
      </c>
      <c r="B59" s="4">
        <v>166</v>
      </c>
      <c r="C59" s="7">
        <f t="shared" si="2"/>
        <v>0</v>
      </c>
      <c r="D59" s="7"/>
      <c r="E59" s="6">
        <f t="shared" si="0"/>
        <v>0</v>
      </c>
      <c r="F59" s="6">
        <f t="shared" si="1"/>
        <v>0</v>
      </c>
      <c r="G59" s="62"/>
      <c r="H59" s="62"/>
      <c r="I59" s="60"/>
      <c r="J59" s="60"/>
      <c r="K59" s="64"/>
      <c r="L59" s="64"/>
      <c r="M59" s="25"/>
      <c r="N59" s="25"/>
    </row>
    <row r="60" spans="1:14">
      <c r="A60" s="3" t="s">
        <v>94</v>
      </c>
      <c r="B60" s="4">
        <v>167</v>
      </c>
      <c r="C60" s="7">
        <f t="shared" si="2"/>
        <v>0</v>
      </c>
      <c r="D60" s="7"/>
      <c r="E60" s="6">
        <f t="shared" si="0"/>
        <v>0</v>
      </c>
      <c r="F60" s="6">
        <f t="shared" si="1"/>
        <v>0</v>
      </c>
      <c r="G60" s="62"/>
      <c r="H60" s="62"/>
      <c r="I60" s="60"/>
      <c r="J60" s="60"/>
      <c r="K60" s="64"/>
      <c r="L60" s="64"/>
      <c r="M60" s="25"/>
      <c r="N60" s="25"/>
    </row>
    <row r="61" spans="1:14">
      <c r="A61" s="3" t="s">
        <v>95</v>
      </c>
      <c r="B61" s="4" t="s">
        <v>96</v>
      </c>
      <c r="C61" s="7">
        <f t="shared" si="2"/>
        <v>0</v>
      </c>
      <c r="D61" s="7"/>
      <c r="E61" s="6">
        <f t="shared" si="0"/>
        <v>0</v>
      </c>
      <c r="F61" s="6">
        <f t="shared" si="1"/>
        <v>0</v>
      </c>
      <c r="G61" s="62"/>
      <c r="H61" s="62"/>
      <c r="I61" s="60"/>
      <c r="J61" s="60"/>
      <c r="K61" s="64"/>
      <c r="L61" s="64"/>
      <c r="M61" s="25"/>
      <c r="N61" s="25"/>
    </row>
    <row r="62" spans="1:14">
      <c r="A62" s="3" t="s">
        <v>97</v>
      </c>
      <c r="B62" s="4" t="s">
        <v>98</v>
      </c>
      <c r="C62" s="7">
        <f t="shared" si="2"/>
        <v>0</v>
      </c>
      <c r="D62" s="7"/>
      <c r="E62" s="6">
        <f t="shared" si="0"/>
        <v>0</v>
      </c>
      <c r="F62" s="6">
        <f t="shared" si="1"/>
        <v>0</v>
      </c>
      <c r="G62" s="62"/>
      <c r="H62" s="62"/>
      <c r="I62" s="60"/>
      <c r="J62" s="60"/>
      <c r="K62" s="64"/>
      <c r="L62" s="64"/>
      <c r="M62" s="25"/>
      <c r="N62" s="25"/>
    </row>
    <row r="63" spans="1:14">
      <c r="A63" s="3" t="s">
        <v>99</v>
      </c>
      <c r="B63" s="4" t="s">
        <v>100</v>
      </c>
      <c r="C63" s="7">
        <f t="shared" si="2"/>
        <v>0</v>
      </c>
      <c r="D63" s="7"/>
      <c r="E63" s="6">
        <f t="shared" si="0"/>
        <v>0</v>
      </c>
      <c r="F63" s="6">
        <f t="shared" si="1"/>
        <v>0</v>
      </c>
      <c r="G63" s="62"/>
      <c r="H63" s="62"/>
      <c r="I63" s="60"/>
      <c r="J63" s="60"/>
      <c r="K63" s="64"/>
      <c r="L63" s="64"/>
      <c r="M63" s="25"/>
      <c r="N63" s="25"/>
    </row>
    <row r="64" spans="1:14">
      <c r="A64" s="3" t="s">
        <v>101</v>
      </c>
      <c r="B64" s="4" t="s">
        <v>102</v>
      </c>
      <c r="C64" s="7">
        <f t="shared" si="2"/>
        <v>0</v>
      </c>
      <c r="D64" s="7"/>
      <c r="E64" s="6">
        <f t="shared" si="0"/>
        <v>0</v>
      </c>
      <c r="F64" s="6">
        <f t="shared" si="1"/>
        <v>0</v>
      </c>
      <c r="G64" s="62"/>
      <c r="H64" s="62"/>
      <c r="I64" s="60"/>
      <c r="J64" s="60"/>
      <c r="K64" s="64"/>
      <c r="L64" s="64"/>
      <c r="M64" s="25"/>
      <c r="N64" s="25"/>
    </row>
    <row r="65" spans="1:14">
      <c r="A65" s="3" t="s">
        <v>103</v>
      </c>
      <c r="B65" s="4" t="s">
        <v>104</v>
      </c>
      <c r="C65" s="7">
        <f t="shared" si="2"/>
        <v>0</v>
      </c>
      <c r="D65" s="7"/>
      <c r="E65" s="6">
        <f t="shared" si="0"/>
        <v>0</v>
      </c>
      <c r="F65" s="6">
        <f t="shared" si="1"/>
        <v>0</v>
      </c>
      <c r="G65" s="62"/>
      <c r="H65" s="62"/>
      <c r="I65" s="60"/>
      <c r="J65" s="60"/>
      <c r="K65" s="64"/>
      <c r="L65" s="64"/>
      <c r="M65" s="25"/>
      <c r="N65" s="25"/>
    </row>
    <row r="66" spans="1:14">
      <c r="A66" s="3" t="s">
        <v>105</v>
      </c>
      <c r="B66" s="9">
        <v>178</v>
      </c>
      <c r="C66" s="7">
        <f t="shared" si="2"/>
        <v>0</v>
      </c>
      <c r="D66" s="7"/>
      <c r="E66" s="6">
        <f t="shared" si="0"/>
        <v>0</v>
      </c>
      <c r="F66" s="6">
        <f t="shared" si="1"/>
        <v>0</v>
      </c>
      <c r="G66" s="62"/>
      <c r="H66" s="62"/>
      <c r="I66" s="60"/>
      <c r="J66" s="60"/>
      <c r="K66" s="64"/>
      <c r="L66" s="64"/>
      <c r="M66" s="25"/>
      <c r="N66" s="25"/>
    </row>
    <row r="67" spans="1:14">
      <c r="A67" s="3" t="s">
        <v>106</v>
      </c>
      <c r="B67" s="4">
        <v>179</v>
      </c>
      <c r="C67" s="7">
        <f t="shared" si="2"/>
        <v>0</v>
      </c>
      <c r="D67" s="7"/>
      <c r="E67" s="6">
        <f t="shared" si="0"/>
        <v>0</v>
      </c>
      <c r="F67" s="6">
        <f t="shared" si="1"/>
        <v>0</v>
      </c>
      <c r="G67" s="62"/>
      <c r="H67" s="62"/>
      <c r="I67" s="60"/>
      <c r="J67" s="60"/>
      <c r="K67" s="64"/>
      <c r="L67" s="64"/>
      <c r="M67" s="25"/>
      <c r="N67" s="25"/>
    </row>
    <row r="68" spans="1:14">
      <c r="A68" s="3" t="s">
        <v>107</v>
      </c>
      <c r="B68" s="9">
        <v>180</v>
      </c>
      <c r="C68" s="7">
        <f t="shared" si="2"/>
        <v>0</v>
      </c>
      <c r="D68" s="7"/>
      <c r="E68" s="6">
        <f t="shared" si="0"/>
        <v>0</v>
      </c>
      <c r="F68" s="6">
        <f t="shared" si="1"/>
        <v>0</v>
      </c>
      <c r="G68" s="62"/>
      <c r="H68" s="62"/>
      <c r="I68" s="60"/>
      <c r="J68" s="60"/>
      <c r="K68" s="64"/>
      <c r="L68" s="64"/>
      <c r="M68" s="25"/>
      <c r="N68" s="25"/>
    </row>
    <row r="69" spans="1:14">
      <c r="A69" s="3" t="s">
        <v>108</v>
      </c>
      <c r="B69" s="9">
        <v>181</v>
      </c>
      <c r="C69" s="7">
        <f t="shared" si="2"/>
        <v>0</v>
      </c>
      <c r="D69" s="7"/>
      <c r="E69" s="6">
        <f t="shared" si="0"/>
        <v>0</v>
      </c>
      <c r="F69" s="6">
        <f t="shared" si="1"/>
        <v>0</v>
      </c>
      <c r="G69" s="62"/>
      <c r="H69" s="62"/>
      <c r="I69" s="60"/>
      <c r="J69" s="60"/>
      <c r="K69" s="64"/>
      <c r="L69" s="64"/>
      <c r="M69" s="25"/>
      <c r="N69" s="25"/>
    </row>
    <row r="70" spans="1:14">
      <c r="A70" s="3" t="s">
        <v>109</v>
      </c>
      <c r="B70" s="9">
        <v>182</v>
      </c>
      <c r="C70" s="7">
        <f t="shared" si="2"/>
        <v>0</v>
      </c>
      <c r="D70" s="7"/>
      <c r="E70" s="6">
        <f t="shared" si="0"/>
        <v>0</v>
      </c>
      <c r="F70" s="6">
        <f t="shared" si="1"/>
        <v>0</v>
      </c>
      <c r="G70" s="62"/>
      <c r="H70" s="62"/>
      <c r="I70" s="60"/>
      <c r="J70" s="60"/>
      <c r="K70" s="64"/>
      <c r="L70" s="64"/>
      <c r="M70" s="25"/>
      <c r="N70" s="25"/>
    </row>
    <row r="71" spans="1:14">
      <c r="A71" s="3" t="s">
        <v>110</v>
      </c>
      <c r="B71" s="9">
        <v>185</v>
      </c>
      <c r="C71" s="7">
        <f t="shared" si="2"/>
        <v>0</v>
      </c>
      <c r="D71" s="7"/>
      <c r="E71" s="6">
        <f t="shared" si="0"/>
        <v>0</v>
      </c>
      <c r="F71" s="6">
        <f t="shared" si="1"/>
        <v>0</v>
      </c>
      <c r="G71" s="62"/>
      <c r="H71" s="62"/>
      <c r="I71" s="60"/>
      <c r="J71" s="60"/>
      <c r="K71" s="64"/>
      <c r="L71" s="64"/>
      <c r="M71" s="25"/>
      <c r="N71" s="25"/>
    </row>
    <row r="72" spans="1:14">
      <c r="A72" s="3" t="s">
        <v>111</v>
      </c>
      <c r="B72" s="4" t="s">
        <v>112</v>
      </c>
      <c r="C72" s="7">
        <f t="shared" si="2"/>
        <v>0</v>
      </c>
      <c r="D72" s="7"/>
      <c r="E72" s="6">
        <f t="shared" si="0"/>
        <v>0</v>
      </c>
      <c r="F72" s="6">
        <f t="shared" si="1"/>
        <v>0</v>
      </c>
      <c r="G72" s="62"/>
      <c r="H72" s="62"/>
      <c r="I72" s="60"/>
      <c r="J72" s="60"/>
      <c r="K72" s="64"/>
      <c r="L72" s="64"/>
      <c r="M72" s="25"/>
      <c r="N72" s="25"/>
    </row>
    <row r="73" spans="1:14">
      <c r="A73" s="3" t="s">
        <v>113</v>
      </c>
      <c r="B73" s="4" t="s">
        <v>114</v>
      </c>
      <c r="C73" s="7">
        <f t="shared" si="2"/>
        <v>0</v>
      </c>
      <c r="D73" s="7"/>
      <c r="E73" s="6">
        <f t="shared" si="0"/>
        <v>0</v>
      </c>
      <c r="F73" s="6">
        <f t="shared" si="1"/>
        <v>0</v>
      </c>
      <c r="G73" s="62"/>
      <c r="H73" s="62"/>
      <c r="I73" s="60"/>
      <c r="J73" s="60"/>
      <c r="K73" s="64"/>
      <c r="L73" s="64"/>
      <c r="M73" s="25"/>
      <c r="N73" s="25"/>
    </row>
    <row r="74" spans="1:14">
      <c r="A74" s="3" t="s">
        <v>115</v>
      </c>
      <c r="B74" s="4" t="s">
        <v>116</v>
      </c>
      <c r="C74" s="7">
        <f t="shared" si="2"/>
        <v>0</v>
      </c>
      <c r="D74" s="7"/>
      <c r="E74" s="6">
        <f t="shared" si="0"/>
        <v>0</v>
      </c>
      <c r="F74" s="6">
        <f t="shared" si="1"/>
        <v>0</v>
      </c>
      <c r="G74" s="62"/>
      <c r="H74" s="62"/>
      <c r="I74" s="60"/>
      <c r="J74" s="60"/>
      <c r="K74" s="64"/>
      <c r="L74" s="64"/>
      <c r="M74" s="25"/>
      <c r="N74" s="25"/>
    </row>
    <row r="75" spans="1:14">
      <c r="A75" s="3" t="s">
        <v>117</v>
      </c>
      <c r="B75" s="4" t="s">
        <v>118</v>
      </c>
      <c r="C75" s="7">
        <f t="shared" si="2"/>
        <v>0</v>
      </c>
      <c r="D75" s="7"/>
      <c r="E75" s="6">
        <f t="shared" si="0"/>
        <v>0</v>
      </c>
      <c r="F75" s="6">
        <f t="shared" si="1"/>
        <v>0</v>
      </c>
      <c r="G75" s="62"/>
      <c r="H75" s="62"/>
      <c r="I75" s="60"/>
      <c r="J75" s="60"/>
      <c r="K75" s="64"/>
      <c r="L75" s="64"/>
      <c r="M75" s="25"/>
      <c r="N75" s="25"/>
    </row>
    <row r="76" spans="1:14">
      <c r="A76" s="3" t="s">
        <v>119</v>
      </c>
      <c r="B76" s="4" t="s">
        <v>120</v>
      </c>
      <c r="C76" s="7">
        <f t="shared" si="2"/>
        <v>0</v>
      </c>
      <c r="D76" s="7"/>
      <c r="E76" s="6">
        <f t="shared" si="0"/>
        <v>0</v>
      </c>
      <c r="F76" s="6">
        <f t="shared" si="1"/>
        <v>0</v>
      </c>
      <c r="G76" s="62"/>
      <c r="H76" s="62"/>
      <c r="I76" s="60"/>
      <c r="J76" s="60"/>
      <c r="K76" s="64"/>
      <c r="L76" s="64"/>
      <c r="M76" s="25"/>
      <c r="N76" s="25"/>
    </row>
    <row r="77" spans="1:14">
      <c r="A77" s="3" t="s">
        <v>121</v>
      </c>
      <c r="B77" s="4" t="s">
        <v>122</v>
      </c>
      <c r="C77" s="7">
        <f t="shared" si="2"/>
        <v>0</v>
      </c>
      <c r="D77" s="7"/>
      <c r="E77" s="6">
        <f t="shared" si="0"/>
        <v>0</v>
      </c>
      <c r="F77" s="6">
        <f t="shared" si="1"/>
        <v>0</v>
      </c>
      <c r="G77" s="62"/>
      <c r="H77" s="62"/>
      <c r="I77" s="60"/>
      <c r="J77" s="60"/>
      <c r="K77" s="64"/>
      <c r="L77" s="64"/>
      <c r="M77" s="25"/>
      <c r="N77" s="25"/>
    </row>
    <row r="78" spans="1:14">
      <c r="A78" s="3" t="s">
        <v>123</v>
      </c>
      <c r="B78" s="4" t="s">
        <v>124</v>
      </c>
      <c r="C78" s="7">
        <f t="shared" si="2"/>
        <v>0</v>
      </c>
      <c r="D78" s="7"/>
      <c r="E78" s="6">
        <f t="shared" ref="E78:E141" si="3">SUM(G78,I78,K78,M78)</f>
        <v>0</v>
      </c>
      <c r="F78" s="6">
        <f t="shared" ref="F78:F141" si="4">SUM(H78,J78,L78,N78)</f>
        <v>0</v>
      </c>
      <c r="G78" s="62"/>
      <c r="H78" s="62"/>
      <c r="I78" s="60"/>
      <c r="J78" s="60"/>
      <c r="K78" s="64"/>
      <c r="L78" s="64"/>
      <c r="M78" s="25"/>
      <c r="N78" s="25"/>
    </row>
    <row r="79" spans="1:14">
      <c r="A79" s="3" t="s">
        <v>125</v>
      </c>
      <c r="B79" s="4">
        <v>201</v>
      </c>
      <c r="C79" s="7">
        <f t="shared" si="2"/>
        <v>0</v>
      </c>
      <c r="D79" s="7"/>
      <c r="E79" s="6">
        <f t="shared" si="3"/>
        <v>0</v>
      </c>
      <c r="F79" s="6">
        <f t="shared" si="4"/>
        <v>0</v>
      </c>
      <c r="G79" s="62"/>
      <c r="H79" s="62"/>
      <c r="I79" s="60"/>
      <c r="J79" s="60"/>
      <c r="K79" s="64"/>
      <c r="L79" s="64"/>
      <c r="M79" s="25"/>
      <c r="N79" s="25"/>
    </row>
    <row r="80" spans="1:14">
      <c r="A80" s="3" t="s">
        <v>126</v>
      </c>
      <c r="B80" s="4">
        <v>202</v>
      </c>
      <c r="C80" s="7">
        <f t="shared" si="2"/>
        <v>0</v>
      </c>
      <c r="D80" s="7"/>
      <c r="E80" s="6">
        <f t="shared" si="3"/>
        <v>0</v>
      </c>
      <c r="F80" s="6">
        <f t="shared" si="4"/>
        <v>0</v>
      </c>
      <c r="G80" s="62"/>
      <c r="H80" s="62"/>
      <c r="I80" s="60"/>
      <c r="J80" s="60"/>
      <c r="K80" s="64"/>
      <c r="L80" s="64"/>
      <c r="M80" s="25"/>
      <c r="N80" s="25"/>
    </row>
    <row r="81" spans="1:14">
      <c r="A81" s="8" t="s">
        <v>127</v>
      </c>
      <c r="B81" s="4">
        <v>302</v>
      </c>
      <c r="C81" s="7"/>
      <c r="D81" s="7">
        <f>F81-E81</f>
        <v>0</v>
      </c>
      <c r="E81" s="6">
        <f t="shared" si="3"/>
        <v>0</v>
      </c>
      <c r="F81" s="6">
        <f t="shared" si="4"/>
        <v>0</v>
      </c>
      <c r="G81" s="62"/>
      <c r="H81" s="62"/>
      <c r="I81" s="60"/>
      <c r="J81" s="60"/>
      <c r="K81" s="64"/>
      <c r="L81" s="64"/>
      <c r="M81" s="25"/>
      <c r="N81" s="25"/>
    </row>
    <row r="82" spans="1:14">
      <c r="A82" s="3" t="s">
        <v>128</v>
      </c>
      <c r="B82" s="4">
        <v>203</v>
      </c>
      <c r="C82" s="7">
        <f>E82-F82</f>
        <v>0</v>
      </c>
      <c r="D82" s="7"/>
      <c r="E82" s="6">
        <f t="shared" si="3"/>
        <v>0</v>
      </c>
      <c r="F82" s="6">
        <f t="shared" si="4"/>
        <v>0</v>
      </c>
      <c r="G82" s="62"/>
      <c r="H82" s="62"/>
      <c r="I82" s="60"/>
      <c r="J82" s="60"/>
      <c r="K82" s="64"/>
      <c r="L82" s="64"/>
      <c r="M82" s="25"/>
      <c r="N82" s="25"/>
    </row>
    <row r="83" spans="1:14">
      <c r="A83" s="3" t="s">
        <v>129</v>
      </c>
      <c r="B83" s="4">
        <v>303</v>
      </c>
      <c r="C83" s="7"/>
      <c r="D83" s="7">
        <f>F83-E83</f>
        <v>0</v>
      </c>
      <c r="E83" s="6">
        <f t="shared" si="3"/>
        <v>0</v>
      </c>
      <c r="F83" s="6">
        <f t="shared" si="4"/>
        <v>0</v>
      </c>
      <c r="G83" s="62"/>
      <c r="H83" s="62"/>
      <c r="I83" s="60"/>
      <c r="J83" s="60"/>
      <c r="K83" s="64"/>
      <c r="L83" s="64"/>
      <c r="M83" s="25"/>
      <c r="N83" s="25"/>
    </row>
    <row r="84" spans="1:14">
      <c r="A84" s="3" t="s">
        <v>130</v>
      </c>
      <c r="B84" s="4">
        <v>204</v>
      </c>
      <c r="C84" s="7">
        <f>E84-F84</f>
        <v>0</v>
      </c>
      <c r="D84" s="7"/>
      <c r="E84" s="6">
        <f t="shared" si="3"/>
        <v>0</v>
      </c>
      <c r="F84" s="6">
        <f t="shared" si="4"/>
        <v>0</v>
      </c>
      <c r="G84" s="62"/>
      <c r="H84" s="62"/>
      <c r="I84" s="60"/>
      <c r="J84" s="60"/>
      <c r="K84" s="64"/>
      <c r="L84" s="64"/>
      <c r="M84" s="25"/>
      <c r="N84" s="25"/>
    </row>
    <row r="85" spans="1:14">
      <c r="A85" s="3" t="s">
        <v>131</v>
      </c>
      <c r="B85" s="4">
        <v>304</v>
      </c>
      <c r="C85" s="7"/>
      <c r="D85" s="7">
        <f>F85-E85</f>
        <v>0</v>
      </c>
      <c r="E85" s="6">
        <f t="shared" si="3"/>
        <v>0</v>
      </c>
      <c r="F85" s="6">
        <f t="shared" si="4"/>
        <v>0</v>
      </c>
      <c r="G85" s="62"/>
      <c r="H85" s="62"/>
      <c r="I85" s="60"/>
      <c r="J85" s="60"/>
      <c r="K85" s="64"/>
      <c r="L85" s="64"/>
      <c r="M85" s="25"/>
      <c r="N85" s="25"/>
    </row>
    <row r="86" spans="1:14">
      <c r="A86" s="3" t="s">
        <v>132</v>
      </c>
      <c r="B86" s="4">
        <v>205</v>
      </c>
      <c r="C86" s="7">
        <f>E86-F86</f>
        <v>0</v>
      </c>
      <c r="D86" s="7"/>
      <c r="E86" s="6">
        <f t="shared" si="3"/>
        <v>0</v>
      </c>
      <c r="F86" s="6">
        <f t="shared" si="4"/>
        <v>0</v>
      </c>
      <c r="G86" s="62"/>
      <c r="H86" s="62"/>
      <c r="I86" s="60"/>
      <c r="J86" s="60"/>
      <c r="K86" s="64"/>
      <c r="L86" s="64"/>
      <c r="M86" s="25"/>
      <c r="N86" s="25"/>
    </row>
    <row r="87" spans="1:14" ht="28.5">
      <c r="A87" s="8" t="s">
        <v>133</v>
      </c>
      <c r="B87" s="4">
        <v>305</v>
      </c>
      <c r="C87" s="7"/>
      <c r="D87" s="7">
        <f>F87-E87</f>
        <v>0</v>
      </c>
      <c r="E87" s="6">
        <f t="shared" si="3"/>
        <v>0</v>
      </c>
      <c r="F87" s="6">
        <f t="shared" si="4"/>
        <v>0</v>
      </c>
      <c r="G87" s="62"/>
      <c r="H87" s="62"/>
      <c r="I87" s="60"/>
      <c r="J87" s="60"/>
      <c r="K87" s="64"/>
      <c r="L87" s="64"/>
      <c r="M87" s="25"/>
      <c r="N87" s="25"/>
    </row>
    <row r="88" spans="1:14">
      <c r="A88" s="8" t="s">
        <v>134</v>
      </c>
      <c r="B88" s="4" t="s">
        <v>135</v>
      </c>
      <c r="C88" s="7">
        <f>E88-F88</f>
        <v>0</v>
      </c>
      <c r="D88" s="7"/>
      <c r="E88" s="6">
        <f t="shared" si="3"/>
        <v>0</v>
      </c>
      <c r="F88" s="6">
        <f t="shared" si="4"/>
        <v>0</v>
      </c>
      <c r="G88" s="62"/>
      <c r="H88" s="62"/>
      <c r="I88" s="60"/>
      <c r="J88" s="60"/>
      <c r="K88" s="64"/>
      <c r="L88" s="64"/>
      <c r="M88" s="25"/>
      <c r="N88" s="25"/>
    </row>
    <row r="89" spans="1:14">
      <c r="A89" s="8" t="s">
        <v>136</v>
      </c>
      <c r="B89" s="4" t="s">
        <v>137</v>
      </c>
      <c r="C89" s="7"/>
      <c r="D89" s="7">
        <f>F89-E89</f>
        <v>0</v>
      </c>
      <c r="E89" s="6">
        <f t="shared" si="3"/>
        <v>0</v>
      </c>
      <c r="F89" s="6">
        <f t="shared" si="4"/>
        <v>0</v>
      </c>
      <c r="G89" s="62"/>
      <c r="H89" s="62"/>
      <c r="I89" s="60"/>
      <c r="J89" s="60"/>
      <c r="K89" s="64"/>
      <c r="L89" s="64"/>
      <c r="M89" s="25"/>
      <c r="N89" s="25"/>
    </row>
    <row r="90" spans="1:14">
      <c r="A90" s="8" t="s">
        <v>138</v>
      </c>
      <c r="B90" s="4" t="s">
        <v>139</v>
      </c>
      <c r="C90" s="7">
        <f>E90-F90</f>
        <v>0</v>
      </c>
      <c r="D90" s="7"/>
      <c r="E90" s="6">
        <f t="shared" si="3"/>
        <v>0</v>
      </c>
      <c r="F90" s="6">
        <f t="shared" si="4"/>
        <v>0</v>
      </c>
      <c r="G90" s="62"/>
      <c r="H90" s="62"/>
      <c r="I90" s="60"/>
      <c r="J90" s="60"/>
      <c r="K90" s="64"/>
      <c r="L90" s="64"/>
      <c r="M90" s="25"/>
      <c r="N90" s="25"/>
    </row>
    <row r="91" spans="1:14">
      <c r="A91" s="8" t="s">
        <v>140</v>
      </c>
      <c r="B91" s="4" t="s">
        <v>141</v>
      </c>
      <c r="C91" s="7"/>
      <c r="D91" s="7">
        <f>F91-E91</f>
        <v>0</v>
      </c>
      <c r="E91" s="6">
        <f t="shared" si="3"/>
        <v>0</v>
      </c>
      <c r="F91" s="6">
        <f t="shared" si="4"/>
        <v>0</v>
      </c>
      <c r="G91" s="62"/>
      <c r="H91" s="62"/>
      <c r="I91" s="60"/>
      <c r="J91" s="60"/>
      <c r="K91" s="64"/>
      <c r="L91" s="64"/>
      <c r="M91" s="25"/>
      <c r="N91" s="25"/>
    </row>
    <row r="92" spans="1:14">
      <c r="A92" s="8" t="s">
        <v>142</v>
      </c>
      <c r="B92" s="4" t="s">
        <v>143</v>
      </c>
      <c r="C92" s="7">
        <f>E92-F92</f>
        <v>0</v>
      </c>
      <c r="D92" s="7"/>
      <c r="E92" s="6">
        <f t="shared" si="3"/>
        <v>0</v>
      </c>
      <c r="F92" s="6">
        <f t="shared" si="4"/>
        <v>0</v>
      </c>
      <c r="G92" s="62"/>
      <c r="H92" s="62"/>
      <c r="I92" s="60"/>
      <c r="J92" s="60"/>
      <c r="K92" s="64"/>
      <c r="L92" s="64"/>
      <c r="M92" s="25"/>
      <c r="N92" s="25"/>
    </row>
    <row r="93" spans="1:14" ht="28.5">
      <c r="A93" s="8" t="s">
        <v>144</v>
      </c>
      <c r="B93" s="4" t="s">
        <v>145</v>
      </c>
      <c r="C93" s="7"/>
      <c r="D93" s="7">
        <f>F93-E93</f>
        <v>0</v>
      </c>
      <c r="E93" s="6">
        <f t="shared" si="3"/>
        <v>0</v>
      </c>
      <c r="F93" s="6">
        <f t="shared" si="4"/>
        <v>0</v>
      </c>
      <c r="G93" s="62"/>
      <c r="H93" s="62"/>
      <c r="I93" s="60"/>
      <c r="J93" s="60"/>
      <c r="K93" s="64"/>
      <c r="L93" s="64"/>
      <c r="M93" s="25"/>
      <c r="N93" s="25"/>
    </row>
    <row r="94" spans="1:14">
      <c r="A94" s="8" t="s">
        <v>146</v>
      </c>
      <c r="B94" s="4" t="s">
        <v>147</v>
      </c>
      <c r="C94" s="7">
        <f>E94-F94</f>
        <v>0</v>
      </c>
      <c r="D94" s="7"/>
      <c r="E94" s="6">
        <f t="shared" si="3"/>
        <v>0</v>
      </c>
      <c r="F94" s="6">
        <f t="shared" si="4"/>
        <v>0</v>
      </c>
      <c r="G94" s="62"/>
      <c r="H94" s="62"/>
      <c r="I94" s="60"/>
      <c r="J94" s="60"/>
      <c r="K94" s="64"/>
      <c r="L94" s="64"/>
      <c r="M94" s="25"/>
      <c r="N94" s="25"/>
    </row>
    <row r="95" spans="1:14" ht="28.5">
      <c r="A95" s="8" t="s">
        <v>148</v>
      </c>
      <c r="B95" s="4" t="s">
        <v>149</v>
      </c>
      <c r="C95" s="7"/>
      <c r="D95" s="7">
        <f>F95-E95</f>
        <v>0</v>
      </c>
      <c r="E95" s="6">
        <f t="shared" si="3"/>
        <v>0</v>
      </c>
      <c r="F95" s="6">
        <f t="shared" si="4"/>
        <v>0</v>
      </c>
      <c r="G95" s="62"/>
      <c r="H95" s="62"/>
      <c r="I95" s="60"/>
      <c r="J95" s="60"/>
      <c r="K95" s="64"/>
      <c r="L95" s="64"/>
      <c r="M95" s="25"/>
      <c r="N95" s="25"/>
    </row>
    <row r="96" spans="1:14">
      <c r="A96" s="8" t="s">
        <v>150</v>
      </c>
      <c r="B96" s="4" t="s">
        <v>151</v>
      </c>
      <c r="C96" s="7">
        <f>E96-F96</f>
        <v>0</v>
      </c>
      <c r="D96" s="7"/>
      <c r="E96" s="6">
        <f t="shared" si="3"/>
        <v>0</v>
      </c>
      <c r="F96" s="6">
        <f t="shared" si="4"/>
        <v>0</v>
      </c>
      <c r="G96" s="62"/>
      <c r="H96" s="62"/>
      <c r="I96" s="60"/>
      <c r="J96" s="60"/>
      <c r="K96" s="64"/>
      <c r="L96" s="64"/>
      <c r="M96" s="25"/>
      <c r="N96" s="25"/>
    </row>
    <row r="97" spans="1:14">
      <c r="A97" s="8" t="s">
        <v>152</v>
      </c>
      <c r="B97" s="4" t="s">
        <v>153</v>
      </c>
      <c r="C97" s="7"/>
      <c r="D97" s="7">
        <f>F97-E97</f>
        <v>0</v>
      </c>
      <c r="E97" s="6">
        <f t="shared" si="3"/>
        <v>0</v>
      </c>
      <c r="F97" s="6">
        <f t="shared" si="4"/>
        <v>0</v>
      </c>
      <c r="G97" s="62"/>
      <c r="H97" s="62"/>
      <c r="I97" s="60"/>
      <c r="J97" s="60"/>
      <c r="K97" s="64"/>
      <c r="L97" s="64"/>
      <c r="M97" s="25"/>
      <c r="N97" s="25"/>
    </row>
    <row r="98" spans="1:14">
      <c r="A98" s="8" t="s">
        <v>154</v>
      </c>
      <c r="B98" s="4" t="s">
        <v>155</v>
      </c>
      <c r="C98" s="7">
        <f>E98-F98</f>
        <v>0</v>
      </c>
      <c r="D98" s="7"/>
      <c r="E98" s="6">
        <f t="shared" si="3"/>
        <v>0</v>
      </c>
      <c r="F98" s="6">
        <f t="shared" si="4"/>
        <v>0</v>
      </c>
      <c r="G98" s="62"/>
      <c r="H98" s="62"/>
      <c r="I98" s="60"/>
      <c r="J98" s="60"/>
      <c r="K98" s="64"/>
      <c r="L98" s="64"/>
      <c r="M98" s="25"/>
      <c r="N98" s="25"/>
    </row>
    <row r="99" spans="1:14" ht="28.5">
      <c r="A99" s="8" t="s">
        <v>156</v>
      </c>
      <c r="B99" s="4" t="s">
        <v>157</v>
      </c>
      <c r="C99" s="7"/>
      <c r="D99" s="7">
        <f>F99-E99</f>
        <v>0</v>
      </c>
      <c r="E99" s="6">
        <f t="shared" si="3"/>
        <v>0</v>
      </c>
      <c r="F99" s="6">
        <f t="shared" si="4"/>
        <v>0</v>
      </c>
      <c r="G99" s="62"/>
      <c r="H99" s="62"/>
      <c r="I99" s="60"/>
      <c r="J99" s="60"/>
      <c r="K99" s="64"/>
      <c r="L99" s="64"/>
      <c r="M99" s="25"/>
      <c r="N99" s="25"/>
    </row>
    <row r="100" spans="1:14">
      <c r="A100" s="8" t="s">
        <v>158</v>
      </c>
      <c r="B100" s="4" t="s">
        <v>159</v>
      </c>
      <c r="C100" s="7">
        <f>E100-F100</f>
        <v>0</v>
      </c>
      <c r="D100" s="7"/>
      <c r="E100" s="6">
        <f t="shared" si="3"/>
        <v>0</v>
      </c>
      <c r="F100" s="6">
        <f t="shared" si="4"/>
        <v>0</v>
      </c>
      <c r="G100" s="62"/>
      <c r="H100" s="62"/>
      <c r="I100" s="60"/>
      <c r="J100" s="60"/>
      <c r="K100" s="64"/>
      <c r="L100" s="64"/>
      <c r="M100" s="25"/>
      <c r="N100" s="25"/>
    </row>
    <row r="101" spans="1:14" ht="28.5">
      <c r="A101" s="8" t="s">
        <v>160</v>
      </c>
      <c r="B101" s="4" t="s">
        <v>161</v>
      </c>
      <c r="C101" s="7"/>
      <c r="D101" s="7">
        <f>F101-E101</f>
        <v>0</v>
      </c>
      <c r="E101" s="6">
        <f t="shared" si="3"/>
        <v>0</v>
      </c>
      <c r="F101" s="6">
        <f t="shared" si="4"/>
        <v>0</v>
      </c>
      <c r="G101" s="62"/>
      <c r="H101" s="62"/>
      <c r="I101" s="60"/>
      <c r="J101" s="60"/>
      <c r="K101" s="64"/>
      <c r="L101" s="64"/>
      <c r="M101" s="25"/>
      <c r="N101" s="25"/>
    </row>
    <row r="102" spans="1:14">
      <c r="A102" s="8" t="s">
        <v>162</v>
      </c>
      <c r="B102" s="4" t="s">
        <v>163</v>
      </c>
      <c r="C102" s="7">
        <f>E102-F102</f>
        <v>0</v>
      </c>
      <c r="D102" s="7"/>
      <c r="E102" s="6">
        <f t="shared" si="3"/>
        <v>0</v>
      </c>
      <c r="F102" s="6">
        <f t="shared" si="4"/>
        <v>0</v>
      </c>
      <c r="G102" s="62"/>
      <c r="H102" s="62"/>
      <c r="I102" s="60"/>
      <c r="J102" s="60"/>
      <c r="K102" s="64"/>
      <c r="L102" s="64"/>
      <c r="M102" s="25"/>
      <c r="N102" s="25"/>
    </row>
    <row r="103" spans="1:14" ht="28.5">
      <c r="A103" s="8" t="s">
        <v>164</v>
      </c>
      <c r="B103" s="4" t="s">
        <v>165</v>
      </c>
      <c r="C103" s="7"/>
      <c r="D103" s="7">
        <f>F103-E103</f>
        <v>0</v>
      </c>
      <c r="E103" s="6">
        <f t="shared" si="3"/>
        <v>0</v>
      </c>
      <c r="F103" s="6">
        <f t="shared" si="4"/>
        <v>0</v>
      </c>
      <c r="G103" s="62"/>
      <c r="H103" s="62"/>
      <c r="I103" s="60"/>
      <c r="J103" s="60"/>
      <c r="K103" s="64"/>
      <c r="L103" s="64"/>
      <c r="M103" s="25"/>
      <c r="N103" s="25"/>
    </row>
    <row r="104" spans="1:14">
      <c r="A104" s="8" t="s">
        <v>166</v>
      </c>
      <c r="B104" s="4" t="s">
        <v>167</v>
      </c>
      <c r="C104" s="7">
        <f>E104-F104</f>
        <v>0</v>
      </c>
      <c r="D104" s="7"/>
      <c r="E104" s="6">
        <f t="shared" si="3"/>
        <v>0</v>
      </c>
      <c r="F104" s="6">
        <f t="shared" si="4"/>
        <v>0</v>
      </c>
      <c r="G104" s="62"/>
      <c r="H104" s="62"/>
      <c r="I104" s="60"/>
      <c r="J104" s="60"/>
      <c r="K104" s="64"/>
      <c r="L104" s="64"/>
      <c r="M104" s="25"/>
      <c r="N104" s="25"/>
    </row>
    <row r="105" spans="1:14">
      <c r="A105" s="8" t="s">
        <v>168</v>
      </c>
      <c r="B105" s="4" t="s">
        <v>169</v>
      </c>
      <c r="C105" s="7"/>
      <c r="D105" s="7">
        <f>F105-E105</f>
        <v>0</v>
      </c>
      <c r="E105" s="6">
        <f t="shared" si="3"/>
        <v>0</v>
      </c>
      <c r="F105" s="6">
        <f t="shared" si="4"/>
        <v>0</v>
      </c>
      <c r="G105" s="62"/>
      <c r="H105" s="62"/>
      <c r="I105" s="60"/>
      <c r="J105" s="60"/>
      <c r="K105" s="64"/>
      <c r="L105" s="64"/>
      <c r="M105" s="25"/>
      <c r="N105" s="25"/>
    </row>
    <row r="106" spans="1:14">
      <c r="A106" s="8" t="s">
        <v>170</v>
      </c>
      <c r="B106" s="4" t="s">
        <v>171</v>
      </c>
      <c r="C106" s="7">
        <f>E106-F106</f>
        <v>0</v>
      </c>
      <c r="D106" s="7"/>
      <c r="E106" s="6">
        <f t="shared" si="3"/>
        <v>0</v>
      </c>
      <c r="F106" s="6">
        <f t="shared" si="4"/>
        <v>0</v>
      </c>
      <c r="G106" s="62"/>
      <c r="H106" s="62"/>
      <c r="I106" s="60"/>
      <c r="J106" s="60"/>
      <c r="K106" s="64"/>
      <c r="L106" s="64"/>
      <c r="M106" s="25"/>
      <c r="N106" s="25"/>
    </row>
    <row r="107" spans="1:14" ht="28.5">
      <c r="A107" s="8" t="s">
        <v>172</v>
      </c>
      <c r="B107" s="4" t="s">
        <v>173</v>
      </c>
      <c r="C107" s="7"/>
      <c r="D107" s="7">
        <f>F107-E107</f>
        <v>0</v>
      </c>
      <c r="E107" s="6">
        <f t="shared" si="3"/>
        <v>0</v>
      </c>
      <c r="F107" s="6">
        <f t="shared" si="4"/>
        <v>0</v>
      </c>
      <c r="G107" s="62"/>
      <c r="H107" s="62"/>
      <c r="I107" s="60"/>
      <c r="J107" s="60"/>
      <c r="K107" s="64"/>
      <c r="L107" s="64"/>
      <c r="M107" s="25"/>
      <c r="N107" s="25"/>
    </row>
    <row r="108" spans="1:14">
      <c r="A108" s="8" t="s">
        <v>174</v>
      </c>
      <c r="B108" s="4" t="s">
        <v>175</v>
      </c>
      <c r="C108" s="7">
        <f>E108-F108</f>
        <v>0</v>
      </c>
      <c r="D108" s="7"/>
      <c r="E108" s="6">
        <f t="shared" si="3"/>
        <v>0</v>
      </c>
      <c r="F108" s="6">
        <f t="shared" si="4"/>
        <v>0</v>
      </c>
      <c r="G108" s="62"/>
      <c r="H108" s="62"/>
      <c r="I108" s="60"/>
      <c r="J108" s="60"/>
      <c r="K108" s="64"/>
      <c r="L108" s="64"/>
      <c r="M108" s="25"/>
      <c r="N108" s="25"/>
    </row>
    <row r="109" spans="1:14">
      <c r="A109" s="8" t="s">
        <v>176</v>
      </c>
      <c r="B109" s="4" t="s">
        <v>177</v>
      </c>
      <c r="C109" s="7"/>
      <c r="D109" s="7">
        <f>F109-E109</f>
        <v>0</v>
      </c>
      <c r="E109" s="6">
        <f t="shared" si="3"/>
        <v>0</v>
      </c>
      <c r="F109" s="6">
        <f t="shared" si="4"/>
        <v>0</v>
      </c>
      <c r="G109" s="62"/>
      <c r="H109" s="62"/>
      <c r="I109" s="60"/>
      <c r="J109" s="60"/>
      <c r="K109" s="64"/>
      <c r="L109" s="64"/>
      <c r="M109" s="25"/>
      <c r="N109" s="25"/>
    </row>
    <row r="110" spans="1:14">
      <c r="A110" s="8" t="s">
        <v>178</v>
      </c>
      <c r="B110" s="4" t="s">
        <v>179</v>
      </c>
      <c r="C110" s="7">
        <f>E110-F110</f>
        <v>0</v>
      </c>
      <c r="D110" s="7"/>
      <c r="E110" s="6">
        <f t="shared" si="3"/>
        <v>0</v>
      </c>
      <c r="F110" s="6">
        <f t="shared" si="4"/>
        <v>0</v>
      </c>
      <c r="G110" s="62"/>
      <c r="H110" s="62"/>
      <c r="I110" s="60"/>
      <c r="J110" s="60"/>
      <c r="K110" s="64"/>
      <c r="L110" s="64"/>
      <c r="M110" s="25"/>
      <c r="N110" s="25"/>
    </row>
    <row r="111" spans="1:14">
      <c r="A111" s="8" t="s">
        <v>180</v>
      </c>
      <c r="B111" s="4" t="s">
        <v>181</v>
      </c>
      <c r="C111" s="7"/>
      <c r="D111" s="7">
        <f>F111-E111</f>
        <v>0</v>
      </c>
      <c r="E111" s="6">
        <f t="shared" si="3"/>
        <v>0</v>
      </c>
      <c r="F111" s="6">
        <f t="shared" si="4"/>
        <v>0</v>
      </c>
      <c r="G111" s="62"/>
      <c r="H111" s="62"/>
      <c r="I111" s="60"/>
      <c r="J111" s="60"/>
      <c r="K111" s="64"/>
      <c r="L111" s="64"/>
      <c r="M111" s="25"/>
      <c r="N111" s="25"/>
    </row>
    <row r="112" spans="1:14">
      <c r="A112" s="8" t="s">
        <v>182</v>
      </c>
      <c r="B112" s="4" t="s">
        <v>183</v>
      </c>
      <c r="C112" s="7">
        <f>E112-F112</f>
        <v>0</v>
      </c>
      <c r="D112" s="7"/>
      <c r="E112" s="6">
        <f t="shared" si="3"/>
        <v>0</v>
      </c>
      <c r="F112" s="6">
        <f t="shared" si="4"/>
        <v>0</v>
      </c>
      <c r="G112" s="62"/>
      <c r="H112" s="62"/>
      <c r="I112" s="60"/>
      <c r="J112" s="60"/>
      <c r="K112" s="64"/>
      <c r="L112" s="64"/>
      <c r="M112" s="25"/>
      <c r="N112" s="25"/>
    </row>
    <row r="113" spans="1:14">
      <c r="A113" s="8" t="s">
        <v>184</v>
      </c>
      <c r="B113" s="4" t="s">
        <v>185</v>
      </c>
      <c r="C113" s="7"/>
      <c r="D113" s="7">
        <f>F113-E113</f>
        <v>0</v>
      </c>
      <c r="E113" s="6">
        <f t="shared" si="3"/>
        <v>0</v>
      </c>
      <c r="F113" s="6">
        <f t="shared" si="4"/>
        <v>0</v>
      </c>
      <c r="G113" s="62"/>
      <c r="H113" s="62"/>
      <c r="I113" s="60"/>
      <c r="J113" s="60"/>
      <c r="K113" s="64"/>
      <c r="L113" s="64"/>
      <c r="M113" s="25"/>
      <c r="N113" s="25"/>
    </row>
    <row r="114" spans="1:14">
      <c r="A114" s="8" t="s">
        <v>186</v>
      </c>
      <c r="B114" s="4" t="s">
        <v>187</v>
      </c>
      <c r="C114" s="7">
        <f>E114-F114</f>
        <v>0</v>
      </c>
      <c r="D114" s="7"/>
      <c r="E114" s="6">
        <f t="shared" si="3"/>
        <v>0</v>
      </c>
      <c r="F114" s="6">
        <f t="shared" si="4"/>
        <v>0</v>
      </c>
      <c r="G114" s="62"/>
      <c r="H114" s="62"/>
      <c r="I114" s="60"/>
      <c r="J114" s="60"/>
      <c r="K114" s="64"/>
      <c r="L114" s="64"/>
      <c r="M114" s="25"/>
      <c r="N114" s="25"/>
    </row>
    <row r="115" spans="1:14" ht="28.5">
      <c r="A115" s="8" t="s">
        <v>188</v>
      </c>
      <c r="B115" s="4" t="s">
        <v>189</v>
      </c>
      <c r="C115" s="7"/>
      <c r="D115" s="7">
        <f>F115-E115</f>
        <v>0</v>
      </c>
      <c r="E115" s="6">
        <f t="shared" si="3"/>
        <v>0</v>
      </c>
      <c r="F115" s="6">
        <f t="shared" si="4"/>
        <v>0</v>
      </c>
      <c r="G115" s="62"/>
      <c r="H115" s="62"/>
      <c r="I115" s="60"/>
      <c r="J115" s="60"/>
      <c r="K115" s="64"/>
      <c r="L115" s="64"/>
      <c r="M115" s="25"/>
      <c r="N115" s="25"/>
    </row>
    <row r="116" spans="1:14">
      <c r="A116" s="8" t="s">
        <v>190</v>
      </c>
      <c r="B116" s="4" t="s">
        <v>191</v>
      </c>
      <c r="C116" s="7">
        <f>E116-F116</f>
        <v>0</v>
      </c>
      <c r="D116" s="7"/>
      <c r="E116" s="6">
        <f t="shared" si="3"/>
        <v>0</v>
      </c>
      <c r="F116" s="6">
        <f t="shared" si="4"/>
        <v>0</v>
      </c>
      <c r="G116" s="62"/>
      <c r="H116" s="62"/>
      <c r="I116" s="60"/>
      <c r="J116" s="60"/>
      <c r="K116" s="64"/>
      <c r="L116" s="64"/>
      <c r="M116" s="25"/>
      <c r="N116" s="25"/>
    </row>
    <row r="117" spans="1:14">
      <c r="A117" s="8" t="s">
        <v>192</v>
      </c>
      <c r="B117" s="4" t="s">
        <v>193</v>
      </c>
      <c r="C117" s="7"/>
      <c r="D117" s="7">
        <f>F117-E117</f>
        <v>0</v>
      </c>
      <c r="E117" s="6">
        <f t="shared" si="3"/>
        <v>0</v>
      </c>
      <c r="F117" s="6">
        <f t="shared" si="4"/>
        <v>0</v>
      </c>
      <c r="G117" s="62"/>
      <c r="H117" s="62"/>
      <c r="I117" s="60"/>
      <c r="J117" s="60"/>
      <c r="K117" s="64"/>
      <c r="L117" s="64"/>
      <c r="M117" s="25"/>
      <c r="N117" s="25"/>
    </row>
    <row r="118" spans="1:14">
      <c r="A118" s="8" t="s">
        <v>194</v>
      </c>
      <c r="B118" s="4" t="s">
        <v>195</v>
      </c>
      <c r="C118" s="7">
        <f>E118-F118</f>
        <v>0</v>
      </c>
      <c r="D118" s="7"/>
      <c r="E118" s="6">
        <f t="shared" si="3"/>
        <v>0</v>
      </c>
      <c r="F118" s="6">
        <f t="shared" si="4"/>
        <v>0</v>
      </c>
      <c r="G118" s="62"/>
      <c r="H118" s="62"/>
      <c r="I118" s="60"/>
      <c r="J118" s="60"/>
      <c r="K118" s="64"/>
      <c r="L118" s="64"/>
      <c r="M118" s="25"/>
      <c r="N118" s="25"/>
    </row>
    <row r="119" spans="1:14" ht="28.5">
      <c r="A119" s="8" t="s">
        <v>196</v>
      </c>
      <c r="B119" s="4" t="s">
        <v>197</v>
      </c>
      <c r="C119" s="7"/>
      <c r="D119" s="7">
        <f>F119-E119</f>
        <v>0</v>
      </c>
      <c r="E119" s="6">
        <f t="shared" si="3"/>
        <v>0</v>
      </c>
      <c r="F119" s="6">
        <f t="shared" si="4"/>
        <v>0</v>
      </c>
      <c r="G119" s="62"/>
      <c r="H119" s="62"/>
      <c r="I119" s="60"/>
      <c r="J119" s="60"/>
      <c r="K119" s="64"/>
      <c r="L119" s="64"/>
      <c r="M119" s="25"/>
      <c r="N119" s="25"/>
    </row>
    <row r="120" spans="1:14">
      <c r="A120" s="8" t="s">
        <v>198</v>
      </c>
      <c r="B120" s="4" t="s">
        <v>199</v>
      </c>
      <c r="C120" s="7">
        <f>E120-F120</f>
        <v>0</v>
      </c>
      <c r="D120" s="7"/>
      <c r="E120" s="6">
        <f t="shared" si="3"/>
        <v>0</v>
      </c>
      <c r="F120" s="6">
        <f t="shared" si="4"/>
        <v>0</v>
      </c>
      <c r="G120" s="62"/>
      <c r="H120" s="62"/>
      <c r="I120" s="60"/>
      <c r="J120" s="60"/>
      <c r="K120" s="64"/>
      <c r="L120" s="64"/>
      <c r="M120" s="25"/>
      <c r="N120" s="25"/>
    </row>
    <row r="121" spans="1:14" ht="28.5">
      <c r="A121" s="8" t="s">
        <v>200</v>
      </c>
      <c r="B121" s="4" t="s">
        <v>201</v>
      </c>
      <c r="C121" s="7"/>
      <c r="D121" s="7">
        <f>F121-E121</f>
        <v>0</v>
      </c>
      <c r="E121" s="6">
        <f t="shared" si="3"/>
        <v>0</v>
      </c>
      <c r="F121" s="6">
        <f t="shared" si="4"/>
        <v>0</v>
      </c>
      <c r="G121" s="62"/>
      <c r="H121" s="62"/>
      <c r="I121" s="60"/>
      <c r="J121" s="60"/>
      <c r="K121" s="64"/>
      <c r="L121" s="64"/>
      <c r="M121" s="25"/>
      <c r="N121" s="25"/>
    </row>
    <row r="122" spans="1:14">
      <c r="A122" s="8" t="s">
        <v>202</v>
      </c>
      <c r="B122" s="4" t="s">
        <v>203</v>
      </c>
      <c r="C122" s="7">
        <f>E122-F122</f>
        <v>0</v>
      </c>
      <c r="D122" s="7"/>
      <c r="E122" s="6">
        <f t="shared" si="3"/>
        <v>0</v>
      </c>
      <c r="F122" s="6">
        <f t="shared" si="4"/>
        <v>0</v>
      </c>
      <c r="G122" s="62"/>
      <c r="H122" s="62"/>
      <c r="I122" s="60"/>
      <c r="J122" s="60"/>
      <c r="K122" s="64"/>
      <c r="L122" s="64"/>
      <c r="M122" s="25"/>
      <c r="N122" s="25"/>
    </row>
    <row r="123" spans="1:14" ht="28.5">
      <c r="A123" s="8" t="s">
        <v>204</v>
      </c>
      <c r="B123" s="4" t="s">
        <v>205</v>
      </c>
      <c r="C123" s="7"/>
      <c r="D123" s="7">
        <f>F123-E123</f>
        <v>0</v>
      </c>
      <c r="E123" s="6">
        <f t="shared" si="3"/>
        <v>0</v>
      </c>
      <c r="F123" s="6">
        <f t="shared" si="4"/>
        <v>0</v>
      </c>
      <c r="G123" s="62"/>
      <c r="H123" s="62"/>
      <c r="I123" s="60"/>
      <c r="J123" s="60"/>
      <c r="K123" s="64"/>
      <c r="L123" s="64"/>
      <c r="M123" s="25"/>
      <c r="N123" s="25"/>
    </row>
    <row r="124" spans="1:14">
      <c r="A124" s="8" t="s">
        <v>206</v>
      </c>
      <c r="B124" s="4" t="s">
        <v>207</v>
      </c>
      <c r="C124" s="7">
        <f>E124-F124</f>
        <v>0</v>
      </c>
      <c r="D124" s="7"/>
      <c r="E124" s="6">
        <f t="shared" si="3"/>
        <v>0</v>
      </c>
      <c r="F124" s="6">
        <f t="shared" si="4"/>
        <v>0</v>
      </c>
      <c r="G124" s="62"/>
      <c r="H124" s="62"/>
      <c r="I124" s="60"/>
      <c r="J124" s="60"/>
      <c r="K124" s="64"/>
      <c r="L124" s="64"/>
      <c r="M124" s="25"/>
      <c r="N124" s="25"/>
    </row>
    <row r="125" spans="1:14">
      <c r="A125" s="8" t="s">
        <v>208</v>
      </c>
      <c r="B125" s="4" t="s">
        <v>209</v>
      </c>
      <c r="C125" s="7"/>
      <c r="D125" s="7">
        <f>F125-E125</f>
        <v>0</v>
      </c>
      <c r="E125" s="6">
        <f t="shared" si="3"/>
        <v>0</v>
      </c>
      <c r="F125" s="6">
        <f t="shared" si="4"/>
        <v>0</v>
      </c>
      <c r="G125" s="62"/>
      <c r="H125" s="62"/>
      <c r="I125" s="60"/>
      <c r="J125" s="60"/>
      <c r="K125" s="64"/>
      <c r="L125" s="64"/>
      <c r="M125" s="25"/>
      <c r="N125" s="25"/>
    </row>
    <row r="126" spans="1:14">
      <c r="A126" s="8" t="s">
        <v>210</v>
      </c>
      <c r="B126" s="4" t="s">
        <v>211</v>
      </c>
      <c r="C126" s="7">
        <f>E126-F126</f>
        <v>0</v>
      </c>
      <c r="D126" s="7"/>
      <c r="E126" s="6">
        <f t="shared" si="3"/>
        <v>0</v>
      </c>
      <c r="F126" s="6">
        <f t="shared" si="4"/>
        <v>0</v>
      </c>
      <c r="G126" s="62"/>
      <c r="H126" s="62"/>
      <c r="I126" s="60"/>
      <c r="J126" s="60"/>
      <c r="K126" s="64"/>
      <c r="L126" s="64"/>
      <c r="M126" s="25"/>
      <c r="N126" s="25"/>
    </row>
    <row r="127" spans="1:14" ht="28.5">
      <c r="A127" s="8" t="s">
        <v>212</v>
      </c>
      <c r="B127" s="4" t="s">
        <v>213</v>
      </c>
      <c r="C127" s="7"/>
      <c r="D127" s="7">
        <f>F127-E127</f>
        <v>0</v>
      </c>
      <c r="E127" s="6">
        <f t="shared" si="3"/>
        <v>0</v>
      </c>
      <c r="F127" s="6">
        <f t="shared" si="4"/>
        <v>0</v>
      </c>
      <c r="G127" s="62"/>
      <c r="H127" s="62"/>
      <c r="I127" s="60"/>
      <c r="J127" s="60"/>
      <c r="K127" s="64"/>
      <c r="L127" s="64"/>
      <c r="M127" s="25"/>
      <c r="N127" s="25"/>
    </row>
    <row r="128" spans="1:14">
      <c r="A128" s="8" t="s">
        <v>214</v>
      </c>
      <c r="B128" s="4" t="s">
        <v>215</v>
      </c>
      <c r="C128" s="7">
        <f>E128-F128</f>
        <v>0</v>
      </c>
      <c r="D128" s="7"/>
      <c r="E128" s="6">
        <f t="shared" si="3"/>
        <v>0</v>
      </c>
      <c r="F128" s="6">
        <f t="shared" si="4"/>
        <v>0</v>
      </c>
      <c r="G128" s="62"/>
      <c r="H128" s="62"/>
      <c r="I128" s="60"/>
      <c r="J128" s="60"/>
      <c r="K128" s="64"/>
      <c r="L128" s="64"/>
      <c r="M128" s="25"/>
      <c r="N128" s="25"/>
    </row>
    <row r="129" spans="1:14" ht="28.5">
      <c r="A129" s="8" t="s">
        <v>216</v>
      </c>
      <c r="B129" s="4" t="s">
        <v>217</v>
      </c>
      <c r="C129" s="7"/>
      <c r="D129" s="7">
        <f>F129-E129</f>
        <v>0</v>
      </c>
      <c r="E129" s="6">
        <f t="shared" si="3"/>
        <v>0</v>
      </c>
      <c r="F129" s="6">
        <f t="shared" si="4"/>
        <v>0</v>
      </c>
      <c r="G129" s="62"/>
      <c r="H129" s="62"/>
      <c r="I129" s="60"/>
      <c r="J129" s="60"/>
      <c r="K129" s="64"/>
      <c r="L129" s="64"/>
      <c r="M129" s="25"/>
      <c r="N129" s="25"/>
    </row>
    <row r="130" spans="1:14">
      <c r="A130" s="8" t="s">
        <v>218</v>
      </c>
      <c r="B130" s="4" t="s">
        <v>219</v>
      </c>
      <c r="C130" s="7">
        <f>E130-F130</f>
        <v>0</v>
      </c>
      <c r="D130" s="7"/>
      <c r="E130" s="6">
        <f t="shared" si="3"/>
        <v>0</v>
      </c>
      <c r="F130" s="6">
        <f t="shared" si="4"/>
        <v>0</v>
      </c>
      <c r="G130" s="62"/>
      <c r="H130" s="62"/>
      <c r="I130" s="60"/>
      <c r="J130" s="60"/>
      <c r="K130" s="64"/>
      <c r="L130" s="64"/>
      <c r="M130" s="25"/>
      <c r="N130" s="25"/>
    </row>
    <row r="131" spans="1:14">
      <c r="A131" s="8" t="s">
        <v>220</v>
      </c>
      <c r="B131" s="4" t="s">
        <v>221</v>
      </c>
      <c r="C131" s="7"/>
      <c r="D131" s="7">
        <f>F131-E131</f>
        <v>0</v>
      </c>
      <c r="E131" s="6">
        <f t="shared" si="3"/>
        <v>0</v>
      </c>
      <c r="F131" s="6">
        <f t="shared" si="4"/>
        <v>0</v>
      </c>
      <c r="G131" s="62"/>
      <c r="H131" s="62"/>
      <c r="I131" s="60"/>
      <c r="J131" s="60"/>
      <c r="K131" s="64"/>
      <c r="L131" s="64"/>
      <c r="M131" s="25"/>
      <c r="N131" s="25"/>
    </row>
    <row r="132" spans="1:14">
      <c r="A132" s="8" t="s">
        <v>222</v>
      </c>
      <c r="B132" s="4" t="s">
        <v>223</v>
      </c>
      <c r="C132" s="7">
        <f>E132-F132</f>
        <v>0</v>
      </c>
      <c r="D132" s="7"/>
      <c r="E132" s="6">
        <f t="shared" si="3"/>
        <v>0</v>
      </c>
      <c r="F132" s="6">
        <f t="shared" si="4"/>
        <v>0</v>
      </c>
      <c r="G132" s="62"/>
      <c r="H132" s="62"/>
      <c r="I132" s="60"/>
      <c r="J132" s="60"/>
      <c r="K132" s="64"/>
      <c r="L132" s="64"/>
      <c r="M132" s="25"/>
      <c r="N132" s="25"/>
    </row>
    <row r="133" spans="1:14" ht="28.5">
      <c r="A133" s="8" t="s">
        <v>224</v>
      </c>
      <c r="B133" s="4" t="s">
        <v>225</v>
      </c>
      <c r="C133" s="7"/>
      <c r="D133" s="7">
        <f>F133-E133</f>
        <v>0</v>
      </c>
      <c r="E133" s="6">
        <f t="shared" si="3"/>
        <v>0</v>
      </c>
      <c r="F133" s="6">
        <f t="shared" si="4"/>
        <v>0</v>
      </c>
      <c r="G133" s="62"/>
      <c r="H133" s="62"/>
      <c r="I133" s="60"/>
      <c r="J133" s="60"/>
      <c r="K133" s="64"/>
      <c r="L133" s="64"/>
      <c r="M133" s="25"/>
      <c r="N133" s="25"/>
    </row>
    <row r="134" spans="1:14">
      <c r="A134" s="8" t="s">
        <v>226</v>
      </c>
      <c r="B134" s="4" t="s">
        <v>227</v>
      </c>
      <c r="C134" s="7">
        <f>E134-F134</f>
        <v>0</v>
      </c>
      <c r="D134" s="7"/>
      <c r="E134" s="6">
        <f t="shared" si="3"/>
        <v>0</v>
      </c>
      <c r="F134" s="6">
        <f t="shared" si="4"/>
        <v>0</v>
      </c>
      <c r="G134" s="62"/>
      <c r="H134" s="62"/>
      <c r="I134" s="60"/>
      <c r="J134" s="60"/>
      <c r="K134" s="64"/>
      <c r="L134" s="64"/>
      <c r="M134" s="25"/>
      <c r="N134" s="25"/>
    </row>
    <row r="135" spans="1:14" ht="28.5">
      <c r="A135" s="8" t="s">
        <v>228</v>
      </c>
      <c r="B135" s="4" t="s">
        <v>229</v>
      </c>
      <c r="C135" s="7"/>
      <c r="D135" s="7">
        <f>F135-E135</f>
        <v>0</v>
      </c>
      <c r="E135" s="6">
        <f t="shared" si="3"/>
        <v>0</v>
      </c>
      <c r="F135" s="6">
        <f t="shared" si="4"/>
        <v>0</v>
      </c>
      <c r="G135" s="62"/>
      <c r="H135" s="62"/>
      <c r="I135" s="60"/>
      <c r="J135" s="60"/>
      <c r="K135" s="64"/>
      <c r="L135" s="64"/>
      <c r="M135" s="25"/>
      <c r="N135" s="25"/>
    </row>
    <row r="136" spans="1:14">
      <c r="A136" s="8" t="s">
        <v>230</v>
      </c>
      <c r="B136" s="4" t="s">
        <v>231</v>
      </c>
      <c r="C136" s="7">
        <f>E136-F136</f>
        <v>0</v>
      </c>
      <c r="D136" s="7"/>
      <c r="E136" s="6">
        <f t="shared" si="3"/>
        <v>0</v>
      </c>
      <c r="F136" s="6">
        <f t="shared" si="4"/>
        <v>0</v>
      </c>
      <c r="G136" s="62"/>
      <c r="H136" s="62"/>
      <c r="I136" s="60"/>
      <c r="J136" s="60"/>
      <c r="K136" s="64"/>
      <c r="L136" s="64"/>
      <c r="M136" s="25"/>
      <c r="N136" s="25"/>
    </row>
    <row r="137" spans="1:14">
      <c r="A137" s="8" t="s">
        <v>232</v>
      </c>
      <c r="B137" s="4" t="s">
        <v>233</v>
      </c>
      <c r="C137" s="7"/>
      <c r="D137" s="7">
        <f>F137-E137</f>
        <v>0</v>
      </c>
      <c r="E137" s="6">
        <f t="shared" si="3"/>
        <v>0</v>
      </c>
      <c r="F137" s="6">
        <f t="shared" si="4"/>
        <v>0</v>
      </c>
      <c r="G137" s="62"/>
      <c r="H137" s="62"/>
      <c r="I137" s="60"/>
      <c r="J137" s="60"/>
      <c r="K137" s="64"/>
      <c r="L137" s="64"/>
      <c r="M137" s="25"/>
      <c r="N137" s="25"/>
    </row>
    <row r="138" spans="1:14">
      <c r="A138" s="8" t="s">
        <v>234</v>
      </c>
      <c r="B138" s="4" t="s">
        <v>235</v>
      </c>
      <c r="C138" s="7">
        <f>E138-F138</f>
        <v>0</v>
      </c>
      <c r="D138" s="7"/>
      <c r="E138" s="6">
        <f t="shared" si="3"/>
        <v>0</v>
      </c>
      <c r="F138" s="6">
        <f t="shared" si="4"/>
        <v>0</v>
      </c>
      <c r="G138" s="62"/>
      <c r="H138" s="62"/>
      <c r="I138" s="60"/>
      <c r="J138" s="60"/>
      <c r="K138" s="64"/>
      <c r="L138" s="64"/>
      <c r="M138" s="25"/>
      <c r="N138" s="25"/>
    </row>
    <row r="139" spans="1:14">
      <c r="A139" s="8" t="s">
        <v>236</v>
      </c>
      <c r="B139" s="4" t="s">
        <v>237</v>
      </c>
      <c r="C139" s="7"/>
      <c r="D139" s="7">
        <f>F139-E139</f>
        <v>0</v>
      </c>
      <c r="E139" s="6">
        <f t="shared" si="3"/>
        <v>0</v>
      </c>
      <c r="F139" s="6">
        <f t="shared" si="4"/>
        <v>0</v>
      </c>
      <c r="G139" s="62"/>
      <c r="H139" s="62"/>
      <c r="I139" s="60"/>
      <c r="J139" s="60"/>
      <c r="K139" s="64"/>
      <c r="L139" s="64"/>
      <c r="M139" s="25"/>
      <c r="N139" s="25"/>
    </row>
    <row r="140" spans="1:14">
      <c r="A140" s="8" t="s">
        <v>238</v>
      </c>
      <c r="B140" s="4" t="s">
        <v>239</v>
      </c>
      <c r="C140" s="7">
        <f>E140-F140</f>
        <v>0</v>
      </c>
      <c r="D140" s="7"/>
      <c r="E140" s="6">
        <f t="shared" si="3"/>
        <v>0</v>
      </c>
      <c r="F140" s="6">
        <f t="shared" si="4"/>
        <v>0</v>
      </c>
      <c r="G140" s="62"/>
      <c r="H140" s="62"/>
      <c r="I140" s="60"/>
      <c r="J140" s="60"/>
      <c r="K140" s="64"/>
      <c r="L140" s="64"/>
      <c r="M140" s="25"/>
      <c r="N140" s="25"/>
    </row>
    <row r="141" spans="1:14" ht="28.5">
      <c r="A141" s="8" t="s">
        <v>240</v>
      </c>
      <c r="B141" s="4" t="s">
        <v>241</v>
      </c>
      <c r="C141" s="7"/>
      <c r="D141" s="7">
        <f>F141-E141</f>
        <v>0</v>
      </c>
      <c r="E141" s="6">
        <f t="shared" si="3"/>
        <v>0</v>
      </c>
      <c r="F141" s="6">
        <f t="shared" si="4"/>
        <v>0</v>
      </c>
      <c r="G141" s="62"/>
      <c r="H141" s="62"/>
      <c r="I141" s="60"/>
      <c r="J141" s="60"/>
      <c r="K141" s="64"/>
      <c r="L141" s="64"/>
      <c r="M141" s="25"/>
      <c r="N141" s="25"/>
    </row>
    <row r="142" spans="1:14">
      <c r="A142" s="8" t="s">
        <v>242</v>
      </c>
      <c r="B142" s="4" t="s">
        <v>243</v>
      </c>
      <c r="C142" s="7">
        <f>E142-F142</f>
        <v>0</v>
      </c>
      <c r="D142" s="7"/>
      <c r="E142" s="6">
        <f t="shared" ref="E142:E205" si="5">SUM(G142,I142,K142,M142)</f>
        <v>0</v>
      </c>
      <c r="F142" s="6">
        <f t="shared" ref="F142:F205" si="6">SUM(H142,J142,L142,N142)</f>
        <v>0</v>
      </c>
      <c r="G142" s="62"/>
      <c r="H142" s="62"/>
      <c r="I142" s="60"/>
      <c r="J142" s="60"/>
      <c r="K142" s="64"/>
      <c r="L142" s="64"/>
      <c r="M142" s="25"/>
      <c r="N142" s="25"/>
    </row>
    <row r="143" spans="1:14">
      <c r="A143" s="8" t="s">
        <v>244</v>
      </c>
      <c r="B143" s="4" t="s">
        <v>245</v>
      </c>
      <c r="C143" s="7"/>
      <c r="D143" s="7">
        <f>F143-E143</f>
        <v>0</v>
      </c>
      <c r="E143" s="6">
        <f t="shared" si="5"/>
        <v>0</v>
      </c>
      <c r="F143" s="6">
        <f t="shared" si="6"/>
        <v>0</v>
      </c>
      <c r="G143" s="62"/>
      <c r="H143" s="62"/>
      <c r="I143" s="60"/>
      <c r="J143" s="60"/>
      <c r="K143" s="64"/>
      <c r="L143" s="64"/>
      <c r="M143" s="25"/>
      <c r="N143" s="25"/>
    </row>
    <row r="144" spans="1:14">
      <c r="A144" s="8" t="s">
        <v>246</v>
      </c>
      <c r="B144" s="4" t="s">
        <v>247</v>
      </c>
      <c r="C144" s="7">
        <f>E144-F144</f>
        <v>0</v>
      </c>
      <c r="D144" s="7"/>
      <c r="E144" s="6">
        <f t="shared" si="5"/>
        <v>0</v>
      </c>
      <c r="F144" s="6">
        <f t="shared" si="6"/>
        <v>0</v>
      </c>
      <c r="G144" s="62"/>
      <c r="H144" s="62"/>
      <c r="I144" s="60"/>
      <c r="J144" s="60"/>
      <c r="K144" s="64"/>
      <c r="L144" s="64"/>
      <c r="M144" s="25"/>
      <c r="N144" s="25"/>
    </row>
    <row r="145" spans="1:14" ht="28.5">
      <c r="A145" s="8" t="s">
        <v>248</v>
      </c>
      <c r="B145" s="4" t="s">
        <v>249</v>
      </c>
      <c r="C145" s="7"/>
      <c r="D145" s="7">
        <f>F145-E145</f>
        <v>0</v>
      </c>
      <c r="E145" s="6">
        <f t="shared" si="5"/>
        <v>0</v>
      </c>
      <c r="F145" s="6">
        <f t="shared" si="6"/>
        <v>0</v>
      </c>
      <c r="G145" s="62"/>
      <c r="H145" s="62"/>
      <c r="I145" s="60"/>
      <c r="J145" s="60"/>
      <c r="K145" s="64"/>
      <c r="L145" s="64"/>
      <c r="M145" s="25"/>
      <c r="N145" s="25"/>
    </row>
    <row r="146" spans="1:14">
      <c r="A146" s="8" t="s">
        <v>250</v>
      </c>
      <c r="B146" s="4" t="s">
        <v>251</v>
      </c>
      <c r="C146" s="7">
        <f>E146-F146</f>
        <v>0</v>
      </c>
      <c r="D146" s="7"/>
      <c r="E146" s="6">
        <f t="shared" si="5"/>
        <v>0</v>
      </c>
      <c r="F146" s="6">
        <f t="shared" si="6"/>
        <v>0</v>
      </c>
      <c r="G146" s="62"/>
      <c r="H146" s="62"/>
      <c r="I146" s="60"/>
      <c r="J146" s="60"/>
      <c r="K146" s="64"/>
      <c r="L146" s="64"/>
      <c r="M146" s="25"/>
      <c r="N146" s="25"/>
    </row>
    <row r="147" spans="1:14" ht="28.5">
      <c r="A147" s="8" t="s">
        <v>252</v>
      </c>
      <c r="B147" s="4" t="s">
        <v>253</v>
      </c>
      <c r="C147" s="7"/>
      <c r="D147" s="7">
        <f>F147-E147</f>
        <v>0</v>
      </c>
      <c r="E147" s="6">
        <f t="shared" si="5"/>
        <v>0</v>
      </c>
      <c r="F147" s="6">
        <f t="shared" si="6"/>
        <v>0</v>
      </c>
      <c r="G147" s="62"/>
      <c r="H147" s="62"/>
      <c r="I147" s="60"/>
      <c r="J147" s="60"/>
      <c r="K147" s="64"/>
      <c r="L147" s="64"/>
      <c r="M147" s="25"/>
      <c r="N147" s="25"/>
    </row>
    <row r="148" spans="1:14">
      <c r="A148" s="8" t="s">
        <v>254</v>
      </c>
      <c r="B148" s="4" t="s">
        <v>255</v>
      </c>
      <c r="C148" s="7">
        <f t="shared" ref="C148:C173" si="7">E148-F148</f>
        <v>0</v>
      </c>
      <c r="D148" s="7"/>
      <c r="E148" s="6">
        <f t="shared" si="5"/>
        <v>0</v>
      </c>
      <c r="F148" s="6">
        <f t="shared" si="6"/>
        <v>0</v>
      </c>
      <c r="G148" s="62"/>
      <c r="H148" s="62"/>
      <c r="I148" s="60"/>
      <c r="J148" s="60"/>
      <c r="K148" s="64"/>
      <c r="L148" s="64"/>
      <c r="M148" s="25"/>
      <c r="N148" s="25"/>
    </row>
    <row r="149" spans="1:14">
      <c r="A149" s="8" t="s">
        <v>256</v>
      </c>
      <c r="B149" s="4" t="s">
        <v>257</v>
      </c>
      <c r="C149" s="7">
        <f t="shared" si="7"/>
        <v>0</v>
      </c>
      <c r="D149" s="7"/>
      <c r="E149" s="6">
        <f t="shared" si="5"/>
        <v>0</v>
      </c>
      <c r="F149" s="6">
        <f t="shared" si="6"/>
        <v>0</v>
      </c>
      <c r="G149" s="62"/>
      <c r="H149" s="62"/>
      <c r="I149" s="60"/>
      <c r="J149" s="60"/>
      <c r="K149" s="64"/>
      <c r="L149" s="64"/>
      <c r="M149" s="25"/>
      <c r="N149" s="25"/>
    </row>
    <row r="150" spans="1:14">
      <c r="A150" s="8" t="s">
        <v>258</v>
      </c>
      <c r="B150" s="4" t="s">
        <v>259</v>
      </c>
      <c r="C150" s="7">
        <f t="shared" si="7"/>
        <v>0</v>
      </c>
      <c r="D150" s="7"/>
      <c r="E150" s="6">
        <f t="shared" si="5"/>
        <v>0</v>
      </c>
      <c r="F150" s="6">
        <f t="shared" si="6"/>
        <v>0</v>
      </c>
      <c r="G150" s="62"/>
      <c r="H150" s="62"/>
      <c r="I150" s="60"/>
      <c r="J150" s="60"/>
      <c r="K150" s="64"/>
      <c r="L150" s="64"/>
      <c r="M150" s="25"/>
      <c r="N150" s="25"/>
    </row>
    <row r="151" spans="1:14" ht="28.5">
      <c r="A151" s="8" t="s">
        <v>260</v>
      </c>
      <c r="B151" s="4" t="s">
        <v>261</v>
      </c>
      <c r="C151" s="7">
        <f t="shared" si="7"/>
        <v>0</v>
      </c>
      <c r="D151" s="7"/>
      <c r="E151" s="6">
        <f t="shared" si="5"/>
        <v>0</v>
      </c>
      <c r="F151" s="6">
        <f t="shared" si="6"/>
        <v>0</v>
      </c>
      <c r="G151" s="62"/>
      <c r="H151" s="62"/>
      <c r="I151" s="60"/>
      <c r="J151" s="60"/>
      <c r="K151" s="64"/>
      <c r="L151" s="64"/>
      <c r="M151" s="25"/>
      <c r="N151" s="25"/>
    </row>
    <row r="152" spans="1:14">
      <c r="A152" s="8" t="s">
        <v>262</v>
      </c>
      <c r="B152" s="4" t="s">
        <v>263</v>
      </c>
      <c r="C152" s="7">
        <f t="shared" si="7"/>
        <v>0</v>
      </c>
      <c r="D152" s="7"/>
      <c r="E152" s="6">
        <f t="shared" si="5"/>
        <v>0</v>
      </c>
      <c r="F152" s="6">
        <f t="shared" si="6"/>
        <v>0</v>
      </c>
      <c r="G152" s="62"/>
      <c r="H152" s="62"/>
      <c r="I152" s="60"/>
      <c r="J152" s="60"/>
      <c r="K152" s="64"/>
      <c r="L152" s="64"/>
      <c r="M152" s="25"/>
      <c r="N152" s="25"/>
    </row>
    <row r="153" spans="1:14">
      <c r="A153" s="8" t="s">
        <v>264</v>
      </c>
      <c r="B153" s="4" t="s">
        <v>265</v>
      </c>
      <c r="C153" s="7">
        <f t="shared" si="7"/>
        <v>0</v>
      </c>
      <c r="D153" s="7"/>
      <c r="E153" s="6">
        <f t="shared" si="5"/>
        <v>0</v>
      </c>
      <c r="F153" s="6">
        <f t="shared" si="6"/>
        <v>0</v>
      </c>
      <c r="G153" s="62"/>
      <c r="H153" s="62"/>
      <c r="I153" s="60"/>
      <c r="J153" s="60"/>
      <c r="K153" s="64"/>
      <c r="L153" s="64"/>
      <c r="M153" s="25"/>
      <c r="N153" s="25"/>
    </row>
    <row r="154" spans="1:14" ht="28.5">
      <c r="A154" s="8" t="s">
        <v>266</v>
      </c>
      <c r="B154" s="4" t="s">
        <v>267</v>
      </c>
      <c r="C154" s="7">
        <f t="shared" si="7"/>
        <v>0</v>
      </c>
      <c r="D154" s="7"/>
      <c r="E154" s="6">
        <f t="shared" si="5"/>
        <v>0</v>
      </c>
      <c r="F154" s="6">
        <f t="shared" si="6"/>
        <v>0</v>
      </c>
      <c r="G154" s="62"/>
      <c r="H154" s="62"/>
      <c r="I154" s="60"/>
      <c r="J154" s="60"/>
      <c r="K154" s="64"/>
      <c r="L154" s="64"/>
      <c r="M154" s="25"/>
      <c r="N154" s="25"/>
    </row>
    <row r="155" spans="1:14">
      <c r="A155" s="8" t="s">
        <v>268</v>
      </c>
      <c r="B155" s="4" t="s">
        <v>269</v>
      </c>
      <c r="C155" s="7">
        <f t="shared" si="7"/>
        <v>0</v>
      </c>
      <c r="D155" s="7"/>
      <c r="E155" s="6">
        <f t="shared" si="5"/>
        <v>0</v>
      </c>
      <c r="F155" s="6">
        <f t="shared" si="6"/>
        <v>0</v>
      </c>
      <c r="G155" s="62"/>
      <c r="H155" s="62"/>
      <c r="I155" s="60"/>
      <c r="J155" s="60"/>
      <c r="K155" s="64"/>
      <c r="L155" s="64"/>
      <c r="M155" s="25"/>
      <c r="N155" s="25"/>
    </row>
    <row r="156" spans="1:14">
      <c r="A156" s="8" t="s">
        <v>270</v>
      </c>
      <c r="B156" s="4" t="s">
        <v>271</v>
      </c>
      <c r="C156" s="7">
        <f t="shared" si="7"/>
        <v>0</v>
      </c>
      <c r="D156" s="7"/>
      <c r="E156" s="6">
        <f t="shared" si="5"/>
        <v>0</v>
      </c>
      <c r="F156" s="6">
        <f t="shared" si="6"/>
        <v>0</v>
      </c>
      <c r="G156" s="62"/>
      <c r="H156" s="62"/>
      <c r="I156" s="60"/>
      <c r="J156" s="60"/>
      <c r="K156" s="64"/>
      <c r="L156" s="64"/>
      <c r="M156" s="25"/>
      <c r="N156" s="25"/>
    </row>
    <row r="157" spans="1:14">
      <c r="A157" s="8" t="s">
        <v>272</v>
      </c>
      <c r="B157" s="4" t="s">
        <v>273</v>
      </c>
      <c r="C157" s="7">
        <f t="shared" si="7"/>
        <v>0</v>
      </c>
      <c r="D157" s="7"/>
      <c r="E157" s="6">
        <f t="shared" si="5"/>
        <v>0</v>
      </c>
      <c r="F157" s="6">
        <f t="shared" si="6"/>
        <v>0</v>
      </c>
      <c r="G157" s="62"/>
      <c r="H157" s="62"/>
      <c r="I157" s="60"/>
      <c r="J157" s="60"/>
      <c r="K157" s="64"/>
      <c r="L157" s="64"/>
      <c r="M157" s="25"/>
      <c r="N157" s="25"/>
    </row>
    <row r="158" spans="1:14">
      <c r="A158" s="8" t="s">
        <v>274</v>
      </c>
      <c r="B158" s="4" t="s">
        <v>275</v>
      </c>
      <c r="C158" s="7">
        <f t="shared" si="7"/>
        <v>0</v>
      </c>
      <c r="D158" s="7"/>
      <c r="E158" s="6">
        <f t="shared" si="5"/>
        <v>0</v>
      </c>
      <c r="F158" s="6">
        <f t="shared" si="6"/>
        <v>0</v>
      </c>
      <c r="G158" s="62"/>
      <c r="H158" s="62"/>
      <c r="I158" s="60"/>
      <c r="J158" s="60"/>
      <c r="K158" s="64"/>
      <c r="L158" s="64"/>
      <c r="M158" s="25"/>
      <c r="N158" s="25"/>
    </row>
    <row r="159" spans="1:14" ht="28.5">
      <c r="A159" s="8" t="s">
        <v>276</v>
      </c>
      <c r="B159" s="4" t="s">
        <v>277</v>
      </c>
      <c r="C159" s="7">
        <f t="shared" si="7"/>
        <v>0</v>
      </c>
      <c r="D159" s="7"/>
      <c r="E159" s="6">
        <f t="shared" si="5"/>
        <v>0</v>
      </c>
      <c r="F159" s="6">
        <f t="shared" si="6"/>
        <v>0</v>
      </c>
      <c r="G159" s="62"/>
      <c r="H159" s="62"/>
      <c r="I159" s="60"/>
      <c r="J159" s="60"/>
      <c r="K159" s="64"/>
      <c r="L159" s="64"/>
      <c r="M159" s="25"/>
      <c r="N159" s="25"/>
    </row>
    <row r="160" spans="1:14" ht="28.5">
      <c r="A160" s="8" t="s">
        <v>278</v>
      </c>
      <c r="B160" s="4" t="s">
        <v>279</v>
      </c>
      <c r="C160" s="7">
        <f t="shared" si="7"/>
        <v>0</v>
      </c>
      <c r="D160" s="7"/>
      <c r="E160" s="6">
        <f t="shared" si="5"/>
        <v>0</v>
      </c>
      <c r="F160" s="6">
        <f t="shared" si="6"/>
        <v>0</v>
      </c>
      <c r="G160" s="62"/>
      <c r="H160" s="62"/>
      <c r="I160" s="60"/>
      <c r="J160" s="60"/>
      <c r="K160" s="64"/>
      <c r="L160" s="64"/>
      <c r="M160" s="25"/>
      <c r="N160" s="25"/>
    </row>
    <row r="161" spans="1:14" ht="28.5">
      <c r="A161" s="8" t="s">
        <v>280</v>
      </c>
      <c r="B161" s="4" t="s">
        <v>281</v>
      </c>
      <c r="C161" s="7">
        <f t="shared" si="7"/>
        <v>0</v>
      </c>
      <c r="D161" s="7"/>
      <c r="E161" s="6">
        <f t="shared" si="5"/>
        <v>0</v>
      </c>
      <c r="F161" s="6">
        <f t="shared" si="6"/>
        <v>0</v>
      </c>
      <c r="G161" s="62"/>
      <c r="H161" s="62"/>
      <c r="I161" s="60"/>
      <c r="J161" s="60"/>
      <c r="K161" s="64"/>
      <c r="L161" s="64"/>
      <c r="M161" s="25"/>
      <c r="N161" s="25"/>
    </row>
    <row r="162" spans="1:14" ht="28.5">
      <c r="A162" s="8" t="s">
        <v>282</v>
      </c>
      <c r="B162" s="4" t="s">
        <v>283</v>
      </c>
      <c r="C162" s="7">
        <f t="shared" si="7"/>
        <v>0</v>
      </c>
      <c r="D162" s="7"/>
      <c r="E162" s="6">
        <f t="shared" si="5"/>
        <v>0</v>
      </c>
      <c r="F162" s="6">
        <f t="shared" si="6"/>
        <v>0</v>
      </c>
      <c r="G162" s="62"/>
      <c r="H162" s="62"/>
      <c r="I162" s="60"/>
      <c r="J162" s="60"/>
      <c r="K162" s="64"/>
      <c r="L162" s="64"/>
      <c r="M162" s="25"/>
      <c r="N162" s="25"/>
    </row>
    <row r="163" spans="1:14" ht="28.5">
      <c r="A163" s="8" t="s">
        <v>284</v>
      </c>
      <c r="B163" s="4" t="s">
        <v>285</v>
      </c>
      <c r="C163" s="7">
        <f t="shared" si="7"/>
        <v>0</v>
      </c>
      <c r="D163" s="7"/>
      <c r="E163" s="6">
        <f t="shared" si="5"/>
        <v>0</v>
      </c>
      <c r="F163" s="6">
        <f t="shared" si="6"/>
        <v>0</v>
      </c>
      <c r="G163" s="62"/>
      <c r="H163" s="62"/>
      <c r="I163" s="60"/>
      <c r="J163" s="60"/>
      <c r="K163" s="64"/>
      <c r="L163" s="64"/>
      <c r="M163" s="25"/>
      <c r="N163" s="25"/>
    </row>
    <row r="164" spans="1:14">
      <c r="A164" s="8" t="s">
        <v>286</v>
      </c>
      <c r="B164" s="4" t="s">
        <v>287</v>
      </c>
      <c r="C164" s="7">
        <f t="shared" si="7"/>
        <v>0</v>
      </c>
      <c r="D164" s="7"/>
      <c r="E164" s="6">
        <f t="shared" si="5"/>
        <v>0</v>
      </c>
      <c r="F164" s="6">
        <f t="shared" si="6"/>
        <v>0</v>
      </c>
      <c r="G164" s="62"/>
      <c r="H164" s="62"/>
      <c r="I164" s="60"/>
      <c r="J164" s="60"/>
      <c r="K164" s="64"/>
      <c r="L164" s="64"/>
      <c r="M164" s="25"/>
      <c r="N164" s="25"/>
    </row>
    <row r="165" spans="1:14" ht="28.5">
      <c r="A165" s="8" t="s">
        <v>288</v>
      </c>
      <c r="B165" s="4" t="s">
        <v>289</v>
      </c>
      <c r="C165" s="7">
        <f t="shared" si="7"/>
        <v>0</v>
      </c>
      <c r="D165" s="7"/>
      <c r="E165" s="6">
        <f t="shared" si="5"/>
        <v>0</v>
      </c>
      <c r="F165" s="6">
        <f t="shared" si="6"/>
        <v>0</v>
      </c>
      <c r="G165" s="62"/>
      <c r="H165" s="62"/>
      <c r="I165" s="60"/>
      <c r="J165" s="60"/>
      <c r="K165" s="64"/>
      <c r="L165" s="64"/>
      <c r="M165" s="25"/>
      <c r="N165" s="25"/>
    </row>
    <row r="166" spans="1:14" ht="28.5">
      <c r="A166" s="8" t="s">
        <v>290</v>
      </c>
      <c r="B166" s="4" t="s">
        <v>291</v>
      </c>
      <c r="C166" s="7">
        <f t="shared" si="7"/>
        <v>0</v>
      </c>
      <c r="D166" s="7"/>
      <c r="E166" s="6">
        <f t="shared" si="5"/>
        <v>0</v>
      </c>
      <c r="F166" s="6">
        <f t="shared" si="6"/>
        <v>0</v>
      </c>
      <c r="G166" s="62"/>
      <c r="H166" s="62"/>
      <c r="I166" s="60"/>
      <c r="J166" s="60"/>
      <c r="K166" s="64"/>
      <c r="L166" s="64"/>
      <c r="M166" s="25"/>
      <c r="N166" s="25"/>
    </row>
    <row r="167" spans="1:14">
      <c r="A167" s="3" t="s">
        <v>292</v>
      </c>
      <c r="B167" s="4" t="s">
        <v>293</v>
      </c>
      <c r="C167" s="7">
        <f t="shared" si="7"/>
        <v>0</v>
      </c>
      <c r="D167" s="7"/>
      <c r="E167" s="6">
        <f t="shared" si="5"/>
        <v>0</v>
      </c>
      <c r="F167" s="6">
        <f t="shared" si="6"/>
        <v>0</v>
      </c>
      <c r="G167" s="62"/>
      <c r="H167" s="62"/>
      <c r="I167" s="60"/>
      <c r="J167" s="60"/>
      <c r="K167" s="64"/>
      <c r="L167" s="64"/>
      <c r="M167" s="25"/>
      <c r="N167" s="25"/>
    </row>
    <row r="168" spans="1:14">
      <c r="A168" s="3" t="s">
        <v>294</v>
      </c>
      <c r="B168" s="4" t="s">
        <v>295</v>
      </c>
      <c r="C168" s="7">
        <f t="shared" si="7"/>
        <v>0</v>
      </c>
      <c r="D168" s="7"/>
      <c r="E168" s="6">
        <f t="shared" si="5"/>
        <v>0</v>
      </c>
      <c r="F168" s="6">
        <f t="shared" si="6"/>
        <v>0</v>
      </c>
      <c r="G168" s="62"/>
      <c r="H168" s="62"/>
      <c r="I168" s="60"/>
      <c r="J168" s="60"/>
      <c r="K168" s="64"/>
      <c r="L168" s="64"/>
      <c r="M168" s="25"/>
      <c r="N168" s="25"/>
    </row>
    <row r="169" spans="1:14">
      <c r="A169" s="3" t="s">
        <v>296</v>
      </c>
      <c r="B169" s="10" t="s">
        <v>297</v>
      </c>
      <c r="C169" s="7">
        <f t="shared" si="7"/>
        <v>0</v>
      </c>
      <c r="D169" s="7"/>
      <c r="E169" s="6">
        <f t="shared" si="5"/>
        <v>0</v>
      </c>
      <c r="F169" s="6">
        <f t="shared" si="6"/>
        <v>0</v>
      </c>
      <c r="G169" s="62"/>
      <c r="H169" s="62"/>
      <c r="I169" s="60"/>
      <c r="J169" s="60"/>
      <c r="K169" s="64"/>
      <c r="L169" s="64"/>
      <c r="M169" s="25"/>
      <c r="N169" s="25"/>
    </row>
    <row r="170" spans="1:14">
      <c r="A170" s="3" t="s">
        <v>298</v>
      </c>
      <c r="B170" s="10" t="s">
        <v>299</v>
      </c>
      <c r="C170" s="7">
        <f t="shared" si="7"/>
        <v>0</v>
      </c>
      <c r="D170" s="7"/>
      <c r="E170" s="6">
        <f t="shared" si="5"/>
        <v>0</v>
      </c>
      <c r="F170" s="6">
        <f t="shared" si="6"/>
        <v>0</v>
      </c>
      <c r="G170" s="62"/>
      <c r="H170" s="62"/>
      <c r="I170" s="60"/>
      <c r="J170" s="60"/>
      <c r="K170" s="64"/>
      <c r="L170" s="64"/>
      <c r="M170" s="25"/>
      <c r="N170" s="25"/>
    </row>
    <row r="171" spans="1:14">
      <c r="A171" s="3" t="s">
        <v>300</v>
      </c>
      <c r="B171" s="10" t="s">
        <v>301</v>
      </c>
      <c r="C171" s="7">
        <f t="shared" si="7"/>
        <v>0</v>
      </c>
      <c r="D171" s="7"/>
      <c r="E171" s="6">
        <f t="shared" si="5"/>
        <v>0</v>
      </c>
      <c r="F171" s="6">
        <f t="shared" si="6"/>
        <v>0</v>
      </c>
      <c r="G171" s="62"/>
      <c r="H171" s="62"/>
      <c r="I171" s="60"/>
      <c r="J171" s="60"/>
      <c r="K171" s="64"/>
      <c r="L171" s="64"/>
      <c r="M171" s="25"/>
      <c r="N171" s="25"/>
    </row>
    <row r="172" spans="1:14">
      <c r="A172" s="3" t="s">
        <v>302</v>
      </c>
      <c r="B172" s="10" t="s">
        <v>303</v>
      </c>
      <c r="C172" s="7">
        <f t="shared" si="7"/>
        <v>0</v>
      </c>
      <c r="D172" s="7"/>
      <c r="E172" s="6">
        <f t="shared" si="5"/>
        <v>0</v>
      </c>
      <c r="F172" s="6">
        <f t="shared" si="6"/>
        <v>0</v>
      </c>
      <c r="G172" s="62"/>
      <c r="H172" s="62"/>
      <c r="I172" s="60"/>
      <c r="J172" s="60"/>
      <c r="K172" s="64"/>
      <c r="L172" s="64"/>
      <c r="M172" s="25"/>
      <c r="N172" s="25"/>
    </row>
    <row r="173" spans="1:14">
      <c r="A173" s="3" t="s">
        <v>304</v>
      </c>
      <c r="B173" s="10" t="s">
        <v>305</v>
      </c>
      <c r="C173" s="7">
        <f t="shared" si="7"/>
        <v>0</v>
      </c>
      <c r="D173" s="7"/>
      <c r="E173" s="6">
        <f t="shared" si="5"/>
        <v>0</v>
      </c>
      <c r="F173" s="6">
        <f t="shared" si="6"/>
        <v>0</v>
      </c>
      <c r="G173" s="62"/>
      <c r="H173" s="62"/>
      <c r="I173" s="60"/>
      <c r="J173" s="60"/>
      <c r="K173" s="64"/>
      <c r="L173" s="64"/>
      <c r="M173" s="25"/>
      <c r="N173" s="25"/>
    </row>
    <row r="174" spans="1:14">
      <c r="A174" s="3" t="s">
        <v>306</v>
      </c>
      <c r="B174" s="10" t="s">
        <v>307</v>
      </c>
      <c r="C174" s="7"/>
      <c r="D174" s="7">
        <f t="shared" ref="D174:D237" si="8">F174-E174</f>
        <v>0</v>
      </c>
      <c r="E174" s="6">
        <f t="shared" si="5"/>
        <v>0</v>
      </c>
      <c r="F174" s="6">
        <f t="shared" si="6"/>
        <v>0</v>
      </c>
      <c r="G174" s="62"/>
      <c r="H174" s="62"/>
      <c r="I174" s="60"/>
      <c r="J174" s="60"/>
      <c r="K174" s="64"/>
      <c r="L174" s="64"/>
      <c r="M174" s="25"/>
      <c r="N174" s="25"/>
    </row>
    <row r="175" spans="1:14">
      <c r="A175" s="3" t="s">
        <v>308</v>
      </c>
      <c r="B175" s="10" t="s">
        <v>309</v>
      </c>
      <c r="C175" s="7"/>
      <c r="D175" s="7">
        <f t="shared" si="8"/>
        <v>0</v>
      </c>
      <c r="E175" s="6">
        <f t="shared" si="5"/>
        <v>0</v>
      </c>
      <c r="F175" s="6">
        <f t="shared" si="6"/>
        <v>0</v>
      </c>
      <c r="G175" s="62"/>
      <c r="H175" s="62"/>
      <c r="I175" s="60"/>
      <c r="J175" s="60"/>
      <c r="K175" s="64"/>
      <c r="L175" s="64"/>
      <c r="M175" s="25"/>
      <c r="N175" s="25"/>
    </row>
    <row r="176" spans="1:14">
      <c r="A176" s="3" t="s">
        <v>310</v>
      </c>
      <c r="B176" s="10" t="s">
        <v>311</v>
      </c>
      <c r="C176" s="7"/>
      <c r="D176" s="7">
        <f t="shared" si="8"/>
        <v>0</v>
      </c>
      <c r="E176" s="6">
        <f t="shared" si="5"/>
        <v>0</v>
      </c>
      <c r="F176" s="6">
        <f t="shared" si="6"/>
        <v>0</v>
      </c>
      <c r="G176" s="62"/>
      <c r="H176" s="62"/>
      <c r="I176" s="60"/>
      <c r="J176" s="60"/>
      <c r="K176" s="64"/>
      <c r="L176" s="64"/>
      <c r="M176" s="25"/>
      <c r="N176" s="25"/>
    </row>
    <row r="177" spans="1:14">
      <c r="A177" s="3" t="s">
        <v>312</v>
      </c>
      <c r="B177" s="10" t="s">
        <v>313</v>
      </c>
      <c r="C177" s="7"/>
      <c r="D177" s="7">
        <f t="shared" si="8"/>
        <v>0</v>
      </c>
      <c r="E177" s="6">
        <f t="shared" si="5"/>
        <v>0</v>
      </c>
      <c r="F177" s="6">
        <f t="shared" si="6"/>
        <v>0</v>
      </c>
      <c r="G177" s="62"/>
      <c r="H177" s="62"/>
      <c r="I177" s="60"/>
      <c r="J177" s="60"/>
      <c r="K177" s="64"/>
      <c r="L177" s="64"/>
      <c r="M177" s="25"/>
      <c r="N177" s="25"/>
    </row>
    <row r="178" spans="1:14">
      <c r="A178" s="3" t="s">
        <v>314</v>
      </c>
      <c r="B178" s="10" t="s">
        <v>315</v>
      </c>
      <c r="C178" s="7"/>
      <c r="D178" s="7">
        <f t="shared" si="8"/>
        <v>0</v>
      </c>
      <c r="E178" s="6">
        <f t="shared" si="5"/>
        <v>0</v>
      </c>
      <c r="F178" s="6">
        <f t="shared" si="6"/>
        <v>0</v>
      </c>
      <c r="G178" s="62"/>
      <c r="H178" s="62"/>
      <c r="I178" s="60"/>
      <c r="J178" s="60"/>
      <c r="K178" s="64"/>
      <c r="L178" s="64"/>
      <c r="M178" s="25"/>
      <c r="N178" s="25"/>
    </row>
    <row r="179" spans="1:14">
      <c r="A179" s="3" t="s">
        <v>316</v>
      </c>
      <c r="B179" s="10" t="s">
        <v>317</v>
      </c>
      <c r="C179" s="7"/>
      <c r="D179" s="7">
        <f t="shared" si="8"/>
        <v>0</v>
      </c>
      <c r="E179" s="6">
        <f t="shared" si="5"/>
        <v>0</v>
      </c>
      <c r="F179" s="6">
        <f t="shared" si="6"/>
        <v>0</v>
      </c>
      <c r="G179" s="62"/>
      <c r="H179" s="62"/>
      <c r="I179" s="60"/>
      <c r="J179" s="60"/>
      <c r="K179" s="64"/>
      <c r="L179" s="64"/>
      <c r="M179" s="25"/>
      <c r="N179" s="25"/>
    </row>
    <row r="180" spans="1:14">
      <c r="A180" s="3" t="s">
        <v>318</v>
      </c>
      <c r="B180" s="10" t="s">
        <v>319</v>
      </c>
      <c r="C180" s="7"/>
      <c r="D180" s="7">
        <f t="shared" si="8"/>
        <v>0</v>
      </c>
      <c r="E180" s="6">
        <f t="shared" si="5"/>
        <v>0</v>
      </c>
      <c r="F180" s="6">
        <f t="shared" si="6"/>
        <v>0</v>
      </c>
      <c r="G180" s="62"/>
      <c r="H180" s="62"/>
      <c r="I180" s="60"/>
      <c r="J180" s="60"/>
      <c r="K180" s="64"/>
      <c r="L180" s="64"/>
      <c r="M180" s="25"/>
      <c r="N180" s="25"/>
    </row>
    <row r="181" spans="1:14">
      <c r="A181" s="3" t="s">
        <v>320</v>
      </c>
      <c r="B181" s="10" t="s">
        <v>321</v>
      </c>
      <c r="C181" s="7"/>
      <c r="D181" s="7">
        <f t="shared" si="8"/>
        <v>0</v>
      </c>
      <c r="E181" s="6">
        <f t="shared" si="5"/>
        <v>0</v>
      </c>
      <c r="F181" s="6">
        <f t="shared" si="6"/>
        <v>0</v>
      </c>
      <c r="G181" s="62"/>
      <c r="H181" s="62"/>
      <c r="I181" s="60"/>
      <c r="J181" s="60"/>
      <c r="K181" s="64"/>
      <c r="L181" s="64"/>
      <c r="M181" s="25"/>
      <c r="N181" s="25"/>
    </row>
    <row r="182" spans="1:14">
      <c r="A182" s="3" t="s">
        <v>322</v>
      </c>
      <c r="B182" s="10" t="s">
        <v>323</v>
      </c>
      <c r="C182" s="7"/>
      <c r="D182" s="7">
        <f t="shared" si="8"/>
        <v>0</v>
      </c>
      <c r="E182" s="6">
        <f t="shared" si="5"/>
        <v>0</v>
      </c>
      <c r="F182" s="6">
        <f t="shared" si="6"/>
        <v>0</v>
      </c>
      <c r="G182" s="62"/>
      <c r="H182" s="62"/>
      <c r="I182" s="60"/>
      <c r="J182" s="60"/>
      <c r="K182" s="64"/>
      <c r="L182" s="64"/>
      <c r="M182" s="25"/>
      <c r="N182" s="25"/>
    </row>
    <row r="183" spans="1:14">
      <c r="A183" s="3" t="s">
        <v>324</v>
      </c>
      <c r="B183" s="10" t="s">
        <v>325</v>
      </c>
      <c r="C183" s="7"/>
      <c r="D183" s="7">
        <f t="shared" si="8"/>
        <v>0</v>
      </c>
      <c r="E183" s="6">
        <f t="shared" si="5"/>
        <v>0</v>
      </c>
      <c r="F183" s="6">
        <f t="shared" si="6"/>
        <v>0</v>
      </c>
      <c r="G183" s="62"/>
      <c r="H183" s="62"/>
      <c r="I183" s="60"/>
      <c r="J183" s="60"/>
      <c r="K183" s="64"/>
      <c r="L183" s="64"/>
      <c r="M183" s="25"/>
      <c r="N183" s="25"/>
    </row>
    <row r="184" spans="1:14">
      <c r="A184" s="3" t="s">
        <v>326</v>
      </c>
      <c r="B184" s="10" t="s">
        <v>327</v>
      </c>
      <c r="C184" s="7"/>
      <c r="D184" s="7">
        <f t="shared" si="8"/>
        <v>0</v>
      </c>
      <c r="E184" s="6">
        <f t="shared" si="5"/>
        <v>0</v>
      </c>
      <c r="F184" s="6">
        <f t="shared" si="6"/>
        <v>0</v>
      </c>
      <c r="G184" s="62"/>
      <c r="H184" s="62"/>
      <c r="I184" s="60"/>
      <c r="J184" s="60"/>
      <c r="K184" s="64"/>
      <c r="L184" s="64"/>
      <c r="M184" s="25"/>
      <c r="N184" s="25"/>
    </row>
    <row r="185" spans="1:14">
      <c r="A185" s="3" t="s">
        <v>328</v>
      </c>
      <c r="B185" s="10" t="s">
        <v>329</v>
      </c>
      <c r="C185" s="7"/>
      <c r="D185" s="7">
        <f t="shared" si="8"/>
        <v>0</v>
      </c>
      <c r="E185" s="6">
        <f t="shared" si="5"/>
        <v>0</v>
      </c>
      <c r="F185" s="6">
        <f t="shared" si="6"/>
        <v>0</v>
      </c>
      <c r="G185" s="62"/>
      <c r="H185" s="62"/>
      <c r="I185" s="60"/>
      <c r="J185" s="60"/>
      <c r="K185" s="64"/>
      <c r="L185" s="64"/>
      <c r="M185" s="25"/>
      <c r="N185" s="25"/>
    </row>
    <row r="186" spans="1:14">
      <c r="A186" s="3" t="s">
        <v>330</v>
      </c>
      <c r="B186" s="10" t="s">
        <v>331</v>
      </c>
      <c r="C186" s="7"/>
      <c r="D186" s="7">
        <f t="shared" si="8"/>
        <v>0</v>
      </c>
      <c r="E186" s="6">
        <f t="shared" si="5"/>
        <v>0</v>
      </c>
      <c r="F186" s="6">
        <f t="shared" si="6"/>
        <v>0</v>
      </c>
      <c r="G186" s="62"/>
      <c r="H186" s="62"/>
      <c r="I186" s="60"/>
      <c r="J186" s="60"/>
      <c r="K186" s="64"/>
      <c r="L186" s="64"/>
      <c r="M186" s="25"/>
      <c r="N186" s="25"/>
    </row>
    <row r="187" spans="1:14">
      <c r="A187" s="3" t="s">
        <v>332</v>
      </c>
      <c r="B187" s="10" t="s">
        <v>333</v>
      </c>
      <c r="C187" s="5"/>
      <c r="D187" s="5">
        <f t="shared" si="8"/>
        <v>0</v>
      </c>
      <c r="E187" s="6">
        <f t="shared" si="5"/>
        <v>0</v>
      </c>
      <c r="F187" s="6">
        <f t="shared" si="6"/>
        <v>0</v>
      </c>
      <c r="G187" s="62"/>
      <c r="H187" s="62"/>
      <c r="I187" s="60"/>
      <c r="J187" s="60"/>
      <c r="K187" s="64"/>
      <c r="L187" s="64"/>
      <c r="M187" s="25"/>
      <c r="N187" s="25"/>
    </row>
    <row r="188" spans="1:14">
      <c r="A188" s="3" t="s">
        <v>334</v>
      </c>
      <c r="B188" s="10" t="s">
        <v>335</v>
      </c>
      <c r="C188" s="5"/>
      <c r="D188" s="5">
        <f t="shared" si="8"/>
        <v>0</v>
      </c>
      <c r="E188" s="6">
        <f t="shared" si="5"/>
        <v>0</v>
      </c>
      <c r="F188" s="6">
        <f t="shared" si="6"/>
        <v>0</v>
      </c>
      <c r="G188" s="62"/>
      <c r="H188" s="62"/>
      <c r="I188" s="60"/>
      <c r="J188" s="60"/>
      <c r="K188" s="64"/>
      <c r="L188" s="64"/>
      <c r="M188" s="25"/>
      <c r="N188" s="25"/>
    </row>
    <row r="189" spans="1:14">
      <c r="A189" s="3" t="s">
        <v>336</v>
      </c>
      <c r="B189" s="10" t="s">
        <v>337</v>
      </c>
      <c r="C189" s="5"/>
      <c r="D189" s="5">
        <f t="shared" si="8"/>
        <v>0</v>
      </c>
      <c r="E189" s="6">
        <f t="shared" si="5"/>
        <v>0</v>
      </c>
      <c r="F189" s="6">
        <f t="shared" si="6"/>
        <v>0</v>
      </c>
      <c r="G189" s="62"/>
      <c r="H189" s="62"/>
      <c r="I189" s="60"/>
      <c r="J189" s="60"/>
      <c r="K189" s="64"/>
      <c r="L189" s="64"/>
      <c r="M189" s="25"/>
      <c r="N189" s="25"/>
    </row>
    <row r="190" spans="1:14">
      <c r="A190" s="3" t="s">
        <v>338</v>
      </c>
      <c r="B190" s="10" t="s">
        <v>339</v>
      </c>
      <c r="C190" s="5"/>
      <c r="D190" s="5">
        <f t="shared" si="8"/>
        <v>0</v>
      </c>
      <c r="E190" s="6">
        <f t="shared" si="5"/>
        <v>0</v>
      </c>
      <c r="F190" s="6">
        <f t="shared" si="6"/>
        <v>0</v>
      </c>
      <c r="G190" s="62"/>
      <c r="H190" s="62"/>
      <c r="I190" s="60"/>
      <c r="J190" s="60"/>
      <c r="K190" s="64"/>
      <c r="L190" s="64"/>
      <c r="M190" s="25"/>
      <c r="N190" s="25"/>
    </row>
    <row r="191" spans="1:14">
      <c r="A191" s="3" t="s">
        <v>340</v>
      </c>
      <c r="B191" s="10" t="s">
        <v>341</v>
      </c>
      <c r="C191" s="5"/>
      <c r="D191" s="5">
        <f t="shared" si="8"/>
        <v>0</v>
      </c>
      <c r="E191" s="6">
        <f t="shared" si="5"/>
        <v>0</v>
      </c>
      <c r="F191" s="6">
        <f t="shared" si="6"/>
        <v>0</v>
      </c>
      <c r="G191" s="62"/>
      <c r="H191" s="62"/>
      <c r="I191" s="60"/>
      <c r="J191" s="60"/>
      <c r="K191" s="64"/>
      <c r="L191" s="64"/>
      <c r="M191" s="25"/>
      <c r="N191" s="25"/>
    </row>
    <row r="192" spans="1:14">
      <c r="A192" s="3" t="s">
        <v>342</v>
      </c>
      <c r="B192" s="10" t="s">
        <v>343</v>
      </c>
      <c r="C192" s="5"/>
      <c r="D192" s="5">
        <f t="shared" si="8"/>
        <v>0</v>
      </c>
      <c r="E192" s="6">
        <f t="shared" si="5"/>
        <v>0</v>
      </c>
      <c r="F192" s="6">
        <f t="shared" si="6"/>
        <v>0</v>
      </c>
      <c r="G192" s="62"/>
      <c r="H192" s="62"/>
      <c r="I192" s="60"/>
      <c r="J192" s="60"/>
      <c r="K192" s="64"/>
      <c r="L192" s="64"/>
      <c r="M192" s="25"/>
      <c r="N192" s="25"/>
    </row>
    <row r="193" spans="1:14">
      <c r="A193" s="3" t="s">
        <v>344</v>
      </c>
      <c r="B193" s="10" t="s">
        <v>345</v>
      </c>
      <c r="C193" s="5"/>
      <c r="D193" s="5">
        <f t="shared" si="8"/>
        <v>0</v>
      </c>
      <c r="E193" s="6">
        <f t="shared" si="5"/>
        <v>0</v>
      </c>
      <c r="F193" s="6">
        <f t="shared" si="6"/>
        <v>0</v>
      </c>
      <c r="G193" s="62"/>
      <c r="H193" s="62"/>
      <c r="I193" s="60"/>
      <c r="J193" s="60"/>
      <c r="K193" s="64"/>
      <c r="L193" s="64"/>
      <c r="M193" s="25"/>
      <c r="N193" s="25"/>
    </row>
    <row r="194" spans="1:14">
      <c r="A194" s="3" t="s">
        <v>346</v>
      </c>
      <c r="B194" s="10" t="s">
        <v>347</v>
      </c>
      <c r="C194" s="5"/>
      <c r="D194" s="5">
        <f t="shared" si="8"/>
        <v>0</v>
      </c>
      <c r="E194" s="6">
        <f t="shared" si="5"/>
        <v>0</v>
      </c>
      <c r="F194" s="6">
        <f t="shared" si="6"/>
        <v>0</v>
      </c>
      <c r="G194" s="62"/>
      <c r="H194" s="62"/>
      <c r="I194" s="60"/>
      <c r="J194" s="60"/>
      <c r="K194" s="64"/>
      <c r="L194" s="64"/>
      <c r="M194" s="25"/>
      <c r="N194" s="25"/>
    </row>
    <row r="195" spans="1:14">
      <c r="A195" s="3" t="s">
        <v>348</v>
      </c>
      <c r="B195" s="10" t="s">
        <v>349</v>
      </c>
      <c r="C195" s="5"/>
      <c r="D195" s="5">
        <f t="shared" si="8"/>
        <v>0</v>
      </c>
      <c r="E195" s="6">
        <f t="shared" si="5"/>
        <v>0</v>
      </c>
      <c r="F195" s="6">
        <f t="shared" si="6"/>
        <v>0</v>
      </c>
      <c r="G195" s="62"/>
      <c r="H195" s="62"/>
      <c r="I195" s="60"/>
      <c r="J195" s="60"/>
      <c r="K195" s="64"/>
      <c r="L195" s="64"/>
      <c r="M195" s="25"/>
      <c r="N195" s="25"/>
    </row>
    <row r="196" spans="1:14">
      <c r="A196" s="3" t="s">
        <v>350</v>
      </c>
      <c r="B196" s="10" t="s">
        <v>351</v>
      </c>
      <c r="C196" s="5"/>
      <c r="D196" s="5">
        <f t="shared" si="8"/>
        <v>0</v>
      </c>
      <c r="E196" s="6">
        <f t="shared" si="5"/>
        <v>0</v>
      </c>
      <c r="F196" s="6">
        <f t="shared" si="6"/>
        <v>0</v>
      </c>
      <c r="G196" s="62"/>
      <c r="H196" s="62"/>
      <c r="I196" s="60"/>
      <c r="J196" s="60"/>
      <c r="K196" s="64"/>
      <c r="L196" s="64"/>
      <c r="M196" s="25"/>
      <c r="N196" s="25"/>
    </row>
    <row r="197" spans="1:14">
      <c r="A197" s="3" t="s">
        <v>352</v>
      </c>
      <c r="B197" s="10" t="s">
        <v>353</v>
      </c>
      <c r="C197" s="5"/>
      <c r="D197" s="5">
        <f t="shared" si="8"/>
        <v>0</v>
      </c>
      <c r="E197" s="6">
        <f t="shared" si="5"/>
        <v>0</v>
      </c>
      <c r="F197" s="6">
        <f t="shared" si="6"/>
        <v>0</v>
      </c>
      <c r="G197" s="62"/>
      <c r="H197" s="62"/>
      <c r="I197" s="60"/>
      <c r="J197" s="60"/>
      <c r="K197" s="64"/>
      <c r="L197" s="64"/>
      <c r="M197" s="25"/>
      <c r="N197" s="25"/>
    </row>
    <row r="198" spans="1:14">
      <c r="A198" s="3" t="s">
        <v>354</v>
      </c>
      <c r="B198" s="10" t="s">
        <v>355</v>
      </c>
      <c r="C198" s="5"/>
      <c r="D198" s="5">
        <f t="shared" si="8"/>
        <v>0</v>
      </c>
      <c r="E198" s="6">
        <f t="shared" si="5"/>
        <v>0</v>
      </c>
      <c r="F198" s="6">
        <f t="shared" si="6"/>
        <v>0</v>
      </c>
      <c r="G198" s="62"/>
      <c r="H198" s="62"/>
      <c r="I198" s="60"/>
      <c r="J198" s="60"/>
      <c r="K198" s="64"/>
      <c r="L198" s="64"/>
      <c r="M198" s="25"/>
      <c r="N198" s="25"/>
    </row>
    <row r="199" spans="1:14">
      <c r="A199" s="3" t="s">
        <v>356</v>
      </c>
      <c r="B199" s="10" t="s">
        <v>357</v>
      </c>
      <c r="C199" s="5"/>
      <c r="D199" s="5">
        <f t="shared" si="8"/>
        <v>0</v>
      </c>
      <c r="E199" s="6">
        <f t="shared" si="5"/>
        <v>0</v>
      </c>
      <c r="F199" s="6">
        <f t="shared" si="6"/>
        <v>0</v>
      </c>
      <c r="G199" s="62"/>
      <c r="H199" s="62"/>
      <c r="I199" s="60"/>
      <c r="J199" s="60"/>
      <c r="K199" s="64"/>
      <c r="L199" s="64"/>
      <c r="M199" s="25"/>
      <c r="N199" s="25"/>
    </row>
    <row r="200" spans="1:14">
      <c r="A200" s="3" t="s">
        <v>358</v>
      </c>
      <c r="B200" s="10" t="s">
        <v>359</v>
      </c>
      <c r="C200" s="5"/>
      <c r="D200" s="5">
        <f t="shared" si="8"/>
        <v>0</v>
      </c>
      <c r="E200" s="6">
        <f t="shared" si="5"/>
        <v>0</v>
      </c>
      <c r="F200" s="6">
        <f t="shared" si="6"/>
        <v>0</v>
      </c>
      <c r="G200" s="62"/>
      <c r="H200" s="62"/>
      <c r="I200" s="60"/>
      <c r="J200" s="60"/>
      <c r="K200" s="64"/>
      <c r="L200" s="64"/>
      <c r="M200" s="25"/>
      <c r="N200" s="25"/>
    </row>
    <row r="201" spans="1:14">
      <c r="A201" s="3" t="s">
        <v>360</v>
      </c>
      <c r="B201" s="10" t="s">
        <v>361</v>
      </c>
      <c r="C201" s="5"/>
      <c r="D201" s="5">
        <f t="shared" si="8"/>
        <v>0</v>
      </c>
      <c r="E201" s="6">
        <f t="shared" si="5"/>
        <v>0</v>
      </c>
      <c r="F201" s="6">
        <f t="shared" si="6"/>
        <v>0</v>
      </c>
      <c r="G201" s="62"/>
      <c r="H201" s="62"/>
      <c r="I201" s="60"/>
      <c r="J201" s="60"/>
      <c r="K201" s="64"/>
      <c r="L201" s="64"/>
      <c r="M201" s="25"/>
      <c r="N201" s="25"/>
    </row>
    <row r="202" spans="1:14">
      <c r="A202" s="3" t="s">
        <v>362</v>
      </c>
      <c r="B202" s="10" t="s">
        <v>363</v>
      </c>
      <c r="C202" s="5"/>
      <c r="D202" s="5">
        <f t="shared" si="8"/>
        <v>0</v>
      </c>
      <c r="E202" s="6">
        <f t="shared" si="5"/>
        <v>0</v>
      </c>
      <c r="F202" s="6">
        <f t="shared" si="6"/>
        <v>0</v>
      </c>
      <c r="G202" s="62"/>
      <c r="H202" s="62"/>
      <c r="I202" s="60"/>
      <c r="J202" s="60"/>
      <c r="K202" s="64"/>
      <c r="L202" s="64"/>
      <c r="M202" s="25"/>
      <c r="N202" s="25"/>
    </row>
    <row r="203" spans="1:14">
      <c r="A203" s="3" t="s">
        <v>364</v>
      </c>
      <c r="B203" s="10" t="s">
        <v>365</v>
      </c>
      <c r="C203" s="5"/>
      <c r="D203" s="5">
        <f t="shared" si="8"/>
        <v>0</v>
      </c>
      <c r="E203" s="6">
        <f t="shared" si="5"/>
        <v>0</v>
      </c>
      <c r="F203" s="6">
        <f t="shared" si="6"/>
        <v>0</v>
      </c>
      <c r="G203" s="62"/>
      <c r="H203" s="62"/>
      <c r="I203" s="60"/>
      <c r="J203" s="60"/>
      <c r="K203" s="64"/>
      <c r="L203" s="64"/>
      <c r="M203" s="25"/>
      <c r="N203" s="25"/>
    </row>
    <row r="204" spans="1:14">
      <c r="A204" s="3" t="s">
        <v>366</v>
      </c>
      <c r="B204" s="10" t="s">
        <v>367</v>
      </c>
      <c r="C204" s="5"/>
      <c r="D204" s="5">
        <f t="shared" si="8"/>
        <v>0</v>
      </c>
      <c r="E204" s="6">
        <f t="shared" si="5"/>
        <v>0</v>
      </c>
      <c r="F204" s="6">
        <f t="shared" si="6"/>
        <v>0</v>
      </c>
      <c r="G204" s="62"/>
      <c r="H204" s="62"/>
      <c r="I204" s="60"/>
      <c r="J204" s="60"/>
      <c r="K204" s="64"/>
      <c r="L204" s="64"/>
      <c r="M204" s="25"/>
      <c r="N204" s="25"/>
    </row>
    <row r="205" spans="1:14">
      <c r="A205" s="3" t="s">
        <v>368</v>
      </c>
      <c r="B205" s="10" t="s">
        <v>369</v>
      </c>
      <c r="C205" s="5"/>
      <c r="D205" s="5">
        <f t="shared" si="8"/>
        <v>0</v>
      </c>
      <c r="E205" s="6">
        <f t="shared" si="5"/>
        <v>0</v>
      </c>
      <c r="F205" s="6">
        <f t="shared" si="6"/>
        <v>0</v>
      </c>
      <c r="G205" s="62"/>
      <c r="H205" s="62"/>
      <c r="I205" s="60"/>
      <c r="J205" s="60"/>
      <c r="K205" s="64"/>
      <c r="L205" s="64"/>
      <c r="M205" s="25"/>
      <c r="N205" s="25"/>
    </row>
    <row r="206" spans="1:14">
      <c r="A206" s="3" t="s">
        <v>370</v>
      </c>
      <c r="B206" s="10" t="s">
        <v>371</v>
      </c>
      <c r="C206" s="5"/>
      <c r="D206" s="5">
        <f t="shared" si="8"/>
        <v>0</v>
      </c>
      <c r="E206" s="6">
        <f t="shared" ref="E206:E269" si="9">SUM(G206,I206,K206,M206)</f>
        <v>0</v>
      </c>
      <c r="F206" s="6">
        <f t="shared" ref="F206:F269" si="10">SUM(H206,J206,L206,N206)</f>
        <v>0</v>
      </c>
      <c r="G206" s="62"/>
      <c r="H206" s="62"/>
      <c r="I206" s="60"/>
      <c r="J206" s="60"/>
      <c r="K206" s="64"/>
      <c r="L206" s="64"/>
      <c r="M206" s="25"/>
      <c r="N206" s="25"/>
    </row>
    <row r="207" spans="1:14">
      <c r="A207" s="3" t="s">
        <v>372</v>
      </c>
      <c r="B207" s="10" t="s">
        <v>373</v>
      </c>
      <c r="C207" s="5"/>
      <c r="D207" s="5">
        <f t="shared" si="8"/>
        <v>0</v>
      </c>
      <c r="E207" s="6">
        <f t="shared" si="9"/>
        <v>0</v>
      </c>
      <c r="F207" s="6">
        <f t="shared" si="10"/>
        <v>0</v>
      </c>
      <c r="G207" s="62"/>
      <c r="H207" s="62"/>
      <c r="I207" s="60"/>
      <c r="J207" s="60"/>
      <c r="K207" s="64"/>
      <c r="L207" s="64"/>
      <c r="M207" s="25"/>
      <c r="N207" s="25"/>
    </row>
    <row r="208" spans="1:14">
      <c r="A208" s="3" t="s">
        <v>374</v>
      </c>
      <c r="B208" s="10" t="s">
        <v>375</v>
      </c>
      <c r="C208" s="5"/>
      <c r="D208" s="5">
        <f t="shared" si="8"/>
        <v>0</v>
      </c>
      <c r="E208" s="6">
        <f t="shared" si="9"/>
        <v>0</v>
      </c>
      <c r="F208" s="6">
        <f t="shared" si="10"/>
        <v>0</v>
      </c>
      <c r="G208" s="62"/>
      <c r="H208" s="62"/>
      <c r="I208" s="60"/>
      <c r="J208" s="60"/>
      <c r="K208" s="64"/>
      <c r="L208" s="64"/>
      <c r="M208" s="25"/>
      <c r="N208" s="25"/>
    </row>
    <row r="209" spans="1:14">
      <c r="A209" s="3" t="s">
        <v>376</v>
      </c>
      <c r="B209" s="10" t="s">
        <v>377</v>
      </c>
      <c r="C209" s="5"/>
      <c r="D209" s="5">
        <f t="shared" si="8"/>
        <v>0</v>
      </c>
      <c r="E209" s="6">
        <f t="shared" si="9"/>
        <v>0</v>
      </c>
      <c r="F209" s="6">
        <f t="shared" si="10"/>
        <v>0</v>
      </c>
      <c r="G209" s="62"/>
      <c r="H209" s="62"/>
      <c r="I209" s="60"/>
      <c r="J209" s="60"/>
      <c r="K209" s="64"/>
      <c r="L209" s="64"/>
      <c r="M209" s="25"/>
      <c r="N209" s="25"/>
    </row>
    <row r="210" spans="1:14">
      <c r="A210" s="3" t="s">
        <v>378</v>
      </c>
      <c r="B210" s="10" t="s">
        <v>379</v>
      </c>
      <c r="C210" s="5"/>
      <c r="D210" s="5">
        <f t="shared" si="8"/>
        <v>0</v>
      </c>
      <c r="E210" s="6">
        <f t="shared" si="9"/>
        <v>0</v>
      </c>
      <c r="F210" s="6">
        <f t="shared" si="10"/>
        <v>0</v>
      </c>
      <c r="G210" s="62"/>
      <c r="H210" s="62"/>
      <c r="I210" s="60"/>
      <c r="J210" s="60"/>
      <c r="K210" s="64"/>
      <c r="L210" s="64"/>
      <c r="M210" s="25"/>
      <c r="N210" s="25"/>
    </row>
    <row r="211" spans="1:14">
      <c r="A211" s="3" t="s">
        <v>380</v>
      </c>
      <c r="B211" s="10" t="s">
        <v>381</v>
      </c>
      <c r="C211" s="5"/>
      <c r="D211" s="5">
        <f t="shared" si="8"/>
        <v>0</v>
      </c>
      <c r="E211" s="6">
        <f t="shared" si="9"/>
        <v>0</v>
      </c>
      <c r="F211" s="6">
        <f t="shared" si="10"/>
        <v>0</v>
      </c>
      <c r="G211" s="62"/>
      <c r="H211" s="62"/>
      <c r="I211" s="60"/>
      <c r="J211" s="60"/>
      <c r="K211" s="64"/>
      <c r="L211" s="64"/>
      <c r="M211" s="25"/>
      <c r="N211" s="25"/>
    </row>
    <row r="212" spans="1:14">
      <c r="A212" s="3" t="s">
        <v>382</v>
      </c>
      <c r="B212" s="10" t="s">
        <v>383</v>
      </c>
      <c r="C212" s="5"/>
      <c r="D212" s="5">
        <f t="shared" si="8"/>
        <v>0</v>
      </c>
      <c r="E212" s="6">
        <f t="shared" si="9"/>
        <v>0</v>
      </c>
      <c r="F212" s="6">
        <f t="shared" si="10"/>
        <v>0</v>
      </c>
      <c r="G212" s="62"/>
      <c r="H212" s="62"/>
      <c r="I212" s="60"/>
      <c r="J212" s="60"/>
      <c r="K212" s="64"/>
      <c r="L212" s="64"/>
      <c r="M212" s="25"/>
      <c r="N212" s="25"/>
    </row>
    <row r="213" spans="1:14">
      <c r="A213" s="3" t="s">
        <v>384</v>
      </c>
      <c r="B213" s="10" t="s">
        <v>385</v>
      </c>
      <c r="C213" s="5"/>
      <c r="D213" s="5">
        <f t="shared" si="8"/>
        <v>0</v>
      </c>
      <c r="E213" s="6">
        <f t="shared" si="9"/>
        <v>0</v>
      </c>
      <c r="F213" s="6">
        <f t="shared" si="10"/>
        <v>0</v>
      </c>
      <c r="G213" s="62"/>
      <c r="H213" s="62"/>
      <c r="I213" s="60"/>
      <c r="J213" s="60"/>
      <c r="K213" s="64"/>
      <c r="L213" s="64"/>
      <c r="M213" s="25"/>
      <c r="N213" s="25"/>
    </row>
    <row r="214" spans="1:14">
      <c r="A214" s="3" t="s">
        <v>386</v>
      </c>
      <c r="B214" s="10" t="s">
        <v>387</v>
      </c>
      <c r="C214" s="5"/>
      <c r="D214" s="5">
        <f t="shared" si="8"/>
        <v>0</v>
      </c>
      <c r="E214" s="6">
        <f t="shared" si="9"/>
        <v>0</v>
      </c>
      <c r="F214" s="6">
        <f t="shared" si="10"/>
        <v>0</v>
      </c>
      <c r="G214" s="62"/>
      <c r="H214" s="62"/>
      <c r="I214" s="60"/>
      <c r="J214" s="60"/>
      <c r="K214" s="64"/>
      <c r="L214" s="64"/>
      <c r="M214" s="25"/>
      <c r="N214" s="25"/>
    </row>
    <row r="215" spans="1:14">
      <c r="A215" s="3" t="s">
        <v>388</v>
      </c>
      <c r="B215" s="10" t="s">
        <v>389</v>
      </c>
      <c r="C215" s="5"/>
      <c r="D215" s="5">
        <f t="shared" si="8"/>
        <v>0</v>
      </c>
      <c r="E215" s="6">
        <f t="shared" si="9"/>
        <v>0</v>
      </c>
      <c r="F215" s="6">
        <f t="shared" si="10"/>
        <v>0</v>
      </c>
      <c r="G215" s="62"/>
      <c r="H215" s="62"/>
      <c r="I215" s="60"/>
      <c r="J215" s="60"/>
      <c r="K215" s="64"/>
      <c r="L215" s="64"/>
      <c r="M215" s="25"/>
      <c r="N215" s="25"/>
    </row>
    <row r="216" spans="1:14">
      <c r="A216" s="3" t="s">
        <v>390</v>
      </c>
      <c r="B216" s="10" t="s">
        <v>391</v>
      </c>
      <c r="C216" s="5"/>
      <c r="D216" s="5">
        <f t="shared" si="8"/>
        <v>0</v>
      </c>
      <c r="E216" s="6">
        <f t="shared" si="9"/>
        <v>0</v>
      </c>
      <c r="F216" s="6">
        <f t="shared" si="10"/>
        <v>0</v>
      </c>
      <c r="G216" s="62"/>
      <c r="H216" s="62"/>
      <c r="I216" s="60"/>
      <c r="J216" s="60"/>
      <c r="K216" s="64"/>
      <c r="L216" s="64"/>
      <c r="M216" s="25"/>
      <c r="N216" s="25"/>
    </row>
    <row r="217" spans="1:14">
      <c r="A217" s="3" t="s">
        <v>392</v>
      </c>
      <c r="B217" s="10" t="s">
        <v>393</v>
      </c>
      <c r="C217" s="5"/>
      <c r="D217" s="5">
        <f t="shared" si="8"/>
        <v>0</v>
      </c>
      <c r="E217" s="6">
        <f t="shared" si="9"/>
        <v>0</v>
      </c>
      <c r="F217" s="6">
        <f t="shared" si="10"/>
        <v>0</v>
      </c>
      <c r="G217" s="62"/>
      <c r="H217" s="62"/>
      <c r="I217" s="60"/>
      <c r="J217" s="60"/>
      <c r="K217" s="64"/>
      <c r="L217" s="64"/>
      <c r="M217" s="25"/>
      <c r="N217" s="25"/>
    </row>
    <row r="218" spans="1:14">
      <c r="A218" s="3" t="s">
        <v>394</v>
      </c>
      <c r="B218" s="10" t="s">
        <v>395</v>
      </c>
      <c r="C218" s="5"/>
      <c r="D218" s="5">
        <f t="shared" si="8"/>
        <v>0</v>
      </c>
      <c r="E218" s="6">
        <f t="shared" si="9"/>
        <v>0</v>
      </c>
      <c r="F218" s="6">
        <f t="shared" si="10"/>
        <v>0</v>
      </c>
      <c r="G218" s="62"/>
      <c r="H218" s="62"/>
      <c r="I218" s="60"/>
      <c r="J218" s="60"/>
      <c r="K218" s="64"/>
      <c r="L218" s="64"/>
      <c r="M218" s="25"/>
      <c r="N218" s="25"/>
    </row>
    <row r="219" spans="1:14">
      <c r="A219" s="3" t="s">
        <v>396</v>
      </c>
      <c r="B219" s="10" t="s">
        <v>397</v>
      </c>
      <c r="C219" s="5"/>
      <c r="D219" s="5">
        <f t="shared" si="8"/>
        <v>0</v>
      </c>
      <c r="E219" s="6">
        <f t="shared" si="9"/>
        <v>0</v>
      </c>
      <c r="F219" s="6">
        <f t="shared" si="10"/>
        <v>0</v>
      </c>
      <c r="G219" s="62"/>
      <c r="H219" s="62"/>
      <c r="I219" s="60"/>
      <c r="J219" s="60"/>
      <c r="K219" s="64"/>
      <c r="L219" s="64"/>
      <c r="M219" s="25"/>
      <c r="N219" s="25"/>
    </row>
    <row r="220" spans="1:14">
      <c r="A220" s="3" t="s">
        <v>398</v>
      </c>
      <c r="B220" s="10" t="s">
        <v>399</v>
      </c>
      <c r="C220" s="5"/>
      <c r="D220" s="5">
        <f t="shared" si="8"/>
        <v>0</v>
      </c>
      <c r="E220" s="6">
        <f t="shared" si="9"/>
        <v>0</v>
      </c>
      <c r="F220" s="6">
        <f t="shared" si="10"/>
        <v>0</v>
      </c>
      <c r="G220" s="62"/>
      <c r="H220" s="62"/>
      <c r="I220" s="60"/>
      <c r="J220" s="60"/>
      <c r="K220" s="64"/>
      <c r="L220" s="64"/>
      <c r="M220" s="25"/>
      <c r="N220" s="25"/>
    </row>
    <row r="221" spans="1:14">
      <c r="A221" s="3" t="s">
        <v>400</v>
      </c>
      <c r="B221" s="10" t="s">
        <v>401</v>
      </c>
      <c r="C221" s="5"/>
      <c r="D221" s="5">
        <f t="shared" si="8"/>
        <v>0</v>
      </c>
      <c r="E221" s="6">
        <f t="shared" si="9"/>
        <v>0</v>
      </c>
      <c r="F221" s="6">
        <f t="shared" si="10"/>
        <v>0</v>
      </c>
      <c r="G221" s="62"/>
      <c r="H221" s="62"/>
      <c r="I221" s="60"/>
      <c r="J221" s="60"/>
      <c r="K221" s="64"/>
      <c r="L221" s="64"/>
      <c r="M221" s="25"/>
      <c r="N221" s="25"/>
    </row>
    <row r="222" spans="1:14">
      <c r="A222" s="3" t="s">
        <v>402</v>
      </c>
      <c r="B222" s="10" t="s">
        <v>403</v>
      </c>
      <c r="C222" s="5"/>
      <c r="D222" s="5">
        <f t="shared" si="8"/>
        <v>0</v>
      </c>
      <c r="E222" s="6">
        <f t="shared" si="9"/>
        <v>0</v>
      </c>
      <c r="F222" s="6">
        <f t="shared" si="10"/>
        <v>0</v>
      </c>
      <c r="G222" s="62"/>
      <c r="H222" s="62"/>
      <c r="I222" s="60"/>
      <c r="J222" s="60"/>
      <c r="K222" s="64"/>
      <c r="L222" s="64"/>
      <c r="M222" s="25"/>
      <c r="N222" s="25"/>
    </row>
    <row r="223" spans="1:14">
      <c r="A223" s="3" t="s">
        <v>404</v>
      </c>
      <c r="B223" s="10" t="s">
        <v>405</v>
      </c>
      <c r="C223" s="5"/>
      <c r="D223" s="5">
        <f t="shared" si="8"/>
        <v>0</v>
      </c>
      <c r="E223" s="6">
        <f t="shared" si="9"/>
        <v>0</v>
      </c>
      <c r="F223" s="6">
        <f t="shared" si="10"/>
        <v>0</v>
      </c>
      <c r="G223" s="62"/>
      <c r="H223" s="62"/>
      <c r="I223" s="60"/>
      <c r="J223" s="60"/>
      <c r="K223" s="64"/>
      <c r="L223" s="64"/>
      <c r="M223" s="25"/>
      <c r="N223" s="25"/>
    </row>
    <row r="224" spans="1:14">
      <c r="A224" s="3" t="s">
        <v>406</v>
      </c>
      <c r="B224" s="10" t="s">
        <v>407</v>
      </c>
      <c r="C224" s="5"/>
      <c r="D224" s="5">
        <f t="shared" si="8"/>
        <v>0</v>
      </c>
      <c r="E224" s="6">
        <f t="shared" si="9"/>
        <v>0</v>
      </c>
      <c r="F224" s="6">
        <f t="shared" si="10"/>
        <v>0</v>
      </c>
      <c r="G224" s="62"/>
      <c r="H224" s="62"/>
      <c r="I224" s="60"/>
      <c r="J224" s="60"/>
      <c r="K224" s="64"/>
      <c r="L224" s="64"/>
      <c r="M224" s="25"/>
      <c r="N224" s="25"/>
    </row>
    <row r="225" spans="1:14">
      <c r="A225" s="3" t="s">
        <v>408</v>
      </c>
      <c r="B225" s="10" t="s">
        <v>409</v>
      </c>
      <c r="C225" s="5"/>
      <c r="D225" s="5">
        <f t="shared" si="8"/>
        <v>0</v>
      </c>
      <c r="E225" s="6">
        <f t="shared" si="9"/>
        <v>0</v>
      </c>
      <c r="F225" s="6">
        <f t="shared" si="10"/>
        <v>0</v>
      </c>
      <c r="G225" s="62"/>
      <c r="H225" s="62"/>
      <c r="I225" s="60"/>
      <c r="J225" s="60"/>
      <c r="K225" s="64"/>
      <c r="L225" s="64"/>
      <c r="M225" s="25"/>
      <c r="N225" s="25"/>
    </row>
    <row r="226" spans="1:14">
      <c r="A226" s="3" t="s">
        <v>410</v>
      </c>
      <c r="B226" s="10" t="s">
        <v>411</v>
      </c>
      <c r="C226" s="5"/>
      <c r="D226" s="5">
        <f t="shared" si="8"/>
        <v>0</v>
      </c>
      <c r="E226" s="6">
        <f t="shared" si="9"/>
        <v>0</v>
      </c>
      <c r="F226" s="6">
        <f t="shared" si="10"/>
        <v>0</v>
      </c>
      <c r="G226" s="62"/>
      <c r="H226" s="62"/>
      <c r="I226" s="60"/>
      <c r="J226" s="60"/>
      <c r="K226" s="64"/>
      <c r="L226" s="64"/>
      <c r="M226" s="25"/>
      <c r="N226" s="25"/>
    </row>
    <row r="227" spans="1:14">
      <c r="A227" s="3" t="s">
        <v>412</v>
      </c>
      <c r="B227" s="10" t="s">
        <v>413</v>
      </c>
      <c r="C227" s="5"/>
      <c r="D227" s="5">
        <f t="shared" si="8"/>
        <v>0</v>
      </c>
      <c r="E227" s="6">
        <f t="shared" si="9"/>
        <v>0</v>
      </c>
      <c r="F227" s="6">
        <f t="shared" si="10"/>
        <v>0</v>
      </c>
      <c r="G227" s="62"/>
      <c r="H227" s="62"/>
      <c r="I227" s="60"/>
      <c r="J227" s="60"/>
      <c r="K227" s="64"/>
      <c r="L227" s="64"/>
      <c r="M227" s="25"/>
      <c r="N227" s="25"/>
    </row>
    <row r="228" spans="1:14">
      <c r="A228" s="3" t="s">
        <v>414</v>
      </c>
      <c r="B228" s="10" t="s">
        <v>415</v>
      </c>
      <c r="C228" s="5"/>
      <c r="D228" s="5">
        <f t="shared" si="8"/>
        <v>0</v>
      </c>
      <c r="E228" s="6">
        <f t="shared" si="9"/>
        <v>0</v>
      </c>
      <c r="F228" s="6">
        <f t="shared" si="10"/>
        <v>0</v>
      </c>
      <c r="G228" s="62"/>
      <c r="H228" s="62"/>
      <c r="I228" s="60"/>
      <c r="J228" s="60"/>
      <c r="K228" s="64"/>
      <c r="L228" s="64"/>
      <c r="M228" s="25"/>
      <c r="N228" s="25"/>
    </row>
    <row r="229" spans="1:14">
      <c r="A229" s="3" t="s">
        <v>416</v>
      </c>
      <c r="B229" s="10" t="s">
        <v>417</v>
      </c>
      <c r="C229" s="5"/>
      <c r="D229" s="5">
        <f t="shared" si="8"/>
        <v>0</v>
      </c>
      <c r="E229" s="6">
        <f t="shared" si="9"/>
        <v>0</v>
      </c>
      <c r="F229" s="6">
        <f t="shared" si="10"/>
        <v>0</v>
      </c>
      <c r="G229" s="62"/>
      <c r="H229" s="62"/>
      <c r="I229" s="60"/>
      <c r="J229" s="60"/>
      <c r="K229" s="64"/>
      <c r="L229" s="64"/>
      <c r="M229" s="25"/>
      <c r="N229" s="25"/>
    </row>
    <row r="230" spans="1:14">
      <c r="A230" s="3" t="s">
        <v>418</v>
      </c>
      <c r="B230" s="10" t="s">
        <v>419</v>
      </c>
      <c r="C230" s="5"/>
      <c r="D230" s="5">
        <f t="shared" si="8"/>
        <v>0</v>
      </c>
      <c r="E230" s="6">
        <f t="shared" si="9"/>
        <v>0</v>
      </c>
      <c r="F230" s="6">
        <f t="shared" si="10"/>
        <v>0</v>
      </c>
      <c r="G230" s="62"/>
      <c r="H230" s="62"/>
      <c r="I230" s="60"/>
      <c r="J230" s="60"/>
      <c r="K230" s="64"/>
      <c r="L230" s="64"/>
      <c r="M230" s="25"/>
      <c r="N230" s="25"/>
    </row>
    <row r="231" spans="1:14">
      <c r="A231" s="3" t="s">
        <v>420</v>
      </c>
      <c r="B231" s="10" t="s">
        <v>421</v>
      </c>
      <c r="C231" s="5"/>
      <c r="D231" s="5">
        <f t="shared" si="8"/>
        <v>0</v>
      </c>
      <c r="E231" s="6">
        <f t="shared" si="9"/>
        <v>0</v>
      </c>
      <c r="F231" s="6">
        <f t="shared" si="10"/>
        <v>0</v>
      </c>
      <c r="G231" s="62"/>
      <c r="H231" s="62"/>
      <c r="I231" s="60"/>
      <c r="J231" s="60"/>
      <c r="K231" s="64"/>
      <c r="L231" s="64"/>
      <c r="M231" s="25"/>
      <c r="N231" s="25"/>
    </row>
    <row r="232" spans="1:14">
      <c r="A232" s="3" t="s">
        <v>422</v>
      </c>
      <c r="B232" s="10" t="s">
        <v>423</v>
      </c>
      <c r="C232" s="5"/>
      <c r="D232" s="5">
        <f t="shared" si="8"/>
        <v>0</v>
      </c>
      <c r="E232" s="6">
        <f t="shared" si="9"/>
        <v>0</v>
      </c>
      <c r="F232" s="6">
        <f t="shared" si="10"/>
        <v>0</v>
      </c>
      <c r="G232" s="62"/>
      <c r="H232" s="62"/>
      <c r="I232" s="60"/>
      <c r="J232" s="60"/>
      <c r="K232" s="64"/>
      <c r="L232" s="64"/>
      <c r="M232" s="25"/>
      <c r="N232" s="25"/>
    </row>
    <row r="233" spans="1:14">
      <c r="A233" s="3" t="s">
        <v>424</v>
      </c>
      <c r="B233" s="10" t="s">
        <v>425</v>
      </c>
      <c r="C233" s="5"/>
      <c r="D233" s="5">
        <f t="shared" si="8"/>
        <v>0</v>
      </c>
      <c r="E233" s="6">
        <f t="shared" si="9"/>
        <v>0</v>
      </c>
      <c r="F233" s="6">
        <f t="shared" si="10"/>
        <v>0</v>
      </c>
      <c r="G233" s="62"/>
      <c r="H233" s="62"/>
      <c r="I233" s="60"/>
      <c r="J233" s="60"/>
      <c r="K233" s="64"/>
      <c r="L233" s="64"/>
      <c r="M233" s="25"/>
      <c r="N233" s="25"/>
    </row>
    <row r="234" spans="1:14">
      <c r="A234" s="3" t="s">
        <v>426</v>
      </c>
      <c r="B234" s="10" t="s">
        <v>427</v>
      </c>
      <c r="C234" s="5"/>
      <c r="D234" s="5">
        <f t="shared" si="8"/>
        <v>0</v>
      </c>
      <c r="E234" s="6">
        <f t="shared" si="9"/>
        <v>0</v>
      </c>
      <c r="F234" s="6">
        <f t="shared" si="10"/>
        <v>0</v>
      </c>
      <c r="G234" s="62"/>
      <c r="H234" s="62"/>
      <c r="I234" s="60"/>
      <c r="J234" s="60"/>
      <c r="K234" s="64"/>
      <c r="L234" s="64"/>
      <c r="M234" s="25"/>
      <c r="N234" s="25"/>
    </row>
    <row r="235" spans="1:14">
      <c r="A235" s="3" t="s">
        <v>428</v>
      </c>
      <c r="B235" s="10" t="s">
        <v>429</v>
      </c>
      <c r="C235" s="5"/>
      <c r="D235" s="5">
        <f t="shared" si="8"/>
        <v>0</v>
      </c>
      <c r="E235" s="6">
        <f t="shared" si="9"/>
        <v>0</v>
      </c>
      <c r="F235" s="6">
        <f t="shared" si="10"/>
        <v>0</v>
      </c>
      <c r="G235" s="62"/>
      <c r="H235" s="62"/>
      <c r="I235" s="60"/>
      <c r="J235" s="60"/>
      <c r="K235" s="64"/>
      <c r="L235" s="64"/>
      <c r="M235" s="25"/>
      <c r="N235" s="25"/>
    </row>
    <row r="236" spans="1:14">
      <c r="A236" s="3" t="s">
        <v>430</v>
      </c>
      <c r="B236" s="10" t="s">
        <v>431</v>
      </c>
      <c r="C236" s="5"/>
      <c r="D236" s="5">
        <f t="shared" si="8"/>
        <v>0</v>
      </c>
      <c r="E236" s="6">
        <f t="shared" si="9"/>
        <v>0</v>
      </c>
      <c r="F236" s="6">
        <f t="shared" si="10"/>
        <v>0</v>
      </c>
      <c r="G236" s="62"/>
      <c r="H236" s="62"/>
      <c r="I236" s="60"/>
      <c r="J236" s="60"/>
      <c r="K236" s="64"/>
      <c r="L236" s="64"/>
      <c r="M236" s="25"/>
      <c r="N236" s="25"/>
    </row>
    <row r="237" spans="1:14">
      <c r="A237" s="3" t="s">
        <v>432</v>
      </c>
      <c r="B237" s="10" t="s">
        <v>433</v>
      </c>
      <c r="C237" s="5"/>
      <c r="D237" s="5">
        <f t="shared" si="8"/>
        <v>0</v>
      </c>
      <c r="E237" s="6">
        <f t="shared" si="9"/>
        <v>0</v>
      </c>
      <c r="F237" s="6">
        <f t="shared" si="10"/>
        <v>0</v>
      </c>
      <c r="G237" s="62"/>
      <c r="H237" s="62"/>
      <c r="I237" s="60"/>
      <c r="J237" s="60"/>
      <c r="K237" s="64"/>
      <c r="L237" s="64"/>
      <c r="M237" s="25"/>
      <c r="N237" s="25"/>
    </row>
    <row r="238" spans="1:14">
      <c r="A238" s="3" t="s">
        <v>434</v>
      </c>
      <c r="B238" s="10" t="s">
        <v>435</v>
      </c>
      <c r="C238" s="5"/>
      <c r="D238" s="5">
        <f t="shared" ref="D238:D280" si="11">F238-E238</f>
        <v>0</v>
      </c>
      <c r="E238" s="6">
        <f t="shared" si="9"/>
        <v>0</v>
      </c>
      <c r="F238" s="6">
        <f t="shared" si="10"/>
        <v>0</v>
      </c>
      <c r="G238" s="62"/>
      <c r="H238" s="62"/>
      <c r="I238" s="60"/>
      <c r="J238" s="60"/>
      <c r="K238" s="64"/>
      <c r="L238" s="64"/>
      <c r="M238" s="25"/>
      <c r="N238" s="25"/>
    </row>
    <row r="239" spans="1:14">
      <c r="A239" s="3" t="s">
        <v>436</v>
      </c>
      <c r="B239" s="10" t="s">
        <v>437</v>
      </c>
      <c r="C239" s="5"/>
      <c r="D239" s="5">
        <f t="shared" si="11"/>
        <v>0</v>
      </c>
      <c r="E239" s="6">
        <f t="shared" si="9"/>
        <v>0</v>
      </c>
      <c r="F239" s="6">
        <f t="shared" si="10"/>
        <v>0</v>
      </c>
      <c r="G239" s="62"/>
      <c r="H239" s="62"/>
      <c r="I239" s="60"/>
      <c r="J239" s="60"/>
      <c r="K239" s="64"/>
      <c r="L239" s="64"/>
      <c r="M239" s="25"/>
      <c r="N239" s="25"/>
    </row>
    <row r="240" spans="1:14">
      <c r="A240" s="3" t="s">
        <v>438</v>
      </c>
      <c r="B240" s="10" t="s">
        <v>439</v>
      </c>
      <c r="C240" s="5"/>
      <c r="D240" s="5">
        <f t="shared" si="11"/>
        <v>0</v>
      </c>
      <c r="E240" s="6">
        <f t="shared" si="9"/>
        <v>0</v>
      </c>
      <c r="F240" s="6">
        <f t="shared" si="10"/>
        <v>0</v>
      </c>
      <c r="G240" s="62"/>
      <c r="H240" s="62"/>
      <c r="I240" s="60"/>
      <c r="J240" s="60"/>
      <c r="K240" s="64"/>
      <c r="L240" s="64"/>
      <c r="M240" s="25"/>
      <c r="N240" s="25"/>
    </row>
    <row r="241" spans="1:14">
      <c r="A241" s="3" t="s">
        <v>440</v>
      </c>
      <c r="B241" s="10" t="s">
        <v>441</v>
      </c>
      <c r="C241" s="5"/>
      <c r="D241" s="5">
        <f t="shared" si="11"/>
        <v>0</v>
      </c>
      <c r="E241" s="6">
        <f t="shared" si="9"/>
        <v>0</v>
      </c>
      <c r="F241" s="6">
        <f t="shared" si="10"/>
        <v>0</v>
      </c>
      <c r="G241" s="62"/>
      <c r="H241" s="62"/>
      <c r="I241" s="60"/>
      <c r="J241" s="60"/>
      <c r="K241" s="64"/>
      <c r="L241" s="64"/>
      <c r="M241" s="25"/>
      <c r="N241" s="25"/>
    </row>
    <row r="242" spans="1:14">
      <c r="A242" s="3" t="s">
        <v>442</v>
      </c>
      <c r="B242" s="10" t="s">
        <v>443</v>
      </c>
      <c r="C242" s="5"/>
      <c r="D242" s="5">
        <f t="shared" si="11"/>
        <v>0</v>
      </c>
      <c r="E242" s="6">
        <f t="shared" si="9"/>
        <v>0</v>
      </c>
      <c r="F242" s="6">
        <f t="shared" si="10"/>
        <v>0</v>
      </c>
      <c r="G242" s="62"/>
      <c r="H242" s="62"/>
      <c r="I242" s="60"/>
      <c r="J242" s="60"/>
      <c r="K242" s="64"/>
      <c r="L242" s="64"/>
      <c r="M242" s="25"/>
      <c r="N242" s="25"/>
    </row>
    <row r="243" spans="1:14">
      <c r="A243" s="3" t="s">
        <v>444</v>
      </c>
      <c r="B243" s="10" t="s">
        <v>445</v>
      </c>
      <c r="C243" s="5"/>
      <c r="D243" s="5">
        <f t="shared" si="11"/>
        <v>0</v>
      </c>
      <c r="E243" s="6">
        <f t="shared" si="9"/>
        <v>0</v>
      </c>
      <c r="F243" s="6">
        <f t="shared" si="10"/>
        <v>0</v>
      </c>
      <c r="G243" s="62"/>
      <c r="H243" s="62"/>
      <c r="I243" s="60"/>
      <c r="J243" s="60"/>
      <c r="K243" s="64"/>
      <c r="L243" s="64"/>
      <c r="M243" s="25"/>
      <c r="N243" s="25"/>
    </row>
    <row r="244" spans="1:14">
      <c r="A244" s="3" t="s">
        <v>446</v>
      </c>
      <c r="B244" s="10" t="s">
        <v>447</v>
      </c>
      <c r="C244" s="5"/>
      <c r="D244" s="5">
        <f t="shared" si="11"/>
        <v>0</v>
      </c>
      <c r="E244" s="6">
        <f t="shared" si="9"/>
        <v>0</v>
      </c>
      <c r="F244" s="6">
        <f t="shared" si="10"/>
        <v>0</v>
      </c>
      <c r="G244" s="62"/>
      <c r="H244" s="62"/>
      <c r="I244" s="60"/>
      <c r="J244" s="60"/>
      <c r="K244" s="64"/>
      <c r="L244" s="64"/>
      <c r="M244" s="25"/>
      <c r="N244" s="25"/>
    </row>
    <row r="245" spans="1:14">
      <c r="A245" s="3" t="s">
        <v>448</v>
      </c>
      <c r="B245" s="10" t="s">
        <v>449</v>
      </c>
      <c r="C245" s="5"/>
      <c r="D245" s="5">
        <f t="shared" si="11"/>
        <v>0</v>
      </c>
      <c r="E245" s="6">
        <f t="shared" si="9"/>
        <v>0</v>
      </c>
      <c r="F245" s="6">
        <f t="shared" si="10"/>
        <v>0</v>
      </c>
      <c r="G245" s="62"/>
      <c r="H245" s="62"/>
      <c r="I245" s="60"/>
      <c r="J245" s="60"/>
      <c r="K245" s="64"/>
      <c r="L245" s="64"/>
      <c r="M245" s="25"/>
      <c r="N245" s="25"/>
    </row>
    <row r="246" spans="1:14">
      <c r="A246" s="3" t="s">
        <v>450</v>
      </c>
      <c r="B246" s="10" t="s">
        <v>451</v>
      </c>
      <c r="C246" s="5"/>
      <c r="D246" s="5">
        <f t="shared" si="11"/>
        <v>0</v>
      </c>
      <c r="E246" s="6">
        <f t="shared" si="9"/>
        <v>0</v>
      </c>
      <c r="F246" s="6">
        <f t="shared" si="10"/>
        <v>0</v>
      </c>
      <c r="G246" s="62"/>
      <c r="H246" s="62"/>
      <c r="I246" s="60"/>
      <c r="J246" s="60"/>
      <c r="K246" s="64"/>
      <c r="L246" s="64"/>
      <c r="M246" s="25"/>
      <c r="N246" s="25"/>
    </row>
    <row r="247" spans="1:14">
      <c r="A247" s="3" t="s">
        <v>452</v>
      </c>
      <c r="B247" s="10" t="s">
        <v>453</v>
      </c>
      <c r="C247" s="5"/>
      <c r="D247" s="5">
        <f t="shared" si="11"/>
        <v>0</v>
      </c>
      <c r="E247" s="6">
        <f t="shared" si="9"/>
        <v>0</v>
      </c>
      <c r="F247" s="6">
        <f t="shared" si="10"/>
        <v>0</v>
      </c>
      <c r="G247" s="62"/>
      <c r="H247" s="62"/>
      <c r="I247" s="60"/>
      <c r="J247" s="60"/>
      <c r="K247" s="64"/>
      <c r="L247" s="64"/>
      <c r="M247" s="25"/>
      <c r="N247" s="25"/>
    </row>
    <row r="248" spans="1:14">
      <c r="A248" s="3" t="s">
        <v>454</v>
      </c>
      <c r="B248" s="10" t="s">
        <v>455</v>
      </c>
      <c r="C248" s="5"/>
      <c r="D248" s="5">
        <f t="shared" si="11"/>
        <v>0</v>
      </c>
      <c r="E248" s="6">
        <f t="shared" si="9"/>
        <v>0</v>
      </c>
      <c r="F248" s="6">
        <f t="shared" si="10"/>
        <v>0</v>
      </c>
      <c r="G248" s="62"/>
      <c r="H248" s="62"/>
      <c r="I248" s="60"/>
      <c r="J248" s="60"/>
      <c r="K248" s="64"/>
      <c r="L248" s="64"/>
      <c r="M248" s="25"/>
      <c r="N248" s="25"/>
    </row>
    <row r="249" spans="1:14">
      <c r="A249" s="3" t="s">
        <v>456</v>
      </c>
      <c r="B249" s="10" t="s">
        <v>457</v>
      </c>
      <c r="C249" s="5"/>
      <c r="D249" s="5">
        <f t="shared" si="11"/>
        <v>0</v>
      </c>
      <c r="E249" s="6">
        <f t="shared" si="9"/>
        <v>0</v>
      </c>
      <c r="F249" s="6">
        <f t="shared" si="10"/>
        <v>0</v>
      </c>
      <c r="G249" s="62"/>
      <c r="H249" s="62"/>
      <c r="I249" s="60"/>
      <c r="J249" s="60"/>
      <c r="K249" s="64"/>
      <c r="L249" s="64"/>
      <c r="M249" s="25"/>
      <c r="N249" s="25"/>
    </row>
    <row r="250" spans="1:14">
      <c r="A250" s="3" t="s">
        <v>458</v>
      </c>
      <c r="B250" s="10" t="s">
        <v>459</v>
      </c>
      <c r="C250" s="5"/>
      <c r="D250" s="5">
        <f t="shared" si="11"/>
        <v>0</v>
      </c>
      <c r="E250" s="6">
        <f t="shared" si="9"/>
        <v>0</v>
      </c>
      <c r="F250" s="6">
        <f t="shared" si="10"/>
        <v>0</v>
      </c>
      <c r="G250" s="62"/>
      <c r="H250" s="62"/>
      <c r="I250" s="60"/>
      <c r="J250" s="60"/>
      <c r="K250" s="64"/>
      <c r="L250" s="64"/>
      <c r="M250" s="25"/>
      <c r="N250" s="25"/>
    </row>
    <row r="251" spans="1:14">
      <c r="A251" s="3" t="s">
        <v>460</v>
      </c>
      <c r="B251" s="10" t="s">
        <v>461</v>
      </c>
      <c r="C251" s="5"/>
      <c r="D251" s="5">
        <f t="shared" si="11"/>
        <v>0</v>
      </c>
      <c r="E251" s="6">
        <f t="shared" si="9"/>
        <v>0</v>
      </c>
      <c r="F251" s="6">
        <f t="shared" si="10"/>
        <v>0</v>
      </c>
      <c r="G251" s="62"/>
      <c r="H251" s="62"/>
      <c r="I251" s="60"/>
      <c r="J251" s="60"/>
      <c r="K251" s="64"/>
      <c r="L251" s="64"/>
      <c r="M251" s="25"/>
      <c r="N251" s="25"/>
    </row>
    <row r="252" spans="1:14">
      <c r="A252" s="3" t="s">
        <v>462</v>
      </c>
      <c r="B252" s="10" t="s">
        <v>463</v>
      </c>
      <c r="C252" s="5"/>
      <c r="D252" s="5">
        <f t="shared" si="11"/>
        <v>0</v>
      </c>
      <c r="E252" s="6">
        <f t="shared" si="9"/>
        <v>0</v>
      </c>
      <c r="F252" s="6">
        <f t="shared" si="10"/>
        <v>0</v>
      </c>
      <c r="G252" s="62"/>
      <c r="H252" s="62"/>
      <c r="I252" s="60"/>
      <c r="J252" s="60"/>
      <c r="K252" s="64"/>
      <c r="L252" s="64"/>
      <c r="M252" s="25"/>
      <c r="N252" s="25"/>
    </row>
    <row r="253" spans="1:14">
      <c r="A253" s="3" t="s">
        <v>464</v>
      </c>
      <c r="B253" s="10" t="s">
        <v>465</v>
      </c>
      <c r="C253" s="5"/>
      <c r="D253" s="5">
        <f t="shared" si="11"/>
        <v>0</v>
      </c>
      <c r="E253" s="6">
        <f t="shared" si="9"/>
        <v>0</v>
      </c>
      <c r="F253" s="6">
        <f t="shared" si="10"/>
        <v>0</v>
      </c>
      <c r="G253" s="62"/>
      <c r="H253" s="62"/>
      <c r="I253" s="60"/>
      <c r="J253" s="60"/>
      <c r="K253" s="64"/>
      <c r="L253" s="64"/>
      <c r="M253" s="25"/>
      <c r="N253" s="25"/>
    </row>
    <row r="254" spans="1:14">
      <c r="A254" s="3" t="s">
        <v>466</v>
      </c>
      <c r="B254" s="10" t="s">
        <v>467</v>
      </c>
      <c r="C254" s="5"/>
      <c r="D254" s="5">
        <f t="shared" si="11"/>
        <v>0</v>
      </c>
      <c r="E254" s="6">
        <f t="shared" si="9"/>
        <v>0</v>
      </c>
      <c r="F254" s="6">
        <f t="shared" si="10"/>
        <v>0</v>
      </c>
      <c r="G254" s="62"/>
      <c r="H254" s="62"/>
      <c r="I254" s="60"/>
      <c r="J254" s="60"/>
      <c r="K254" s="64"/>
      <c r="L254" s="64"/>
      <c r="M254" s="25"/>
      <c r="N254" s="25"/>
    </row>
    <row r="255" spans="1:14">
      <c r="A255" s="3" t="s">
        <v>468</v>
      </c>
      <c r="B255" s="10" t="s">
        <v>469</v>
      </c>
      <c r="C255" s="5"/>
      <c r="D255" s="5">
        <f t="shared" si="11"/>
        <v>0</v>
      </c>
      <c r="E255" s="6">
        <f t="shared" si="9"/>
        <v>0</v>
      </c>
      <c r="F255" s="6">
        <f t="shared" si="10"/>
        <v>0</v>
      </c>
      <c r="G255" s="62"/>
      <c r="H255" s="62"/>
      <c r="I255" s="60"/>
      <c r="J255" s="60"/>
      <c r="K255" s="64"/>
      <c r="L255" s="64"/>
      <c r="M255" s="25"/>
      <c r="N255" s="25"/>
    </row>
    <row r="256" spans="1:14">
      <c r="A256" s="3" t="s">
        <v>470</v>
      </c>
      <c r="B256" s="10" t="s">
        <v>471</v>
      </c>
      <c r="C256" s="5"/>
      <c r="D256" s="5">
        <f t="shared" si="11"/>
        <v>0</v>
      </c>
      <c r="E256" s="6">
        <f t="shared" si="9"/>
        <v>0</v>
      </c>
      <c r="F256" s="6">
        <f t="shared" si="10"/>
        <v>0</v>
      </c>
      <c r="G256" s="62"/>
      <c r="H256" s="62"/>
      <c r="I256" s="60"/>
      <c r="J256" s="60"/>
      <c r="K256" s="64"/>
      <c r="L256" s="64"/>
      <c r="M256" s="25"/>
      <c r="N256" s="25"/>
    </row>
    <row r="257" spans="1:14">
      <c r="A257" s="3" t="s">
        <v>472</v>
      </c>
      <c r="B257" s="10" t="s">
        <v>473</v>
      </c>
      <c r="C257" s="5"/>
      <c r="D257" s="5">
        <f t="shared" si="11"/>
        <v>0</v>
      </c>
      <c r="E257" s="6">
        <f t="shared" si="9"/>
        <v>0</v>
      </c>
      <c r="F257" s="6">
        <f t="shared" si="10"/>
        <v>0</v>
      </c>
      <c r="G257" s="62"/>
      <c r="H257" s="62"/>
      <c r="I257" s="60"/>
      <c r="J257" s="60"/>
      <c r="K257" s="64"/>
      <c r="L257" s="64"/>
      <c r="M257" s="25"/>
      <c r="N257" s="25"/>
    </row>
    <row r="258" spans="1:14">
      <c r="A258" s="3" t="s">
        <v>474</v>
      </c>
      <c r="B258" s="10" t="s">
        <v>475</v>
      </c>
      <c r="C258" s="5"/>
      <c r="D258" s="5">
        <f t="shared" si="11"/>
        <v>0</v>
      </c>
      <c r="E258" s="6">
        <f t="shared" si="9"/>
        <v>0</v>
      </c>
      <c r="F258" s="6">
        <f t="shared" si="10"/>
        <v>0</v>
      </c>
      <c r="G258" s="62"/>
      <c r="H258" s="62"/>
      <c r="I258" s="60"/>
      <c r="J258" s="60"/>
      <c r="K258" s="64"/>
      <c r="L258" s="64"/>
      <c r="M258" s="25"/>
      <c r="N258" s="25"/>
    </row>
    <row r="259" spans="1:14">
      <c r="A259" s="3" t="s">
        <v>476</v>
      </c>
      <c r="B259" s="10" t="s">
        <v>477</v>
      </c>
      <c r="C259" s="5"/>
      <c r="D259" s="5">
        <f t="shared" si="11"/>
        <v>0</v>
      </c>
      <c r="E259" s="6">
        <f t="shared" si="9"/>
        <v>0</v>
      </c>
      <c r="F259" s="6">
        <f t="shared" si="10"/>
        <v>0</v>
      </c>
      <c r="G259" s="62"/>
      <c r="H259" s="62"/>
      <c r="I259" s="60"/>
      <c r="J259" s="60"/>
      <c r="K259" s="64"/>
      <c r="L259" s="64"/>
      <c r="M259" s="25"/>
      <c r="N259" s="25"/>
    </row>
    <row r="260" spans="1:14">
      <c r="A260" s="3" t="s">
        <v>478</v>
      </c>
      <c r="B260" s="10" t="s">
        <v>479</v>
      </c>
      <c r="C260" s="5"/>
      <c r="D260" s="5">
        <f t="shared" si="11"/>
        <v>0</v>
      </c>
      <c r="E260" s="6">
        <f t="shared" si="9"/>
        <v>0</v>
      </c>
      <c r="F260" s="6">
        <f t="shared" si="10"/>
        <v>0</v>
      </c>
      <c r="G260" s="62"/>
      <c r="H260" s="62"/>
      <c r="I260" s="60"/>
      <c r="J260" s="60"/>
      <c r="K260" s="64"/>
      <c r="L260" s="64"/>
      <c r="M260" s="25"/>
      <c r="N260" s="25"/>
    </row>
    <row r="261" spans="1:14">
      <c r="A261" s="3" t="s">
        <v>480</v>
      </c>
      <c r="B261" s="10" t="s">
        <v>481</v>
      </c>
      <c r="C261" s="5"/>
      <c r="D261" s="5">
        <f t="shared" si="11"/>
        <v>0</v>
      </c>
      <c r="E261" s="6">
        <f t="shared" si="9"/>
        <v>0</v>
      </c>
      <c r="F261" s="6">
        <f t="shared" si="10"/>
        <v>0</v>
      </c>
      <c r="G261" s="62"/>
      <c r="H261" s="62"/>
      <c r="I261" s="60"/>
      <c r="J261" s="60"/>
      <c r="K261" s="64"/>
      <c r="L261" s="64"/>
      <c r="M261" s="25"/>
      <c r="N261" s="25"/>
    </row>
    <row r="262" spans="1:14">
      <c r="A262" s="3" t="s">
        <v>482</v>
      </c>
      <c r="B262" s="10" t="s">
        <v>483</v>
      </c>
      <c r="C262" s="5"/>
      <c r="D262" s="5">
        <f t="shared" si="11"/>
        <v>0</v>
      </c>
      <c r="E262" s="6">
        <f t="shared" si="9"/>
        <v>0</v>
      </c>
      <c r="F262" s="6">
        <f t="shared" si="10"/>
        <v>0</v>
      </c>
      <c r="G262" s="62"/>
      <c r="H262" s="62"/>
      <c r="I262" s="60"/>
      <c r="J262" s="60"/>
      <c r="K262" s="64"/>
      <c r="L262" s="64"/>
      <c r="M262" s="25"/>
      <c r="N262" s="25"/>
    </row>
    <row r="263" spans="1:14">
      <c r="A263" s="3" t="s">
        <v>484</v>
      </c>
      <c r="B263" s="10" t="s">
        <v>485</v>
      </c>
      <c r="C263" s="5"/>
      <c r="D263" s="5">
        <f t="shared" si="11"/>
        <v>0</v>
      </c>
      <c r="E263" s="6">
        <f t="shared" si="9"/>
        <v>0</v>
      </c>
      <c r="F263" s="6">
        <f t="shared" si="10"/>
        <v>0</v>
      </c>
      <c r="G263" s="62"/>
      <c r="H263" s="62"/>
      <c r="I263" s="60"/>
      <c r="J263" s="60"/>
      <c r="K263" s="64"/>
      <c r="L263" s="64"/>
      <c r="M263" s="25"/>
      <c r="N263" s="25"/>
    </row>
    <row r="264" spans="1:14">
      <c r="A264" s="3" t="s">
        <v>486</v>
      </c>
      <c r="B264" s="10" t="s">
        <v>487</v>
      </c>
      <c r="C264" s="5"/>
      <c r="D264" s="5">
        <f t="shared" si="11"/>
        <v>0</v>
      </c>
      <c r="E264" s="6">
        <f t="shared" si="9"/>
        <v>0</v>
      </c>
      <c r="F264" s="6">
        <f t="shared" si="10"/>
        <v>0</v>
      </c>
      <c r="G264" s="62"/>
      <c r="H264" s="62"/>
      <c r="I264" s="60"/>
      <c r="J264" s="60"/>
      <c r="K264" s="64"/>
      <c r="L264" s="64"/>
      <c r="M264" s="25"/>
      <c r="N264" s="25"/>
    </row>
    <row r="265" spans="1:14">
      <c r="A265" s="3" t="s">
        <v>488</v>
      </c>
      <c r="B265" s="10" t="s">
        <v>489</v>
      </c>
      <c r="C265" s="5"/>
      <c r="D265" s="5">
        <f t="shared" si="11"/>
        <v>0</v>
      </c>
      <c r="E265" s="6">
        <f t="shared" si="9"/>
        <v>0</v>
      </c>
      <c r="F265" s="6">
        <f t="shared" si="10"/>
        <v>0</v>
      </c>
      <c r="G265" s="62"/>
      <c r="H265" s="62"/>
      <c r="I265" s="60"/>
      <c r="J265" s="60"/>
      <c r="K265" s="64"/>
      <c r="L265" s="64"/>
      <c r="M265" s="25"/>
      <c r="N265" s="25"/>
    </row>
    <row r="266" spans="1:14">
      <c r="A266" s="3" t="s">
        <v>490</v>
      </c>
      <c r="B266" s="10" t="s">
        <v>491</v>
      </c>
      <c r="C266" s="5"/>
      <c r="D266" s="5">
        <f t="shared" si="11"/>
        <v>0</v>
      </c>
      <c r="E266" s="6">
        <f t="shared" si="9"/>
        <v>0</v>
      </c>
      <c r="F266" s="6">
        <f t="shared" si="10"/>
        <v>0</v>
      </c>
      <c r="G266" s="62"/>
      <c r="H266" s="62"/>
      <c r="I266" s="60"/>
      <c r="J266" s="60"/>
      <c r="K266" s="64"/>
      <c r="L266" s="64"/>
      <c r="M266" s="25"/>
      <c r="N266" s="25"/>
    </row>
    <row r="267" spans="1:14">
      <c r="A267" s="3" t="s">
        <v>492</v>
      </c>
      <c r="B267" s="10" t="s">
        <v>493</v>
      </c>
      <c r="C267" s="5"/>
      <c r="D267" s="5">
        <f t="shared" si="11"/>
        <v>0</v>
      </c>
      <c r="E267" s="6">
        <f t="shared" si="9"/>
        <v>0</v>
      </c>
      <c r="F267" s="6">
        <f t="shared" si="10"/>
        <v>0</v>
      </c>
      <c r="G267" s="62"/>
      <c r="H267" s="62"/>
      <c r="I267" s="60"/>
      <c r="J267" s="60"/>
      <c r="K267" s="64"/>
      <c r="L267" s="64"/>
      <c r="M267" s="25"/>
      <c r="N267" s="25"/>
    </row>
    <row r="268" spans="1:14">
      <c r="A268" s="3" t="s">
        <v>494</v>
      </c>
      <c r="B268" s="10" t="s">
        <v>495</v>
      </c>
      <c r="C268" s="5"/>
      <c r="D268" s="5">
        <f t="shared" si="11"/>
        <v>0</v>
      </c>
      <c r="E268" s="6">
        <f t="shared" si="9"/>
        <v>0</v>
      </c>
      <c r="F268" s="6">
        <f t="shared" si="10"/>
        <v>0</v>
      </c>
      <c r="G268" s="62"/>
      <c r="H268" s="62"/>
      <c r="I268" s="60"/>
      <c r="J268" s="60"/>
      <c r="K268" s="64"/>
      <c r="L268" s="64"/>
      <c r="M268" s="25"/>
      <c r="N268" s="25"/>
    </row>
    <row r="269" spans="1:14">
      <c r="A269" s="3" t="s">
        <v>496</v>
      </c>
      <c r="B269" s="10" t="s">
        <v>497</v>
      </c>
      <c r="C269" s="5"/>
      <c r="D269" s="5">
        <f t="shared" si="11"/>
        <v>0</v>
      </c>
      <c r="E269" s="6">
        <f t="shared" si="9"/>
        <v>0</v>
      </c>
      <c r="F269" s="6">
        <f t="shared" si="10"/>
        <v>0</v>
      </c>
      <c r="G269" s="62"/>
      <c r="H269" s="62"/>
      <c r="I269" s="60"/>
      <c r="J269" s="60"/>
      <c r="K269" s="64"/>
      <c r="L269" s="64"/>
      <c r="M269" s="25"/>
      <c r="N269" s="25"/>
    </row>
    <row r="270" spans="1:14">
      <c r="A270" s="3" t="s">
        <v>498</v>
      </c>
      <c r="B270" s="10" t="s">
        <v>499</v>
      </c>
      <c r="C270" s="5"/>
      <c r="D270" s="5">
        <f t="shared" si="11"/>
        <v>0</v>
      </c>
      <c r="E270" s="6">
        <f t="shared" ref="E270:E333" si="12">SUM(G270,I270,K270,M270)</f>
        <v>0</v>
      </c>
      <c r="F270" s="6">
        <f t="shared" ref="F270:F333" si="13">SUM(H270,J270,L270,N270)</f>
        <v>0</v>
      </c>
      <c r="G270" s="62"/>
      <c r="H270" s="62"/>
      <c r="I270" s="60"/>
      <c r="J270" s="60"/>
      <c r="K270" s="64"/>
      <c r="L270" s="64"/>
      <c r="M270" s="25"/>
      <c r="N270" s="25"/>
    </row>
    <row r="271" spans="1:14">
      <c r="A271" s="3" t="s">
        <v>500</v>
      </c>
      <c r="B271" s="10" t="s">
        <v>501</v>
      </c>
      <c r="C271" s="5"/>
      <c r="D271" s="5">
        <f t="shared" si="11"/>
        <v>0</v>
      </c>
      <c r="E271" s="6">
        <f t="shared" si="12"/>
        <v>0</v>
      </c>
      <c r="F271" s="6">
        <f t="shared" si="13"/>
        <v>0</v>
      </c>
      <c r="G271" s="62"/>
      <c r="H271" s="62"/>
      <c r="I271" s="60"/>
      <c r="J271" s="60"/>
      <c r="K271" s="64"/>
      <c r="L271" s="64"/>
      <c r="M271" s="25"/>
      <c r="N271" s="25"/>
    </row>
    <row r="272" spans="1:14">
      <c r="A272" s="3" t="s">
        <v>502</v>
      </c>
      <c r="B272" s="10" t="s">
        <v>503</v>
      </c>
      <c r="C272" s="5"/>
      <c r="D272" s="5">
        <f t="shared" si="11"/>
        <v>0</v>
      </c>
      <c r="E272" s="6">
        <f t="shared" si="12"/>
        <v>0</v>
      </c>
      <c r="F272" s="6">
        <f t="shared" si="13"/>
        <v>0</v>
      </c>
      <c r="G272" s="62"/>
      <c r="H272" s="62"/>
      <c r="I272" s="60"/>
      <c r="J272" s="60"/>
      <c r="K272" s="64"/>
      <c r="L272" s="64"/>
      <c r="M272" s="25"/>
      <c r="N272" s="25"/>
    </row>
    <row r="273" spans="1:14">
      <c r="A273" s="3" t="s">
        <v>504</v>
      </c>
      <c r="B273" s="10" t="s">
        <v>505</v>
      </c>
      <c r="C273" s="5"/>
      <c r="D273" s="5">
        <f t="shared" si="11"/>
        <v>0</v>
      </c>
      <c r="E273" s="6">
        <f t="shared" si="12"/>
        <v>0</v>
      </c>
      <c r="F273" s="6">
        <f t="shared" si="13"/>
        <v>0</v>
      </c>
      <c r="G273" s="62"/>
      <c r="H273" s="62"/>
      <c r="I273" s="60"/>
      <c r="J273" s="60"/>
      <c r="K273" s="64"/>
      <c r="L273" s="64"/>
      <c r="M273" s="25"/>
      <c r="N273" s="25"/>
    </row>
    <row r="274" spans="1:14">
      <c r="A274" s="3" t="s">
        <v>506</v>
      </c>
      <c r="B274" s="10" t="s">
        <v>507</v>
      </c>
      <c r="C274" s="5"/>
      <c r="D274" s="5">
        <f t="shared" si="11"/>
        <v>0</v>
      </c>
      <c r="E274" s="6">
        <f t="shared" si="12"/>
        <v>0</v>
      </c>
      <c r="F274" s="6">
        <f t="shared" si="13"/>
        <v>0</v>
      </c>
      <c r="G274" s="62"/>
      <c r="H274" s="62"/>
      <c r="I274" s="60"/>
      <c r="J274" s="60"/>
      <c r="K274" s="64"/>
      <c r="L274" s="64"/>
      <c r="M274" s="25"/>
      <c r="N274" s="25"/>
    </row>
    <row r="275" spans="1:14">
      <c r="A275" s="3" t="s">
        <v>508</v>
      </c>
      <c r="B275" s="10" t="s">
        <v>509</v>
      </c>
      <c r="C275" s="5"/>
      <c r="D275" s="5">
        <f t="shared" si="11"/>
        <v>0</v>
      </c>
      <c r="E275" s="6">
        <f t="shared" si="12"/>
        <v>0</v>
      </c>
      <c r="F275" s="6">
        <f t="shared" si="13"/>
        <v>0</v>
      </c>
      <c r="G275" s="62"/>
      <c r="H275" s="62"/>
      <c r="I275" s="60"/>
      <c r="J275" s="60"/>
      <c r="K275" s="64"/>
      <c r="L275" s="64"/>
      <c r="M275" s="25"/>
      <c r="N275" s="25"/>
    </row>
    <row r="276" spans="1:14">
      <c r="A276" s="3" t="s">
        <v>510</v>
      </c>
      <c r="B276" s="10" t="s">
        <v>511</v>
      </c>
      <c r="C276" s="5"/>
      <c r="D276" s="5">
        <f t="shared" si="11"/>
        <v>0</v>
      </c>
      <c r="E276" s="6">
        <f t="shared" si="12"/>
        <v>0</v>
      </c>
      <c r="F276" s="6">
        <f t="shared" si="13"/>
        <v>0</v>
      </c>
      <c r="G276" s="62"/>
      <c r="H276" s="62"/>
      <c r="I276" s="60"/>
      <c r="J276" s="60"/>
      <c r="K276" s="64"/>
      <c r="L276" s="64"/>
      <c r="M276" s="25"/>
      <c r="N276" s="25"/>
    </row>
    <row r="277" spans="1:14">
      <c r="A277" s="3" t="s">
        <v>512</v>
      </c>
      <c r="B277" s="10" t="s">
        <v>513</v>
      </c>
      <c r="C277" s="5"/>
      <c r="D277" s="5">
        <f t="shared" si="11"/>
        <v>0</v>
      </c>
      <c r="E277" s="6">
        <f t="shared" si="12"/>
        <v>0</v>
      </c>
      <c r="F277" s="6">
        <f t="shared" si="13"/>
        <v>0</v>
      </c>
      <c r="G277" s="62"/>
      <c r="H277" s="62"/>
      <c r="I277" s="60"/>
      <c r="J277" s="60"/>
      <c r="K277" s="64"/>
      <c r="L277" s="64"/>
      <c r="M277" s="25"/>
      <c r="N277" s="25"/>
    </row>
    <row r="278" spans="1:14">
      <c r="A278" s="3" t="s">
        <v>514</v>
      </c>
      <c r="B278" s="10" t="s">
        <v>515</v>
      </c>
      <c r="C278" s="5"/>
      <c r="D278" s="5">
        <f t="shared" si="11"/>
        <v>0</v>
      </c>
      <c r="E278" s="6">
        <f t="shared" si="12"/>
        <v>0</v>
      </c>
      <c r="F278" s="6">
        <f t="shared" si="13"/>
        <v>0</v>
      </c>
      <c r="G278" s="62"/>
      <c r="H278" s="62"/>
      <c r="I278" s="60"/>
      <c r="J278" s="60"/>
      <c r="K278" s="64"/>
      <c r="L278" s="64"/>
      <c r="M278" s="25"/>
      <c r="N278" s="25"/>
    </row>
    <row r="279" spans="1:14">
      <c r="A279" s="3" t="s">
        <v>516</v>
      </c>
      <c r="B279" s="10" t="s">
        <v>517</v>
      </c>
      <c r="C279" s="5"/>
      <c r="D279" s="5">
        <f t="shared" si="11"/>
        <v>0</v>
      </c>
      <c r="E279" s="6">
        <f t="shared" si="12"/>
        <v>0</v>
      </c>
      <c r="F279" s="6">
        <f t="shared" si="13"/>
        <v>0</v>
      </c>
      <c r="G279" s="62"/>
      <c r="H279" s="62"/>
      <c r="I279" s="60"/>
      <c r="J279" s="60"/>
      <c r="K279" s="64"/>
      <c r="L279" s="64"/>
      <c r="M279" s="25"/>
      <c r="N279" s="25"/>
    </row>
    <row r="280" spans="1:14">
      <c r="A280" s="3" t="s">
        <v>518</v>
      </c>
      <c r="B280" s="10" t="s">
        <v>519</v>
      </c>
      <c r="C280" s="5"/>
      <c r="D280" s="5">
        <f t="shared" si="11"/>
        <v>0</v>
      </c>
      <c r="E280" s="6">
        <f t="shared" si="12"/>
        <v>0</v>
      </c>
      <c r="F280" s="6">
        <f t="shared" si="13"/>
        <v>0</v>
      </c>
      <c r="G280" s="62"/>
      <c r="H280" s="62"/>
      <c r="I280" s="60"/>
      <c r="J280" s="60"/>
      <c r="K280" s="64"/>
      <c r="L280" s="64"/>
      <c r="M280" s="25"/>
      <c r="N280" s="25"/>
    </row>
    <row r="281" spans="1:14">
      <c r="A281" s="3" t="s">
        <v>520</v>
      </c>
      <c r="B281" s="4" t="s">
        <v>521</v>
      </c>
      <c r="C281" s="5">
        <f t="shared" ref="C281:C344" si="14">E281-F281</f>
        <v>0</v>
      </c>
      <c r="D281" s="5"/>
      <c r="E281" s="6">
        <f t="shared" si="12"/>
        <v>0</v>
      </c>
      <c r="F281" s="6">
        <f t="shared" si="13"/>
        <v>0</v>
      </c>
      <c r="G281" s="62"/>
      <c r="H281" s="62"/>
      <c r="I281" s="60"/>
      <c r="J281" s="60"/>
      <c r="K281" s="64"/>
      <c r="L281" s="64"/>
      <c r="M281" s="25"/>
      <c r="N281" s="25"/>
    </row>
    <row r="282" spans="1:14">
      <c r="A282" s="3" t="s">
        <v>522</v>
      </c>
      <c r="B282" s="4" t="s">
        <v>523</v>
      </c>
      <c r="C282" s="5">
        <f t="shared" si="14"/>
        <v>0</v>
      </c>
      <c r="D282" s="5"/>
      <c r="E282" s="6">
        <f t="shared" si="12"/>
        <v>0</v>
      </c>
      <c r="F282" s="6">
        <f t="shared" si="13"/>
        <v>0</v>
      </c>
      <c r="G282" s="62"/>
      <c r="H282" s="62"/>
      <c r="I282" s="60"/>
      <c r="J282" s="60"/>
      <c r="K282" s="64"/>
      <c r="L282" s="64"/>
      <c r="M282" s="25"/>
      <c r="N282" s="25"/>
    </row>
    <row r="283" spans="1:14">
      <c r="A283" s="3" t="s">
        <v>524</v>
      </c>
      <c r="B283" s="4" t="s">
        <v>525</v>
      </c>
      <c r="C283" s="5">
        <f t="shared" si="14"/>
        <v>0</v>
      </c>
      <c r="D283" s="5"/>
      <c r="E283" s="6">
        <f t="shared" si="12"/>
        <v>0</v>
      </c>
      <c r="F283" s="6">
        <f t="shared" si="13"/>
        <v>0</v>
      </c>
      <c r="G283" s="62"/>
      <c r="H283" s="62"/>
      <c r="I283" s="60"/>
      <c r="J283" s="60"/>
      <c r="K283" s="64"/>
      <c r="L283" s="64"/>
      <c r="M283" s="25"/>
      <c r="N283" s="25"/>
    </row>
    <row r="284" spans="1:14">
      <c r="A284" s="3" t="s">
        <v>526</v>
      </c>
      <c r="B284" s="4" t="s">
        <v>527</v>
      </c>
      <c r="C284" s="5">
        <f t="shared" si="14"/>
        <v>0</v>
      </c>
      <c r="D284" s="5"/>
      <c r="E284" s="6">
        <f t="shared" si="12"/>
        <v>0</v>
      </c>
      <c r="F284" s="6">
        <f t="shared" si="13"/>
        <v>0</v>
      </c>
      <c r="G284" s="62"/>
      <c r="H284" s="62"/>
      <c r="I284" s="60"/>
      <c r="J284" s="60"/>
      <c r="K284" s="64"/>
      <c r="L284" s="64"/>
      <c r="M284" s="25"/>
      <c r="N284" s="25"/>
    </row>
    <row r="285" spans="1:14">
      <c r="A285" s="3" t="s">
        <v>528</v>
      </c>
      <c r="B285" s="4" t="s">
        <v>529</v>
      </c>
      <c r="C285" s="5">
        <f t="shared" si="14"/>
        <v>0</v>
      </c>
      <c r="D285" s="5"/>
      <c r="E285" s="6">
        <f t="shared" si="12"/>
        <v>0</v>
      </c>
      <c r="F285" s="6">
        <f t="shared" si="13"/>
        <v>0</v>
      </c>
      <c r="G285" s="62"/>
      <c r="H285" s="62"/>
      <c r="I285" s="60"/>
      <c r="J285" s="60"/>
      <c r="K285" s="64"/>
      <c r="L285" s="64"/>
      <c r="M285" s="25"/>
      <c r="N285" s="25"/>
    </row>
    <row r="286" spans="1:14">
      <c r="A286" s="3" t="s">
        <v>530</v>
      </c>
      <c r="B286" s="4" t="s">
        <v>531</v>
      </c>
      <c r="C286" s="5">
        <f t="shared" si="14"/>
        <v>0</v>
      </c>
      <c r="D286" s="5"/>
      <c r="E286" s="6">
        <f t="shared" si="12"/>
        <v>0</v>
      </c>
      <c r="F286" s="6">
        <f t="shared" si="13"/>
        <v>0</v>
      </c>
      <c r="G286" s="62"/>
      <c r="H286" s="62"/>
      <c r="I286" s="60"/>
      <c r="J286" s="60"/>
      <c r="K286" s="64"/>
      <c r="L286" s="64"/>
      <c r="M286" s="25"/>
      <c r="N286" s="25"/>
    </row>
    <row r="287" spans="1:14">
      <c r="A287" s="3" t="s">
        <v>532</v>
      </c>
      <c r="B287" s="4" t="s">
        <v>533</v>
      </c>
      <c r="C287" s="5">
        <f t="shared" si="14"/>
        <v>0</v>
      </c>
      <c r="D287" s="5"/>
      <c r="E287" s="6">
        <f t="shared" si="12"/>
        <v>0</v>
      </c>
      <c r="F287" s="6">
        <f t="shared" si="13"/>
        <v>0</v>
      </c>
      <c r="G287" s="62"/>
      <c r="H287" s="62"/>
      <c r="I287" s="60"/>
      <c r="J287" s="60"/>
      <c r="K287" s="64"/>
      <c r="L287" s="64"/>
      <c r="M287" s="25"/>
      <c r="N287" s="25"/>
    </row>
    <row r="288" spans="1:14">
      <c r="A288" s="3" t="s">
        <v>534</v>
      </c>
      <c r="B288" s="4" t="s">
        <v>535</v>
      </c>
      <c r="C288" s="5">
        <f t="shared" si="14"/>
        <v>0</v>
      </c>
      <c r="D288" s="5"/>
      <c r="E288" s="6">
        <f t="shared" si="12"/>
        <v>0</v>
      </c>
      <c r="F288" s="6">
        <f t="shared" si="13"/>
        <v>0</v>
      </c>
      <c r="G288" s="62"/>
      <c r="H288" s="62"/>
      <c r="I288" s="60"/>
      <c r="J288" s="60"/>
      <c r="K288" s="64"/>
      <c r="L288" s="64"/>
      <c r="M288" s="25"/>
      <c r="N288" s="25"/>
    </row>
    <row r="289" spans="1:14">
      <c r="A289" s="3" t="s">
        <v>536</v>
      </c>
      <c r="B289" s="4" t="s">
        <v>537</v>
      </c>
      <c r="C289" s="5">
        <f t="shared" si="14"/>
        <v>0</v>
      </c>
      <c r="D289" s="5"/>
      <c r="E289" s="6">
        <f t="shared" si="12"/>
        <v>0</v>
      </c>
      <c r="F289" s="6">
        <f t="shared" si="13"/>
        <v>0</v>
      </c>
      <c r="G289" s="62"/>
      <c r="H289" s="62"/>
      <c r="I289" s="60"/>
      <c r="J289" s="60"/>
      <c r="K289" s="64"/>
      <c r="L289" s="64"/>
      <c r="M289" s="25"/>
      <c r="N289" s="25"/>
    </row>
    <row r="290" spans="1:14">
      <c r="A290" s="3" t="s">
        <v>538</v>
      </c>
      <c r="B290" s="4" t="s">
        <v>539</v>
      </c>
      <c r="C290" s="5">
        <f t="shared" si="14"/>
        <v>0</v>
      </c>
      <c r="D290" s="5"/>
      <c r="E290" s="6">
        <f t="shared" si="12"/>
        <v>0</v>
      </c>
      <c r="F290" s="6">
        <f t="shared" si="13"/>
        <v>0</v>
      </c>
      <c r="G290" s="62"/>
      <c r="H290" s="62"/>
      <c r="I290" s="60"/>
      <c r="J290" s="60"/>
      <c r="K290" s="64"/>
      <c r="L290" s="64"/>
      <c r="M290" s="25"/>
      <c r="N290" s="25"/>
    </row>
    <row r="291" spans="1:14">
      <c r="A291" s="3" t="s">
        <v>540</v>
      </c>
      <c r="B291" s="4" t="s">
        <v>541</v>
      </c>
      <c r="C291" s="5">
        <f t="shared" si="14"/>
        <v>0</v>
      </c>
      <c r="D291" s="5"/>
      <c r="E291" s="6">
        <f t="shared" si="12"/>
        <v>0</v>
      </c>
      <c r="F291" s="6">
        <f t="shared" si="13"/>
        <v>0</v>
      </c>
      <c r="G291" s="62"/>
      <c r="H291" s="62"/>
      <c r="I291" s="60"/>
      <c r="J291" s="60"/>
      <c r="K291" s="64"/>
      <c r="L291" s="64"/>
      <c r="M291" s="25"/>
      <c r="N291" s="25"/>
    </row>
    <row r="292" spans="1:14">
      <c r="A292" s="3" t="s">
        <v>542</v>
      </c>
      <c r="B292" s="4" t="s">
        <v>543</v>
      </c>
      <c r="C292" s="5">
        <f t="shared" si="14"/>
        <v>0</v>
      </c>
      <c r="D292" s="5"/>
      <c r="E292" s="6">
        <f t="shared" si="12"/>
        <v>0</v>
      </c>
      <c r="F292" s="6">
        <f t="shared" si="13"/>
        <v>0</v>
      </c>
      <c r="G292" s="62"/>
      <c r="H292" s="62"/>
      <c r="I292" s="60"/>
      <c r="J292" s="60"/>
      <c r="K292" s="64"/>
      <c r="L292" s="64"/>
      <c r="M292" s="25"/>
      <c r="N292" s="25"/>
    </row>
    <row r="293" spans="1:14">
      <c r="A293" s="3" t="s">
        <v>544</v>
      </c>
      <c r="B293" s="4" t="s">
        <v>545</v>
      </c>
      <c r="C293" s="5">
        <f t="shared" si="14"/>
        <v>0</v>
      </c>
      <c r="D293" s="5"/>
      <c r="E293" s="6">
        <f t="shared" si="12"/>
        <v>0</v>
      </c>
      <c r="F293" s="6">
        <f t="shared" si="13"/>
        <v>0</v>
      </c>
      <c r="G293" s="62"/>
      <c r="H293" s="62"/>
      <c r="I293" s="60"/>
      <c r="J293" s="60"/>
      <c r="K293" s="64"/>
      <c r="L293" s="64"/>
      <c r="M293" s="25"/>
      <c r="N293" s="25"/>
    </row>
    <row r="294" spans="1:14">
      <c r="A294" s="3" t="s">
        <v>546</v>
      </c>
      <c r="B294" s="4" t="s">
        <v>547</v>
      </c>
      <c r="C294" s="5">
        <f t="shared" si="14"/>
        <v>0</v>
      </c>
      <c r="D294" s="5"/>
      <c r="E294" s="6">
        <f t="shared" si="12"/>
        <v>0</v>
      </c>
      <c r="F294" s="6">
        <f t="shared" si="13"/>
        <v>0</v>
      </c>
      <c r="G294" s="62"/>
      <c r="H294" s="62"/>
      <c r="I294" s="60"/>
      <c r="J294" s="60"/>
      <c r="K294" s="64"/>
      <c r="L294" s="64"/>
      <c r="M294" s="25"/>
      <c r="N294" s="25"/>
    </row>
    <row r="295" spans="1:14">
      <c r="A295" s="3" t="s">
        <v>548</v>
      </c>
      <c r="B295" s="4" t="s">
        <v>549</v>
      </c>
      <c r="C295" s="5">
        <f t="shared" si="14"/>
        <v>0</v>
      </c>
      <c r="D295" s="5"/>
      <c r="E295" s="6">
        <f t="shared" si="12"/>
        <v>0</v>
      </c>
      <c r="F295" s="6">
        <f t="shared" si="13"/>
        <v>0</v>
      </c>
      <c r="G295" s="62"/>
      <c r="H295" s="62"/>
      <c r="I295" s="60"/>
      <c r="J295" s="60"/>
      <c r="K295" s="64"/>
      <c r="L295" s="64"/>
      <c r="M295" s="25"/>
      <c r="N295" s="25"/>
    </row>
    <row r="296" spans="1:14">
      <c r="A296" s="3" t="s">
        <v>550</v>
      </c>
      <c r="B296" s="4" t="s">
        <v>551</v>
      </c>
      <c r="C296" s="5">
        <f t="shared" si="14"/>
        <v>0</v>
      </c>
      <c r="D296" s="5"/>
      <c r="E296" s="6">
        <f t="shared" si="12"/>
        <v>0</v>
      </c>
      <c r="F296" s="6">
        <f t="shared" si="13"/>
        <v>0</v>
      </c>
      <c r="G296" s="62"/>
      <c r="H296" s="62"/>
      <c r="I296" s="60"/>
      <c r="J296" s="60"/>
      <c r="K296" s="64"/>
      <c r="L296" s="64"/>
      <c r="M296" s="25"/>
      <c r="N296" s="25"/>
    </row>
    <row r="297" spans="1:14">
      <c r="A297" s="3" t="s">
        <v>552</v>
      </c>
      <c r="B297" s="4" t="s">
        <v>553</v>
      </c>
      <c r="C297" s="5">
        <f t="shared" si="14"/>
        <v>0</v>
      </c>
      <c r="D297" s="5"/>
      <c r="E297" s="6">
        <f t="shared" si="12"/>
        <v>0</v>
      </c>
      <c r="F297" s="6">
        <f t="shared" si="13"/>
        <v>0</v>
      </c>
      <c r="G297" s="62"/>
      <c r="H297" s="62"/>
      <c r="I297" s="60"/>
      <c r="J297" s="60"/>
      <c r="K297" s="64"/>
      <c r="L297" s="64"/>
      <c r="M297" s="25"/>
      <c r="N297" s="25"/>
    </row>
    <row r="298" spans="1:14">
      <c r="A298" s="3" t="s">
        <v>554</v>
      </c>
      <c r="B298" s="4" t="s">
        <v>555</v>
      </c>
      <c r="C298" s="5">
        <f t="shared" si="14"/>
        <v>0</v>
      </c>
      <c r="D298" s="5"/>
      <c r="E298" s="6">
        <f t="shared" si="12"/>
        <v>0</v>
      </c>
      <c r="F298" s="6">
        <f t="shared" si="13"/>
        <v>0</v>
      </c>
      <c r="G298" s="62"/>
      <c r="H298" s="62"/>
      <c r="I298" s="60"/>
      <c r="J298" s="60"/>
      <c r="K298" s="64"/>
      <c r="L298" s="64"/>
      <c r="M298" s="25"/>
      <c r="N298" s="25"/>
    </row>
    <row r="299" spans="1:14">
      <c r="A299" s="3" t="s">
        <v>556</v>
      </c>
      <c r="B299" s="4" t="s">
        <v>557</v>
      </c>
      <c r="C299" s="5">
        <f t="shared" si="14"/>
        <v>0</v>
      </c>
      <c r="D299" s="5"/>
      <c r="E299" s="6">
        <f t="shared" si="12"/>
        <v>0</v>
      </c>
      <c r="F299" s="6">
        <f t="shared" si="13"/>
        <v>0</v>
      </c>
      <c r="G299" s="62"/>
      <c r="H299" s="62"/>
      <c r="I299" s="60"/>
      <c r="J299" s="60"/>
      <c r="K299" s="64"/>
      <c r="L299" s="64"/>
      <c r="M299" s="25"/>
      <c r="N299" s="25"/>
    </row>
    <row r="300" spans="1:14">
      <c r="A300" s="3" t="s">
        <v>558</v>
      </c>
      <c r="B300" s="4" t="s">
        <v>559</v>
      </c>
      <c r="C300" s="5">
        <f t="shared" si="14"/>
        <v>0</v>
      </c>
      <c r="D300" s="5"/>
      <c r="E300" s="6">
        <f t="shared" si="12"/>
        <v>0</v>
      </c>
      <c r="F300" s="6">
        <f t="shared" si="13"/>
        <v>0</v>
      </c>
      <c r="G300" s="62"/>
      <c r="H300" s="62"/>
      <c r="I300" s="60"/>
      <c r="J300" s="60"/>
      <c r="K300" s="64"/>
      <c r="L300" s="64"/>
      <c r="M300" s="25"/>
      <c r="N300" s="25"/>
    </row>
    <row r="301" spans="1:14">
      <c r="A301" s="3" t="s">
        <v>560</v>
      </c>
      <c r="B301" s="4" t="s">
        <v>561</v>
      </c>
      <c r="C301" s="5">
        <f t="shared" si="14"/>
        <v>0</v>
      </c>
      <c r="D301" s="5"/>
      <c r="E301" s="6">
        <f t="shared" si="12"/>
        <v>0</v>
      </c>
      <c r="F301" s="6">
        <f t="shared" si="13"/>
        <v>0</v>
      </c>
      <c r="G301" s="62"/>
      <c r="H301" s="62"/>
      <c r="I301" s="60"/>
      <c r="J301" s="60"/>
      <c r="K301" s="64"/>
      <c r="L301" s="64"/>
      <c r="M301" s="25"/>
      <c r="N301" s="25"/>
    </row>
    <row r="302" spans="1:14">
      <c r="A302" s="3" t="s">
        <v>562</v>
      </c>
      <c r="B302" s="4" t="s">
        <v>563</v>
      </c>
      <c r="C302" s="5">
        <f t="shared" si="14"/>
        <v>0</v>
      </c>
      <c r="D302" s="5"/>
      <c r="E302" s="6">
        <f t="shared" si="12"/>
        <v>0</v>
      </c>
      <c r="F302" s="6">
        <f t="shared" si="13"/>
        <v>0</v>
      </c>
      <c r="G302" s="62"/>
      <c r="H302" s="62"/>
      <c r="I302" s="60"/>
      <c r="J302" s="60"/>
      <c r="K302" s="64"/>
      <c r="L302" s="64"/>
      <c r="M302" s="25"/>
      <c r="N302" s="25"/>
    </row>
    <row r="303" spans="1:14">
      <c r="A303" s="3" t="s">
        <v>564</v>
      </c>
      <c r="B303" s="4" t="s">
        <v>565</v>
      </c>
      <c r="C303" s="5">
        <f t="shared" si="14"/>
        <v>0</v>
      </c>
      <c r="D303" s="5"/>
      <c r="E303" s="6">
        <f t="shared" si="12"/>
        <v>0</v>
      </c>
      <c r="F303" s="6">
        <f t="shared" si="13"/>
        <v>0</v>
      </c>
      <c r="G303" s="62"/>
      <c r="H303" s="62"/>
      <c r="I303" s="60"/>
      <c r="J303" s="60"/>
      <c r="K303" s="64"/>
      <c r="L303" s="64"/>
      <c r="M303" s="25"/>
      <c r="N303" s="25"/>
    </row>
    <row r="304" spans="1:14">
      <c r="A304" s="3" t="s">
        <v>566</v>
      </c>
      <c r="B304" s="4" t="s">
        <v>567</v>
      </c>
      <c r="C304" s="5">
        <f t="shared" si="14"/>
        <v>0</v>
      </c>
      <c r="D304" s="5"/>
      <c r="E304" s="6">
        <f t="shared" si="12"/>
        <v>0</v>
      </c>
      <c r="F304" s="6">
        <f t="shared" si="13"/>
        <v>0</v>
      </c>
      <c r="G304" s="62"/>
      <c r="H304" s="62"/>
      <c r="I304" s="60"/>
      <c r="J304" s="60"/>
      <c r="K304" s="64"/>
      <c r="L304" s="64"/>
      <c r="M304" s="25"/>
      <c r="N304" s="25"/>
    </row>
    <row r="305" spans="1:14">
      <c r="A305" s="3" t="s">
        <v>568</v>
      </c>
      <c r="B305" s="4" t="s">
        <v>569</v>
      </c>
      <c r="C305" s="5">
        <f t="shared" si="14"/>
        <v>0</v>
      </c>
      <c r="D305" s="5"/>
      <c r="E305" s="6">
        <f t="shared" si="12"/>
        <v>0</v>
      </c>
      <c r="F305" s="6">
        <f t="shared" si="13"/>
        <v>0</v>
      </c>
      <c r="G305" s="62"/>
      <c r="H305" s="62"/>
      <c r="I305" s="60"/>
      <c r="J305" s="60"/>
      <c r="K305" s="64"/>
      <c r="L305" s="64"/>
      <c r="M305" s="25"/>
      <c r="N305" s="25"/>
    </row>
    <row r="306" spans="1:14">
      <c r="A306" s="3" t="s">
        <v>570</v>
      </c>
      <c r="B306" s="4" t="s">
        <v>571</v>
      </c>
      <c r="C306" s="5">
        <f t="shared" si="14"/>
        <v>0</v>
      </c>
      <c r="D306" s="5"/>
      <c r="E306" s="6">
        <f t="shared" si="12"/>
        <v>0</v>
      </c>
      <c r="F306" s="6">
        <f t="shared" si="13"/>
        <v>0</v>
      </c>
      <c r="G306" s="62"/>
      <c r="H306" s="62"/>
      <c r="I306" s="60"/>
      <c r="J306" s="60"/>
      <c r="K306" s="64"/>
      <c r="L306" s="64"/>
      <c r="M306" s="25"/>
      <c r="N306" s="25"/>
    </row>
    <row r="307" spans="1:14">
      <c r="A307" s="3" t="s">
        <v>572</v>
      </c>
      <c r="B307" s="4" t="s">
        <v>573</v>
      </c>
      <c r="C307" s="5">
        <f t="shared" si="14"/>
        <v>0</v>
      </c>
      <c r="D307" s="5"/>
      <c r="E307" s="6">
        <f t="shared" si="12"/>
        <v>0</v>
      </c>
      <c r="F307" s="6">
        <f t="shared" si="13"/>
        <v>0</v>
      </c>
      <c r="G307" s="62"/>
      <c r="H307" s="62"/>
      <c r="I307" s="60"/>
      <c r="J307" s="60"/>
      <c r="K307" s="64"/>
      <c r="L307" s="64"/>
      <c r="M307" s="25"/>
      <c r="N307" s="25"/>
    </row>
    <row r="308" spans="1:14">
      <c r="A308" s="3" t="s">
        <v>574</v>
      </c>
      <c r="B308" s="4" t="s">
        <v>575</v>
      </c>
      <c r="C308" s="5">
        <f t="shared" si="14"/>
        <v>0</v>
      </c>
      <c r="D308" s="5"/>
      <c r="E308" s="6">
        <f t="shared" si="12"/>
        <v>0</v>
      </c>
      <c r="F308" s="6">
        <f t="shared" si="13"/>
        <v>0</v>
      </c>
      <c r="G308" s="62"/>
      <c r="H308" s="62"/>
      <c r="I308" s="60"/>
      <c r="J308" s="60"/>
      <c r="K308" s="64"/>
      <c r="L308" s="64"/>
      <c r="M308" s="25"/>
      <c r="N308" s="25"/>
    </row>
    <row r="309" spans="1:14">
      <c r="A309" s="3" t="s">
        <v>576</v>
      </c>
      <c r="B309" s="4" t="s">
        <v>577</v>
      </c>
      <c r="C309" s="5">
        <f t="shared" si="14"/>
        <v>0</v>
      </c>
      <c r="D309" s="5"/>
      <c r="E309" s="6">
        <f t="shared" si="12"/>
        <v>0</v>
      </c>
      <c r="F309" s="6">
        <f t="shared" si="13"/>
        <v>0</v>
      </c>
      <c r="G309" s="62"/>
      <c r="H309" s="62"/>
      <c r="I309" s="60"/>
      <c r="J309" s="60"/>
      <c r="K309" s="64"/>
      <c r="L309" s="64"/>
      <c r="M309" s="25"/>
      <c r="N309" s="25"/>
    </row>
    <row r="310" spans="1:14">
      <c r="A310" s="3" t="s">
        <v>578</v>
      </c>
      <c r="B310" s="4" t="s">
        <v>579</v>
      </c>
      <c r="C310" s="5">
        <f t="shared" si="14"/>
        <v>0</v>
      </c>
      <c r="D310" s="5"/>
      <c r="E310" s="6">
        <f t="shared" si="12"/>
        <v>0</v>
      </c>
      <c r="F310" s="6">
        <f t="shared" si="13"/>
        <v>0</v>
      </c>
      <c r="G310" s="62"/>
      <c r="H310" s="62"/>
      <c r="I310" s="60"/>
      <c r="J310" s="60"/>
      <c r="K310" s="64"/>
      <c r="L310" s="64"/>
      <c r="M310" s="25"/>
      <c r="N310" s="25"/>
    </row>
    <row r="311" spans="1:14">
      <c r="A311" s="3" t="s">
        <v>580</v>
      </c>
      <c r="B311" s="4" t="s">
        <v>581</v>
      </c>
      <c r="C311" s="5">
        <f t="shared" si="14"/>
        <v>0</v>
      </c>
      <c r="D311" s="5"/>
      <c r="E311" s="6">
        <f t="shared" si="12"/>
        <v>0</v>
      </c>
      <c r="F311" s="6">
        <f t="shared" si="13"/>
        <v>0</v>
      </c>
      <c r="G311" s="62"/>
      <c r="H311" s="62"/>
      <c r="I311" s="60"/>
      <c r="J311" s="60"/>
      <c r="K311" s="64"/>
      <c r="L311" s="64"/>
      <c r="M311" s="25"/>
      <c r="N311" s="25"/>
    </row>
    <row r="312" spans="1:14">
      <c r="A312" s="3" t="s">
        <v>582</v>
      </c>
      <c r="B312" s="4" t="s">
        <v>583</v>
      </c>
      <c r="C312" s="5">
        <f t="shared" si="14"/>
        <v>0</v>
      </c>
      <c r="D312" s="5"/>
      <c r="E312" s="6">
        <f t="shared" si="12"/>
        <v>0</v>
      </c>
      <c r="F312" s="6">
        <f t="shared" si="13"/>
        <v>0</v>
      </c>
      <c r="G312" s="62"/>
      <c r="H312" s="62"/>
      <c r="I312" s="60"/>
      <c r="J312" s="60"/>
      <c r="K312" s="64"/>
      <c r="L312" s="64"/>
      <c r="M312" s="25"/>
      <c r="N312" s="25"/>
    </row>
    <row r="313" spans="1:14">
      <c r="A313" s="3" t="s">
        <v>584</v>
      </c>
      <c r="B313" s="4" t="s">
        <v>585</v>
      </c>
      <c r="C313" s="5">
        <f t="shared" si="14"/>
        <v>0</v>
      </c>
      <c r="D313" s="5"/>
      <c r="E313" s="6">
        <f t="shared" si="12"/>
        <v>0</v>
      </c>
      <c r="F313" s="6">
        <f t="shared" si="13"/>
        <v>0</v>
      </c>
      <c r="G313" s="62"/>
      <c r="H313" s="62"/>
      <c r="I313" s="60"/>
      <c r="J313" s="60"/>
      <c r="K313" s="64"/>
      <c r="L313" s="64"/>
      <c r="M313" s="25"/>
      <c r="N313" s="25"/>
    </row>
    <row r="314" spans="1:14">
      <c r="A314" s="3" t="s">
        <v>586</v>
      </c>
      <c r="B314" s="4" t="s">
        <v>587</v>
      </c>
      <c r="C314" s="5">
        <f t="shared" si="14"/>
        <v>0</v>
      </c>
      <c r="D314" s="5"/>
      <c r="E314" s="6">
        <f t="shared" si="12"/>
        <v>0</v>
      </c>
      <c r="F314" s="6">
        <f t="shared" si="13"/>
        <v>0</v>
      </c>
      <c r="G314" s="62"/>
      <c r="H314" s="62"/>
      <c r="I314" s="60"/>
      <c r="J314" s="60"/>
      <c r="K314" s="64"/>
      <c r="L314" s="64"/>
      <c r="M314" s="25"/>
      <c r="N314" s="25"/>
    </row>
    <row r="315" spans="1:14">
      <c r="A315" s="3" t="s">
        <v>588</v>
      </c>
      <c r="B315" s="4" t="s">
        <v>589</v>
      </c>
      <c r="C315" s="5">
        <f t="shared" si="14"/>
        <v>0</v>
      </c>
      <c r="D315" s="5"/>
      <c r="E315" s="6">
        <f t="shared" si="12"/>
        <v>0</v>
      </c>
      <c r="F315" s="6">
        <f t="shared" si="13"/>
        <v>0</v>
      </c>
      <c r="G315" s="62"/>
      <c r="H315" s="62"/>
      <c r="I315" s="60"/>
      <c r="J315" s="60"/>
      <c r="K315" s="64"/>
      <c r="L315" s="64"/>
      <c r="M315" s="25"/>
      <c r="N315" s="25"/>
    </row>
    <row r="316" spans="1:14">
      <c r="A316" s="3" t="s">
        <v>590</v>
      </c>
      <c r="B316" s="4" t="s">
        <v>591</v>
      </c>
      <c r="C316" s="5">
        <f t="shared" si="14"/>
        <v>0</v>
      </c>
      <c r="D316" s="5"/>
      <c r="E316" s="6">
        <f t="shared" si="12"/>
        <v>0</v>
      </c>
      <c r="F316" s="6">
        <f t="shared" si="13"/>
        <v>0</v>
      </c>
      <c r="G316" s="62"/>
      <c r="H316" s="62"/>
      <c r="I316" s="60"/>
      <c r="J316" s="60"/>
      <c r="K316" s="64"/>
      <c r="L316" s="64"/>
      <c r="M316" s="25"/>
      <c r="N316" s="25"/>
    </row>
    <row r="317" spans="1:14">
      <c r="A317" s="3" t="s">
        <v>592</v>
      </c>
      <c r="B317" s="4" t="s">
        <v>593</v>
      </c>
      <c r="C317" s="5">
        <f t="shared" si="14"/>
        <v>0</v>
      </c>
      <c r="D317" s="5"/>
      <c r="E317" s="6">
        <f t="shared" si="12"/>
        <v>0</v>
      </c>
      <c r="F317" s="6">
        <f t="shared" si="13"/>
        <v>0</v>
      </c>
      <c r="G317" s="62"/>
      <c r="H317" s="62"/>
      <c r="I317" s="60"/>
      <c r="J317" s="60"/>
      <c r="K317" s="64"/>
      <c r="L317" s="64"/>
      <c r="M317" s="25"/>
      <c r="N317" s="25"/>
    </row>
    <row r="318" spans="1:14">
      <c r="A318" s="3" t="s">
        <v>594</v>
      </c>
      <c r="B318" s="4" t="s">
        <v>595</v>
      </c>
      <c r="C318" s="5">
        <f t="shared" si="14"/>
        <v>0</v>
      </c>
      <c r="D318" s="5"/>
      <c r="E318" s="6">
        <f t="shared" si="12"/>
        <v>0</v>
      </c>
      <c r="F318" s="6">
        <f t="shared" si="13"/>
        <v>0</v>
      </c>
      <c r="G318" s="62"/>
      <c r="H318" s="62"/>
      <c r="I318" s="60"/>
      <c r="J318" s="60"/>
      <c r="K318" s="64"/>
      <c r="L318" s="64"/>
      <c r="M318" s="25"/>
      <c r="N318" s="25"/>
    </row>
    <row r="319" spans="1:14">
      <c r="A319" s="3" t="s">
        <v>596</v>
      </c>
      <c r="B319" s="4" t="s">
        <v>597</v>
      </c>
      <c r="C319" s="5">
        <f t="shared" si="14"/>
        <v>0</v>
      </c>
      <c r="D319" s="5"/>
      <c r="E319" s="6">
        <f t="shared" si="12"/>
        <v>0</v>
      </c>
      <c r="F319" s="6">
        <f t="shared" si="13"/>
        <v>0</v>
      </c>
      <c r="G319" s="62"/>
      <c r="H319" s="62"/>
      <c r="I319" s="60"/>
      <c r="J319" s="60"/>
      <c r="K319" s="64"/>
      <c r="L319" s="64"/>
      <c r="M319" s="25"/>
      <c r="N319" s="25"/>
    </row>
    <row r="320" spans="1:14">
      <c r="A320" s="3" t="s">
        <v>598</v>
      </c>
      <c r="B320" s="4" t="s">
        <v>599</v>
      </c>
      <c r="C320" s="5">
        <f t="shared" si="14"/>
        <v>0</v>
      </c>
      <c r="D320" s="5"/>
      <c r="E320" s="6">
        <f t="shared" si="12"/>
        <v>0</v>
      </c>
      <c r="F320" s="6">
        <f t="shared" si="13"/>
        <v>0</v>
      </c>
      <c r="G320" s="62"/>
      <c r="H320" s="62"/>
      <c r="I320" s="60"/>
      <c r="J320" s="60"/>
      <c r="K320" s="64"/>
      <c r="L320" s="64"/>
      <c r="M320" s="25"/>
      <c r="N320" s="25"/>
    </row>
    <row r="321" spans="1:14">
      <c r="A321" s="3" t="s">
        <v>600</v>
      </c>
      <c r="B321" s="4" t="s">
        <v>601</v>
      </c>
      <c r="C321" s="5">
        <f t="shared" si="14"/>
        <v>0</v>
      </c>
      <c r="D321" s="5"/>
      <c r="E321" s="6">
        <f t="shared" si="12"/>
        <v>0</v>
      </c>
      <c r="F321" s="6">
        <f t="shared" si="13"/>
        <v>0</v>
      </c>
      <c r="G321" s="62"/>
      <c r="H321" s="62"/>
      <c r="I321" s="60"/>
      <c r="J321" s="60"/>
      <c r="K321" s="64"/>
      <c r="L321" s="64"/>
      <c r="M321" s="25"/>
      <c r="N321" s="25"/>
    </row>
    <row r="322" spans="1:14">
      <c r="A322" s="3" t="s">
        <v>602</v>
      </c>
      <c r="B322" s="4" t="s">
        <v>603</v>
      </c>
      <c r="C322" s="5">
        <f t="shared" si="14"/>
        <v>0</v>
      </c>
      <c r="D322" s="5"/>
      <c r="E322" s="6">
        <f t="shared" si="12"/>
        <v>0</v>
      </c>
      <c r="F322" s="6">
        <f t="shared" si="13"/>
        <v>0</v>
      </c>
      <c r="G322" s="62"/>
      <c r="H322" s="62"/>
      <c r="I322" s="60"/>
      <c r="J322" s="60"/>
      <c r="K322" s="64"/>
      <c r="L322" s="64"/>
      <c r="M322" s="25"/>
      <c r="N322" s="25"/>
    </row>
    <row r="323" spans="1:14">
      <c r="A323" s="3" t="s">
        <v>604</v>
      </c>
      <c r="B323" s="4" t="s">
        <v>605</v>
      </c>
      <c r="C323" s="5">
        <f t="shared" si="14"/>
        <v>0</v>
      </c>
      <c r="D323" s="5"/>
      <c r="E323" s="6">
        <f t="shared" si="12"/>
        <v>0</v>
      </c>
      <c r="F323" s="6">
        <f t="shared" si="13"/>
        <v>0</v>
      </c>
      <c r="G323" s="62"/>
      <c r="H323" s="62"/>
      <c r="I323" s="60"/>
      <c r="J323" s="60"/>
      <c r="K323" s="64"/>
      <c r="L323" s="64"/>
      <c r="M323" s="25"/>
      <c r="N323" s="25"/>
    </row>
    <row r="324" spans="1:14" s="70" customFormat="1">
      <c r="A324" s="3" t="s">
        <v>606</v>
      </c>
      <c r="B324" s="4" t="s">
        <v>607</v>
      </c>
      <c r="C324" s="5">
        <f t="shared" si="14"/>
        <v>0</v>
      </c>
      <c r="D324" s="5"/>
      <c r="E324" s="6">
        <f t="shared" si="12"/>
        <v>0</v>
      </c>
      <c r="F324" s="6">
        <f t="shared" si="13"/>
        <v>0</v>
      </c>
      <c r="G324" s="62"/>
      <c r="H324" s="62"/>
      <c r="I324" s="60"/>
      <c r="J324" s="60"/>
      <c r="K324" s="64"/>
      <c r="L324" s="64"/>
      <c r="M324" s="25"/>
      <c r="N324" s="25"/>
    </row>
    <row r="325" spans="1:14" s="70" customFormat="1">
      <c r="A325" s="3" t="s">
        <v>608</v>
      </c>
      <c r="B325" s="4" t="s">
        <v>609</v>
      </c>
      <c r="C325" s="5">
        <f t="shared" si="14"/>
        <v>0</v>
      </c>
      <c r="D325" s="5"/>
      <c r="E325" s="6">
        <f t="shared" si="12"/>
        <v>0</v>
      </c>
      <c r="F325" s="6">
        <f t="shared" si="13"/>
        <v>0</v>
      </c>
      <c r="G325" s="62"/>
      <c r="H325" s="62"/>
      <c r="I325" s="60"/>
      <c r="J325" s="60"/>
      <c r="K325" s="64"/>
      <c r="L325" s="64"/>
      <c r="M325" s="25"/>
      <c r="N325" s="25"/>
    </row>
    <row r="326" spans="1:14" s="70" customFormat="1">
      <c r="A326" s="3" t="s">
        <v>610</v>
      </c>
      <c r="B326" s="4" t="s">
        <v>611</v>
      </c>
      <c r="C326" s="5">
        <f t="shared" si="14"/>
        <v>0</v>
      </c>
      <c r="D326" s="5"/>
      <c r="E326" s="6">
        <f t="shared" si="12"/>
        <v>0</v>
      </c>
      <c r="F326" s="6">
        <f t="shared" si="13"/>
        <v>0</v>
      </c>
      <c r="G326" s="62"/>
      <c r="H326" s="62"/>
      <c r="I326" s="60"/>
      <c r="J326" s="60"/>
      <c r="K326" s="64"/>
      <c r="L326" s="64"/>
      <c r="M326" s="25"/>
      <c r="N326" s="25"/>
    </row>
    <row r="327" spans="1:14" s="70" customFormat="1">
      <c r="A327" s="3" t="s">
        <v>612</v>
      </c>
      <c r="B327" s="4" t="s">
        <v>613</v>
      </c>
      <c r="C327" s="5">
        <f t="shared" si="14"/>
        <v>0</v>
      </c>
      <c r="D327" s="5"/>
      <c r="E327" s="6">
        <f t="shared" si="12"/>
        <v>0</v>
      </c>
      <c r="F327" s="6">
        <f t="shared" si="13"/>
        <v>0</v>
      </c>
      <c r="G327" s="62"/>
      <c r="H327" s="62"/>
      <c r="I327" s="60"/>
      <c r="J327" s="60"/>
      <c r="K327" s="64"/>
      <c r="L327" s="64"/>
      <c r="M327" s="25"/>
      <c r="N327" s="25"/>
    </row>
    <row r="328" spans="1:14" s="1" customFormat="1">
      <c r="A328" s="3" t="s">
        <v>614</v>
      </c>
      <c r="B328" s="4" t="s">
        <v>615</v>
      </c>
      <c r="C328" s="5">
        <f t="shared" si="14"/>
        <v>0</v>
      </c>
      <c r="D328" s="5"/>
      <c r="E328" s="6">
        <f t="shared" si="12"/>
        <v>0</v>
      </c>
      <c r="F328" s="6">
        <f t="shared" si="13"/>
        <v>0</v>
      </c>
      <c r="G328" s="62"/>
      <c r="H328" s="62"/>
      <c r="I328" s="60"/>
      <c r="J328" s="60"/>
      <c r="K328" s="64"/>
      <c r="L328" s="64"/>
      <c r="M328" s="25"/>
      <c r="N328" s="25"/>
    </row>
    <row r="329" spans="1:14" s="70" customFormat="1">
      <c r="A329" s="3" t="s">
        <v>616</v>
      </c>
      <c r="B329" s="4" t="s">
        <v>617</v>
      </c>
      <c r="C329" s="5">
        <f t="shared" si="14"/>
        <v>0</v>
      </c>
      <c r="D329" s="5"/>
      <c r="E329" s="6">
        <f t="shared" si="12"/>
        <v>0</v>
      </c>
      <c r="F329" s="6">
        <f t="shared" si="13"/>
        <v>0</v>
      </c>
      <c r="G329" s="62"/>
      <c r="H329" s="62"/>
      <c r="I329" s="60"/>
      <c r="J329" s="60"/>
      <c r="K329" s="64"/>
      <c r="L329" s="64"/>
      <c r="M329" s="25"/>
      <c r="N329" s="25"/>
    </row>
    <row r="330" spans="1:14" s="70" customFormat="1">
      <c r="A330" s="3" t="s">
        <v>618</v>
      </c>
      <c r="B330" s="4" t="s">
        <v>619</v>
      </c>
      <c r="C330" s="5">
        <f t="shared" si="14"/>
        <v>0</v>
      </c>
      <c r="D330" s="5"/>
      <c r="E330" s="6">
        <f t="shared" si="12"/>
        <v>0</v>
      </c>
      <c r="F330" s="6">
        <f t="shared" si="13"/>
        <v>0</v>
      </c>
      <c r="G330" s="62"/>
      <c r="H330" s="62"/>
      <c r="I330" s="60"/>
      <c r="J330" s="60"/>
      <c r="K330" s="64"/>
      <c r="L330" s="64"/>
      <c r="M330" s="25"/>
      <c r="N330" s="25"/>
    </row>
    <row r="331" spans="1:14" s="70" customFormat="1">
      <c r="A331" s="11" t="s">
        <v>620</v>
      </c>
      <c r="B331" s="12" t="s">
        <v>621</v>
      </c>
      <c r="C331" s="5">
        <f t="shared" si="14"/>
        <v>0</v>
      </c>
      <c r="D331" s="5"/>
      <c r="E331" s="6">
        <f t="shared" si="12"/>
        <v>0</v>
      </c>
      <c r="F331" s="6">
        <f t="shared" si="13"/>
        <v>0</v>
      </c>
      <c r="G331" s="62"/>
      <c r="H331" s="62"/>
      <c r="I331" s="60"/>
      <c r="J331" s="60"/>
      <c r="K331" s="64"/>
      <c r="L331" s="64"/>
      <c r="M331" s="25"/>
      <c r="N331" s="25"/>
    </row>
    <row r="332" spans="1:14" s="70" customFormat="1">
      <c r="A332" s="3" t="s">
        <v>622</v>
      </c>
      <c r="B332" s="4" t="s">
        <v>623</v>
      </c>
      <c r="C332" s="5">
        <f t="shared" si="14"/>
        <v>0</v>
      </c>
      <c r="D332" s="5"/>
      <c r="E332" s="6">
        <f t="shared" si="12"/>
        <v>0</v>
      </c>
      <c r="F332" s="6">
        <f t="shared" si="13"/>
        <v>0</v>
      </c>
      <c r="G332" s="62"/>
      <c r="H332" s="62"/>
      <c r="I332" s="60"/>
      <c r="J332" s="60"/>
      <c r="K332" s="64"/>
      <c r="L332" s="64"/>
      <c r="M332" s="25"/>
      <c r="N332" s="25"/>
    </row>
    <row r="333" spans="1:14" s="70" customFormat="1">
      <c r="A333" s="3" t="s">
        <v>624</v>
      </c>
      <c r="B333" s="4" t="s">
        <v>625</v>
      </c>
      <c r="C333" s="5">
        <f t="shared" si="14"/>
        <v>0</v>
      </c>
      <c r="D333" s="5"/>
      <c r="E333" s="6">
        <f t="shared" si="12"/>
        <v>0</v>
      </c>
      <c r="F333" s="6">
        <f t="shared" si="13"/>
        <v>0</v>
      </c>
      <c r="G333" s="62"/>
      <c r="H333" s="62"/>
      <c r="I333" s="60"/>
      <c r="J333" s="60"/>
      <c r="K333" s="64"/>
      <c r="L333" s="64"/>
      <c r="M333" s="25"/>
      <c r="N333" s="25"/>
    </row>
    <row r="334" spans="1:14">
      <c r="A334" s="3" t="s">
        <v>626</v>
      </c>
      <c r="B334" s="4" t="s">
        <v>627</v>
      </c>
      <c r="C334" s="5">
        <f t="shared" si="14"/>
        <v>0</v>
      </c>
      <c r="D334" s="5"/>
      <c r="E334" s="6">
        <f t="shared" ref="E334:E397" si="15">SUM(G334,I334,K334,M334)</f>
        <v>0</v>
      </c>
      <c r="F334" s="6">
        <f t="shared" ref="F334:F397" si="16">SUM(H334,J334,L334,N334)</f>
        <v>0</v>
      </c>
      <c r="G334" s="62"/>
      <c r="H334" s="62"/>
      <c r="I334" s="60"/>
      <c r="J334" s="60"/>
      <c r="K334" s="64"/>
      <c r="L334" s="64"/>
      <c r="M334" s="25"/>
      <c r="N334" s="25"/>
    </row>
    <row r="335" spans="1:14">
      <c r="A335" s="3" t="s">
        <v>628</v>
      </c>
      <c r="B335" s="4" t="s">
        <v>629</v>
      </c>
      <c r="C335" s="5">
        <f t="shared" si="14"/>
        <v>0</v>
      </c>
      <c r="D335" s="5"/>
      <c r="E335" s="6">
        <f t="shared" si="15"/>
        <v>0</v>
      </c>
      <c r="F335" s="6">
        <f t="shared" si="16"/>
        <v>0</v>
      </c>
      <c r="G335" s="62"/>
      <c r="H335" s="62"/>
      <c r="I335" s="60"/>
      <c r="J335" s="60"/>
      <c r="K335" s="64"/>
      <c r="L335" s="64"/>
      <c r="M335" s="25"/>
      <c r="N335" s="25"/>
    </row>
    <row r="336" spans="1:14">
      <c r="A336" s="3" t="s">
        <v>630</v>
      </c>
      <c r="B336" s="4" t="s">
        <v>631</v>
      </c>
      <c r="C336" s="5">
        <f t="shared" si="14"/>
        <v>0</v>
      </c>
      <c r="D336" s="5"/>
      <c r="E336" s="6">
        <f t="shared" si="15"/>
        <v>0</v>
      </c>
      <c r="F336" s="6">
        <f t="shared" si="16"/>
        <v>0</v>
      </c>
      <c r="G336" s="62"/>
      <c r="H336" s="62"/>
      <c r="I336" s="60"/>
      <c r="J336" s="60"/>
      <c r="K336" s="64"/>
      <c r="L336" s="64"/>
      <c r="M336" s="25"/>
      <c r="N336" s="25"/>
    </row>
    <row r="337" spans="1:14">
      <c r="A337" s="3" t="s">
        <v>632</v>
      </c>
      <c r="B337" s="4" t="s">
        <v>633</v>
      </c>
      <c r="C337" s="5">
        <f t="shared" si="14"/>
        <v>0</v>
      </c>
      <c r="D337" s="5"/>
      <c r="E337" s="6">
        <f t="shared" si="15"/>
        <v>0</v>
      </c>
      <c r="F337" s="6">
        <f t="shared" si="16"/>
        <v>0</v>
      </c>
      <c r="G337" s="62"/>
      <c r="H337" s="62"/>
      <c r="I337" s="60"/>
      <c r="J337" s="60"/>
      <c r="K337" s="64"/>
      <c r="L337" s="64"/>
      <c r="M337" s="25"/>
      <c r="N337" s="25"/>
    </row>
    <row r="338" spans="1:14">
      <c r="A338" s="3" t="s">
        <v>634</v>
      </c>
      <c r="B338" s="4" t="s">
        <v>635</v>
      </c>
      <c r="C338" s="5">
        <f t="shared" si="14"/>
        <v>0</v>
      </c>
      <c r="D338" s="5"/>
      <c r="E338" s="6">
        <f t="shared" si="15"/>
        <v>0</v>
      </c>
      <c r="F338" s="6">
        <f t="shared" si="16"/>
        <v>0</v>
      </c>
      <c r="G338" s="62"/>
      <c r="H338" s="62"/>
      <c r="I338" s="60"/>
      <c r="J338" s="60"/>
      <c r="K338" s="64"/>
      <c r="L338" s="64"/>
      <c r="M338" s="25"/>
      <c r="N338" s="25"/>
    </row>
    <row r="339" spans="1:14">
      <c r="A339" s="3" t="s">
        <v>636</v>
      </c>
      <c r="B339" s="4" t="s">
        <v>637</v>
      </c>
      <c r="C339" s="5">
        <f t="shared" si="14"/>
        <v>0</v>
      </c>
      <c r="D339" s="5"/>
      <c r="E339" s="6">
        <f t="shared" si="15"/>
        <v>0</v>
      </c>
      <c r="F339" s="6">
        <f t="shared" si="16"/>
        <v>0</v>
      </c>
      <c r="G339" s="62"/>
      <c r="H339" s="62"/>
      <c r="I339" s="60"/>
      <c r="J339" s="60"/>
      <c r="K339" s="64"/>
      <c r="L339" s="64"/>
      <c r="M339" s="25"/>
      <c r="N339" s="25"/>
    </row>
    <row r="340" spans="1:14">
      <c r="A340" s="3" t="s">
        <v>638</v>
      </c>
      <c r="B340" s="4" t="s">
        <v>639</v>
      </c>
      <c r="C340" s="5">
        <f t="shared" si="14"/>
        <v>0</v>
      </c>
      <c r="D340" s="5"/>
      <c r="E340" s="6">
        <f t="shared" si="15"/>
        <v>0</v>
      </c>
      <c r="F340" s="6">
        <f t="shared" si="16"/>
        <v>0</v>
      </c>
      <c r="G340" s="62"/>
      <c r="H340" s="62"/>
      <c r="I340" s="60"/>
      <c r="J340" s="60"/>
      <c r="K340" s="64"/>
      <c r="L340" s="64"/>
      <c r="M340" s="25"/>
      <c r="N340" s="25"/>
    </row>
    <row r="341" spans="1:14">
      <c r="A341" s="3" t="s">
        <v>640</v>
      </c>
      <c r="B341" s="4" t="s">
        <v>641</v>
      </c>
      <c r="C341" s="5">
        <f t="shared" si="14"/>
        <v>0</v>
      </c>
      <c r="D341" s="5"/>
      <c r="E341" s="6">
        <f t="shared" si="15"/>
        <v>0</v>
      </c>
      <c r="F341" s="6">
        <f t="shared" si="16"/>
        <v>0</v>
      </c>
      <c r="G341" s="62"/>
      <c r="H341" s="62"/>
      <c r="I341" s="60"/>
      <c r="J341" s="60"/>
      <c r="K341" s="64"/>
      <c r="L341" s="64"/>
      <c r="M341" s="25"/>
      <c r="N341" s="25"/>
    </row>
    <row r="342" spans="1:14">
      <c r="A342" s="3" t="s">
        <v>642</v>
      </c>
      <c r="B342" s="4" t="s">
        <v>643</v>
      </c>
      <c r="C342" s="5">
        <f t="shared" si="14"/>
        <v>0</v>
      </c>
      <c r="D342" s="5"/>
      <c r="E342" s="6">
        <f t="shared" si="15"/>
        <v>0</v>
      </c>
      <c r="F342" s="6">
        <f t="shared" si="16"/>
        <v>0</v>
      </c>
      <c r="G342" s="62"/>
      <c r="H342" s="62"/>
      <c r="I342" s="60"/>
      <c r="J342" s="60"/>
      <c r="K342" s="64"/>
      <c r="L342" s="64"/>
      <c r="M342" s="25"/>
      <c r="N342" s="25"/>
    </row>
    <row r="343" spans="1:14">
      <c r="A343" s="3" t="s">
        <v>644</v>
      </c>
      <c r="B343" s="4" t="s">
        <v>645</v>
      </c>
      <c r="C343" s="5">
        <f t="shared" si="14"/>
        <v>0</v>
      </c>
      <c r="D343" s="5"/>
      <c r="E343" s="6">
        <f t="shared" si="15"/>
        <v>0</v>
      </c>
      <c r="F343" s="6">
        <f t="shared" si="16"/>
        <v>0</v>
      </c>
      <c r="G343" s="62"/>
      <c r="H343" s="62"/>
      <c r="I343" s="60"/>
      <c r="J343" s="60"/>
      <c r="K343" s="64"/>
      <c r="L343" s="64"/>
      <c r="M343" s="25"/>
      <c r="N343" s="25"/>
    </row>
    <row r="344" spans="1:14">
      <c r="A344" s="3" t="s">
        <v>646</v>
      </c>
      <c r="B344" s="4" t="s">
        <v>647</v>
      </c>
      <c r="C344" s="5">
        <f t="shared" si="14"/>
        <v>0</v>
      </c>
      <c r="D344" s="5"/>
      <c r="E344" s="6">
        <f t="shared" si="15"/>
        <v>0</v>
      </c>
      <c r="F344" s="6">
        <f t="shared" si="16"/>
        <v>0</v>
      </c>
      <c r="G344" s="62"/>
      <c r="H344" s="62"/>
      <c r="I344" s="60"/>
      <c r="J344" s="60"/>
      <c r="K344" s="64"/>
      <c r="L344" s="64"/>
      <c r="M344" s="25"/>
      <c r="N344" s="25"/>
    </row>
    <row r="345" spans="1:14">
      <c r="A345" s="3" t="s">
        <v>648</v>
      </c>
      <c r="B345" s="4" t="s">
        <v>649</v>
      </c>
      <c r="C345" s="5">
        <f t="shared" ref="C345:C408" si="17">E345-F345</f>
        <v>0</v>
      </c>
      <c r="D345" s="5"/>
      <c r="E345" s="6">
        <f t="shared" si="15"/>
        <v>0</v>
      </c>
      <c r="F345" s="6">
        <f t="shared" si="16"/>
        <v>0</v>
      </c>
      <c r="G345" s="62"/>
      <c r="H345" s="62"/>
      <c r="I345" s="60"/>
      <c r="J345" s="60"/>
      <c r="K345" s="64"/>
      <c r="L345" s="64"/>
      <c r="M345" s="25"/>
      <c r="N345" s="25"/>
    </row>
    <row r="346" spans="1:14">
      <c r="A346" s="3" t="s">
        <v>650</v>
      </c>
      <c r="B346" s="4" t="s">
        <v>651</v>
      </c>
      <c r="C346" s="5">
        <f t="shared" si="17"/>
        <v>0</v>
      </c>
      <c r="D346" s="5"/>
      <c r="E346" s="6">
        <f t="shared" si="15"/>
        <v>0</v>
      </c>
      <c r="F346" s="6">
        <f t="shared" si="16"/>
        <v>0</v>
      </c>
      <c r="G346" s="62"/>
      <c r="H346" s="62"/>
      <c r="I346" s="60"/>
      <c r="J346" s="60"/>
      <c r="K346" s="64"/>
      <c r="L346" s="64"/>
      <c r="M346" s="25"/>
      <c r="N346" s="25"/>
    </row>
    <row r="347" spans="1:14">
      <c r="A347" s="3" t="s">
        <v>652</v>
      </c>
      <c r="B347" s="4" t="s">
        <v>653</v>
      </c>
      <c r="C347" s="5">
        <f t="shared" si="17"/>
        <v>0</v>
      </c>
      <c r="D347" s="5"/>
      <c r="E347" s="6">
        <f t="shared" si="15"/>
        <v>0</v>
      </c>
      <c r="F347" s="6">
        <f t="shared" si="16"/>
        <v>0</v>
      </c>
      <c r="G347" s="62"/>
      <c r="H347" s="62"/>
      <c r="I347" s="60"/>
      <c r="J347" s="60"/>
      <c r="K347" s="64"/>
      <c r="L347" s="64"/>
      <c r="M347" s="25"/>
      <c r="N347" s="25"/>
    </row>
    <row r="348" spans="1:14">
      <c r="A348" s="3" t="s">
        <v>654</v>
      </c>
      <c r="B348" s="4" t="s">
        <v>655</v>
      </c>
      <c r="C348" s="5">
        <f t="shared" si="17"/>
        <v>0</v>
      </c>
      <c r="D348" s="5"/>
      <c r="E348" s="6">
        <f t="shared" si="15"/>
        <v>0</v>
      </c>
      <c r="F348" s="6">
        <f t="shared" si="16"/>
        <v>0</v>
      </c>
      <c r="G348" s="62"/>
      <c r="H348" s="62"/>
      <c r="I348" s="60"/>
      <c r="J348" s="60"/>
      <c r="K348" s="64"/>
      <c r="L348" s="64"/>
      <c r="M348" s="25"/>
      <c r="N348" s="25"/>
    </row>
    <row r="349" spans="1:14">
      <c r="A349" s="3" t="s">
        <v>656</v>
      </c>
      <c r="B349" s="4" t="s">
        <v>657</v>
      </c>
      <c r="C349" s="5">
        <f t="shared" si="17"/>
        <v>0</v>
      </c>
      <c r="D349" s="5"/>
      <c r="E349" s="6">
        <f t="shared" si="15"/>
        <v>0</v>
      </c>
      <c r="F349" s="6">
        <f t="shared" si="16"/>
        <v>0</v>
      </c>
      <c r="G349" s="62"/>
      <c r="H349" s="62"/>
      <c r="I349" s="60"/>
      <c r="J349" s="60"/>
      <c r="K349" s="64"/>
      <c r="L349" s="64"/>
      <c r="M349" s="25"/>
      <c r="N349" s="25"/>
    </row>
    <row r="350" spans="1:14">
      <c r="A350" s="3" t="s">
        <v>658</v>
      </c>
      <c r="B350" s="4" t="s">
        <v>659</v>
      </c>
      <c r="C350" s="5">
        <f t="shared" si="17"/>
        <v>0</v>
      </c>
      <c r="D350" s="5"/>
      <c r="E350" s="6">
        <f t="shared" si="15"/>
        <v>0</v>
      </c>
      <c r="F350" s="6">
        <f t="shared" si="16"/>
        <v>0</v>
      </c>
      <c r="G350" s="62"/>
      <c r="H350" s="62"/>
      <c r="I350" s="60"/>
      <c r="J350" s="60"/>
      <c r="K350" s="64"/>
      <c r="L350" s="64"/>
      <c r="M350" s="25"/>
      <c r="N350" s="25"/>
    </row>
    <row r="351" spans="1:14">
      <c r="A351" s="3" t="s">
        <v>660</v>
      </c>
      <c r="B351" s="4" t="s">
        <v>661</v>
      </c>
      <c r="C351" s="5">
        <f t="shared" si="17"/>
        <v>0</v>
      </c>
      <c r="D351" s="5"/>
      <c r="E351" s="6">
        <f t="shared" si="15"/>
        <v>0</v>
      </c>
      <c r="F351" s="6">
        <f t="shared" si="16"/>
        <v>0</v>
      </c>
      <c r="G351" s="62"/>
      <c r="H351" s="62"/>
      <c r="I351" s="60"/>
      <c r="J351" s="60"/>
      <c r="K351" s="64"/>
      <c r="L351" s="64"/>
      <c r="M351" s="25"/>
      <c r="N351" s="25"/>
    </row>
    <row r="352" spans="1:14">
      <c r="A352" s="3" t="s">
        <v>662</v>
      </c>
      <c r="B352" s="4" t="s">
        <v>663</v>
      </c>
      <c r="C352" s="5">
        <f t="shared" si="17"/>
        <v>0</v>
      </c>
      <c r="D352" s="5"/>
      <c r="E352" s="6">
        <f t="shared" si="15"/>
        <v>0</v>
      </c>
      <c r="F352" s="6">
        <f t="shared" si="16"/>
        <v>0</v>
      </c>
      <c r="G352" s="62"/>
      <c r="H352" s="62"/>
      <c r="I352" s="60"/>
      <c r="J352" s="60"/>
      <c r="K352" s="64"/>
      <c r="L352" s="64"/>
      <c r="M352" s="25"/>
      <c r="N352" s="25"/>
    </row>
    <row r="353" spans="1:14">
      <c r="A353" s="3" t="s">
        <v>664</v>
      </c>
      <c r="B353" s="4" t="s">
        <v>665</v>
      </c>
      <c r="C353" s="5">
        <f t="shared" si="17"/>
        <v>0</v>
      </c>
      <c r="D353" s="5"/>
      <c r="E353" s="6">
        <f t="shared" si="15"/>
        <v>0</v>
      </c>
      <c r="F353" s="6">
        <f t="shared" si="16"/>
        <v>0</v>
      </c>
      <c r="G353" s="62"/>
      <c r="H353" s="62"/>
      <c r="I353" s="60"/>
      <c r="J353" s="60"/>
      <c r="K353" s="64"/>
      <c r="L353" s="64"/>
      <c r="M353" s="25"/>
      <c r="N353" s="25"/>
    </row>
    <row r="354" spans="1:14">
      <c r="A354" s="3" t="s">
        <v>666</v>
      </c>
      <c r="B354" s="4" t="s">
        <v>667</v>
      </c>
      <c r="C354" s="5">
        <f t="shared" si="17"/>
        <v>0</v>
      </c>
      <c r="D354" s="5"/>
      <c r="E354" s="6">
        <f t="shared" si="15"/>
        <v>0</v>
      </c>
      <c r="F354" s="6">
        <f t="shared" si="16"/>
        <v>0</v>
      </c>
      <c r="G354" s="62"/>
      <c r="H354" s="62"/>
      <c r="I354" s="60"/>
      <c r="J354" s="60"/>
      <c r="K354" s="64"/>
      <c r="L354" s="64"/>
      <c r="M354" s="25"/>
      <c r="N354" s="25"/>
    </row>
    <row r="355" spans="1:14">
      <c r="A355" s="3" t="s">
        <v>668</v>
      </c>
      <c r="B355" s="4" t="s">
        <v>669</v>
      </c>
      <c r="C355" s="5">
        <f t="shared" si="17"/>
        <v>0</v>
      </c>
      <c r="D355" s="5"/>
      <c r="E355" s="6">
        <f t="shared" si="15"/>
        <v>0</v>
      </c>
      <c r="F355" s="6">
        <f t="shared" si="16"/>
        <v>0</v>
      </c>
      <c r="G355" s="62"/>
      <c r="H355" s="62"/>
      <c r="I355" s="60"/>
      <c r="J355" s="60"/>
      <c r="K355" s="64"/>
      <c r="L355" s="64"/>
      <c r="M355" s="25"/>
      <c r="N355" s="25"/>
    </row>
    <row r="356" spans="1:14">
      <c r="A356" s="3" t="s">
        <v>670</v>
      </c>
      <c r="B356" s="4" t="s">
        <v>671</v>
      </c>
      <c r="C356" s="5">
        <f t="shared" si="17"/>
        <v>0</v>
      </c>
      <c r="D356" s="5"/>
      <c r="E356" s="6">
        <f t="shared" si="15"/>
        <v>0</v>
      </c>
      <c r="F356" s="6">
        <f t="shared" si="16"/>
        <v>0</v>
      </c>
      <c r="G356" s="62"/>
      <c r="H356" s="62"/>
      <c r="I356" s="60"/>
      <c r="J356" s="60"/>
      <c r="K356" s="64"/>
      <c r="L356" s="64"/>
      <c r="M356" s="25"/>
      <c r="N356" s="25"/>
    </row>
    <row r="357" spans="1:14">
      <c r="A357" s="3" t="s">
        <v>672</v>
      </c>
      <c r="B357" s="4" t="s">
        <v>673</v>
      </c>
      <c r="C357" s="5">
        <f t="shared" si="17"/>
        <v>0</v>
      </c>
      <c r="D357" s="5"/>
      <c r="E357" s="6">
        <f t="shared" si="15"/>
        <v>0</v>
      </c>
      <c r="F357" s="6">
        <f t="shared" si="16"/>
        <v>0</v>
      </c>
      <c r="G357" s="62"/>
      <c r="H357" s="62"/>
      <c r="I357" s="60"/>
      <c r="J357" s="60"/>
      <c r="K357" s="64"/>
      <c r="L357" s="64"/>
      <c r="M357" s="25"/>
      <c r="N357" s="25"/>
    </row>
    <row r="358" spans="1:14">
      <c r="A358" s="3" t="s">
        <v>674</v>
      </c>
      <c r="B358" s="4" t="s">
        <v>675</v>
      </c>
      <c r="C358" s="5">
        <f t="shared" si="17"/>
        <v>0</v>
      </c>
      <c r="D358" s="5"/>
      <c r="E358" s="6">
        <f t="shared" si="15"/>
        <v>0</v>
      </c>
      <c r="F358" s="6">
        <f t="shared" si="16"/>
        <v>0</v>
      </c>
      <c r="G358" s="62"/>
      <c r="H358" s="62"/>
      <c r="I358" s="60"/>
      <c r="J358" s="60"/>
      <c r="K358" s="64"/>
      <c r="L358" s="64"/>
      <c r="M358" s="25"/>
      <c r="N358" s="25"/>
    </row>
    <row r="359" spans="1:14">
      <c r="A359" s="3" t="s">
        <v>676</v>
      </c>
      <c r="B359" s="4" t="s">
        <v>677</v>
      </c>
      <c r="C359" s="5">
        <f t="shared" si="17"/>
        <v>0</v>
      </c>
      <c r="D359" s="5"/>
      <c r="E359" s="6">
        <f t="shared" si="15"/>
        <v>0</v>
      </c>
      <c r="F359" s="6">
        <f t="shared" si="16"/>
        <v>0</v>
      </c>
      <c r="G359" s="62"/>
      <c r="H359" s="62"/>
      <c r="I359" s="60"/>
      <c r="J359" s="60"/>
      <c r="K359" s="64"/>
      <c r="L359" s="64"/>
      <c r="M359" s="25"/>
      <c r="N359" s="25"/>
    </row>
    <row r="360" spans="1:14">
      <c r="A360" s="3" t="s">
        <v>678</v>
      </c>
      <c r="B360" s="4" t="s">
        <v>679</v>
      </c>
      <c r="C360" s="5">
        <f t="shared" si="17"/>
        <v>0</v>
      </c>
      <c r="D360" s="5"/>
      <c r="E360" s="6">
        <f t="shared" si="15"/>
        <v>0</v>
      </c>
      <c r="F360" s="6">
        <f t="shared" si="16"/>
        <v>0</v>
      </c>
      <c r="G360" s="62"/>
      <c r="H360" s="62"/>
      <c r="I360" s="60"/>
      <c r="J360" s="60"/>
      <c r="K360" s="64"/>
      <c r="L360" s="64"/>
      <c r="M360" s="25"/>
      <c r="N360" s="25"/>
    </row>
    <row r="361" spans="1:14">
      <c r="A361" s="3" t="s">
        <v>680</v>
      </c>
      <c r="B361" s="4" t="s">
        <v>681</v>
      </c>
      <c r="C361" s="5">
        <f t="shared" si="17"/>
        <v>0</v>
      </c>
      <c r="D361" s="5"/>
      <c r="E361" s="6">
        <f t="shared" si="15"/>
        <v>0</v>
      </c>
      <c r="F361" s="6">
        <f t="shared" si="16"/>
        <v>0</v>
      </c>
      <c r="G361" s="62"/>
      <c r="H361" s="62"/>
      <c r="I361" s="60"/>
      <c r="J361" s="60"/>
      <c r="K361" s="64"/>
      <c r="L361" s="64"/>
      <c r="M361" s="25"/>
      <c r="N361" s="25"/>
    </row>
    <row r="362" spans="1:14">
      <c r="A362" s="3" t="s">
        <v>682</v>
      </c>
      <c r="B362" s="4" t="s">
        <v>683</v>
      </c>
      <c r="C362" s="5">
        <f t="shared" si="17"/>
        <v>0</v>
      </c>
      <c r="D362" s="5"/>
      <c r="E362" s="6">
        <f t="shared" si="15"/>
        <v>0</v>
      </c>
      <c r="F362" s="6">
        <f t="shared" si="16"/>
        <v>0</v>
      </c>
      <c r="G362" s="62"/>
      <c r="H362" s="62"/>
      <c r="I362" s="60"/>
      <c r="J362" s="60"/>
      <c r="K362" s="64"/>
      <c r="L362" s="64"/>
      <c r="M362" s="25"/>
      <c r="N362" s="25"/>
    </row>
    <row r="363" spans="1:14">
      <c r="A363" s="3" t="s">
        <v>684</v>
      </c>
      <c r="B363" s="4" t="s">
        <v>685</v>
      </c>
      <c r="C363" s="5">
        <f t="shared" si="17"/>
        <v>0</v>
      </c>
      <c r="D363" s="5"/>
      <c r="E363" s="6">
        <f t="shared" si="15"/>
        <v>0</v>
      </c>
      <c r="F363" s="6">
        <f t="shared" si="16"/>
        <v>0</v>
      </c>
      <c r="G363" s="62"/>
      <c r="H363" s="62"/>
      <c r="I363" s="60"/>
      <c r="J363" s="60"/>
      <c r="K363" s="64"/>
      <c r="L363" s="64"/>
      <c r="M363" s="25"/>
      <c r="N363" s="25"/>
    </row>
    <row r="364" spans="1:14">
      <c r="A364" s="3" t="s">
        <v>686</v>
      </c>
      <c r="B364" s="4" t="s">
        <v>687</v>
      </c>
      <c r="C364" s="5">
        <f t="shared" si="17"/>
        <v>0</v>
      </c>
      <c r="D364" s="5"/>
      <c r="E364" s="6">
        <f t="shared" si="15"/>
        <v>0</v>
      </c>
      <c r="F364" s="6">
        <f t="shared" si="16"/>
        <v>0</v>
      </c>
      <c r="G364" s="62"/>
      <c r="H364" s="62"/>
      <c r="I364" s="60"/>
      <c r="J364" s="60"/>
      <c r="K364" s="64"/>
      <c r="L364" s="64"/>
      <c r="M364" s="25"/>
      <c r="N364" s="25"/>
    </row>
    <row r="365" spans="1:14">
      <c r="A365" s="3" t="s">
        <v>688</v>
      </c>
      <c r="B365" s="4" t="s">
        <v>689</v>
      </c>
      <c r="C365" s="5">
        <f t="shared" si="17"/>
        <v>0</v>
      </c>
      <c r="D365" s="5"/>
      <c r="E365" s="6">
        <f t="shared" si="15"/>
        <v>0</v>
      </c>
      <c r="F365" s="6">
        <f t="shared" si="16"/>
        <v>0</v>
      </c>
      <c r="G365" s="62"/>
      <c r="H365" s="62"/>
      <c r="I365" s="60"/>
      <c r="J365" s="60"/>
      <c r="K365" s="64"/>
      <c r="L365" s="64"/>
      <c r="M365" s="25"/>
      <c r="N365" s="25"/>
    </row>
    <row r="366" spans="1:14">
      <c r="A366" s="3" t="s">
        <v>690</v>
      </c>
      <c r="B366" s="4" t="s">
        <v>691</v>
      </c>
      <c r="C366" s="5">
        <f t="shared" si="17"/>
        <v>0</v>
      </c>
      <c r="D366" s="5"/>
      <c r="E366" s="6">
        <f t="shared" si="15"/>
        <v>0</v>
      </c>
      <c r="F366" s="6">
        <f t="shared" si="16"/>
        <v>0</v>
      </c>
      <c r="G366" s="62"/>
      <c r="H366" s="62"/>
      <c r="I366" s="60"/>
      <c r="J366" s="60"/>
      <c r="K366" s="64"/>
      <c r="L366" s="64"/>
      <c r="M366" s="25"/>
      <c r="N366" s="25"/>
    </row>
    <row r="367" spans="1:14">
      <c r="A367" s="3" t="s">
        <v>692</v>
      </c>
      <c r="B367" s="4" t="s">
        <v>693</v>
      </c>
      <c r="C367" s="5">
        <f t="shared" si="17"/>
        <v>0</v>
      </c>
      <c r="D367" s="5"/>
      <c r="E367" s="6">
        <f t="shared" si="15"/>
        <v>0</v>
      </c>
      <c r="F367" s="6">
        <f t="shared" si="16"/>
        <v>0</v>
      </c>
      <c r="G367" s="62"/>
      <c r="H367" s="62"/>
      <c r="I367" s="60"/>
      <c r="J367" s="60"/>
      <c r="K367" s="64"/>
      <c r="L367" s="64"/>
      <c r="M367" s="25"/>
      <c r="N367" s="25"/>
    </row>
    <row r="368" spans="1:14">
      <c r="A368" s="3" t="s">
        <v>694</v>
      </c>
      <c r="B368" s="4" t="s">
        <v>695</v>
      </c>
      <c r="C368" s="5">
        <f t="shared" si="17"/>
        <v>0</v>
      </c>
      <c r="D368" s="5"/>
      <c r="E368" s="6">
        <f t="shared" si="15"/>
        <v>0</v>
      </c>
      <c r="F368" s="6">
        <f t="shared" si="16"/>
        <v>0</v>
      </c>
      <c r="G368" s="62"/>
      <c r="H368" s="62"/>
      <c r="I368" s="60"/>
      <c r="J368" s="60"/>
      <c r="K368" s="64"/>
      <c r="L368" s="64"/>
      <c r="M368" s="25"/>
      <c r="N368" s="25"/>
    </row>
    <row r="369" spans="1:14">
      <c r="A369" s="3" t="s">
        <v>696</v>
      </c>
      <c r="B369" s="4" t="s">
        <v>697</v>
      </c>
      <c r="C369" s="5">
        <f t="shared" si="17"/>
        <v>0</v>
      </c>
      <c r="D369" s="5"/>
      <c r="E369" s="6">
        <f t="shared" si="15"/>
        <v>0</v>
      </c>
      <c r="F369" s="6">
        <f t="shared" si="16"/>
        <v>0</v>
      </c>
      <c r="G369" s="62"/>
      <c r="H369" s="62"/>
      <c r="I369" s="60"/>
      <c r="J369" s="60"/>
      <c r="K369" s="64"/>
      <c r="L369" s="64"/>
      <c r="M369" s="25"/>
      <c r="N369" s="25"/>
    </row>
    <row r="370" spans="1:14">
      <c r="A370" s="3" t="s">
        <v>698</v>
      </c>
      <c r="B370" s="4" t="s">
        <v>699</v>
      </c>
      <c r="C370" s="5">
        <f t="shared" si="17"/>
        <v>0</v>
      </c>
      <c r="D370" s="5"/>
      <c r="E370" s="6">
        <f t="shared" si="15"/>
        <v>0</v>
      </c>
      <c r="F370" s="6">
        <f t="shared" si="16"/>
        <v>0</v>
      </c>
      <c r="G370" s="62"/>
      <c r="H370" s="62"/>
      <c r="I370" s="60"/>
      <c r="J370" s="60"/>
      <c r="K370" s="64"/>
      <c r="L370" s="64"/>
      <c r="M370" s="25"/>
      <c r="N370" s="25"/>
    </row>
    <row r="371" spans="1:14">
      <c r="A371" s="3" t="s">
        <v>700</v>
      </c>
      <c r="B371" s="4" t="s">
        <v>701</v>
      </c>
      <c r="C371" s="5">
        <f t="shared" si="17"/>
        <v>0</v>
      </c>
      <c r="D371" s="5"/>
      <c r="E371" s="6">
        <f t="shared" si="15"/>
        <v>0</v>
      </c>
      <c r="F371" s="6">
        <f t="shared" si="16"/>
        <v>0</v>
      </c>
      <c r="G371" s="62"/>
      <c r="H371" s="62"/>
      <c r="I371" s="60"/>
      <c r="J371" s="60"/>
      <c r="K371" s="64"/>
      <c r="L371" s="64"/>
      <c r="M371" s="25"/>
      <c r="N371" s="25"/>
    </row>
    <row r="372" spans="1:14">
      <c r="A372" s="3" t="s">
        <v>702</v>
      </c>
      <c r="B372" s="4" t="s">
        <v>703</v>
      </c>
      <c r="C372" s="5">
        <f t="shared" si="17"/>
        <v>0</v>
      </c>
      <c r="D372" s="5"/>
      <c r="E372" s="6">
        <f t="shared" si="15"/>
        <v>0</v>
      </c>
      <c r="F372" s="6">
        <f t="shared" si="16"/>
        <v>0</v>
      </c>
      <c r="G372" s="62"/>
      <c r="H372" s="62"/>
      <c r="I372" s="60"/>
      <c r="J372" s="60"/>
      <c r="K372" s="64"/>
      <c r="L372" s="64"/>
      <c r="M372" s="25"/>
      <c r="N372" s="25"/>
    </row>
    <row r="373" spans="1:14">
      <c r="A373" s="3" t="s">
        <v>704</v>
      </c>
      <c r="B373" s="4" t="s">
        <v>705</v>
      </c>
      <c r="C373" s="5">
        <f t="shared" si="17"/>
        <v>0</v>
      </c>
      <c r="D373" s="5"/>
      <c r="E373" s="6">
        <f t="shared" si="15"/>
        <v>0</v>
      </c>
      <c r="F373" s="6">
        <f t="shared" si="16"/>
        <v>0</v>
      </c>
      <c r="G373" s="62"/>
      <c r="H373" s="62"/>
      <c r="I373" s="60"/>
      <c r="J373" s="60"/>
      <c r="K373" s="64"/>
      <c r="L373" s="64"/>
      <c r="M373" s="25"/>
      <c r="N373" s="25"/>
    </row>
    <row r="374" spans="1:14">
      <c r="A374" s="3" t="s">
        <v>706</v>
      </c>
      <c r="B374" s="4" t="s">
        <v>707</v>
      </c>
      <c r="C374" s="5">
        <f t="shared" si="17"/>
        <v>0</v>
      </c>
      <c r="D374" s="5"/>
      <c r="E374" s="6">
        <f t="shared" si="15"/>
        <v>0</v>
      </c>
      <c r="F374" s="6">
        <f t="shared" si="16"/>
        <v>0</v>
      </c>
      <c r="G374" s="62"/>
      <c r="H374" s="62"/>
      <c r="I374" s="60"/>
      <c r="J374" s="60"/>
      <c r="K374" s="64"/>
      <c r="L374" s="64"/>
      <c r="M374" s="25"/>
      <c r="N374" s="25"/>
    </row>
    <row r="375" spans="1:14">
      <c r="A375" s="3" t="s">
        <v>708</v>
      </c>
      <c r="B375" s="4" t="s">
        <v>709</v>
      </c>
      <c r="C375" s="5">
        <f t="shared" si="17"/>
        <v>0</v>
      </c>
      <c r="D375" s="5"/>
      <c r="E375" s="6">
        <f t="shared" si="15"/>
        <v>0</v>
      </c>
      <c r="F375" s="6">
        <f t="shared" si="16"/>
        <v>0</v>
      </c>
      <c r="G375" s="62"/>
      <c r="H375" s="62"/>
      <c r="I375" s="60"/>
      <c r="J375" s="60"/>
      <c r="K375" s="64"/>
      <c r="L375" s="64"/>
      <c r="M375" s="25"/>
      <c r="N375" s="25"/>
    </row>
    <row r="376" spans="1:14">
      <c r="A376" s="3" t="s">
        <v>710</v>
      </c>
      <c r="B376" s="4" t="s">
        <v>711</v>
      </c>
      <c r="C376" s="5">
        <f t="shared" si="17"/>
        <v>0</v>
      </c>
      <c r="D376" s="5"/>
      <c r="E376" s="6">
        <f t="shared" si="15"/>
        <v>0</v>
      </c>
      <c r="F376" s="6">
        <f t="shared" si="16"/>
        <v>0</v>
      </c>
      <c r="G376" s="62"/>
      <c r="H376" s="62"/>
      <c r="I376" s="60"/>
      <c r="J376" s="60"/>
      <c r="K376" s="64"/>
      <c r="L376" s="64"/>
      <c r="M376" s="25"/>
      <c r="N376" s="25"/>
    </row>
    <row r="377" spans="1:14">
      <c r="A377" s="3" t="s">
        <v>712</v>
      </c>
      <c r="B377" s="4" t="s">
        <v>713</v>
      </c>
      <c r="C377" s="5">
        <f t="shared" si="17"/>
        <v>0</v>
      </c>
      <c r="D377" s="5"/>
      <c r="E377" s="6">
        <f t="shared" si="15"/>
        <v>0</v>
      </c>
      <c r="F377" s="6">
        <f t="shared" si="16"/>
        <v>0</v>
      </c>
      <c r="G377" s="62"/>
      <c r="H377" s="62"/>
      <c r="I377" s="60"/>
      <c r="J377" s="60"/>
      <c r="K377" s="64"/>
      <c r="L377" s="64"/>
      <c r="M377" s="25"/>
      <c r="N377" s="25"/>
    </row>
    <row r="378" spans="1:14">
      <c r="A378" s="3" t="s">
        <v>714</v>
      </c>
      <c r="B378" s="4" t="s">
        <v>715</v>
      </c>
      <c r="C378" s="5">
        <f t="shared" si="17"/>
        <v>0</v>
      </c>
      <c r="D378" s="5"/>
      <c r="E378" s="6">
        <f t="shared" si="15"/>
        <v>0</v>
      </c>
      <c r="F378" s="6">
        <f t="shared" si="16"/>
        <v>0</v>
      </c>
      <c r="G378" s="62"/>
      <c r="H378" s="62"/>
      <c r="I378" s="60"/>
      <c r="J378" s="60"/>
      <c r="K378" s="64"/>
      <c r="L378" s="64"/>
      <c r="M378" s="25"/>
      <c r="N378" s="25"/>
    </row>
    <row r="379" spans="1:14">
      <c r="A379" s="3" t="s">
        <v>716</v>
      </c>
      <c r="B379" s="4" t="s">
        <v>717</v>
      </c>
      <c r="C379" s="5">
        <f t="shared" si="17"/>
        <v>0</v>
      </c>
      <c r="D379" s="5"/>
      <c r="E379" s="6">
        <f t="shared" si="15"/>
        <v>0</v>
      </c>
      <c r="F379" s="6">
        <f t="shared" si="16"/>
        <v>0</v>
      </c>
      <c r="G379" s="62"/>
      <c r="H379" s="62"/>
      <c r="I379" s="60"/>
      <c r="J379" s="60"/>
      <c r="K379" s="64"/>
      <c r="L379" s="64"/>
      <c r="M379" s="25"/>
      <c r="N379" s="25"/>
    </row>
    <row r="380" spans="1:14">
      <c r="A380" s="3" t="s">
        <v>718</v>
      </c>
      <c r="B380" s="4" t="s">
        <v>719</v>
      </c>
      <c r="C380" s="5">
        <f t="shared" si="17"/>
        <v>0</v>
      </c>
      <c r="D380" s="5"/>
      <c r="E380" s="6">
        <f t="shared" si="15"/>
        <v>0</v>
      </c>
      <c r="F380" s="6">
        <f t="shared" si="16"/>
        <v>0</v>
      </c>
      <c r="G380" s="62"/>
      <c r="H380" s="62"/>
      <c r="I380" s="60"/>
      <c r="J380" s="60"/>
      <c r="K380" s="64"/>
      <c r="L380" s="64"/>
      <c r="M380" s="25"/>
      <c r="N380" s="25"/>
    </row>
    <row r="381" spans="1:14">
      <c r="A381" s="3" t="s">
        <v>720</v>
      </c>
      <c r="B381" s="4" t="s">
        <v>721</v>
      </c>
      <c r="C381" s="5">
        <f t="shared" si="17"/>
        <v>0</v>
      </c>
      <c r="D381" s="5"/>
      <c r="E381" s="6">
        <f t="shared" si="15"/>
        <v>0</v>
      </c>
      <c r="F381" s="6">
        <f t="shared" si="16"/>
        <v>0</v>
      </c>
      <c r="G381" s="62"/>
      <c r="H381" s="62"/>
      <c r="I381" s="60"/>
      <c r="J381" s="60"/>
      <c r="K381" s="64"/>
      <c r="L381" s="64"/>
      <c r="M381" s="25"/>
      <c r="N381" s="25"/>
    </row>
    <row r="382" spans="1:14">
      <c r="A382" s="3" t="s">
        <v>722</v>
      </c>
      <c r="B382" s="4" t="s">
        <v>723</v>
      </c>
      <c r="C382" s="5">
        <f t="shared" si="17"/>
        <v>0</v>
      </c>
      <c r="D382" s="5"/>
      <c r="E382" s="6">
        <f t="shared" si="15"/>
        <v>0</v>
      </c>
      <c r="F382" s="6">
        <f t="shared" si="16"/>
        <v>0</v>
      </c>
      <c r="G382" s="62"/>
      <c r="H382" s="62"/>
      <c r="I382" s="60"/>
      <c r="J382" s="60"/>
      <c r="K382" s="64"/>
      <c r="L382" s="64"/>
      <c r="M382" s="25"/>
      <c r="N382" s="25"/>
    </row>
    <row r="383" spans="1:14">
      <c r="A383" s="3" t="s">
        <v>724</v>
      </c>
      <c r="B383" s="4" t="s">
        <v>725</v>
      </c>
      <c r="C383" s="5">
        <f t="shared" si="17"/>
        <v>0</v>
      </c>
      <c r="D383" s="5"/>
      <c r="E383" s="6">
        <f t="shared" si="15"/>
        <v>0</v>
      </c>
      <c r="F383" s="6">
        <f t="shared" si="16"/>
        <v>0</v>
      </c>
      <c r="G383" s="62"/>
      <c r="H383" s="62"/>
      <c r="I383" s="60"/>
      <c r="J383" s="60"/>
      <c r="K383" s="64"/>
      <c r="L383" s="64"/>
      <c r="M383" s="25"/>
      <c r="N383" s="25"/>
    </row>
    <row r="384" spans="1:14">
      <c r="A384" s="3" t="s">
        <v>726</v>
      </c>
      <c r="B384" s="4" t="s">
        <v>727</v>
      </c>
      <c r="C384" s="5">
        <f t="shared" si="17"/>
        <v>0</v>
      </c>
      <c r="D384" s="5"/>
      <c r="E384" s="6">
        <f t="shared" si="15"/>
        <v>0</v>
      </c>
      <c r="F384" s="6">
        <f t="shared" si="16"/>
        <v>0</v>
      </c>
      <c r="G384" s="62"/>
      <c r="H384" s="62"/>
      <c r="I384" s="60"/>
      <c r="J384" s="60"/>
      <c r="K384" s="64"/>
      <c r="L384" s="64"/>
      <c r="M384" s="25"/>
      <c r="N384" s="25"/>
    </row>
    <row r="385" spans="1:14">
      <c r="A385" s="3" t="s">
        <v>728</v>
      </c>
      <c r="B385" s="4" t="s">
        <v>729</v>
      </c>
      <c r="C385" s="5">
        <f t="shared" si="17"/>
        <v>0</v>
      </c>
      <c r="D385" s="5"/>
      <c r="E385" s="6">
        <f t="shared" si="15"/>
        <v>0</v>
      </c>
      <c r="F385" s="6">
        <f t="shared" si="16"/>
        <v>0</v>
      </c>
      <c r="G385" s="62"/>
      <c r="H385" s="62"/>
      <c r="I385" s="60"/>
      <c r="J385" s="60"/>
      <c r="K385" s="64"/>
      <c r="L385" s="64"/>
      <c r="M385" s="25"/>
      <c r="N385" s="25"/>
    </row>
    <row r="386" spans="1:14">
      <c r="A386" s="3" t="s">
        <v>730</v>
      </c>
      <c r="B386" s="4" t="s">
        <v>731</v>
      </c>
      <c r="C386" s="5">
        <f t="shared" si="17"/>
        <v>0</v>
      </c>
      <c r="D386" s="5"/>
      <c r="E386" s="6">
        <f t="shared" si="15"/>
        <v>0</v>
      </c>
      <c r="F386" s="6">
        <f t="shared" si="16"/>
        <v>0</v>
      </c>
      <c r="G386" s="62"/>
      <c r="H386" s="62"/>
      <c r="I386" s="60"/>
      <c r="J386" s="60"/>
      <c r="K386" s="64"/>
      <c r="L386" s="64"/>
      <c r="M386" s="25"/>
      <c r="N386" s="25"/>
    </row>
    <row r="387" spans="1:14">
      <c r="A387" s="3" t="s">
        <v>732</v>
      </c>
      <c r="B387" s="4" t="s">
        <v>733</v>
      </c>
      <c r="C387" s="5">
        <f t="shared" si="17"/>
        <v>0</v>
      </c>
      <c r="D387" s="5"/>
      <c r="E387" s="6">
        <f t="shared" si="15"/>
        <v>0</v>
      </c>
      <c r="F387" s="6">
        <f t="shared" si="16"/>
        <v>0</v>
      </c>
      <c r="G387" s="62"/>
      <c r="H387" s="62"/>
      <c r="I387" s="60"/>
      <c r="J387" s="60"/>
      <c r="K387" s="64"/>
      <c r="L387" s="64"/>
      <c r="M387" s="25"/>
      <c r="N387" s="25"/>
    </row>
    <row r="388" spans="1:14">
      <c r="A388" s="3" t="s">
        <v>734</v>
      </c>
      <c r="B388" s="4" t="s">
        <v>735</v>
      </c>
      <c r="C388" s="5">
        <f t="shared" si="17"/>
        <v>0</v>
      </c>
      <c r="D388" s="5"/>
      <c r="E388" s="6">
        <f t="shared" si="15"/>
        <v>0</v>
      </c>
      <c r="F388" s="6">
        <f t="shared" si="16"/>
        <v>0</v>
      </c>
      <c r="G388" s="62"/>
      <c r="H388" s="62"/>
      <c r="I388" s="60"/>
      <c r="J388" s="60"/>
      <c r="K388" s="64"/>
      <c r="L388" s="64"/>
      <c r="M388" s="25"/>
      <c r="N388" s="25"/>
    </row>
    <row r="389" spans="1:14">
      <c r="A389" s="3" t="s">
        <v>736</v>
      </c>
      <c r="B389" s="4" t="s">
        <v>737</v>
      </c>
      <c r="C389" s="5">
        <f t="shared" si="17"/>
        <v>0</v>
      </c>
      <c r="D389" s="5"/>
      <c r="E389" s="6">
        <f t="shared" si="15"/>
        <v>0</v>
      </c>
      <c r="F389" s="6">
        <f t="shared" si="16"/>
        <v>0</v>
      </c>
      <c r="G389" s="62"/>
      <c r="H389" s="62"/>
      <c r="I389" s="60"/>
      <c r="J389" s="60"/>
      <c r="K389" s="64"/>
      <c r="L389" s="64"/>
      <c r="M389" s="25"/>
      <c r="N389" s="25"/>
    </row>
    <row r="390" spans="1:14">
      <c r="A390" s="3" t="s">
        <v>738</v>
      </c>
      <c r="B390" s="4" t="s">
        <v>739</v>
      </c>
      <c r="C390" s="5">
        <f t="shared" si="17"/>
        <v>0</v>
      </c>
      <c r="D390" s="5"/>
      <c r="E390" s="6">
        <f t="shared" si="15"/>
        <v>0</v>
      </c>
      <c r="F390" s="6">
        <f t="shared" si="16"/>
        <v>0</v>
      </c>
      <c r="G390" s="62"/>
      <c r="H390" s="62"/>
      <c r="I390" s="60"/>
      <c r="J390" s="60"/>
      <c r="K390" s="64"/>
      <c r="L390" s="64"/>
      <c r="M390" s="25"/>
      <c r="N390" s="25"/>
    </row>
    <row r="391" spans="1:14">
      <c r="A391" s="3" t="s">
        <v>740</v>
      </c>
      <c r="B391" s="4" t="s">
        <v>741</v>
      </c>
      <c r="C391" s="5">
        <f t="shared" si="17"/>
        <v>0</v>
      </c>
      <c r="D391" s="5"/>
      <c r="E391" s="6">
        <f t="shared" si="15"/>
        <v>0</v>
      </c>
      <c r="F391" s="6">
        <f t="shared" si="16"/>
        <v>0</v>
      </c>
      <c r="G391" s="62"/>
      <c r="H391" s="62"/>
      <c r="I391" s="60"/>
      <c r="J391" s="60"/>
      <c r="K391" s="64"/>
      <c r="L391" s="64"/>
      <c r="M391" s="25"/>
      <c r="N391" s="25"/>
    </row>
    <row r="392" spans="1:14">
      <c r="A392" s="3" t="s">
        <v>742</v>
      </c>
      <c r="B392" s="4" t="s">
        <v>743</v>
      </c>
      <c r="C392" s="5">
        <f t="shared" si="17"/>
        <v>0</v>
      </c>
      <c r="D392" s="5"/>
      <c r="E392" s="6">
        <f t="shared" si="15"/>
        <v>0</v>
      </c>
      <c r="F392" s="6">
        <f t="shared" si="16"/>
        <v>0</v>
      </c>
      <c r="G392" s="62"/>
      <c r="H392" s="62"/>
      <c r="I392" s="60"/>
      <c r="J392" s="60"/>
      <c r="K392" s="64"/>
      <c r="L392" s="64"/>
      <c r="M392" s="25"/>
      <c r="N392" s="25"/>
    </row>
    <row r="393" spans="1:14">
      <c r="A393" s="3" t="s">
        <v>744</v>
      </c>
      <c r="B393" s="4" t="s">
        <v>745</v>
      </c>
      <c r="C393" s="5">
        <f t="shared" si="17"/>
        <v>0</v>
      </c>
      <c r="D393" s="5"/>
      <c r="E393" s="6">
        <f t="shared" si="15"/>
        <v>0</v>
      </c>
      <c r="F393" s="6">
        <f t="shared" si="16"/>
        <v>0</v>
      </c>
      <c r="G393" s="62"/>
      <c r="H393" s="62"/>
      <c r="I393" s="60"/>
      <c r="J393" s="60"/>
      <c r="K393" s="64"/>
      <c r="L393" s="64"/>
      <c r="M393" s="25"/>
      <c r="N393" s="25"/>
    </row>
    <row r="394" spans="1:14">
      <c r="A394" s="3" t="s">
        <v>746</v>
      </c>
      <c r="B394" s="4" t="s">
        <v>747</v>
      </c>
      <c r="C394" s="5">
        <f t="shared" si="17"/>
        <v>0</v>
      </c>
      <c r="D394" s="5"/>
      <c r="E394" s="6">
        <f t="shared" si="15"/>
        <v>0</v>
      </c>
      <c r="F394" s="6">
        <f t="shared" si="16"/>
        <v>0</v>
      </c>
      <c r="G394" s="62"/>
      <c r="H394" s="62"/>
      <c r="I394" s="60"/>
      <c r="J394" s="60"/>
      <c r="K394" s="64"/>
      <c r="L394" s="64"/>
      <c r="M394" s="25"/>
      <c r="N394" s="25"/>
    </row>
    <row r="395" spans="1:14">
      <c r="A395" s="3" t="s">
        <v>748</v>
      </c>
      <c r="B395" s="4" t="s">
        <v>749</v>
      </c>
      <c r="C395" s="5">
        <f t="shared" si="17"/>
        <v>0</v>
      </c>
      <c r="D395" s="5"/>
      <c r="E395" s="6">
        <f t="shared" si="15"/>
        <v>0</v>
      </c>
      <c r="F395" s="6">
        <f t="shared" si="16"/>
        <v>0</v>
      </c>
      <c r="G395" s="62"/>
      <c r="H395" s="62"/>
      <c r="I395" s="60"/>
      <c r="J395" s="60"/>
      <c r="K395" s="64"/>
      <c r="L395" s="64"/>
      <c r="M395" s="25"/>
      <c r="N395" s="25"/>
    </row>
    <row r="396" spans="1:14">
      <c r="A396" s="3" t="s">
        <v>750</v>
      </c>
      <c r="B396" s="4" t="s">
        <v>751</v>
      </c>
      <c r="C396" s="5">
        <f t="shared" si="17"/>
        <v>0</v>
      </c>
      <c r="D396" s="5"/>
      <c r="E396" s="6">
        <f t="shared" si="15"/>
        <v>0</v>
      </c>
      <c r="F396" s="6">
        <f t="shared" si="16"/>
        <v>0</v>
      </c>
      <c r="G396" s="62"/>
      <c r="H396" s="62"/>
      <c r="I396" s="60"/>
      <c r="J396" s="60"/>
      <c r="K396" s="64"/>
      <c r="L396" s="64"/>
      <c r="M396" s="25"/>
      <c r="N396" s="25"/>
    </row>
    <row r="397" spans="1:14">
      <c r="A397" s="3" t="s">
        <v>752</v>
      </c>
      <c r="B397" s="4" t="s">
        <v>753</v>
      </c>
      <c r="C397" s="5">
        <f t="shared" si="17"/>
        <v>0</v>
      </c>
      <c r="D397" s="5"/>
      <c r="E397" s="6">
        <f t="shared" si="15"/>
        <v>0</v>
      </c>
      <c r="F397" s="6">
        <f t="shared" si="16"/>
        <v>0</v>
      </c>
      <c r="G397" s="62"/>
      <c r="H397" s="62"/>
      <c r="I397" s="60"/>
      <c r="J397" s="60"/>
      <c r="K397" s="64"/>
      <c r="L397" s="64"/>
      <c r="M397" s="25"/>
      <c r="N397" s="25"/>
    </row>
    <row r="398" spans="1:14">
      <c r="A398" s="3" t="s">
        <v>754</v>
      </c>
      <c r="B398" s="4" t="s">
        <v>755</v>
      </c>
      <c r="C398" s="5">
        <f t="shared" si="17"/>
        <v>0</v>
      </c>
      <c r="D398" s="5"/>
      <c r="E398" s="6">
        <f t="shared" ref="E398:E461" si="18">SUM(G398,I398,K398,M398)</f>
        <v>0</v>
      </c>
      <c r="F398" s="6">
        <f t="shared" ref="F398:F461" si="19">SUM(H398,J398,L398,N398)</f>
        <v>0</v>
      </c>
      <c r="G398" s="62"/>
      <c r="H398" s="62"/>
      <c r="I398" s="60"/>
      <c r="J398" s="60"/>
      <c r="K398" s="64"/>
      <c r="L398" s="64"/>
      <c r="M398" s="25"/>
      <c r="N398" s="25"/>
    </row>
    <row r="399" spans="1:14">
      <c r="A399" s="3" t="s">
        <v>756</v>
      </c>
      <c r="B399" s="4" t="s">
        <v>757</v>
      </c>
      <c r="C399" s="5">
        <f t="shared" si="17"/>
        <v>0</v>
      </c>
      <c r="D399" s="5"/>
      <c r="E399" s="6">
        <f t="shared" si="18"/>
        <v>0</v>
      </c>
      <c r="F399" s="6">
        <f t="shared" si="19"/>
        <v>0</v>
      </c>
      <c r="G399" s="62"/>
      <c r="H399" s="62"/>
      <c r="I399" s="60"/>
      <c r="J399" s="60"/>
      <c r="K399" s="64"/>
      <c r="L399" s="64"/>
      <c r="M399" s="25"/>
      <c r="N399" s="25"/>
    </row>
    <row r="400" spans="1:14">
      <c r="A400" s="3" t="s">
        <v>758</v>
      </c>
      <c r="B400" s="4" t="s">
        <v>759</v>
      </c>
      <c r="C400" s="5">
        <f t="shared" si="17"/>
        <v>0</v>
      </c>
      <c r="D400" s="5"/>
      <c r="E400" s="6">
        <f t="shared" si="18"/>
        <v>0</v>
      </c>
      <c r="F400" s="6">
        <f t="shared" si="19"/>
        <v>0</v>
      </c>
      <c r="G400" s="62"/>
      <c r="H400" s="62"/>
      <c r="I400" s="60"/>
      <c r="J400" s="60"/>
      <c r="K400" s="64"/>
      <c r="L400" s="64"/>
      <c r="M400" s="25"/>
      <c r="N400" s="25"/>
    </row>
    <row r="401" spans="1:14">
      <c r="A401" s="3" t="s">
        <v>760</v>
      </c>
      <c r="B401" s="4" t="s">
        <v>761</v>
      </c>
      <c r="C401" s="5">
        <f t="shared" si="17"/>
        <v>0</v>
      </c>
      <c r="D401" s="5"/>
      <c r="E401" s="6">
        <f t="shared" si="18"/>
        <v>0</v>
      </c>
      <c r="F401" s="6">
        <f t="shared" si="19"/>
        <v>0</v>
      </c>
      <c r="G401" s="62"/>
      <c r="H401" s="62"/>
      <c r="I401" s="60"/>
      <c r="J401" s="60"/>
      <c r="K401" s="64"/>
      <c r="L401" s="64"/>
      <c r="M401" s="25"/>
      <c r="N401" s="25"/>
    </row>
    <row r="402" spans="1:14">
      <c r="A402" s="3" t="s">
        <v>762</v>
      </c>
      <c r="B402" s="4" t="s">
        <v>763</v>
      </c>
      <c r="C402" s="5">
        <f t="shared" si="17"/>
        <v>0</v>
      </c>
      <c r="D402" s="5"/>
      <c r="E402" s="6">
        <f t="shared" si="18"/>
        <v>0</v>
      </c>
      <c r="F402" s="6">
        <f t="shared" si="19"/>
        <v>0</v>
      </c>
      <c r="G402" s="62"/>
      <c r="H402" s="62"/>
      <c r="I402" s="60"/>
      <c r="J402" s="60"/>
      <c r="K402" s="64"/>
      <c r="L402" s="64"/>
      <c r="M402" s="25"/>
      <c r="N402" s="25"/>
    </row>
    <row r="403" spans="1:14">
      <c r="A403" s="3" t="s">
        <v>764</v>
      </c>
      <c r="B403" s="4" t="s">
        <v>765</v>
      </c>
      <c r="C403" s="5">
        <f t="shared" si="17"/>
        <v>0</v>
      </c>
      <c r="D403" s="5"/>
      <c r="E403" s="6">
        <f t="shared" si="18"/>
        <v>0</v>
      </c>
      <c r="F403" s="6">
        <f t="shared" si="19"/>
        <v>0</v>
      </c>
      <c r="G403" s="62"/>
      <c r="H403" s="62"/>
      <c r="I403" s="60"/>
      <c r="J403" s="60"/>
      <c r="K403" s="64"/>
      <c r="L403" s="64"/>
      <c r="M403" s="25"/>
      <c r="N403" s="25"/>
    </row>
    <row r="404" spans="1:14">
      <c r="A404" s="3" t="s">
        <v>766</v>
      </c>
      <c r="B404" s="4" t="s">
        <v>767</v>
      </c>
      <c r="C404" s="5">
        <f t="shared" si="17"/>
        <v>0</v>
      </c>
      <c r="D404" s="5"/>
      <c r="E404" s="6">
        <f t="shared" si="18"/>
        <v>0</v>
      </c>
      <c r="F404" s="6">
        <f t="shared" si="19"/>
        <v>0</v>
      </c>
      <c r="G404" s="62"/>
      <c r="H404" s="62"/>
      <c r="I404" s="60"/>
      <c r="J404" s="60"/>
      <c r="K404" s="64"/>
      <c r="L404" s="64"/>
      <c r="M404" s="25"/>
      <c r="N404" s="25"/>
    </row>
    <row r="405" spans="1:14">
      <c r="A405" s="3" t="s">
        <v>768</v>
      </c>
      <c r="B405" s="4" t="s">
        <v>769</v>
      </c>
      <c r="C405" s="5">
        <f t="shared" si="17"/>
        <v>0</v>
      </c>
      <c r="D405" s="5"/>
      <c r="E405" s="6">
        <f t="shared" si="18"/>
        <v>0</v>
      </c>
      <c r="F405" s="6">
        <f t="shared" si="19"/>
        <v>0</v>
      </c>
      <c r="G405" s="62"/>
      <c r="H405" s="62"/>
      <c r="I405" s="60"/>
      <c r="J405" s="60"/>
      <c r="K405" s="64"/>
      <c r="L405" s="64"/>
      <c r="M405" s="25"/>
      <c r="N405" s="25"/>
    </row>
    <row r="406" spans="1:14">
      <c r="A406" s="3" t="s">
        <v>770</v>
      </c>
      <c r="B406" s="4" t="s">
        <v>771</v>
      </c>
      <c r="C406" s="5">
        <f t="shared" si="17"/>
        <v>0</v>
      </c>
      <c r="D406" s="5"/>
      <c r="E406" s="6">
        <f t="shared" si="18"/>
        <v>0</v>
      </c>
      <c r="F406" s="6">
        <f t="shared" si="19"/>
        <v>0</v>
      </c>
      <c r="G406" s="62"/>
      <c r="H406" s="62"/>
      <c r="I406" s="60"/>
      <c r="J406" s="60"/>
      <c r="K406" s="64"/>
      <c r="L406" s="64"/>
      <c r="M406" s="25"/>
      <c r="N406" s="25"/>
    </row>
    <row r="407" spans="1:14">
      <c r="A407" s="3" t="s">
        <v>772</v>
      </c>
      <c r="B407" s="4" t="s">
        <v>773</v>
      </c>
      <c r="C407" s="5">
        <f t="shared" si="17"/>
        <v>0</v>
      </c>
      <c r="D407" s="5"/>
      <c r="E407" s="6">
        <f t="shared" si="18"/>
        <v>0</v>
      </c>
      <c r="F407" s="6">
        <f t="shared" si="19"/>
        <v>0</v>
      </c>
      <c r="G407" s="62"/>
      <c r="H407" s="62"/>
      <c r="I407" s="60"/>
      <c r="J407" s="60"/>
      <c r="K407" s="64"/>
      <c r="L407" s="64"/>
      <c r="M407" s="25"/>
      <c r="N407" s="25"/>
    </row>
    <row r="408" spans="1:14">
      <c r="A408" s="3" t="s">
        <v>774</v>
      </c>
      <c r="B408" s="4" t="s">
        <v>775</v>
      </c>
      <c r="C408" s="5">
        <f t="shared" si="17"/>
        <v>0</v>
      </c>
      <c r="D408" s="5"/>
      <c r="E408" s="6">
        <f t="shared" si="18"/>
        <v>0</v>
      </c>
      <c r="F408" s="6">
        <f t="shared" si="19"/>
        <v>0</v>
      </c>
      <c r="G408" s="62"/>
      <c r="H408" s="62"/>
      <c r="I408" s="60"/>
      <c r="J408" s="60"/>
      <c r="K408" s="64"/>
      <c r="L408" s="64"/>
      <c r="M408" s="25"/>
      <c r="N408" s="25"/>
    </row>
    <row r="409" spans="1:14">
      <c r="A409" s="3" t="s">
        <v>776</v>
      </c>
      <c r="B409" s="4" t="s">
        <v>777</v>
      </c>
      <c r="C409" s="5">
        <f t="shared" ref="C409:C461" si="20">E409-F409</f>
        <v>0</v>
      </c>
      <c r="D409" s="5"/>
      <c r="E409" s="6">
        <f t="shared" si="18"/>
        <v>0</v>
      </c>
      <c r="F409" s="6">
        <f t="shared" si="19"/>
        <v>0</v>
      </c>
      <c r="G409" s="62"/>
      <c r="H409" s="62"/>
      <c r="I409" s="60"/>
      <c r="J409" s="60"/>
      <c r="K409" s="64"/>
      <c r="L409" s="64"/>
      <c r="M409" s="25"/>
      <c r="N409" s="25"/>
    </row>
    <row r="410" spans="1:14">
      <c r="A410" s="3" t="s">
        <v>778</v>
      </c>
      <c r="B410" s="4" t="s">
        <v>779</v>
      </c>
      <c r="C410" s="5">
        <f t="shared" si="20"/>
        <v>0</v>
      </c>
      <c r="D410" s="5"/>
      <c r="E410" s="6">
        <f t="shared" si="18"/>
        <v>0</v>
      </c>
      <c r="F410" s="6">
        <f t="shared" si="19"/>
        <v>0</v>
      </c>
      <c r="G410" s="62"/>
      <c r="H410" s="62"/>
      <c r="I410" s="60"/>
      <c r="J410" s="60"/>
      <c r="K410" s="64"/>
      <c r="L410" s="64"/>
      <c r="M410" s="25"/>
      <c r="N410" s="25"/>
    </row>
    <row r="411" spans="1:14">
      <c r="A411" s="3" t="s">
        <v>780</v>
      </c>
      <c r="B411" s="4" t="s">
        <v>781</v>
      </c>
      <c r="C411" s="5">
        <f t="shared" si="20"/>
        <v>0</v>
      </c>
      <c r="D411" s="5"/>
      <c r="E411" s="6">
        <f t="shared" si="18"/>
        <v>0</v>
      </c>
      <c r="F411" s="6">
        <f t="shared" si="19"/>
        <v>0</v>
      </c>
      <c r="G411" s="62"/>
      <c r="H411" s="62"/>
      <c r="I411" s="60"/>
      <c r="J411" s="60"/>
      <c r="K411" s="64"/>
      <c r="L411" s="64"/>
      <c r="M411" s="25"/>
      <c r="N411" s="25"/>
    </row>
    <row r="412" spans="1:14">
      <c r="A412" s="3" t="s">
        <v>782</v>
      </c>
      <c r="B412" s="4" t="s">
        <v>783</v>
      </c>
      <c r="C412" s="5">
        <f t="shared" si="20"/>
        <v>0</v>
      </c>
      <c r="D412" s="5"/>
      <c r="E412" s="6">
        <f t="shared" si="18"/>
        <v>0</v>
      </c>
      <c r="F412" s="6">
        <f t="shared" si="19"/>
        <v>0</v>
      </c>
      <c r="G412" s="62"/>
      <c r="H412" s="62"/>
      <c r="I412" s="60"/>
      <c r="J412" s="60"/>
      <c r="K412" s="64"/>
      <c r="L412" s="64"/>
      <c r="M412" s="25"/>
      <c r="N412" s="25"/>
    </row>
    <row r="413" spans="1:14">
      <c r="A413" s="3" t="s">
        <v>784</v>
      </c>
      <c r="B413" s="4" t="s">
        <v>785</v>
      </c>
      <c r="C413" s="5">
        <f t="shared" si="20"/>
        <v>0</v>
      </c>
      <c r="D413" s="5"/>
      <c r="E413" s="6">
        <f t="shared" si="18"/>
        <v>0</v>
      </c>
      <c r="F413" s="6">
        <f t="shared" si="19"/>
        <v>0</v>
      </c>
      <c r="G413" s="62"/>
      <c r="H413" s="62"/>
      <c r="I413" s="60"/>
      <c r="J413" s="60"/>
      <c r="K413" s="64"/>
      <c r="L413" s="64"/>
      <c r="M413" s="25"/>
      <c r="N413" s="25"/>
    </row>
    <row r="414" spans="1:14">
      <c r="A414" s="3" t="s">
        <v>786</v>
      </c>
      <c r="B414" s="4" t="s">
        <v>787</v>
      </c>
      <c r="C414" s="5">
        <f t="shared" si="20"/>
        <v>0</v>
      </c>
      <c r="D414" s="5"/>
      <c r="E414" s="6">
        <f t="shared" si="18"/>
        <v>0</v>
      </c>
      <c r="F414" s="6">
        <f t="shared" si="19"/>
        <v>0</v>
      </c>
      <c r="G414" s="62"/>
      <c r="H414" s="62"/>
      <c r="I414" s="60"/>
      <c r="J414" s="60"/>
      <c r="K414" s="64"/>
      <c r="L414" s="64"/>
      <c r="M414" s="25"/>
      <c r="N414" s="25"/>
    </row>
    <row r="415" spans="1:14">
      <c r="A415" s="3" t="s">
        <v>788</v>
      </c>
      <c r="B415" s="4" t="s">
        <v>789</v>
      </c>
      <c r="C415" s="5">
        <f t="shared" si="20"/>
        <v>0</v>
      </c>
      <c r="D415" s="5"/>
      <c r="E415" s="6">
        <f t="shared" si="18"/>
        <v>0</v>
      </c>
      <c r="F415" s="6">
        <f t="shared" si="19"/>
        <v>0</v>
      </c>
      <c r="G415" s="62"/>
      <c r="H415" s="62"/>
      <c r="I415" s="60"/>
      <c r="J415" s="60"/>
      <c r="K415" s="64"/>
      <c r="L415" s="64"/>
      <c r="M415" s="25"/>
      <c r="N415" s="25"/>
    </row>
    <row r="416" spans="1:14">
      <c r="A416" s="3" t="s">
        <v>790</v>
      </c>
      <c r="B416" s="4" t="s">
        <v>791</v>
      </c>
      <c r="C416" s="5">
        <f t="shared" si="20"/>
        <v>0</v>
      </c>
      <c r="D416" s="5"/>
      <c r="E416" s="6">
        <f t="shared" si="18"/>
        <v>0</v>
      </c>
      <c r="F416" s="6">
        <f t="shared" si="19"/>
        <v>0</v>
      </c>
      <c r="G416" s="62"/>
      <c r="H416" s="62"/>
      <c r="I416" s="60"/>
      <c r="J416" s="60"/>
      <c r="K416" s="64"/>
      <c r="L416" s="64"/>
      <c r="M416" s="25"/>
      <c r="N416" s="25"/>
    </row>
    <row r="417" spans="1:14">
      <c r="A417" s="3" t="s">
        <v>792</v>
      </c>
      <c r="B417" s="4" t="s">
        <v>793</v>
      </c>
      <c r="C417" s="5">
        <f t="shared" si="20"/>
        <v>0</v>
      </c>
      <c r="D417" s="5"/>
      <c r="E417" s="6">
        <f t="shared" si="18"/>
        <v>0</v>
      </c>
      <c r="F417" s="6">
        <f t="shared" si="19"/>
        <v>0</v>
      </c>
      <c r="G417" s="62"/>
      <c r="H417" s="62"/>
      <c r="I417" s="60"/>
      <c r="J417" s="60"/>
      <c r="K417" s="64"/>
      <c r="L417" s="64"/>
      <c r="M417" s="25"/>
      <c r="N417" s="25"/>
    </row>
    <row r="418" spans="1:14">
      <c r="A418" s="3" t="s">
        <v>794</v>
      </c>
      <c r="B418" s="4" t="s">
        <v>795</v>
      </c>
      <c r="C418" s="5">
        <f t="shared" si="20"/>
        <v>0</v>
      </c>
      <c r="D418" s="5"/>
      <c r="E418" s="6">
        <f t="shared" si="18"/>
        <v>0</v>
      </c>
      <c r="F418" s="6">
        <f t="shared" si="19"/>
        <v>0</v>
      </c>
      <c r="G418" s="62"/>
      <c r="H418" s="62"/>
      <c r="I418" s="60"/>
      <c r="J418" s="60"/>
      <c r="K418" s="64"/>
      <c r="L418" s="64"/>
      <c r="M418" s="25"/>
      <c r="N418" s="25"/>
    </row>
    <row r="419" spans="1:14">
      <c r="A419" s="3" t="s">
        <v>796</v>
      </c>
      <c r="B419" s="4" t="s">
        <v>797</v>
      </c>
      <c r="C419" s="5">
        <f t="shared" si="20"/>
        <v>0</v>
      </c>
      <c r="D419" s="5"/>
      <c r="E419" s="6">
        <f t="shared" si="18"/>
        <v>0</v>
      </c>
      <c r="F419" s="6">
        <f t="shared" si="19"/>
        <v>0</v>
      </c>
      <c r="G419" s="62"/>
      <c r="H419" s="62"/>
      <c r="I419" s="60"/>
      <c r="J419" s="60"/>
      <c r="K419" s="64"/>
      <c r="L419" s="64"/>
      <c r="M419" s="25"/>
      <c r="N419" s="25"/>
    </row>
    <row r="420" spans="1:14">
      <c r="A420" s="3" t="s">
        <v>798</v>
      </c>
      <c r="B420" s="4" t="s">
        <v>799</v>
      </c>
      <c r="C420" s="5">
        <f t="shared" si="20"/>
        <v>0</v>
      </c>
      <c r="D420" s="5"/>
      <c r="E420" s="6">
        <f t="shared" si="18"/>
        <v>0</v>
      </c>
      <c r="F420" s="6">
        <f t="shared" si="19"/>
        <v>0</v>
      </c>
      <c r="G420" s="62"/>
      <c r="H420" s="62"/>
      <c r="I420" s="60"/>
      <c r="J420" s="60"/>
      <c r="K420" s="64"/>
      <c r="L420" s="64"/>
      <c r="M420" s="25"/>
      <c r="N420" s="25"/>
    </row>
    <row r="421" spans="1:14">
      <c r="A421" s="3" t="s">
        <v>800</v>
      </c>
      <c r="B421" s="4" t="s">
        <v>801</v>
      </c>
      <c r="C421" s="5">
        <f t="shared" si="20"/>
        <v>0</v>
      </c>
      <c r="D421" s="5"/>
      <c r="E421" s="6">
        <f t="shared" si="18"/>
        <v>0</v>
      </c>
      <c r="F421" s="6">
        <f t="shared" si="19"/>
        <v>0</v>
      </c>
      <c r="G421" s="62"/>
      <c r="H421" s="62"/>
      <c r="I421" s="60"/>
      <c r="J421" s="60"/>
      <c r="K421" s="64"/>
      <c r="L421" s="64"/>
      <c r="M421" s="25"/>
      <c r="N421" s="25"/>
    </row>
    <row r="422" spans="1:14">
      <c r="A422" s="3" t="s">
        <v>802</v>
      </c>
      <c r="B422" s="4" t="s">
        <v>803</v>
      </c>
      <c r="C422" s="5">
        <f t="shared" si="20"/>
        <v>0</v>
      </c>
      <c r="D422" s="5"/>
      <c r="E422" s="6">
        <f t="shared" si="18"/>
        <v>0</v>
      </c>
      <c r="F422" s="6">
        <f t="shared" si="19"/>
        <v>0</v>
      </c>
      <c r="G422" s="62"/>
      <c r="H422" s="62"/>
      <c r="I422" s="60"/>
      <c r="J422" s="60"/>
      <c r="K422" s="64"/>
      <c r="L422" s="64"/>
      <c r="M422" s="25"/>
      <c r="N422" s="25"/>
    </row>
    <row r="423" spans="1:14">
      <c r="A423" s="3" t="s">
        <v>804</v>
      </c>
      <c r="B423" s="4" t="s">
        <v>805</v>
      </c>
      <c r="C423" s="5">
        <f t="shared" si="20"/>
        <v>0</v>
      </c>
      <c r="D423" s="5"/>
      <c r="E423" s="6">
        <f t="shared" si="18"/>
        <v>0</v>
      </c>
      <c r="F423" s="6">
        <f t="shared" si="19"/>
        <v>0</v>
      </c>
      <c r="G423" s="62"/>
      <c r="H423" s="62"/>
      <c r="I423" s="60"/>
      <c r="J423" s="60"/>
      <c r="K423" s="64"/>
      <c r="L423" s="64"/>
      <c r="M423" s="25"/>
      <c r="N423" s="25"/>
    </row>
    <row r="424" spans="1:14">
      <c r="A424" s="3" t="s">
        <v>806</v>
      </c>
      <c r="B424" s="4" t="s">
        <v>807</v>
      </c>
      <c r="C424" s="5">
        <f t="shared" si="20"/>
        <v>0</v>
      </c>
      <c r="D424" s="5"/>
      <c r="E424" s="6">
        <f t="shared" si="18"/>
        <v>0</v>
      </c>
      <c r="F424" s="6">
        <f t="shared" si="19"/>
        <v>0</v>
      </c>
      <c r="G424" s="62"/>
      <c r="H424" s="62"/>
      <c r="I424" s="60"/>
      <c r="J424" s="60"/>
      <c r="K424" s="64"/>
      <c r="L424" s="64"/>
      <c r="M424" s="25"/>
      <c r="N424" s="25"/>
    </row>
    <row r="425" spans="1:14">
      <c r="A425" s="3" t="s">
        <v>808</v>
      </c>
      <c r="B425" s="4" t="s">
        <v>809</v>
      </c>
      <c r="C425" s="5">
        <f t="shared" si="20"/>
        <v>0</v>
      </c>
      <c r="D425" s="5"/>
      <c r="E425" s="6">
        <f t="shared" si="18"/>
        <v>0</v>
      </c>
      <c r="F425" s="6">
        <f t="shared" si="19"/>
        <v>0</v>
      </c>
      <c r="G425" s="62"/>
      <c r="H425" s="62"/>
      <c r="I425" s="60"/>
      <c r="J425" s="60"/>
      <c r="K425" s="64"/>
      <c r="L425" s="64"/>
      <c r="M425" s="25"/>
      <c r="N425" s="25"/>
    </row>
    <row r="426" spans="1:14">
      <c r="A426" s="3" t="s">
        <v>810</v>
      </c>
      <c r="B426" s="4" t="s">
        <v>811</v>
      </c>
      <c r="C426" s="5">
        <f t="shared" si="20"/>
        <v>0</v>
      </c>
      <c r="D426" s="5"/>
      <c r="E426" s="6">
        <f t="shared" si="18"/>
        <v>0</v>
      </c>
      <c r="F426" s="6">
        <f t="shared" si="19"/>
        <v>0</v>
      </c>
      <c r="G426" s="62"/>
      <c r="H426" s="62"/>
      <c r="I426" s="60"/>
      <c r="J426" s="60"/>
      <c r="K426" s="64"/>
      <c r="L426" s="64"/>
      <c r="M426" s="25"/>
      <c r="N426" s="25"/>
    </row>
    <row r="427" spans="1:14">
      <c r="A427" s="3" t="s">
        <v>812</v>
      </c>
      <c r="B427" s="4" t="s">
        <v>813</v>
      </c>
      <c r="C427" s="5">
        <f t="shared" si="20"/>
        <v>0</v>
      </c>
      <c r="D427" s="5"/>
      <c r="E427" s="6">
        <f t="shared" si="18"/>
        <v>0</v>
      </c>
      <c r="F427" s="6">
        <f t="shared" si="19"/>
        <v>0</v>
      </c>
      <c r="G427" s="62"/>
      <c r="H427" s="62"/>
      <c r="I427" s="60"/>
      <c r="J427" s="60"/>
      <c r="K427" s="64"/>
      <c r="L427" s="64"/>
      <c r="M427" s="25"/>
      <c r="N427" s="25"/>
    </row>
    <row r="428" spans="1:14">
      <c r="A428" s="3" t="s">
        <v>814</v>
      </c>
      <c r="B428" s="4" t="s">
        <v>815</v>
      </c>
      <c r="C428" s="5">
        <f t="shared" si="20"/>
        <v>0</v>
      </c>
      <c r="D428" s="5"/>
      <c r="E428" s="6">
        <f t="shared" si="18"/>
        <v>0</v>
      </c>
      <c r="F428" s="6">
        <f t="shared" si="19"/>
        <v>0</v>
      </c>
      <c r="G428" s="62"/>
      <c r="H428" s="62"/>
      <c r="I428" s="60"/>
      <c r="J428" s="60"/>
      <c r="K428" s="64"/>
      <c r="L428" s="64"/>
      <c r="M428" s="25"/>
      <c r="N428" s="25"/>
    </row>
    <row r="429" spans="1:14">
      <c r="A429" s="3" t="s">
        <v>816</v>
      </c>
      <c r="B429" s="4" t="s">
        <v>817</v>
      </c>
      <c r="C429" s="5">
        <f t="shared" si="20"/>
        <v>0</v>
      </c>
      <c r="D429" s="5"/>
      <c r="E429" s="6">
        <f t="shared" si="18"/>
        <v>0</v>
      </c>
      <c r="F429" s="6">
        <f t="shared" si="19"/>
        <v>0</v>
      </c>
      <c r="G429" s="62"/>
      <c r="H429" s="62"/>
      <c r="I429" s="60"/>
      <c r="J429" s="60"/>
      <c r="K429" s="64"/>
      <c r="L429" s="64"/>
      <c r="M429" s="25"/>
      <c r="N429" s="25"/>
    </row>
    <row r="430" spans="1:14">
      <c r="A430" s="3" t="s">
        <v>818</v>
      </c>
      <c r="B430" s="4" t="s">
        <v>819</v>
      </c>
      <c r="C430" s="5">
        <f t="shared" si="20"/>
        <v>0</v>
      </c>
      <c r="D430" s="5"/>
      <c r="E430" s="6">
        <f t="shared" si="18"/>
        <v>0</v>
      </c>
      <c r="F430" s="6">
        <f t="shared" si="19"/>
        <v>0</v>
      </c>
      <c r="G430" s="62"/>
      <c r="H430" s="62"/>
      <c r="I430" s="60"/>
      <c r="J430" s="60"/>
      <c r="K430" s="64"/>
      <c r="L430" s="64"/>
      <c r="M430" s="25"/>
      <c r="N430" s="25"/>
    </row>
    <row r="431" spans="1:14">
      <c r="A431" s="3" t="s">
        <v>820</v>
      </c>
      <c r="B431" s="4" t="s">
        <v>821</v>
      </c>
      <c r="C431" s="5">
        <f t="shared" si="20"/>
        <v>0</v>
      </c>
      <c r="D431" s="5"/>
      <c r="E431" s="6">
        <f t="shared" si="18"/>
        <v>0</v>
      </c>
      <c r="F431" s="6">
        <f t="shared" si="19"/>
        <v>0</v>
      </c>
      <c r="G431" s="62"/>
      <c r="H431" s="62"/>
      <c r="I431" s="60"/>
      <c r="J431" s="60"/>
      <c r="K431" s="64"/>
      <c r="L431" s="64"/>
      <c r="M431" s="25"/>
      <c r="N431" s="25"/>
    </row>
    <row r="432" spans="1:14">
      <c r="A432" s="3" t="s">
        <v>822</v>
      </c>
      <c r="B432" s="4" t="s">
        <v>823</v>
      </c>
      <c r="C432" s="5">
        <f t="shared" si="20"/>
        <v>0</v>
      </c>
      <c r="D432" s="5"/>
      <c r="E432" s="6">
        <f t="shared" si="18"/>
        <v>0</v>
      </c>
      <c r="F432" s="6">
        <f t="shared" si="19"/>
        <v>0</v>
      </c>
      <c r="G432" s="62"/>
      <c r="H432" s="62"/>
      <c r="I432" s="60"/>
      <c r="J432" s="60"/>
      <c r="K432" s="64"/>
      <c r="L432" s="64"/>
      <c r="M432" s="25"/>
      <c r="N432" s="25"/>
    </row>
    <row r="433" spans="1:14">
      <c r="A433" s="3" t="s">
        <v>824</v>
      </c>
      <c r="B433" s="4" t="s">
        <v>825</v>
      </c>
      <c r="C433" s="5">
        <f t="shared" si="20"/>
        <v>0</v>
      </c>
      <c r="D433" s="5"/>
      <c r="E433" s="6">
        <f t="shared" si="18"/>
        <v>0</v>
      </c>
      <c r="F433" s="6">
        <f t="shared" si="19"/>
        <v>0</v>
      </c>
      <c r="G433" s="62"/>
      <c r="H433" s="62"/>
      <c r="I433" s="60"/>
      <c r="J433" s="60"/>
      <c r="K433" s="64"/>
      <c r="L433" s="64"/>
      <c r="M433" s="25"/>
      <c r="N433" s="25"/>
    </row>
    <row r="434" spans="1:14">
      <c r="A434" s="3" t="s">
        <v>826</v>
      </c>
      <c r="B434" s="4" t="s">
        <v>827</v>
      </c>
      <c r="C434" s="5">
        <f t="shared" si="20"/>
        <v>0</v>
      </c>
      <c r="D434" s="5"/>
      <c r="E434" s="6">
        <f t="shared" si="18"/>
        <v>0</v>
      </c>
      <c r="F434" s="6">
        <f t="shared" si="19"/>
        <v>0</v>
      </c>
      <c r="G434" s="62"/>
      <c r="H434" s="62"/>
      <c r="I434" s="60"/>
      <c r="J434" s="60"/>
      <c r="K434" s="64"/>
      <c r="L434" s="64"/>
      <c r="M434" s="25"/>
      <c r="N434" s="25"/>
    </row>
    <row r="435" spans="1:14">
      <c r="A435" s="3" t="s">
        <v>828</v>
      </c>
      <c r="B435" s="4" t="s">
        <v>829</v>
      </c>
      <c r="C435" s="5">
        <f t="shared" si="20"/>
        <v>0</v>
      </c>
      <c r="D435" s="5"/>
      <c r="E435" s="6">
        <f t="shared" si="18"/>
        <v>0</v>
      </c>
      <c r="F435" s="6">
        <f t="shared" si="19"/>
        <v>0</v>
      </c>
      <c r="G435" s="62"/>
      <c r="H435" s="62"/>
      <c r="I435" s="60"/>
      <c r="J435" s="60"/>
      <c r="K435" s="64"/>
      <c r="L435" s="64"/>
      <c r="M435" s="25"/>
      <c r="N435" s="25"/>
    </row>
    <row r="436" spans="1:14">
      <c r="A436" s="3" t="s">
        <v>830</v>
      </c>
      <c r="B436" s="4" t="s">
        <v>831</v>
      </c>
      <c r="C436" s="5">
        <f t="shared" si="20"/>
        <v>0</v>
      </c>
      <c r="D436" s="5"/>
      <c r="E436" s="6">
        <f t="shared" si="18"/>
        <v>0</v>
      </c>
      <c r="F436" s="6">
        <f t="shared" si="19"/>
        <v>0</v>
      </c>
      <c r="G436" s="62"/>
      <c r="H436" s="62"/>
      <c r="I436" s="60"/>
      <c r="J436" s="60"/>
      <c r="K436" s="64"/>
      <c r="L436" s="64"/>
      <c r="M436" s="25"/>
      <c r="N436" s="25"/>
    </row>
    <row r="437" spans="1:14">
      <c r="A437" s="3" t="s">
        <v>832</v>
      </c>
      <c r="B437" s="4" t="s">
        <v>833</v>
      </c>
      <c r="C437" s="5">
        <f t="shared" si="20"/>
        <v>0</v>
      </c>
      <c r="D437" s="5"/>
      <c r="E437" s="6">
        <f t="shared" si="18"/>
        <v>0</v>
      </c>
      <c r="F437" s="6">
        <f t="shared" si="19"/>
        <v>0</v>
      </c>
      <c r="G437" s="62"/>
      <c r="H437" s="62"/>
      <c r="I437" s="60"/>
      <c r="J437" s="60"/>
      <c r="K437" s="64"/>
      <c r="L437" s="64"/>
      <c r="M437" s="25"/>
      <c r="N437" s="25"/>
    </row>
    <row r="438" spans="1:14">
      <c r="A438" s="3" t="s">
        <v>834</v>
      </c>
      <c r="B438" s="4" t="s">
        <v>835</v>
      </c>
      <c r="C438" s="5">
        <f t="shared" si="20"/>
        <v>0</v>
      </c>
      <c r="D438" s="5"/>
      <c r="E438" s="6">
        <f t="shared" si="18"/>
        <v>0</v>
      </c>
      <c r="F438" s="6">
        <f t="shared" si="19"/>
        <v>0</v>
      </c>
      <c r="G438" s="62"/>
      <c r="H438" s="62"/>
      <c r="I438" s="60"/>
      <c r="J438" s="60"/>
      <c r="K438" s="64"/>
      <c r="L438" s="64"/>
      <c r="M438" s="25"/>
      <c r="N438" s="25"/>
    </row>
    <row r="439" spans="1:14">
      <c r="A439" s="3" t="s">
        <v>836</v>
      </c>
      <c r="B439" s="4" t="s">
        <v>837</v>
      </c>
      <c r="C439" s="5">
        <f t="shared" si="20"/>
        <v>0</v>
      </c>
      <c r="D439" s="5"/>
      <c r="E439" s="6">
        <f t="shared" si="18"/>
        <v>0</v>
      </c>
      <c r="F439" s="6">
        <f t="shared" si="19"/>
        <v>0</v>
      </c>
      <c r="G439" s="62"/>
      <c r="H439" s="62"/>
      <c r="I439" s="60"/>
      <c r="J439" s="60"/>
      <c r="K439" s="64"/>
      <c r="L439" s="64"/>
      <c r="M439" s="25"/>
      <c r="N439" s="25"/>
    </row>
    <row r="440" spans="1:14">
      <c r="A440" s="3" t="s">
        <v>838</v>
      </c>
      <c r="B440" s="4" t="s">
        <v>839</v>
      </c>
      <c r="C440" s="5">
        <f t="shared" si="20"/>
        <v>0</v>
      </c>
      <c r="D440" s="5"/>
      <c r="E440" s="6">
        <f t="shared" si="18"/>
        <v>0</v>
      </c>
      <c r="F440" s="6">
        <f t="shared" si="19"/>
        <v>0</v>
      </c>
      <c r="G440" s="62"/>
      <c r="H440" s="62"/>
      <c r="I440" s="60"/>
      <c r="J440" s="60"/>
      <c r="K440" s="64"/>
      <c r="L440" s="64"/>
      <c r="M440" s="25"/>
      <c r="N440" s="25"/>
    </row>
    <row r="441" spans="1:14">
      <c r="A441" s="3" t="s">
        <v>840</v>
      </c>
      <c r="B441" s="4" t="s">
        <v>841</v>
      </c>
      <c r="C441" s="5">
        <f t="shared" si="20"/>
        <v>0</v>
      </c>
      <c r="D441" s="5"/>
      <c r="E441" s="6">
        <f t="shared" si="18"/>
        <v>0</v>
      </c>
      <c r="F441" s="6">
        <f t="shared" si="19"/>
        <v>0</v>
      </c>
      <c r="G441" s="62"/>
      <c r="H441" s="62"/>
      <c r="I441" s="60"/>
      <c r="J441" s="60"/>
      <c r="K441" s="64"/>
      <c r="L441" s="64"/>
      <c r="M441" s="25"/>
      <c r="N441" s="25"/>
    </row>
    <row r="442" spans="1:14">
      <c r="A442" s="3" t="s">
        <v>842</v>
      </c>
      <c r="B442" s="4" t="s">
        <v>843</v>
      </c>
      <c r="C442" s="5">
        <f t="shared" si="20"/>
        <v>0</v>
      </c>
      <c r="D442" s="5"/>
      <c r="E442" s="6">
        <f t="shared" si="18"/>
        <v>0</v>
      </c>
      <c r="F442" s="6">
        <f t="shared" si="19"/>
        <v>0</v>
      </c>
      <c r="G442" s="62"/>
      <c r="H442" s="62"/>
      <c r="I442" s="60"/>
      <c r="J442" s="60"/>
      <c r="K442" s="64"/>
      <c r="L442" s="64"/>
      <c r="M442" s="25"/>
      <c r="N442" s="25"/>
    </row>
    <row r="443" spans="1:14">
      <c r="A443" s="3" t="s">
        <v>844</v>
      </c>
      <c r="B443" s="4" t="s">
        <v>845</v>
      </c>
      <c r="C443" s="5">
        <f t="shared" si="20"/>
        <v>0</v>
      </c>
      <c r="D443" s="5"/>
      <c r="E443" s="6">
        <f t="shared" si="18"/>
        <v>0</v>
      </c>
      <c r="F443" s="6">
        <f t="shared" si="19"/>
        <v>0</v>
      </c>
      <c r="G443" s="62"/>
      <c r="H443" s="62"/>
      <c r="I443" s="60"/>
      <c r="J443" s="60"/>
      <c r="K443" s="64"/>
      <c r="L443" s="64"/>
      <c r="M443" s="25"/>
      <c r="N443" s="25"/>
    </row>
    <row r="444" spans="1:14">
      <c r="A444" s="3" t="s">
        <v>846</v>
      </c>
      <c r="B444" s="4" t="s">
        <v>847</v>
      </c>
      <c r="C444" s="5">
        <f t="shared" si="20"/>
        <v>0</v>
      </c>
      <c r="D444" s="5"/>
      <c r="E444" s="6">
        <f t="shared" si="18"/>
        <v>0</v>
      </c>
      <c r="F444" s="6">
        <f t="shared" si="19"/>
        <v>0</v>
      </c>
      <c r="G444" s="62"/>
      <c r="H444" s="62"/>
      <c r="I444" s="60"/>
      <c r="J444" s="60"/>
      <c r="K444" s="64"/>
      <c r="L444" s="64"/>
      <c r="M444" s="25"/>
      <c r="N444" s="25"/>
    </row>
    <row r="445" spans="1:14">
      <c r="A445" s="3" t="s">
        <v>848</v>
      </c>
      <c r="B445" s="4" t="s">
        <v>849</v>
      </c>
      <c r="C445" s="5">
        <f t="shared" si="20"/>
        <v>0</v>
      </c>
      <c r="D445" s="5"/>
      <c r="E445" s="6">
        <f t="shared" si="18"/>
        <v>0</v>
      </c>
      <c r="F445" s="6">
        <f t="shared" si="19"/>
        <v>0</v>
      </c>
      <c r="G445" s="62"/>
      <c r="H445" s="62"/>
      <c r="I445" s="60"/>
      <c r="J445" s="60"/>
      <c r="K445" s="64"/>
      <c r="L445" s="64"/>
      <c r="M445" s="25"/>
      <c r="N445" s="25"/>
    </row>
    <row r="446" spans="1:14">
      <c r="A446" s="3" t="s">
        <v>850</v>
      </c>
      <c r="B446" s="4" t="s">
        <v>851</v>
      </c>
      <c r="C446" s="5">
        <f t="shared" si="20"/>
        <v>0</v>
      </c>
      <c r="D446" s="5"/>
      <c r="E446" s="6">
        <f t="shared" si="18"/>
        <v>0</v>
      </c>
      <c r="F446" s="6">
        <f t="shared" si="19"/>
        <v>0</v>
      </c>
      <c r="G446" s="62"/>
      <c r="H446" s="62"/>
      <c r="I446" s="60"/>
      <c r="J446" s="60"/>
      <c r="K446" s="64"/>
      <c r="L446" s="64"/>
      <c r="M446" s="25"/>
      <c r="N446" s="25"/>
    </row>
    <row r="447" spans="1:14">
      <c r="A447" s="3" t="s">
        <v>852</v>
      </c>
      <c r="B447" s="4" t="s">
        <v>853</v>
      </c>
      <c r="C447" s="5">
        <f t="shared" si="20"/>
        <v>0</v>
      </c>
      <c r="D447" s="5"/>
      <c r="E447" s="6">
        <f t="shared" si="18"/>
        <v>0</v>
      </c>
      <c r="F447" s="6">
        <f t="shared" si="19"/>
        <v>0</v>
      </c>
      <c r="G447" s="62"/>
      <c r="H447" s="62"/>
      <c r="I447" s="60"/>
      <c r="J447" s="60"/>
      <c r="K447" s="64"/>
      <c r="L447" s="64"/>
      <c r="M447" s="25"/>
      <c r="N447" s="25"/>
    </row>
    <row r="448" spans="1:14">
      <c r="A448" s="3" t="s">
        <v>854</v>
      </c>
      <c r="B448" s="4">
        <v>954</v>
      </c>
      <c r="C448" s="5">
        <f t="shared" si="20"/>
        <v>0</v>
      </c>
      <c r="D448" s="5"/>
      <c r="E448" s="6">
        <f t="shared" si="18"/>
        <v>0</v>
      </c>
      <c r="F448" s="6">
        <f t="shared" si="19"/>
        <v>0</v>
      </c>
      <c r="G448" s="62"/>
      <c r="H448" s="62"/>
      <c r="I448" s="60"/>
      <c r="J448" s="60"/>
      <c r="K448" s="64"/>
      <c r="L448" s="64"/>
      <c r="M448" s="25"/>
      <c r="N448" s="25"/>
    </row>
    <row r="449" spans="1:14">
      <c r="A449" s="3" t="s">
        <v>855</v>
      </c>
      <c r="B449" s="4">
        <v>955</v>
      </c>
      <c r="C449" s="5">
        <f t="shared" si="20"/>
        <v>0</v>
      </c>
      <c r="D449" s="5"/>
      <c r="E449" s="6">
        <f t="shared" si="18"/>
        <v>0</v>
      </c>
      <c r="F449" s="6">
        <f t="shared" si="19"/>
        <v>0</v>
      </c>
      <c r="G449" s="62"/>
      <c r="H449" s="62"/>
      <c r="I449" s="60"/>
      <c r="J449" s="60"/>
      <c r="K449" s="64"/>
      <c r="L449" s="64"/>
      <c r="M449" s="25"/>
      <c r="N449" s="25"/>
    </row>
    <row r="450" spans="1:14">
      <c r="A450" s="3" t="s">
        <v>856</v>
      </c>
      <c r="B450" s="4" t="s">
        <v>857</v>
      </c>
      <c r="C450" s="5">
        <f t="shared" si="20"/>
        <v>0</v>
      </c>
      <c r="D450" s="5"/>
      <c r="E450" s="6">
        <f t="shared" si="18"/>
        <v>0</v>
      </c>
      <c r="F450" s="6">
        <f t="shared" si="19"/>
        <v>0</v>
      </c>
      <c r="G450" s="62"/>
      <c r="H450" s="62"/>
      <c r="I450" s="60"/>
      <c r="J450" s="60"/>
      <c r="K450" s="64"/>
      <c r="L450" s="64"/>
      <c r="M450" s="25"/>
      <c r="N450" s="25"/>
    </row>
    <row r="451" spans="1:14">
      <c r="A451" s="3" t="s">
        <v>858</v>
      </c>
      <c r="B451" s="4" t="s">
        <v>859</v>
      </c>
      <c r="C451" s="5">
        <f t="shared" si="20"/>
        <v>0</v>
      </c>
      <c r="D451" s="5"/>
      <c r="E451" s="6">
        <f t="shared" si="18"/>
        <v>0</v>
      </c>
      <c r="F451" s="6">
        <f t="shared" si="19"/>
        <v>0</v>
      </c>
      <c r="G451" s="62"/>
      <c r="H451" s="62"/>
      <c r="I451" s="60"/>
      <c r="J451" s="60"/>
      <c r="K451" s="64"/>
      <c r="L451" s="64"/>
      <c r="M451" s="25"/>
      <c r="N451" s="25"/>
    </row>
    <row r="452" spans="1:14">
      <c r="A452" s="3" t="s">
        <v>860</v>
      </c>
      <c r="B452" s="4" t="s">
        <v>861</v>
      </c>
      <c r="C452" s="5">
        <f t="shared" si="20"/>
        <v>0</v>
      </c>
      <c r="D452" s="5"/>
      <c r="E452" s="6">
        <f t="shared" si="18"/>
        <v>0</v>
      </c>
      <c r="F452" s="6">
        <f t="shared" si="19"/>
        <v>0</v>
      </c>
      <c r="G452" s="62"/>
      <c r="H452" s="62"/>
      <c r="I452" s="60"/>
      <c r="J452" s="60"/>
      <c r="K452" s="64"/>
      <c r="L452" s="64"/>
      <c r="M452" s="25"/>
      <c r="N452" s="25"/>
    </row>
    <row r="453" spans="1:14">
      <c r="A453" s="3" t="s">
        <v>862</v>
      </c>
      <c r="B453" s="4" t="s">
        <v>863</v>
      </c>
      <c r="C453" s="5">
        <f t="shared" si="20"/>
        <v>0</v>
      </c>
      <c r="D453" s="5"/>
      <c r="E453" s="6">
        <f t="shared" si="18"/>
        <v>0</v>
      </c>
      <c r="F453" s="6">
        <f t="shared" si="19"/>
        <v>0</v>
      </c>
      <c r="G453" s="62"/>
      <c r="H453" s="62"/>
      <c r="I453" s="60"/>
      <c r="J453" s="60"/>
      <c r="K453" s="64"/>
      <c r="L453" s="64"/>
      <c r="M453" s="25"/>
      <c r="N453" s="25"/>
    </row>
    <row r="454" spans="1:14">
      <c r="A454" s="3" t="s">
        <v>864</v>
      </c>
      <c r="B454" s="4" t="s">
        <v>865</v>
      </c>
      <c r="C454" s="5">
        <f t="shared" si="20"/>
        <v>0</v>
      </c>
      <c r="D454" s="5"/>
      <c r="E454" s="6">
        <f t="shared" si="18"/>
        <v>0</v>
      </c>
      <c r="F454" s="6">
        <f t="shared" si="19"/>
        <v>0</v>
      </c>
      <c r="G454" s="62"/>
      <c r="H454" s="62"/>
      <c r="I454" s="60"/>
      <c r="J454" s="60"/>
      <c r="K454" s="64"/>
      <c r="L454" s="64"/>
      <c r="M454" s="25"/>
      <c r="N454" s="25"/>
    </row>
    <row r="455" spans="1:14">
      <c r="A455" s="3" t="s">
        <v>866</v>
      </c>
      <c r="B455" s="4" t="s">
        <v>867</v>
      </c>
      <c r="C455" s="5">
        <f t="shared" si="20"/>
        <v>0</v>
      </c>
      <c r="D455" s="5"/>
      <c r="E455" s="6">
        <f t="shared" si="18"/>
        <v>0</v>
      </c>
      <c r="F455" s="6">
        <f t="shared" si="19"/>
        <v>0</v>
      </c>
      <c r="G455" s="62"/>
      <c r="H455" s="62"/>
      <c r="I455" s="60"/>
      <c r="J455" s="60"/>
      <c r="K455" s="64"/>
      <c r="L455" s="64"/>
      <c r="M455" s="25"/>
      <c r="N455" s="25"/>
    </row>
    <row r="456" spans="1:14">
      <c r="A456" s="3" t="s">
        <v>868</v>
      </c>
      <c r="B456" s="4" t="s">
        <v>869</v>
      </c>
      <c r="C456" s="5">
        <f t="shared" si="20"/>
        <v>0</v>
      </c>
      <c r="D456" s="5"/>
      <c r="E456" s="6">
        <f t="shared" si="18"/>
        <v>0</v>
      </c>
      <c r="F456" s="6">
        <f t="shared" si="19"/>
        <v>0</v>
      </c>
      <c r="G456" s="62"/>
      <c r="H456" s="62"/>
      <c r="I456" s="60"/>
      <c r="J456" s="60"/>
      <c r="K456" s="64"/>
      <c r="L456" s="64"/>
      <c r="M456" s="25"/>
      <c r="N456" s="25"/>
    </row>
    <row r="457" spans="1:14">
      <c r="A457" s="3" t="s">
        <v>870</v>
      </c>
      <c r="B457" s="4" t="s">
        <v>871</v>
      </c>
      <c r="C457" s="5">
        <f t="shared" si="20"/>
        <v>0</v>
      </c>
      <c r="D457" s="5"/>
      <c r="E457" s="6">
        <f t="shared" si="18"/>
        <v>0</v>
      </c>
      <c r="F457" s="6">
        <f t="shared" si="19"/>
        <v>0</v>
      </c>
      <c r="G457" s="62"/>
      <c r="H457" s="62"/>
      <c r="I457" s="60"/>
      <c r="J457" s="60"/>
      <c r="K457" s="64"/>
      <c r="L457" s="64"/>
      <c r="M457" s="25"/>
      <c r="N457" s="25"/>
    </row>
    <row r="458" spans="1:14">
      <c r="A458" s="3" t="s">
        <v>872</v>
      </c>
      <c r="B458" s="4" t="s">
        <v>873</v>
      </c>
      <c r="C458" s="5">
        <f t="shared" si="20"/>
        <v>0</v>
      </c>
      <c r="D458" s="5"/>
      <c r="E458" s="6">
        <f t="shared" si="18"/>
        <v>0</v>
      </c>
      <c r="F458" s="6">
        <f t="shared" si="19"/>
        <v>0</v>
      </c>
      <c r="G458" s="62"/>
      <c r="H458" s="62"/>
      <c r="I458" s="60"/>
      <c r="J458" s="60"/>
      <c r="K458" s="64"/>
      <c r="L458" s="64"/>
      <c r="M458" s="25"/>
      <c r="N458" s="25"/>
    </row>
    <row r="459" spans="1:14" s="67" customFormat="1" ht="15">
      <c r="A459" s="3" t="s">
        <v>874</v>
      </c>
      <c r="B459" s="4" t="s">
        <v>875</v>
      </c>
      <c r="C459" s="5">
        <f t="shared" si="20"/>
        <v>0</v>
      </c>
      <c r="D459" s="5"/>
      <c r="E459" s="6">
        <f t="shared" si="18"/>
        <v>0</v>
      </c>
      <c r="F459" s="6">
        <f t="shared" si="19"/>
        <v>0</v>
      </c>
      <c r="G459" s="62"/>
      <c r="H459" s="62"/>
      <c r="I459" s="60"/>
      <c r="J459" s="60"/>
      <c r="K459" s="64"/>
      <c r="L459" s="64"/>
      <c r="M459" s="25"/>
      <c r="N459" s="25"/>
    </row>
    <row r="460" spans="1:14">
      <c r="A460" s="3" t="s">
        <v>876</v>
      </c>
      <c r="B460" s="4" t="s">
        <v>877</v>
      </c>
      <c r="C460" s="5">
        <f t="shared" si="20"/>
        <v>0</v>
      </c>
      <c r="D460" s="5"/>
      <c r="E460" s="6">
        <f t="shared" si="18"/>
        <v>0</v>
      </c>
      <c r="F460" s="6">
        <f t="shared" si="19"/>
        <v>0</v>
      </c>
      <c r="G460" s="62"/>
      <c r="H460" s="62"/>
      <c r="I460" s="60"/>
      <c r="J460" s="60"/>
      <c r="K460" s="64"/>
      <c r="L460" s="64"/>
      <c r="M460" s="25"/>
      <c r="N460" s="25"/>
    </row>
    <row r="461" spans="1:14" s="1" customFormat="1">
      <c r="A461" s="3" t="s">
        <v>878</v>
      </c>
      <c r="B461" s="4" t="s">
        <v>879</v>
      </c>
      <c r="C461" s="5">
        <f t="shared" si="20"/>
        <v>0</v>
      </c>
      <c r="D461" s="5"/>
      <c r="E461" s="6">
        <f t="shared" si="18"/>
        <v>0</v>
      </c>
      <c r="F461" s="6">
        <f t="shared" si="19"/>
        <v>0</v>
      </c>
      <c r="G461" s="62"/>
      <c r="H461" s="62"/>
      <c r="I461" s="60"/>
      <c r="J461" s="60"/>
      <c r="K461" s="64"/>
      <c r="L461" s="64"/>
      <c r="M461" s="25"/>
      <c r="N461" s="25"/>
    </row>
    <row r="462" spans="1:14" ht="17.25">
      <c r="A462" s="13" t="s">
        <v>880</v>
      </c>
      <c r="B462" s="14"/>
      <c r="C462" s="15">
        <f>SUM(C13:C461)</f>
        <v>0</v>
      </c>
      <c r="D462" s="15">
        <f>SUM(D13:D461)</f>
        <v>0</v>
      </c>
      <c r="E462" s="16">
        <f>SUM(E13:E461)</f>
        <v>0</v>
      </c>
      <c r="F462" s="16">
        <f>SUM(F13:F461)</f>
        <v>0</v>
      </c>
      <c r="G462" s="71">
        <f>SUM(G13:G461)</f>
        <v>0</v>
      </c>
      <c r="H462" s="71">
        <f t="shared" ref="H462:N462" si="21">SUM(H13:H461)</f>
        <v>0</v>
      </c>
      <c r="I462" s="72">
        <f t="shared" si="21"/>
        <v>0</v>
      </c>
      <c r="J462" s="72">
        <f t="shared" si="21"/>
        <v>0</v>
      </c>
      <c r="K462" s="73">
        <f t="shared" si="21"/>
        <v>0</v>
      </c>
      <c r="L462" s="73">
        <f t="shared" si="21"/>
        <v>0</v>
      </c>
      <c r="M462" s="74">
        <f t="shared" si="21"/>
        <v>0</v>
      </c>
      <c r="N462" s="74">
        <f t="shared" si="21"/>
        <v>0</v>
      </c>
    </row>
    <row r="463" spans="1:14" hidden="1">
      <c r="A463" s="17" t="s">
        <v>881</v>
      </c>
      <c r="B463" s="18"/>
    </row>
    <row r="464" spans="1:14" hidden="1">
      <c r="A464" s="20" t="s">
        <v>882</v>
      </c>
      <c r="B464" s="21"/>
    </row>
    <row r="465" spans="1:14" hidden="1">
      <c r="A465" s="20" t="s">
        <v>883</v>
      </c>
      <c r="B465" s="21"/>
    </row>
    <row r="466" spans="1:14" hidden="1">
      <c r="A466" s="22" t="s">
        <v>884</v>
      </c>
      <c r="B466" s="21"/>
    </row>
    <row r="467" spans="1:14" hidden="1">
      <c r="A467" s="22" t="s">
        <v>885</v>
      </c>
      <c r="B467" s="21"/>
    </row>
    <row r="468" spans="1:14" hidden="1">
      <c r="A468" s="20" t="s">
        <v>886</v>
      </c>
      <c r="B468" s="21"/>
    </row>
    <row r="469" spans="1:14" hidden="1">
      <c r="A469" s="20" t="s">
        <v>887</v>
      </c>
      <c r="B469" s="21"/>
    </row>
    <row r="470" spans="1:14" hidden="1">
      <c r="A470" s="20" t="s">
        <v>888</v>
      </c>
      <c r="B470" s="21"/>
    </row>
    <row r="471" spans="1:14" hidden="1">
      <c r="A471" s="22" t="s">
        <v>889</v>
      </c>
      <c r="B471" s="21"/>
    </row>
    <row r="472" spans="1:14" hidden="1">
      <c r="A472" s="22" t="s">
        <v>890</v>
      </c>
      <c r="B472" s="21"/>
    </row>
    <row r="473" spans="1:14" hidden="1">
      <c r="A473" s="20" t="s">
        <v>891</v>
      </c>
      <c r="B473" s="21"/>
    </row>
    <row r="474" spans="1:14" hidden="1">
      <c r="A474" s="20" t="s">
        <v>892</v>
      </c>
      <c r="B474" s="21"/>
    </row>
    <row r="475" spans="1:14">
      <c r="A475" s="23"/>
      <c r="B475" s="24"/>
      <c r="D475" s="19">
        <f>D462-C462</f>
        <v>0</v>
      </c>
      <c r="F475" s="19">
        <f>F462-E462</f>
        <v>0</v>
      </c>
      <c r="H475" s="19">
        <f>H462-G462</f>
        <v>0</v>
      </c>
      <c r="J475" s="19">
        <f>J462-I462</f>
        <v>0</v>
      </c>
      <c r="L475" s="19">
        <f>L462-K462</f>
        <v>0</v>
      </c>
      <c r="N475" s="19">
        <f>N462-M462</f>
        <v>0</v>
      </c>
    </row>
    <row r="476" spans="1:14">
      <c r="A476" s="23"/>
      <c r="B476" s="24"/>
    </row>
    <row r="477" spans="1:14">
      <c r="A477" s="23"/>
      <c r="B477" s="24"/>
    </row>
    <row r="478" spans="1:14">
      <c r="A478" s="23"/>
      <c r="B478" s="75" t="s">
        <v>893</v>
      </c>
    </row>
    <row r="479" spans="1:14">
      <c r="A479" s="23"/>
      <c r="B479" s="24"/>
    </row>
    <row r="480" spans="1:14">
      <c r="A480" s="23"/>
      <c r="B480" s="24"/>
    </row>
    <row r="481" spans="1:2">
      <c r="A481" s="23"/>
      <c r="B481" s="24"/>
    </row>
    <row r="482" spans="1:2">
      <c r="A482" s="23"/>
      <c r="B482" s="24"/>
    </row>
    <row r="483" spans="1:2">
      <c r="A483" s="23"/>
      <c r="B483" s="24"/>
    </row>
  </sheetData>
  <mergeCells count="28">
    <mergeCell ref="M9:N10"/>
    <mergeCell ref="N11:N12"/>
    <mergeCell ref="M11:M12"/>
    <mergeCell ref="E9:F10"/>
    <mergeCell ref="I9:J10"/>
    <mergeCell ref="I11:I12"/>
    <mergeCell ref="J11:J12"/>
    <mergeCell ref="K9:L10"/>
    <mergeCell ref="L11:L12"/>
    <mergeCell ref="K11:K12"/>
    <mergeCell ref="G9:H10"/>
    <mergeCell ref="G11:G12"/>
    <mergeCell ref="H11:H12"/>
    <mergeCell ref="F11:F12"/>
    <mergeCell ref="A11:A12"/>
    <mergeCell ref="B11:B12"/>
    <mergeCell ref="C11:C12"/>
    <mergeCell ref="D11:D12"/>
    <mergeCell ref="E11:E12"/>
    <mergeCell ref="A7:D7"/>
    <mergeCell ref="A8:D8"/>
    <mergeCell ref="C10:D10"/>
    <mergeCell ref="A1:D1"/>
    <mergeCell ref="A2:D2"/>
    <mergeCell ref="A3:D3"/>
    <mergeCell ref="A4:D4"/>
    <mergeCell ref="A5:D5"/>
    <mergeCell ref="A6:D6"/>
  </mergeCells>
  <printOptions horizontalCentered="1"/>
  <pageMargins left="1" right="1" top="1" bottom="1" header="0.5" footer="0.5"/>
  <pageSetup paperSize="149" scale="8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50"/>
  </sheetPr>
  <dimension ref="A1:N483"/>
  <sheetViews>
    <sheetView workbookViewId="0">
      <selection sqref="A1:D1"/>
    </sheetView>
  </sheetViews>
  <sheetFormatPr defaultRowHeight="14.25"/>
  <cols>
    <col min="1" max="1" width="49.7109375" style="19" customWidth="1"/>
    <col min="2" max="2" width="9.7109375" style="69" customWidth="1"/>
    <col min="3" max="6" width="18.7109375" style="19" customWidth="1"/>
    <col min="7" max="7" width="20" style="19" customWidth="1"/>
    <col min="8" max="8" width="18.7109375" style="19" customWidth="1"/>
    <col min="9" max="9" width="20.28515625" style="19" bestFit="1" customWidth="1"/>
    <col min="10" max="10" width="18.7109375" style="19" customWidth="1"/>
    <col min="11" max="11" width="20" style="19" customWidth="1"/>
    <col min="12" max="12" width="18.7109375" style="19" customWidth="1"/>
    <col min="13" max="13" width="20.28515625" style="19" bestFit="1" customWidth="1"/>
    <col min="14" max="14" width="18.7109375" style="19" customWidth="1"/>
    <col min="15" max="16384" width="9.140625" style="19"/>
  </cols>
  <sheetData>
    <row r="1" spans="1:14">
      <c r="A1" s="238" t="s">
        <v>0</v>
      </c>
      <c r="B1" s="238"/>
      <c r="C1" s="238"/>
      <c r="D1" s="238"/>
    </row>
    <row r="2" spans="1:14">
      <c r="A2" s="238" t="s">
        <v>1</v>
      </c>
      <c r="B2" s="238"/>
      <c r="C2" s="238"/>
      <c r="D2" s="238"/>
    </row>
    <row r="3" spans="1:14">
      <c r="A3" s="238" t="s">
        <v>2</v>
      </c>
      <c r="B3" s="238"/>
      <c r="C3" s="238"/>
      <c r="D3" s="238"/>
    </row>
    <row r="4" spans="1:14">
      <c r="A4" s="238"/>
      <c r="B4" s="238"/>
      <c r="C4" s="238"/>
      <c r="D4" s="238"/>
    </row>
    <row r="5" spans="1:14" ht="15">
      <c r="A5" s="238" t="s">
        <v>3</v>
      </c>
      <c r="B5" s="239"/>
      <c r="C5" s="238"/>
      <c r="D5" s="238"/>
    </row>
    <row r="6" spans="1:14" ht="15">
      <c r="A6" s="238" t="s">
        <v>4</v>
      </c>
      <c r="B6" s="239"/>
      <c r="C6" s="238"/>
      <c r="D6" s="238"/>
    </row>
    <row r="7" spans="1:14">
      <c r="A7" s="238" t="s">
        <v>1004</v>
      </c>
      <c r="B7" s="240"/>
      <c r="C7" s="238"/>
      <c r="D7" s="238"/>
    </row>
    <row r="8" spans="1:14">
      <c r="A8" s="238"/>
      <c r="B8" s="240"/>
      <c r="C8" s="238"/>
      <c r="D8" s="238"/>
    </row>
    <row r="9" spans="1:14" s="67" customFormat="1" ht="15">
      <c r="A9" s="66"/>
      <c r="B9" s="66"/>
      <c r="E9" s="250" t="str">
        <f>A7</f>
        <v>As of  March 31, 2011</v>
      </c>
      <c r="F9" s="251"/>
      <c r="G9" s="261" t="s">
        <v>10</v>
      </c>
      <c r="H9" s="262"/>
      <c r="I9" s="254" t="s">
        <v>1009</v>
      </c>
      <c r="J9" s="255"/>
      <c r="K9" s="265" t="s">
        <v>1010</v>
      </c>
      <c r="L9" s="265"/>
      <c r="M9" s="267" t="s">
        <v>11</v>
      </c>
      <c r="N9" s="267"/>
    </row>
    <row r="10" spans="1:14" ht="14.25" customHeight="1">
      <c r="A10" s="68"/>
      <c r="C10" s="241"/>
      <c r="D10" s="242"/>
      <c r="E10" s="252"/>
      <c r="F10" s="253"/>
      <c r="G10" s="263"/>
      <c r="H10" s="264"/>
      <c r="I10" s="256"/>
      <c r="J10" s="257"/>
      <c r="K10" s="265"/>
      <c r="L10" s="265"/>
      <c r="M10" s="267"/>
      <c r="N10" s="267"/>
    </row>
    <row r="11" spans="1:14" ht="15" customHeight="1">
      <c r="A11" s="243" t="s">
        <v>6</v>
      </c>
      <c r="B11" s="245" t="s">
        <v>7</v>
      </c>
      <c r="C11" s="243" t="s">
        <v>8</v>
      </c>
      <c r="D11" s="243" t="s">
        <v>9</v>
      </c>
      <c r="E11" s="247" t="s">
        <v>8</v>
      </c>
      <c r="F11" s="259" t="s">
        <v>9</v>
      </c>
      <c r="G11" s="249" t="s">
        <v>8</v>
      </c>
      <c r="H11" s="249" t="s">
        <v>9</v>
      </c>
      <c r="I11" s="258" t="s">
        <v>8</v>
      </c>
      <c r="J11" s="258" t="s">
        <v>9</v>
      </c>
      <c r="K11" s="266" t="s">
        <v>8</v>
      </c>
      <c r="L11" s="266" t="s">
        <v>9</v>
      </c>
      <c r="M11" s="268" t="s">
        <v>8</v>
      </c>
      <c r="N11" s="268" t="s">
        <v>9</v>
      </c>
    </row>
    <row r="12" spans="1:14">
      <c r="A12" s="244"/>
      <c r="B12" s="246"/>
      <c r="C12" s="244"/>
      <c r="D12" s="244"/>
      <c r="E12" s="248"/>
      <c r="F12" s="260"/>
      <c r="G12" s="249"/>
      <c r="H12" s="249"/>
      <c r="I12" s="258"/>
      <c r="J12" s="258"/>
      <c r="K12" s="266"/>
      <c r="L12" s="266"/>
      <c r="M12" s="268"/>
      <c r="N12" s="268"/>
    </row>
    <row r="13" spans="1:14">
      <c r="A13" s="3" t="s">
        <v>12</v>
      </c>
      <c r="B13" s="4">
        <v>101</v>
      </c>
      <c r="C13" s="5">
        <f>E13-F13</f>
        <v>0</v>
      </c>
      <c r="D13" s="5"/>
      <c r="E13" s="6">
        <f>SUM(G13,I13,K13,M13)</f>
        <v>0</v>
      </c>
      <c r="F13" s="6">
        <f>SUM(H13,J13,L13,N13)</f>
        <v>0</v>
      </c>
      <c r="G13" s="62"/>
      <c r="H13" s="62"/>
      <c r="I13" s="60"/>
      <c r="J13" s="60"/>
      <c r="K13" s="64"/>
      <c r="L13" s="64"/>
      <c r="M13" s="25"/>
      <c r="N13" s="25"/>
    </row>
    <row r="14" spans="1:14">
      <c r="A14" s="3" t="s">
        <v>13</v>
      </c>
      <c r="B14" s="4" t="s">
        <v>14</v>
      </c>
      <c r="C14" s="5">
        <f>E14-F14</f>
        <v>0</v>
      </c>
      <c r="D14" s="5"/>
      <c r="E14" s="6">
        <f t="shared" ref="E14:E77" si="0">SUM(G14,I14,K14,M14)</f>
        <v>0</v>
      </c>
      <c r="F14" s="6">
        <f t="shared" ref="F14:F77" si="1">SUM(H14,J14,L14,N14)</f>
        <v>0</v>
      </c>
      <c r="G14" s="62"/>
      <c r="H14" s="62"/>
      <c r="I14" s="60"/>
      <c r="J14" s="60"/>
      <c r="K14" s="64"/>
      <c r="L14" s="64"/>
      <c r="M14" s="25"/>
      <c r="N14" s="25"/>
    </row>
    <row r="15" spans="1:14">
      <c r="A15" s="3" t="s">
        <v>15</v>
      </c>
      <c r="B15" s="4" t="s">
        <v>16</v>
      </c>
      <c r="C15" s="5">
        <f>E15-F15</f>
        <v>0</v>
      </c>
      <c r="D15" s="5"/>
      <c r="E15" s="6">
        <f t="shared" si="0"/>
        <v>0</v>
      </c>
      <c r="F15" s="6">
        <f t="shared" si="1"/>
        <v>0</v>
      </c>
      <c r="G15" s="63"/>
      <c r="H15" s="63"/>
      <c r="I15" s="61"/>
      <c r="J15" s="61"/>
      <c r="K15" s="65"/>
      <c r="L15" s="65"/>
      <c r="M15" s="26"/>
      <c r="N15" s="26"/>
    </row>
    <row r="16" spans="1:14">
      <c r="A16" s="3" t="s">
        <v>17</v>
      </c>
      <c r="B16" s="4" t="s">
        <v>18</v>
      </c>
      <c r="C16" s="5">
        <f>E16-F16</f>
        <v>0</v>
      </c>
      <c r="D16" s="5"/>
      <c r="E16" s="6">
        <f t="shared" si="0"/>
        <v>0</v>
      </c>
      <c r="F16" s="6">
        <f t="shared" si="1"/>
        <v>0</v>
      </c>
      <c r="G16" s="62"/>
      <c r="H16" s="62"/>
      <c r="I16" s="60"/>
      <c r="J16" s="60"/>
      <c r="K16" s="64"/>
      <c r="L16" s="64"/>
      <c r="M16" s="25"/>
      <c r="N16" s="25"/>
    </row>
    <row r="17" spans="1:14">
      <c r="A17" s="3" t="s">
        <v>19</v>
      </c>
      <c r="B17" s="4" t="s">
        <v>20</v>
      </c>
      <c r="C17" s="7">
        <f>E17-F17</f>
        <v>0</v>
      </c>
      <c r="D17" s="7"/>
      <c r="E17" s="6">
        <f t="shared" si="0"/>
        <v>0</v>
      </c>
      <c r="F17" s="6">
        <f t="shared" si="1"/>
        <v>0</v>
      </c>
      <c r="G17" s="62"/>
      <c r="H17" s="62"/>
      <c r="I17" s="60"/>
      <c r="J17" s="60"/>
      <c r="K17" s="64"/>
      <c r="L17" s="64"/>
      <c r="M17" s="25"/>
      <c r="N17" s="25"/>
    </row>
    <row r="18" spans="1:14">
      <c r="A18" s="3" t="s">
        <v>21</v>
      </c>
      <c r="B18" s="4">
        <v>110</v>
      </c>
      <c r="C18" s="7">
        <f t="shared" ref="C18:C80" si="2">E18-F18</f>
        <v>0</v>
      </c>
      <c r="D18" s="7"/>
      <c r="E18" s="6">
        <f t="shared" si="0"/>
        <v>0</v>
      </c>
      <c r="F18" s="6">
        <f t="shared" si="1"/>
        <v>0</v>
      </c>
      <c r="G18" s="62"/>
      <c r="H18" s="62"/>
      <c r="I18" s="60"/>
      <c r="J18" s="60"/>
      <c r="K18" s="64"/>
      <c r="L18" s="64"/>
      <c r="M18" s="25"/>
      <c r="N18" s="25"/>
    </row>
    <row r="19" spans="1:14">
      <c r="A19" s="8" t="s">
        <v>22</v>
      </c>
      <c r="B19" s="4">
        <v>111</v>
      </c>
      <c r="C19" s="7">
        <f t="shared" si="2"/>
        <v>0</v>
      </c>
      <c r="D19" s="7"/>
      <c r="E19" s="6">
        <f t="shared" si="0"/>
        <v>0</v>
      </c>
      <c r="F19" s="6">
        <f t="shared" si="1"/>
        <v>0</v>
      </c>
      <c r="G19" s="62"/>
      <c r="H19" s="62"/>
      <c r="I19" s="60"/>
      <c r="J19" s="60"/>
      <c r="K19" s="64"/>
      <c r="L19" s="64"/>
      <c r="M19" s="25"/>
      <c r="N19" s="25"/>
    </row>
    <row r="20" spans="1:14">
      <c r="A20" s="8" t="s">
        <v>23</v>
      </c>
      <c r="B20" s="4">
        <v>112</v>
      </c>
      <c r="C20" s="7">
        <f t="shared" si="2"/>
        <v>0</v>
      </c>
      <c r="D20" s="7"/>
      <c r="E20" s="6">
        <f t="shared" si="0"/>
        <v>0</v>
      </c>
      <c r="F20" s="6">
        <f t="shared" si="1"/>
        <v>0</v>
      </c>
      <c r="G20" s="62"/>
      <c r="H20" s="62"/>
      <c r="I20" s="60"/>
      <c r="J20" s="60"/>
      <c r="K20" s="64"/>
      <c r="L20" s="64"/>
      <c r="M20" s="25"/>
      <c r="N20" s="25"/>
    </row>
    <row r="21" spans="1:14">
      <c r="A21" s="3" t="s">
        <v>24</v>
      </c>
      <c r="B21" s="4">
        <v>113</v>
      </c>
      <c r="C21" s="7">
        <f t="shared" si="2"/>
        <v>0</v>
      </c>
      <c r="D21" s="7"/>
      <c r="E21" s="6">
        <f t="shared" si="0"/>
        <v>0</v>
      </c>
      <c r="F21" s="6">
        <f t="shared" si="1"/>
        <v>0</v>
      </c>
      <c r="G21" s="62"/>
      <c r="H21" s="62"/>
      <c r="I21" s="60"/>
      <c r="J21" s="60"/>
      <c r="K21" s="64"/>
      <c r="L21" s="64"/>
      <c r="M21" s="25"/>
      <c r="N21" s="25"/>
    </row>
    <row r="22" spans="1:14">
      <c r="A22" s="3" t="s">
        <v>21</v>
      </c>
      <c r="B22" s="4">
        <v>114</v>
      </c>
      <c r="C22" s="7">
        <f t="shared" si="2"/>
        <v>0</v>
      </c>
      <c r="D22" s="7"/>
      <c r="E22" s="6">
        <f t="shared" si="0"/>
        <v>0</v>
      </c>
      <c r="F22" s="6">
        <f t="shared" si="1"/>
        <v>0</v>
      </c>
      <c r="G22" s="62"/>
      <c r="H22" s="62"/>
      <c r="I22" s="60"/>
      <c r="J22" s="60"/>
      <c r="K22" s="64"/>
      <c r="L22" s="64"/>
      <c r="M22" s="25"/>
      <c r="N22" s="25"/>
    </row>
    <row r="23" spans="1:14">
      <c r="A23" s="3" t="s">
        <v>25</v>
      </c>
      <c r="B23" s="4">
        <v>115</v>
      </c>
      <c r="C23" s="7">
        <f t="shared" si="2"/>
        <v>0</v>
      </c>
      <c r="D23" s="7"/>
      <c r="E23" s="6">
        <f t="shared" si="0"/>
        <v>0</v>
      </c>
      <c r="F23" s="6">
        <f t="shared" si="1"/>
        <v>0</v>
      </c>
      <c r="G23" s="62"/>
      <c r="H23" s="62"/>
      <c r="I23" s="60"/>
      <c r="J23" s="60"/>
      <c r="K23" s="64"/>
      <c r="L23" s="64"/>
      <c r="M23" s="25"/>
      <c r="N23" s="25"/>
    </row>
    <row r="24" spans="1:14">
      <c r="A24" s="3" t="s">
        <v>26</v>
      </c>
      <c r="B24" s="4" t="s">
        <v>27</v>
      </c>
      <c r="C24" s="7">
        <f t="shared" si="2"/>
        <v>0</v>
      </c>
      <c r="D24" s="7"/>
      <c r="E24" s="6">
        <f t="shared" si="0"/>
        <v>0</v>
      </c>
      <c r="F24" s="6">
        <f t="shared" si="1"/>
        <v>0</v>
      </c>
      <c r="G24" s="62"/>
      <c r="H24" s="62"/>
      <c r="I24" s="60"/>
      <c r="J24" s="60"/>
      <c r="K24" s="64"/>
      <c r="L24" s="64"/>
      <c r="M24" s="25"/>
      <c r="N24" s="25"/>
    </row>
    <row r="25" spans="1:14">
      <c r="A25" s="3" t="s">
        <v>28</v>
      </c>
      <c r="B25" s="4" t="s">
        <v>29</v>
      </c>
      <c r="C25" s="7">
        <f t="shared" si="2"/>
        <v>0</v>
      </c>
      <c r="D25" s="7"/>
      <c r="E25" s="6">
        <f t="shared" si="0"/>
        <v>0</v>
      </c>
      <c r="F25" s="6">
        <f t="shared" si="1"/>
        <v>0</v>
      </c>
      <c r="G25" s="62"/>
      <c r="H25" s="62"/>
      <c r="I25" s="60"/>
      <c r="J25" s="60"/>
      <c r="K25" s="64"/>
      <c r="L25" s="64"/>
      <c r="M25" s="25"/>
      <c r="N25" s="25"/>
    </row>
    <row r="26" spans="1:14">
      <c r="A26" s="3" t="s">
        <v>30</v>
      </c>
      <c r="B26" s="4" t="s">
        <v>31</v>
      </c>
      <c r="C26" s="7">
        <f t="shared" si="2"/>
        <v>0</v>
      </c>
      <c r="D26" s="7"/>
      <c r="E26" s="6">
        <f t="shared" si="0"/>
        <v>0</v>
      </c>
      <c r="F26" s="6">
        <f t="shared" si="1"/>
        <v>0</v>
      </c>
      <c r="G26" s="62"/>
      <c r="H26" s="62"/>
      <c r="I26" s="60"/>
      <c r="J26" s="60"/>
      <c r="K26" s="64"/>
      <c r="L26" s="64"/>
      <c r="M26" s="25"/>
      <c r="N26" s="25"/>
    </row>
    <row r="27" spans="1:14">
      <c r="A27" s="3" t="s">
        <v>32</v>
      </c>
      <c r="B27" s="4" t="s">
        <v>33</v>
      </c>
      <c r="C27" s="7">
        <f t="shared" si="2"/>
        <v>0</v>
      </c>
      <c r="D27" s="7"/>
      <c r="E27" s="6">
        <f t="shared" si="0"/>
        <v>0</v>
      </c>
      <c r="F27" s="6">
        <f t="shared" si="1"/>
        <v>0</v>
      </c>
      <c r="G27" s="62"/>
      <c r="H27" s="62"/>
      <c r="I27" s="60"/>
      <c r="J27" s="60"/>
      <c r="K27" s="64"/>
      <c r="L27" s="64"/>
      <c r="M27" s="25"/>
      <c r="N27" s="25"/>
    </row>
    <row r="28" spans="1:14">
      <c r="A28" s="3" t="s">
        <v>34</v>
      </c>
      <c r="B28" s="4" t="s">
        <v>35</v>
      </c>
      <c r="C28" s="7">
        <f t="shared" si="2"/>
        <v>0</v>
      </c>
      <c r="D28" s="7"/>
      <c r="E28" s="6">
        <f t="shared" si="0"/>
        <v>0</v>
      </c>
      <c r="F28" s="6">
        <f t="shared" si="1"/>
        <v>0</v>
      </c>
      <c r="G28" s="62"/>
      <c r="H28" s="62"/>
      <c r="I28" s="60"/>
      <c r="J28" s="60"/>
      <c r="K28" s="64"/>
      <c r="L28" s="64"/>
      <c r="M28" s="25"/>
      <c r="N28" s="25"/>
    </row>
    <row r="29" spans="1:14">
      <c r="A29" s="3" t="s">
        <v>36</v>
      </c>
      <c r="B29" s="4" t="s">
        <v>37</v>
      </c>
      <c r="C29" s="7">
        <f t="shared" si="2"/>
        <v>0</v>
      </c>
      <c r="D29" s="7"/>
      <c r="E29" s="6">
        <f t="shared" si="0"/>
        <v>0</v>
      </c>
      <c r="F29" s="6">
        <f t="shared" si="1"/>
        <v>0</v>
      </c>
      <c r="G29" s="62"/>
      <c r="H29" s="62"/>
      <c r="I29" s="60"/>
      <c r="J29" s="60"/>
      <c r="K29" s="64"/>
      <c r="L29" s="64"/>
      <c r="M29" s="25"/>
      <c r="N29" s="25"/>
    </row>
    <row r="30" spans="1:14">
      <c r="A30" s="3" t="s">
        <v>38</v>
      </c>
      <c r="B30" s="4" t="s">
        <v>39</v>
      </c>
      <c r="C30" s="7">
        <f t="shared" si="2"/>
        <v>0</v>
      </c>
      <c r="D30" s="7"/>
      <c r="E30" s="6">
        <f t="shared" si="0"/>
        <v>0</v>
      </c>
      <c r="F30" s="6">
        <f t="shared" si="1"/>
        <v>0</v>
      </c>
      <c r="G30" s="62"/>
      <c r="H30" s="62"/>
      <c r="I30" s="60"/>
      <c r="J30" s="60"/>
      <c r="K30" s="64"/>
      <c r="L30" s="64"/>
      <c r="M30" s="25"/>
      <c r="N30" s="25"/>
    </row>
    <row r="31" spans="1:14">
      <c r="A31" s="3" t="s">
        <v>40</v>
      </c>
      <c r="B31" s="4" t="s">
        <v>41</v>
      </c>
      <c r="C31" s="7">
        <f t="shared" si="2"/>
        <v>0</v>
      </c>
      <c r="D31" s="7"/>
      <c r="E31" s="6">
        <f t="shared" si="0"/>
        <v>0</v>
      </c>
      <c r="F31" s="6">
        <f t="shared" si="1"/>
        <v>0</v>
      </c>
      <c r="G31" s="62"/>
      <c r="H31" s="62"/>
      <c r="I31" s="60"/>
      <c r="J31" s="60"/>
      <c r="K31" s="64"/>
      <c r="L31" s="64"/>
      <c r="M31" s="25"/>
      <c r="N31" s="25"/>
    </row>
    <row r="32" spans="1:14">
      <c r="A32" s="3" t="s">
        <v>42</v>
      </c>
      <c r="B32" s="4" t="s">
        <v>43</v>
      </c>
      <c r="C32" s="7">
        <f t="shared" si="2"/>
        <v>0</v>
      </c>
      <c r="D32" s="7"/>
      <c r="E32" s="6">
        <f t="shared" si="0"/>
        <v>0</v>
      </c>
      <c r="F32" s="6">
        <f t="shared" si="1"/>
        <v>0</v>
      </c>
      <c r="G32" s="62"/>
      <c r="H32" s="62"/>
      <c r="I32" s="60"/>
      <c r="J32" s="60"/>
      <c r="K32" s="64"/>
      <c r="L32" s="64"/>
      <c r="M32" s="25"/>
      <c r="N32" s="25"/>
    </row>
    <row r="33" spans="1:14">
      <c r="A33" s="3" t="s">
        <v>44</v>
      </c>
      <c r="B33" s="4" t="s">
        <v>45</v>
      </c>
      <c r="C33" s="7">
        <f t="shared" si="2"/>
        <v>0</v>
      </c>
      <c r="D33" s="7"/>
      <c r="E33" s="6">
        <f t="shared" si="0"/>
        <v>0</v>
      </c>
      <c r="F33" s="6">
        <f t="shared" si="1"/>
        <v>0</v>
      </c>
      <c r="G33" s="62"/>
      <c r="H33" s="62"/>
      <c r="I33" s="60"/>
      <c r="J33" s="60"/>
      <c r="K33" s="64"/>
      <c r="L33" s="64"/>
      <c r="M33" s="25"/>
      <c r="N33" s="25"/>
    </row>
    <row r="34" spans="1:14">
      <c r="A34" s="3" t="s">
        <v>46</v>
      </c>
      <c r="B34" s="4" t="s">
        <v>47</v>
      </c>
      <c r="C34" s="7">
        <f t="shared" si="2"/>
        <v>0</v>
      </c>
      <c r="D34" s="7"/>
      <c r="E34" s="6">
        <f t="shared" si="0"/>
        <v>0</v>
      </c>
      <c r="F34" s="6">
        <f t="shared" si="1"/>
        <v>0</v>
      </c>
      <c r="G34" s="62"/>
      <c r="H34" s="62"/>
      <c r="I34" s="60"/>
      <c r="J34" s="60"/>
      <c r="K34" s="64"/>
      <c r="L34" s="64"/>
      <c r="M34" s="25"/>
      <c r="N34" s="25"/>
    </row>
    <row r="35" spans="1:14">
      <c r="A35" s="3" t="s">
        <v>48</v>
      </c>
      <c r="B35" s="4" t="s">
        <v>49</v>
      </c>
      <c r="C35" s="7">
        <f t="shared" si="2"/>
        <v>0</v>
      </c>
      <c r="D35" s="7"/>
      <c r="E35" s="6">
        <f t="shared" si="0"/>
        <v>0</v>
      </c>
      <c r="F35" s="6">
        <f t="shared" si="1"/>
        <v>0</v>
      </c>
      <c r="G35" s="62"/>
      <c r="H35" s="62"/>
      <c r="I35" s="60"/>
      <c r="J35" s="60"/>
      <c r="K35" s="64"/>
      <c r="L35" s="64"/>
      <c r="M35" s="25"/>
      <c r="N35" s="25"/>
    </row>
    <row r="36" spans="1:14">
      <c r="A36" s="3" t="s">
        <v>50</v>
      </c>
      <c r="B36" s="4" t="s">
        <v>51</v>
      </c>
      <c r="C36" s="7">
        <f t="shared" si="2"/>
        <v>0</v>
      </c>
      <c r="D36" s="7"/>
      <c r="E36" s="6">
        <f t="shared" si="0"/>
        <v>0</v>
      </c>
      <c r="F36" s="6">
        <f t="shared" si="1"/>
        <v>0</v>
      </c>
      <c r="G36" s="62"/>
      <c r="H36" s="62"/>
      <c r="I36" s="60"/>
      <c r="J36" s="60"/>
      <c r="K36" s="64"/>
      <c r="L36" s="64"/>
      <c r="M36" s="25"/>
      <c r="N36" s="25"/>
    </row>
    <row r="37" spans="1:14">
      <c r="A37" s="3" t="s">
        <v>52</v>
      </c>
      <c r="B37" s="4" t="s">
        <v>53</v>
      </c>
      <c r="C37" s="7">
        <f t="shared" si="2"/>
        <v>0</v>
      </c>
      <c r="D37" s="7"/>
      <c r="E37" s="6">
        <f t="shared" si="0"/>
        <v>0</v>
      </c>
      <c r="F37" s="6">
        <f t="shared" si="1"/>
        <v>0</v>
      </c>
      <c r="G37" s="62"/>
      <c r="H37" s="62"/>
      <c r="I37" s="60"/>
      <c r="J37" s="60"/>
      <c r="K37" s="64"/>
      <c r="L37" s="64"/>
      <c r="M37" s="25"/>
      <c r="N37" s="25"/>
    </row>
    <row r="38" spans="1:14">
      <c r="A38" s="3" t="s">
        <v>54</v>
      </c>
      <c r="B38" s="9">
        <v>138</v>
      </c>
      <c r="C38" s="7">
        <f t="shared" si="2"/>
        <v>0</v>
      </c>
      <c r="D38" s="7"/>
      <c r="E38" s="6">
        <f t="shared" si="0"/>
        <v>0</v>
      </c>
      <c r="F38" s="6">
        <f t="shared" si="1"/>
        <v>0</v>
      </c>
      <c r="G38" s="62"/>
      <c r="H38" s="62"/>
      <c r="I38" s="60"/>
      <c r="J38" s="60"/>
      <c r="K38" s="64"/>
      <c r="L38" s="64"/>
      <c r="M38" s="25"/>
      <c r="N38" s="25"/>
    </row>
    <row r="39" spans="1:14">
      <c r="A39" s="3" t="s">
        <v>55</v>
      </c>
      <c r="B39" s="4" t="s">
        <v>56</v>
      </c>
      <c r="C39" s="7">
        <f t="shared" si="2"/>
        <v>0</v>
      </c>
      <c r="D39" s="7"/>
      <c r="E39" s="6">
        <f t="shared" si="0"/>
        <v>0</v>
      </c>
      <c r="F39" s="6">
        <f t="shared" si="1"/>
        <v>0</v>
      </c>
      <c r="G39" s="62"/>
      <c r="H39" s="62"/>
      <c r="I39" s="60"/>
      <c r="J39" s="60"/>
      <c r="K39" s="64"/>
      <c r="L39" s="64"/>
      <c r="M39" s="25"/>
      <c r="N39" s="25"/>
    </row>
    <row r="40" spans="1:14">
      <c r="A40" s="3" t="s">
        <v>57</v>
      </c>
      <c r="B40" s="9">
        <v>144</v>
      </c>
      <c r="C40" s="7">
        <f t="shared" si="2"/>
        <v>0</v>
      </c>
      <c r="D40" s="7"/>
      <c r="E40" s="6">
        <f t="shared" si="0"/>
        <v>0</v>
      </c>
      <c r="F40" s="6">
        <f t="shared" si="1"/>
        <v>0</v>
      </c>
      <c r="G40" s="62"/>
      <c r="H40" s="62"/>
      <c r="I40" s="60"/>
      <c r="J40" s="60"/>
      <c r="K40" s="64"/>
      <c r="L40" s="64"/>
      <c r="M40" s="25"/>
      <c r="N40" s="25"/>
    </row>
    <row r="41" spans="1:14">
      <c r="A41" s="3" t="s">
        <v>58</v>
      </c>
      <c r="B41" s="4" t="s">
        <v>59</v>
      </c>
      <c r="C41" s="7">
        <f t="shared" si="2"/>
        <v>0</v>
      </c>
      <c r="D41" s="7"/>
      <c r="E41" s="6">
        <f t="shared" si="0"/>
        <v>0</v>
      </c>
      <c r="F41" s="6">
        <f t="shared" si="1"/>
        <v>0</v>
      </c>
      <c r="G41" s="62"/>
      <c r="H41" s="62"/>
      <c r="I41" s="60"/>
      <c r="J41" s="60"/>
      <c r="K41" s="64"/>
      <c r="L41" s="64"/>
      <c r="M41" s="25"/>
      <c r="N41" s="25"/>
    </row>
    <row r="42" spans="1:14">
      <c r="A42" s="3" t="s">
        <v>60</v>
      </c>
      <c r="B42" s="4" t="s">
        <v>61</v>
      </c>
      <c r="C42" s="7">
        <f t="shared" si="2"/>
        <v>0</v>
      </c>
      <c r="D42" s="7"/>
      <c r="E42" s="6">
        <f t="shared" si="0"/>
        <v>0</v>
      </c>
      <c r="F42" s="6">
        <f t="shared" si="1"/>
        <v>0</v>
      </c>
      <c r="G42" s="62"/>
      <c r="H42" s="62"/>
      <c r="I42" s="60"/>
      <c r="J42" s="60"/>
      <c r="K42" s="64"/>
      <c r="L42" s="64"/>
      <c r="M42" s="25"/>
      <c r="N42" s="25"/>
    </row>
    <row r="43" spans="1:14">
      <c r="A43" s="3" t="s">
        <v>62</v>
      </c>
      <c r="B43" s="4" t="s">
        <v>63</v>
      </c>
      <c r="C43" s="7">
        <f t="shared" si="2"/>
        <v>0</v>
      </c>
      <c r="D43" s="7"/>
      <c r="E43" s="6">
        <f t="shared" si="0"/>
        <v>0</v>
      </c>
      <c r="F43" s="6">
        <f t="shared" si="1"/>
        <v>0</v>
      </c>
      <c r="G43" s="62"/>
      <c r="H43" s="62"/>
      <c r="I43" s="60"/>
      <c r="J43" s="60"/>
      <c r="K43" s="64"/>
      <c r="L43" s="64"/>
      <c r="M43" s="25"/>
      <c r="N43" s="25"/>
    </row>
    <row r="44" spans="1:14">
      <c r="A44" s="3" t="s">
        <v>64</v>
      </c>
      <c r="B44" s="4" t="s">
        <v>65</v>
      </c>
      <c r="C44" s="7">
        <f t="shared" si="2"/>
        <v>0</v>
      </c>
      <c r="D44" s="7"/>
      <c r="E44" s="6">
        <f t="shared" si="0"/>
        <v>0</v>
      </c>
      <c r="F44" s="6">
        <f t="shared" si="1"/>
        <v>0</v>
      </c>
      <c r="G44" s="62"/>
      <c r="H44" s="62"/>
      <c r="I44" s="60"/>
      <c r="J44" s="60"/>
      <c r="K44" s="64"/>
      <c r="L44" s="64"/>
      <c r="M44" s="25"/>
      <c r="N44" s="25"/>
    </row>
    <row r="45" spans="1:14">
      <c r="A45" s="3" t="s">
        <v>66</v>
      </c>
      <c r="B45" s="4" t="s">
        <v>67</v>
      </c>
      <c r="C45" s="7">
        <f t="shared" si="2"/>
        <v>0</v>
      </c>
      <c r="D45" s="7"/>
      <c r="E45" s="6">
        <f t="shared" si="0"/>
        <v>0</v>
      </c>
      <c r="F45" s="6">
        <f t="shared" si="1"/>
        <v>0</v>
      </c>
      <c r="G45" s="62"/>
      <c r="H45" s="62"/>
      <c r="I45" s="60"/>
      <c r="J45" s="60"/>
      <c r="K45" s="64"/>
      <c r="L45" s="64"/>
      <c r="M45" s="25"/>
      <c r="N45" s="25"/>
    </row>
    <row r="46" spans="1:14">
      <c r="A46" s="3" t="s">
        <v>68</v>
      </c>
      <c r="B46" s="4" t="s">
        <v>69</v>
      </c>
      <c r="C46" s="7">
        <f t="shared" si="2"/>
        <v>0</v>
      </c>
      <c r="D46" s="7"/>
      <c r="E46" s="6">
        <f t="shared" si="0"/>
        <v>0</v>
      </c>
      <c r="F46" s="6">
        <f t="shared" si="1"/>
        <v>0</v>
      </c>
      <c r="G46" s="62"/>
      <c r="H46" s="62"/>
      <c r="I46" s="60"/>
      <c r="J46" s="60"/>
      <c r="K46" s="64"/>
      <c r="L46" s="64"/>
      <c r="M46" s="25"/>
      <c r="N46" s="25"/>
    </row>
    <row r="47" spans="1:14">
      <c r="A47" s="3" t="s">
        <v>70</v>
      </c>
      <c r="B47" s="4" t="s">
        <v>71</v>
      </c>
      <c r="C47" s="7">
        <f t="shared" si="2"/>
        <v>0</v>
      </c>
      <c r="D47" s="7"/>
      <c r="E47" s="6">
        <f t="shared" si="0"/>
        <v>0</v>
      </c>
      <c r="F47" s="6">
        <f t="shared" si="1"/>
        <v>0</v>
      </c>
      <c r="G47" s="62"/>
      <c r="H47" s="62"/>
      <c r="I47" s="60"/>
      <c r="J47" s="60"/>
      <c r="K47" s="64"/>
      <c r="L47" s="64"/>
      <c r="M47" s="25"/>
      <c r="N47" s="25"/>
    </row>
    <row r="48" spans="1:14">
      <c r="A48" s="3" t="s">
        <v>72</v>
      </c>
      <c r="B48" s="4" t="s">
        <v>73</v>
      </c>
      <c r="C48" s="7">
        <f t="shared" si="2"/>
        <v>0</v>
      </c>
      <c r="D48" s="7"/>
      <c r="E48" s="6">
        <f t="shared" si="0"/>
        <v>0</v>
      </c>
      <c r="F48" s="6">
        <f t="shared" si="1"/>
        <v>0</v>
      </c>
      <c r="G48" s="62"/>
      <c r="H48" s="62"/>
      <c r="I48" s="60"/>
      <c r="J48" s="60"/>
      <c r="K48" s="64"/>
      <c r="L48" s="64"/>
      <c r="M48" s="25"/>
      <c r="N48" s="25"/>
    </row>
    <row r="49" spans="1:14">
      <c r="A49" s="3" t="s">
        <v>74</v>
      </c>
      <c r="B49" s="4" t="s">
        <v>75</v>
      </c>
      <c r="C49" s="7">
        <f t="shared" si="2"/>
        <v>0</v>
      </c>
      <c r="D49" s="7"/>
      <c r="E49" s="6">
        <f t="shared" si="0"/>
        <v>0</v>
      </c>
      <c r="F49" s="6">
        <f t="shared" si="1"/>
        <v>0</v>
      </c>
      <c r="G49" s="62"/>
      <c r="H49" s="62"/>
      <c r="I49" s="60"/>
      <c r="J49" s="60"/>
      <c r="K49" s="64"/>
      <c r="L49" s="64"/>
      <c r="M49" s="25"/>
      <c r="N49" s="25"/>
    </row>
    <row r="50" spans="1:14">
      <c r="A50" s="3" t="s">
        <v>76</v>
      </c>
      <c r="B50" s="4" t="s">
        <v>77</v>
      </c>
      <c r="C50" s="7">
        <f t="shared" si="2"/>
        <v>0</v>
      </c>
      <c r="D50" s="7"/>
      <c r="E50" s="6">
        <f t="shared" si="0"/>
        <v>0</v>
      </c>
      <c r="F50" s="6">
        <f t="shared" si="1"/>
        <v>0</v>
      </c>
      <c r="G50" s="62"/>
      <c r="H50" s="62"/>
      <c r="I50" s="60"/>
      <c r="J50" s="60"/>
      <c r="K50" s="64"/>
      <c r="L50" s="64"/>
      <c r="M50" s="25"/>
      <c r="N50" s="25"/>
    </row>
    <row r="51" spans="1:14">
      <c r="A51" s="3" t="s">
        <v>78</v>
      </c>
      <c r="B51" s="4" t="s">
        <v>79</v>
      </c>
      <c r="C51" s="7">
        <f t="shared" si="2"/>
        <v>0</v>
      </c>
      <c r="D51" s="7"/>
      <c r="E51" s="6">
        <f t="shared" si="0"/>
        <v>0</v>
      </c>
      <c r="F51" s="6">
        <f t="shared" si="1"/>
        <v>0</v>
      </c>
      <c r="G51" s="62"/>
      <c r="H51" s="62"/>
      <c r="I51" s="60"/>
      <c r="J51" s="60"/>
      <c r="K51" s="64"/>
      <c r="L51" s="64"/>
      <c r="M51" s="25"/>
      <c r="N51" s="25"/>
    </row>
    <row r="52" spans="1:14">
      <c r="A52" s="3" t="s">
        <v>80</v>
      </c>
      <c r="B52" s="4" t="s">
        <v>81</v>
      </c>
      <c r="C52" s="7">
        <f t="shared" si="2"/>
        <v>0</v>
      </c>
      <c r="D52" s="7"/>
      <c r="E52" s="6">
        <f t="shared" si="0"/>
        <v>0</v>
      </c>
      <c r="F52" s="6">
        <f t="shared" si="1"/>
        <v>0</v>
      </c>
      <c r="G52" s="62"/>
      <c r="H52" s="62"/>
      <c r="I52" s="60"/>
      <c r="J52" s="60"/>
      <c r="K52" s="64"/>
      <c r="L52" s="64"/>
      <c r="M52" s="25"/>
      <c r="N52" s="25"/>
    </row>
    <row r="53" spans="1:14">
      <c r="A53" s="8" t="s">
        <v>82</v>
      </c>
      <c r="B53" s="4" t="s">
        <v>83</v>
      </c>
      <c r="C53" s="7">
        <f t="shared" si="2"/>
        <v>0</v>
      </c>
      <c r="D53" s="7"/>
      <c r="E53" s="6">
        <f t="shared" si="0"/>
        <v>0</v>
      </c>
      <c r="F53" s="6">
        <f t="shared" si="1"/>
        <v>0</v>
      </c>
      <c r="G53" s="62"/>
      <c r="H53" s="62"/>
      <c r="I53" s="60"/>
      <c r="J53" s="60"/>
      <c r="K53" s="64"/>
      <c r="L53" s="64"/>
      <c r="M53" s="25"/>
      <c r="N53" s="25"/>
    </row>
    <row r="54" spans="1:14">
      <c r="A54" s="3" t="s">
        <v>84</v>
      </c>
      <c r="B54" s="4" t="s">
        <v>85</v>
      </c>
      <c r="C54" s="7">
        <f t="shared" si="2"/>
        <v>0</v>
      </c>
      <c r="D54" s="7"/>
      <c r="E54" s="6">
        <f t="shared" si="0"/>
        <v>0</v>
      </c>
      <c r="F54" s="6">
        <f t="shared" si="1"/>
        <v>0</v>
      </c>
      <c r="G54" s="62"/>
      <c r="H54" s="62"/>
      <c r="I54" s="60"/>
      <c r="J54" s="60"/>
      <c r="K54" s="64"/>
      <c r="L54" s="64"/>
      <c r="M54" s="25"/>
      <c r="N54" s="25"/>
    </row>
    <row r="55" spans="1:14">
      <c r="A55" s="3" t="s">
        <v>86</v>
      </c>
      <c r="B55" s="4" t="s">
        <v>87</v>
      </c>
      <c r="C55" s="7">
        <f t="shared" si="2"/>
        <v>0</v>
      </c>
      <c r="D55" s="7"/>
      <c r="E55" s="6">
        <f t="shared" si="0"/>
        <v>0</v>
      </c>
      <c r="F55" s="6">
        <f t="shared" si="1"/>
        <v>0</v>
      </c>
      <c r="G55" s="62"/>
      <c r="H55" s="62"/>
      <c r="I55" s="60"/>
      <c r="J55" s="60"/>
      <c r="K55" s="64"/>
      <c r="L55" s="64"/>
      <c r="M55" s="25"/>
      <c r="N55" s="25"/>
    </row>
    <row r="56" spans="1:14">
      <c r="A56" s="8" t="s">
        <v>88</v>
      </c>
      <c r="B56" s="4" t="s">
        <v>89</v>
      </c>
      <c r="C56" s="7">
        <f t="shared" si="2"/>
        <v>0</v>
      </c>
      <c r="D56" s="7"/>
      <c r="E56" s="6">
        <f t="shared" si="0"/>
        <v>0</v>
      </c>
      <c r="F56" s="6">
        <f t="shared" si="1"/>
        <v>0</v>
      </c>
      <c r="G56" s="62"/>
      <c r="H56" s="62"/>
      <c r="I56" s="60"/>
      <c r="J56" s="60"/>
      <c r="K56" s="64"/>
      <c r="L56" s="64"/>
      <c r="M56" s="25"/>
      <c r="N56" s="25"/>
    </row>
    <row r="57" spans="1:14">
      <c r="A57" s="3" t="s">
        <v>90</v>
      </c>
      <c r="B57" s="4" t="s">
        <v>91</v>
      </c>
      <c r="C57" s="7">
        <f t="shared" si="2"/>
        <v>0</v>
      </c>
      <c r="D57" s="7"/>
      <c r="E57" s="6">
        <f t="shared" si="0"/>
        <v>0</v>
      </c>
      <c r="F57" s="6">
        <f t="shared" si="1"/>
        <v>0</v>
      </c>
      <c r="G57" s="62"/>
      <c r="H57" s="62"/>
      <c r="I57" s="60"/>
      <c r="J57" s="60"/>
      <c r="K57" s="64"/>
      <c r="L57" s="64"/>
      <c r="M57" s="25"/>
      <c r="N57" s="25"/>
    </row>
    <row r="58" spans="1:14">
      <c r="A58" s="3" t="s">
        <v>92</v>
      </c>
      <c r="B58" s="4">
        <v>165</v>
      </c>
      <c r="C58" s="7">
        <f t="shared" si="2"/>
        <v>0</v>
      </c>
      <c r="D58" s="7"/>
      <c r="E58" s="6">
        <f t="shared" si="0"/>
        <v>0</v>
      </c>
      <c r="F58" s="6">
        <f t="shared" si="1"/>
        <v>0</v>
      </c>
      <c r="G58" s="62"/>
      <c r="H58" s="62"/>
      <c r="I58" s="60"/>
      <c r="J58" s="60"/>
      <c r="K58" s="64"/>
      <c r="L58" s="64"/>
      <c r="M58" s="25"/>
      <c r="N58" s="25"/>
    </row>
    <row r="59" spans="1:14">
      <c r="A59" s="3" t="s">
        <v>93</v>
      </c>
      <c r="B59" s="4">
        <v>166</v>
      </c>
      <c r="C59" s="7">
        <f t="shared" si="2"/>
        <v>0</v>
      </c>
      <c r="D59" s="7"/>
      <c r="E59" s="6">
        <f t="shared" si="0"/>
        <v>0</v>
      </c>
      <c r="F59" s="6">
        <f t="shared" si="1"/>
        <v>0</v>
      </c>
      <c r="G59" s="62"/>
      <c r="H59" s="62"/>
      <c r="I59" s="60"/>
      <c r="J59" s="60"/>
      <c r="K59" s="64"/>
      <c r="L59" s="64"/>
      <c r="M59" s="25"/>
      <c r="N59" s="25"/>
    </row>
    <row r="60" spans="1:14">
      <c r="A60" s="3" t="s">
        <v>94</v>
      </c>
      <c r="B60" s="4">
        <v>167</v>
      </c>
      <c r="C60" s="7">
        <f t="shared" si="2"/>
        <v>0</v>
      </c>
      <c r="D60" s="7"/>
      <c r="E60" s="6">
        <f t="shared" si="0"/>
        <v>0</v>
      </c>
      <c r="F60" s="6">
        <f t="shared" si="1"/>
        <v>0</v>
      </c>
      <c r="G60" s="62"/>
      <c r="H60" s="62"/>
      <c r="I60" s="60"/>
      <c r="J60" s="60"/>
      <c r="K60" s="64"/>
      <c r="L60" s="64"/>
      <c r="M60" s="25"/>
      <c r="N60" s="25"/>
    </row>
    <row r="61" spans="1:14">
      <c r="A61" s="3" t="s">
        <v>95</v>
      </c>
      <c r="B61" s="4" t="s">
        <v>96</v>
      </c>
      <c r="C61" s="7">
        <f t="shared" si="2"/>
        <v>0</v>
      </c>
      <c r="D61" s="7"/>
      <c r="E61" s="6">
        <f t="shared" si="0"/>
        <v>0</v>
      </c>
      <c r="F61" s="6">
        <f t="shared" si="1"/>
        <v>0</v>
      </c>
      <c r="G61" s="62"/>
      <c r="H61" s="62"/>
      <c r="I61" s="60"/>
      <c r="J61" s="60"/>
      <c r="K61" s="64"/>
      <c r="L61" s="64"/>
      <c r="M61" s="25"/>
      <c r="N61" s="25"/>
    </row>
    <row r="62" spans="1:14">
      <c r="A62" s="3" t="s">
        <v>97</v>
      </c>
      <c r="B62" s="4" t="s">
        <v>98</v>
      </c>
      <c r="C62" s="7">
        <f t="shared" si="2"/>
        <v>0</v>
      </c>
      <c r="D62" s="7"/>
      <c r="E62" s="6">
        <f t="shared" si="0"/>
        <v>0</v>
      </c>
      <c r="F62" s="6">
        <f t="shared" si="1"/>
        <v>0</v>
      </c>
      <c r="G62" s="62"/>
      <c r="H62" s="62"/>
      <c r="I62" s="60"/>
      <c r="J62" s="60"/>
      <c r="K62" s="64"/>
      <c r="L62" s="64"/>
      <c r="M62" s="25"/>
      <c r="N62" s="25"/>
    </row>
    <row r="63" spans="1:14">
      <c r="A63" s="3" t="s">
        <v>99</v>
      </c>
      <c r="B63" s="4" t="s">
        <v>100</v>
      </c>
      <c r="C63" s="7">
        <f t="shared" si="2"/>
        <v>0</v>
      </c>
      <c r="D63" s="7"/>
      <c r="E63" s="6">
        <f t="shared" si="0"/>
        <v>0</v>
      </c>
      <c r="F63" s="6">
        <f t="shared" si="1"/>
        <v>0</v>
      </c>
      <c r="G63" s="62"/>
      <c r="H63" s="62"/>
      <c r="I63" s="60"/>
      <c r="J63" s="60"/>
      <c r="K63" s="64"/>
      <c r="L63" s="64"/>
      <c r="M63" s="25"/>
      <c r="N63" s="25"/>
    </row>
    <row r="64" spans="1:14">
      <c r="A64" s="3" t="s">
        <v>101</v>
      </c>
      <c r="B64" s="4" t="s">
        <v>102</v>
      </c>
      <c r="C64" s="7">
        <f t="shared" si="2"/>
        <v>0</v>
      </c>
      <c r="D64" s="7"/>
      <c r="E64" s="6">
        <f t="shared" si="0"/>
        <v>0</v>
      </c>
      <c r="F64" s="6">
        <f t="shared" si="1"/>
        <v>0</v>
      </c>
      <c r="G64" s="62"/>
      <c r="H64" s="62"/>
      <c r="I64" s="60"/>
      <c r="J64" s="60"/>
      <c r="K64" s="64"/>
      <c r="L64" s="64"/>
      <c r="M64" s="25"/>
      <c r="N64" s="25"/>
    </row>
    <row r="65" spans="1:14">
      <c r="A65" s="3" t="s">
        <v>103</v>
      </c>
      <c r="B65" s="4" t="s">
        <v>104</v>
      </c>
      <c r="C65" s="7">
        <f t="shared" si="2"/>
        <v>0</v>
      </c>
      <c r="D65" s="7"/>
      <c r="E65" s="6">
        <f t="shared" si="0"/>
        <v>0</v>
      </c>
      <c r="F65" s="6">
        <f t="shared" si="1"/>
        <v>0</v>
      </c>
      <c r="G65" s="62"/>
      <c r="H65" s="62"/>
      <c r="I65" s="60"/>
      <c r="J65" s="60"/>
      <c r="K65" s="64"/>
      <c r="L65" s="64"/>
      <c r="M65" s="25"/>
      <c r="N65" s="25"/>
    </row>
    <row r="66" spans="1:14">
      <c r="A66" s="3" t="s">
        <v>105</v>
      </c>
      <c r="B66" s="9">
        <v>178</v>
      </c>
      <c r="C66" s="7">
        <f t="shared" si="2"/>
        <v>0</v>
      </c>
      <c r="D66" s="7"/>
      <c r="E66" s="6">
        <f t="shared" si="0"/>
        <v>0</v>
      </c>
      <c r="F66" s="6">
        <f t="shared" si="1"/>
        <v>0</v>
      </c>
      <c r="G66" s="62"/>
      <c r="H66" s="62"/>
      <c r="I66" s="60"/>
      <c r="J66" s="60"/>
      <c r="K66" s="64"/>
      <c r="L66" s="64"/>
      <c r="M66" s="25"/>
      <c r="N66" s="25"/>
    </row>
    <row r="67" spans="1:14">
      <c r="A67" s="3" t="s">
        <v>106</v>
      </c>
      <c r="B67" s="4">
        <v>179</v>
      </c>
      <c r="C67" s="7">
        <f t="shared" si="2"/>
        <v>0</v>
      </c>
      <c r="D67" s="7"/>
      <c r="E67" s="6">
        <f t="shared" si="0"/>
        <v>0</v>
      </c>
      <c r="F67" s="6">
        <f t="shared" si="1"/>
        <v>0</v>
      </c>
      <c r="G67" s="62"/>
      <c r="H67" s="62"/>
      <c r="I67" s="60"/>
      <c r="J67" s="60"/>
      <c r="K67" s="64"/>
      <c r="L67" s="64"/>
      <c r="M67" s="25"/>
      <c r="N67" s="25"/>
    </row>
    <row r="68" spans="1:14">
      <c r="A68" s="3" t="s">
        <v>107</v>
      </c>
      <c r="B68" s="9">
        <v>180</v>
      </c>
      <c r="C68" s="7">
        <f t="shared" si="2"/>
        <v>0</v>
      </c>
      <c r="D68" s="7"/>
      <c r="E68" s="6">
        <f t="shared" si="0"/>
        <v>0</v>
      </c>
      <c r="F68" s="6">
        <f t="shared" si="1"/>
        <v>0</v>
      </c>
      <c r="G68" s="62"/>
      <c r="H68" s="62"/>
      <c r="I68" s="60"/>
      <c r="J68" s="60"/>
      <c r="K68" s="64"/>
      <c r="L68" s="64"/>
      <c r="M68" s="25"/>
      <c r="N68" s="25"/>
    </row>
    <row r="69" spans="1:14">
      <c r="A69" s="3" t="s">
        <v>108</v>
      </c>
      <c r="B69" s="9">
        <v>181</v>
      </c>
      <c r="C69" s="7">
        <f t="shared" si="2"/>
        <v>0</v>
      </c>
      <c r="D69" s="7"/>
      <c r="E69" s="6">
        <f t="shared" si="0"/>
        <v>0</v>
      </c>
      <c r="F69" s="6">
        <f t="shared" si="1"/>
        <v>0</v>
      </c>
      <c r="G69" s="62"/>
      <c r="H69" s="62"/>
      <c r="I69" s="60"/>
      <c r="J69" s="60"/>
      <c r="K69" s="64"/>
      <c r="L69" s="64"/>
      <c r="M69" s="25"/>
      <c r="N69" s="25"/>
    </row>
    <row r="70" spans="1:14">
      <c r="A70" s="3" t="s">
        <v>109</v>
      </c>
      <c r="B70" s="9">
        <v>182</v>
      </c>
      <c r="C70" s="7">
        <f t="shared" si="2"/>
        <v>0</v>
      </c>
      <c r="D70" s="7"/>
      <c r="E70" s="6">
        <f t="shared" si="0"/>
        <v>0</v>
      </c>
      <c r="F70" s="6">
        <f t="shared" si="1"/>
        <v>0</v>
      </c>
      <c r="G70" s="62"/>
      <c r="H70" s="62"/>
      <c r="I70" s="60"/>
      <c r="J70" s="60"/>
      <c r="K70" s="64"/>
      <c r="L70" s="64"/>
      <c r="M70" s="25"/>
      <c r="N70" s="25"/>
    </row>
    <row r="71" spans="1:14">
      <c r="A71" s="3" t="s">
        <v>110</v>
      </c>
      <c r="B71" s="9">
        <v>185</v>
      </c>
      <c r="C71" s="7">
        <f t="shared" si="2"/>
        <v>0</v>
      </c>
      <c r="D71" s="7"/>
      <c r="E71" s="6">
        <f t="shared" si="0"/>
        <v>0</v>
      </c>
      <c r="F71" s="6">
        <f t="shared" si="1"/>
        <v>0</v>
      </c>
      <c r="G71" s="62"/>
      <c r="H71" s="62"/>
      <c r="I71" s="60"/>
      <c r="J71" s="60"/>
      <c r="K71" s="64"/>
      <c r="L71" s="64"/>
      <c r="M71" s="25"/>
      <c r="N71" s="25"/>
    </row>
    <row r="72" spans="1:14">
      <c r="A72" s="3" t="s">
        <v>111</v>
      </c>
      <c r="B72" s="4" t="s">
        <v>112</v>
      </c>
      <c r="C72" s="7">
        <f t="shared" si="2"/>
        <v>0</v>
      </c>
      <c r="D72" s="7"/>
      <c r="E72" s="6">
        <f t="shared" si="0"/>
        <v>0</v>
      </c>
      <c r="F72" s="6">
        <f t="shared" si="1"/>
        <v>0</v>
      </c>
      <c r="G72" s="62"/>
      <c r="H72" s="62"/>
      <c r="I72" s="60"/>
      <c r="J72" s="60"/>
      <c r="K72" s="64"/>
      <c r="L72" s="64"/>
      <c r="M72" s="25"/>
      <c r="N72" s="25"/>
    </row>
    <row r="73" spans="1:14">
      <c r="A73" s="3" t="s">
        <v>113</v>
      </c>
      <c r="B73" s="4" t="s">
        <v>114</v>
      </c>
      <c r="C73" s="7">
        <f t="shared" si="2"/>
        <v>0</v>
      </c>
      <c r="D73" s="7"/>
      <c r="E73" s="6">
        <f t="shared" si="0"/>
        <v>0</v>
      </c>
      <c r="F73" s="6">
        <f t="shared" si="1"/>
        <v>0</v>
      </c>
      <c r="G73" s="62"/>
      <c r="H73" s="62"/>
      <c r="I73" s="60"/>
      <c r="J73" s="60"/>
      <c r="K73" s="64"/>
      <c r="L73" s="64"/>
      <c r="M73" s="25"/>
      <c r="N73" s="25"/>
    </row>
    <row r="74" spans="1:14">
      <c r="A74" s="3" t="s">
        <v>115</v>
      </c>
      <c r="B74" s="4" t="s">
        <v>116</v>
      </c>
      <c r="C74" s="7">
        <f t="shared" si="2"/>
        <v>0</v>
      </c>
      <c r="D74" s="7"/>
      <c r="E74" s="6">
        <f t="shared" si="0"/>
        <v>0</v>
      </c>
      <c r="F74" s="6">
        <f t="shared" si="1"/>
        <v>0</v>
      </c>
      <c r="G74" s="62"/>
      <c r="H74" s="62"/>
      <c r="I74" s="60"/>
      <c r="J74" s="60"/>
      <c r="K74" s="64"/>
      <c r="L74" s="64"/>
      <c r="M74" s="25"/>
      <c r="N74" s="25"/>
    </row>
    <row r="75" spans="1:14">
      <c r="A75" s="3" t="s">
        <v>117</v>
      </c>
      <c r="B75" s="4" t="s">
        <v>118</v>
      </c>
      <c r="C75" s="7">
        <f t="shared" si="2"/>
        <v>0</v>
      </c>
      <c r="D75" s="7"/>
      <c r="E75" s="6">
        <f t="shared" si="0"/>
        <v>0</v>
      </c>
      <c r="F75" s="6">
        <f t="shared" si="1"/>
        <v>0</v>
      </c>
      <c r="G75" s="62"/>
      <c r="H75" s="62"/>
      <c r="I75" s="60"/>
      <c r="J75" s="60"/>
      <c r="K75" s="64"/>
      <c r="L75" s="64"/>
      <c r="M75" s="25"/>
      <c r="N75" s="25"/>
    </row>
    <row r="76" spans="1:14">
      <c r="A76" s="3" t="s">
        <v>119</v>
      </c>
      <c r="B76" s="4" t="s">
        <v>120</v>
      </c>
      <c r="C76" s="7">
        <f t="shared" si="2"/>
        <v>0</v>
      </c>
      <c r="D76" s="7"/>
      <c r="E76" s="6">
        <f t="shared" si="0"/>
        <v>0</v>
      </c>
      <c r="F76" s="6">
        <f t="shared" si="1"/>
        <v>0</v>
      </c>
      <c r="G76" s="62"/>
      <c r="H76" s="62"/>
      <c r="I76" s="60"/>
      <c r="J76" s="60"/>
      <c r="K76" s="64"/>
      <c r="L76" s="64"/>
      <c r="M76" s="25"/>
      <c r="N76" s="25"/>
    </row>
    <row r="77" spans="1:14">
      <c r="A77" s="3" t="s">
        <v>121</v>
      </c>
      <c r="B77" s="4" t="s">
        <v>122</v>
      </c>
      <c r="C77" s="7">
        <f t="shared" si="2"/>
        <v>0</v>
      </c>
      <c r="D77" s="7"/>
      <c r="E77" s="6">
        <f t="shared" si="0"/>
        <v>0</v>
      </c>
      <c r="F77" s="6">
        <f t="shared" si="1"/>
        <v>0</v>
      </c>
      <c r="G77" s="62"/>
      <c r="H77" s="62"/>
      <c r="I77" s="60"/>
      <c r="J77" s="60"/>
      <c r="K77" s="64"/>
      <c r="L77" s="64"/>
      <c r="M77" s="25"/>
      <c r="N77" s="25"/>
    </row>
    <row r="78" spans="1:14">
      <c r="A78" s="3" t="s">
        <v>123</v>
      </c>
      <c r="B78" s="4" t="s">
        <v>124</v>
      </c>
      <c r="C78" s="7">
        <f t="shared" si="2"/>
        <v>0</v>
      </c>
      <c r="D78" s="7"/>
      <c r="E78" s="6">
        <f t="shared" ref="E78:E141" si="3">SUM(G78,I78,K78,M78)</f>
        <v>0</v>
      </c>
      <c r="F78" s="6">
        <f t="shared" ref="F78:F141" si="4">SUM(H78,J78,L78,N78)</f>
        <v>0</v>
      </c>
      <c r="G78" s="62"/>
      <c r="H78" s="62"/>
      <c r="I78" s="60"/>
      <c r="J78" s="60"/>
      <c r="K78" s="64"/>
      <c r="L78" s="64"/>
      <c r="M78" s="25"/>
      <c r="N78" s="25"/>
    </row>
    <row r="79" spans="1:14">
      <c r="A79" s="3" t="s">
        <v>125</v>
      </c>
      <c r="B79" s="4">
        <v>201</v>
      </c>
      <c r="C79" s="7">
        <f t="shared" si="2"/>
        <v>0</v>
      </c>
      <c r="D79" s="7"/>
      <c r="E79" s="6">
        <f t="shared" si="3"/>
        <v>0</v>
      </c>
      <c r="F79" s="6">
        <f t="shared" si="4"/>
        <v>0</v>
      </c>
      <c r="G79" s="62"/>
      <c r="H79" s="62"/>
      <c r="I79" s="60"/>
      <c r="J79" s="60"/>
      <c r="K79" s="64"/>
      <c r="L79" s="64"/>
      <c r="M79" s="25"/>
      <c r="N79" s="25"/>
    </row>
    <row r="80" spans="1:14">
      <c r="A80" s="3" t="s">
        <v>126</v>
      </c>
      <c r="B80" s="4">
        <v>202</v>
      </c>
      <c r="C80" s="7">
        <f t="shared" si="2"/>
        <v>0</v>
      </c>
      <c r="D80" s="7"/>
      <c r="E80" s="6">
        <f t="shared" si="3"/>
        <v>0</v>
      </c>
      <c r="F80" s="6">
        <f t="shared" si="4"/>
        <v>0</v>
      </c>
      <c r="G80" s="62"/>
      <c r="H80" s="62"/>
      <c r="I80" s="60"/>
      <c r="J80" s="60"/>
      <c r="K80" s="64"/>
      <c r="L80" s="64"/>
      <c r="M80" s="25"/>
      <c r="N80" s="25"/>
    </row>
    <row r="81" spans="1:14">
      <c r="A81" s="8" t="s">
        <v>127</v>
      </c>
      <c r="B81" s="4">
        <v>302</v>
      </c>
      <c r="C81" s="7"/>
      <c r="D81" s="7">
        <f>F81-E81</f>
        <v>0</v>
      </c>
      <c r="E81" s="6">
        <f t="shared" si="3"/>
        <v>0</v>
      </c>
      <c r="F81" s="6">
        <f t="shared" si="4"/>
        <v>0</v>
      </c>
      <c r="G81" s="62"/>
      <c r="H81" s="62"/>
      <c r="I81" s="60"/>
      <c r="J81" s="60"/>
      <c r="K81" s="64"/>
      <c r="L81" s="64"/>
      <c r="M81" s="25"/>
      <c r="N81" s="25"/>
    </row>
    <row r="82" spans="1:14">
      <c r="A82" s="3" t="s">
        <v>128</v>
      </c>
      <c r="B82" s="4">
        <v>203</v>
      </c>
      <c r="C82" s="7">
        <f>E82-F82</f>
        <v>0</v>
      </c>
      <c r="D82" s="7"/>
      <c r="E82" s="6">
        <f t="shared" si="3"/>
        <v>0</v>
      </c>
      <c r="F82" s="6">
        <f t="shared" si="4"/>
        <v>0</v>
      </c>
      <c r="G82" s="62"/>
      <c r="H82" s="62"/>
      <c r="I82" s="60"/>
      <c r="J82" s="60"/>
      <c r="K82" s="64"/>
      <c r="L82" s="64"/>
      <c r="M82" s="25"/>
      <c r="N82" s="25"/>
    </row>
    <row r="83" spans="1:14">
      <c r="A83" s="3" t="s">
        <v>129</v>
      </c>
      <c r="B83" s="4">
        <v>303</v>
      </c>
      <c r="C83" s="7"/>
      <c r="D83" s="7">
        <f>F83-E83</f>
        <v>0</v>
      </c>
      <c r="E83" s="6">
        <f t="shared" si="3"/>
        <v>0</v>
      </c>
      <c r="F83" s="6">
        <f t="shared" si="4"/>
        <v>0</v>
      </c>
      <c r="G83" s="62"/>
      <c r="H83" s="62"/>
      <c r="I83" s="60"/>
      <c r="J83" s="60"/>
      <c r="K83" s="64"/>
      <c r="L83" s="64"/>
      <c r="M83" s="25"/>
      <c r="N83" s="25"/>
    </row>
    <row r="84" spans="1:14">
      <c r="A84" s="3" t="s">
        <v>130</v>
      </c>
      <c r="B84" s="4">
        <v>204</v>
      </c>
      <c r="C84" s="7">
        <f>E84-F84</f>
        <v>0</v>
      </c>
      <c r="D84" s="7"/>
      <c r="E84" s="6">
        <f t="shared" si="3"/>
        <v>0</v>
      </c>
      <c r="F84" s="6">
        <f t="shared" si="4"/>
        <v>0</v>
      </c>
      <c r="G84" s="62"/>
      <c r="H84" s="62"/>
      <c r="I84" s="60"/>
      <c r="J84" s="60"/>
      <c r="K84" s="64"/>
      <c r="L84" s="64"/>
      <c r="M84" s="25"/>
      <c r="N84" s="25"/>
    </row>
    <row r="85" spans="1:14">
      <c r="A85" s="3" t="s">
        <v>131</v>
      </c>
      <c r="B85" s="4">
        <v>304</v>
      </c>
      <c r="C85" s="7"/>
      <c r="D85" s="7">
        <f>F85-E85</f>
        <v>0</v>
      </c>
      <c r="E85" s="6">
        <f t="shared" si="3"/>
        <v>0</v>
      </c>
      <c r="F85" s="6">
        <f t="shared" si="4"/>
        <v>0</v>
      </c>
      <c r="G85" s="62"/>
      <c r="H85" s="62"/>
      <c r="I85" s="60"/>
      <c r="J85" s="60"/>
      <c r="K85" s="64"/>
      <c r="L85" s="64"/>
      <c r="M85" s="25"/>
      <c r="N85" s="25"/>
    </row>
    <row r="86" spans="1:14">
      <c r="A86" s="3" t="s">
        <v>132</v>
      </c>
      <c r="B86" s="4">
        <v>205</v>
      </c>
      <c r="C86" s="7">
        <f>E86-F86</f>
        <v>0</v>
      </c>
      <c r="D86" s="7"/>
      <c r="E86" s="6">
        <f t="shared" si="3"/>
        <v>0</v>
      </c>
      <c r="F86" s="6">
        <f t="shared" si="4"/>
        <v>0</v>
      </c>
      <c r="G86" s="62"/>
      <c r="H86" s="62"/>
      <c r="I86" s="60"/>
      <c r="J86" s="60"/>
      <c r="K86" s="64"/>
      <c r="L86" s="64"/>
      <c r="M86" s="25"/>
      <c r="N86" s="25"/>
    </row>
    <row r="87" spans="1:14" ht="28.5">
      <c r="A87" s="8" t="s">
        <v>133</v>
      </c>
      <c r="B87" s="4">
        <v>305</v>
      </c>
      <c r="C87" s="7"/>
      <c r="D87" s="7">
        <f>F87-E87</f>
        <v>0</v>
      </c>
      <c r="E87" s="6">
        <f t="shared" si="3"/>
        <v>0</v>
      </c>
      <c r="F87" s="6">
        <f t="shared" si="4"/>
        <v>0</v>
      </c>
      <c r="G87" s="62"/>
      <c r="H87" s="62"/>
      <c r="I87" s="60"/>
      <c r="J87" s="60"/>
      <c r="K87" s="64"/>
      <c r="L87" s="64"/>
      <c r="M87" s="25"/>
      <c r="N87" s="25"/>
    </row>
    <row r="88" spans="1:14">
      <c r="A88" s="8" t="s">
        <v>134</v>
      </c>
      <c r="B88" s="4" t="s">
        <v>135</v>
      </c>
      <c r="C88" s="7">
        <f>E88-F88</f>
        <v>0</v>
      </c>
      <c r="D88" s="7"/>
      <c r="E88" s="6">
        <f t="shared" si="3"/>
        <v>0</v>
      </c>
      <c r="F88" s="6">
        <f t="shared" si="4"/>
        <v>0</v>
      </c>
      <c r="G88" s="62"/>
      <c r="H88" s="62"/>
      <c r="I88" s="60"/>
      <c r="J88" s="60"/>
      <c r="K88" s="64"/>
      <c r="L88" s="64"/>
      <c r="M88" s="25"/>
      <c r="N88" s="25"/>
    </row>
    <row r="89" spans="1:14">
      <c r="A89" s="8" t="s">
        <v>136</v>
      </c>
      <c r="B89" s="4" t="s">
        <v>137</v>
      </c>
      <c r="C89" s="7"/>
      <c r="D89" s="7">
        <f>F89-E89</f>
        <v>0</v>
      </c>
      <c r="E89" s="6">
        <f t="shared" si="3"/>
        <v>0</v>
      </c>
      <c r="F89" s="6">
        <f t="shared" si="4"/>
        <v>0</v>
      </c>
      <c r="G89" s="62"/>
      <c r="H89" s="62"/>
      <c r="I89" s="60"/>
      <c r="J89" s="60"/>
      <c r="K89" s="64"/>
      <c r="L89" s="64"/>
      <c r="M89" s="25"/>
      <c r="N89" s="25"/>
    </row>
    <row r="90" spans="1:14">
      <c r="A90" s="8" t="s">
        <v>138</v>
      </c>
      <c r="B90" s="4" t="s">
        <v>139</v>
      </c>
      <c r="C90" s="7">
        <f>E90-F90</f>
        <v>0</v>
      </c>
      <c r="D90" s="7"/>
      <c r="E90" s="6">
        <f t="shared" si="3"/>
        <v>0</v>
      </c>
      <c r="F90" s="6">
        <f t="shared" si="4"/>
        <v>0</v>
      </c>
      <c r="G90" s="62"/>
      <c r="H90" s="62"/>
      <c r="I90" s="60"/>
      <c r="J90" s="60"/>
      <c r="K90" s="64"/>
      <c r="L90" s="64"/>
      <c r="M90" s="25"/>
      <c r="N90" s="25"/>
    </row>
    <row r="91" spans="1:14">
      <c r="A91" s="8" t="s">
        <v>140</v>
      </c>
      <c r="B91" s="4" t="s">
        <v>141</v>
      </c>
      <c r="C91" s="7"/>
      <c r="D91" s="7">
        <f>F91-E91</f>
        <v>0</v>
      </c>
      <c r="E91" s="6">
        <f t="shared" si="3"/>
        <v>0</v>
      </c>
      <c r="F91" s="6">
        <f t="shared" si="4"/>
        <v>0</v>
      </c>
      <c r="G91" s="62"/>
      <c r="H91" s="62"/>
      <c r="I91" s="60"/>
      <c r="J91" s="60"/>
      <c r="K91" s="64"/>
      <c r="L91" s="64"/>
      <c r="M91" s="25"/>
      <c r="N91" s="25"/>
    </row>
    <row r="92" spans="1:14">
      <c r="A92" s="8" t="s">
        <v>142</v>
      </c>
      <c r="B92" s="4" t="s">
        <v>143</v>
      </c>
      <c r="C92" s="7">
        <f>E92-F92</f>
        <v>0</v>
      </c>
      <c r="D92" s="7"/>
      <c r="E92" s="6">
        <f t="shared" si="3"/>
        <v>0</v>
      </c>
      <c r="F92" s="6">
        <f t="shared" si="4"/>
        <v>0</v>
      </c>
      <c r="G92" s="62"/>
      <c r="H92" s="62"/>
      <c r="I92" s="60"/>
      <c r="J92" s="60"/>
      <c r="K92" s="64"/>
      <c r="L92" s="64"/>
      <c r="M92" s="25"/>
      <c r="N92" s="25"/>
    </row>
    <row r="93" spans="1:14" ht="28.5">
      <c r="A93" s="8" t="s">
        <v>144</v>
      </c>
      <c r="B93" s="4" t="s">
        <v>145</v>
      </c>
      <c r="C93" s="7"/>
      <c r="D93" s="7">
        <f>F93-E93</f>
        <v>0</v>
      </c>
      <c r="E93" s="6">
        <f t="shared" si="3"/>
        <v>0</v>
      </c>
      <c r="F93" s="6">
        <f t="shared" si="4"/>
        <v>0</v>
      </c>
      <c r="G93" s="62"/>
      <c r="H93" s="62"/>
      <c r="I93" s="60"/>
      <c r="J93" s="60"/>
      <c r="K93" s="64"/>
      <c r="L93" s="64"/>
      <c r="M93" s="25"/>
      <c r="N93" s="25"/>
    </row>
    <row r="94" spans="1:14">
      <c r="A94" s="8" t="s">
        <v>146</v>
      </c>
      <c r="B94" s="4" t="s">
        <v>147</v>
      </c>
      <c r="C94" s="7">
        <f>E94-F94</f>
        <v>0</v>
      </c>
      <c r="D94" s="7"/>
      <c r="E94" s="6">
        <f t="shared" si="3"/>
        <v>0</v>
      </c>
      <c r="F94" s="6">
        <f t="shared" si="4"/>
        <v>0</v>
      </c>
      <c r="G94" s="62"/>
      <c r="H94" s="62"/>
      <c r="I94" s="60"/>
      <c r="J94" s="60"/>
      <c r="K94" s="64"/>
      <c r="L94" s="64"/>
      <c r="M94" s="25"/>
      <c r="N94" s="25"/>
    </row>
    <row r="95" spans="1:14" ht="28.5">
      <c r="A95" s="8" t="s">
        <v>148</v>
      </c>
      <c r="B95" s="4" t="s">
        <v>149</v>
      </c>
      <c r="C95" s="7"/>
      <c r="D95" s="7">
        <f>F95-E95</f>
        <v>0</v>
      </c>
      <c r="E95" s="6">
        <f t="shared" si="3"/>
        <v>0</v>
      </c>
      <c r="F95" s="6">
        <f t="shared" si="4"/>
        <v>0</v>
      </c>
      <c r="G95" s="62"/>
      <c r="H95" s="62"/>
      <c r="I95" s="60"/>
      <c r="J95" s="60"/>
      <c r="K95" s="64"/>
      <c r="L95" s="64"/>
      <c r="M95" s="25"/>
      <c r="N95" s="25"/>
    </row>
    <row r="96" spans="1:14">
      <c r="A96" s="8" t="s">
        <v>150</v>
      </c>
      <c r="B96" s="4" t="s">
        <v>151</v>
      </c>
      <c r="C96" s="7">
        <f>E96-F96</f>
        <v>0</v>
      </c>
      <c r="D96" s="7"/>
      <c r="E96" s="6">
        <f t="shared" si="3"/>
        <v>0</v>
      </c>
      <c r="F96" s="6">
        <f t="shared" si="4"/>
        <v>0</v>
      </c>
      <c r="G96" s="62"/>
      <c r="H96" s="62"/>
      <c r="I96" s="60"/>
      <c r="J96" s="60"/>
      <c r="K96" s="64"/>
      <c r="L96" s="64"/>
      <c r="M96" s="25"/>
      <c r="N96" s="25"/>
    </row>
    <row r="97" spans="1:14">
      <c r="A97" s="8" t="s">
        <v>152</v>
      </c>
      <c r="B97" s="4" t="s">
        <v>153</v>
      </c>
      <c r="C97" s="7"/>
      <c r="D97" s="7">
        <f>F97-E97</f>
        <v>0</v>
      </c>
      <c r="E97" s="6">
        <f t="shared" si="3"/>
        <v>0</v>
      </c>
      <c r="F97" s="6">
        <f t="shared" si="4"/>
        <v>0</v>
      </c>
      <c r="G97" s="62"/>
      <c r="H97" s="62"/>
      <c r="I97" s="60"/>
      <c r="J97" s="60"/>
      <c r="K97" s="64"/>
      <c r="L97" s="64"/>
      <c r="M97" s="25"/>
      <c r="N97" s="25"/>
    </row>
    <row r="98" spans="1:14">
      <c r="A98" s="8" t="s">
        <v>154</v>
      </c>
      <c r="B98" s="4" t="s">
        <v>155</v>
      </c>
      <c r="C98" s="7">
        <f>E98-F98</f>
        <v>0</v>
      </c>
      <c r="D98" s="7"/>
      <c r="E98" s="6">
        <f t="shared" si="3"/>
        <v>0</v>
      </c>
      <c r="F98" s="6">
        <f t="shared" si="4"/>
        <v>0</v>
      </c>
      <c r="G98" s="62"/>
      <c r="H98" s="62"/>
      <c r="I98" s="60"/>
      <c r="J98" s="60"/>
      <c r="K98" s="64"/>
      <c r="L98" s="64"/>
      <c r="M98" s="25"/>
      <c r="N98" s="25"/>
    </row>
    <row r="99" spans="1:14" ht="28.5">
      <c r="A99" s="8" t="s">
        <v>156</v>
      </c>
      <c r="B99" s="4" t="s">
        <v>157</v>
      </c>
      <c r="C99" s="7"/>
      <c r="D99" s="7">
        <f>F99-E99</f>
        <v>0</v>
      </c>
      <c r="E99" s="6">
        <f t="shared" si="3"/>
        <v>0</v>
      </c>
      <c r="F99" s="6">
        <f t="shared" si="4"/>
        <v>0</v>
      </c>
      <c r="G99" s="62"/>
      <c r="H99" s="62"/>
      <c r="I99" s="60"/>
      <c r="J99" s="60"/>
      <c r="K99" s="64"/>
      <c r="L99" s="64"/>
      <c r="M99" s="25"/>
      <c r="N99" s="25"/>
    </row>
    <row r="100" spans="1:14">
      <c r="A100" s="8" t="s">
        <v>158</v>
      </c>
      <c r="B100" s="4" t="s">
        <v>159</v>
      </c>
      <c r="C100" s="7">
        <f>E100-F100</f>
        <v>0</v>
      </c>
      <c r="D100" s="7"/>
      <c r="E100" s="6">
        <f t="shared" si="3"/>
        <v>0</v>
      </c>
      <c r="F100" s="6">
        <f t="shared" si="4"/>
        <v>0</v>
      </c>
      <c r="G100" s="62"/>
      <c r="H100" s="62"/>
      <c r="I100" s="60"/>
      <c r="J100" s="60"/>
      <c r="K100" s="64"/>
      <c r="L100" s="64"/>
      <c r="M100" s="25"/>
      <c r="N100" s="25"/>
    </row>
    <row r="101" spans="1:14" ht="28.5">
      <c r="A101" s="8" t="s">
        <v>160</v>
      </c>
      <c r="B101" s="4" t="s">
        <v>161</v>
      </c>
      <c r="C101" s="7"/>
      <c r="D101" s="7">
        <f>F101-E101</f>
        <v>0</v>
      </c>
      <c r="E101" s="6">
        <f t="shared" si="3"/>
        <v>0</v>
      </c>
      <c r="F101" s="6">
        <f t="shared" si="4"/>
        <v>0</v>
      </c>
      <c r="G101" s="62"/>
      <c r="H101" s="62"/>
      <c r="I101" s="60"/>
      <c r="J101" s="60"/>
      <c r="K101" s="64"/>
      <c r="L101" s="64"/>
      <c r="M101" s="25"/>
      <c r="N101" s="25"/>
    </row>
    <row r="102" spans="1:14">
      <c r="A102" s="8" t="s">
        <v>162</v>
      </c>
      <c r="B102" s="4" t="s">
        <v>163</v>
      </c>
      <c r="C102" s="7">
        <f>E102-F102</f>
        <v>0</v>
      </c>
      <c r="D102" s="7"/>
      <c r="E102" s="6">
        <f t="shared" si="3"/>
        <v>0</v>
      </c>
      <c r="F102" s="6">
        <f t="shared" si="4"/>
        <v>0</v>
      </c>
      <c r="G102" s="62"/>
      <c r="H102" s="62"/>
      <c r="I102" s="60"/>
      <c r="J102" s="60"/>
      <c r="K102" s="64"/>
      <c r="L102" s="64"/>
      <c r="M102" s="25"/>
      <c r="N102" s="25"/>
    </row>
    <row r="103" spans="1:14" ht="28.5">
      <c r="A103" s="8" t="s">
        <v>164</v>
      </c>
      <c r="B103" s="4" t="s">
        <v>165</v>
      </c>
      <c r="C103" s="7"/>
      <c r="D103" s="7">
        <f>F103-E103</f>
        <v>0</v>
      </c>
      <c r="E103" s="6">
        <f t="shared" si="3"/>
        <v>0</v>
      </c>
      <c r="F103" s="6">
        <f t="shared" si="4"/>
        <v>0</v>
      </c>
      <c r="G103" s="62"/>
      <c r="H103" s="62"/>
      <c r="I103" s="60"/>
      <c r="J103" s="60"/>
      <c r="K103" s="64"/>
      <c r="L103" s="64"/>
      <c r="M103" s="25"/>
      <c r="N103" s="25"/>
    </row>
    <row r="104" spans="1:14">
      <c r="A104" s="8" t="s">
        <v>166</v>
      </c>
      <c r="B104" s="4" t="s">
        <v>167</v>
      </c>
      <c r="C104" s="7">
        <f>E104-F104</f>
        <v>0</v>
      </c>
      <c r="D104" s="7"/>
      <c r="E104" s="6">
        <f t="shared" si="3"/>
        <v>0</v>
      </c>
      <c r="F104" s="6">
        <f t="shared" si="4"/>
        <v>0</v>
      </c>
      <c r="G104" s="62"/>
      <c r="H104" s="62"/>
      <c r="I104" s="60"/>
      <c r="J104" s="60"/>
      <c r="K104" s="64"/>
      <c r="L104" s="64"/>
      <c r="M104" s="25"/>
      <c r="N104" s="25"/>
    </row>
    <row r="105" spans="1:14">
      <c r="A105" s="8" t="s">
        <v>168</v>
      </c>
      <c r="B105" s="4" t="s">
        <v>169</v>
      </c>
      <c r="C105" s="7"/>
      <c r="D105" s="7">
        <f>F105-E105</f>
        <v>0</v>
      </c>
      <c r="E105" s="6">
        <f t="shared" si="3"/>
        <v>0</v>
      </c>
      <c r="F105" s="6">
        <f t="shared" si="4"/>
        <v>0</v>
      </c>
      <c r="G105" s="62"/>
      <c r="H105" s="62"/>
      <c r="I105" s="60"/>
      <c r="J105" s="60"/>
      <c r="K105" s="64"/>
      <c r="L105" s="64"/>
      <c r="M105" s="25"/>
      <c r="N105" s="25"/>
    </row>
    <row r="106" spans="1:14">
      <c r="A106" s="8" t="s">
        <v>170</v>
      </c>
      <c r="B106" s="4" t="s">
        <v>171</v>
      </c>
      <c r="C106" s="7">
        <f>E106-F106</f>
        <v>0</v>
      </c>
      <c r="D106" s="7"/>
      <c r="E106" s="6">
        <f t="shared" si="3"/>
        <v>0</v>
      </c>
      <c r="F106" s="6">
        <f t="shared" si="4"/>
        <v>0</v>
      </c>
      <c r="G106" s="62"/>
      <c r="H106" s="62"/>
      <c r="I106" s="60"/>
      <c r="J106" s="60"/>
      <c r="K106" s="64"/>
      <c r="L106" s="64"/>
      <c r="M106" s="25"/>
      <c r="N106" s="25"/>
    </row>
    <row r="107" spans="1:14" ht="28.5">
      <c r="A107" s="8" t="s">
        <v>172</v>
      </c>
      <c r="B107" s="4" t="s">
        <v>173</v>
      </c>
      <c r="C107" s="7"/>
      <c r="D107" s="7">
        <f>F107-E107</f>
        <v>0</v>
      </c>
      <c r="E107" s="6">
        <f t="shared" si="3"/>
        <v>0</v>
      </c>
      <c r="F107" s="6">
        <f t="shared" si="4"/>
        <v>0</v>
      </c>
      <c r="G107" s="62"/>
      <c r="H107" s="62"/>
      <c r="I107" s="60"/>
      <c r="J107" s="60"/>
      <c r="K107" s="64"/>
      <c r="L107" s="64"/>
      <c r="M107" s="25"/>
      <c r="N107" s="25"/>
    </row>
    <row r="108" spans="1:14">
      <c r="A108" s="8" t="s">
        <v>174</v>
      </c>
      <c r="B108" s="4" t="s">
        <v>175</v>
      </c>
      <c r="C108" s="7">
        <f>E108-F108</f>
        <v>0</v>
      </c>
      <c r="D108" s="7"/>
      <c r="E108" s="6">
        <f t="shared" si="3"/>
        <v>0</v>
      </c>
      <c r="F108" s="6">
        <f t="shared" si="4"/>
        <v>0</v>
      </c>
      <c r="G108" s="62"/>
      <c r="H108" s="62"/>
      <c r="I108" s="60"/>
      <c r="J108" s="60"/>
      <c r="K108" s="64"/>
      <c r="L108" s="64"/>
      <c r="M108" s="25"/>
      <c r="N108" s="25"/>
    </row>
    <row r="109" spans="1:14">
      <c r="A109" s="8" t="s">
        <v>176</v>
      </c>
      <c r="B109" s="4" t="s">
        <v>177</v>
      </c>
      <c r="C109" s="7"/>
      <c r="D109" s="7">
        <f>F109-E109</f>
        <v>0</v>
      </c>
      <c r="E109" s="6">
        <f t="shared" si="3"/>
        <v>0</v>
      </c>
      <c r="F109" s="6">
        <f t="shared" si="4"/>
        <v>0</v>
      </c>
      <c r="G109" s="62"/>
      <c r="H109" s="62"/>
      <c r="I109" s="60"/>
      <c r="J109" s="60"/>
      <c r="K109" s="64"/>
      <c r="L109" s="64"/>
      <c r="M109" s="25"/>
      <c r="N109" s="25"/>
    </row>
    <row r="110" spans="1:14">
      <c r="A110" s="8" t="s">
        <v>178</v>
      </c>
      <c r="B110" s="4" t="s">
        <v>179</v>
      </c>
      <c r="C110" s="7">
        <f>E110-F110</f>
        <v>0</v>
      </c>
      <c r="D110" s="7"/>
      <c r="E110" s="6">
        <f t="shared" si="3"/>
        <v>0</v>
      </c>
      <c r="F110" s="6">
        <f t="shared" si="4"/>
        <v>0</v>
      </c>
      <c r="G110" s="62"/>
      <c r="H110" s="62"/>
      <c r="I110" s="60"/>
      <c r="J110" s="60"/>
      <c r="K110" s="64"/>
      <c r="L110" s="64"/>
      <c r="M110" s="25"/>
      <c r="N110" s="25"/>
    </row>
    <row r="111" spans="1:14">
      <c r="A111" s="8" t="s">
        <v>180</v>
      </c>
      <c r="B111" s="4" t="s">
        <v>181</v>
      </c>
      <c r="C111" s="7"/>
      <c r="D111" s="7">
        <f>F111-E111</f>
        <v>0</v>
      </c>
      <c r="E111" s="6">
        <f t="shared" si="3"/>
        <v>0</v>
      </c>
      <c r="F111" s="6">
        <f t="shared" si="4"/>
        <v>0</v>
      </c>
      <c r="G111" s="62"/>
      <c r="H111" s="62"/>
      <c r="I111" s="60"/>
      <c r="J111" s="60"/>
      <c r="K111" s="64"/>
      <c r="L111" s="64"/>
      <c r="M111" s="25"/>
      <c r="N111" s="25"/>
    </row>
    <row r="112" spans="1:14">
      <c r="A112" s="8" t="s">
        <v>182</v>
      </c>
      <c r="B112" s="4" t="s">
        <v>183</v>
      </c>
      <c r="C112" s="7">
        <f>E112-F112</f>
        <v>0</v>
      </c>
      <c r="D112" s="7"/>
      <c r="E112" s="6">
        <f t="shared" si="3"/>
        <v>0</v>
      </c>
      <c r="F112" s="6">
        <f t="shared" si="4"/>
        <v>0</v>
      </c>
      <c r="G112" s="62"/>
      <c r="H112" s="62"/>
      <c r="I112" s="60"/>
      <c r="J112" s="60"/>
      <c r="K112" s="64"/>
      <c r="L112" s="64"/>
      <c r="M112" s="25"/>
      <c r="N112" s="25"/>
    </row>
    <row r="113" spans="1:14">
      <c r="A113" s="8" t="s">
        <v>184</v>
      </c>
      <c r="B113" s="4" t="s">
        <v>185</v>
      </c>
      <c r="C113" s="7"/>
      <c r="D113" s="7">
        <f>F113-E113</f>
        <v>0</v>
      </c>
      <c r="E113" s="6">
        <f t="shared" si="3"/>
        <v>0</v>
      </c>
      <c r="F113" s="6">
        <f t="shared" si="4"/>
        <v>0</v>
      </c>
      <c r="G113" s="62"/>
      <c r="H113" s="62"/>
      <c r="I113" s="60"/>
      <c r="J113" s="60"/>
      <c r="K113" s="64"/>
      <c r="L113" s="64"/>
      <c r="M113" s="25"/>
      <c r="N113" s="25"/>
    </row>
    <row r="114" spans="1:14">
      <c r="A114" s="8" t="s">
        <v>186</v>
      </c>
      <c r="B114" s="4" t="s">
        <v>187</v>
      </c>
      <c r="C114" s="7">
        <f>E114-F114</f>
        <v>0</v>
      </c>
      <c r="D114" s="7"/>
      <c r="E114" s="6">
        <f t="shared" si="3"/>
        <v>0</v>
      </c>
      <c r="F114" s="6">
        <f t="shared" si="4"/>
        <v>0</v>
      </c>
      <c r="G114" s="62"/>
      <c r="H114" s="62"/>
      <c r="I114" s="60"/>
      <c r="J114" s="60"/>
      <c r="K114" s="64"/>
      <c r="L114" s="64"/>
      <c r="M114" s="25"/>
      <c r="N114" s="25"/>
    </row>
    <row r="115" spans="1:14" ht="28.5">
      <c r="A115" s="8" t="s">
        <v>188</v>
      </c>
      <c r="B115" s="4" t="s">
        <v>189</v>
      </c>
      <c r="C115" s="7"/>
      <c r="D115" s="7">
        <f>F115-E115</f>
        <v>0</v>
      </c>
      <c r="E115" s="6">
        <f t="shared" si="3"/>
        <v>0</v>
      </c>
      <c r="F115" s="6">
        <f t="shared" si="4"/>
        <v>0</v>
      </c>
      <c r="G115" s="62"/>
      <c r="H115" s="62"/>
      <c r="I115" s="60"/>
      <c r="J115" s="60"/>
      <c r="K115" s="64"/>
      <c r="L115" s="64"/>
      <c r="M115" s="25"/>
      <c r="N115" s="25"/>
    </row>
    <row r="116" spans="1:14">
      <c r="A116" s="8" t="s">
        <v>190</v>
      </c>
      <c r="B116" s="4" t="s">
        <v>191</v>
      </c>
      <c r="C116" s="7">
        <f>E116-F116</f>
        <v>0</v>
      </c>
      <c r="D116" s="7"/>
      <c r="E116" s="6">
        <f t="shared" si="3"/>
        <v>0</v>
      </c>
      <c r="F116" s="6">
        <f t="shared" si="4"/>
        <v>0</v>
      </c>
      <c r="G116" s="62"/>
      <c r="H116" s="62"/>
      <c r="I116" s="60"/>
      <c r="J116" s="60"/>
      <c r="K116" s="64"/>
      <c r="L116" s="64"/>
      <c r="M116" s="25"/>
      <c r="N116" s="25"/>
    </row>
    <row r="117" spans="1:14">
      <c r="A117" s="8" t="s">
        <v>192</v>
      </c>
      <c r="B117" s="4" t="s">
        <v>193</v>
      </c>
      <c r="C117" s="7"/>
      <c r="D117" s="7">
        <f>F117-E117</f>
        <v>0</v>
      </c>
      <c r="E117" s="6">
        <f t="shared" si="3"/>
        <v>0</v>
      </c>
      <c r="F117" s="6">
        <f t="shared" si="4"/>
        <v>0</v>
      </c>
      <c r="G117" s="62"/>
      <c r="H117" s="62"/>
      <c r="I117" s="60"/>
      <c r="J117" s="60"/>
      <c r="K117" s="64"/>
      <c r="L117" s="64"/>
      <c r="M117" s="25"/>
      <c r="N117" s="25"/>
    </row>
    <row r="118" spans="1:14">
      <c r="A118" s="8" t="s">
        <v>194</v>
      </c>
      <c r="B118" s="4" t="s">
        <v>195</v>
      </c>
      <c r="C118" s="7">
        <f>E118-F118</f>
        <v>0</v>
      </c>
      <c r="D118" s="7"/>
      <c r="E118" s="6">
        <f t="shared" si="3"/>
        <v>0</v>
      </c>
      <c r="F118" s="6">
        <f t="shared" si="4"/>
        <v>0</v>
      </c>
      <c r="G118" s="62"/>
      <c r="H118" s="62"/>
      <c r="I118" s="60"/>
      <c r="J118" s="60"/>
      <c r="K118" s="64"/>
      <c r="L118" s="64"/>
      <c r="M118" s="25"/>
      <c r="N118" s="25"/>
    </row>
    <row r="119" spans="1:14" ht="28.5">
      <c r="A119" s="8" t="s">
        <v>196</v>
      </c>
      <c r="B119" s="4" t="s">
        <v>197</v>
      </c>
      <c r="C119" s="7"/>
      <c r="D119" s="7">
        <f>F119-E119</f>
        <v>0</v>
      </c>
      <c r="E119" s="6">
        <f t="shared" si="3"/>
        <v>0</v>
      </c>
      <c r="F119" s="6">
        <f t="shared" si="4"/>
        <v>0</v>
      </c>
      <c r="G119" s="62"/>
      <c r="H119" s="62"/>
      <c r="I119" s="60"/>
      <c r="J119" s="60"/>
      <c r="K119" s="64"/>
      <c r="L119" s="64"/>
      <c r="M119" s="25"/>
      <c r="N119" s="25"/>
    </row>
    <row r="120" spans="1:14">
      <c r="A120" s="8" t="s">
        <v>198</v>
      </c>
      <c r="B120" s="4" t="s">
        <v>199</v>
      </c>
      <c r="C120" s="7">
        <f>E120-F120</f>
        <v>0</v>
      </c>
      <c r="D120" s="7"/>
      <c r="E120" s="6">
        <f t="shared" si="3"/>
        <v>0</v>
      </c>
      <c r="F120" s="6">
        <f t="shared" si="4"/>
        <v>0</v>
      </c>
      <c r="G120" s="62"/>
      <c r="H120" s="62"/>
      <c r="I120" s="60"/>
      <c r="J120" s="60"/>
      <c r="K120" s="64"/>
      <c r="L120" s="64"/>
      <c r="M120" s="25"/>
      <c r="N120" s="25"/>
    </row>
    <row r="121" spans="1:14" ht="28.5">
      <c r="A121" s="8" t="s">
        <v>200</v>
      </c>
      <c r="B121" s="4" t="s">
        <v>201</v>
      </c>
      <c r="C121" s="7"/>
      <c r="D121" s="7">
        <f>F121-E121</f>
        <v>0</v>
      </c>
      <c r="E121" s="6">
        <f t="shared" si="3"/>
        <v>0</v>
      </c>
      <c r="F121" s="6">
        <f t="shared" si="4"/>
        <v>0</v>
      </c>
      <c r="G121" s="62"/>
      <c r="H121" s="62"/>
      <c r="I121" s="60"/>
      <c r="J121" s="60"/>
      <c r="K121" s="64"/>
      <c r="L121" s="64"/>
      <c r="M121" s="25"/>
      <c r="N121" s="25"/>
    </row>
    <row r="122" spans="1:14">
      <c r="A122" s="8" t="s">
        <v>202</v>
      </c>
      <c r="B122" s="4" t="s">
        <v>203</v>
      </c>
      <c r="C122" s="7">
        <f>E122-F122</f>
        <v>0</v>
      </c>
      <c r="D122" s="7"/>
      <c r="E122" s="6">
        <f t="shared" si="3"/>
        <v>0</v>
      </c>
      <c r="F122" s="6">
        <f t="shared" si="4"/>
        <v>0</v>
      </c>
      <c r="G122" s="62"/>
      <c r="H122" s="62"/>
      <c r="I122" s="60"/>
      <c r="J122" s="60"/>
      <c r="K122" s="64"/>
      <c r="L122" s="64"/>
      <c r="M122" s="25"/>
      <c r="N122" s="25"/>
    </row>
    <row r="123" spans="1:14" ht="28.5">
      <c r="A123" s="8" t="s">
        <v>204</v>
      </c>
      <c r="B123" s="4" t="s">
        <v>205</v>
      </c>
      <c r="C123" s="7"/>
      <c r="D123" s="7">
        <f>F123-E123</f>
        <v>0</v>
      </c>
      <c r="E123" s="6">
        <f t="shared" si="3"/>
        <v>0</v>
      </c>
      <c r="F123" s="6">
        <f t="shared" si="4"/>
        <v>0</v>
      </c>
      <c r="G123" s="62"/>
      <c r="H123" s="62"/>
      <c r="I123" s="60"/>
      <c r="J123" s="60"/>
      <c r="K123" s="64"/>
      <c r="L123" s="64"/>
      <c r="M123" s="25"/>
      <c r="N123" s="25"/>
    </row>
    <row r="124" spans="1:14">
      <c r="A124" s="8" t="s">
        <v>206</v>
      </c>
      <c r="B124" s="4" t="s">
        <v>207</v>
      </c>
      <c r="C124" s="7">
        <f>E124-F124</f>
        <v>0</v>
      </c>
      <c r="D124" s="7"/>
      <c r="E124" s="6">
        <f t="shared" si="3"/>
        <v>0</v>
      </c>
      <c r="F124" s="6">
        <f t="shared" si="4"/>
        <v>0</v>
      </c>
      <c r="G124" s="62"/>
      <c r="H124" s="62"/>
      <c r="I124" s="60"/>
      <c r="J124" s="60"/>
      <c r="K124" s="64"/>
      <c r="L124" s="64"/>
      <c r="M124" s="25"/>
      <c r="N124" s="25"/>
    </row>
    <row r="125" spans="1:14">
      <c r="A125" s="8" t="s">
        <v>208</v>
      </c>
      <c r="B125" s="4" t="s">
        <v>209</v>
      </c>
      <c r="C125" s="7"/>
      <c r="D125" s="7">
        <f>F125-E125</f>
        <v>0</v>
      </c>
      <c r="E125" s="6">
        <f t="shared" si="3"/>
        <v>0</v>
      </c>
      <c r="F125" s="6">
        <f t="shared" si="4"/>
        <v>0</v>
      </c>
      <c r="G125" s="62"/>
      <c r="H125" s="62"/>
      <c r="I125" s="60"/>
      <c r="J125" s="60"/>
      <c r="K125" s="64"/>
      <c r="L125" s="64"/>
      <c r="M125" s="25"/>
      <c r="N125" s="25"/>
    </row>
    <row r="126" spans="1:14">
      <c r="A126" s="8" t="s">
        <v>210</v>
      </c>
      <c r="B126" s="4" t="s">
        <v>211</v>
      </c>
      <c r="C126" s="7">
        <f>E126-F126</f>
        <v>0</v>
      </c>
      <c r="D126" s="7"/>
      <c r="E126" s="6">
        <f t="shared" si="3"/>
        <v>0</v>
      </c>
      <c r="F126" s="6">
        <f t="shared" si="4"/>
        <v>0</v>
      </c>
      <c r="G126" s="62"/>
      <c r="H126" s="62"/>
      <c r="I126" s="60"/>
      <c r="J126" s="60"/>
      <c r="K126" s="64"/>
      <c r="L126" s="64"/>
      <c r="M126" s="25"/>
      <c r="N126" s="25"/>
    </row>
    <row r="127" spans="1:14" ht="28.5">
      <c r="A127" s="8" t="s">
        <v>212</v>
      </c>
      <c r="B127" s="4" t="s">
        <v>213</v>
      </c>
      <c r="C127" s="7"/>
      <c r="D127" s="7">
        <f>F127-E127</f>
        <v>0</v>
      </c>
      <c r="E127" s="6">
        <f t="shared" si="3"/>
        <v>0</v>
      </c>
      <c r="F127" s="6">
        <f t="shared" si="4"/>
        <v>0</v>
      </c>
      <c r="G127" s="62"/>
      <c r="H127" s="62"/>
      <c r="I127" s="60"/>
      <c r="J127" s="60"/>
      <c r="K127" s="64"/>
      <c r="L127" s="64"/>
      <c r="M127" s="25"/>
      <c r="N127" s="25"/>
    </row>
    <row r="128" spans="1:14">
      <c r="A128" s="8" t="s">
        <v>214</v>
      </c>
      <c r="B128" s="4" t="s">
        <v>215</v>
      </c>
      <c r="C128" s="7">
        <f>E128-F128</f>
        <v>0</v>
      </c>
      <c r="D128" s="7"/>
      <c r="E128" s="6">
        <f t="shared" si="3"/>
        <v>0</v>
      </c>
      <c r="F128" s="6">
        <f t="shared" si="4"/>
        <v>0</v>
      </c>
      <c r="G128" s="62"/>
      <c r="H128" s="62"/>
      <c r="I128" s="60"/>
      <c r="J128" s="60"/>
      <c r="K128" s="64"/>
      <c r="L128" s="64"/>
      <c r="M128" s="25"/>
      <c r="N128" s="25"/>
    </row>
    <row r="129" spans="1:14" ht="28.5">
      <c r="A129" s="8" t="s">
        <v>216</v>
      </c>
      <c r="B129" s="4" t="s">
        <v>217</v>
      </c>
      <c r="C129" s="7"/>
      <c r="D129" s="7">
        <f>F129-E129</f>
        <v>0</v>
      </c>
      <c r="E129" s="6">
        <f t="shared" si="3"/>
        <v>0</v>
      </c>
      <c r="F129" s="6">
        <f t="shared" si="4"/>
        <v>0</v>
      </c>
      <c r="G129" s="62"/>
      <c r="H129" s="62"/>
      <c r="I129" s="60"/>
      <c r="J129" s="60"/>
      <c r="K129" s="64"/>
      <c r="L129" s="64"/>
      <c r="M129" s="25"/>
      <c r="N129" s="25"/>
    </row>
    <row r="130" spans="1:14">
      <c r="A130" s="8" t="s">
        <v>218</v>
      </c>
      <c r="B130" s="4" t="s">
        <v>219</v>
      </c>
      <c r="C130" s="7">
        <f>E130-F130</f>
        <v>0</v>
      </c>
      <c r="D130" s="7"/>
      <c r="E130" s="6">
        <f t="shared" si="3"/>
        <v>0</v>
      </c>
      <c r="F130" s="6">
        <f t="shared" si="4"/>
        <v>0</v>
      </c>
      <c r="G130" s="62"/>
      <c r="H130" s="62"/>
      <c r="I130" s="60"/>
      <c r="J130" s="60"/>
      <c r="K130" s="64"/>
      <c r="L130" s="64"/>
      <c r="M130" s="25"/>
      <c r="N130" s="25"/>
    </row>
    <row r="131" spans="1:14">
      <c r="A131" s="8" t="s">
        <v>220</v>
      </c>
      <c r="B131" s="4" t="s">
        <v>221</v>
      </c>
      <c r="C131" s="7"/>
      <c r="D131" s="7">
        <f>F131-E131</f>
        <v>0</v>
      </c>
      <c r="E131" s="6">
        <f t="shared" si="3"/>
        <v>0</v>
      </c>
      <c r="F131" s="6">
        <f t="shared" si="4"/>
        <v>0</v>
      </c>
      <c r="G131" s="62"/>
      <c r="H131" s="62"/>
      <c r="I131" s="60"/>
      <c r="J131" s="60"/>
      <c r="K131" s="64"/>
      <c r="L131" s="64"/>
      <c r="M131" s="25"/>
      <c r="N131" s="25"/>
    </row>
    <row r="132" spans="1:14">
      <c r="A132" s="8" t="s">
        <v>222</v>
      </c>
      <c r="B132" s="4" t="s">
        <v>223</v>
      </c>
      <c r="C132" s="7">
        <f>E132-F132</f>
        <v>0</v>
      </c>
      <c r="D132" s="7"/>
      <c r="E132" s="6">
        <f t="shared" si="3"/>
        <v>0</v>
      </c>
      <c r="F132" s="6">
        <f t="shared" si="4"/>
        <v>0</v>
      </c>
      <c r="G132" s="62"/>
      <c r="H132" s="62"/>
      <c r="I132" s="60"/>
      <c r="J132" s="60"/>
      <c r="K132" s="64"/>
      <c r="L132" s="64"/>
      <c r="M132" s="25"/>
      <c r="N132" s="25"/>
    </row>
    <row r="133" spans="1:14" ht="28.5">
      <c r="A133" s="8" t="s">
        <v>224</v>
      </c>
      <c r="B133" s="4" t="s">
        <v>225</v>
      </c>
      <c r="C133" s="7"/>
      <c r="D133" s="7">
        <f>F133-E133</f>
        <v>0</v>
      </c>
      <c r="E133" s="6">
        <f t="shared" si="3"/>
        <v>0</v>
      </c>
      <c r="F133" s="6">
        <f t="shared" si="4"/>
        <v>0</v>
      </c>
      <c r="G133" s="62"/>
      <c r="H133" s="62"/>
      <c r="I133" s="60"/>
      <c r="J133" s="60"/>
      <c r="K133" s="64"/>
      <c r="L133" s="64"/>
      <c r="M133" s="25"/>
      <c r="N133" s="25"/>
    </row>
    <row r="134" spans="1:14">
      <c r="A134" s="8" t="s">
        <v>226</v>
      </c>
      <c r="B134" s="4" t="s">
        <v>227</v>
      </c>
      <c r="C134" s="7">
        <f>E134-F134</f>
        <v>0</v>
      </c>
      <c r="D134" s="7"/>
      <c r="E134" s="6">
        <f t="shared" si="3"/>
        <v>0</v>
      </c>
      <c r="F134" s="6">
        <f t="shared" si="4"/>
        <v>0</v>
      </c>
      <c r="G134" s="62"/>
      <c r="H134" s="62"/>
      <c r="I134" s="60"/>
      <c r="J134" s="60"/>
      <c r="K134" s="64"/>
      <c r="L134" s="64"/>
      <c r="M134" s="25"/>
      <c r="N134" s="25"/>
    </row>
    <row r="135" spans="1:14" ht="28.5">
      <c r="A135" s="8" t="s">
        <v>228</v>
      </c>
      <c r="B135" s="4" t="s">
        <v>229</v>
      </c>
      <c r="C135" s="7"/>
      <c r="D135" s="7">
        <f>F135-E135</f>
        <v>0</v>
      </c>
      <c r="E135" s="6">
        <f t="shared" si="3"/>
        <v>0</v>
      </c>
      <c r="F135" s="6">
        <f t="shared" si="4"/>
        <v>0</v>
      </c>
      <c r="G135" s="62"/>
      <c r="H135" s="62"/>
      <c r="I135" s="60"/>
      <c r="J135" s="60"/>
      <c r="K135" s="64"/>
      <c r="L135" s="64"/>
      <c r="M135" s="25"/>
      <c r="N135" s="25"/>
    </row>
    <row r="136" spans="1:14">
      <c r="A136" s="8" t="s">
        <v>230</v>
      </c>
      <c r="B136" s="4" t="s">
        <v>231</v>
      </c>
      <c r="C136" s="7">
        <f>E136-F136</f>
        <v>0</v>
      </c>
      <c r="D136" s="7"/>
      <c r="E136" s="6">
        <f t="shared" si="3"/>
        <v>0</v>
      </c>
      <c r="F136" s="6">
        <f t="shared" si="4"/>
        <v>0</v>
      </c>
      <c r="G136" s="62"/>
      <c r="H136" s="62"/>
      <c r="I136" s="60"/>
      <c r="J136" s="60"/>
      <c r="K136" s="64"/>
      <c r="L136" s="64"/>
      <c r="M136" s="25"/>
      <c r="N136" s="25"/>
    </row>
    <row r="137" spans="1:14">
      <c r="A137" s="8" t="s">
        <v>232</v>
      </c>
      <c r="B137" s="4" t="s">
        <v>233</v>
      </c>
      <c r="C137" s="7"/>
      <c r="D137" s="7">
        <f>F137-E137</f>
        <v>0</v>
      </c>
      <c r="E137" s="6">
        <f t="shared" si="3"/>
        <v>0</v>
      </c>
      <c r="F137" s="6">
        <f t="shared" si="4"/>
        <v>0</v>
      </c>
      <c r="G137" s="62"/>
      <c r="H137" s="62"/>
      <c r="I137" s="60"/>
      <c r="J137" s="60"/>
      <c r="K137" s="64"/>
      <c r="L137" s="64"/>
      <c r="M137" s="25"/>
      <c r="N137" s="25"/>
    </row>
    <row r="138" spans="1:14">
      <c r="A138" s="8" t="s">
        <v>234</v>
      </c>
      <c r="B138" s="4" t="s">
        <v>235</v>
      </c>
      <c r="C138" s="7">
        <f>E138-F138</f>
        <v>0</v>
      </c>
      <c r="D138" s="7"/>
      <c r="E138" s="6">
        <f t="shared" si="3"/>
        <v>0</v>
      </c>
      <c r="F138" s="6">
        <f t="shared" si="4"/>
        <v>0</v>
      </c>
      <c r="G138" s="62"/>
      <c r="H138" s="62"/>
      <c r="I138" s="60"/>
      <c r="J138" s="60"/>
      <c r="K138" s="64"/>
      <c r="L138" s="64"/>
      <c r="M138" s="25"/>
      <c r="N138" s="25"/>
    </row>
    <row r="139" spans="1:14">
      <c r="A139" s="8" t="s">
        <v>236</v>
      </c>
      <c r="B139" s="4" t="s">
        <v>237</v>
      </c>
      <c r="C139" s="7"/>
      <c r="D139" s="7">
        <f>F139-E139</f>
        <v>0</v>
      </c>
      <c r="E139" s="6">
        <f t="shared" si="3"/>
        <v>0</v>
      </c>
      <c r="F139" s="6">
        <f t="shared" si="4"/>
        <v>0</v>
      </c>
      <c r="G139" s="62"/>
      <c r="H139" s="62"/>
      <c r="I139" s="60"/>
      <c r="J139" s="60"/>
      <c r="K139" s="64"/>
      <c r="L139" s="64"/>
      <c r="M139" s="25"/>
      <c r="N139" s="25"/>
    </row>
    <row r="140" spans="1:14">
      <c r="A140" s="8" t="s">
        <v>238</v>
      </c>
      <c r="B140" s="4" t="s">
        <v>239</v>
      </c>
      <c r="C140" s="7">
        <f>E140-F140</f>
        <v>0</v>
      </c>
      <c r="D140" s="7"/>
      <c r="E140" s="6">
        <f t="shared" si="3"/>
        <v>0</v>
      </c>
      <c r="F140" s="6">
        <f t="shared" si="4"/>
        <v>0</v>
      </c>
      <c r="G140" s="62"/>
      <c r="H140" s="62"/>
      <c r="I140" s="60"/>
      <c r="J140" s="60"/>
      <c r="K140" s="64"/>
      <c r="L140" s="64"/>
      <c r="M140" s="25"/>
      <c r="N140" s="25"/>
    </row>
    <row r="141" spans="1:14" ht="28.5">
      <c r="A141" s="8" t="s">
        <v>240</v>
      </c>
      <c r="B141" s="4" t="s">
        <v>241</v>
      </c>
      <c r="C141" s="7"/>
      <c r="D141" s="7">
        <f>F141-E141</f>
        <v>0</v>
      </c>
      <c r="E141" s="6">
        <f t="shared" si="3"/>
        <v>0</v>
      </c>
      <c r="F141" s="6">
        <f t="shared" si="4"/>
        <v>0</v>
      </c>
      <c r="G141" s="62"/>
      <c r="H141" s="62"/>
      <c r="I141" s="60"/>
      <c r="J141" s="60"/>
      <c r="K141" s="64"/>
      <c r="L141" s="64"/>
      <c r="M141" s="25"/>
      <c r="N141" s="25"/>
    </row>
    <row r="142" spans="1:14">
      <c r="A142" s="8" t="s">
        <v>242</v>
      </c>
      <c r="B142" s="4" t="s">
        <v>243</v>
      </c>
      <c r="C142" s="7">
        <f>E142-F142</f>
        <v>0</v>
      </c>
      <c r="D142" s="7"/>
      <c r="E142" s="6">
        <f t="shared" ref="E142:E205" si="5">SUM(G142,I142,K142,M142)</f>
        <v>0</v>
      </c>
      <c r="F142" s="6">
        <f t="shared" ref="F142:F205" si="6">SUM(H142,J142,L142,N142)</f>
        <v>0</v>
      </c>
      <c r="G142" s="62"/>
      <c r="H142" s="62"/>
      <c r="I142" s="60"/>
      <c r="J142" s="60"/>
      <c r="K142" s="64"/>
      <c r="L142" s="64"/>
      <c r="M142" s="25"/>
      <c r="N142" s="25"/>
    </row>
    <row r="143" spans="1:14">
      <c r="A143" s="8" t="s">
        <v>244</v>
      </c>
      <c r="B143" s="4" t="s">
        <v>245</v>
      </c>
      <c r="C143" s="7"/>
      <c r="D143" s="7">
        <f>F143-E143</f>
        <v>0</v>
      </c>
      <c r="E143" s="6">
        <f t="shared" si="5"/>
        <v>0</v>
      </c>
      <c r="F143" s="6">
        <f t="shared" si="6"/>
        <v>0</v>
      </c>
      <c r="G143" s="62"/>
      <c r="H143" s="62"/>
      <c r="I143" s="60"/>
      <c r="J143" s="60"/>
      <c r="K143" s="64"/>
      <c r="L143" s="64"/>
      <c r="M143" s="25"/>
      <c r="N143" s="25"/>
    </row>
    <row r="144" spans="1:14">
      <c r="A144" s="8" t="s">
        <v>246</v>
      </c>
      <c r="B144" s="4" t="s">
        <v>247</v>
      </c>
      <c r="C144" s="7">
        <f>E144-F144</f>
        <v>0</v>
      </c>
      <c r="D144" s="7"/>
      <c r="E144" s="6">
        <f t="shared" si="5"/>
        <v>0</v>
      </c>
      <c r="F144" s="6">
        <f t="shared" si="6"/>
        <v>0</v>
      </c>
      <c r="G144" s="62"/>
      <c r="H144" s="62"/>
      <c r="I144" s="60"/>
      <c r="J144" s="60"/>
      <c r="K144" s="64"/>
      <c r="L144" s="64"/>
      <c r="M144" s="25"/>
      <c r="N144" s="25"/>
    </row>
    <row r="145" spans="1:14" ht="28.5">
      <c r="A145" s="8" t="s">
        <v>248</v>
      </c>
      <c r="B145" s="4" t="s">
        <v>249</v>
      </c>
      <c r="C145" s="7"/>
      <c r="D145" s="7">
        <f>F145-E145</f>
        <v>0</v>
      </c>
      <c r="E145" s="6">
        <f t="shared" si="5"/>
        <v>0</v>
      </c>
      <c r="F145" s="6">
        <f t="shared" si="6"/>
        <v>0</v>
      </c>
      <c r="G145" s="62"/>
      <c r="H145" s="62"/>
      <c r="I145" s="60"/>
      <c r="J145" s="60"/>
      <c r="K145" s="64"/>
      <c r="L145" s="64"/>
      <c r="M145" s="25"/>
      <c r="N145" s="25"/>
    </row>
    <row r="146" spans="1:14">
      <c r="A146" s="8" t="s">
        <v>250</v>
      </c>
      <c r="B146" s="4" t="s">
        <v>251</v>
      </c>
      <c r="C146" s="7">
        <f>E146-F146</f>
        <v>0</v>
      </c>
      <c r="D146" s="7"/>
      <c r="E146" s="6">
        <f t="shared" si="5"/>
        <v>0</v>
      </c>
      <c r="F146" s="6">
        <f t="shared" si="6"/>
        <v>0</v>
      </c>
      <c r="G146" s="62"/>
      <c r="H146" s="62"/>
      <c r="I146" s="60"/>
      <c r="J146" s="60"/>
      <c r="K146" s="64"/>
      <c r="L146" s="64"/>
      <c r="M146" s="25"/>
      <c r="N146" s="25"/>
    </row>
    <row r="147" spans="1:14" ht="28.5">
      <c r="A147" s="8" t="s">
        <v>252</v>
      </c>
      <c r="B147" s="4" t="s">
        <v>253</v>
      </c>
      <c r="C147" s="7"/>
      <c r="D147" s="7">
        <f>F147-E147</f>
        <v>0</v>
      </c>
      <c r="E147" s="6">
        <f t="shared" si="5"/>
        <v>0</v>
      </c>
      <c r="F147" s="6">
        <f t="shared" si="6"/>
        <v>0</v>
      </c>
      <c r="G147" s="62"/>
      <c r="H147" s="62"/>
      <c r="I147" s="60"/>
      <c r="J147" s="60"/>
      <c r="K147" s="64"/>
      <c r="L147" s="64"/>
      <c r="M147" s="25"/>
      <c r="N147" s="25"/>
    </row>
    <row r="148" spans="1:14">
      <c r="A148" s="8" t="s">
        <v>254</v>
      </c>
      <c r="B148" s="4" t="s">
        <v>255</v>
      </c>
      <c r="C148" s="7">
        <f t="shared" ref="C148:C173" si="7">E148-F148</f>
        <v>0</v>
      </c>
      <c r="D148" s="7"/>
      <c r="E148" s="6">
        <f t="shared" si="5"/>
        <v>0</v>
      </c>
      <c r="F148" s="6">
        <f t="shared" si="6"/>
        <v>0</v>
      </c>
      <c r="G148" s="62"/>
      <c r="H148" s="62"/>
      <c r="I148" s="60"/>
      <c r="J148" s="60"/>
      <c r="K148" s="64"/>
      <c r="L148" s="64"/>
      <c r="M148" s="25"/>
      <c r="N148" s="25"/>
    </row>
    <row r="149" spans="1:14">
      <c r="A149" s="8" t="s">
        <v>256</v>
      </c>
      <c r="B149" s="4" t="s">
        <v>257</v>
      </c>
      <c r="C149" s="7">
        <f t="shared" si="7"/>
        <v>0</v>
      </c>
      <c r="D149" s="7"/>
      <c r="E149" s="6">
        <f t="shared" si="5"/>
        <v>0</v>
      </c>
      <c r="F149" s="6">
        <f t="shared" si="6"/>
        <v>0</v>
      </c>
      <c r="G149" s="62"/>
      <c r="H149" s="62"/>
      <c r="I149" s="60"/>
      <c r="J149" s="60"/>
      <c r="K149" s="64"/>
      <c r="L149" s="64"/>
      <c r="M149" s="25"/>
      <c r="N149" s="25"/>
    </row>
    <row r="150" spans="1:14">
      <c r="A150" s="8" t="s">
        <v>258</v>
      </c>
      <c r="B150" s="4" t="s">
        <v>259</v>
      </c>
      <c r="C150" s="7">
        <f t="shared" si="7"/>
        <v>0</v>
      </c>
      <c r="D150" s="7"/>
      <c r="E150" s="6">
        <f t="shared" si="5"/>
        <v>0</v>
      </c>
      <c r="F150" s="6">
        <f t="shared" si="6"/>
        <v>0</v>
      </c>
      <c r="G150" s="62"/>
      <c r="H150" s="62"/>
      <c r="I150" s="60"/>
      <c r="J150" s="60"/>
      <c r="K150" s="64"/>
      <c r="L150" s="64"/>
      <c r="M150" s="25"/>
      <c r="N150" s="25"/>
    </row>
    <row r="151" spans="1:14" ht="28.5">
      <c r="A151" s="8" t="s">
        <v>260</v>
      </c>
      <c r="B151" s="4" t="s">
        <v>261</v>
      </c>
      <c r="C151" s="7">
        <f t="shared" si="7"/>
        <v>0</v>
      </c>
      <c r="D151" s="7"/>
      <c r="E151" s="6">
        <f t="shared" si="5"/>
        <v>0</v>
      </c>
      <c r="F151" s="6">
        <f t="shared" si="6"/>
        <v>0</v>
      </c>
      <c r="G151" s="62"/>
      <c r="H151" s="62"/>
      <c r="I151" s="60"/>
      <c r="J151" s="60"/>
      <c r="K151" s="64"/>
      <c r="L151" s="64"/>
      <c r="M151" s="25"/>
      <c r="N151" s="25"/>
    </row>
    <row r="152" spans="1:14">
      <c r="A152" s="8" t="s">
        <v>262</v>
      </c>
      <c r="B152" s="4" t="s">
        <v>263</v>
      </c>
      <c r="C152" s="7">
        <f t="shared" si="7"/>
        <v>0</v>
      </c>
      <c r="D152" s="7"/>
      <c r="E152" s="6">
        <f t="shared" si="5"/>
        <v>0</v>
      </c>
      <c r="F152" s="6">
        <f t="shared" si="6"/>
        <v>0</v>
      </c>
      <c r="G152" s="62"/>
      <c r="H152" s="62"/>
      <c r="I152" s="60"/>
      <c r="J152" s="60"/>
      <c r="K152" s="64"/>
      <c r="L152" s="64"/>
      <c r="M152" s="25"/>
      <c r="N152" s="25"/>
    </row>
    <row r="153" spans="1:14">
      <c r="A153" s="8" t="s">
        <v>264</v>
      </c>
      <c r="B153" s="4" t="s">
        <v>265</v>
      </c>
      <c r="C153" s="7">
        <f t="shared" si="7"/>
        <v>0</v>
      </c>
      <c r="D153" s="7"/>
      <c r="E153" s="6">
        <f t="shared" si="5"/>
        <v>0</v>
      </c>
      <c r="F153" s="6">
        <f t="shared" si="6"/>
        <v>0</v>
      </c>
      <c r="G153" s="62"/>
      <c r="H153" s="62"/>
      <c r="I153" s="60"/>
      <c r="J153" s="60"/>
      <c r="K153" s="64"/>
      <c r="L153" s="64"/>
      <c r="M153" s="25"/>
      <c r="N153" s="25"/>
    </row>
    <row r="154" spans="1:14" ht="28.5">
      <c r="A154" s="8" t="s">
        <v>266</v>
      </c>
      <c r="B154" s="4" t="s">
        <v>267</v>
      </c>
      <c r="C154" s="7">
        <f t="shared" si="7"/>
        <v>0</v>
      </c>
      <c r="D154" s="7"/>
      <c r="E154" s="6">
        <f t="shared" si="5"/>
        <v>0</v>
      </c>
      <c r="F154" s="6">
        <f t="shared" si="6"/>
        <v>0</v>
      </c>
      <c r="G154" s="62"/>
      <c r="H154" s="62"/>
      <c r="I154" s="60"/>
      <c r="J154" s="60"/>
      <c r="K154" s="64"/>
      <c r="L154" s="64"/>
      <c r="M154" s="25"/>
      <c r="N154" s="25"/>
    </row>
    <row r="155" spans="1:14">
      <c r="A155" s="8" t="s">
        <v>268</v>
      </c>
      <c r="B155" s="4" t="s">
        <v>269</v>
      </c>
      <c r="C155" s="7">
        <f t="shared" si="7"/>
        <v>0</v>
      </c>
      <c r="D155" s="7"/>
      <c r="E155" s="6">
        <f t="shared" si="5"/>
        <v>0</v>
      </c>
      <c r="F155" s="6">
        <f t="shared" si="6"/>
        <v>0</v>
      </c>
      <c r="G155" s="62"/>
      <c r="H155" s="62"/>
      <c r="I155" s="60"/>
      <c r="J155" s="60"/>
      <c r="K155" s="64"/>
      <c r="L155" s="64"/>
      <c r="M155" s="25"/>
      <c r="N155" s="25"/>
    </row>
    <row r="156" spans="1:14">
      <c r="A156" s="8" t="s">
        <v>270</v>
      </c>
      <c r="B156" s="4" t="s">
        <v>271</v>
      </c>
      <c r="C156" s="7">
        <f t="shared" si="7"/>
        <v>0</v>
      </c>
      <c r="D156" s="7"/>
      <c r="E156" s="6">
        <f t="shared" si="5"/>
        <v>0</v>
      </c>
      <c r="F156" s="6">
        <f t="shared" si="6"/>
        <v>0</v>
      </c>
      <c r="G156" s="62"/>
      <c r="H156" s="62"/>
      <c r="I156" s="60"/>
      <c r="J156" s="60"/>
      <c r="K156" s="64"/>
      <c r="L156" s="64"/>
      <c r="M156" s="25"/>
      <c r="N156" s="25"/>
    </row>
    <row r="157" spans="1:14">
      <c r="A157" s="8" t="s">
        <v>272</v>
      </c>
      <c r="B157" s="4" t="s">
        <v>273</v>
      </c>
      <c r="C157" s="7">
        <f t="shared" si="7"/>
        <v>0</v>
      </c>
      <c r="D157" s="7"/>
      <c r="E157" s="6">
        <f t="shared" si="5"/>
        <v>0</v>
      </c>
      <c r="F157" s="6">
        <f t="shared" si="6"/>
        <v>0</v>
      </c>
      <c r="G157" s="62"/>
      <c r="H157" s="62"/>
      <c r="I157" s="60"/>
      <c r="J157" s="60"/>
      <c r="K157" s="64"/>
      <c r="L157" s="64"/>
      <c r="M157" s="25"/>
      <c r="N157" s="25"/>
    </row>
    <row r="158" spans="1:14">
      <c r="A158" s="8" t="s">
        <v>274</v>
      </c>
      <c r="B158" s="4" t="s">
        <v>275</v>
      </c>
      <c r="C158" s="7">
        <f t="shared" si="7"/>
        <v>0</v>
      </c>
      <c r="D158" s="7"/>
      <c r="E158" s="6">
        <f t="shared" si="5"/>
        <v>0</v>
      </c>
      <c r="F158" s="6">
        <f t="shared" si="6"/>
        <v>0</v>
      </c>
      <c r="G158" s="62"/>
      <c r="H158" s="62"/>
      <c r="I158" s="60"/>
      <c r="J158" s="60"/>
      <c r="K158" s="64"/>
      <c r="L158" s="64"/>
      <c r="M158" s="25"/>
      <c r="N158" s="25"/>
    </row>
    <row r="159" spans="1:14" ht="28.5">
      <c r="A159" s="8" t="s">
        <v>276</v>
      </c>
      <c r="B159" s="4" t="s">
        <v>277</v>
      </c>
      <c r="C159" s="7">
        <f t="shared" si="7"/>
        <v>0</v>
      </c>
      <c r="D159" s="7"/>
      <c r="E159" s="6">
        <f t="shared" si="5"/>
        <v>0</v>
      </c>
      <c r="F159" s="6">
        <f t="shared" si="6"/>
        <v>0</v>
      </c>
      <c r="G159" s="62"/>
      <c r="H159" s="62"/>
      <c r="I159" s="60"/>
      <c r="J159" s="60"/>
      <c r="K159" s="64"/>
      <c r="L159" s="64"/>
      <c r="M159" s="25"/>
      <c r="N159" s="25"/>
    </row>
    <row r="160" spans="1:14" ht="28.5">
      <c r="A160" s="8" t="s">
        <v>278</v>
      </c>
      <c r="B160" s="4" t="s">
        <v>279</v>
      </c>
      <c r="C160" s="7">
        <f t="shared" si="7"/>
        <v>0</v>
      </c>
      <c r="D160" s="7"/>
      <c r="E160" s="6">
        <f t="shared" si="5"/>
        <v>0</v>
      </c>
      <c r="F160" s="6">
        <f t="shared" si="6"/>
        <v>0</v>
      </c>
      <c r="G160" s="62"/>
      <c r="H160" s="62"/>
      <c r="I160" s="60"/>
      <c r="J160" s="60"/>
      <c r="K160" s="64"/>
      <c r="L160" s="64"/>
      <c r="M160" s="25"/>
      <c r="N160" s="25"/>
    </row>
    <row r="161" spans="1:14" ht="28.5">
      <c r="A161" s="8" t="s">
        <v>280</v>
      </c>
      <c r="B161" s="4" t="s">
        <v>281</v>
      </c>
      <c r="C161" s="7">
        <f t="shared" si="7"/>
        <v>0</v>
      </c>
      <c r="D161" s="7"/>
      <c r="E161" s="6">
        <f t="shared" si="5"/>
        <v>0</v>
      </c>
      <c r="F161" s="6">
        <f t="shared" si="6"/>
        <v>0</v>
      </c>
      <c r="G161" s="62"/>
      <c r="H161" s="62"/>
      <c r="I161" s="60"/>
      <c r="J161" s="60"/>
      <c r="K161" s="64"/>
      <c r="L161" s="64"/>
      <c r="M161" s="25"/>
      <c r="N161" s="25"/>
    </row>
    <row r="162" spans="1:14" ht="28.5">
      <c r="A162" s="8" t="s">
        <v>282</v>
      </c>
      <c r="B162" s="4" t="s">
        <v>283</v>
      </c>
      <c r="C162" s="7">
        <f t="shared" si="7"/>
        <v>0</v>
      </c>
      <c r="D162" s="7"/>
      <c r="E162" s="6">
        <f t="shared" si="5"/>
        <v>0</v>
      </c>
      <c r="F162" s="6">
        <f t="shared" si="6"/>
        <v>0</v>
      </c>
      <c r="G162" s="62"/>
      <c r="H162" s="62"/>
      <c r="I162" s="60"/>
      <c r="J162" s="60"/>
      <c r="K162" s="64"/>
      <c r="L162" s="64"/>
      <c r="M162" s="25"/>
      <c r="N162" s="25"/>
    </row>
    <row r="163" spans="1:14" ht="28.5">
      <c r="A163" s="8" t="s">
        <v>284</v>
      </c>
      <c r="B163" s="4" t="s">
        <v>285</v>
      </c>
      <c r="C163" s="7">
        <f t="shared" si="7"/>
        <v>0</v>
      </c>
      <c r="D163" s="7"/>
      <c r="E163" s="6">
        <f t="shared" si="5"/>
        <v>0</v>
      </c>
      <c r="F163" s="6">
        <f t="shared" si="6"/>
        <v>0</v>
      </c>
      <c r="G163" s="62"/>
      <c r="H163" s="62"/>
      <c r="I163" s="60"/>
      <c r="J163" s="60"/>
      <c r="K163" s="64"/>
      <c r="L163" s="64"/>
      <c r="M163" s="25"/>
      <c r="N163" s="25"/>
    </row>
    <row r="164" spans="1:14">
      <c r="A164" s="8" t="s">
        <v>286</v>
      </c>
      <c r="B164" s="4" t="s">
        <v>287</v>
      </c>
      <c r="C164" s="7">
        <f t="shared" si="7"/>
        <v>0</v>
      </c>
      <c r="D164" s="7"/>
      <c r="E164" s="6">
        <f t="shared" si="5"/>
        <v>0</v>
      </c>
      <c r="F164" s="6">
        <f t="shared" si="6"/>
        <v>0</v>
      </c>
      <c r="G164" s="62"/>
      <c r="H164" s="62"/>
      <c r="I164" s="60"/>
      <c r="J164" s="60"/>
      <c r="K164" s="64"/>
      <c r="L164" s="64"/>
      <c r="M164" s="25"/>
      <c r="N164" s="25"/>
    </row>
    <row r="165" spans="1:14" ht="28.5">
      <c r="A165" s="8" t="s">
        <v>288</v>
      </c>
      <c r="B165" s="4" t="s">
        <v>289</v>
      </c>
      <c r="C165" s="7">
        <f t="shared" si="7"/>
        <v>0</v>
      </c>
      <c r="D165" s="7"/>
      <c r="E165" s="6">
        <f t="shared" si="5"/>
        <v>0</v>
      </c>
      <c r="F165" s="6">
        <f t="shared" si="6"/>
        <v>0</v>
      </c>
      <c r="G165" s="62"/>
      <c r="H165" s="62"/>
      <c r="I165" s="60"/>
      <c r="J165" s="60"/>
      <c r="K165" s="64"/>
      <c r="L165" s="64"/>
      <c r="M165" s="25"/>
      <c r="N165" s="25"/>
    </row>
    <row r="166" spans="1:14" ht="28.5">
      <c r="A166" s="8" t="s">
        <v>290</v>
      </c>
      <c r="B166" s="4" t="s">
        <v>291</v>
      </c>
      <c r="C166" s="7">
        <f t="shared" si="7"/>
        <v>0</v>
      </c>
      <c r="D166" s="7"/>
      <c r="E166" s="6">
        <f t="shared" si="5"/>
        <v>0</v>
      </c>
      <c r="F166" s="6">
        <f t="shared" si="6"/>
        <v>0</v>
      </c>
      <c r="G166" s="62"/>
      <c r="H166" s="62"/>
      <c r="I166" s="60"/>
      <c r="J166" s="60"/>
      <c r="K166" s="64"/>
      <c r="L166" s="64"/>
      <c r="M166" s="25"/>
      <c r="N166" s="25"/>
    </row>
    <row r="167" spans="1:14">
      <c r="A167" s="3" t="s">
        <v>292</v>
      </c>
      <c r="B167" s="4" t="s">
        <v>293</v>
      </c>
      <c r="C167" s="7">
        <f t="shared" si="7"/>
        <v>0</v>
      </c>
      <c r="D167" s="7"/>
      <c r="E167" s="6">
        <f t="shared" si="5"/>
        <v>0</v>
      </c>
      <c r="F167" s="6">
        <f t="shared" si="6"/>
        <v>0</v>
      </c>
      <c r="G167" s="62"/>
      <c r="H167" s="62"/>
      <c r="I167" s="60"/>
      <c r="J167" s="60"/>
      <c r="K167" s="64"/>
      <c r="L167" s="64"/>
      <c r="M167" s="25"/>
      <c r="N167" s="25"/>
    </row>
    <row r="168" spans="1:14">
      <c r="A168" s="3" t="s">
        <v>294</v>
      </c>
      <c r="B168" s="4" t="s">
        <v>295</v>
      </c>
      <c r="C168" s="7">
        <f t="shared" si="7"/>
        <v>0</v>
      </c>
      <c r="D168" s="7"/>
      <c r="E168" s="6">
        <f t="shared" si="5"/>
        <v>0</v>
      </c>
      <c r="F168" s="6">
        <f t="shared" si="6"/>
        <v>0</v>
      </c>
      <c r="G168" s="62"/>
      <c r="H168" s="62"/>
      <c r="I168" s="60"/>
      <c r="J168" s="60"/>
      <c r="K168" s="64"/>
      <c r="L168" s="64"/>
      <c r="M168" s="25"/>
      <c r="N168" s="25"/>
    </row>
    <row r="169" spans="1:14">
      <c r="A169" s="3" t="s">
        <v>296</v>
      </c>
      <c r="B169" s="10" t="s">
        <v>297</v>
      </c>
      <c r="C169" s="7">
        <f t="shared" si="7"/>
        <v>0</v>
      </c>
      <c r="D169" s="7"/>
      <c r="E169" s="6">
        <f t="shared" si="5"/>
        <v>0</v>
      </c>
      <c r="F169" s="6">
        <f t="shared" si="6"/>
        <v>0</v>
      </c>
      <c r="G169" s="62"/>
      <c r="H169" s="62"/>
      <c r="I169" s="60"/>
      <c r="J169" s="60"/>
      <c r="K169" s="64"/>
      <c r="L169" s="64"/>
      <c r="M169" s="25"/>
      <c r="N169" s="25"/>
    </row>
    <row r="170" spans="1:14">
      <c r="A170" s="3" t="s">
        <v>298</v>
      </c>
      <c r="B170" s="10" t="s">
        <v>299</v>
      </c>
      <c r="C170" s="7">
        <f t="shared" si="7"/>
        <v>0</v>
      </c>
      <c r="D170" s="7"/>
      <c r="E170" s="6">
        <f t="shared" si="5"/>
        <v>0</v>
      </c>
      <c r="F170" s="6">
        <f t="shared" si="6"/>
        <v>0</v>
      </c>
      <c r="G170" s="62"/>
      <c r="H170" s="62"/>
      <c r="I170" s="60"/>
      <c r="J170" s="60"/>
      <c r="K170" s="64"/>
      <c r="L170" s="64"/>
      <c r="M170" s="25"/>
      <c r="N170" s="25"/>
    </row>
    <row r="171" spans="1:14">
      <c r="A171" s="3" t="s">
        <v>300</v>
      </c>
      <c r="B171" s="10" t="s">
        <v>301</v>
      </c>
      <c r="C171" s="7">
        <f t="shared" si="7"/>
        <v>0</v>
      </c>
      <c r="D171" s="7"/>
      <c r="E171" s="6">
        <f t="shared" si="5"/>
        <v>0</v>
      </c>
      <c r="F171" s="6">
        <f t="shared" si="6"/>
        <v>0</v>
      </c>
      <c r="G171" s="62"/>
      <c r="H171" s="62"/>
      <c r="I171" s="60"/>
      <c r="J171" s="60"/>
      <c r="K171" s="64"/>
      <c r="L171" s="64"/>
      <c r="M171" s="25"/>
      <c r="N171" s="25"/>
    </row>
    <row r="172" spans="1:14">
      <c r="A172" s="3" t="s">
        <v>302</v>
      </c>
      <c r="B172" s="10" t="s">
        <v>303</v>
      </c>
      <c r="C172" s="7">
        <f t="shared" si="7"/>
        <v>0</v>
      </c>
      <c r="D172" s="7"/>
      <c r="E172" s="6">
        <f t="shared" si="5"/>
        <v>0</v>
      </c>
      <c r="F172" s="6">
        <f t="shared" si="6"/>
        <v>0</v>
      </c>
      <c r="G172" s="62"/>
      <c r="H172" s="62"/>
      <c r="I172" s="60"/>
      <c r="J172" s="60"/>
      <c r="K172" s="64"/>
      <c r="L172" s="64"/>
      <c r="M172" s="25"/>
      <c r="N172" s="25"/>
    </row>
    <row r="173" spans="1:14">
      <c r="A173" s="3" t="s">
        <v>304</v>
      </c>
      <c r="B173" s="10" t="s">
        <v>305</v>
      </c>
      <c r="C173" s="7">
        <f t="shared" si="7"/>
        <v>0</v>
      </c>
      <c r="D173" s="7"/>
      <c r="E173" s="6">
        <f t="shared" si="5"/>
        <v>0</v>
      </c>
      <c r="F173" s="6">
        <f t="shared" si="6"/>
        <v>0</v>
      </c>
      <c r="G173" s="62"/>
      <c r="H173" s="62"/>
      <c r="I173" s="60"/>
      <c r="J173" s="60"/>
      <c r="K173" s="64"/>
      <c r="L173" s="64"/>
      <c r="M173" s="25"/>
      <c r="N173" s="25"/>
    </row>
    <row r="174" spans="1:14">
      <c r="A174" s="3" t="s">
        <v>306</v>
      </c>
      <c r="B174" s="10" t="s">
        <v>307</v>
      </c>
      <c r="C174" s="7"/>
      <c r="D174" s="7">
        <f t="shared" ref="D174:D237" si="8">F174-E174</f>
        <v>0</v>
      </c>
      <c r="E174" s="6">
        <f t="shared" si="5"/>
        <v>0</v>
      </c>
      <c r="F174" s="6">
        <f t="shared" si="6"/>
        <v>0</v>
      </c>
      <c r="G174" s="62"/>
      <c r="H174" s="62"/>
      <c r="I174" s="60"/>
      <c r="J174" s="60"/>
      <c r="K174" s="64"/>
      <c r="L174" s="64"/>
      <c r="M174" s="25"/>
      <c r="N174" s="25"/>
    </row>
    <row r="175" spans="1:14">
      <c r="A175" s="3" t="s">
        <v>308</v>
      </c>
      <c r="B175" s="10" t="s">
        <v>309</v>
      </c>
      <c r="C175" s="7"/>
      <c r="D175" s="7">
        <f t="shared" si="8"/>
        <v>0</v>
      </c>
      <c r="E175" s="6">
        <f t="shared" si="5"/>
        <v>0</v>
      </c>
      <c r="F175" s="6">
        <f t="shared" si="6"/>
        <v>0</v>
      </c>
      <c r="G175" s="62"/>
      <c r="H175" s="62"/>
      <c r="I175" s="60"/>
      <c r="J175" s="60"/>
      <c r="K175" s="64"/>
      <c r="L175" s="64"/>
      <c r="M175" s="25"/>
      <c r="N175" s="25"/>
    </row>
    <row r="176" spans="1:14">
      <c r="A176" s="3" t="s">
        <v>310</v>
      </c>
      <c r="B176" s="10" t="s">
        <v>311</v>
      </c>
      <c r="C176" s="7"/>
      <c r="D176" s="7">
        <f t="shared" si="8"/>
        <v>0</v>
      </c>
      <c r="E176" s="6">
        <f t="shared" si="5"/>
        <v>0</v>
      </c>
      <c r="F176" s="6">
        <f t="shared" si="6"/>
        <v>0</v>
      </c>
      <c r="G176" s="62"/>
      <c r="H176" s="62"/>
      <c r="I176" s="60"/>
      <c r="J176" s="60"/>
      <c r="K176" s="64"/>
      <c r="L176" s="64"/>
      <c r="M176" s="25"/>
      <c r="N176" s="25"/>
    </row>
    <row r="177" spans="1:14">
      <c r="A177" s="3" t="s">
        <v>312</v>
      </c>
      <c r="B177" s="10" t="s">
        <v>313</v>
      </c>
      <c r="C177" s="7"/>
      <c r="D177" s="7">
        <f t="shared" si="8"/>
        <v>0</v>
      </c>
      <c r="E177" s="6">
        <f t="shared" si="5"/>
        <v>0</v>
      </c>
      <c r="F177" s="6">
        <f t="shared" si="6"/>
        <v>0</v>
      </c>
      <c r="G177" s="62"/>
      <c r="H177" s="62"/>
      <c r="I177" s="60"/>
      <c r="J177" s="60"/>
      <c r="K177" s="64"/>
      <c r="L177" s="64"/>
      <c r="M177" s="25"/>
      <c r="N177" s="25"/>
    </row>
    <row r="178" spans="1:14">
      <c r="A178" s="3" t="s">
        <v>314</v>
      </c>
      <c r="B178" s="10" t="s">
        <v>315</v>
      </c>
      <c r="C178" s="7"/>
      <c r="D178" s="7">
        <f t="shared" si="8"/>
        <v>0</v>
      </c>
      <c r="E178" s="6">
        <f t="shared" si="5"/>
        <v>0</v>
      </c>
      <c r="F178" s="6">
        <f t="shared" si="6"/>
        <v>0</v>
      </c>
      <c r="G178" s="62"/>
      <c r="H178" s="62"/>
      <c r="I178" s="60"/>
      <c r="J178" s="60"/>
      <c r="K178" s="64"/>
      <c r="L178" s="64"/>
      <c r="M178" s="25"/>
      <c r="N178" s="25"/>
    </row>
    <row r="179" spans="1:14">
      <c r="A179" s="3" t="s">
        <v>316</v>
      </c>
      <c r="B179" s="10" t="s">
        <v>317</v>
      </c>
      <c r="C179" s="7"/>
      <c r="D179" s="7">
        <f t="shared" si="8"/>
        <v>0</v>
      </c>
      <c r="E179" s="6">
        <f t="shared" si="5"/>
        <v>0</v>
      </c>
      <c r="F179" s="6">
        <f t="shared" si="6"/>
        <v>0</v>
      </c>
      <c r="G179" s="62"/>
      <c r="H179" s="62"/>
      <c r="I179" s="60"/>
      <c r="J179" s="60"/>
      <c r="K179" s="64"/>
      <c r="L179" s="64"/>
      <c r="M179" s="25"/>
      <c r="N179" s="25"/>
    </row>
    <row r="180" spans="1:14">
      <c r="A180" s="3" t="s">
        <v>318</v>
      </c>
      <c r="B180" s="10" t="s">
        <v>319</v>
      </c>
      <c r="C180" s="7"/>
      <c r="D180" s="7">
        <f t="shared" si="8"/>
        <v>0</v>
      </c>
      <c r="E180" s="6">
        <f t="shared" si="5"/>
        <v>0</v>
      </c>
      <c r="F180" s="6">
        <f t="shared" si="6"/>
        <v>0</v>
      </c>
      <c r="G180" s="62"/>
      <c r="H180" s="62"/>
      <c r="I180" s="60"/>
      <c r="J180" s="60"/>
      <c r="K180" s="64"/>
      <c r="L180" s="64"/>
      <c r="M180" s="25"/>
      <c r="N180" s="25"/>
    </row>
    <row r="181" spans="1:14">
      <c r="A181" s="3" t="s">
        <v>320</v>
      </c>
      <c r="B181" s="10" t="s">
        <v>321</v>
      </c>
      <c r="C181" s="7"/>
      <c r="D181" s="7">
        <f t="shared" si="8"/>
        <v>0</v>
      </c>
      <c r="E181" s="6">
        <f t="shared" si="5"/>
        <v>0</v>
      </c>
      <c r="F181" s="6">
        <f t="shared" si="6"/>
        <v>0</v>
      </c>
      <c r="G181" s="62"/>
      <c r="H181" s="62"/>
      <c r="I181" s="60"/>
      <c r="J181" s="60"/>
      <c r="K181" s="64"/>
      <c r="L181" s="64"/>
      <c r="M181" s="25"/>
      <c r="N181" s="25"/>
    </row>
    <row r="182" spans="1:14">
      <c r="A182" s="3" t="s">
        <v>322</v>
      </c>
      <c r="B182" s="10" t="s">
        <v>323</v>
      </c>
      <c r="C182" s="7"/>
      <c r="D182" s="7">
        <f t="shared" si="8"/>
        <v>0</v>
      </c>
      <c r="E182" s="6">
        <f t="shared" si="5"/>
        <v>0</v>
      </c>
      <c r="F182" s="6">
        <f t="shared" si="6"/>
        <v>0</v>
      </c>
      <c r="G182" s="62"/>
      <c r="H182" s="62"/>
      <c r="I182" s="60"/>
      <c r="J182" s="60"/>
      <c r="K182" s="64"/>
      <c r="L182" s="64"/>
      <c r="M182" s="25"/>
      <c r="N182" s="25"/>
    </row>
    <row r="183" spans="1:14">
      <c r="A183" s="3" t="s">
        <v>324</v>
      </c>
      <c r="B183" s="10" t="s">
        <v>325</v>
      </c>
      <c r="C183" s="7"/>
      <c r="D183" s="7">
        <f t="shared" si="8"/>
        <v>0</v>
      </c>
      <c r="E183" s="6">
        <f t="shared" si="5"/>
        <v>0</v>
      </c>
      <c r="F183" s="6">
        <f t="shared" si="6"/>
        <v>0</v>
      </c>
      <c r="G183" s="62"/>
      <c r="H183" s="62"/>
      <c r="I183" s="60"/>
      <c r="J183" s="60"/>
      <c r="K183" s="64"/>
      <c r="L183" s="64"/>
      <c r="M183" s="25"/>
      <c r="N183" s="25"/>
    </row>
    <row r="184" spans="1:14">
      <c r="A184" s="3" t="s">
        <v>326</v>
      </c>
      <c r="B184" s="10" t="s">
        <v>327</v>
      </c>
      <c r="C184" s="7"/>
      <c r="D184" s="7">
        <f t="shared" si="8"/>
        <v>0</v>
      </c>
      <c r="E184" s="6">
        <f t="shared" si="5"/>
        <v>0</v>
      </c>
      <c r="F184" s="6">
        <f t="shared" si="6"/>
        <v>0</v>
      </c>
      <c r="G184" s="62"/>
      <c r="H184" s="62"/>
      <c r="I184" s="60"/>
      <c r="J184" s="60"/>
      <c r="K184" s="64"/>
      <c r="L184" s="64"/>
      <c r="M184" s="25"/>
      <c r="N184" s="25"/>
    </row>
    <row r="185" spans="1:14">
      <c r="A185" s="3" t="s">
        <v>328</v>
      </c>
      <c r="B185" s="10" t="s">
        <v>329</v>
      </c>
      <c r="C185" s="7"/>
      <c r="D185" s="7">
        <f t="shared" si="8"/>
        <v>0</v>
      </c>
      <c r="E185" s="6">
        <f t="shared" si="5"/>
        <v>0</v>
      </c>
      <c r="F185" s="6">
        <f t="shared" si="6"/>
        <v>0</v>
      </c>
      <c r="G185" s="62"/>
      <c r="H185" s="62"/>
      <c r="I185" s="60"/>
      <c r="J185" s="60"/>
      <c r="K185" s="64"/>
      <c r="L185" s="64"/>
      <c r="M185" s="25"/>
      <c r="N185" s="25"/>
    </row>
    <row r="186" spans="1:14">
      <c r="A186" s="3" t="s">
        <v>330</v>
      </c>
      <c r="B186" s="10" t="s">
        <v>331</v>
      </c>
      <c r="C186" s="7"/>
      <c r="D186" s="7">
        <f t="shared" si="8"/>
        <v>0</v>
      </c>
      <c r="E186" s="6">
        <f t="shared" si="5"/>
        <v>0</v>
      </c>
      <c r="F186" s="6">
        <f t="shared" si="6"/>
        <v>0</v>
      </c>
      <c r="G186" s="62"/>
      <c r="H186" s="62"/>
      <c r="I186" s="60"/>
      <c r="J186" s="60"/>
      <c r="K186" s="64"/>
      <c r="L186" s="64"/>
      <c r="M186" s="25"/>
      <c r="N186" s="25"/>
    </row>
    <row r="187" spans="1:14">
      <c r="A187" s="3" t="s">
        <v>332</v>
      </c>
      <c r="B187" s="10" t="s">
        <v>333</v>
      </c>
      <c r="C187" s="5"/>
      <c r="D187" s="5">
        <f t="shared" si="8"/>
        <v>0</v>
      </c>
      <c r="E187" s="6">
        <f t="shared" si="5"/>
        <v>0</v>
      </c>
      <c r="F187" s="6">
        <f t="shared" si="6"/>
        <v>0</v>
      </c>
      <c r="G187" s="62"/>
      <c r="H187" s="62"/>
      <c r="I187" s="60"/>
      <c r="J187" s="60"/>
      <c r="K187" s="64"/>
      <c r="L187" s="64"/>
      <c r="M187" s="25"/>
      <c r="N187" s="25"/>
    </row>
    <row r="188" spans="1:14">
      <c r="A188" s="3" t="s">
        <v>334</v>
      </c>
      <c r="B188" s="10" t="s">
        <v>335</v>
      </c>
      <c r="C188" s="5"/>
      <c r="D188" s="5">
        <f t="shared" si="8"/>
        <v>0</v>
      </c>
      <c r="E188" s="6">
        <f t="shared" si="5"/>
        <v>0</v>
      </c>
      <c r="F188" s="6">
        <f t="shared" si="6"/>
        <v>0</v>
      </c>
      <c r="G188" s="62"/>
      <c r="H188" s="62"/>
      <c r="I188" s="60"/>
      <c r="J188" s="60"/>
      <c r="K188" s="64"/>
      <c r="L188" s="64"/>
      <c r="M188" s="25"/>
      <c r="N188" s="25"/>
    </row>
    <row r="189" spans="1:14">
      <c r="A189" s="3" t="s">
        <v>336</v>
      </c>
      <c r="B189" s="10" t="s">
        <v>337</v>
      </c>
      <c r="C189" s="5"/>
      <c r="D189" s="5">
        <f t="shared" si="8"/>
        <v>0</v>
      </c>
      <c r="E189" s="6">
        <f t="shared" si="5"/>
        <v>0</v>
      </c>
      <c r="F189" s="6">
        <f t="shared" si="6"/>
        <v>0</v>
      </c>
      <c r="G189" s="62"/>
      <c r="H189" s="62"/>
      <c r="I189" s="60"/>
      <c r="J189" s="60"/>
      <c r="K189" s="64"/>
      <c r="L189" s="64"/>
      <c r="M189" s="25"/>
      <c r="N189" s="25"/>
    </row>
    <row r="190" spans="1:14">
      <c r="A190" s="3" t="s">
        <v>338</v>
      </c>
      <c r="B190" s="10" t="s">
        <v>339</v>
      </c>
      <c r="C190" s="5"/>
      <c r="D190" s="5">
        <f t="shared" si="8"/>
        <v>0</v>
      </c>
      <c r="E190" s="6">
        <f t="shared" si="5"/>
        <v>0</v>
      </c>
      <c r="F190" s="6">
        <f t="shared" si="6"/>
        <v>0</v>
      </c>
      <c r="G190" s="62"/>
      <c r="H190" s="62"/>
      <c r="I190" s="60"/>
      <c r="J190" s="60"/>
      <c r="K190" s="64"/>
      <c r="L190" s="64"/>
      <c r="M190" s="25"/>
      <c r="N190" s="25"/>
    </row>
    <row r="191" spans="1:14">
      <c r="A191" s="3" t="s">
        <v>340</v>
      </c>
      <c r="B191" s="10" t="s">
        <v>341</v>
      </c>
      <c r="C191" s="5"/>
      <c r="D191" s="5">
        <f t="shared" si="8"/>
        <v>0</v>
      </c>
      <c r="E191" s="6">
        <f t="shared" si="5"/>
        <v>0</v>
      </c>
      <c r="F191" s="6">
        <f t="shared" si="6"/>
        <v>0</v>
      </c>
      <c r="G191" s="62"/>
      <c r="H191" s="62"/>
      <c r="I191" s="60"/>
      <c r="J191" s="60"/>
      <c r="K191" s="64"/>
      <c r="L191" s="64"/>
      <c r="M191" s="25"/>
      <c r="N191" s="25"/>
    </row>
    <row r="192" spans="1:14">
      <c r="A192" s="3" t="s">
        <v>342</v>
      </c>
      <c r="B192" s="10" t="s">
        <v>343</v>
      </c>
      <c r="C192" s="5"/>
      <c r="D192" s="5">
        <f t="shared" si="8"/>
        <v>0</v>
      </c>
      <c r="E192" s="6">
        <f t="shared" si="5"/>
        <v>0</v>
      </c>
      <c r="F192" s="6">
        <f t="shared" si="6"/>
        <v>0</v>
      </c>
      <c r="G192" s="62"/>
      <c r="H192" s="62"/>
      <c r="I192" s="60"/>
      <c r="J192" s="60"/>
      <c r="K192" s="64"/>
      <c r="L192" s="64"/>
      <c r="M192" s="25"/>
      <c r="N192" s="25"/>
    </row>
    <row r="193" spans="1:14">
      <c r="A193" s="3" t="s">
        <v>344</v>
      </c>
      <c r="B193" s="10" t="s">
        <v>345</v>
      </c>
      <c r="C193" s="5"/>
      <c r="D193" s="5">
        <f t="shared" si="8"/>
        <v>0</v>
      </c>
      <c r="E193" s="6">
        <f t="shared" si="5"/>
        <v>0</v>
      </c>
      <c r="F193" s="6">
        <f t="shared" si="6"/>
        <v>0</v>
      </c>
      <c r="G193" s="62"/>
      <c r="H193" s="62"/>
      <c r="I193" s="60"/>
      <c r="J193" s="60"/>
      <c r="K193" s="64"/>
      <c r="L193" s="64"/>
      <c r="M193" s="25"/>
      <c r="N193" s="25"/>
    </row>
    <row r="194" spans="1:14">
      <c r="A194" s="3" t="s">
        <v>346</v>
      </c>
      <c r="B194" s="10" t="s">
        <v>347</v>
      </c>
      <c r="C194" s="5"/>
      <c r="D194" s="5">
        <f t="shared" si="8"/>
        <v>0</v>
      </c>
      <c r="E194" s="6">
        <f t="shared" si="5"/>
        <v>0</v>
      </c>
      <c r="F194" s="6">
        <f t="shared" si="6"/>
        <v>0</v>
      </c>
      <c r="G194" s="62"/>
      <c r="H194" s="62"/>
      <c r="I194" s="60"/>
      <c r="J194" s="60"/>
      <c r="K194" s="64"/>
      <c r="L194" s="64"/>
      <c r="M194" s="25"/>
      <c r="N194" s="25"/>
    </row>
    <row r="195" spans="1:14">
      <c r="A195" s="3" t="s">
        <v>348</v>
      </c>
      <c r="B195" s="10" t="s">
        <v>349</v>
      </c>
      <c r="C195" s="5"/>
      <c r="D195" s="5">
        <f t="shared" si="8"/>
        <v>0</v>
      </c>
      <c r="E195" s="6">
        <f t="shared" si="5"/>
        <v>0</v>
      </c>
      <c r="F195" s="6">
        <f t="shared" si="6"/>
        <v>0</v>
      </c>
      <c r="G195" s="62"/>
      <c r="H195" s="62"/>
      <c r="I195" s="60"/>
      <c r="J195" s="60"/>
      <c r="K195" s="64"/>
      <c r="L195" s="64"/>
      <c r="M195" s="25"/>
      <c r="N195" s="25"/>
    </row>
    <row r="196" spans="1:14">
      <c r="A196" s="3" t="s">
        <v>350</v>
      </c>
      <c r="B196" s="10" t="s">
        <v>351</v>
      </c>
      <c r="C196" s="5"/>
      <c r="D196" s="5">
        <f t="shared" si="8"/>
        <v>0</v>
      </c>
      <c r="E196" s="6">
        <f t="shared" si="5"/>
        <v>0</v>
      </c>
      <c r="F196" s="6">
        <f t="shared" si="6"/>
        <v>0</v>
      </c>
      <c r="G196" s="62"/>
      <c r="H196" s="62"/>
      <c r="I196" s="60"/>
      <c r="J196" s="60"/>
      <c r="K196" s="64"/>
      <c r="L196" s="64"/>
      <c r="M196" s="25"/>
      <c r="N196" s="25"/>
    </row>
    <row r="197" spans="1:14">
      <c r="A197" s="3" t="s">
        <v>352</v>
      </c>
      <c r="B197" s="10" t="s">
        <v>353</v>
      </c>
      <c r="C197" s="5"/>
      <c r="D197" s="5">
        <f t="shared" si="8"/>
        <v>0</v>
      </c>
      <c r="E197" s="6">
        <f t="shared" si="5"/>
        <v>0</v>
      </c>
      <c r="F197" s="6">
        <f t="shared" si="6"/>
        <v>0</v>
      </c>
      <c r="G197" s="62"/>
      <c r="H197" s="62"/>
      <c r="I197" s="60"/>
      <c r="J197" s="60"/>
      <c r="K197" s="64"/>
      <c r="L197" s="64"/>
      <c r="M197" s="25"/>
      <c r="N197" s="25"/>
    </row>
    <row r="198" spans="1:14">
      <c r="A198" s="3" t="s">
        <v>354</v>
      </c>
      <c r="B198" s="10" t="s">
        <v>355</v>
      </c>
      <c r="C198" s="5"/>
      <c r="D198" s="5">
        <f t="shared" si="8"/>
        <v>0</v>
      </c>
      <c r="E198" s="6">
        <f t="shared" si="5"/>
        <v>0</v>
      </c>
      <c r="F198" s="6">
        <f t="shared" si="6"/>
        <v>0</v>
      </c>
      <c r="G198" s="62"/>
      <c r="H198" s="62"/>
      <c r="I198" s="60"/>
      <c r="J198" s="60"/>
      <c r="K198" s="64"/>
      <c r="L198" s="64"/>
      <c r="M198" s="25"/>
      <c r="N198" s="25"/>
    </row>
    <row r="199" spans="1:14">
      <c r="A199" s="3" t="s">
        <v>356</v>
      </c>
      <c r="B199" s="10" t="s">
        <v>357</v>
      </c>
      <c r="C199" s="5"/>
      <c r="D199" s="5">
        <f t="shared" si="8"/>
        <v>0</v>
      </c>
      <c r="E199" s="6">
        <f t="shared" si="5"/>
        <v>0</v>
      </c>
      <c r="F199" s="6">
        <f t="shared" si="6"/>
        <v>0</v>
      </c>
      <c r="G199" s="62"/>
      <c r="H199" s="62"/>
      <c r="I199" s="60"/>
      <c r="J199" s="60"/>
      <c r="K199" s="64"/>
      <c r="L199" s="64"/>
      <c r="M199" s="25"/>
      <c r="N199" s="25"/>
    </row>
    <row r="200" spans="1:14">
      <c r="A200" s="3" t="s">
        <v>358</v>
      </c>
      <c r="B200" s="10" t="s">
        <v>359</v>
      </c>
      <c r="C200" s="5"/>
      <c r="D200" s="5">
        <f t="shared" si="8"/>
        <v>0</v>
      </c>
      <c r="E200" s="6">
        <f t="shared" si="5"/>
        <v>0</v>
      </c>
      <c r="F200" s="6">
        <f t="shared" si="6"/>
        <v>0</v>
      </c>
      <c r="G200" s="62"/>
      <c r="H200" s="62"/>
      <c r="I200" s="60"/>
      <c r="J200" s="60"/>
      <c r="K200" s="64"/>
      <c r="L200" s="64"/>
      <c r="M200" s="25"/>
      <c r="N200" s="25"/>
    </row>
    <row r="201" spans="1:14">
      <c r="A201" s="3" t="s">
        <v>360</v>
      </c>
      <c r="B201" s="10" t="s">
        <v>361</v>
      </c>
      <c r="C201" s="5"/>
      <c r="D201" s="5">
        <f t="shared" si="8"/>
        <v>0</v>
      </c>
      <c r="E201" s="6">
        <f t="shared" si="5"/>
        <v>0</v>
      </c>
      <c r="F201" s="6">
        <f t="shared" si="6"/>
        <v>0</v>
      </c>
      <c r="G201" s="62"/>
      <c r="H201" s="62"/>
      <c r="I201" s="60"/>
      <c r="J201" s="60"/>
      <c r="K201" s="64"/>
      <c r="L201" s="64"/>
      <c r="M201" s="25"/>
      <c r="N201" s="25"/>
    </row>
    <row r="202" spans="1:14">
      <c r="A202" s="3" t="s">
        <v>362</v>
      </c>
      <c r="B202" s="10" t="s">
        <v>363</v>
      </c>
      <c r="C202" s="5"/>
      <c r="D202" s="5">
        <f t="shared" si="8"/>
        <v>0</v>
      </c>
      <c r="E202" s="6">
        <f t="shared" si="5"/>
        <v>0</v>
      </c>
      <c r="F202" s="6">
        <f t="shared" si="6"/>
        <v>0</v>
      </c>
      <c r="G202" s="62"/>
      <c r="H202" s="62"/>
      <c r="I202" s="60"/>
      <c r="J202" s="60"/>
      <c r="K202" s="64"/>
      <c r="L202" s="64"/>
      <c r="M202" s="25"/>
      <c r="N202" s="25"/>
    </row>
    <row r="203" spans="1:14">
      <c r="A203" s="3" t="s">
        <v>364</v>
      </c>
      <c r="B203" s="10" t="s">
        <v>365</v>
      </c>
      <c r="C203" s="5"/>
      <c r="D203" s="5">
        <f t="shared" si="8"/>
        <v>0</v>
      </c>
      <c r="E203" s="6">
        <f t="shared" si="5"/>
        <v>0</v>
      </c>
      <c r="F203" s="6">
        <f t="shared" si="6"/>
        <v>0</v>
      </c>
      <c r="G203" s="62"/>
      <c r="H203" s="62"/>
      <c r="I203" s="60"/>
      <c r="J203" s="60"/>
      <c r="K203" s="64"/>
      <c r="L203" s="64"/>
      <c r="M203" s="25"/>
      <c r="N203" s="25"/>
    </row>
    <row r="204" spans="1:14">
      <c r="A204" s="3" t="s">
        <v>366</v>
      </c>
      <c r="B204" s="10" t="s">
        <v>367</v>
      </c>
      <c r="C204" s="5"/>
      <c r="D204" s="5">
        <f t="shared" si="8"/>
        <v>0</v>
      </c>
      <c r="E204" s="6">
        <f t="shared" si="5"/>
        <v>0</v>
      </c>
      <c r="F204" s="6">
        <f t="shared" si="6"/>
        <v>0</v>
      </c>
      <c r="G204" s="62"/>
      <c r="H204" s="62"/>
      <c r="I204" s="60"/>
      <c r="J204" s="60"/>
      <c r="K204" s="64"/>
      <c r="L204" s="64"/>
      <c r="M204" s="25"/>
      <c r="N204" s="25"/>
    </row>
    <row r="205" spans="1:14">
      <c r="A205" s="3" t="s">
        <v>368</v>
      </c>
      <c r="B205" s="10" t="s">
        <v>369</v>
      </c>
      <c r="C205" s="5"/>
      <c r="D205" s="5">
        <f t="shared" si="8"/>
        <v>0</v>
      </c>
      <c r="E205" s="6">
        <f t="shared" si="5"/>
        <v>0</v>
      </c>
      <c r="F205" s="6">
        <f t="shared" si="6"/>
        <v>0</v>
      </c>
      <c r="G205" s="62"/>
      <c r="H205" s="62"/>
      <c r="I205" s="60"/>
      <c r="J205" s="60"/>
      <c r="K205" s="64"/>
      <c r="L205" s="64"/>
      <c r="M205" s="25"/>
      <c r="N205" s="25"/>
    </row>
    <row r="206" spans="1:14">
      <c r="A206" s="3" t="s">
        <v>370</v>
      </c>
      <c r="B206" s="10" t="s">
        <v>371</v>
      </c>
      <c r="C206" s="5"/>
      <c r="D206" s="5">
        <f t="shared" si="8"/>
        <v>0</v>
      </c>
      <c r="E206" s="6">
        <f t="shared" ref="E206:E269" si="9">SUM(G206,I206,K206,M206)</f>
        <v>0</v>
      </c>
      <c r="F206" s="6">
        <f t="shared" ref="F206:F269" si="10">SUM(H206,J206,L206,N206)</f>
        <v>0</v>
      </c>
      <c r="G206" s="62"/>
      <c r="H206" s="62"/>
      <c r="I206" s="60"/>
      <c r="J206" s="60"/>
      <c r="K206" s="64"/>
      <c r="L206" s="64"/>
      <c r="M206" s="25"/>
      <c r="N206" s="25"/>
    </row>
    <row r="207" spans="1:14">
      <c r="A207" s="3" t="s">
        <v>372</v>
      </c>
      <c r="B207" s="10" t="s">
        <v>373</v>
      </c>
      <c r="C207" s="5"/>
      <c r="D207" s="5">
        <f t="shared" si="8"/>
        <v>0</v>
      </c>
      <c r="E207" s="6">
        <f t="shared" si="9"/>
        <v>0</v>
      </c>
      <c r="F207" s="6">
        <f t="shared" si="10"/>
        <v>0</v>
      </c>
      <c r="G207" s="62"/>
      <c r="H207" s="62"/>
      <c r="I207" s="60"/>
      <c r="J207" s="60"/>
      <c r="K207" s="64"/>
      <c r="L207" s="64"/>
      <c r="M207" s="25"/>
      <c r="N207" s="25"/>
    </row>
    <row r="208" spans="1:14">
      <c r="A208" s="3" t="s">
        <v>374</v>
      </c>
      <c r="B208" s="10" t="s">
        <v>375</v>
      </c>
      <c r="C208" s="5"/>
      <c r="D208" s="5">
        <f t="shared" si="8"/>
        <v>0</v>
      </c>
      <c r="E208" s="6">
        <f t="shared" si="9"/>
        <v>0</v>
      </c>
      <c r="F208" s="6">
        <f t="shared" si="10"/>
        <v>0</v>
      </c>
      <c r="G208" s="62"/>
      <c r="H208" s="62"/>
      <c r="I208" s="60"/>
      <c r="J208" s="60"/>
      <c r="K208" s="64"/>
      <c r="L208" s="64"/>
      <c r="M208" s="25"/>
      <c r="N208" s="25"/>
    </row>
    <row r="209" spans="1:14">
      <c r="A209" s="3" t="s">
        <v>376</v>
      </c>
      <c r="B209" s="10" t="s">
        <v>377</v>
      </c>
      <c r="C209" s="5"/>
      <c r="D209" s="5">
        <f t="shared" si="8"/>
        <v>0</v>
      </c>
      <c r="E209" s="6">
        <f t="shared" si="9"/>
        <v>0</v>
      </c>
      <c r="F209" s="6">
        <f t="shared" si="10"/>
        <v>0</v>
      </c>
      <c r="G209" s="62"/>
      <c r="H209" s="62"/>
      <c r="I209" s="60"/>
      <c r="J209" s="60"/>
      <c r="K209" s="64"/>
      <c r="L209" s="64"/>
      <c r="M209" s="25"/>
      <c r="N209" s="25"/>
    </row>
    <row r="210" spans="1:14">
      <c r="A210" s="3" t="s">
        <v>378</v>
      </c>
      <c r="B210" s="10" t="s">
        <v>379</v>
      </c>
      <c r="C210" s="5"/>
      <c r="D210" s="5">
        <f t="shared" si="8"/>
        <v>0</v>
      </c>
      <c r="E210" s="6">
        <f t="shared" si="9"/>
        <v>0</v>
      </c>
      <c r="F210" s="6">
        <f t="shared" si="10"/>
        <v>0</v>
      </c>
      <c r="G210" s="62"/>
      <c r="H210" s="62"/>
      <c r="I210" s="60"/>
      <c r="J210" s="60"/>
      <c r="K210" s="64"/>
      <c r="L210" s="64"/>
      <c r="M210" s="25"/>
      <c r="N210" s="25"/>
    </row>
    <row r="211" spans="1:14">
      <c r="A211" s="3" t="s">
        <v>380</v>
      </c>
      <c r="B211" s="10" t="s">
        <v>381</v>
      </c>
      <c r="C211" s="5"/>
      <c r="D211" s="5">
        <f t="shared" si="8"/>
        <v>0</v>
      </c>
      <c r="E211" s="6">
        <f t="shared" si="9"/>
        <v>0</v>
      </c>
      <c r="F211" s="6">
        <f t="shared" si="10"/>
        <v>0</v>
      </c>
      <c r="G211" s="62"/>
      <c r="H211" s="62"/>
      <c r="I211" s="60"/>
      <c r="J211" s="60"/>
      <c r="K211" s="64"/>
      <c r="L211" s="64"/>
      <c r="M211" s="25"/>
      <c r="N211" s="25"/>
    </row>
    <row r="212" spans="1:14">
      <c r="A212" s="3" t="s">
        <v>382</v>
      </c>
      <c r="B212" s="10" t="s">
        <v>383</v>
      </c>
      <c r="C212" s="5"/>
      <c r="D212" s="5">
        <f t="shared" si="8"/>
        <v>0</v>
      </c>
      <c r="E212" s="6">
        <f t="shared" si="9"/>
        <v>0</v>
      </c>
      <c r="F212" s="6">
        <f t="shared" si="10"/>
        <v>0</v>
      </c>
      <c r="G212" s="62"/>
      <c r="H212" s="62"/>
      <c r="I212" s="60"/>
      <c r="J212" s="60"/>
      <c r="K212" s="64"/>
      <c r="L212" s="64"/>
      <c r="M212" s="25"/>
      <c r="N212" s="25"/>
    </row>
    <row r="213" spans="1:14">
      <c r="A213" s="3" t="s">
        <v>384</v>
      </c>
      <c r="B213" s="10" t="s">
        <v>385</v>
      </c>
      <c r="C213" s="5"/>
      <c r="D213" s="5">
        <f t="shared" si="8"/>
        <v>0</v>
      </c>
      <c r="E213" s="6">
        <f t="shared" si="9"/>
        <v>0</v>
      </c>
      <c r="F213" s="6">
        <f t="shared" si="10"/>
        <v>0</v>
      </c>
      <c r="G213" s="62"/>
      <c r="H213" s="62"/>
      <c r="I213" s="60"/>
      <c r="J213" s="60"/>
      <c r="K213" s="64"/>
      <c r="L213" s="64"/>
      <c r="M213" s="25"/>
      <c r="N213" s="25"/>
    </row>
    <row r="214" spans="1:14">
      <c r="A214" s="3" t="s">
        <v>386</v>
      </c>
      <c r="B214" s="10" t="s">
        <v>387</v>
      </c>
      <c r="C214" s="5"/>
      <c r="D214" s="5">
        <f t="shared" si="8"/>
        <v>0</v>
      </c>
      <c r="E214" s="6">
        <f t="shared" si="9"/>
        <v>0</v>
      </c>
      <c r="F214" s="6">
        <f t="shared" si="10"/>
        <v>0</v>
      </c>
      <c r="G214" s="62"/>
      <c r="H214" s="62"/>
      <c r="I214" s="60"/>
      <c r="J214" s="60"/>
      <c r="K214" s="64"/>
      <c r="L214" s="64"/>
      <c r="M214" s="25"/>
      <c r="N214" s="25"/>
    </row>
    <row r="215" spans="1:14">
      <c r="A215" s="3" t="s">
        <v>388</v>
      </c>
      <c r="B215" s="10" t="s">
        <v>389</v>
      </c>
      <c r="C215" s="5"/>
      <c r="D215" s="5">
        <f t="shared" si="8"/>
        <v>0</v>
      </c>
      <c r="E215" s="6">
        <f t="shared" si="9"/>
        <v>0</v>
      </c>
      <c r="F215" s="6">
        <f t="shared" si="10"/>
        <v>0</v>
      </c>
      <c r="G215" s="62"/>
      <c r="H215" s="62"/>
      <c r="I215" s="60"/>
      <c r="J215" s="60"/>
      <c r="K215" s="64"/>
      <c r="L215" s="64"/>
      <c r="M215" s="25"/>
      <c r="N215" s="25"/>
    </row>
    <row r="216" spans="1:14">
      <c r="A216" s="3" t="s">
        <v>390</v>
      </c>
      <c r="B216" s="10" t="s">
        <v>391</v>
      </c>
      <c r="C216" s="5"/>
      <c r="D216" s="5">
        <f t="shared" si="8"/>
        <v>0</v>
      </c>
      <c r="E216" s="6">
        <f t="shared" si="9"/>
        <v>0</v>
      </c>
      <c r="F216" s="6">
        <f t="shared" si="10"/>
        <v>0</v>
      </c>
      <c r="G216" s="62"/>
      <c r="H216" s="62"/>
      <c r="I216" s="60"/>
      <c r="J216" s="60"/>
      <c r="K216" s="64"/>
      <c r="L216" s="64"/>
      <c r="M216" s="25"/>
      <c r="N216" s="25"/>
    </row>
    <row r="217" spans="1:14">
      <c r="A217" s="3" t="s">
        <v>392</v>
      </c>
      <c r="B217" s="10" t="s">
        <v>393</v>
      </c>
      <c r="C217" s="5"/>
      <c r="D217" s="5">
        <f t="shared" si="8"/>
        <v>0</v>
      </c>
      <c r="E217" s="6">
        <f t="shared" si="9"/>
        <v>0</v>
      </c>
      <c r="F217" s="6">
        <f t="shared" si="10"/>
        <v>0</v>
      </c>
      <c r="G217" s="62"/>
      <c r="H217" s="62"/>
      <c r="I217" s="60"/>
      <c r="J217" s="60"/>
      <c r="K217" s="64"/>
      <c r="L217" s="64"/>
      <c r="M217" s="25"/>
      <c r="N217" s="25"/>
    </row>
    <row r="218" spans="1:14">
      <c r="A218" s="3" t="s">
        <v>394</v>
      </c>
      <c r="B218" s="10" t="s">
        <v>395</v>
      </c>
      <c r="C218" s="5"/>
      <c r="D218" s="5">
        <f t="shared" si="8"/>
        <v>0</v>
      </c>
      <c r="E218" s="6">
        <f t="shared" si="9"/>
        <v>0</v>
      </c>
      <c r="F218" s="6">
        <f t="shared" si="10"/>
        <v>0</v>
      </c>
      <c r="G218" s="62"/>
      <c r="H218" s="62"/>
      <c r="I218" s="60"/>
      <c r="J218" s="60"/>
      <c r="K218" s="64"/>
      <c r="L218" s="64"/>
      <c r="M218" s="25"/>
      <c r="N218" s="25"/>
    </row>
    <row r="219" spans="1:14">
      <c r="A219" s="3" t="s">
        <v>396</v>
      </c>
      <c r="B219" s="10" t="s">
        <v>397</v>
      </c>
      <c r="C219" s="5"/>
      <c r="D219" s="5">
        <f t="shared" si="8"/>
        <v>0</v>
      </c>
      <c r="E219" s="6">
        <f t="shared" si="9"/>
        <v>0</v>
      </c>
      <c r="F219" s="6">
        <f t="shared" si="10"/>
        <v>0</v>
      </c>
      <c r="G219" s="62"/>
      <c r="H219" s="62"/>
      <c r="I219" s="60"/>
      <c r="J219" s="60"/>
      <c r="K219" s="64"/>
      <c r="L219" s="64"/>
      <c r="M219" s="25"/>
      <c r="N219" s="25"/>
    </row>
    <row r="220" spans="1:14">
      <c r="A220" s="3" t="s">
        <v>398</v>
      </c>
      <c r="B220" s="10" t="s">
        <v>399</v>
      </c>
      <c r="C220" s="5"/>
      <c r="D220" s="5">
        <f t="shared" si="8"/>
        <v>0</v>
      </c>
      <c r="E220" s="6">
        <f t="shared" si="9"/>
        <v>0</v>
      </c>
      <c r="F220" s="6">
        <f t="shared" si="10"/>
        <v>0</v>
      </c>
      <c r="G220" s="62"/>
      <c r="H220" s="62"/>
      <c r="I220" s="60"/>
      <c r="J220" s="60"/>
      <c r="K220" s="64"/>
      <c r="L220" s="64"/>
      <c r="M220" s="25"/>
      <c r="N220" s="25"/>
    </row>
    <row r="221" spans="1:14">
      <c r="A221" s="3" t="s">
        <v>400</v>
      </c>
      <c r="B221" s="10" t="s">
        <v>401</v>
      </c>
      <c r="C221" s="5"/>
      <c r="D221" s="5">
        <f t="shared" si="8"/>
        <v>0</v>
      </c>
      <c r="E221" s="6">
        <f t="shared" si="9"/>
        <v>0</v>
      </c>
      <c r="F221" s="6">
        <f t="shared" si="10"/>
        <v>0</v>
      </c>
      <c r="G221" s="62"/>
      <c r="H221" s="62"/>
      <c r="I221" s="60"/>
      <c r="J221" s="60"/>
      <c r="K221" s="64"/>
      <c r="L221" s="64"/>
      <c r="M221" s="25"/>
      <c r="N221" s="25"/>
    </row>
    <row r="222" spans="1:14">
      <c r="A222" s="3" t="s">
        <v>402</v>
      </c>
      <c r="B222" s="10" t="s">
        <v>403</v>
      </c>
      <c r="C222" s="5"/>
      <c r="D222" s="5">
        <f t="shared" si="8"/>
        <v>0</v>
      </c>
      <c r="E222" s="6">
        <f t="shared" si="9"/>
        <v>0</v>
      </c>
      <c r="F222" s="6">
        <f t="shared" si="10"/>
        <v>0</v>
      </c>
      <c r="G222" s="62"/>
      <c r="H222" s="62"/>
      <c r="I222" s="60"/>
      <c r="J222" s="60"/>
      <c r="K222" s="64"/>
      <c r="L222" s="64"/>
      <c r="M222" s="25"/>
      <c r="N222" s="25"/>
    </row>
    <row r="223" spans="1:14">
      <c r="A223" s="3" t="s">
        <v>404</v>
      </c>
      <c r="B223" s="10" t="s">
        <v>405</v>
      </c>
      <c r="C223" s="5"/>
      <c r="D223" s="5">
        <f t="shared" si="8"/>
        <v>0</v>
      </c>
      <c r="E223" s="6">
        <f t="shared" si="9"/>
        <v>0</v>
      </c>
      <c r="F223" s="6">
        <f t="shared" si="10"/>
        <v>0</v>
      </c>
      <c r="G223" s="62"/>
      <c r="H223" s="62"/>
      <c r="I223" s="60"/>
      <c r="J223" s="60"/>
      <c r="K223" s="64"/>
      <c r="L223" s="64"/>
      <c r="M223" s="25"/>
      <c r="N223" s="25"/>
    </row>
    <row r="224" spans="1:14">
      <c r="A224" s="3" t="s">
        <v>406</v>
      </c>
      <c r="B224" s="10" t="s">
        <v>407</v>
      </c>
      <c r="C224" s="5"/>
      <c r="D224" s="5">
        <f t="shared" si="8"/>
        <v>0</v>
      </c>
      <c r="E224" s="6">
        <f t="shared" si="9"/>
        <v>0</v>
      </c>
      <c r="F224" s="6">
        <f t="shared" si="10"/>
        <v>0</v>
      </c>
      <c r="G224" s="62"/>
      <c r="H224" s="62"/>
      <c r="I224" s="60"/>
      <c r="J224" s="60"/>
      <c r="K224" s="64"/>
      <c r="L224" s="64"/>
      <c r="M224" s="25"/>
      <c r="N224" s="25"/>
    </row>
    <row r="225" spans="1:14">
      <c r="A225" s="3" t="s">
        <v>408</v>
      </c>
      <c r="B225" s="10" t="s">
        <v>409</v>
      </c>
      <c r="C225" s="5"/>
      <c r="D225" s="5">
        <f t="shared" si="8"/>
        <v>0</v>
      </c>
      <c r="E225" s="6">
        <f t="shared" si="9"/>
        <v>0</v>
      </c>
      <c r="F225" s="6">
        <f t="shared" si="10"/>
        <v>0</v>
      </c>
      <c r="G225" s="62"/>
      <c r="H225" s="62"/>
      <c r="I225" s="60"/>
      <c r="J225" s="60"/>
      <c r="K225" s="64"/>
      <c r="L225" s="64"/>
      <c r="M225" s="25"/>
      <c r="N225" s="25"/>
    </row>
    <row r="226" spans="1:14">
      <c r="A226" s="3" t="s">
        <v>410</v>
      </c>
      <c r="B226" s="10" t="s">
        <v>411</v>
      </c>
      <c r="C226" s="5"/>
      <c r="D226" s="5">
        <f t="shared" si="8"/>
        <v>0</v>
      </c>
      <c r="E226" s="6">
        <f t="shared" si="9"/>
        <v>0</v>
      </c>
      <c r="F226" s="6">
        <f t="shared" si="10"/>
        <v>0</v>
      </c>
      <c r="G226" s="62"/>
      <c r="H226" s="62"/>
      <c r="I226" s="60"/>
      <c r="J226" s="60"/>
      <c r="K226" s="64"/>
      <c r="L226" s="64"/>
      <c r="M226" s="25"/>
      <c r="N226" s="25"/>
    </row>
    <row r="227" spans="1:14">
      <c r="A227" s="3" t="s">
        <v>412</v>
      </c>
      <c r="B227" s="10" t="s">
        <v>413</v>
      </c>
      <c r="C227" s="5"/>
      <c r="D227" s="5">
        <f t="shared" si="8"/>
        <v>0</v>
      </c>
      <c r="E227" s="6">
        <f t="shared" si="9"/>
        <v>0</v>
      </c>
      <c r="F227" s="6">
        <f t="shared" si="10"/>
        <v>0</v>
      </c>
      <c r="G227" s="62"/>
      <c r="H227" s="62"/>
      <c r="I227" s="60"/>
      <c r="J227" s="60"/>
      <c r="K227" s="64"/>
      <c r="L227" s="64"/>
      <c r="M227" s="25"/>
      <c r="N227" s="25"/>
    </row>
    <row r="228" spans="1:14">
      <c r="A228" s="3" t="s">
        <v>414</v>
      </c>
      <c r="B228" s="10" t="s">
        <v>415</v>
      </c>
      <c r="C228" s="5"/>
      <c r="D228" s="5">
        <f t="shared" si="8"/>
        <v>0</v>
      </c>
      <c r="E228" s="6">
        <f t="shared" si="9"/>
        <v>0</v>
      </c>
      <c r="F228" s="6">
        <f t="shared" si="10"/>
        <v>0</v>
      </c>
      <c r="G228" s="62"/>
      <c r="H228" s="62"/>
      <c r="I228" s="60"/>
      <c r="J228" s="60"/>
      <c r="K228" s="64"/>
      <c r="L228" s="64"/>
      <c r="M228" s="25"/>
      <c r="N228" s="25"/>
    </row>
    <row r="229" spans="1:14">
      <c r="A229" s="3" t="s">
        <v>416</v>
      </c>
      <c r="B229" s="10" t="s">
        <v>417</v>
      </c>
      <c r="C229" s="5"/>
      <c r="D229" s="5">
        <f t="shared" si="8"/>
        <v>0</v>
      </c>
      <c r="E229" s="6">
        <f t="shared" si="9"/>
        <v>0</v>
      </c>
      <c r="F229" s="6">
        <f t="shared" si="10"/>
        <v>0</v>
      </c>
      <c r="G229" s="62"/>
      <c r="H229" s="62"/>
      <c r="I229" s="60"/>
      <c r="J229" s="60"/>
      <c r="K229" s="64"/>
      <c r="L229" s="64"/>
      <c r="M229" s="25"/>
      <c r="N229" s="25"/>
    </row>
    <row r="230" spans="1:14">
      <c r="A230" s="3" t="s">
        <v>418</v>
      </c>
      <c r="B230" s="10" t="s">
        <v>419</v>
      </c>
      <c r="C230" s="5"/>
      <c r="D230" s="5">
        <f t="shared" si="8"/>
        <v>0</v>
      </c>
      <c r="E230" s="6">
        <f t="shared" si="9"/>
        <v>0</v>
      </c>
      <c r="F230" s="6">
        <f t="shared" si="10"/>
        <v>0</v>
      </c>
      <c r="G230" s="62"/>
      <c r="H230" s="62"/>
      <c r="I230" s="60"/>
      <c r="J230" s="60"/>
      <c r="K230" s="64"/>
      <c r="L230" s="64"/>
      <c r="M230" s="25"/>
      <c r="N230" s="25"/>
    </row>
    <row r="231" spans="1:14">
      <c r="A231" s="3" t="s">
        <v>420</v>
      </c>
      <c r="B231" s="10" t="s">
        <v>421</v>
      </c>
      <c r="C231" s="5"/>
      <c r="D231" s="5">
        <f t="shared" si="8"/>
        <v>0</v>
      </c>
      <c r="E231" s="6">
        <f t="shared" si="9"/>
        <v>0</v>
      </c>
      <c r="F231" s="6">
        <f t="shared" si="10"/>
        <v>0</v>
      </c>
      <c r="G231" s="62"/>
      <c r="H231" s="62"/>
      <c r="I231" s="60"/>
      <c r="J231" s="60"/>
      <c r="K231" s="64"/>
      <c r="L231" s="64"/>
      <c r="M231" s="25"/>
      <c r="N231" s="25"/>
    </row>
    <row r="232" spans="1:14">
      <c r="A232" s="3" t="s">
        <v>422</v>
      </c>
      <c r="B232" s="10" t="s">
        <v>423</v>
      </c>
      <c r="C232" s="5"/>
      <c r="D232" s="5">
        <f t="shared" si="8"/>
        <v>0</v>
      </c>
      <c r="E232" s="6">
        <f t="shared" si="9"/>
        <v>0</v>
      </c>
      <c r="F232" s="6">
        <f t="shared" si="10"/>
        <v>0</v>
      </c>
      <c r="G232" s="62"/>
      <c r="H232" s="62"/>
      <c r="I232" s="60"/>
      <c r="J232" s="60"/>
      <c r="K232" s="64"/>
      <c r="L232" s="64"/>
      <c r="M232" s="25"/>
      <c r="N232" s="25"/>
    </row>
    <row r="233" spans="1:14">
      <c r="A233" s="3" t="s">
        <v>424</v>
      </c>
      <c r="B233" s="10" t="s">
        <v>425</v>
      </c>
      <c r="C233" s="5"/>
      <c r="D233" s="5">
        <f t="shared" si="8"/>
        <v>0</v>
      </c>
      <c r="E233" s="6">
        <f t="shared" si="9"/>
        <v>0</v>
      </c>
      <c r="F233" s="6">
        <f t="shared" si="10"/>
        <v>0</v>
      </c>
      <c r="G233" s="62"/>
      <c r="H233" s="62"/>
      <c r="I233" s="60"/>
      <c r="J233" s="60"/>
      <c r="K233" s="64"/>
      <c r="L233" s="64"/>
      <c r="M233" s="25"/>
      <c r="N233" s="25"/>
    </row>
    <row r="234" spans="1:14">
      <c r="A234" s="3" t="s">
        <v>426</v>
      </c>
      <c r="B234" s="10" t="s">
        <v>427</v>
      </c>
      <c r="C234" s="5"/>
      <c r="D234" s="5">
        <f t="shared" si="8"/>
        <v>0</v>
      </c>
      <c r="E234" s="6">
        <f t="shared" si="9"/>
        <v>0</v>
      </c>
      <c r="F234" s="6">
        <f t="shared" si="10"/>
        <v>0</v>
      </c>
      <c r="G234" s="62"/>
      <c r="H234" s="62"/>
      <c r="I234" s="60"/>
      <c r="J234" s="60"/>
      <c r="K234" s="64"/>
      <c r="L234" s="64"/>
      <c r="M234" s="25"/>
      <c r="N234" s="25"/>
    </row>
    <row r="235" spans="1:14">
      <c r="A235" s="3" t="s">
        <v>428</v>
      </c>
      <c r="B235" s="10" t="s">
        <v>429</v>
      </c>
      <c r="C235" s="5"/>
      <c r="D235" s="5">
        <f t="shared" si="8"/>
        <v>0</v>
      </c>
      <c r="E235" s="6">
        <f t="shared" si="9"/>
        <v>0</v>
      </c>
      <c r="F235" s="6">
        <f t="shared" si="10"/>
        <v>0</v>
      </c>
      <c r="G235" s="62"/>
      <c r="H235" s="62"/>
      <c r="I235" s="60"/>
      <c r="J235" s="60"/>
      <c r="K235" s="64"/>
      <c r="L235" s="64"/>
      <c r="M235" s="25"/>
      <c r="N235" s="25"/>
    </row>
    <row r="236" spans="1:14">
      <c r="A236" s="3" t="s">
        <v>430</v>
      </c>
      <c r="B236" s="10" t="s">
        <v>431</v>
      </c>
      <c r="C236" s="5"/>
      <c r="D236" s="5">
        <f t="shared" si="8"/>
        <v>0</v>
      </c>
      <c r="E236" s="6">
        <f t="shared" si="9"/>
        <v>0</v>
      </c>
      <c r="F236" s="6">
        <f t="shared" si="10"/>
        <v>0</v>
      </c>
      <c r="G236" s="62"/>
      <c r="H236" s="62"/>
      <c r="I236" s="60"/>
      <c r="J236" s="60"/>
      <c r="K236" s="64"/>
      <c r="L236" s="64"/>
      <c r="M236" s="25"/>
      <c r="N236" s="25"/>
    </row>
    <row r="237" spans="1:14">
      <c r="A237" s="3" t="s">
        <v>432</v>
      </c>
      <c r="B237" s="10" t="s">
        <v>433</v>
      </c>
      <c r="C237" s="5"/>
      <c r="D237" s="5">
        <f t="shared" si="8"/>
        <v>0</v>
      </c>
      <c r="E237" s="6">
        <f t="shared" si="9"/>
        <v>0</v>
      </c>
      <c r="F237" s="6">
        <f t="shared" si="10"/>
        <v>0</v>
      </c>
      <c r="G237" s="62"/>
      <c r="H237" s="62"/>
      <c r="I237" s="60"/>
      <c r="J237" s="60"/>
      <c r="K237" s="64"/>
      <c r="L237" s="64"/>
      <c r="M237" s="25"/>
      <c r="N237" s="25"/>
    </row>
    <row r="238" spans="1:14">
      <c r="A238" s="3" t="s">
        <v>434</v>
      </c>
      <c r="B238" s="10" t="s">
        <v>435</v>
      </c>
      <c r="C238" s="5"/>
      <c r="D238" s="5">
        <f t="shared" ref="D238:D280" si="11">F238-E238</f>
        <v>0</v>
      </c>
      <c r="E238" s="6">
        <f t="shared" si="9"/>
        <v>0</v>
      </c>
      <c r="F238" s="6">
        <f t="shared" si="10"/>
        <v>0</v>
      </c>
      <c r="G238" s="62"/>
      <c r="H238" s="62"/>
      <c r="I238" s="60"/>
      <c r="J238" s="60"/>
      <c r="K238" s="64"/>
      <c r="L238" s="64"/>
      <c r="M238" s="25"/>
      <c r="N238" s="25"/>
    </row>
    <row r="239" spans="1:14">
      <c r="A239" s="3" t="s">
        <v>436</v>
      </c>
      <c r="B239" s="10" t="s">
        <v>437</v>
      </c>
      <c r="C239" s="5"/>
      <c r="D239" s="5">
        <f t="shared" si="11"/>
        <v>0</v>
      </c>
      <c r="E239" s="6">
        <f t="shared" si="9"/>
        <v>0</v>
      </c>
      <c r="F239" s="6">
        <f t="shared" si="10"/>
        <v>0</v>
      </c>
      <c r="G239" s="62"/>
      <c r="H239" s="62"/>
      <c r="I239" s="60"/>
      <c r="J239" s="60"/>
      <c r="K239" s="64"/>
      <c r="L239" s="64"/>
      <c r="M239" s="25"/>
      <c r="N239" s="25"/>
    </row>
    <row r="240" spans="1:14">
      <c r="A240" s="3" t="s">
        <v>438</v>
      </c>
      <c r="B240" s="10" t="s">
        <v>439</v>
      </c>
      <c r="C240" s="5"/>
      <c r="D240" s="5">
        <f t="shared" si="11"/>
        <v>0</v>
      </c>
      <c r="E240" s="6">
        <f t="shared" si="9"/>
        <v>0</v>
      </c>
      <c r="F240" s="6">
        <f t="shared" si="10"/>
        <v>0</v>
      </c>
      <c r="G240" s="62"/>
      <c r="H240" s="62"/>
      <c r="I240" s="60"/>
      <c r="J240" s="60"/>
      <c r="K240" s="64"/>
      <c r="L240" s="64"/>
      <c r="M240" s="25"/>
      <c r="N240" s="25"/>
    </row>
    <row r="241" spans="1:14">
      <c r="A241" s="3" t="s">
        <v>440</v>
      </c>
      <c r="B241" s="10" t="s">
        <v>441</v>
      </c>
      <c r="C241" s="5"/>
      <c r="D241" s="5">
        <f t="shared" si="11"/>
        <v>0</v>
      </c>
      <c r="E241" s="6">
        <f t="shared" si="9"/>
        <v>0</v>
      </c>
      <c r="F241" s="6">
        <f t="shared" si="10"/>
        <v>0</v>
      </c>
      <c r="G241" s="62"/>
      <c r="H241" s="62"/>
      <c r="I241" s="60"/>
      <c r="J241" s="60"/>
      <c r="K241" s="64"/>
      <c r="L241" s="64"/>
      <c r="M241" s="25"/>
      <c r="N241" s="25"/>
    </row>
    <row r="242" spans="1:14">
      <c r="A242" s="3" t="s">
        <v>442</v>
      </c>
      <c r="B242" s="10" t="s">
        <v>443</v>
      </c>
      <c r="C242" s="5"/>
      <c r="D242" s="5">
        <f t="shared" si="11"/>
        <v>0</v>
      </c>
      <c r="E242" s="6">
        <f t="shared" si="9"/>
        <v>0</v>
      </c>
      <c r="F242" s="6">
        <f t="shared" si="10"/>
        <v>0</v>
      </c>
      <c r="G242" s="62"/>
      <c r="H242" s="62"/>
      <c r="I242" s="60"/>
      <c r="J242" s="60"/>
      <c r="K242" s="64"/>
      <c r="L242" s="64"/>
      <c r="M242" s="25"/>
      <c r="N242" s="25"/>
    </row>
    <row r="243" spans="1:14">
      <c r="A243" s="3" t="s">
        <v>444</v>
      </c>
      <c r="B243" s="10" t="s">
        <v>445</v>
      </c>
      <c r="C243" s="5"/>
      <c r="D243" s="5">
        <f t="shared" si="11"/>
        <v>0</v>
      </c>
      <c r="E243" s="6">
        <f t="shared" si="9"/>
        <v>0</v>
      </c>
      <c r="F243" s="6">
        <f t="shared" si="10"/>
        <v>0</v>
      </c>
      <c r="G243" s="62"/>
      <c r="H243" s="62"/>
      <c r="I243" s="60"/>
      <c r="J243" s="60"/>
      <c r="K243" s="64"/>
      <c r="L243" s="64"/>
      <c r="M243" s="25"/>
      <c r="N243" s="25"/>
    </row>
    <row r="244" spans="1:14">
      <c r="A244" s="3" t="s">
        <v>446</v>
      </c>
      <c r="B244" s="10" t="s">
        <v>447</v>
      </c>
      <c r="C244" s="5"/>
      <c r="D244" s="5">
        <f t="shared" si="11"/>
        <v>0</v>
      </c>
      <c r="E244" s="6">
        <f t="shared" si="9"/>
        <v>0</v>
      </c>
      <c r="F244" s="6">
        <f t="shared" si="10"/>
        <v>0</v>
      </c>
      <c r="G244" s="62"/>
      <c r="H244" s="62"/>
      <c r="I244" s="60"/>
      <c r="J244" s="60"/>
      <c r="K244" s="64"/>
      <c r="L244" s="64"/>
      <c r="M244" s="25"/>
      <c r="N244" s="25"/>
    </row>
    <row r="245" spans="1:14">
      <c r="A245" s="3" t="s">
        <v>448</v>
      </c>
      <c r="B245" s="10" t="s">
        <v>449</v>
      </c>
      <c r="C245" s="5"/>
      <c r="D245" s="5">
        <f t="shared" si="11"/>
        <v>0</v>
      </c>
      <c r="E245" s="6">
        <f t="shared" si="9"/>
        <v>0</v>
      </c>
      <c r="F245" s="6">
        <f t="shared" si="10"/>
        <v>0</v>
      </c>
      <c r="G245" s="62"/>
      <c r="H245" s="62"/>
      <c r="I245" s="60"/>
      <c r="J245" s="60"/>
      <c r="K245" s="64"/>
      <c r="L245" s="64"/>
      <c r="M245" s="25"/>
      <c r="N245" s="25"/>
    </row>
    <row r="246" spans="1:14">
      <c r="A246" s="3" t="s">
        <v>450</v>
      </c>
      <c r="B246" s="10" t="s">
        <v>451</v>
      </c>
      <c r="C246" s="5"/>
      <c r="D246" s="5">
        <f t="shared" si="11"/>
        <v>0</v>
      </c>
      <c r="E246" s="6">
        <f t="shared" si="9"/>
        <v>0</v>
      </c>
      <c r="F246" s="6">
        <f t="shared" si="10"/>
        <v>0</v>
      </c>
      <c r="G246" s="62"/>
      <c r="H246" s="62"/>
      <c r="I246" s="60"/>
      <c r="J246" s="60"/>
      <c r="K246" s="64"/>
      <c r="L246" s="64"/>
      <c r="M246" s="25"/>
      <c r="N246" s="25"/>
    </row>
    <row r="247" spans="1:14">
      <c r="A247" s="3" t="s">
        <v>452</v>
      </c>
      <c r="B247" s="10" t="s">
        <v>453</v>
      </c>
      <c r="C247" s="5"/>
      <c r="D247" s="5">
        <f t="shared" si="11"/>
        <v>0</v>
      </c>
      <c r="E247" s="6">
        <f t="shared" si="9"/>
        <v>0</v>
      </c>
      <c r="F247" s="6">
        <f t="shared" si="10"/>
        <v>0</v>
      </c>
      <c r="G247" s="62"/>
      <c r="H247" s="62"/>
      <c r="I247" s="60"/>
      <c r="J247" s="60"/>
      <c r="K247" s="64"/>
      <c r="L247" s="64"/>
      <c r="M247" s="25"/>
      <c r="N247" s="25"/>
    </row>
    <row r="248" spans="1:14">
      <c r="A248" s="3" t="s">
        <v>454</v>
      </c>
      <c r="B248" s="10" t="s">
        <v>455</v>
      </c>
      <c r="C248" s="5"/>
      <c r="D248" s="5">
        <f t="shared" si="11"/>
        <v>0</v>
      </c>
      <c r="E248" s="6">
        <f t="shared" si="9"/>
        <v>0</v>
      </c>
      <c r="F248" s="6">
        <f t="shared" si="10"/>
        <v>0</v>
      </c>
      <c r="G248" s="62"/>
      <c r="H248" s="62"/>
      <c r="I248" s="60"/>
      <c r="J248" s="60"/>
      <c r="K248" s="64"/>
      <c r="L248" s="64"/>
      <c r="M248" s="25"/>
      <c r="N248" s="25"/>
    </row>
    <row r="249" spans="1:14">
      <c r="A249" s="3" t="s">
        <v>456</v>
      </c>
      <c r="B249" s="10" t="s">
        <v>457</v>
      </c>
      <c r="C249" s="5"/>
      <c r="D249" s="5">
        <f t="shared" si="11"/>
        <v>0</v>
      </c>
      <c r="E249" s="6">
        <f t="shared" si="9"/>
        <v>0</v>
      </c>
      <c r="F249" s="6">
        <f t="shared" si="10"/>
        <v>0</v>
      </c>
      <c r="G249" s="62"/>
      <c r="H249" s="62"/>
      <c r="I249" s="60"/>
      <c r="J249" s="60"/>
      <c r="K249" s="64"/>
      <c r="L249" s="64"/>
      <c r="M249" s="25"/>
      <c r="N249" s="25"/>
    </row>
    <row r="250" spans="1:14">
      <c r="A250" s="3" t="s">
        <v>458</v>
      </c>
      <c r="B250" s="10" t="s">
        <v>459</v>
      </c>
      <c r="C250" s="5"/>
      <c r="D250" s="5">
        <f t="shared" si="11"/>
        <v>0</v>
      </c>
      <c r="E250" s="6">
        <f t="shared" si="9"/>
        <v>0</v>
      </c>
      <c r="F250" s="6">
        <f t="shared" si="10"/>
        <v>0</v>
      </c>
      <c r="G250" s="62"/>
      <c r="H250" s="62"/>
      <c r="I250" s="60"/>
      <c r="J250" s="60"/>
      <c r="K250" s="64"/>
      <c r="L250" s="64"/>
      <c r="M250" s="25"/>
      <c r="N250" s="25"/>
    </row>
    <row r="251" spans="1:14">
      <c r="A251" s="3" t="s">
        <v>460</v>
      </c>
      <c r="B251" s="10" t="s">
        <v>461</v>
      </c>
      <c r="C251" s="5"/>
      <c r="D251" s="5">
        <f t="shared" si="11"/>
        <v>0</v>
      </c>
      <c r="E251" s="6">
        <f t="shared" si="9"/>
        <v>0</v>
      </c>
      <c r="F251" s="6">
        <f t="shared" si="10"/>
        <v>0</v>
      </c>
      <c r="G251" s="62"/>
      <c r="H251" s="62"/>
      <c r="I251" s="60"/>
      <c r="J251" s="60"/>
      <c r="K251" s="64"/>
      <c r="L251" s="64"/>
      <c r="M251" s="25"/>
      <c r="N251" s="25"/>
    </row>
    <row r="252" spans="1:14">
      <c r="A252" s="3" t="s">
        <v>462</v>
      </c>
      <c r="B252" s="10" t="s">
        <v>463</v>
      </c>
      <c r="C252" s="5"/>
      <c r="D252" s="5">
        <f t="shared" si="11"/>
        <v>0</v>
      </c>
      <c r="E252" s="6">
        <f t="shared" si="9"/>
        <v>0</v>
      </c>
      <c r="F252" s="6">
        <f t="shared" si="10"/>
        <v>0</v>
      </c>
      <c r="G252" s="62"/>
      <c r="H252" s="62"/>
      <c r="I252" s="60"/>
      <c r="J252" s="60"/>
      <c r="K252" s="64"/>
      <c r="L252" s="64"/>
      <c r="M252" s="25"/>
      <c r="N252" s="25"/>
    </row>
    <row r="253" spans="1:14">
      <c r="A253" s="3" t="s">
        <v>464</v>
      </c>
      <c r="B253" s="10" t="s">
        <v>465</v>
      </c>
      <c r="C253" s="5"/>
      <c r="D253" s="5">
        <f t="shared" si="11"/>
        <v>0</v>
      </c>
      <c r="E253" s="6">
        <f t="shared" si="9"/>
        <v>0</v>
      </c>
      <c r="F253" s="6">
        <f t="shared" si="10"/>
        <v>0</v>
      </c>
      <c r="G253" s="62"/>
      <c r="H253" s="62"/>
      <c r="I253" s="60"/>
      <c r="J253" s="60"/>
      <c r="K253" s="64"/>
      <c r="L253" s="64"/>
      <c r="M253" s="25"/>
      <c r="N253" s="25"/>
    </row>
    <row r="254" spans="1:14">
      <c r="A254" s="3" t="s">
        <v>466</v>
      </c>
      <c r="B254" s="10" t="s">
        <v>467</v>
      </c>
      <c r="C254" s="5"/>
      <c r="D254" s="5">
        <f t="shared" si="11"/>
        <v>0</v>
      </c>
      <c r="E254" s="6">
        <f t="shared" si="9"/>
        <v>0</v>
      </c>
      <c r="F254" s="6">
        <f t="shared" si="10"/>
        <v>0</v>
      </c>
      <c r="G254" s="62"/>
      <c r="H254" s="62"/>
      <c r="I254" s="60"/>
      <c r="J254" s="60"/>
      <c r="K254" s="64"/>
      <c r="L254" s="64"/>
      <c r="M254" s="25"/>
      <c r="N254" s="25"/>
    </row>
    <row r="255" spans="1:14">
      <c r="A255" s="3" t="s">
        <v>468</v>
      </c>
      <c r="B255" s="10" t="s">
        <v>469</v>
      </c>
      <c r="C255" s="5"/>
      <c r="D255" s="5">
        <f t="shared" si="11"/>
        <v>0</v>
      </c>
      <c r="E255" s="6">
        <f t="shared" si="9"/>
        <v>0</v>
      </c>
      <c r="F255" s="6">
        <f t="shared" si="10"/>
        <v>0</v>
      </c>
      <c r="G255" s="62"/>
      <c r="H255" s="62"/>
      <c r="I255" s="60"/>
      <c r="J255" s="60"/>
      <c r="K255" s="64"/>
      <c r="L255" s="64"/>
      <c r="M255" s="25"/>
      <c r="N255" s="25"/>
    </row>
    <row r="256" spans="1:14">
      <c r="A256" s="3" t="s">
        <v>470</v>
      </c>
      <c r="B256" s="10" t="s">
        <v>471</v>
      </c>
      <c r="C256" s="5"/>
      <c r="D256" s="5">
        <f t="shared" si="11"/>
        <v>0</v>
      </c>
      <c r="E256" s="6">
        <f t="shared" si="9"/>
        <v>0</v>
      </c>
      <c r="F256" s="6">
        <f t="shared" si="10"/>
        <v>0</v>
      </c>
      <c r="G256" s="62"/>
      <c r="H256" s="62"/>
      <c r="I256" s="60"/>
      <c r="J256" s="60"/>
      <c r="K256" s="64"/>
      <c r="L256" s="64"/>
      <c r="M256" s="25"/>
      <c r="N256" s="25"/>
    </row>
    <row r="257" spans="1:14">
      <c r="A257" s="3" t="s">
        <v>472</v>
      </c>
      <c r="B257" s="10" t="s">
        <v>473</v>
      </c>
      <c r="C257" s="5"/>
      <c r="D257" s="5">
        <f t="shared" si="11"/>
        <v>0</v>
      </c>
      <c r="E257" s="6">
        <f t="shared" si="9"/>
        <v>0</v>
      </c>
      <c r="F257" s="6">
        <f t="shared" si="10"/>
        <v>0</v>
      </c>
      <c r="G257" s="62"/>
      <c r="H257" s="62"/>
      <c r="I257" s="60"/>
      <c r="J257" s="60"/>
      <c r="K257" s="64"/>
      <c r="L257" s="64"/>
      <c r="M257" s="25"/>
      <c r="N257" s="25"/>
    </row>
    <row r="258" spans="1:14">
      <c r="A258" s="3" t="s">
        <v>474</v>
      </c>
      <c r="B258" s="10" t="s">
        <v>475</v>
      </c>
      <c r="C258" s="5"/>
      <c r="D258" s="5">
        <f t="shared" si="11"/>
        <v>0</v>
      </c>
      <c r="E258" s="6">
        <f t="shared" si="9"/>
        <v>0</v>
      </c>
      <c r="F258" s="6">
        <f t="shared" si="10"/>
        <v>0</v>
      </c>
      <c r="G258" s="62"/>
      <c r="H258" s="62"/>
      <c r="I258" s="60"/>
      <c r="J258" s="60"/>
      <c r="K258" s="64"/>
      <c r="L258" s="64"/>
      <c r="M258" s="25"/>
      <c r="N258" s="25"/>
    </row>
    <row r="259" spans="1:14">
      <c r="A259" s="3" t="s">
        <v>476</v>
      </c>
      <c r="B259" s="10" t="s">
        <v>477</v>
      </c>
      <c r="C259" s="5"/>
      <c r="D259" s="5">
        <f t="shared" si="11"/>
        <v>0</v>
      </c>
      <c r="E259" s="6">
        <f t="shared" si="9"/>
        <v>0</v>
      </c>
      <c r="F259" s="6">
        <f t="shared" si="10"/>
        <v>0</v>
      </c>
      <c r="G259" s="62"/>
      <c r="H259" s="62"/>
      <c r="I259" s="60"/>
      <c r="J259" s="60"/>
      <c r="K259" s="64"/>
      <c r="L259" s="64"/>
      <c r="M259" s="25"/>
      <c r="N259" s="25"/>
    </row>
    <row r="260" spans="1:14">
      <c r="A260" s="3" t="s">
        <v>478</v>
      </c>
      <c r="B260" s="10" t="s">
        <v>479</v>
      </c>
      <c r="C260" s="5"/>
      <c r="D260" s="5">
        <f t="shared" si="11"/>
        <v>0</v>
      </c>
      <c r="E260" s="6">
        <f t="shared" si="9"/>
        <v>0</v>
      </c>
      <c r="F260" s="6">
        <f t="shared" si="10"/>
        <v>0</v>
      </c>
      <c r="G260" s="62"/>
      <c r="H260" s="62"/>
      <c r="I260" s="60"/>
      <c r="J260" s="60"/>
      <c r="K260" s="64"/>
      <c r="L260" s="64"/>
      <c r="M260" s="25"/>
      <c r="N260" s="25"/>
    </row>
    <row r="261" spans="1:14">
      <c r="A261" s="3" t="s">
        <v>480</v>
      </c>
      <c r="B261" s="10" t="s">
        <v>481</v>
      </c>
      <c r="C261" s="5"/>
      <c r="D261" s="5">
        <f t="shared" si="11"/>
        <v>0</v>
      </c>
      <c r="E261" s="6">
        <f t="shared" si="9"/>
        <v>0</v>
      </c>
      <c r="F261" s="6">
        <f t="shared" si="10"/>
        <v>0</v>
      </c>
      <c r="G261" s="62"/>
      <c r="H261" s="62"/>
      <c r="I261" s="60"/>
      <c r="J261" s="60"/>
      <c r="K261" s="64"/>
      <c r="L261" s="64"/>
      <c r="M261" s="25"/>
      <c r="N261" s="25"/>
    </row>
    <row r="262" spans="1:14">
      <c r="A262" s="3" t="s">
        <v>482</v>
      </c>
      <c r="B262" s="10" t="s">
        <v>483</v>
      </c>
      <c r="C262" s="5"/>
      <c r="D262" s="5">
        <f t="shared" si="11"/>
        <v>0</v>
      </c>
      <c r="E262" s="6">
        <f t="shared" si="9"/>
        <v>0</v>
      </c>
      <c r="F262" s="6">
        <f t="shared" si="10"/>
        <v>0</v>
      </c>
      <c r="G262" s="62"/>
      <c r="H262" s="62"/>
      <c r="I262" s="60"/>
      <c r="J262" s="60"/>
      <c r="K262" s="64"/>
      <c r="L262" s="64"/>
      <c r="M262" s="25"/>
      <c r="N262" s="25"/>
    </row>
    <row r="263" spans="1:14">
      <c r="A263" s="3" t="s">
        <v>484</v>
      </c>
      <c r="B263" s="10" t="s">
        <v>485</v>
      </c>
      <c r="C263" s="5"/>
      <c r="D263" s="5">
        <f t="shared" si="11"/>
        <v>0</v>
      </c>
      <c r="E263" s="6">
        <f t="shared" si="9"/>
        <v>0</v>
      </c>
      <c r="F263" s="6">
        <f t="shared" si="10"/>
        <v>0</v>
      </c>
      <c r="G263" s="62"/>
      <c r="H263" s="62"/>
      <c r="I263" s="60"/>
      <c r="J263" s="60"/>
      <c r="K263" s="64"/>
      <c r="L263" s="64"/>
      <c r="M263" s="25"/>
      <c r="N263" s="25"/>
    </row>
    <row r="264" spans="1:14">
      <c r="A264" s="3" t="s">
        <v>486</v>
      </c>
      <c r="B264" s="10" t="s">
        <v>487</v>
      </c>
      <c r="C264" s="5"/>
      <c r="D264" s="5">
        <f t="shared" si="11"/>
        <v>0</v>
      </c>
      <c r="E264" s="6">
        <f t="shared" si="9"/>
        <v>0</v>
      </c>
      <c r="F264" s="6">
        <f t="shared" si="10"/>
        <v>0</v>
      </c>
      <c r="G264" s="62"/>
      <c r="H264" s="62"/>
      <c r="I264" s="60"/>
      <c r="J264" s="60"/>
      <c r="K264" s="64"/>
      <c r="L264" s="64"/>
      <c r="M264" s="25"/>
      <c r="N264" s="25"/>
    </row>
    <row r="265" spans="1:14">
      <c r="A265" s="3" t="s">
        <v>488</v>
      </c>
      <c r="B265" s="10" t="s">
        <v>489</v>
      </c>
      <c r="C265" s="5"/>
      <c r="D265" s="5">
        <f t="shared" si="11"/>
        <v>0</v>
      </c>
      <c r="E265" s="6">
        <f t="shared" si="9"/>
        <v>0</v>
      </c>
      <c r="F265" s="6">
        <f t="shared" si="10"/>
        <v>0</v>
      </c>
      <c r="G265" s="62"/>
      <c r="H265" s="62"/>
      <c r="I265" s="60"/>
      <c r="J265" s="60"/>
      <c r="K265" s="64"/>
      <c r="L265" s="64"/>
      <c r="M265" s="25"/>
      <c r="N265" s="25"/>
    </row>
    <row r="266" spans="1:14">
      <c r="A266" s="3" t="s">
        <v>490</v>
      </c>
      <c r="B266" s="10" t="s">
        <v>491</v>
      </c>
      <c r="C266" s="5"/>
      <c r="D266" s="5">
        <f t="shared" si="11"/>
        <v>0</v>
      </c>
      <c r="E266" s="6">
        <f t="shared" si="9"/>
        <v>0</v>
      </c>
      <c r="F266" s="6">
        <f t="shared" si="10"/>
        <v>0</v>
      </c>
      <c r="G266" s="62"/>
      <c r="H266" s="62"/>
      <c r="I266" s="60"/>
      <c r="J266" s="60"/>
      <c r="K266" s="64"/>
      <c r="L266" s="64"/>
      <c r="M266" s="25"/>
      <c r="N266" s="25"/>
    </row>
    <row r="267" spans="1:14">
      <c r="A267" s="3" t="s">
        <v>492</v>
      </c>
      <c r="B267" s="10" t="s">
        <v>493</v>
      </c>
      <c r="C267" s="5"/>
      <c r="D267" s="5">
        <f t="shared" si="11"/>
        <v>0</v>
      </c>
      <c r="E267" s="6">
        <f t="shared" si="9"/>
        <v>0</v>
      </c>
      <c r="F267" s="6">
        <f t="shared" si="10"/>
        <v>0</v>
      </c>
      <c r="G267" s="62"/>
      <c r="H267" s="62"/>
      <c r="I267" s="60"/>
      <c r="J267" s="60"/>
      <c r="K267" s="64"/>
      <c r="L267" s="64"/>
      <c r="M267" s="25"/>
      <c r="N267" s="25"/>
    </row>
    <row r="268" spans="1:14">
      <c r="A268" s="3" t="s">
        <v>494</v>
      </c>
      <c r="B268" s="10" t="s">
        <v>495</v>
      </c>
      <c r="C268" s="5"/>
      <c r="D268" s="5">
        <f t="shared" si="11"/>
        <v>0</v>
      </c>
      <c r="E268" s="6">
        <f t="shared" si="9"/>
        <v>0</v>
      </c>
      <c r="F268" s="6">
        <f t="shared" si="10"/>
        <v>0</v>
      </c>
      <c r="G268" s="62"/>
      <c r="H268" s="62"/>
      <c r="I268" s="60"/>
      <c r="J268" s="60"/>
      <c r="K268" s="64"/>
      <c r="L268" s="64"/>
      <c r="M268" s="25"/>
      <c r="N268" s="25"/>
    </row>
    <row r="269" spans="1:14">
      <c r="A269" s="3" t="s">
        <v>496</v>
      </c>
      <c r="B269" s="10" t="s">
        <v>497</v>
      </c>
      <c r="C269" s="5"/>
      <c r="D269" s="5">
        <f t="shared" si="11"/>
        <v>0</v>
      </c>
      <c r="E269" s="6">
        <f t="shared" si="9"/>
        <v>0</v>
      </c>
      <c r="F269" s="6">
        <f t="shared" si="10"/>
        <v>0</v>
      </c>
      <c r="G269" s="62"/>
      <c r="H269" s="62"/>
      <c r="I269" s="60"/>
      <c r="J269" s="60"/>
      <c r="K269" s="64"/>
      <c r="L269" s="64"/>
      <c r="M269" s="25"/>
      <c r="N269" s="25"/>
    </row>
    <row r="270" spans="1:14">
      <c r="A270" s="3" t="s">
        <v>498</v>
      </c>
      <c r="B270" s="10" t="s">
        <v>499</v>
      </c>
      <c r="C270" s="5"/>
      <c r="D270" s="5">
        <f t="shared" si="11"/>
        <v>0</v>
      </c>
      <c r="E270" s="6">
        <f t="shared" ref="E270:E333" si="12">SUM(G270,I270,K270,M270)</f>
        <v>0</v>
      </c>
      <c r="F270" s="6">
        <f t="shared" ref="F270:F333" si="13">SUM(H270,J270,L270,N270)</f>
        <v>0</v>
      </c>
      <c r="G270" s="62"/>
      <c r="H270" s="62"/>
      <c r="I270" s="60"/>
      <c r="J270" s="60"/>
      <c r="K270" s="64"/>
      <c r="L270" s="64"/>
      <c r="M270" s="25"/>
      <c r="N270" s="25"/>
    </row>
    <row r="271" spans="1:14">
      <c r="A271" s="3" t="s">
        <v>500</v>
      </c>
      <c r="B271" s="10" t="s">
        <v>501</v>
      </c>
      <c r="C271" s="5"/>
      <c r="D271" s="5">
        <f t="shared" si="11"/>
        <v>0</v>
      </c>
      <c r="E271" s="6">
        <f t="shared" si="12"/>
        <v>0</v>
      </c>
      <c r="F271" s="6">
        <f t="shared" si="13"/>
        <v>0</v>
      </c>
      <c r="G271" s="62"/>
      <c r="H271" s="62"/>
      <c r="I271" s="60"/>
      <c r="J271" s="60"/>
      <c r="K271" s="64"/>
      <c r="L271" s="64"/>
      <c r="M271" s="25"/>
      <c r="N271" s="25"/>
    </row>
    <row r="272" spans="1:14">
      <c r="A272" s="3" t="s">
        <v>502</v>
      </c>
      <c r="B272" s="10" t="s">
        <v>503</v>
      </c>
      <c r="C272" s="5"/>
      <c r="D272" s="5">
        <f t="shared" si="11"/>
        <v>0</v>
      </c>
      <c r="E272" s="6">
        <f t="shared" si="12"/>
        <v>0</v>
      </c>
      <c r="F272" s="6">
        <f t="shared" si="13"/>
        <v>0</v>
      </c>
      <c r="G272" s="62"/>
      <c r="H272" s="62"/>
      <c r="I272" s="60"/>
      <c r="J272" s="60"/>
      <c r="K272" s="64"/>
      <c r="L272" s="64"/>
      <c r="M272" s="25"/>
      <c r="N272" s="25"/>
    </row>
    <row r="273" spans="1:14">
      <c r="A273" s="3" t="s">
        <v>504</v>
      </c>
      <c r="B273" s="10" t="s">
        <v>505</v>
      </c>
      <c r="C273" s="5"/>
      <c r="D273" s="5">
        <f t="shared" si="11"/>
        <v>0</v>
      </c>
      <c r="E273" s="6">
        <f t="shared" si="12"/>
        <v>0</v>
      </c>
      <c r="F273" s="6">
        <f t="shared" si="13"/>
        <v>0</v>
      </c>
      <c r="G273" s="62"/>
      <c r="H273" s="62"/>
      <c r="I273" s="60"/>
      <c r="J273" s="60"/>
      <c r="K273" s="64"/>
      <c r="L273" s="64"/>
      <c r="M273" s="25"/>
      <c r="N273" s="25"/>
    </row>
    <row r="274" spans="1:14">
      <c r="A274" s="3" t="s">
        <v>506</v>
      </c>
      <c r="B274" s="10" t="s">
        <v>507</v>
      </c>
      <c r="C274" s="5"/>
      <c r="D274" s="5">
        <f t="shared" si="11"/>
        <v>0</v>
      </c>
      <c r="E274" s="6">
        <f t="shared" si="12"/>
        <v>0</v>
      </c>
      <c r="F274" s="6">
        <f t="shared" si="13"/>
        <v>0</v>
      </c>
      <c r="G274" s="62"/>
      <c r="H274" s="62"/>
      <c r="I274" s="60"/>
      <c r="J274" s="60"/>
      <c r="K274" s="64"/>
      <c r="L274" s="64"/>
      <c r="M274" s="25"/>
      <c r="N274" s="25"/>
    </row>
    <row r="275" spans="1:14">
      <c r="A275" s="3" t="s">
        <v>508</v>
      </c>
      <c r="B275" s="10" t="s">
        <v>509</v>
      </c>
      <c r="C275" s="5"/>
      <c r="D275" s="5">
        <f t="shared" si="11"/>
        <v>0</v>
      </c>
      <c r="E275" s="6">
        <f t="shared" si="12"/>
        <v>0</v>
      </c>
      <c r="F275" s="6">
        <f t="shared" si="13"/>
        <v>0</v>
      </c>
      <c r="G275" s="62"/>
      <c r="H275" s="62"/>
      <c r="I275" s="60"/>
      <c r="J275" s="60"/>
      <c r="K275" s="64"/>
      <c r="L275" s="64"/>
      <c r="M275" s="25"/>
      <c r="N275" s="25"/>
    </row>
    <row r="276" spans="1:14">
      <c r="A276" s="3" t="s">
        <v>510</v>
      </c>
      <c r="B276" s="10" t="s">
        <v>511</v>
      </c>
      <c r="C276" s="5"/>
      <c r="D276" s="5">
        <f t="shared" si="11"/>
        <v>0</v>
      </c>
      <c r="E276" s="6">
        <f t="shared" si="12"/>
        <v>0</v>
      </c>
      <c r="F276" s="6">
        <f t="shared" si="13"/>
        <v>0</v>
      </c>
      <c r="G276" s="62"/>
      <c r="H276" s="62"/>
      <c r="I276" s="60"/>
      <c r="J276" s="60"/>
      <c r="K276" s="64"/>
      <c r="L276" s="64"/>
      <c r="M276" s="25"/>
      <c r="N276" s="25"/>
    </row>
    <row r="277" spans="1:14">
      <c r="A277" s="3" t="s">
        <v>512</v>
      </c>
      <c r="B277" s="10" t="s">
        <v>513</v>
      </c>
      <c r="C277" s="5"/>
      <c r="D277" s="5">
        <f t="shared" si="11"/>
        <v>0</v>
      </c>
      <c r="E277" s="6">
        <f t="shared" si="12"/>
        <v>0</v>
      </c>
      <c r="F277" s="6">
        <f t="shared" si="13"/>
        <v>0</v>
      </c>
      <c r="G277" s="62"/>
      <c r="H277" s="62"/>
      <c r="I277" s="60"/>
      <c r="J277" s="60"/>
      <c r="K277" s="64"/>
      <c r="L277" s="64"/>
      <c r="M277" s="25"/>
      <c r="N277" s="25"/>
    </row>
    <row r="278" spans="1:14">
      <c r="A278" s="3" t="s">
        <v>514</v>
      </c>
      <c r="B278" s="10" t="s">
        <v>515</v>
      </c>
      <c r="C278" s="5"/>
      <c r="D278" s="5">
        <f t="shared" si="11"/>
        <v>0</v>
      </c>
      <c r="E278" s="6">
        <f t="shared" si="12"/>
        <v>0</v>
      </c>
      <c r="F278" s="6">
        <f t="shared" si="13"/>
        <v>0</v>
      </c>
      <c r="G278" s="62"/>
      <c r="H278" s="62"/>
      <c r="I278" s="60"/>
      <c r="J278" s="60"/>
      <c r="K278" s="64"/>
      <c r="L278" s="64"/>
      <c r="M278" s="25"/>
      <c r="N278" s="25"/>
    </row>
    <row r="279" spans="1:14">
      <c r="A279" s="3" t="s">
        <v>516</v>
      </c>
      <c r="B279" s="10" t="s">
        <v>517</v>
      </c>
      <c r="C279" s="5"/>
      <c r="D279" s="5">
        <f t="shared" si="11"/>
        <v>0</v>
      </c>
      <c r="E279" s="6">
        <f t="shared" si="12"/>
        <v>0</v>
      </c>
      <c r="F279" s="6">
        <f t="shared" si="13"/>
        <v>0</v>
      </c>
      <c r="G279" s="62"/>
      <c r="H279" s="62"/>
      <c r="I279" s="60"/>
      <c r="J279" s="60"/>
      <c r="K279" s="64"/>
      <c r="L279" s="64"/>
      <c r="M279" s="25"/>
      <c r="N279" s="25"/>
    </row>
    <row r="280" spans="1:14">
      <c r="A280" s="3" t="s">
        <v>518</v>
      </c>
      <c r="B280" s="10" t="s">
        <v>519</v>
      </c>
      <c r="C280" s="5"/>
      <c r="D280" s="5">
        <f t="shared" si="11"/>
        <v>0</v>
      </c>
      <c r="E280" s="6">
        <f t="shared" si="12"/>
        <v>0</v>
      </c>
      <c r="F280" s="6">
        <f t="shared" si="13"/>
        <v>0</v>
      </c>
      <c r="G280" s="62"/>
      <c r="H280" s="62"/>
      <c r="I280" s="60"/>
      <c r="J280" s="60"/>
      <c r="K280" s="64"/>
      <c r="L280" s="64"/>
      <c r="M280" s="25"/>
      <c r="N280" s="25"/>
    </row>
    <row r="281" spans="1:14">
      <c r="A281" s="3" t="s">
        <v>520</v>
      </c>
      <c r="B281" s="4" t="s">
        <v>521</v>
      </c>
      <c r="C281" s="5">
        <f t="shared" ref="C281:C344" si="14">E281-F281</f>
        <v>0</v>
      </c>
      <c r="D281" s="5"/>
      <c r="E281" s="6">
        <f t="shared" si="12"/>
        <v>0</v>
      </c>
      <c r="F281" s="6">
        <f t="shared" si="13"/>
        <v>0</v>
      </c>
      <c r="G281" s="62"/>
      <c r="H281" s="62"/>
      <c r="I281" s="60"/>
      <c r="J281" s="60"/>
      <c r="K281" s="64"/>
      <c r="L281" s="64"/>
      <c r="M281" s="25"/>
      <c r="N281" s="25"/>
    </row>
    <row r="282" spans="1:14">
      <c r="A282" s="3" t="s">
        <v>522</v>
      </c>
      <c r="B282" s="4" t="s">
        <v>523</v>
      </c>
      <c r="C282" s="5">
        <f t="shared" si="14"/>
        <v>0</v>
      </c>
      <c r="D282" s="5"/>
      <c r="E282" s="6">
        <f t="shared" si="12"/>
        <v>0</v>
      </c>
      <c r="F282" s="6">
        <f t="shared" si="13"/>
        <v>0</v>
      </c>
      <c r="G282" s="62"/>
      <c r="H282" s="62"/>
      <c r="I282" s="60"/>
      <c r="J282" s="60"/>
      <c r="K282" s="64"/>
      <c r="L282" s="64"/>
      <c r="M282" s="25"/>
      <c r="N282" s="25"/>
    </row>
    <row r="283" spans="1:14">
      <c r="A283" s="3" t="s">
        <v>524</v>
      </c>
      <c r="B283" s="4" t="s">
        <v>525</v>
      </c>
      <c r="C283" s="5">
        <f t="shared" si="14"/>
        <v>0</v>
      </c>
      <c r="D283" s="5"/>
      <c r="E283" s="6">
        <f t="shared" si="12"/>
        <v>0</v>
      </c>
      <c r="F283" s="6">
        <f t="shared" si="13"/>
        <v>0</v>
      </c>
      <c r="G283" s="62"/>
      <c r="H283" s="62"/>
      <c r="I283" s="60"/>
      <c r="J283" s="60"/>
      <c r="K283" s="64"/>
      <c r="L283" s="64"/>
      <c r="M283" s="25"/>
      <c r="N283" s="25"/>
    </row>
    <row r="284" spans="1:14">
      <c r="A284" s="3" t="s">
        <v>526</v>
      </c>
      <c r="B284" s="4" t="s">
        <v>527</v>
      </c>
      <c r="C284" s="5">
        <f t="shared" si="14"/>
        <v>0</v>
      </c>
      <c r="D284" s="5"/>
      <c r="E284" s="6">
        <f t="shared" si="12"/>
        <v>0</v>
      </c>
      <c r="F284" s="6">
        <f t="shared" si="13"/>
        <v>0</v>
      </c>
      <c r="G284" s="62"/>
      <c r="H284" s="62"/>
      <c r="I284" s="60"/>
      <c r="J284" s="60"/>
      <c r="K284" s="64"/>
      <c r="L284" s="64"/>
      <c r="M284" s="25"/>
      <c r="N284" s="25"/>
    </row>
    <row r="285" spans="1:14">
      <c r="A285" s="3" t="s">
        <v>528</v>
      </c>
      <c r="B285" s="4" t="s">
        <v>529</v>
      </c>
      <c r="C285" s="5">
        <f t="shared" si="14"/>
        <v>0</v>
      </c>
      <c r="D285" s="5"/>
      <c r="E285" s="6">
        <f t="shared" si="12"/>
        <v>0</v>
      </c>
      <c r="F285" s="6">
        <f t="shared" si="13"/>
        <v>0</v>
      </c>
      <c r="G285" s="62"/>
      <c r="H285" s="62"/>
      <c r="I285" s="60"/>
      <c r="J285" s="60"/>
      <c r="K285" s="64"/>
      <c r="L285" s="64"/>
      <c r="M285" s="25"/>
      <c r="N285" s="25"/>
    </row>
    <row r="286" spans="1:14">
      <c r="A286" s="3" t="s">
        <v>530</v>
      </c>
      <c r="B286" s="4" t="s">
        <v>531</v>
      </c>
      <c r="C286" s="5">
        <f t="shared" si="14"/>
        <v>0</v>
      </c>
      <c r="D286" s="5"/>
      <c r="E286" s="6">
        <f t="shared" si="12"/>
        <v>0</v>
      </c>
      <c r="F286" s="6">
        <f t="shared" si="13"/>
        <v>0</v>
      </c>
      <c r="G286" s="62"/>
      <c r="H286" s="62"/>
      <c r="I286" s="60"/>
      <c r="J286" s="60"/>
      <c r="K286" s="64"/>
      <c r="L286" s="64"/>
      <c r="M286" s="25"/>
      <c r="N286" s="25"/>
    </row>
    <row r="287" spans="1:14">
      <c r="A287" s="3" t="s">
        <v>532</v>
      </c>
      <c r="B287" s="4" t="s">
        <v>533</v>
      </c>
      <c r="C287" s="5">
        <f t="shared" si="14"/>
        <v>0</v>
      </c>
      <c r="D287" s="5"/>
      <c r="E287" s="6">
        <f t="shared" si="12"/>
        <v>0</v>
      </c>
      <c r="F287" s="6">
        <f t="shared" si="13"/>
        <v>0</v>
      </c>
      <c r="G287" s="62"/>
      <c r="H287" s="62"/>
      <c r="I287" s="60"/>
      <c r="J287" s="60"/>
      <c r="K287" s="64"/>
      <c r="L287" s="64"/>
      <c r="M287" s="25"/>
      <c r="N287" s="25"/>
    </row>
    <row r="288" spans="1:14">
      <c r="A288" s="3" t="s">
        <v>534</v>
      </c>
      <c r="B288" s="4" t="s">
        <v>535</v>
      </c>
      <c r="C288" s="5">
        <f t="shared" si="14"/>
        <v>0</v>
      </c>
      <c r="D288" s="5"/>
      <c r="E288" s="6">
        <f t="shared" si="12"/>
        <v>0</v>
      </c>
      <c r="F288" s="6">
        <f t="shared" si="13"/>
        <v>0</v>
      </c>
      <c r="G288" s="62"/>
      <c r="H288" s="62"/>
      <c r="I288" s="60"/>
      <c r="J288" s="60"/>
      <c r="K288" s="64"/>
      <c r="L288" s="64"/>
      <c r="M288" s="25"/>
      <c r="N288" s="25"/>
    </row>
    <row r="289" spans="1:14">
      <c r="A289" s="3" t="s">
        <v>536</v>
      </c>
      <c r="B289" s="4" t="s">
        <v>537</v>
      </c>
      <c r="C289" s="5">
        <f t="shared" si="14"/>
        <v>0</v>
      </c>
      <c r="D289" s="5"/>
      <c r="E289" s="6">
        <f t="shared" si="12"/>
        <v>0</v>
      </c>
      <c r="F289" s="6">
        <f t="shared" si="13"/>
        <v>0</v>
      </c>
      <c r="G289" s="62"/>
      <c r="H289" s="62"/>
      <c r="I289" s="60"/>
      <c r="J289" s="60"/>
      <c r="K289" s="64"/>
      <c r="L289" s="64"/>
      <c r="M289" s="25"/>
      <c r="N289" s="25"/>
    </row>
    <row r="290" spans="1:14">
      <c r="A290" s="3" t="s">
        <v>538</v>
      </c>
      <c r="B290" s="4" t="s">
        <v>539</v>
      </c>
      <c r="C290" s="5">
        <f t="shared" si="14"/>
        <v>0</v>
      </c>
      <c r="D290" s="5"/>
      <c r="E290" s="6">
        <f t="shared" si="12"/>
        <v>0</v>
      </c>
      <c r="F290" s="6">
        <f t="shared" si="13"/>
        <v>0</v>
      </c>
      <c r="G290" s="62"/>
      <c r="H290" s="62"/>
      <c r="I290" s="60"/>
      <c r="J290" s="60"/>
      <c r="K290" s="64"/>
      <c r="L290" s="64"/>
      <c r="M290" s="25"/>
      <c r="N290" s="25"/>
    </row>
    <row r="291" spans="1:14">
      <c r="A291" s="3" t="s">
        <v>540</v>
      </c>
      <c r="B291" s="4" t="s">
        <v>541</v>
      </c>
      <c r="C291" s="5">
        <f t="shared" si="14"/>
        <v>0</v>
      </c>
      <c r="D291" s="5"/>
      <c r="E291" s="6">
        <f t="shared" si="12"/>
        <v>0</v>
      </c>
      <c r="F291" s="6">
        <f t="shared" si="13"/>
        <v>0</v>
      </c>
      <c r="G291" s="62"/>
      <c r="H291" s="62"/>
      <c r="I291" s="60"/>
      <c r="J291" s="60"/>
      <c r="K291" s="64"/>
      <c r="L291" s="64"/>
      <c r="M291" s="25"/>
      <c r="N291" s="25"/>
    </row>
    <row r="292" spans="1:14">
      <c r="A292" s="3" t="s">
        <v>542</v>
      </c>
      <c r="B292" s="4" t="s">
        <v>543</v>
      </c>
      <c r="C292" s="5">
        <f t="shared" si="14"/>
        <v>0</v>
      </c>
      <c r="D292" s="5"/>
      <c r="E292" s="6">
        <f t="shared" si="12"/>
        <v>0</v>
      </c>
      <c r="F292" s="6">
        <f t="shared" si="13"/>
        <v>0</v>
      </c>
      <c r="G292" s="62"/>
      <c r="H292" s="62"/>
      <c r="I292" s="60"/>
      <c r="J292" s="60"/>
      <c r="K292" s="64"/>
      <c r="L292" s="64"/>
      <c r="M292" s="25"/>
      <c r="N292" s="25"/>
    </row>
    <row r="293" spans="1:14">
      <c r="A293" s="3" t="s">
        <v>544</v>
      </c>
      <c r="B293" s="4" t="s">
        <v>545</v>
      </c>
      <c r="C293" s="5">
        <f t="shared" si="14"/>
        <v>0</v>
      </c>
      <c r="D293" s="5"/>
      <c r="E293" s="6">
        <f t="shared" si="12"/>
        <v>0</v>
      </c>
      <c r="F293" s="6">
        <f t="shared" si="13"/>
        <v>0</v>
      </c>
      <c r="G293" s="62"/>
      <c r="H293" s="62"/>
      <c r="I293" s="60"/>
      <c r="J293" s="60"/>
      <c r="K293" s="64"/>
      <c r="L293" s="64"/>
      <c r="M293" s="25"/>
      <c r="N293" s="25"/>
    </row>
    <row r="294" spans="1:14">
      <c r="A294" s="3" t="s">
        <v>546</v>
      </c>
      <c r="B294" s="4" t="s">
        <v>547</v>
      </c>
      <c r="C294" s="5">
        <f t="shared" si="14"/>
        <v>0</v>
      </c>
      <c r="D294" s="5"/>
      <c r="E294" s="6">
        <f t="shared" si="12"/>
        <v>0</v>
      </c>
      <c r="F294" s="6">
        <f t="shared" si="13"/>
        <v>0</v>
      </c>
      <c r="G294" s="62"/>
      <c r="H294" s="62"/>
      <c r="I294" s="60"/>
      <c r="J294" s="60"/>
      <c r="K294" s="64"/>
      <c r="L294" s="64"/>
      <c r="M294" s="25"/>
      <c r="N294" s="25"/>
    </row>
    <row r="295" spans="1:14">
      <c r="A295" s="3" t="s">
        <v>548</v>
      </c>
      <c r="B295" s="4" t="s">
        <v>549</v>
      </c>
      <c r="C295" s="5">
        <f t="shared" si="14"/>
        <v>0</v>
      </c>
      <c r="D295" s="5"/>
      <c r="E295" s="6">
        <f t="shared" si="12"/>
        <v>0</v>
      </c>
      <c r="F295" s="6">
        <f t="shared" si="13"/>
        <v>0</v>
      </c>
      <c r="G295" s="62"/>
      <c r="H295" s="62"/>
      <c r="I295" s="60"/>
      <c r="J295" s="60"/>
      <c r="K295" s="64"/>
      <c r="L295" s="64"/>
      <c r="M295" s="25"/>
      <c r="N295" s="25"/>
    </row>
    <row r="296" spans="1:14">
      <c r="A296" s="3" t="s">
        <v>550</v>
      </c>
      <c r="B296" s="4" t="s">
        <v>551</v>
      </c>
      <c r="C296" s="5">
        <f t="shared" si="14"/>
        <v>0</v>
      </c>
      <c r="D296" s="5"/>
      <c r="E296" s="6">
        <f t="shared" si="12"/>
        <v>0</v>
      </c>
      <c r="F296" s="6">
        <f t="shared" si="13"/>
        <v>0</v>
      </c>
      <c r="G296" s="62"/>
      <c r="H296" s="62"/>
      <c r="I296" s="60"/>
      <c r="J296" s="60"/>
      <c r="K296" s="64"/>
      <c r="L296" s="64"/>
      <c r="M296" s="25"/>
      <c r="N296" s="25"/>
    </row>
    <row r="297" spans="1:14">
      <c r="A297" s="3" t="s">
        <v>552</v>
      </c>
      <c r="B297" s="4" t="s">
        <v>553</v>
      </c>
      <c r="C297" s="5">
        <f t="shared" si="14"/>
        <v>0</v>
      </c>
      <c r="D297" s="5"/>
      <c r="E297" s="6">
        <f t="shared" si="12"/>
        <v>0</v>
      </c>
      <c r="F297" s="6">
        <f t="shared" si="13"/>
        <v>0</v>
      </c>
      <c r="G297" s="62"/>
      <c r="H297" s="62"/>
      <c r="I297" s="60"/>
      <c r="J297" s="60"/>
      <c r="K297" s="64"/>
      <c r="L297" s="64"/>
      <c r="M297" s="25"/>
      <c r="N297" s="25"/>
    </row>
    <row r="298" spans="1:14">
      <c r="A298" s="3" t="s">
        <v>554</v>
      </c>
      <c r="B298" s="4" t="s">
        <v>555</v>
      </c>
      <c r="C298" s="5">
        <f t="shared" si="14"/>
        <v>0</v>
      </c>
      <c r="D298" s="5"/>
      <c r="E298" s="6">
        <f t="shared" si="12"/>
        <v>0</v>
      </c>
      <c r="F298" s="6">
        <f t="shared" si="13"/>
        <v>0</v>
      </c>
      <c r="G298" s="62"/>
      <c r="H298" s="62"/>
      <c r="I298" s="60"/>
      <c r="J298" s="60"/>
      <c r="K298" s="64"/>
      <c r="L298" s="64"/>
      <c r="M298" s="25"/>
      <c r="N298" s="25"/>
    </row>
    <row r="299" spans="1:14">
      <c r="A299" s="3" t="s">
        <v>556</v>
      </c>
      <c r="B299" s="4" t="s">
        <v>557</v>
      </c>
      <c r="C299" s="5">
        <f t="shared" si="14"/>
        <v>0</v>
      </c>
      <c r="D299" s="5"/>
      <c r="E299" s="6">
        <f t="shared" si="12"/>
        <v>0</v>
      </c>
      <c r="F299" s="6">
        <f t="shared" si="13"/>
        <v>0</v>
      </c>
      <c r="G299" s="62"/>
      <c r="H299" s="62"/>
      <c r="I299" s="60"/>
      <c r="J299" s="60"/>
      <c r="K299" s="64"/>
      <c r="L299" s="64"/>
      <c r="M299" s="25"/>
      <c r="N299" s="25"/>
    </row>
    <row r="300" spans="1:14">
      <c r="A300" s="3" t="s">
        <v>558</v>
      </c>
      <c r="B300" s="4" t="s">
        <v>559</v>
      </c>
      <c r="C300" s="5">
        <f t="shared" si="14"/>
        <v>0</v>
      </c>
      <c r="D300" s="5"/>
      <c r="E300" s="6">
        <f t="shared" si="12"/>
        <v>0</v>
      </c>
      <c r="F300" s="6">
        <f t="shared" si="13"/>
        <v>0</v>
      </c>
      <c r="G300" s="62"/>
      <c r="H300" s="62"/>
      <c r="I300" s="60"/>
      <c r="J300" s="60"/>
      <c r="K300" s="64"/>
      <c r="L300" s="64"/>
      <c r="M300" s="25"/>
      <c r="N300" s="25"/>
    </row>
    <row r="301" spans="1:14">
      <c r="A301" s="3" t="s">
        <v>560</v>
      </c>
      <c r="B301" s="4" t="s">
        <v>561</v>
      </c>
      <c r="C301" s="5">
        <f t="shared" si="14"/>
        <v>0</v>
      </c>
      <c r="D301" s="5"/>
      <c r="E301" s="6">
        <f t="shared" si="12"/>
        <v>0</v>
      </c>
      <c r="F301" s="6">
        <f t="shared" si="13"/>
        <v>0</v>
      </c>
      <c r="G301" s="62"/>
      <c r="H301" s="62"/>
      <c r="I301" s="60"/>
      <c r="J301" s="60"/>
      <c r="K301" s="64"/>
      <c r="L301" s="64"/>
      <c r="M301" s="25"/>
      <c r="N301" s="25"/>
    </row>
    <row r="302" spans="1:14">
      <c r="A302" s="3" t="s">
        <v>562</v>
      </c>
      <c r="B302" s="4" t="s">
        <v>563</v>
      </c>
      <c r="C302" s="5">
        <f t="shared" si="14"/>
        <v>0</v>
      </c>
      <c r="D302" s="5"/>
      <c r="E302" s="6">
        <f t="shared" si="12"/>
        <v>0</v>
      </c>
      <c r="F302" s="6">
        <f t="shared" si="13"/>
        <v>0</v>
      </c>
      <c r="G302" s="62"/>
      <c r="H302" s="62"/>
      <c r="I302" s="60"/>
      <c r="J302" s="60"/>
      <c r="K302" s="64"/>
      <c r="L302" s="64"/>
      <c r="M302" s="25"/>
      <c r="N302" s="25"/>
    </row>
    <row r="303" spans="1:14">
      <c r="A303" s="3" t="s">
        <v>564</v>
      </c>
      <c r="B303" s="4" t="s">
        <v>565</v>
      </c>
      <c r="C303" s="5">
        <f t="shared" si="14"/>
        <v>0</v>
      </c>
      <c r="D303" s="5"/>
      <c r="E303" s="6">
        <f t="shared" si="12"/>
        <v>0</v>
      </c>
      <c r="F303" s="6">
        <f t="shared" si="13"/>
        <v>0</v>
      </c>
      <c r="G303" s="62"/>
      <c r="H303" s="62"/>
      <c r="I303" s="60"/>
      <c r="J303" s="60"/>
      <c r="K303" s="64"/>
      <c r="L303" s="64"/>
      <c r="M303" s="25"/>
      <c r="N303" s="25"/>
    </row>
    <row r="304" spans="1:14">
      <c r="A304" s="3" t="s">
        <v>566</v>
      </c>
      <c r="B304" s="4" t="s">
        <v>567</v>
      </c>
      <c r="C304" s="5">
        <f t="shared" si="14"/>
        <v>0</v>
      </c>
      <c r="D304" s="5"/>
      <c r="E304" s="6">
        <f t="shared" si="12"/>
        <v>0</v>
      </c>
      <c r="F304" s="6">
        <f t="shared" si="13"/>
        <v>0</v>
      </c>
      <c r="G304" s="62"/>
      <c r="H304" s="62"/>
      <c r="I304" s="60"/>
      <c r="J304" s="60"/>
      <c r="K304" s="64"/>
      <c r="L304" s="64"/>
      <c r="M304" s="25"/>
      <c r="N304" s="25"/>
    </row>
    <row r="305" spans="1:14">
      <c r="A305" s="3" t="s">
        <v>568</v>
      </c>
      <c r="B305" s="4" t="s">
        <v>569</v>
      </c>
      <c r="C305" s="5">
        <f t="shared" si="14"/>
        <v>0</v>
      </c>
      <c r="D305" s="5"/>
      <c r="E305" s="6">
        <f t="shared" si="12"/>
        <v>0</v>
      </c>
      <c r="F305" s="6">
        <f t="shared" si="13"/>
        <v>0</v>
      </c>
      <c r="G305" s="62"/>
      <c r="H305" s="62"/>
      <c r="I305" s="60"/>
      <c r="J305" s="60"/>
      <c r="K305" s="64"/>
      <c r="L305" s="64"/>
      <c r="M305" s="25"/>
      <c r="N305" s="25"/>
    </row>
    <row r="306" spans="1:14">
      <c r="A306" s="3" t="s">
        <v>570</v>
      </c>
      <c r="B306" s="4" t="s">
        <v>571</v>
      </c>
      <c r="C306" s="5">
        <f t="shared" si="14"/>
        <v>0</v>
      </c>
      <c r="D306" s="5"/>
      <c r="E306" s="6">
        <f t="shared" si="12"/>
        <v>0</v>
      </c>
      <c r="F306" s="6">
        <f t="shared" si="13"/>
        <v>0</v>
      </c>
      <c r="G306" s="62"/>
      <c r="H306" s="62"/>
      <c r="I306" s="60"/>
      <c r="J306" s="60"/>
      <c r="K306" s="64"/>
      <c r="L306" s="64"/>
      <c r="M306" s="25"/>
      <c r="N306" s="25"/>
    </row>
    <row r="307" spans="1:14">
      <c r="A307" s="3" t="s">
        <v>572</v>
      </c>
      <c r="B307" s="4" t="s">
        <v>573</v>
      </c>
      <c r="C307" s="5">
        <f t="shared" si="14"/>
        <v>0</v>
      </c>
      <c r="D307" s="5"/>
      <c r="E307" s="6">
        <f t="shared" si="12"/>
        <v>0</v>
      </c>
      <c r="F307" s="6">
        <f t="shared" si="13"/>
        <v>0</v>
      </c>
      <c r="G307" s="62"/>
      <c r="H307" s="62"/>
      <c r="I307" s="60"/>
      <c r="J307" s="60"/>
      <c r="K307" s="64"/>
      <c r="L307" s="64"/>
      <c r="M307" s="25"/>
      <c r="N307" s="25"/>
    </row>
    <row r="308" spans="1:14">
      <c r="A308" s="3" t="s">
        <v>574</v>
      </c>
      <c r="B308" s="4" t="s">
        <v>575</v>
      </c>
      <c r="C308" s="5">
        <f t="shared" si="14"/>
        <v>0</v>
      </c>
      <c r="D308" s="5"/>
      <c r="E308" s="6">
        <f t="shared" si="12"/>
        <v>0</v>
      </c>
      <c r="F308" s="6">
        <f t="shared" si="13"/>
        <v>0</v>
      </c>
      <c r="G308" s="62"/>
      <c r="H308" s="62"/>
      <c r="I308" s="60"/>
      <c r="J308" s="60"/>
      <c r="K308" s="64"/>
      <c r="L308" s="64"/>
      <c r="M308" s="25"/>
      <c r="N308" s="25"/>
    </row>
    <row r="309" spans="1:14">
      <c r="A309" s="3" t="s">
        <v>576</v>
      </c>
      <c r="B309" s="4" t="s">
        <v>577</v>
      </c>
      <c r="C309" s="5">
        <f t="shared" si="14"/>
        <v>0</v>
      </c>
      <c r="D309" s="5"/>
      <c r="E309" s="6">
        <f t="shared" si="12"/>
        <v>0</v>
      </c>
      <c r="F309" s="6">
        <f t="shared" si="13"/>
        <v>0</v>
      </c>
      <c r="G309" s="62"/>
      <c r="H309" s="62"/>
      <c r="I309" s="60"/>
      <c r="J309" s="60"/>
      <c r="K309" s="64"/>
      <c r="L309" s="64"/>
      <c r="M309" s="25"/>
      <c r="N309" s="25"/>
    </row>
    <row r="310" spans="1:14">
      <c r="A310" s="3" t="s">
        <v>578</v>
      </c>
      <c r="B310" s="4" t="s">
        <v>579</v>
      </c>
      <c r="C310" s="5">
        <f t="shared" si="14"/>
        <v>0</v>
      </c>
      <c r="D310" s="5"/>
      <c r="E310" s="6">
        <f t="shared" si="12"/>
        <v>0</v>
      </c>
      <c r="F310" s="6">
        <f t="shared" si="13"/>
        <v>0</v>
      </c>
      <c r="G310" s="62"/>
      <c r="H310" s="62"/>
      <c r="I310" s="60"/>
      <c r="J310" s="60"/>
      <c r="K310" s="64"/>
      <c r="L310" s="64"/>
      <c r="M310" s="25"/>
      <c r="N310" s="25"/>
    </row>
    <row r="311" spans="1:14">
      <c r="A311" s="3" t="s">
        <v>580</v>
      </c>
      <c r="B311" s="4" t="s">
        <v>581</v>
      </c>
      <c r="C311" s="5">
        <f t="shared" si="14"/>
        <v>0</v>
      </c>
      <c r="D311" s="5"/>
      <c r="E311" s="6">
        <f t="shared" si="12"/>
        <v>0</v>
      </c>
      <c r="F311" s="6">
        <f t="shared" si="13"/>
        <v>0</v>
      </c>
      <c r="G311" s="62"/>
      <c r="H311" s="62"/>
      <c r="I311" s="60"/>
      <c r="J311" s="60"/>
      <c r="K311" s="64"/>
      <c r="L311" s="64"/>
      <c r="M311" s="25"/>
      <c r="N311" s="25"/>
    </row>
    <row r="312" spans="1:14">
      <c r="A312" s="3" t="s">
        <v>582</v>
      </c>
      <c r="B312" s="4" t="s">
        <v>583</v>
      </c>
      <c r="C312" s="5">
        <f t="shared" si="14"/>
        <v>0</v>
      </c>
      <c r="D312" s="5"/>
      <c r="E312" s="6">
        <f t="shared" si="12"/>
        <v>0</v>
      </c>
      <c r="F312" s="6">
        <f t="shared" si="13"/>
        <v>0</v>
      </c>
      <c r="G312" s="62"/>
      <c r="H312" s="62"/>
      <c r="I312" s="60"/>
      <c r="J312" s="60"/>
      <c r="K312" s="64"/>
      <c r="L312" s="64"/>
      <c r="M312" s="25"/>
      <c r="N312" s="25"/>
    </row>
    <row r="313" spans="1:14">
      <c r="A313" s="3" t="s">
        <v>584</v>
      </c>
      <c r="B313" s="4" t="s">
        <v>585</v>
      </c>
      <c r="C313" s="5">
        <f t="shared" si="14"/>
        <v>0</v>
      </c>
      <c r="D313" s="5"/>
      <c r="E313" s="6">
        <f t="shared" si="12"/>
        <v>0</v>
      </c>
      <c r="F313" s="6">
        <f t="shared" si="13"/>
        <v>0</v>
      </c>
      <c r="G313" s="62"/>
      <c r="H313" s="62"/>
      <c r="I313" s="60"/>
      <c r="J313" s="60"/>
      <c r="K313" s="64"/>
      <c r="L313" s="64"/>
      <c r="M313" s="25"/>
      <c r="N313" s="25"/>
    </row>
    <row r="314" spans="1:14">
      <c r="A314" s="3" t="s">
        <v>586</v>
      </c>
      <c r="B314" s="4" t="s">
        <v>587</v>
      </c>
      <c r="C314" s="5">
        <f t="shared" si="14"/>
        <v>0</v>
      </c>
      <c r="D314" s="5"/>
      <c r="E314" s="6">
        <f t="shared" si="12"/>
        <v>0</v>
      </c>
      <c r="F314" s="6">
        <f t="shared" si="13"/>
        <v>0</v>
      </c>
      <c r="G314" s="62"/>
      <c r="H314" s="62"/>
      <c r="I314" s="60"/>
      <c r="J314" s="60"/>
      <c r="K314" s="64"/>
      <c r="L314" s="64"/>
      <c r="M314" s="25"/>
      <c r="N314" s="25"/>
    </row>
    <row r="315" spans="1:14">
      <c r="A315" s="3" t="s">
        <v>588</v>
      </c>
      <c r="B315" s="4" t="s">
        <v>589</v>
      </c>
      <c r="C315" s="5">
        <f t="shared" si="14"/>
        <v>0</v>
      </c>
      <c r="D315" s="5"/>
      <c r="E315" s="6">
        <f t="shared" si="12"/>
        <v>0</v>
      </c>
      <c r="F315" s="6">
        <f t="shared" si="13"/>
        <v>0</v>
      </c>
      <c r="G315" s="62"/>
      <c r="H315" s="62"/>
      <c r="I315" s="60"/>
      <c r="J315" s="60"/>
      <c r="K315" s="64"/>
      <c r="L315" s="64"/>
      <c r="M315" s="25"/>
      <c r="N315" s="25"/>
    </row>
    <row r="316" spans="1:14">
      <c r="A316" s="3" t="s">
        <v>590</v>
      </c>
      <c r="B316" s="4" t="s">
        <v>591</v>
      </c>
      <c r="C316" s="5">
        <f t="shared" si="14"/>
        <v>0</v>
      </c>
      <c r="D316" s="5"/>
      <c r="E316" s="6">
        <f t="shared" si="12"/>
        <v>0</v>
      </c>
      <c r="F316" s="6">
        <f t="shared" si="13"/>
        <v>0</v>
      </c>
      <c r="G316" s="62"/>
      <c r="H316" s="62"/>
      <c r="I316" s="60"/>
      <c r="J316" s="60"/>
      <c r="K316" s="64"/>
      <c r="L316" s="64"/>
      <c r="M316" s="25"/>
      <c r="N316" s="25"/>
    </row>
    <row r="317" spans="1:14">
      <c r="A317" s="3" t="s">
        <v>592</v>
      </c>
      <c r="B317" s="4" t="s">
        <v>593</v>
      </c>
      <c r="C317" s="5">
        <f t="shared" si="14"/>
        <v>0</v>
      </c>
      <c r="D317" s="5"/>
      <c r="E317" s="6">
        <f t="shared" si="12"/>
        <v>0</v>
      </c>
      <c r="F317" s="6">
        <f t="shared" si="13"/>
        <v>0</v>
      </c>
      <c r="G317" s="62"/>
      <c r="H317" s="62"/>
      <c r="I317" s="60"/>
      <c r="J317" s="60"/>
      <c r="K317" s="64"/>
      <c r="L317" s="64"/>
      <c r="M317" s="25"/>
      <c r="N317" s="25"/>
    </row>
    <row r="318" spans="1:14">
      <c r="A318" s="3" t="s">
        <v>594</v>
      </c>
      <c r="B318" s="4" t="s">
        <v>595</v>
      </c>
      <c r="C318" s="5">
        <f t="shared" si="14"/>
        <v>0</v>
      </c>
      <c r="D318" s="5"/>
      <c r="E318" s="6">
        <f t="shared" si="12"/>
        <v>0</v>
      </c>
      <c r="F318" s="6">
        <f t="shared" si="13"/>
        <v>0</v>
      </c>
      <c r="G318" s="62"/>
      <c r="H318" s="62"/>
      <c r="I318" s="60"/>
      <c r="J318" s="60"/>
      <c r="K318" s="64"/>
      <c r="L318" s="64"/>
      <c r="M318" s="25"/>
      <c r="N318" s="25"/>
    </row>
    <row r="319" spans="1:14">
      <c r="A319" s="3" t="s">
        <v>596</v>
      </c>
      <c r="B319" s="4" t="s">
        <v>597</v>
      </c>
      <c r="C319" s="5">
        <f t="shared" si="14"/>
        <v>0</v>
      </c>
      <c r="D319" s="5"/>
      <c r="E319" s="6">
        <f t="shared" si="12"/>
        <v>0</v>
      </c>
      <c r="F319" s="6">
        <f t="shared" si="13"/>
        <v>0</v>
      </c>
      <c r="G319" s="62"/>
      <c r="H319" s="62"/>
      <c r="I319" s="60"/>
      <c r="J319" s="60"/>
      <c r="K319" s="64"/>
      <c r="L319" s="64"/>
      <c r="M319" s="25"/>
      <c r="N319" s="25"/>
    </row>
    <row r="320" spans="1:14">
      <c r="A320" s="3" t="s">
        <v>598</v>
      </c>
      <c r="B320" s="4" t="s">
        <v>599</v>
      </c>
      <c r="C320" s="5">
        <f t="shared" si="14"/>
        <v>0</v>
      </c>
      <c r="D320" s="5"/>
      <c r="E320" s="6">
        <f t="shared" si="12"/>
        <v>0</v>
      </c>
      <c r="F320" s="6">
        <f t="shared" si="13"/>
        <v>0</v>
      </c>
      <c r="G320" s="62"/>
      <c r="H320" s="62"/>
      <c r="I320" s="60"/>
      <c r="J320" s="60"/>
      <c r="K320" s="64"/>
      <c r="L320" s="64"/>
      <c r="M320" s="25"/>
      <c r="N320" s="25"/>
    </row>
    <row r="321" spans="1:14">
      <c r="A321" s="3" t="s">
        <v>600</v>
      </c>
      <c r="B321" s="4" t="s">
        <v>601</v>
      </c>
      <c r="C321" s="5">
        <f t="shared" si="14"/>
        <v>0</v>
      </c>
      <c r="D321" s="5"/>
      <c r="E321" s="6">
        <f t="shared" si="12"/>
        <v>0</v>
      </c>
      <c r="F321" s="6">
        <f t="shared" si="13"/>
        <v>0</v>
      </c>
      <c r="G321" s="62"/>
      <c r="H321" s="62"/>
      <c r="I321" s="60"/>
      <c r="J321" s="60"/>
      <c r="K321" s="64"/>
      <c r="L321" s="64"/>
      <c r="M321" s="25"/>
      <c r="N321" s="25"/>
    </row>
    <row r="322" spans="1:14">
      <c r="A322" s="3" t="s">
        <v>602</v>
      </c>
      <c r="B322" s="4" t="s">
        <v>603</v>
      </c>
      <c r="C322" s="5">
        <f t="shared" si="14"/>
        <v>0</v>
      </c>
      <c r="D322" s="5"/>
      <c r="E322" s="6">
        <f t="shared" si="12"/>
        <v>0</v>
      </c>
      <c r="F322" s="6">
        <f t="shared" si="13"/>
        <v>0</v>
      </c>
      <c r="G322" s="62"/>
      <c r="H322" s="62"/>
      <c r="I322" s="60"/>
      <c r="J322" s="60"/>
      <c r="K322" s="64"/>
      <c r="L322" s="64"/>
      <c r="M322" s="25"/>
      <c r="N322" s="25"/>
    </row>
    <row r="323" spans="1:14">
      <c r="A323" s="3" t="s">
        <v>604</v>
      </c>
      <c r="B323" s="4" t="s">
        <v>605</v>
      </c>
      <c r="C323" s="5">
        <f t="shared" si="14"/>
        <v>0</v>
      </c>
      <c r="D323" s="5"/>
      <c r="E323" s="6">
        <f t="shared" si="12"/>
        <v>0</v>
      </c>
      <c r="F323" s="6">
        <f t="shared" si="13"/>
        <v>0</v>
      </c>
      <c r="G323" s="62"/>
      <c r="H323" s="62"/>
      <c r="I323" s="60"/>
      <c r="J323" s="60"/>
      <c r="K323" s="64"/>
      <c r="L323" s="64"/>
      <c r="M323" s="25"/>
      <c r="N323" s="25"/>
    </row>
    <row r="324" spans="1:14" s="70" customFormat="1">
      <c r="A324" s="3" t="s">
        <v>606</v>
      </c>
      <c r="B324" s="4" t="s">
        <v>607</v>
      </c>
      <c r="C324" s="5">
        <f t="shared" si="14"/>
        <v>0</v>
      </c>
      <c r="D324" s="5"/>
      <c r="E324" s="6">
        <f t="shared" si="12"/>
        <v>0</v>
      </c>
      <c r="F324" s="6">
        <f t="shared" si="13"/>
        <v>0</v>
      </c>
      <c r="G324" s="62"/>
      <c r="H324" s="62"/>
      <c r="I324" s="60"/>
      <c r="J324" s="60"/>
      <c r="K324" s="64"/>
      <c r="L324" s="64"/>
      <c r="M324" s="25"/>
      <c r="N324" s="25"/>
    </row>
    <row r="325" spans="1:14" s="70" customFormat="1">
      <c r="A325" s="3" t="s">
        <v>608</v>
      </c>
      <c r="B325" s="4" t="s">
        <v>609</v>
      </c>
      <c r="C325" s="5">
        <f t="shared" si="14"/>
        <v>0</v>
      </c>
      <c r="D325" s="5"/>
      <c r="E325" s="6">
        <f t="shared" si="12"/>
        <v>0</v>
      </c>
      <c r="F325" s="6">
        <f t="shared" si="13"/>
        <v>0</v>
      </c>
      <c r="G325" s="62"/>
      <c r="H325" s="62"/>
      <c r="I325" s="60"/>
      <c r="J325" s="60"/>
      <c r="K325" s="64"/>
      <c r="L325" s="64"/>
      <c r="M325" s="25"/>
      <c r="N325" s="25"/>
    </row>
    <row r="326" spans="1:14" s="70" customFormat="1">
      <c r="A326" s="3" t="s">
        <v>610</v>
      </c>
      <c r="B326" s="4" t="s">
        <v>611</v>
      </c>
      <c r="C326" s="5">
        <f t="shared" si="14"/>
        <v>0</v>
      </c>
      <c r="D326" s="5"/>
      <c r="E326" s="6">
        <f t="shared" si="12"/>
        <v>0</v>
      </c>
      <c r="F326" s="6">
        <f t="shared" si="13"/>
        <v>0</v>
      </c>
      <c r="G326" s="62"/>
      <c r="H326" s="62"/>
      <c r="I326" s="60"/>
      <c r="J326" s="60"/>
      <c r="K326" s="64"/>
      <c r="L326" s="64"/>
      <c r="M326" s="25"/>
      <c r="N326" s="25"/>
    </row>
    <row r="327" spans="1:14" s="70" customFormat="1">
      <c r="A327" s="3" t="s">
        <v>612</v>
      </c>
      <c r="B327" s="4" t="s">
        <v>613</v>
      </c>
      <c r="C327" s="5">
        <f t="shared" si="14"/>
        <v>0</v>
      </c>
      <c r="D327" s="5"/>
      <c r="E327" s="6">
        <f t="shared" si="12"/>
        <v>0</v>
      </c>
      <c r="F327" s="6">
        <f t="shared" si="13"/>
        <v>0</v>
      </c>
      <c r="G327" s="62"/>
      <c r="H327" s="62"/>
      <c r="I327" s="60"/>
      <c r="J327" s="60"/>
      <c r="K327" s="64"/>
      <c r="L327" s="64"/>
      <c r="M327" s="25"/>
      <c r="N327" s="25"/>
    </row>
    <row r="328" spans="1:14" s="1" customFormat="1">
      <c r="A328" s="3" t="s">
        <v>614</v>
      </c>
      <c r="B328" s="4" t="s">
        <v>615</v>
      </c>
      <c r="C328" s="5">
        <f t="shared" si="14"/>
        <v>0</v>
      </c>
      <c r="D328" s="5"/>
      <c r="E328" s="6">
        <f t="shared" si="12"/>
        <v>0</v>
      </c>
      <c r="F328" s="6">
        <f t="shared" si="13"/>
        <v>0</v>
      </c>
      <c r="G328" s="62"/>
      <c r="H328" s="62"/>
      <c r="I328" s="60"/>
      <c r="J328" s="60"/>
      <c r="K328" s="64"/>
      <c r="L328" s="64"/>
      <c r="M328" s="25"/>
      <c r="N328" s="25"/>
    </row>
    <row r="329" spans="1:14" s="70" customFormat="1">
      <c r="A329" s="3" t="s">
        <v>616</v>
      </c>
      <c r="B329" s="4" t="s">
        <v>617</v>
      </c>
      <c r="C329" s="5">
        <f t="shared" si="14"/>
        <v>0</v>
      </c>
      <c r="D329" s="5"/>
      <c r="E329" s="6">
        <f t="shared" si="12"/>
        <v>0</v>
      </c>
      <c r="F329" s="6">
        <f t="shared" si="13"/>
        <v>0</v>
      </c>
      <c r="G329" s="62"/>
      <c r="H329" s="62"/>
      <c r="I329" s="60"/>
      <c r="J329" s="60"/>
      <c r="K329" s="64"/>
      <c r="L329" s="64"/>
      <c r="M329" s="25"/>
      <c r="N329" s="25"/>
    </row>
    <row r="330" spans="1:14" s="70" customFormat="1">
      <c r="A330" s="3" t="s">
        <v>618</v>
      </c>
      <c r="B330" s="4" t="s">
        <v>619</v>
      </c>
      <c r="C330" s="5">
        <f t="shared" si="14"/>
        <v>0</v>
      </c>
      <c r="D330" s="5"/>
      <c r="E330" s="6">
        <f t="shared" si="12"/>
        <v>0</v>
      </c>
      <c r="F330" s="6">
        <f t="shared" si="13"/>
        <v>0</v>
      </c>
      <c r="G330" s="62"/>
      <c r="H330" s="62"/>
      <c r="I330" s="60"/>
      <c r="J330" s="60"/>
      <c r="K330" s="64"/>
      <c r="L330" s="64"/>
      <c r="M330" s="25"/>
      <c r="N330" s="25"/>
    </row>
    <row r="331" spans="1:14" s="70" customFormat="1">
      <c r="A331" s="11" t="s">
        <v>620</v>
      </c>
      <c r="B331" s="12" t="s">
        <v>621</v>
      </c>
      <c r="C331" s="5">
        <f t="shared" si="14"/>
        <v>0</v>
      </c>
      <c r="D331" s="5"/>
      <c r="E331" s="6">
        <f t="shared" si="12"/>
        <v>0</v>
      </c>
      <c r="F331" s="6">
        <f t="shared" si="13"/>
        <v>0</v>
      </c>
      <c r="G331" s="62"/>
      <c r="H331" s="62"/>
      <c r="I331" s="60"/>
      <c r="J331" s="60"/>
      <c r="K331" s="64"/>
      <c r="L331" s="64"/>
      <c r="M331" s="25"/>
      <c r="N331" s="25"/>
    </row>
    <row r="332" spans="1:14" s="70" customFormat="1">
      <c r="A332" s="3" t="s">
        <v>622</v>
      </c>
      <c r="B332" s="4" t="s">
        <v>623</v>
      </c>
      <c r="C332" s="5">
        <f t="shared" si="14"/>
        <v>0</v>
      </c>
      <c r="D332" s="5"/>
      <c r="E332" s="6">
        <f t="shared" si="12"/>
        <v>0</v>
      </c>
      <c r="F332" s="6">
        <f t="shared" si="13"/>
        <v>0</v>
      </c>
      <c r="G332" s="62"/>
      <c r="H332" s="62"/>
      <c r="I332" s="60"/>
      <c r="J332" s="60"/>
      <c r="K332" s="64"/>
      <c r="L332" s="64"/>
      <c r="M332" s="25"/>
      <c r="N332" s="25"/>
    </row>
    <row r="333" spans="1:14" s="70" customFormat="1">
      <c r="A333" s="3" t="s">
        <v>624</v>
      </c>
      <c r="B333" s="4" t="s">
        <v>625</v>
      </c>
      <c r="C333" s="5">
        <f t="shared" si="14"/>
        <v>0</v>
      </c>
      <c r="D333" s="5"/>
      <c r="E333" s="6">
        <f t="shared" si="12"/>
        <v>0</v>
      </c>
      <c r="F333" s="6">
        <f t="shared" si="13"/>
        <v>0</v>
      </c>
      <c r="G333" s="62"/>
      <c r="H333" s="62"/>
      <c r="I333" s="60"/>
      <c r="J333" s="60"/>
      <c r="K333" s="64"/>
      <c r="L333" s="64"/>
      <c r="M333" s="25"/>
      <c r="N333" s="25"/>
    </row>
    <row r="334" spans="1:14">
      <c r="A334" s="3" t="s">
        <v>626</v>
      </c>
      <c r="B334" s="4" t="s">
        <v>627</v>
      </c>
      <c r="C334" s="5">
        <f t="shared" si="14"/>
        <v>0</v>
      </c>
      <c r="D334" s="5"/>
      <c r="E334" s="6">
        <f t="shared" ref="E334:E397" si="15">SUM(G334,I334,K334,M334)</f>
        <v>0</v>
      </c>
      <c r="F334" s="6">
        <f t="shared" ref="F334:F397" si="16">SUM(H334,J334,L334,N334)</f>
        <v>0</v>
      </c>
      <c r="G334" s="62"/>
      <c r="H334" s="62"/>
      <c r="I334" s="60"/>
      <c r="J334" s="60"/>
      <c r="K334" s="64"/>
      <c r="L334" s="64"/>
      <c r="M334" s="25"/>
      <c r="N334" s="25"/>
    </row>
    <row r="335" spans="1:14">
      <c r="A335" s="3" t="s">
        <v>628</v>
      </c>
      <c r="B335" s="4" t="s">
        <v>629</v>
      </c>
      <c r="C335" s="5">
        <f t="shared" si="14"/>
        <v>0</v>
      </c>
      <c r="D335" s="5"/>
      <c r="E335" s="6">
        <f t="shared" si="15"/>
        <v>0</v>
      </c>
      <c r="F335" s="6">
        <f t="shared" si="16"/>
        <v>0</v>
      </c>
      <c r="G335" s="62"/>
      <c r="H335" s="62"/>
      <c r="I335" s="60"/>
      <c r="J335" s="60"/>
      <c r="K335" s="64"/>
      <c r="L335" s="64"/>
      <c r="M335" s="25"/>
      <c r="N335" s="25"/>
    </row>
    <row r="336" spans="1:14">
      <c r="A336" s="3" t="s">
        <v>630</v>
      </c>
      <c r="B336" s="4" t="s">
        <v>631</v>
      </c>
      <c r="C336" s="5">
        <f t="shared" si="14"/>
        <v>0</v>
      </c>
      <c r="D336" s="5"/>
      <c r="E336" s="6">
        <f t="shared" si="15"/>
        <v>0</v>
      </c>
      <c r="F336" s="6">
        <f t="shared" si="16"/>
        <v>0</v>
      </c>
      <c r="G336" s="62"/>
      <c r="H336" s="62"/>
      <c r="I336" s="60"/>
      <c r="J336" s="60"/>
      <c r="K336" s="64"/>
      <c r="L336" s="64"/>
      <c r="M336" s="25"/>
      <c r="N336" s="25"/>
    </row>
    <row r="337" spans="1:14">
      <c r="A337" s="3" t="s">
        <v>632</v>
      </c>
      <c r="B337" s="4" t="s">
        <v>633</v>
      </c>
      <c r="C337" s="5">
        <f t="shared" si="14"/>
        <v>0</v>
      </c>
      <c r="D337" s="5"/>
      <c r="E337" s="6">
        <f t="shared" si="15"/>
        <v>0</v>
      </c>
      <c r="F337" s="6">
        <f t="shared" si="16"/>
        <v>0</v>
      </c>
      <c r="G337" s="62"/>
      <c r="H337" s="62"/>
      <c r="I337" s="60"/>
      <c r="J337" s="60"/>
      <c r="K337" s="64"/>
      <c r="L337" s="64"/>
      <c r="M337" s="25"/>
      <c r="N337" s="25"/>
    </row>
    <row r="338" spans="1:14">
      <c r="A338" s="3" t="s">
        <v>634</v>
      </c>
      <c r="B338" s="4" t="s">
        <v>635</v>
      </c>
      <c r="C338" s="5">
        <f t="shared" si="14"/>
        <v>0</v>
      </c>
      <c r="D338" s="5"/>
      <c r="E338" s="6">
        <f t="shared" si="15"/>
        <v>0</v>
      </c>
      <c r="F338" s="6">
        <f t="shared" si="16"/>
        <v>0</v>
      </c>
      <c r="G338" s="62"/>
      <c r="H338" s="62"/>
      <c r="I338" s="60"/>
      <c r="J338" s="60"/>
      <c r="K338" s="64"/>
      <c r="L338" s="64"/>
      <c r="M338" s="25"/>
      <c r="N338" s="25"/>
    </row>
    <row r="339" spans="1:14">
      <c r="A339" s="3" t="s">
        <v>636</v>
      </c>
      <c r="B339" s="4" t="s">
        <v>637</v>
      </c>
      <c r="C339" s="5">
        <f t="shared" si="14"/>
        <v>0</v>
      </c>
      <c r="D339" s="5"/>
      <c r="E339" s="6">
        <f t="shared" si="15"/>
        <v>0</v>
      </c>
      <c r="F339" s="6">
        <f t="shared" si="16"/>
        <v>0</v>
      </c>
      <c r="G339" s="62"/>
      <c r="H339" s="62"/>
      <c r="I339" s="60"/>
      <c r="J339" s="60"/>
      <c r="K339" s="64"/>
      <c r="L339" s="64"/>
      <c r="M339" s="25"/>
      <c r="N339" s="25"/>
    </row>
    <row r="340" spans="1:14">
      <c r="A340" s="3" t="s">
        <v>638</v>
      </c>
      <c r="B340" s="4" t="s">
        <v>639</v>
      </c>
      <c r="C340" s="5">
        <f t="shared" si="14"/>
        <v>0</v>
      </c>
      <c r="D340" s="5"/>
      <c r="E340" s="6">
        <f t="shared" si="15"/>
        <v>0</v>
      </c>
      <c r="F340" s="6">
        <f t="shared" si="16"/>
        <v>0</v>
      </c>
      <c r="G340" s="62"/>
      <c r="H340" s="62"/>
      <c r="I340" s="60"/>
      <c r="J340" s="60"/>
      <c r="K340" s="64"/>
      <c r="L340" s="64"/>
      <c r="M340" s="25"/>
      <c r="N340" s="25"/>
    </row>
    <row r="341" spans="1:14">
      <c r="A341" s="3" t="s">
        <v>640</v>
      </c>
      <c r="B341" s="4" t="s">
        <v>641</v>
      </c>
      <c r="C341" s="5">
        <f t="shared" si="14"/>
        <v>0</v>
      </c>
      <c r="D341" s="5"/>
      <c r="E341" s="6">
        <f t="shared" si="15"/>
        <v>0</v>
      </c>
      <c r="F341" s="6">
        <f t="shared" si="16"/>
        <v>0</v>
      </c>
      <c r="G341" s="62"/>
      <c r="H341" s="62"/>
      <c r="I341" s="60"/>
      <c r="J341" s="60"/>
      <c r="K341" s="64"/>
      <c r="L341" s="64"/>
      <c r="M341" s="25"/>
      <c r="N341" s="25"/>
    </row>
    <row r="342" spans="1:14">
      <c r="A342" s="3" t="s">
        <v>642</v>
      </c>
      <c r="B342" s="4" t="s">
        <v>643</v>
      </c>
      <c r="C342" s="5">
        <f t="shared" si="14"/>
        <v>0</v>
      </c>
      <c r="D342" s="5"/>
      <c r="E342" s="6">
        <f t="shared" si="15"/>
        <v>0</v>
      </c>
      <c r="F342" s="6">
        <f t="shared" si="16"/>
        <v>0</v>
      </c>
      <c r="G342" s="62"/>
      <c r="H342" s="62"/>
      <c r="I342" s="60"/>
      <c r="J342" s="60"/>
      <c r="K342" s="64"/>
      <c r="L342" s="64"/>
      <c r="M342" s="25"/>
      <c r="N342" s="25"/>
    </row>
    <row r="343" spans="1:14">
      <c r="A343" s="3" t="s">
        <v>644</v>
      </c>
      <c r="B343" s="4" t="s">
        <v>645</v>
      </c>
      <c r="C343" s="5">
        <f t="shared" si="14"/>
        <v>0</v>
      </c>
      <c r="D343" s="5"/>
      <c r="E343" s="6">
        <f t="shared" si="15"/>
        <v>0</v>
      </c>
      <c r="F343" s="6">
        <f t="shared" si="16"/>
        <v>0</v>
      </c>
      <c r="G343" s="62"/>
      <c r="H343" s="62"/>
      <c r="I343" s="60"/>
      <c r="J343" s="60"/>
      <c r="K343" s="64"/>
      <c r="L343" s="64"/>
      <c r="M343" s="25"/>
      <c r="N343" s="25"/>
    </row>
    <row r="344" spans="1:14">
      <c r="A344" s="3" t="s">
        <v>646</v>
      </c>
      <c r="B344" s="4" t="s">
        <v>647</v>
      </c>
      <c r="C344" s="5">
        <f t="shared" si="14"/>
        <v>0</v>
      </c>
      <c r="D344" s="5"/>
      <c r="E344" s="6">
        <f t="shared" si="15"/>
        <v>0</v>
      </c>
      <c r="F344" s="6">
        <f t="shared" si="16"/>
        <v>0</v>
      </c>
      <c r="G344" s="62"/>
      <c r="H344" s="62"/>
      <c r="I344" s="60"/>
      <c r="J344" s="60"/>
      <c r="K344" s="64"/>
      <c r="L344" s="64"/>
      <c r="M344" s="25"/>
      <c r="N344" s="25"/>
    </row>
    <row r="345" spans="1:14">
      <c r="A345" s="3" t="s">
        <v>648</v>
      </c>
      <c r="B345" s="4" t="s">
        <v>649</v>
      </c>
      <c r="C345" s="5">
        <f t="shared" ref="C345:C408" si="17">E345-F345</f>
        <v>0</v>
      </c>
      <c r="D345" s="5"/>
      <c r="E345" s="6">
        <f t="shared" si="15"/>
        <v>0</v>
      </c>
      <c r="F345" s="6">
        <f t="shared" si="16"/>
        <v>0</v>
      </c>
      <c r="G345" s="62"/>
      <c r="H345" s="62"/>
      <c r="I345" s="60"/>
      <c r="J345" s="60"/>
      <c r="K345" s="64"/>
      <c r="L345" s="64"/>
      <c r="M345" s="25"/>
      <c r="N345" s="25"/>
    </row>
    <row r="346" spans="1:14">
      <c r="A346" s="3" t="s">
        <v>650</v>
      </c>
      <c r="B346" s="4" t="s">
        <v>651</v>
      </c>
      <c r="C346" s="5">
        <f t="shared" si="17"/>
        <v>0</v>
      </c>
      <c r="D346" s="5"/>
      <c r="E346" s="6">
        <f t="shared" si="15"/>
        <v>0</v>
      </c>
      <c r="F346" s="6">
        <f t="shared" si="16"/>
        <v>0</v>
      </c>
      <c r="G346" s="62"/>
      <c r="H346" s="62"/>
      <c r="I346" s="60"/>
      <c r="J346" s="60"/>
      <c r="K346" s="64"/>
      <c r="L346" s="64"/>
      <c r="M346" s="25"/>
      <c r="N346" s="25"/>
    </row>
    <row r="347" spans="1:14">
      <c r="A347" s="3" t="s">
        <v>652</v>
      </c>
      <c r="B347" s="4" t="s">
        <v>653</v>
      </c>
      <c r="C347" s="5">
        <f t="shared" si="17"/>
        <v>0</v>
      </c>
      <c r="D347" s="5"/>
      <c r="E347" s="6">
        <f t="shared" si="15"/>
        <v>0</v>
      </c>
      <c r="F347" s="6">
        <f t="shared" si="16"/>
        <v>0</v>
      </c>
      <c r="G347" s="62"/>
      <c r="H347" s="62"/>
      <c r="I347" s="60"/>
      <c r="J347" s="60"/>
      <c r="K347" s="64"/>
      <c r="L347" s="64"/>
      <c r="M347" s="25"/>
      <c r="N347" s="25"/>
    </row>
    <row r="348" spans="1:14">
      <c r="A348" s="3" t="s">
        <v>654</v>
      </c>
      <c r="B348" s="4" t="s">
        <v>655</v>
      </c>
      <c r="C348" s="5">
        <f t="shared" si="17"/>
        <v>0</v>
      </c>
      <c r="D348" s="5"/>
      <c r="E348" s="6">
        <f t="shared" si="15"/>
        <v>0</v>
      </c>
      <c r="F348" s="6">
        <f t="shared" si="16"/>
        <v>0</v>
      </c>
      <c r="G348" s="62"/>
      <c r="H348" s="62"/>
      <c r="I348" s="60"/>
      <c r="J348" s="60"/>
      <c r="K348" s="64"/>
      <c r="L348" s="64"/>
      <c r="M348" s="25"/>
      <c r="N348" s="25"/>
    </row>
    <row r="349" spans="1:14">
      <c r="A349" s="3" t="s">
        <v>656</v>
      </c>
      <c r="B349" s="4" t="s">
        <v>657</v>
      </c>
      <c r="C349" s="5">
        <f t="shared" si="17"/>
        <v>0</v>
      </c>
      <c r="D349" s="5"/>
      <c r="E349" s="6">
        <f t="shared" si="15"/>
        <v>0</v>
      </c>
      <c r="F349" s="6">
        <f t="shared" si="16"/>
        <v>0</v>
      </c>
      <c r="G349" s="62"/>
      <c r="H349" s="62"/>
      <c r="I349" s="60"/>
      <c r="J349" s="60"/>
      <c r="K349" s="64"/>
      <c r="L349" s="64"/>
      <c r="M349" s="25"/>
      <c r="N349" s="25"/>
    </row>
    <row r="350" spans="1:14">
      <c r="A350" s="3" t="s">
        <v>658</v>
      </c>
      <c r="B350" s="4" t="s">
        <v>659</v>
      </c>
      <c r="C350" s="5">
        <f t="shared" si="17"/>
        <v>0</v>
      </c>
      <c r="D350" s="5"/>
      <c r="E350" s="6">
        <f t="shared" si="15"/>
        <v>0</v>
      </c>
      <c r="F350" s="6">
        <f t="shared" si="16"/>
        <v>0</v>
      </c>
      <c r="G350" s="62"/>
      <c r="H350" s="62"/>
      <c r="I350" s="60"/>
      <c r="J350" s="60"/>
      <c r="K350" s="64"/>
      <c r="L350" s="64"/>
      <c r="M350" s="25"/>
      <c r="N350" s="25"/>
    </row>
    <row r="351" spans="1:14">
      <c r="A351" s="3" t="s">
        <v>660</v>
      </c>
      <c r="B351" s="4" t="s">
        <v>661</v>
      </c>
      <c r="C351" s="5">
        <f t="shared" si="17"/>
        <v>0</v>
      </c>
      <c r="D351" s="5"/>
      <c r="E351" s="6">
        <f t="shared" si="15"/>
        <v>0</v>
      </c>
      <c r="F351" s="6">
        <f t="shared" si="16"/>
        <v>0</v>
      </c>
      <c r="G351" s="62"/>
      <c r="H351" s="62"/>
      <c r="I351" s="60"/>
      <c r="J351" s="60"/>
      <c r="K351" s="64"/>
      <c r="L351" s="64"/>
      <c r="M351" s="25"/>
      <c r="N351" s="25"/>
    </row>
    <row r="352" spans="1:14">
      <c r="A352" s="3" t="s">
        <v>662</v>
      </c>
      <c r="B352" s="4" t="s">
        <v>663</v>
      </c>
      <c r="C352" s="5">
        <f t="shared" si="17"/>
        <v>0</v>
      </c>
      <c r="D352" s="5"/>
      <c r="E352" s="6">
        <f t="shared" si="15"/>
        <v>0</v>
      </c>
      <c r="F352" s="6">
        <f t="shared" si="16"/>
        <v>0</v>
      </c>
      <c r="G352" s="62"/>
      <c r="H352" s="62"/>
      <c r="I352" s="60"/>
      <c r="J352" s="60"/>
      <c r="K352" s="64"/>
      <c r="L352" s="64"/>
      <c r="M352" s="25"/>
      <c r="N352" s="25"/>
    </row>
    <row r="353" spans="1:14">
      <c r="A353" s="3" t="s">
        <v>664</v>
      </c>
      <c r="B353" s="4" t="s">
        <v>665</v>
      </c>
      <c r="C353" s="5">
        <f t="shared" si="17"/>
        <v>0</v>
      </c>
      <c r="D353" s="5"/>
      <c r="E353" s="6">
        <f t="shared" si="15"/>
        <v>0</v>
      </c>
      <c r="F353" s="6">
        <f t="shared" si="16"/>
        <v>0</v>
      </c>
      <c r="G353" s="62"/>
      <c r="H353" s="62"/>
      <c r="I353" s="60"/>
      <c r="J353" s="60"/>
      <c r="K353" s="64"/>
      <c r="L353" s="64"/>
      <c r="M353" s="25"/>
      <c r="N353" s="25"/>
    </row>
    <row r="354" spans="1:14">
      <c r="A354" s="3" t="s">
        <v>666</v>
      </c>
      <c r="B354" s="4" t="s">
        <v>667</v>
      </c>
      <c r="C354" s="5">
        <f t="shared" si="17"/>
        <v>0</v>
      </c>
      <c r="D354" s="5"/>
      <c r="E354" s="6">
        <f t="shared" si="15"/>
        <v>0</v>
      </c>
      <c r="F354" s="6">
        <f t="shared" si="16"/>
        <v>0</v>
      </c>
      <c r="G354" s="62"/>
      <c r="H354" s="62"/>
      <c r="I354" s="60"/>
      <c r="J354" s="60"/>
      <c r="K354" s="64"/>
      <c r="L354" s="64"/>
      <c r="M354" s="25"/>
      <c r="N354" s="25"/>
    </row>
    <row r="355" spans="1:14">
      <c r="A355" s="3" t="s">
        <v>668</v>
      </c>
      <c r="B355" s="4" t="s">
        <v>669</v>
      </c>
      <c r="C355" s="5">
        <f t="shared" si="17"/>
        <v>0</v>
      </c>
      <c r="D355" s="5"/>
      <c r="E355" s="6">
        <f t="shared" si="15"/>
        <v>0</v>
      </c>
      <c r="F355" s="6">
        <f t="shared" si="16"/>
        <v>0</v>
      </c>
      <c r="G355" s="62"/>
      <c r="H355" s="62"/>
      <c r="I355" s="60"/>
      <c r="J355" s="60"/>
      <c r="K355" s="64"/>
      <c r="L355" s="64"/>
      <c r="M355" s="25"/>
      <c r="N355" s="25"/>
    </row>
    <row r="356" spans="1:14">
      <c r="A356" s="3" t="s">
        <v>670</v>
      </c>
      <c r="B356" s="4" t="s">
        <v>671</v>
      </c>
      <c r="C356" s="5">
        <f t="shared" si="17"/>
        <v>0</v>
      </c>
      <c r="D356" s="5"/>
      <c r="E356" s="6">
        <f t="shared" si="15"/>
        <v>0</v>
      </c>
      <c r="F356" s="6">
        <f t="shared" si="16"/>
        <v>0</v>
      </c>
      <c r="G356" s="62"/>
      <c r="H356" s="62"/>
      <c r="I356" s="60"/>
      <c r="J356" s="60"/>
      <c r="K356" s="64"/>
      <c r="L356" s="64"/>
      <c r="M356" s="25"/>
      <c r="N356" s="25"/>
    </row>
    <row r="357" spans="1:14">
      <c r="A357" s="3" t="s">
        <v>672</v>
      </c>
      <c r="B357" s="4" t="s">
        <v>673</v>
      </c>
      <c r="C357" s="5">
        <f t="shared" si="17"/>
        <v>0</v>
      </c>
      <c r="D357" s="5"/>
      <c r="E357" s="6">
        <f t="shared" si="15"/>
        <v>0</v>
      </c>
      <c r="F357" s="6">
        <f t="shared" si="16"/>
        <v>0</v>
      </c>
      <c r="G357" s="62"/>
      <c r="H357" s="62"/>
      <c r="I357" s="60"/>
      <c r="J357" s="60"/>
      <c r="K357" s="64"/>
      <c r="L357" s="64"/>
      <c r="M357" s="25"/>
      <c r="N357" s="25"/>
    </row>
    <row r="358" spans="1:14">
      <c r="A358" s="3" t="s">
        <v>674</v>
      </c>
      <c r="B358" s="4" t="s">
        <v>675</v>
      </c>
      <c r="C358" s="5">
        <f t="shared" si="17"/>
        <v>0</v>
      </c>
      <c r="D358" s="5"/>
      <c r="E358" s="6">
        <f t="shared" si="15"/>
        <v>0</v>
      </c>
      <c r="F358" s="6">
        <f t="shared" si="16"/>
        <v>0</v>
      </c>
      <c r="G358" s="62"/>
      <c r="H358" s="62"/>
      <c r="I358" s="60"/>
      <c r="J358" s="60"/>
      <c r="K358" s="64"/>
      <c r="L358" s="64"/>
      <c r="M358" s="25"/>
      <c r="N358" s="25"/>
    </row>
    <row r="359" spans="1:14">
      <c r="A359" s="3" t="s">
        <v>676</v>
      </c>
      <c r="B359" s="4" t="s">
        <v>677</v>
      </c>
      <c r="C359" s="5">
        <f t="shared" si="17"/>
        <v>0</v>
      </c>
      <c r="D359" s="5"/>
      <c r="E359" s="6">
        <f t="shared" si="15"/>
        <v>0</v>
      </c>
      <c r="F359" s="6">
        <f t="shared" si="16"/>
        <v>0</v>
      </c>
      <c r="G359" s="62"/>
      <c r="H359" s="62"/>
      <c r="I359" s="60"/>
      <c r="J359" s="60"/>
      <c r="K359" s="64"/>
      <c r="L359" s="64"/>
      <c r="M359" s="25"/>
      <c r="N359" s="25"/>
    </row>
    <row r="360" spans="1:14">
      <c r="A360" s="3" t="s">
        <v>678</v>
      </c>
      <c r="B360" s="4" t="s">
        <v>679</v>
      </c>
      <c r="C360" s="5">
        <f t="shared" si="17"/>
        <v>0</v>
      </c>
      <c r="D360" s="5"/>
      <c r="E360" s="6">
        <f t="shared" si="15"/>
        <v>0</v>
      </c>
      <c r="F360" s="6">
        <f t="shared" si="16"/>
        <v>0</v>
      </c>
      <c r="G360" s="62"/>
      <c r="H360" s="62"/>
      <c r="I360" s="60"/>
      <c r="J360" s="60"/>
      <c r="K360" s="64"/>
      <c r="L360" s="64"/>
      <c r="M360" s="25"/>
      <c r="N360" s="25"/>
    </row>
    <row r="361" spans="1:14">
      <c r="A361" s="3" t="s">
        <v>680</v>
      </c>
      <c r="B361" s="4" t="s">
        <v>681</v>
      </c>
      <c r="C361" s="5">
        <f t="shared" si="17"/>
        <v>0</v>
      </c>
      <c r="D361" s="5"/>
      <c r="E361" s="6">
        <f t="shared" si="15"/>
        <v>0</v>
      </c>
      <c r="F361" s="6">
        <f t="shared" si="16"/>
        <v>0</v>
      </c>
      <c r="G361" s="62"/>
      <c r="H361" s="62"/>
      <c r="I361" s="60"/>
      <c r="J361" s="60"/>
      <c r="K361" s="64"/>
      <c r="L361" s="64"/>
      <c r="M361" s="25"/>
      <c r="N361" s="25"/>
    </row>
    <row r="362" spans="1:14">
      <c r="A362" s="3" t="s">
        <v>682</v>
      </c>
      <c r="B362" s="4" t="s">
        <v>683</v>
      </c>
      <c r="C362" s="5">
        <f t="shared" si="17"/>
        <v>0</v>
      </c>
      <c r="D362" s="5"/>
      <c r="E362" s="6">
        <f t="shared" si="15"/>
        <v>0</v>
      </c>
      <c r="F362" s="6">
        <f t="shared" si="16"/>
        <v>0</v>
      </c>
      <c r="G362" s="62"/>
      <c r="H362" s="62"/>
      <c r="I362" s="60"/>
      <c r="J362" s="60"/>
      <c r="K362" s="64"/>
      <c r="L362" s="64"/>
      <c r="M362" s="25"/>
      <c r="N362" s="25"/>
    </row>
    <row r="363" spans="1:14">
      <c r="A363" s="3" t="s">
        <v>684</v>
      </c>
      <c r="B363" s="4" t="s">
        <v>685</v>
      </c>
      <c r="C363" s="5">
        <f t="shared" si="17"/>
        <v>0</v>
      </c>
      <c r="D363" s="5"/>
      <c r="E363" s="6">
        <f t="shared" si="15"/>
        <v>0</v>
      </c>
      <c r="F363" s="6">
        <f t="shared" si="16"/>
        <v>0</v>
      </c>
      <c r="G363" s="62"/>
      <c r="H363" s="62"/>
      <c r="I363" s="60"/>
      <c r="J363" s="60"/>
      <c r="K363" s="64"/>
      <c r="L363" s="64"/>
      <c r="M363" s="25"/>
      <c r="N363" s="25"/>
    </row>
    <row r="364" spans="1:14">
      <c r="A364" s="3" t="s">
        <v>686</v>
      </c>
      <c r="B364" s="4" t="s">
        <v>687</v>
      </c>
      <c r="C364" s="5">
        <f t="shared" si="17"/>
        <v>0</v>
      </c>
      <c r="D364" s="5"/>
      <c r="E364" s="6">
        <f t="shared" si="15"/>
        <v>0</v>
      </c>
      <c r="F364" s="6">
        <f t="shared" si="16"/>
        <v>0</v>
      </c>
      <c r="G364" s="62"/>
      <c r="H364" s="62"/>
      <c r="I364" s="60"/>
      <c r="J364" s="60"/>
      <c r="K364" s="64"/>
      <c r="L364" s="64"/>
      <c r="M364" s="25"/>
      <c r="N364" s="25"/>
    </row>
    <row r="365" spans="1:14">
      <c r="A365" s="3" t="s">
        <v>688</v>
      </c>
      <c r="B365" s="4" t="s">
        <v>689</v>
      </c>
      <c r="C365" s="5">
        <f t="shared" si="17"/>
        <v>0</v>
      </c>
      <c r="D365" s="5"/>
      <c r="E365" s="6">
        <f t="shared" si="15"/>
        <v>0</v>
      </c>
      <c r="F365" s="6">
        <f t="shared" si="16"/>
        <v>0</v>
      </c>
      <c r="G365" s="62"/>
      <c r="H365" s="62"/>
      <c r="I365" s="60"/>
      <c r="J365" s="60"/>
      <c r="K365" s="64"/>
      <c r="L365" s="64"/>
      <c r="M365" s="25"/>
      <c r="N365" s="25"/>
    </row>
    <row r="366" spans="1:14">
      <c r="A366" s="3" t="s">
        <v>690</v>
      </c>
      <c r="B366" s="4" t="s">
        <v>691</v>
      </c>
      <c r="C366" s="5">
        <f t="shared" si="17"/>
        <v>0</v>
      </c>
      <c r="D366" s="5"/>
      <c r="E366" s="6">
        <f t="shared" si="15"/>
        <v>0</v>
      </c>
      <c r="F366" s="6">
        <f t="shared" si="16"/>
        <v>0</v>
      </c>
      <c r="G366" s="62"/>
      <c r="H366" s="62"/>
      <c r="I366" s="60"/>
      <c r="J366" s="60"/>
      <c r="K366" s="64"/>
      <c r="L366" s="64"/>
      <c r="M366" s="25"/>
      <c r="N366" s="25"/>
    </row>
    <row r="367" spans="1:14">
      <c r="A367" s="3" t="s">
        <v>692</v>
      </c>
      <c r="B367" s="4" t="s">
        <v>693</v>
      </c>
      <c r="C367" s="5">
        <f t="shared" si="17"/>
        <v>0</v>
      </c>
      <c r="D367" s="5"/>
      <c r="E367" s="6">
        <f t="shared" si="15"/>
        <v>0</v>
      </c>
      <c r="F367" s="6">
        <f t="shared" si="16"/>
        <v>0</v>
      </c>
      <c r="G367" s="62"/>
      <c r="H367" s="62"/>
      <c r="I367" s="60"/>
      <c r="J367" s="60"/>
      <c r="K367" s="64"/>
      <c r="L367" s="64"/>
      <c r="M367" s="25"/>
      <c r="N367" s="25"/>
    </row>
    <row r="368" spans="1:14">
      <c r="A368" s="3" t="s">
        <v>694</v>
      </c>
      <c r="B368" s="4" t="s">
        <v>695</v>
      </c>
      <c r="C368" s="5">
        <f t="shared" si="17"/>
        <v>0</v>
      </c>
      <c r="D368" s="5"/>
      <c r="E368" s="6">
        <f t="shared" si="15"/>
        <v>0</v>
      </c>
      <c r="F368" s="6">
        <f t="shared" si="16"/>
        <v>0</v>
      </c>
      <c r="G368" s="62"/>
      <c r="H368" s="62"/>
      <c r="I368" s="60"/>
      <c r="J368" s="60"/>
      <c r="K368" s="64"/>
      <c r="L368" s="64"/>
      <c r="M368" s="25"/>
      <c r="N368" s="25"/>
    </row>
    <row r="369" spans="1:14">
      <c r="A369" s="3" t="s">
        <v>696</v>
      </c>
      <c r="B369" s="4" t="s">
        <v>697</v>
      </c>
      <c r="C369" s="5">
        <f t="shared" si="17"/>
        <v>0</v>
      </c>
      <c r="D369" s="5"/>
      <c r="E369" s="6">
        <f t="shared" si="15"/>
        <v>0</v>
      </c>
      <c r="F369" s="6">
        <f t="shared" si="16"/>
        <v>0</v>
      </c>
      <c r="G369" s="62"/>
      <c r="H369" s="62"/>
      <c r="I369" s="60"/>
      <c r="J369" s="60"/>
      <c r="K369" s="64"/>
      <c r="L369" s="64"/>
      <c r="M369" s="25"/>
      <c r="N369" s="25"/>
    </row>
    <row r="370" spans="1:14">
      <c r="A370" s="3" t="s">
        <v>698</v>
      </c>
      <c r="B370" s="4" t="s">
        <v>699</v>
      </c>
      <c r="C370" s="5">
        <f t="shared" si="17"/>
        <v>0</v>
      </c>
      <c r="D370" s="5"/>
      <c r="E370" s="6">
        <f t="shared" si="15"/>
        <v>0</v>
      </c>
      <c r="F370" s="6">
        <f t="shared" si="16"/>
        <v>0</v>
      </c>
      <c r="G370" s="62"/>
      <c r="H370" s="62"/>
      <c r="I370" s="60"/>
      <c r="J370" s="60"/>
      <c r="K370" s="64"/>
      <c r="L370" s="64"/>
      <c r="M370" s="25"/>
      <c r="N370" s="25"/>
    </row>
    <row r="371" spans="1:14">
      <c r="A371" s="3" t="s">
        <v>700</v>
      </c>
      <c r="B371" s="4" t="s">
        <v>701</v>
      </c>
      <c r="C371" s="5">
        <f t="shared" si="17"/>
        <v>0</v>
      </c>
      <c r="D371" s="5"/>
      <c r="E371" s="6">
        <f t="shared" si="15"/>
        <v>0</v>
      </c>
      <c r="F371" s="6">
        <f t="shared" si="16"/>
        <v>0</v>
      </c>
      <c r="G371" s="62"/>
      <c r="H371" s="62"/>
      <c r="I371" s="60"/>
      <c r="J371" s="60"/>
      <c r="K371" s="64"/>
      <c r="L371" s="64"/>
      <c r="M371" s="25"/>
      <c r="N371" s="25"/>
    </row>
    <row r="372" spans="1:14">
      <c r="A372" s="3" t="s">
        <v>702</v>
      </c>
      <c r="B372" s="4" t="s">
        <v>703</v>
      </c>
      <c r="C372" s="5">
        <f t="shared" si="17"/>
        <v>0</v>
      </c>
      <c r="D372" s="5"/>
      <c r="E372" s="6">
        <f t="shared" si="15"/>
        <v>0</v>
      </c>
      <c r="F372" s="6">
        <f t="shared" si="16"/>
        <v>0</v>
      </c>
      <c r="G372" s="62"/>
      <c r="H372" s="62"/>
      <c r="I372" s="60"/>
      <c r="J372" s="60"/>
      <c r="K372" s="64"/>
      <c r="L372" s="64"/>
      <c r="M372" s="25"/>
      <c r="N372" s="25"/>
    </row>
    <row r="373" spans="1:14">
      <c r="A373" s="3" t="s">
        <v>704</v>
      </c>
      <c r="B373" s="4" t="s">
        <v>705</v>
      </c>
      <c r="C373" s="5">
        <f t="shared" si="17"/>
        <v>0</v>
      </c>
      <c r="D373" s="5"/>
      <c r="E373" s="6">
        <f t="shared" si="15"/>
        <v>0</v>
      </c>
      <c r="F373" s="6">
        <f t="shared" si="16"/>
        <v>0</v>
      </c>
      <c r="G373" s="62"/>
      <c r="H373" s="62"/>
      <c r="I373" s="60"/>
      <c r="J373" s="60"/>
      <c r="K373" s="64"/>
      <c r="L373" s="64"/>
      <c r="M373" s="25"/>
      <c r="N373" s="25"/>
    </row>
    <row r="374" spans="1:14">
      <c r="A374" s="3" t="s">
        <v>706</v>
      </c>
      <c r="B374" s="4" t="s">
        <v>707</v>
      </c>
      <c r="C374" s="5">
        <f t="shared" si="17"/>
        <v>0</v>
      </c>
      <c r="D374" s="5"/>
      <c r="E374" s="6">
        <f t="shared" si="15"/>
        <v>0</v>
      </c>
      <c r="F374" s="6">
        <f t="shared" si="16"/>
        <v>0</v>
      </c>
      <c r="G374" s="62"/>
      <c r="H374" s="62"/>
      <c r="I374" s="60"/>
      <c r="J374" s="60"/>
      <c r="K374" s="64"/>
      <c r="L374" s="64"/>
      <c r="M374" s="25"/>
      <c r="N374" s="25"/>
    </row>
    <row r="375" spans="1:14">
      <c r="A375" s="3" t="s">
        <v>708</v>
      </c>
      <c r="B375" s="4" t="s">
        <v>709</v>
      </c>
      <c r="C375" s="5">
        <f t="shared" si="17"/>
        <v>0</v>
      </c>
      <c r="D375" s="5"/>
      <c r="E375" s="6">
        <f t="shared" si="15"/>
        <v>0</v>
      </c>
      <c r="F375" s="6">
        <f t="shared" si="16"/>
        <v>0</v>
      </c>
      <c r="G375" s="62"/>
      <c r="H375" s="62"/>
      <c r="I375" s="60"/>
      <c r="J375" s="60"/>
      <c r="K375" s="64"/>
      <c r="L375" s="64"/>
      <c r="M375" s="25"/>
      <c r="N375" s="25"/>
    </row>
    <row r="376" spans="1:14">
      <c r="A376" s="3" t="s">
        <v>710</v>
      </c>
      <c r="B376" s="4" t="s">
        <v>711</v>
      </c>
      <c r="C376" s="5">
        <f t="shared" si="17"/>
        <v>0</v>
      </c>
      <c r="D376" s="5"/>
      <c r="E376" s="6">
        <f t="shared" si="15"/>
        <v>0</v>
      </c>
      <c r="F376" s="6">
        <f t="shared" si="16"/>
        <v>0</v>
      </c>
      <c r="G376" s="62"/>
      <c r="H376" s="62"/>
      <c r="I376" s="60"/>
      <c r="J376" s="60"/>
      <c r="K376" s="64"/>
      <c r="L376" s="64"/>
      <c r="M376" s="25"/>
      <c r="N376" s="25"/>
    </row>
    <row r="377" spans="1:14">
      <c r="A377" s="3" t="s">
        <v>712</v>
      </c>
      <c r="B377" s="4" t="s">
        <v>713</v>
      </c>
      <c r="C377" s="5">
        <f t="shared" si="17"/>
        <v>0</v>
      </c>
      <c r="D377" s="5"/>
      <c r="E377" s="6">
        <f t="shared" si="15"/>
        <v>0</v>
      </c>
      <c r="F377" s="6">
        <f t="shared" si="16"/>
        <v>0</v>
      </c>
      <c r="G377" s="62"/>
      <c r="H377" s="62"/>
      <c r="I377" s="60"/>
      <c r="J377" s="60"/>
      <c r="K377" s="64"/>
      <c r="L377" s="64"/>
      <c r="M377" s="25"/>
      <c r="N377" s="25"/>
    </row>
    <row r="378" spans="1:14">
      <c r="A378" s="3" t="s">
        <v>714</v>
      </c>
      <c r="B378" s="4" t="s">
        <v>715</v>
      </c>
      <c r="C378" s="5">
        <f t="shared" si="17"/>
        <v>0</v>
      </c>
      <c r="D378" s="5"/>
      <c r="E378" s="6">
        <f t="shared" si="15"/>
        <v>0</v>
      </c>
      <c r="F378" s="6">
        <f t="shared" si="16"/>
        <v>0</v>
      </c>
      <c r="G378" s="62"/>
      <c r="H378" s="62"/>
      <c r="I378" s="60"/>
      <c r="J378" s="60"/>
      <c r="K378" s="64"/>
      <c r="L378" s="64"/>
      <c r="M378" s="25"/>
      <c r="N378" s="25"/>
    </row>
    <row r="379" spans="1:14">
      <c r="A379" s="3" t="s">
        <v>716</v>
      </c>
      <c r="B379" s="4" t="s">
        <v>717</v>
      </c>
      <c r="C379" s="5">
        <f t="shared" si="17"/>
        <v>0</v>
      </c>
      <c r="D379" s="5"/>
      <c r="E379" s="6">
        <f t="shared" si="15"/>
        <v>0</v>
      </c>
      <c r="F379" s="6">
        <f t="shared" si="16"/>
        <v>0</v>
      </c>
      <c r="G379" s="62"/>
      <c r="H379" s="62"/>
      <c r="I379" s="60"/>
      <c r="J379" s="60"/>
      <c r="K379" s="64"/>
      <c r="L379" s="64"/>
      <c r="M379" s="25"/>
      <c r="N379" s="25"/>
    </row>
    <row r="380" spans="1:14">
      <c r="A380" s="3" t="s">
        <v>718</v>
      </c>
      <c r="B380" s="4" t="s">
        <v>719</v>
      </c>
      <c r="C380" s="5">
        <f t="shared" si="17"/>
        <v>0</v>
      </c>
      <c r="D380" s="5"/>
      <c r="E380" s="6">
        <f t="shared" si="15"/>
        <v>0</v>
      </c>
      <c r="F380" s="6">
        <f t="shared" si="16"/>
        <v>0</v>
      </c>
      <c r="G380" s="62"/>
      <c r="H380" s="62"/>
      <c r="I380" s="60"/>
      <c r="J380" s="60"/>
      <c r="K380" s="64"/>
      <c r="L380" s="64"/>
      <c r="M380" s="25"/>
      <c r="N380" s="25"/>
    </row>
    <row r="381" spans="1:14">
      <c r="A381" s="3" t="s">
        <v>720</v>
      </c>
      <c r="B381" s="4" t="s">
        <v>721</v>
      </c>
      <c r="C381" s="5">
        <f t="shared" si="17"/>
        <v>0</v>
      </c>
      <c r="D381" s="5"/>
      <c r="E381" s="6">
        <f t="shared" si="15"/>
        <v>0</v>
      </c>
      <c r="F381" s="6">
        <f t="shared" si="16"/>
        <v>0</v>
      </c>
      <c r="G381" s="62"/>
      <c r="H381" s="62"/>
      <c r="I381" s="60"/>
      <c r="J381" s="60"/>
      <c r="K381" s="64"/>
      <c r="L381" s="64"/>
      <c r="M381" s="25"/>
      <c r="N381" s="25"/>
    </row>
    <row r="382" spans="1:14">
      <c r="A382" s="3" t="s">
        <v>722</v>
      </c>
      <c r="B382" s="4" t="s">
        <v>723</v>
      </c>
      <c r="C382" s="5">
        <f t="shared" si="17"/>
        <v>0</v>
      </c>
      <c r="D382" s="5"/>
      <c r="E382" s="6">
        <f t="shared" si="15"/>
        <v>0</v>
      </c>
      <c r="F382" s="6">
        <f t="shared" si="16"/>
        <v>0</v>
      </c>
      <c r="G382" s="62"/>
      <c r="H382" s="62"/>
      <c r="I382" s="60"/>
      <c r="J382" s="60"/>
      <c r="K382" s="64"/>
      <c r="L382" s="64"/>
      <c r="M382" s="25"/>
      <c r="N382" s="25"/>
    </row>
    <row r="383" spans="1:14">
      <c r="A383" s="3" t="s">
        <v>724</v>
      </c>
      <c r="B383" s="4" t="s">
        <v>725</v>
      </c>
      <c r="C383" s="5">
        <f t="shared" si="17"/>
        <v>0</v>
      </c>
      <c r="D383" s="5"/>
      <c r="E383" s="6">
        <f t="shared" si="15"/>
        <v>0</v>
      </c>
      <c r="F383" s="6">
        <f t="shared" si="16"/>
        <v>0</v>
      </c>
      <c r="G383" s="62"/>
      <c r="H383" s="62"/>
      <c r="I383" s="60"/>
      <c r="J383" s="60"/>
      <c r="K383" s="64"/>
      <c r="L383" s="64"/>
      <c r="M383" s="25"/>
      <c r="N383" s="25"/>
    </row>
    <row r="384" spans="1:14">
      <c r="A384" s="3" t="s">
        <v>726</v>
      </c>
      <c r="B384" s="4" t="s">
        <v>727</v>
      </c>
      <c r="C384" s="5">
        <f t="shared" si="17"/>
        <v>0</v>
      </c>
      <c r="D384" s="5"/>
      <c r="E384" s="6">
        <f t="shared" si="15"/>
        <v>0</v>
      </c>
      <c r="F384" s="6">
        <f t="shared" si="16"/>
        <v>0</v>
      </c>
      <c r="G384" s="62"/>
      <c r="H384" s="62"/>
      <c r="I384" s="60"/>
      <c r="J384" s="60"/>
      <c r="K384" s="64"/>
      <c r="L384" s="64"/>
      <c r="M384" s="25"/>
      <c r="N384" s="25"/>
    </row>
    <row r="385" spans="1:14">
      <c r="A385" s="3" t="s">
        <v>728</v>
      </c>
      <c r="B385" s="4" t="s">
        <v>729</v>
      </c>
      <c r="C385" s="5">
        <f t="shared" si="17"/>
        <v>0</v>
      </c>
      <c r="D385" s="5"/>
      <c r="E385" s="6">
        <f t="shared" si="15"/>
        <v>0</v>
      </c>
      <c r="F385" s="6">
        <f t="shared" si="16"/>
        <v>0</v>
      </c>
      <c r="G385" s="62"/>
      <c r="H385" s="62"/>
      <c r="I385" s="60"/>
      <c r="J385" s="60"/>
      <c r="K385" s="64"/>
      <c r="L385" s="64"/>
      <c r="M385" s="25"/>
      <c r="N385" s="25"/>
    </row>
    <row r="386" spans="1:14">
      <c r="A386" s="3" t="s">
        <v>730</v>
      </c>
      <c r="B386" s="4" t="s">
        <v>731</v>
      </c>
      <c r="C386" s="5">
        <f t="shared" si="17"/>
        <v>0</v>
      </c>
      <c r="D386" s="5"/>
      <c r="E386" s="6">
        <f t="shared" si="15"/>
        <v>0</v>
      </c>
      <c r="F386" s="6">
        <f t="shared" si="16"/>
        <v>0</v>
      </c>
      <c r="G386" s="62"/>
      <c r="H386" s="62"/>
      <c r="I386" s="60"/>
      <c r="J386" s="60"/>
      <c r="K386" s="64"/>
      <c r="L386" s="64"/>
      <c r="M386" s="25"/>
      <c r="N386" s="25"/>
    </row>
    <row r="387" spans="1:14">
      <c r="A387" s="3" t="s">
        <v>732</v>
      </c>
      <c r="B387" s="4" t="s">
        <v>733</v>
      </c>
      <c r="C387" s="5">
        <f t="shared" si="17"/>
        <v>0</v>
      </c>
      <c r="D387" s="5"/>
      <c r="E387" s="6">
        <f t="shared" si="15"/>
        <v>0</v>
      </c>
      <c r="F387" s="6">
        <f t="shared" si="16"/>
        <v>0</v>
      </c>
      <c r="G387" s="62"/>
      <c r="H387" s="62"/>
      <c r="I387" s="60"/>
      <c r="J387" s="60"/>
      <c r="K387" s="64"/>
      <c r="L387" s="64"/>
      <c r="M387" s="25"/>
      <c r="N387" s="25"/>
    </row>
    <row r="388" spans="1:14">
      <c r="A388" s="3" t="s">
        <v>734</v>
      </c>
      <c r="B388" s="4" t="s">
        <v>735</v>
      </c>
      <c r="C388" s="5">
        <f t="shared" si="17"/>
        <v>0</v>
      </c>
      <c r="D388" s="5"/>
      <c r="E388" s="6">
        <f t="shared" si="15"/>
        <v>0</v>
      </c>
      <c r="F388" s="6">
        <f t="shared" si="16"/>
        <v>0</v>
      </c>
      <c r="G388" s="62"/>
      <c r="H388" s="62"/>
      <c r="I388" s="60"/>
      <c r="J388" s="60"/>
      <c r="K388" s="64"/>
      <c r="L388" s="64"/>
      <c r="M388" s="25"/>
      <c r="N388" s="25"/>
    </row>
    <row r="389" spans="1:14">
      <c r="A389" s="3" t="s">
        <v>736</v>
      </c>
      <c r="B389" s="4" t="s">
        <v>737</v>
      </c>
      <c r="C389" s="5">
        <f t="shared" si="17"/>
        <v>0</v>
      </c>
      <c r="D389" s="5"/>
      <c r="E389" s="6">
        <f t="shared" si="15"/>
        <v>0</v>
      </c>
      <c r="F389" s="6">
        <f t="shared" si="16"/>
        <v>0</v>
      </c>
      <c r="G389" s="62"/>
      <c r="H389" s="62"/>
      <c r="I389" s="60"/>
      <c r="J389" s="60"/>
      <c r="K389" s="64"/>
      <c r="L389" s="64"/>
      <c r="M389" s="25"/>
      <c r="N389" s="25"/>
    </row>
    <row r="390" spans="1:14">
      <c r="A390" s="3" t="s">
        <v>738</v>
      </c>
      <c r="B390" s="4" t="s">
        <v>739</v>
      </c>
      <c r="C390" s="5">
        <f t="shared" si="17"/>
        <v>0</v>
      </c>
      <c r="D390" s="5"/>
      <c r="E390" s="6">
        <f t="shared" si="15"/>
        <v>0</v>
      </c>
      <c r="F390" s="6">
        <f t="shared" si="16"/>
        <v>0</v>
      </c>
      <c r="G390" s="62"/>
      <c r="H390" s="62"/>
      <c r="I390" s="60"/>
      <c r="J390" s="60"/>
      <c r="K390" s="64"/>
      <c r="L390" s="64"/>
      <c r="M390" s="25"/>
      <c r="N390" s="25"/>
    </row>
    <row r="391" spans="1:14">
      <c r="A391" s="3" t="s">
        <v>740</v>
      </c>
      <c r="B391" s="4" t="s">
        <v>741</v>
      </c>
      <c r="C391" s="5">
        <f t="shared" si="17"/>
        <v>0</v>
      </c>
      <c r="D391" s="5"/>
      <c r="E391" s="6">
        <f t="shared" si="15"/>
        <v>0</v>
      </c>
      <c r="F391" s="6">
        <f t="shared" si="16"/>
        <v>0</v>
      </c>
      <c r="G391" s="62"/>
      <c r="H391" s="62"/>
      <c r="I391" s="60"/>
      <c r="J391" s="60"/>
      <c r="K391" s="64"/>
      <c r="L391" s="64"/>
      <c r="M391" s="25"/>
      <c r="N391" s="25"/>
    </row>
    <row r="392" spans="1:14">
      <c r="A392" s="3" t="s">
        <v>742</v>
      </c>
      <c r="B392" s="4" t="s">
        <v>743</v>
      </c>
      <c r="C392" s="5">
        <f t="shared" si="17"/>
        <v>0</v>
      </c>
      <c r="D392" s="5"/>
      <c r="E392" s="6">
        <f t="shared" si="15"/>
        <v>0</v>
      </c>
      <c r="F392" s="6">
        <f t="shared" si="16"/>
        <v>0</v>
      </c>
      <c r="G392" s="62"/>
      <c r="H392" s="62"/>
      <c r="I392" s="60"/>
      <c r="J392" s="60"/>
      <c r="K392" s="64"/>
      <c r="L392" s="64"/>
      <c r="M392" s="25"/>
      <c r="N392" s="25"/>
    </row>
    <row r="393" spans="1:14">
      <c r="A393" s="3" t="s">
        <v>744</v>
      </c>
      <c r="B393" s="4" t="s">
        <v>745</v>
      </c>
      <c r="C393" s="5">
        <f t="shared" si="17"/>
        <v>0</v>
      </c>
      <c r="D393" s="5"/>
      <c r="E393" s="6">
        <f t="shared" si="15"/>
        <v>0</v>
      </c>
      <c r="F393" s="6">
        <f t="shared" si="16"/>
        <v>0</v>
      </c>
      <c r="G393" s="62"/>
      <c r="H393" s="62"/>
      <c r="I393" s="60"/>
      <c r="J393" s="60"/>
      <c r="K393" s="64"/>
      <c r="L393" s="64"/>
      <c r="M393" s="25"/>
      <c r="N393" s="25"/>
    </row>
    <row r="394" spans="1:14">
      <c r="A394" s="3" t="s">
        <v>746</v>
      </c>
      <c r="B394" s="4" t="s">
        <v>747</v>
      </c>
      <c r="C394" s="5">
        <f t="shared" si="17"/>
        <v>0</v>
      </c>
      <c r="D394" s="5"/>
      <c r="E394" s="6">
        <f t="shared" si="15"/>
        <v>0</v>
      </c>
      <c r="F394" s="6">
        <f t="shared" si="16"/>
        <v>0</v>
      </c>
      <c r="G394" s="62"/>
      <c r="H394" s="62"/>
      <c r="I394" s="60"/>
      <c r="J394" s="60"/>
      <c r="K394" s="64"/>
      <c r="L394" s="64"/>
      <c r="M394" s="25"/>
      <c r="N394" s="25"/>
    </row>
    <row r="395" spans="1:14">
      <c r="A395" s="3" t="s">
        <v>748</v>
      </c>
      <c r="B395" s="4" t="s">
        <v>749</v>
      </c>
      <c r="C395" s="5">
        <f t="shared" si="17"/>
        <v>0</v>
      </c>
      <c r="D395" s="5"/>
      <c r="E395" s="6">
        <f t="shared" si="15"/>
        <v>0</v>
      </c>
      <c r="F395" s="6">
        <f t="shared" si="16"/>
        <v>0</v>
      </c>
      <c r="G395" s="62"/>
      <c r="H395" s="62"/>
      <c r="I395" s="60"/>
      <c r="J395" s="60"/>
      <c r="K395" s="64"/>
      <c r="L395" s="64"/>
      <c r="M395" s="25"/>
      <c r="N395" s="25"/>
    </row>
    <row r="396" spans="1:14">
      <c r="A396" s="3" t="s">
        <v>750</v>
      </c>
      <c r="B396" s="4" t="s">
        <v>751</v>
      </c>
      <c r="C396" s="5">
        <f t="shared" si="17"/>
        <v>0</v>
      </c>
      <c r="D396" s="5"/>
      <c r="E396" s="6">
        <f t="shared" si="15"/>
        <v>0</v>
      </c>
      <c r="F396" s="6">
        <f t="shared" si="16"/>
        <v>0</v>
      </c>
      <c r="G396" s="62"/>
      <c r="H396" s="62"/>
      <c r="I396" s="60"/>
      <c r="J396" s="60"/>
      <c r="K396" s="64"/>
      <c r="L396" s="64"/>
      <c r="M396" s="25"/>
      <c r="N396" s="25"/>
    </row>
    <row r="397" spans="1:14">
      <c r="A397" s="3" t="s">
        <v>752</v>
      </c>
      <c r="B397" s="4" t="s">
        <v>753</v>
      </c>
      <c r="C397" s="5">
        <f t="shared" si="17"/>
        <v>0</v>
      </c>
      <c r="D397" s="5"/>
      <c r="E397" s="6">
        <f t="shared" si="15"/>
        <v>0</v>
      </c>
      <c r="F397" s="6">
        <f t="shared" si="16"/>
        <v>0</v>
      </c>
      <c r="G397" s="62"/>
      <c r="H397" s="62"/>
      <c r="I397" s="60"/>
      <c r="J397" s="60"/>
      <c r="K397" s="64"/>
      <c r="L397" s="64"/>
      <c r="M397" s="25"/>
      <c r="N397" s="25"/>
    </row>
    <row r="398" spans="1:14">
      <c r="A398" s="3" t="s">
        <v>754</v>
      </c>
      <c r="B398" s="4" t="s">
        <v>755</v>
      </c>
      <c r="C398" s="5">
        <f t="shared" si="17"/>
        <v>0</v>
      </c>
      <c r="D398" s="5"/>
      <c r="E398" s="6">
        <f t="shared" ref="E398:E461" si="18">SUM(G398,I398,K398,M398)</f>
        <v>0</v>
      </c>
      <c r="F398" s="6">
        <f t="shared" ref="F398:F461" si="19">SUM(H398,J398,L398,N398)</f>
        <v>0</v>
      </c>
      <c r="G398" s="62"/>
      <c r="H398" s="62"/>
      <c r="I398" s="60"/>
      <c r="J398" s="60"/>
      <c r="K398" s="64"/>
      <c r="L398" s="64"/>
      <c r="M398" s="25"/>
      <c r="N398" s="25"/>
    </row>
    <row r="399" spans="1:14">
      <c r="A399" s="3" t="s">
        <v>756</v>
      </c>
      <c r="B399" s="4" t="s">
        <v>757</v>
      </c>
      <c r="C399" s="5">
        <f t="shared" si="17"/>
        <v>0</v>
      </c>
      <c r="D399" s="5"/>
      <c r="E399" s="6">
        <f t="shared" si="18"/>
        <v>0</v>
      </c>
      <c r="F399" s="6">
        <f t="shared" si="19"/>
        <v>0</v>
      </c>
      <c r="G399" s="62"/>
      <c r="H399" s="62"/>
      <c r="I399" s="60"/>
      <c r="J399" s="60"/>
      <c r="K399" s="64"/>
      <c r="L399" s="64"/>
      <c r="M399" s="25"/>
      <c r="N399" s="25"/>
    </row>
    <row r="400" spans="1:14">
      <c r="A400" s="3" t="s">
        <v>758</v>
      </c>
      <c r="B400" s="4" t="s">
        <v>759</v>
      </c>
      <c r="C400" s="5">
        <f t="shared" si="17"/>
        <v>0</v>
      </c>
      <c r="D400" s="5"/>
      <c r="E400" s="6">
        <f t="shared" si="18"/>
        <v>0</v>
      </c>
      <c r="F400" s="6">
        <f t="shared" si="19"/>
        <v>0</v>
      </c>
      <c r="G400" s="62"/>
      <c r="H400" s="62"/>
      <c r="I400" s="60"/>
      <c r="J400" s="60"/>
      <c r="K400" s="64"/>
      <c r="L400" s="64"/>
      <c r="M400" s="25"/>
      <c r="N400" s="25"/>
    </row>
    <row r="401" spans="1:14">
      <c r="A401" s="3" t="s">
        <v>760</v>
      </c>
      <c r="B401" s="4" t="s">
        <v>761</v>
      </c>
      <c r="C401" s="5">
        <f t="shared" si="17"/>
        <v>0</v>
      </c>
      <c r="D401" s="5"/>
      <c r="E401" s="6">
        <f t="shared" si="18"/>
        <v>0</v>
      </c>
      <c r="F401" s="6">
        <f t="shared" si="19"/>
        <v>0</v>
      </c>
      <c r="G401" s="62"/>
      <c r="H401" s="62"/>
      <c r="I401" s="60"/>
      <c r="J401" s="60"/>
      <c r="K401" s="64"/>
      <c r="L401" s="64"/>
      <c r="M401" s="25"/>
      <c r="N401" s="25"/>
    </row>
    <row r="402" spans="1:14">
      <c r="A402" s="3" t="s">
        <v>762</v>
      </c>
      <c r="B402" s="4" t="s">
        <v>763</v>
      </c>
      <c r="C402" s="5">
        <f t="shared" si="17"/>
        <v>0</v>
      </c>
      <c r="D402" s="5"/>
      <c r="E402" s="6">
        <f t="shared" si="18"/>
        <v>0</v>
      </c>
      <c r="F402" s="6">
        <f t="shared" si="19"/>
        <v>0</v>
      </c>
      <c r="G402" s="62"/>
      <c r="H402" s="62"/>
      <c r="I402" s="60"/>
      <c r="J402" s="60"/>
      <c r="K402" s="64"/>
      <c r="L402" s="64"/>
      <c r="M402" s="25"/>
      <c r="N402" s="25"/>
    </row>
    <row r="403" spans="1:14">
      <c r="A403" s="3" t="s">
        <v>764</v>
      </c>
      <c r="B403" s="4" t="s">
        <v>765</v>
      </c>
      <c r="C403" s="5">
        <f t="shared" si="17"/>
        <v>0</v>
      </c>
      <c r="D403" s="5"/>
      <c r="E403" s="6">
        <f t="shared" si="18"/>
        <v>0</v>
      </c>
      <c r="F403" s="6">
        <f t="shared" si="19"/>
        <v>0</v>
      </c>
      <c r="G403" s="62"/>
      <c r="H403" s="62"/>
      <c r="I403" s="60"/>
      <c r="J403" s="60"/>
      <c r="K403" s="64"/>
      <c r="L403" s="64"/>
      <c r="M403" s="25"/>
      <c r="N403" s="25"/>
    </row>
    <row r="404" spans="1:14">
      <c r="A404" s="3" t="s">
        <v>766</v>
      </c>
      <c r="B404" s="4" t="s">
        <v>767</v>
      </c>
      <c r="C404" s="5">
        <f t="shared" si="17"/>
        <v>0</v>
      </c>
      <c r="D404" s="5"/>
      <c r="E404" s="6">
        <f t="shared" si="18"/>
        <v>0</v>
      </c>
      <c r="F404" s="6">
        <f t="shared" si="19"/>
        <v>0</v>
      </c>
      <c r="G404" s="62"/>
      <c r="H404" s="62"/>
      <c r="I404" s="60"/>
      <c r="J404" s="60"/>
      <c r="K404" s="64"/>
      <c r="L404" s="64"/>
      <c r="M404" s="25"/>
      <c r="N404" s="25"/>
    </row>
    <row r="405" spans="1:14">
      <c r="A405" s="3" t="s">
        <v>768</v>
      </c>
      <c r="B405" s="4" t="s">
        <v>769</v>
      </c>
      <c r="C405" s="5">
        <f t="shared" si="17"/>
        <v>0</v>
      </c>
      <c r="D405" s="5"/>
      <c r="E405" s="6">
        <f t="shared" si="18"/>
        <v>0</v>
      </c>
      <c r="F405" s="6">
        <f t="shared" si="19"/>
        <v>0</v>
      </c>
      <c r="G405" s="62"/>
      <c r="H405" s="62"/>
      <c r="I405" s="60"/>
      <c r="J405" s="60"/>
      <c r="K405" s="64"/>
      <c r="L405" s="64"/>
      <c r="M405" s="25"/>
      <c r="N405" s="25"/>
    </row>
    <row r="406" spans="1:14">
      <c r="A406" s="3" t="s">
        <v>770</v>
      </c>
      <c r="B406" s="4" t="s">
        <v>771</v>
      </c>
      <c r="C406" s="5">
        <f t="shared" si="17"/>
        <v>0</v>
      </c>
      <c r="D406" s="5"/>
      <c r="E406" s="6">
        <f t="shared" si="18"/>
        <v>0</v>
      </c>
      <c r="F406" s="6">
        <f t="shared" si="19"/>
        <v>0</v>
      </c>
      <c r="G406" s="62"/>
      <c r="H406" s="62"/>
      <c r="I406" s="60"/>
      <c r="J406" s="60"/>
      <c r="K406" s="64"/>
      <c r="L406" s="64"/>
      <c r="M406" s="25"/>
      <c r="N406" s="25"/>
    </row>
    <row r="407" spans="1:14">
      <c r="A407" s="3" t="s">
        <v>772</v>
      </c>
      <c r="B407" s="4" t="s">
        <v>773</v>
      </c>
      <c r="C407" s="5">
        <f t="shared" si="17"/>
        <v>0</v>
      </c>
      <c r="D407" s="5"/>
      <c r="E407" s="6">
        <f t="shared" si="18"/>
        <v>0</v>
      </c>
      <c r="F407" s="6">
        <f t="shared" si="19"/>
        <v>0</v>
      </c>
      <c r="G407" s="62"/>
      <c r="H407" s="62"/>
      <c r="I407" s="60"/>
      <c r="J407" s="60"/>
      <c r="K407" s="64"/>
      <c r="L407" s="64"/>
      <c r="M407" s="25"/>
      <c r="N407" s="25"/>
    </row>
    <row r="408" spans="1:14">
      <c r="A408" s="3" t="s">
        <v>774</v>
      </c>
      <c r="B408" s="4" t="s">
        <v>775</v>
      </c>
      <c r="C408" s="5">
        <f t="shared" si="17"/>
        <v>0</v>
      </c>
      <c r="D408" s="5"/>
      <c r="E408" s="6">
        <f t="shared" si="18"/>
        <v>0</v>
      </c>
      <c r="F408" s="6">
        <f t="shared" si="19"/>
        <v>0</v>
      </c>
      <c r="G408" s="62"/>
      <c r="H408" s="62"/>
      <c r="I408" s="60"/>
      <c r="J408" s="60"/>
      <c r="K408" s="64"/>
      <c r="L408" s="64"/>
      <c r="M408" s="25"/>
      <c r="N408" s="25"/>
    </row>
    <row r="409" spans="1:14">
      <c r="A409" s="3" t="s">
        <v>776</v>
      </c>
      <c r="B409" s="4" t="s">
        <v>777</v>
      </c>
      <c r="C409" s="5">
        <f t="shared" ref="C409:C461" si="20">E409-F409</f>
        <v>0</v>
      </c>
      <c r="D409" s="5"/>
      <c r="E409" s="6">
        <f t="shared" si="18"/>
        <v>0</v>
      </c>
      <c r="F409" s="6">
        <f t="shared" si="19"/>
        <v>0</v>
      </c>
      <c r="G409" s="62"/>
      <c r="H409" s="62"/>
      <c r="I409" s="60"/>
      <c r="J409" s="60"/>
      <c r="K409" s="64"/>
      <c r="L409" s="64"/>
      <c r="M409" s="25"/>
      <c r="N409" s="25"/>
    </row>
    <row r="410" spans="1:14">
      <c r="A410" s="3" t="s">
        <v>778</v>
      </c>
      <c r="B410" s="4" t="s">
        <v>779</v>
      </c>
      <c r="C410" s="5">
        <f t="shared" si="20"/>
        <v>0</v>
      </c>
      <c r="D410" s="5"/>
      <c r="E410" s="6">
        <f t="shared" si="18"/>
        <v>0</v>
      </c>
      <c r="F410" s="6">
        <f t="shared" si="19"/>
        <v>0</v>
      </c>
      <c r="G410" s="62"/>
      <c r="H410" s="62"/>
      <c r="I410" s="60"/>
      <c r="J410" s="60"/>
      <c r="K410" s="64"/>
      <c r="L410" s="64"/>
      <c r="M410" s="25"/>
      <c r="N410" s="25"/>
    </row>
    <row r="411" spans="1:14">
      <c r="A411" s="3" t="s">
        <v>780</v>
      </c>
      <c r="B411" s="4" t="s">
        <v>781</v>
      </c>
      <c r="C411" s="5">
        <f t="shared" si="20"/>
        <v>0</v>
      </c>
      <c r="D411" s="5"/>
      <c r="E411" s="6">
        <f t="shared" si="18"/>
        <v>0</v>
      </c>
      <c r="F411" s="6">
        <f t="shared" si="19"/>
        <v>0</v>
      </c>
      <c r="G411" s="62"/>
      <c r="H411" s="62"/>
      <c r="I411" s="60"/>
      <c r="J411" s="60"/>
      <c r="K411" s="64"/>
      <c r="L411" s="64"/>
      <c r="M411" s="25"/>
      <c r="N411" s="25"/>
    </row>
    <row r="412" spans="1:14">
      <c r="A412" s="3" t="s">
        <v>782</v>
      </c>
      <c r="B412" s="4" t="s">
        <v>783</v>
      </c>
      <c r="C412" s="5">
        <f t="shared" si="20"/>
        <v>0</v>
      </c>
      <c r="D412" s="5"/>
      <c r="E412" s="6">
        <f t="shared" si="18"/>
        <v>0</v>
      </c>
      <c r="F412" s="6">
        <f t="shared" si="19"/>
        <v>0</v>
      </c>
      <c r="G412" s="62"/>
      <c r="H412" s="62"/>
      <c r="I412" s="60"/>
      <c r="J412" s="60"/>
      <c r="K412" s="64"/>
      <c r="L412" s="64"/>
      <c r="M412" s="25"/>
      <c r="N412" s="25"/>
    </row>
    <row r="413" spans="1:14">
      <c r="A413" s="3" t="s">
        <v>784</v>
      </c>
      <c r="B413" s="4" t="s">
        <v>785</v>
      </c>
      <c r="C413" s="5">
        <f t="shared" si="20"/>
        <v>0</v>
      </c>
      <c r="D413" s="5"/>
      <c r="E413" s="6">
        <f t="shared" si="18"/>
        <v>0</v>
      </c>
      <c r="F413" s="6">
        <f t="shared" si="19"/>
        <v>0</v>
      </c>
      <c r="G413" s="62"/>
      <c r="H413" s="62"/>
      <c r="I413" s="60"/>
      <c r="J413" s="60"/>
      <c r="K413" s="64"/>
      <c r="L413" s="64"/>
      <c r="M413" s="25"/>
      <c r="N413" s="25"/>
    </row>
    <row r="414" spans="1:14">
      <c r="A414" s="3" t="s">
        <v>786</v>
      </c>
      <c r="B414" s="4" t="s">
        <v>787</v>
      </c>
      <c r="C414" s="5">
        <f t="shared" si="20"/>
        <v>0</v>
      </c>
      <c r="D414" s="5"/>
      <c r="E414" s="6">
        <f t="shared" si="18"/>
        <v>0</v>
      </c>
      <c r="F414" s="6">
        <f t="shared" si="19"/>
        <v>0</v>
      </c>
      <c r="G414" s="62"/>
      <c r="H414" s="62"/>
      <c r="I414" s="60"/>
      <c r="J414" s="60"/>
      <c r="K414" s="64"/>
      <c r="L414" s="64"/>
      <c r="M414" s="25"/>
      <c r="N414" s="25"/>
    </row>
    <row r="415" spans="1:14">
      <c r="A415" s="3" t="s">
        <v>788</v>
      </c>
      <c r="B415" s="4" t="s">
        <v>789</v>
      </c>
      <c r="C415" s="5">
        <f t="shared" si="20"/>
        <v>0</v>
      </c>
      <c r="D415" s="5"/>
      <c r="E415" s="6">
        <f t="shared" si="18"/>
        <v>0</v>
      </c>
      <c r="F415" s="6">
        <f t="shared" si="19"/>
        <v>0</v>
      </c>
      <c r="G415" s="62"/>
      <c r="H415" s="62"/>
      <c r="I415" s="60"/>
      <c r="J415" s="60"/>
      <c r="K415" s="64"/>
      <c r="L415" s="64"/>
      <c r="M415" s="25"/>
      <c r="N415" s="25"/>
    </row>
    <row r="416" spans="1:14">
      <c r="A416" s="3" t="s">
        <v>790</v>
      </c>
      <c r="B416" s="4" t="s">
        <v>791</v>
      </c>
      <c r="C416" s="5">
        <f t="shared" si="20"/>
        <v>0</v>
      </c>
      <c r="D416" s="5"/>
      <c r="E416" s="6">
        <f t="shared" si="18"/>
        <v>0</v>
      </c>
      <c r="F416" s="6">
        <f t="shared" si="19"/>
        <v>0</v>
      </c>
      <c r="G416" s="62"/>
      <c r="H416" s="62"/>
      <c r="I416" s="60"/>
      <c r="J416" s="60"/>
      <c r="K416" s="64"/>
      <c r="L416" s="64"/>
      <c r="M416" s="25"/>
      <c r="N416" s="25"/>
    </row>
    <row r="417" spans="1:14">
      <c r="A417" s="3" t="s">
        <v>792</v>
      </c>
      <c r="B417" s="4" t="s">
        <v>793</v>
      </c>
      <c r="C417" s="5">
        <f t="shared" si="20"/>
        <v>0</v>
      </c>
      <c r="D417" s="5"/>
      <c r="E417" s="6">
        <f t="shared" si="18"/>
        <v>0</v>
      </c>
      <c r="F417" s="6">
        <f t="shared" si="19"/>
        <v>0</v>
      </c>
      <c r="G417" s="62"/>
      <c r="H417" s="62"/>
      <c r="I417" s="60"/>
      <c r="J417" s="60"/>
      <c r="K417" s="64"/>
      <c r="L417" s="64"/>
      <c r="M417" s="25"/>
      <c r="N417" s="25"/>
    </row>
    <row r="418" spans="1:14">
      <c r="A418" s="3" t="s">
        <v>794</v>
      </c>
      <c r="B418" s="4" t="s">
        <v>795</v>
      </c>
      <c r="C418" s="5">
        <f t="shared" si="20"/>
        <v>0</v>
      </c>
      <c r="D418" s="5"/>
      <c r="E418" s="6">
        <f t="shared" si="18"/>
        <v>0</v>
      </c>
      <c r="F418" s="6">
        <f t="shared" si="19"/>
        <v>0</v>
      </c>
      <c r="G418" s="62"/>
      <c r="H418" s="62"/>
      <c r="I418" s="60"/>
      <c r="J418" s="60"/>
      <c r="K418" s="64"/>
      <c r="L418" s="64"/>
      <c r="M418" s="25"/>
      <c r="N418" s="25"/>
    </row>
    <row r="419" spans="1:14">
      <c r="A419" s="3" t="s">
        <v>796</v>
      </c>
      <c r="B419" s="4" t="s">
        <v>797</v>
      </c>
      <c r="C419" s="5">
        <f t="shared" si="20"/>
        <v>0</v>
      </c>
      <c r="D419" s="5"/>
      <c r="E419" s="6">
        <f t="shared" si="18"/>
        <v>0</v>
      </c>
      <c r="F419" s="6">
        <f t="shared" si="19"/>
        <v>0</v>
      </c>
      <c r="G419" s="62"/>
      <c r="H419" s="62"/>
      <c r="I419" s="60"/>
      <c r="J419" s="60"/>
      <c r="K419" s="64"/>
      <c r="L419" s="64"/>
      <c r="M419" s="25"/>
      <c r="N419" s="25"/>
    </row>
    <row r="420" spans="1:14">
      <c r="A420" s="3" t="s">
        <v>798</v>
      </c>
      <c r="B420" s="4" t="s">
        <v>799</v>
      </c>
      <c r="C420" s="5">
        <f t="shared" si="20"/>
        <v>0</v>
      </c>
      <c r="D420" s="5"/>
      <c r="E420" s="6">
        <f t="shared" si="18"/>
        <v>0</v>
      </c>
      <c r="F420" s="6">
        <f t="shared" si="19"/>
        <v>0</v>
      </c>
      <c r="G420" s="62"/>
      <c r="H420" s="62"/>
      <c r="I420" s="60"/>
      <c r="J420" s="60"/>
      <c r="K420" s="64"/>
      <c r="L420" s="64"/>
      <c r="M420" s="25"/>
      <c r="N420" s="25"/>
    </row>
    <row r="421" spans="1:14">
      <c r="A421" s="3" t="s">
        <v>800</v>
      </c>
      <c r="B421" s="4" t="s">
        <v>801</v>
      </c>
      <c r="C421" s="5">
        <f t="shared" si="20"/>
        <v>0</v>
      </c>
      <c r="D421" s="5"/>
      <c r="E421" s="6">
        <f t="shared" si="18"/>
        <v>0</v>
      </c>
      <c r="F421" s="6">
        <f t="shared" si="19"/>
        <v>0</v>
      </c>
      <c r="G421" s="62"/>
      <c r="H421" s="62"/>
      <c r="I421" s="60"/>
      <c r="J421" s="60"/>
      <c r="K421" s="64"/>
      <c r="L421" s="64"/>
      <c r="M421" s="25"/>
      <c r="N421" s="25"/>
    </row>
    <row r="422" spans="1:14">
      <c r="A422" s="3" t="s">
        <v>802</v>
      </c>
      <c r="B422" s="4" t="s">
        <v>803</v>
      </c>
      <c r="C422" s="5">
        <f t="shared" si="20"/>
        <v>0</v>
      </c>
      <c r="D422" s="5"/>
      <c r="E422" s="6">
        <f t="shared" si="18"/>
        <v>0</v>
      </c>
      <c r="F422" s="6">
        <f t="shared" si="19"/>
        <v>0</v>
      </c>
      <c r="G422" s="62"/>
      <c r="H422" s="62"/>
      <c r="I422" s="60"/>
      <c r="J422" s="60"/>
      <c r="K422" s="64"/>
      <c r="L422" s="64"/>
      <c r="M422" s="25"/>
      <c r="N422" s="25"/>
    </row>
    <row r="423" spans="1:14">
      <c r="A423" s="3" t="s">
        <v>804</v>
      </c>
      <c r="B423" s="4" t="s">
        <v>805</v>
      </c>
      <c r="C423" s="5">
        <f t="shared" si="20"/>
        <v>0</v>
      </c>
      <c r="D423" s="5"/>
      <c r="E423" s="6">
        <f t="shared" si="18"/>
        <v>0</v>
      </c>
      <c r="F423" s="6">
        <f t="shared" si="19"/>
        <v>0</v>
      </c>
      <c r="G423" s="62"/>
      <c r="H423" s="62"/>
      <c r="I423" s="60"/>
      <c r="J423" s="60"/>
      <c r="K423" s="64"/>
      <c r="L423" s="64"/>
      <c r="M423" s="25"/>
      <c r="N423" s="25"/>
    </row>
    <row r="424" spans="1:14">
      <c r="A424" s="3" t="s">
        <v>806</v>
      </c>
      <c r="B424" s="4" t="s">
        <v>807</v>
      </c>
      <c r="C424" s="5">
        <f t="shared" si="20"/>
        <v>0</v>
      </c>
      <c r="D424" s="5"/>
      <c r="E424" s="6">
        <f t="shared" si="18"/>
        <v>0</v>
      </c>
      <c r="F424" s="6">
        <f t="shared" si="19"/>
        <v>0</v>
      </c>
      <c r="G424" s="62"/>
      <c r="H424" s="62"/>
      <c r="I424" s="60"/>
      <c r="J424" s="60"/>
      <c r="K424" s="64"/>
      <c r="L424" s="64"/>
      <c r="M424" s="25"/>
      <c r="N424" s="25"/>
    </row>
    <row r="425" spans="1:14">
      <c r="A425" s="3" t="s">
        <v>808</v>
      </c>
      <c r="B425" s="4" t="s">
        <v>809</v>
      </c>
      <c r="C425" s="5">
        <f t="shared" si="20"/>
        <v>0</v>
      </c>
      <c r="D425" s="5"/>
      <c r="E425" s="6">
        <f t="shared" si="18"/>
        <v>0</v>
      </c>
      <c r="F425" s="6">
        <f t="shared" si="19"/>
        <v>0</v>
      </c>
      <c r="G425" s="62"/>
      <c r="H425" s="62"/>
      <c r="I425" s="60"/>
      <c r="J425" s="60"/>
      <c r="K425" s="64"/>
      <c r="L425" s="64"/>
      <c r="M425" s="25"/>
      <c r="N425" s="25"/>
    </row>
    <row r="426" spans="1:14">
      <c r="A426" s="3" t="s">
        <v>810</v>
      </c>
      <c r="B426" s="4" t="s">
        <v>811</v>
      </c>
      <c r="C426" s="5">
        <f t="shared" si="20"/>
        <v>0</v>
      </c>
      <c r="D426" s="5"/>
      <c r="E426" s="6">
        <f t="shared" si="18"/>
        <v>0</v>
      </c>
      <c r="F426" s="6">
        <f t="shared" si="19"/>
        <v>0</v>
      </c>
      <c r="G426" s="62"/>
      <c r="H426" s="62"/>
      <c r="I426" s="60"/>
      <c r="J426" s="60"/>
      <c r="K426" s="64"/>
      <c r="L426" s="64"/>
      <c r="M426" s="25"/>
      <c r="N426" s="25"/>
    </row>
    <row r="427" spans="1:14">
      <c r="A427" s="3" t="s">
        <v>812</v>
      </c>
      <c r="B427" s="4" t="s">
        <v>813</v>
      </c>
      <c r="C427" s="5">
        <f t="shared" si="20"/>
        <v>0</v>
      </c>
      <c r="D427" s="5"/>
      <c r="E427" s="6">
        <f t="shared" si="18"/>
        <v>0</v>
      </c>
      <c r="F427" s="6">
        <f t="shared" si="19"/>
        <v>0</v>
      </c>
      <c r="G427" s="62"/>
      <c r="H427" s="62"/>
      <c r="I427" s="60"/>
      <c r="J427" s="60"/>
      <c r="K427" s="64"/>
      <c r="L427" s="64"/>
      <c r="M427" s="25"/>
      <c r="N427" s="25"/>
    </row>
    <row r="428" spans="1:14">
      <c r="A428" s="3" t="s">
        <v>814</v>
      </c>
      <c r="B428" s="4" t="s">
        <v>815</v>
      </c>
      <c r="C428" s="5">
        <f t="shared" si="20"/>
        <v>0</v>
      </c>
      <c r="D428" s="5"/>
      <c r="E428" s="6">
        <f t="shared" si="18"/>
        <v>0</v>
      </c>
      <c r="F428" s="6">
        <f t="shared" si="19"/>
        <v>0</v>
      </c>
      <c r="G428" s="62"/>
      <c r="H428" s="62"/>
      <c r="I428" s="60"/>
      <c r="J428" s="60"/>
      <c r="K428" s="64"/>
      <c r="L428" s="64"/>
      <c r="M428" s="25"/>
      <c r="N428" s="25"/>
    </row>
    <row r="429" spans="1:14">
      <c r="A429" s="3" t="s">
        <v>816</v>
      </c>
      <c r="B429" s="4" t="s">
        <v>817</v>
      </c>
      <c r="C429" s="5">
        <f t="shared" si="20"/>
        <v>0</v>
      </c>
      <c r="D429" s="5"/>
      <c r="E429" s="6">
        <f t="shared" si="18"/>
        <v>0</v>
      </c>
      <c r="F429" s="6">
        <f t="shared" si="19"/>
        <v>0</v>
      </c>
      <c r="G429" s="62"/>
      <c r="H429" s="62"/>
      <c r="I429" s="60"/>
      <c r="J429" s="60"/>
      <c r="K429" s="64"/>
      <c r="L429" s="64"/>
      <c r="M429" s="25"/>
      <c r="N429" s="25"/>
    </row>
    <row r="430" spans="1:14">
      <c r="A430" s="3" t="s">
        <v>818</v>
      </c>
      <c r="B430" s="4" t="s">
        <v>819</v>
      </c>
      <c r="C430" s="5">
        <f t="shared" si="20"/>
        <v>0</v>
      </c>
      <c r="D430" s="5"/>
      <c r="E430" s="6">
        <f t="shared" si="18"/>
        <v>0</v>
      </c>
      <c r="F430" s="6">
        <f t="shared" si="19"/>
        <v>0</v>
      </c>
      <c r="G430" s="62"/>
      <c r="H430" s="62"/>
      <c r="I430" s="60"/>
      <c r="J430" s="60"/>
      <c r="K430" s="64"/>
      <c r="L430" s="64"/>
      <c r="M430" s="25"/>
      <c r="N430" s="25"/>
    </row>
    <row r="431" spans="1:14">
      <c r="A431" s="3" t="s">
        <v>820</v>
      </c>
      <c r="B431" s="4" t="s">
        <v>821</v>
      </c>
      <c r="C431" s="5">
        <f t="shared" si="20"/>
        <v>0</v>
      </c>
      <c r="D431" s="5"/>
      <c r="E431" s="6">
        <f t="shared" si="18"/>
        <v>0</v>
      </c>
      <c r="F431" s="6">
        <f t="shared" si="19"/>
        <v>0</v>
      </c>
      <c r="G431" s="62"/>
      <c r="H431" s="62"/>
      <c r="I431" s="60"/>
      <c r="J431" s="60"/>
      <c r="K431" s="64"/>
      <c r="L431" s="64"/>
      <c r="M431" s="25"/>
      <c r="N431" s="25"/>
    </row>
    <row r="432" spans="1:14">
      <c r="A432" s="3" t="s">
        <v>822</v>
      </c>
      <c r="B432" s="4" t="s">
        <v>823</v>
      </c>
      <c r="C432" s="5">
        <f t="shared" si="20"/>
        <v>0</v>
      </c>
      <c r="D432" s="5"/>
      <c r="E432" s="6">
        <f t="shared" si="18"/>
        <v>0</v>
      </c>
      <c r="F432" s="6">
        <f t="shared" si="19"/>
        <v>0</v>
      </c>
      <c r="G432" s="62"/>
      <c r="H432" s="62"/>
      <c r="I432" s="60"/>
      <c r="J432" s="60"/>
      <c r="K432" s="64"/>
      <c r="L432" s="64"/>
      <c r="M432" s="25"/>
      <c r="N432" s="25"/>
    </row>
    <row r="433" spans="1:14">
      <c r="A433" s="3" t="s">
        <v>824</v>
      </c>
      <c r="B433" s="4" t="s">
        <v>825</v>
      </c>
      <c r="C433" s="5">
        <f t="shared" si="20"/>
        <v>0</v>
      </c>
      <c r="D433" s="5"/>
      <c r="E433" s="6">
        <f t="shared" si="18"/>
        <v>0</v>
      </c>
      <c r="F433" s="6">
        <f t="shared" si="19"/>
        <v>0</v>
      </c>
      <c r="G433" s="62"/>
      <c r="H433" s="62"/>
      <c r="I433" s="60"/>
      <c r="J433" s="60"/>
      <c r="K433" s="64"/>
      <c r="L433" s="64"/>
      <c r="M433" s="25"/>
      <c r="N433" s="25"/>
    </row>
    <row r="434" spans="1:14">
      <c r="A434" s="3" t="s">
        <v>826</v>
      </c>
      <c r="B434" s="4" t="s">
        <v>827</v>
      </c>
      <c r="C434" s="5">
        <f t="shared" si="20"/>
        <v>0</v>
      </c>
      <c r="D434" s="5"/>
      <c r="E434" s="6">
        <f t="shared" si="18"/>
        <v>0</v>
      </c>
      <c r="F434" s="6">
        <f t="shared" si="19"/>
        <v>0</v>
      </c>
      <c r="G434" s="62"/>
      <c r="H434" s="62"/>
      <c r="I434" s="60"/>
      <c r="J434" s="60"/>
      <c r="K434" s="64"/>
      <c r="L434" s="64"/>
      <c r="M434" s="25"/>
      <c r="N434" s="25"/>
    </row>
    <row r="435" spans="1:14">
      <c r="A435" s="3" t="s">
        <v>828</v>
      </c>
      <c r="B435" s="4" t="s">
        <v>829</v>
      </c>
      <c r="C435" s="5">
        <f t="shared" si="20"/>
        <v>0</v>
      </c>
      <c r="D435" s="5"/>
      <c r="E435" s="6">
        <f t="shared" si="18"/>
        <v>0</v>
      </c>
      <c r="F435" s="6">
        <f t="shared" si="19"/>
        <v>0</v>
      </c>
      <c r="G435" s="62"/>
      <c r="H435" s="62"/>
      <c r="I435" s="60"/>
      <c r="J435" s="60"/>
      <c r="K435" s="64"/>
      <c r="L435" s="64"/>
      <c r="M435" s="25"/>
      <c r="N435" s="25"/>
    </row>
    <row r="436" spans="1:14">
      <c r="A436" s="3" t="s">
        <v>830</v>
      </c>
      <c r="B436" s="4" t="s">
        <v>831</v>
      </c>
      <c r="C436" s="5">
        <f t="shared" si="20"/>
        <v>0</v>
      </c>
      <c r="D436" s="5"/>
      <c r="E436" s="6">
        <f t="shared" si="18"/>
        <v>0</v>
      </c>
      <c r="F436" s="6">
        <f t="shared" si="19"/>
        <v>0</v>
      </c>
      <c r="G436" s="62"/>
      <c r="H436" s="62"/>
      <c r="I436" s="60"/>
      <c r="J436" s="60"/>
      <c r="K436" s="64"/>
      <c r="L436" s="64"/>
      <c r="M436" s="25"/>
      <c r="N436" s="25"/>
    </row>
    <row r="437" spans="1:14">
      <c r="A437" s="3" t="s">
        <v>832</v>
      </c>
      <c r="B437" s="4" t="s">
        <v>833</v>
      </c>
      <c r="C437" s="5">
        <f t="shared" si="20"/>
        <v>0</v>
      </c>
      <c r="D437" s="5"/>
      <c r="E437" s="6">
        <f t="shared" si="18"/>
        <v>0</v>
      </c>
      <c r="F437" s="6">
        <f t="shared" si="19"/>
        <v>0</v>
      </c>
      <c r="G437" s="62"/>
      <c r="H437" s="62"/>
      <c r="I437" s="60"/>
      <c r="J437" s="60"/>
      <c r="K437" s="64"/>
      <c r="L437" s="64"/>
      <c r="M437" s="25"/>
      <c r="N437" s="25"/>
    </row>
    <row r="438" spans="1:14">
      <c r="A438" s="3" t="s">
        <v>834</v>
      </c>
      <c r="B438" s="4" t="s">
        <v>835</v>
      </c>
      <c r="C438" s="5">
        <f t="shared" si="20"/>
        <v>0</v>
      </c>
      <c r="D438" s="5"/>
      <c r="E438" s="6">
        <f t="shared" si="18"/>
        <v>0</v>
      </c>
      <c r="F438" s="6">
        <f t="shared" si="19"/>
        <v>0</v>
      </c>
      <c r="G438" s="62"/>
      <c r="H438" s="62"/>
      <c r="I438" s="60"/>
      <c r="J438" s="60"/>
      <c r="K438" s="64"/>
      <c r="L438" s="64"/>
      <c r="M438" s="25"/>
      <c r="N438" s="25"/>
    </row>
    <row r="439" spans="1:14">
      <c r="A439" s="3" t="s">
        <v>836</v>
      </c>
      <c r="B439" s="4" t="s">
        <v>837</v>
      </c>
      <c r="C439" s="5">
        <f t="shared" si="20"/>
        <v>0</v>
      </c>
      <c r="D439" s="5"/>
      <c r="E439" s="6">
        <f t="shared" si="18"/>
        <v>0</v>
      </c>
      <c r="F439" s="6">
        <f t="shared" si="19"/>
        <v>0</v>
      </c>
      <c r="G439" s="62"/>
      <c r="H439" s="62"/>
      <c r="I439" s="60"/>
      <c r="J439" s="60"/>
      <c r="K439" s="64"/>
      <c r="L439" s="64"/>
      <c r="M439" s="25"/>
      <c r="N439" s="25"/>
    </row>
    <row r="440" spans="1:14">
      <c r="A440" s="3" t="s">
        <v>838</v>
      </c>
      <c r="B440" s="4" t="s">
        <v>839</v>
      </c>
      <c r="C440" s="5">
        <f t="shared" si="20"/>
        <v>0</v>
      </c>
      <c r="D440" s="5"/>
      <c r="E440" s="6">
        <f t="shared" si="18"/>
        <v>0</v>
      </c>
      <c r="F440" s="6">
        <f t="shared" si="19"/>
        <v>0</v>
      </c>
      <c r="G440" s="62"/>
      <c r="H440" s="62"/>
      <c r="I440" s="60"/>
      <c r="J440" s="60"/>
      <c r="K440" s="64"/>
      <c r="L440" s="64"/>
      <c r="M440" s="25"/>
      <c r="N440" s="25"/>
    </row>
    <row r="441" spans="1:14">
      <c r="A441" s="3" t="s">
        <v>840</v>
      </c>
      <c r="B441" s="4" t="s">
        <v>841</v>
      </c>
      <c r="C441" s="5">
        <f t="shared" si="20"/>
        <v>0</v>
      </c>
      <c r="D441" s="5"/>
      <c r="E441" s="6">
        <f t="shared" si="18"/>
        <v>0</v>
      </c>
      <c r="F441" s="6">
        <f t="shared" si="19"/>
        <v>0</v>
      </c>
      <c r="G441" s="62"/>
      <c r="H441" s="62"/>
      <c r="I441" s="60"/>
      <c r="J441" s="60"/>
      <c r="K441" s="64"/>
      <c r="L441" s="64"/>
      <c r="M441" s="25"/>
      <c r="N441" s="25"/>
    </row>
    <row r="442" spans="1:14">
      <c r="A442" s="3" t="s">
        <v>842</v>
      </c>
      <c r="B442" s="4" t="s">
        <v>843</v>
      </c>
      <c r="C442" s="5">
        <f t="shared" si="20"/>
        <v>0</v>
      </c>
      <c r="D442" s="5"/>
      <c r="E442" s="6">
        <f t="shared" si="18"/>
        <v>0</v>
      </c>
      <c r="F442" s="6">
        <f t="shared" si="19"/>
        <v>0</v>
      </c>
      <c r="G442" s="62"/>
      <c r="H442" s="62"/>
      <c r="I442" s="60"/>
      <c r="J442" s="60"/>
      <c r="K442" s="64"/>
      <c r="L442" s="64"/>
      <c r="M442" s="25"/>
      <c r="N442" s="25"/>
    </row>
    <row r="443" spans="1:14">
      <c r="A443" s="3" t="s">
        <v>844</v>
      </c>
      <c r="B443" s="4" t="s">
        <v>845</v>
      </c>
      <c r="C443" s="5">
        <f t="shared" si="20"/>
        <v>0</v>
      </c>
      <c r="D443" s="5"/>
      <c r="E443" s="6">
        <f t="shared" si="18"/>
        <v>0</v>
      </c>
      <c r="F443" s="6">
        <f t="shared" si="19"/>
        <v>0</v>
      </c>
      <c r="G443" s="62"/>
      <c r="H443" s="62"/>
      <c r="I443" s="60"/>
      <c r="J443" s="60"/>
      <c r="K443" s="64"/>
      <c r="L443" s="64"/>
      <c r="M443" s="25"/>
      <c r="N443" s="25"/>
    </row>
    <row r="444" spans="1:14">
      <c r="A444" s="3" t="s">
        <v>846</v>
      </c>
      <c r="B444" s="4" t="s">
        <v>847</v>
      </c>
      <c r="C444" s="5">
        <f t="shared" si="20"/>
        <v>0</v>
      </c>
      <c r="D444" s="5"/>
      <c r="E444" s="6">
        <f t="shared" si="18"/>
        <v>0</v>
      </c>
      <c r="F444" s="6">
        <f t="shared" si="19"/>
        <v>0</v>
      </c>
      <c r="G444" s="62"/>
      <c r="H444" s="62"/>
      <c r="I444" s="60"/>
      <c r="J444" s="60"/>
      <c r="K444" s="64"/>
      <c r="L444" s="64"/>
      <c r="M444" s="25"/>
      <c r="N444" s="25"/>
    </row>
    <row r="445" spans="1:14">
      <c r="A445" s="3" t="s">
        <v>848</v>
      </c>
      <c r="B445" s="4" t="s">
        <v>849</v>
      </c>
      <c r="C445" s="5">
        <f t="shared" si="20"/>
        <v>0</v>
      </c>
      <c r="D445" s="5"/>
      <c r="E445" s="6">
        <f t="shared" si="18"/>
        <v>0</v>
      </c>
      <c r="F445" s="6">
        <f t="shared" si="19"/>
        <v>0</v>
      </c>
      <c r="G445" s="62"/>
      <c r="H445" s="62"/>
      <c r="I445" s="60"/>
      <c r="J445" s="60"/>
      <c r="K445" s="64"/>
      <c r="L445" s="64"/>
      <c r="M445" s="25"/>
      <c r="N445" s="25"/>
    </row>
    <row r="446" spans="1:14">
      <c r="A446" s="3" t="s">
        <v>850</v>
      </c>
      <c r="B446" s="4" t="s">
        <v>851</v>
      </c>
      <c r="C446" s="5">
        <f t="shared" si="20"/>
        <v>0</v>
      </c>
      <c r="D446" s="5"/>
      <c r="E446" s="6">
        <f t="shared" si="18"/>
        <v>0</v>
      </c>
      <c r="F446" s="6">
        <f t="shared" si="19"/>
        <v>0</v>
      </c>
      <c r="G446" s="62"/>
      <c r="H446" s="62"/>
      <c r="I446" s="60"/>
      <c r="J446" s="60"/>
      <c r="K446" s="64"/>
      <c r="L446" s="64"/>
      <c r="M446" s="25"/>
      <c r="N446" s="25"/>
    </row>
    <row r="447" spans="1:14">
      <c r="A447" s="3" t="s">
        <v>852</v>
      </c>
      <c r="B447" s="4" t="s">
        <v>853</v>
      </c>
      <c r="C447" s="5">
        <f t="shared" si="20"/>
        <v>0</v>
      </c>
      <c r="D447" s="5"/>
      <c r="E447" s="6">
        <f t="shared" si="18"/>
        <v>0</v>
      </c>
      <c r="F447" s="6">
        <f t="shared" si="19"/>
        <v>0</v>
      </c>
      <c r="G447" s="62"/>
      <c r="H447" s="62"/>
      <c r="I447" s="60"/>
      <c r="J447" s="60"/>
      <c r="K447" s="64"/>
      <c r="L447" s="64"/>
      <c r="M447" s="25"/>
      <c r="N447" s="25"/>
    </row>
    <row r="448" spans="1:14">
      <c r="A448" s="3" t="s">
        <v>854</v>
      </c>
      <c r="B448" s="4">
        <v>954</v>
      </c>
      <c r="C448" s="5">
        <f t="shared" si="20"/>
        <v>0</v>
      </c>
      <c r="D448" s="5"/>
      <c r="E448" s="6">
        <f t="shared" si="18"/>
        <v>0</v>
      </c>
      <c r="F448" s="6">
        <f t="shared" si="19"/>
        <v>0</v>
      </c>
      <c r="G448" s="62"/>
      <c r="H448" s="62"/>
      <c r="I448" s="60"/>
      <c r="J448" s="60"/>
      <c r="K448" s="64"/>
      <c r="L448" s="64"/>
      <c r="M448" s="25"/>
      <c r="N448" s="25"/>
    </row>
    <row r="449" spans="1:14">
      <c r="A449" s="3" t="s">
        <v>855</v>
      </c>
      <c r="B449" s="4">
        <v>955</v>
      </c>
      <c r="C449" s="5">
        <f t="shared" si="20"/>
        <v>0</v>
      </c>
      <c r="D449" s="5"/>
      <c r="E449" s="6">
        <f t="shared" si="18"/>
        <v>0</v>
      </c>
      <c r="F449" s="6">
        <f t="shared" si="19"/>
        <v>0</v>
      </c>
      <c r="G449" s="62"/>
      <c r="H449" s="62"/>
      <c r="I449" s="60"/>
      <c r="J449" s="60"/>
      <c r="K449" s="64"/>
      <c r="L449" s="64"/>
      <c r="M449" s="25"/>
      <c r="N449" s="25"/>
    </row>
    <row r="450" spans="1:14">
      <c r="A450" s="3" t="s">
        <v>856</v>
      </c>
      <c r="B450" s="4" t="s">
        <v>857</v>
      </c>
      <c r="C450" s="5">
        <f t="shared" si="20"/>
        <v>0</v>
      </c>
      <c r="D450" s="5"/>
      <c r="E450" s="6">
        <f t="shared" si="18"/>
        <v>0</v>
      </c>
      <c r="F450" s="6">
        <f t="shared" si="19"/>
        <v>0</v>
      </c>
      <c r="G450" s="62"/>
      <c r="H450" s="62"/>
      <c r="I450" s="60"/>
      <c r="J450" s="60"/>
      <c r="K450" s="64"/>
      <c r="L450" s="64"/>
      <c r="M450" s="25"/>
      <c r="N450" s="25"/>
    </row>
    <row r="451" spans="1:14">
      <c r="A451" s="3" t="s">
        <v>858</v>
      </c>
      <c r="B451" s="4" t="s">
        <v>859</v>
      </c>
      <c r="C451" s="5">
        <f t="shared" si="20"/>
        <v>0</v>
      </c>
      <c r="D451" s="5"/>
      <c r="E451" s="6">
        <f t="shared" si="18"/>
        <v>0</v>
      </c>
      <c r="F451" s="6">
        <f t="shared" si="19"/>
        <v>0</v>
      </c>
      <c r="G451" s="62"/>
      <c r="H451" s="62"/>
      <c r="I451" s="60"/>
      <c r="J451" s="60"/>
      <c r="K451" s="64"/>
      <c r="L451" s="64"/>
      <c r="M451" s="25"/>
      <c r="N451" s="25"/>
    </row>
    <row r="452" spans="1:14">
      <c r="A452" s="3" t="s">
        <v>860</v>
      </c>
      <c r="B452" s="4" t="s">
        <v>861</v>
      </c>
      <c r="C452" s="5">
        <f t="shared" si="20"/>
        <v>0</v>
      </c>
      <c r="D452" s="5"/>
      <c r="E452" s="6">
        <f t="shared" si="18"/>
        <v>0</v>
      </c>
      <c r="F452" s="6">
        <f t="shared" si="19"/>
        <v>0</v>
      </c>
      <c r="G452" s="62"/>
      <c r="H452" s="62"/>
      <c r="I452" s="60"/>
      <c r="J452" s="60"/>
      <c r="K452" s="64"/>
      <c r="L452" s="64"/>
      <c r="M452" s="25"/>
      <c r="N452" s="25"/>
    </row>
    <row r="453" spans="1:14">
      <c r="A453" s="3" t="s">
        <v>862</v>
      </c>
      <c r="B453" s="4" t="s">
        <v>863</v>
      </c>
      <c r="C453" s="5">
        <f t="shared" si="20"/>
        <v>0</v>
      </c>
      <c r="D453" s="5"/>
      <c r="E453" s="6">
        <f t="shared" si="18"/>
        <v>0</v>
      </c>
      <c r="F453" s="6">
        <f t="shared" si="19"/>
        <v>0</v>
      </c>
      <c r="G453" s="62"/>
      <c r="H453" s="62"/>
      <c r="I453" s="60"/>
      <c r="J453" s="60"/>
      <c r="K453" s="64"/>
      <c r="L453" s="64"/>
      <c r="M453" s="25"/>
      <c r="N453" s="25"/>
    </row>
    <row r="454" spans="1:14">
      <c r="A454" s="3" t="s">
        <v>864</v>
      </c>
      <c r="B454" s="4" t="s">
        <v>865</v>
      </c>
      <c r="C454" s="5">
        <f t="shared" si="20"/>
        <v>0</v>
      </c>
      <c r="D454" s="5"/>
      <c r="E454" s="6">
        <f t="shared" si="18"/>
        <v>0</v>
      </c>
      <c r="F454" s="6">
        <f t="shared" si="19"/>
        <v>0</v>
      </c>
      <c r="G454" s="62"/>
      <c r="H454" s="62"/>
      <c r="I454" s="60"/>
      <c r="J454" s="60"/>
      <c r="K454" s="64"/>
      <c r="L454" s="64"/>
      <c r="M454" s="25"/>
      <c r="N454" s="25"/>
    </row>
    <row r="455" spans="1:14">
      <c r="A455" s="3" t="s">
        <v>866</v>
      </c>
      <c r="B455" s="4" t="s">
        <v>867</v>
      </c>
      <c r="C455" s="5">
        <f t="shared" si="20"/>
        <v>0</v>
      </c>
      <c r="D455" s="5"/>
      <c r="E455" s="6">
        <f t="shared" si="18"/>
        <v>0</v>
      </c>
      <c r="F455" s="6">
        <f t="shared" si="19"/>
        <v>0</v>
      </c>
      <c r="G455" s="62"/>
      <c r="H455" s="62"/>
      <c r="I455" s="60"/>
      <c r="J455" s="60"/>
      <c r="K455" s="64"/>
      <c r="L455" s="64"/>
      <c r="M455" s="25"/>
      <c r="N455" s="25"/>
    </row>
    <row r="456" spans="1:14">
      <c r="A456" s="3" t="s">
        <v>868</v>
      </c>
      <c r="B456" s="4" t="s">
        <v>869</v>
      </c>
      <c r="C456" s="5">
        <f t="shared" si="20"/>
        <v>0</v>
      </c>
      <c r="D456" s="5"/>
      <c r="E456" s="6">
        <f t="shared" si="18"/>
        <v>0</v>
      </c>
      <c r="F456" s="6">
        <f t="shared" si="19"/>
        <v>0</v>
      </c>
      <c r="G456" s="62"/>
      <c r="H456" s="62"/>
      <c r="I456" s="60"/>
      <c r="J456" s="60"/>
      <c r="K456" s="64"/>
      <c r="L456" s="64"/>
      <c r="M456" s="25"/>
      <c r="N456" s="25"/>
    </row>
    <row r="457" spans="1:14">
      <c r="A457" s="3" t="s">
        <v>870</v>
      </c>
      <c r="B457" s="4" t="s">
        <v>871</v>
      </c>
      <c r="C457" s="5">
        <f t="shared" si="20"/>
        <v>0</v>
      </c>
      <c r="D457" s="5"/>
      <c r="E457" s="6">
        <f t="shared" si="18"/>
        <v>0</v>
      </c>
      <c r="F457" s="6">
        <f t="shared" si="19"/>
        <v>0</v>
      </c>
      <c r="G457" s="62"/>
      <c r="H457" s="62"/>
      <c r="I457" s="60"/>
      <c r="J457" s="60"/>
      <c r="K457" s="64"/>
      <c r="L457" s="64"/>
      <c r="M457" s="25"/>
      <c r="N457" s="25"/>
    </row>
    <row r="458" spans="1:14">
      <c r="A458" s="3" t="s">
        <v>872</v>
      </c>
      <c r="B458" s="4" t="s">
        <v>873</v>
      </c>
      <c r="C458" s="5">
        <f t="shared" si="20"/>
        <v>0</v>
      </c>
      <c r="D458" s="5"/>
      <c r="E458" s="6">
        <f t="shared" si="18"/>
        <v>0</v>
      </c>
      <c r="F458" s="6">
        <f t="shared" si="19"/>
        <v>0</v>
      </c>
      <c r="G458" s="62"/>
      <c r="H458" s="62"/>
      <c r="I458" s="60"/>
      <c r="J458" s="60"/>
      <c r="K458" s="64"/>
      <c r="L458" s="64"/>
      <c r="M458" s="25"/>
      <c r="N458" s="25"/>
    </row>
    <row r="459" spans="1:14" s="67" customFormat="1" ht="15">
      <c r="A459" s="3" t="s">
        <v>874</v>
      </c>
      <c r="B459" s="4" t="s">
        <v>875</v>
      </c>
      <c r="C459" s="5">
        <f t="shared" si="20"/>
        <v>0</v>
      </c>
      <c r="D459" s="5"/>
      <c r="E459" s="6">
        <f t="shared" si="18"/>
        <v>0</v>
      </c>
      <c r="F459" s="6">
        <f t="shared" si="19"/>
        <v>0</v>
      </c>
      <c r="G459" s="62"/>
      <c r="H459" s="62"/>
      <c r="I459" s="60"/>
      <c r="J459" s="60"/>
      <c r="K459" s="64"/>
      <c r="L459" s="64"/>
      <c r="M459" s="25"/>
      <c r="N459" s="25"/>
    </row>
    <row r="460" spans="1:14">
      <c r="A460" s="3" t="s">
        <v>876</v>
      </c>
      <c r="B460" s="4" t="s">
        <v>877</v>
      </c>
      <c r="C460" s="5">
        <f t="shared" si="20"/>
        <v>0</v>
      </c>
      <c r="D460" s="5"/>
      <c r="E460" s="6">
        <f t="shared" si="18"/>
        <v>0</v>
      </c>
      <c r="F460" s="6">
        <f t="shared" si="19"/>
        <v>0</v>
      </c>
      <c r="G460" s="62"/>
      <c r="H460" s="62"/>
      <c r="I460" s="60"/>
      <c r="J460" s="60"/>
      <c r="K460" s="64"/>
      <c r="L460" s="64"/>
      <c r="M460" s="25"/>
      <c r="N460" s="25"/>
    </row>
    <row r="461" spans="1:14" s="1" customFormat="1">
      <c r="A461" s="3" t="s">
        <v>878</v>
      </c>
      <c r="B461" s="4" t="s">
        <v>879</v>
      </c>
      <c r="C461" s="5">
        <f t="shared" si="20"/>
        <v>0</v>
      </c>
      <c r="D461" s="5"/>
      <c r="E461" s="6">
        <f t="shared" si="18"/>
        <v>0</v>
      </c>
      <c r="F461" s="6">
        <f t="shared" si="19"/>
        <v>0</v>
      </c>
      <c r="G461" s="62"/>
      <c r="H461" s="62"/>
      <c r="I461" s="60"/>
      <c r="J461" s="60"/>
      <c r="K461" s="64"/>
      <c r="L461" s="64"/>
      <c r="M461" s="25"/>
      <c r="N461" s="25"/>
    </row>
    <row r="462" spans="1:14" ht="17.25">
      <c r="A462" s="13" t="s">
        <v>880</v>
      </c>
      <c r="B462" s="14"/>
      <c r="C462" s="15">
        <f>SUM(C13:C461)</f>
        <v>0</v>
      </c>
      <c r="D462" s="15">
        <f>SUM(D13:D461)</f>
        <v>0</v>
      </c>
      <c r="E462" s="16">
        <f>SUM(E13:E461)</f>
        <v>0</v>
      </c>
      <c r="F462" s="16">
        <f>SUM(F13:F461)</f>
        <v>0</v>
      </c>
      <c r="G462" s="71">
        <f>SUM(G13:G461)</f>
        <v>0</v>
      </c>
      <c r="H462" s="71">
        <f t="shared" ref="H462:N462" si="21">SUM(H13:H461)</f>
        <v>0</v>
      </c>
      <c r="I462" s="72">
        <f t="shared" si="21"/>
        <v>0</v>
      </c>
      <c r="J462" s="72">
        <f t="shared" si="21"/>
        <v>0</v>
      </c>
      <c r="K462" s="73">
        <f t="shared" si="21"/>
        <v>0</v>
      </c>
      <c r="L462" s="73">
        <f t="shared" si="21"/>
        <v>0</v>
      </c>
      <c r="M462" s="74">
        <f t="shared" si="21"/>
        <v>0</v>
      </c>
      <c r="N462" s="74">
        <f t="shared" si="21"/>
        <v>0</v>
      </c>
    </row>
    <row r="463" spans="1:14" hidden="1">
      <c r="A463" s="17" t="s">
        <v>881</v>
      </c>
      <c r="B463" s="18"/>
    </row>
    <row r="464" spans="1:14" hidden="1">
      <c r="A464" s="20" t="s">
        <v>882</v>
      </c>
      <c r="B464" s="21"/>
    </row>
    <row r="465" spans="1:14" hidden="1">
      <c r="A465" s="20" t="s">
        <v>883</v>
      </c>
      <c r="B465" s="21"/>
    </row>
    <row r="466" spans="1:14" hidden="1">
      <c r="A466" s="22" t="s">
        <v>884</v>
      </c>
      <c r="B466" s="21"/>
    </row>
    <row r="467" spans="1:14" hidden="1">
      <c r="A467" s="22" t="s">
        <v>885</v>
      </c>
      <c r="B467" s="21"/>
    </row>
    <row r="468" spans="1:14" hidden="1">
      <c r="A468" s="20" t="s">
        <v>886</v>
      </c>
      <c r="B468" s="21"/>
    </row>
    <row r="469" spans="1:14" hidden="1">
      <c r="A469" s="20" t="s">
        <v>887</v>
      </c>
      <c r="B469" s="21"/>
    </row>
    <row r="470" spans="1:14" hidden="1">
      <c r="A470" s="20" t="s">
        <v>888</v>
      </c>
      <c r="B470" s="21"/>
    </row>
    <row r="471" spans="1:14" hidden="1">
      <c r="A471" s="22" t="s">
        <v>889</v>
      </c>
      <c r="B471" s="21"/>
    </row>
    <row r="472" spans="1:14" hidden="1">
      <c r="A472" s="22" t="s">
        <v>890</v>
      </c>
      <c r="B472" s="21"/>
    </row>
    <row r="473" spans="1:14" hidden="1">
      <c r="A473" s="20" t="s">
        <v>891</v>
      </c>
      <c r="B473" s="21"/>
    </row>
    <row r="474" spans="1:14" hidden="1">
      <c r="A474" s="20" t="s">
        <v>892</v>
      </c>
      <c r="B474" s="21"/>
    </row>
    <row r="475" spans="1:14">
      <c r="A475" s="23"/>
      <c r="B475" s="24"/>
      <c r="D475" s="19">
        <f>D462-C462</f>
        <v>0</v>
      </c>
      <c r="F475" s="19">
        <f>F462-E462</f>
        <v>0</v>
      </c>
      <c r="H475" s="19">
        <f>H462-G462</f>
        <v>0</v>
      </c>
      <c r="J475" s="19">
        <f>J462-I462</f>
        <v>0</v>
      </c>
      <c r="L475" s="19">
        <f>L462-K462</f>
        <v>0</v>
      </c>
      <c r="N475" s="19">
        <f>N462-M462</f>
        <v>0</v>
      </c>
    </row>
    <row r="476" spans="1:14">
      <c r="A476" s="23"/>
      <c r="B476" s="24"/>
    </row>
    <row r="477" spans="1:14">
      <c r="A477" s="23"/>
      <c r="B477" s="24"/>
    </row>
    <row r="478" spans="1:14">
      <c r="A478" s="23"/>
      <c r="B478" s="75" t="s">
        <v>893</v>
      </c>
    </row>
    <row r="479" spans="1:14">
      <c r="A479" s="23"/>
      <c r="B479" s="24"/>
    </row>
    <row r="480" spans="1:14">
      <c r="A480" s="23"/>
      <c r="B480" s="24"/>
    </row>
    <row r="481" spans="1:2">
      <c r="A481" s="23"/>
      <c r="B481" s="24"/>
    </row>
    <row r="482" spans="1:2">
      <c r="A482" s="23"/>
      <c r="B482" s="24"/>
    </row>
    <row r="483" spans="1:2">
      <c r="A483" s="23"/>
      <c r="B483" s="24"/>
    </row>
  </sheetData>
  <mergeCells count="28">
    <mergeCell ref="M9:N10"/>
    <mergeCell ref="N11:N12"/>
    <mergeCell ref="M11:M12"/>
    <mergeCell ref="E9:F10"/>
    <mergeCell ref="I9:J10"/>
    <mergeCell ref="I11:I12"/>
    <mergeCell ref="J11:J12"/>
    <mergeCell ref="K9:L10"/>
    <mergeCell ref="L11:L12"/>
    <mergeCell ref="K11:K12"/>
    <mergeCell ref="G9:H10"/>
    <mergeCell ref="G11:G12"/>
    <mergeCell ref="H11:H12"/>
    <mergeCell ref="F11:F12"/>
    <mergeCell ref="A11:A12"/>
    <mergeCell ref="B11:B12"/>
    <mergeCell ref="C11:C12"/>
    <mergeCell ref="D11:D12"/>
    <mergeCell ref="E11:E12"/>
    <mergeCell ref="A7:D7"/>
    <mergeCell ref="A8:D8"/>
    <mergeCell ref="C10:D10"/>
    <mergeCell ref="A1:D1"/>
    <mergeCell ref="A2:D2"/>
    <mergeCell ref="A3:D3"/>
    <mergeCell ref="A4:D4"/>
    <mergeCell ref="A5:D5"/>
    <mergeCell ref="A6:D6"/>
  </mergeCells>
  <printOptions horizontalCentered="1"/>
  <pageMargins left="1" right="1" top="1" bottom="1" header="0.5" footer="0.5"/>
  <pageSetup paperSize="149" scale="8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50"/>
  </sheetPr>
  <dimension ref="A1:N483"/>
  <sheetViews>
    <sheetView workbookViewId="0">
      <selection sqref="A1:D1"/>
    </sheetView>
  </sheetViews>
  <sheetFormatPr defaultRowHeight="14.25"/>
  <cols>
    <col min="1" max="1" width="49.7109375" style="19" customWidth="1"/>
    <col min="2" max="2" width="9.7109375" style="69" customWidth="1"/>
    <col min="3" max="6" width="18.7109375" style="19" customWidth="1"/>
    <col min="7" max="7" width="20" style="19" customWidth="1"/>
    <col min="8" max="8" width="18.7109375" style="19" customWidth="1"/>
    <col min="9" max="9" width="20.28515625" style="19" bestFit="1" customWidth="1"/>
    <col min="10" max="10" width="18.7109375" style="19" customWidth="1"/>
    <col min="11" max="11" width="20" style="19" customWidth="1"/>
    <col min="12" max="12" width="18.7109375" style="19" customWidth="1"/>
    <col min="13" max="13" width="20.28515625" style="19" bestFit="1" customWidth="1"/>
    <col min="14" max="14" width="18.7109375" style="19" customWidth="1"/>
    <col min="15" max="16384" width="9.140625" style="19"/>
  </cols>
  <sheetData>
    <row r="1" spans="1:14">
      <c r="A1" s="238" t="s">
        <v>0</v>
      </c>
      <c r="B1" s="238"/>
      <c r="C1" s="238"/>
      <c r="D1" s="238"/>
    </row>
    <row r="2" spans="1:14">
      <c r="A2" s="238" t="s">
        <v>1</v>
      </c>
      <c r="B2" s="238"/>
      <c r="C2" s="238"/>
      <c r="D2" s="238"/>
    </row>
    <row r="3" spans="1:14">
      <c r="A3" s="238" t="s">
        <v>2</v>
      </c>
      <c r="B3" s="238"/>
      <c r="C3" s="238"/>
      <c r="D3" s="238"/>
    </row>
    <row r="4" spans="1:14">
      <c r="A4" s="238"/>
      <c r="B4" s="238"/>
      <c r="C4" s="238"/>
      <c r="D4" s="238"/>
    </row>
    <row r="5" spans="1:14" ht="15">
      <c r="A5" s="238" t="s">
        <v>3</v>
      </c>
      <c r="B5" s="239"/>
      <c r="C5" s="238"/>
      <c r="D5" s="238"/>
    </row>
    <row r="6" spans="1:14" ht="15">
      <c r="A6" s="238" t="s">
        <v>4</v>
      </c>
      <c r="B6" s="239"/>
      <c r="C6" s="238"/>
      <c r="D6" s="238"/>
    </row>
    <row r="7" spans="1:14">
      <c r="A7" s="238" t="s">
        <v>1005</v>
      </c>
      <c r="B7" s="240"/>
      <c r="C7" s="238"/>
      <c r="D7" s="238"/>
    </row>
    <row r="8" spans="1:14">
      <c r="A8" s="238"/>
      <c r="B8" s="240"/>
      <c r="C8" s="238"/>
      <c r="D8" s="238"/>
    </row>
    <row r="9" spans="1:14" s="67" customFormat="1" ht="15">
      <c r="A9" s="66"/>
      <c r="B9" s="66"/>
      <c r="E9" s="250" t="str">
        <f>A7</f>
        <v>As of  April 30, 2011</v>
      </c>
      <c r="F9" s="251"/>
      <c r="G9" s="261" t="s">
        <v>1016</v>
      </c>
      <c r="H9" s="262"/>
      <c r="I9" s="254" t="s">
        <v>1009</v>
      </c>
      <c r="J9" s="255"/>
      <c r="K9" s="265" t="s">
        <v>1010</v>
      </c>
      <c r="L9" s="265"/>
      <c r="M9" s="267" t="s">
        <v>11</v>
      </c>
      <c r="N9" s="267"/>
    </row>
    <row r="10" spans="1:14" ht="14.25" customHeight="1">
      <c r="A10" s="68"/>
      <c r="C10" s="241"/>
      <c r="D10" s="242"/>
      <c r="E10" s="252"/>
      <c r="F10" s="253"/>
      <c r="G10" s="263"/>
      <c r="H10" s="264"/>
      <c r="I10" s="256"/>
      <c r="J10" s="257"/>
      <c r="K10" s="265"/>
      <c r="L10" s="265"/>
      <c r="M10" s="267"/>
      <c r="N10" s="267"/>
    </row>
    <row r="11" spans="1:14" ht="15" customHeight="1">
      <c r="A11" s="243" t="s">
        <v>6</v>
      </c>
      <c r="B11" s="245" t="s">
        <v>7</v>
      </c>
      <c r="C11" s="243" t="s">
        <v>8</v>
      </c>
      <c r="D11" s="243" t="s">
        <v>9</v>
      </c>
      <c r="E11" s="247" t="s">
        <v>8</v>
      </c>
      <c r="F11" s="259" t="s">
        <v>9</v>
      </c>
      <c r="G11" s="249" t="s">
        <v>8</v>
      </c>
      <c r="H11" s="249" t="s">
        <v>9</v>
      </c>
      <c r="I11" s="258" t="s">
        <v>8</v>
      </c>
      <c r="J11" s="258" t="s">
        <v>9</v>
      </c>
      <c r="K11" s="266" t="s">
        <v>8</v>
      </c>
      <c r="L11" s="266" t="s">
        <v>9</v>
      </c>
      <c r="M11" s="268" t="s">
        <v>8</v>
      </c>
      <c r="N11" s="268" t="s">
        <v>9</v>
      </c>
    </row>
    <row r="12" spans="1:14">
      <c r="A12" s="244"/>
      <c r="B12" s="246"/>
      <c r="C12" s="244"/>
      <c r="D12" s="244"/>
      <c r="E12" s="248"/>
      <c r="F12" s="260"/>
      <c r="G12" s="249"/>
      <c r="H12" s="249"/>
      <c r="I12" s="258"/>
      <c r="J12" s="258"/>
      <c r="K12" s="266"/>
      <c r="L12" s="266"/>
      <c r="M12" s="268"/>
      <c r="N12" s="268"/>
    </row>
    <row r="13" spans="1:14" hidden="1">
      <c r="A13" s="3" t="s">
        <v>12</v>
      </c>
      <c r="B13" s="4">
        <v>101</v>
      </c>
      <c r="C13" s="5">
        <f>E13-F13</f>
        <v>0</v>
      </c>
      <c r="D13" s="5"/>
      <c r="E13" s="6">
        <f>SUM(G13,I13,K13,M13)</f>
        <v>0</v>
      </c>
      <c r="F13" s="6">
        <f>SUM(H13,J13,L13,N13)</f>
        <v>0</v>
      </c>
      <c r="G13" s="62"/>
      <c r="H13" s="62"/>
      <c r="I13" s="60"/>
      <c r="J13" s="60"/>
      <c r="K13" s="64"/>
      <c r="L13" s="64"/>
      <c r="M13" s="25"/>
      <c r="N13" s="25"/>
    </row>
    <row r="14" spans="1:14" hidden="1">
      <c r="A14" s="3" t="s">
        <v>13</v>
      </c>
      <c r="B14" s="4" t="s">
        <v>14</v>
      </c>
      <c r="C14" s="5">
        <f>E14-F14</f>
        <v>0</v>
      </c>
      <c r="D14" s="5"/>
      <c r="E14" s="6">
        <f t="shared" ref="E14:E77" si="0">SUM(G14,I14,K14,M14)</f>
        <v>0</v>
      </c>
      <c r="F14" s="6">
        <f t="shared" ref="F14:F77" si="1">SUM(H14,J14,L14,N14)</f>
        <v>0</v>
      </c>
      <c r="G14" s="62"/>
      <c r="H14" s="62"/>
      <c r="I14" s="60"/>
      <c r="J14" s="60"/>
      <c r="K14" s="64"/>
      <c r="L14" s="64"/>
      <c r="M14" s="25"/>
      <c r="N14" s="25"/>
    </row>
    <row r="15" spans="1:14" hidden="1">
      <c r="A15" s="3" t="s">
        <v>15</v>
      </c>
      <c r="B15" s="4" t="s">
        <v>16</v>
      </c>
      <c r="C15" s="5">
        <f>E15-F15</f>
        <v>0</v>
      </c>
      <c r="D15" s="5"/>
      <c r="E15" s="6">
        <f t="shared" si="0"/>
        <v>0</v>
      </c>
      <c r="F15" s="6">
        <f t="shared" si="1"/>
        <v>0</v>
      </c>
      <c r="G15" s="63"/>
      <c r="H15" s="63"/>
      <c r="I15" s="61"/>
      <c r="J15" s="61"/>
      <c r="K15" s="65"/>
      <c r="L15" s="65"/>
      <c r="M15" s="26"/>
      <c r="N15" s="26"/>
    </row>
    <row r="16" spans="1:14">
      <c r="A16" s="3" t="s">
        <v>17</v>
      </c>
      <c r="B16" s="4" t="s">
        <v>18</v>
      </c>
      <c r="C16" s="5">
        <f>E16-F16</f>
        <v>50000</v>
      </c>
      <c r="D16" s="5"/>
      <c r="E16" s="6">
        <f t="shared" si="0"/>
        <v>50000</v>
      </c>
      <c r="F16" s="6">
        <f t="shared" si="1"/>
        <v>0</v>
      </c>
      <c r="G16" s="62">
        <v>50000</v>
      </c>
      <c r="H16" s="62"/>
      <c r="I16" s="60"/>
      <c r="J16" s="60"/>
      <c r="K16" s="64"/>
      <c r="L16" s="64"/>
      <c r="M16" s="25"/>
      <c r="N16" s="25"/>
    </row>
    <row r="17" spans="1:14">
      <c r="A17" s="3" t="s">
        <v>19</v>
      </c>
      <c r="B17" s="4" t="s">
        <v>20</v>
      </c>
      <c r="C17" s="7">
        <f>E17-F17</f>
        <v>4876.6200000001118</v>
      </c>
      <c r="D17" s="7"/>
      <c r="E17" s="6">
        <f t="shared" si="0"/>
        <v>4876.6200000001118</v>
      </c>
      <c r="F17" s="6">
        <f t="shared" si="1"/>
        <v>0</v>
      </c>
      <c r="G17" s="62">
        <v>4876.6200000001118</v>
      </c>
      <c r="H17" s="62"/>
      <c r="I17" s="60"/>
      <c r="J17" s="60"/>
      <c r="K17" s="64"/>
      <c r="L17" s="64"/>
      <c r="M17" s="25"/>
      <c r="N17" s="25"/>
    </row>
    <row r="18" spans="1:14" hidden="1">
      <c r="A18" s="3" t="s">
        <v>21</v>
      </c>
      <c r="B18" s="4">
        <v>110</v>
      </c>
      <c r="C18" s="7">
        <f t="shared" ref="C18:C80" si="2">E18-F18</f>
        <v>0</v>
      </c>
      <c r="D18" s="7"/>
      <c r="E18" s="6">
        <f t="shared" si="0"/>
        <v>0</v>
      </c>
      <c r="F18" s="6">
        <f t="shared" si="1"/>
        <v>0</v>
      </c>
      <c r="G18" s="62"/>
      <c r="H18" s="62"/>
      <c r="I18" s="60"/>
      <c r="J18" s="60"/>
      <c r="K18" s="64"/>
      <c r="L18" s="64"/>
      <c r="M18" s="25"/>
      <c r="N18" s="25"/>
    </row>
    <row r="19" spans="1:14">
      <c r="A19" s="8" t="s">
        <v>22</v>
      </c>
      <c r="B19" s="4">
        <v>111</v>
      </c>
      <c r="C19" s="7">
        <f t="shared" si="2"/>
        <v>75809617.73999998</v>
      </c>
      <c r="D19" s="7"/>
      <c r="E19" s="6">
        <f t="shared" si="0"/>
        <v>75809617.73999998</v>
      </c>
      <c r="F19" s="6">
        <f t="shared" si="1"/>
        <v>0</v>
      </c>
      <c r="G19" s="62">
        <v>75809617.73999998</v>
      </c>
      <c r="H19" s="62"/>
      <c r="I19" s="60"/>
      <c r="J19" s="60"/>
      <c r="K19" s="64"/>
      <c r="L19" s="64"/>
      <c r="M19" s="25"/>
      <c r="N19" s="25"/>
    </row>
    <row r="20" spans="1:14">
      <c r="A20" s="8" t="s">
        <v>23</v>
      </c>
      <c r="B20" s="4">
        <v>112</v>
      </c>
      <c r="C20" s="7">
        <f t="shared" si="2"/>
        <v>4335118.08</v>
      </c>
      <c r="D20" s="7"/>
      <c r="E20" s="6">
        <f t="shared" si="0"/>
        <v>4335118.08</v>
      </c>
      <c r="F20" s="6">
        <f t="shared" si="1"/>
        <v>0</v>
      </c>
      <c r="G20" s="62">
        <v>4335118.08</v>
      </c>
      <c r="H20" s="62"/>
      <c r="I20" s="60"/>
      <c r="J20" s="60"/>
      <c r="K20" s="64"/>
      <c r="L20" s="64"/>
      <c r="M20" s="25"/>
      <c r="N20" s="25"/>
    </row>
    <row r="21" spans="1:14" hidden="1">
      <c r="A21" s="3" t="s">
        <v>24</v>
      </c>
      <c r="B21" s="4">
        <v>113</v>
      </c>
      <c r="C21" s="7">
        <f t="shared" si="2"/>
        <v>0</v>
      </c>
      <c r="D21" s="7"/>
      <c r="E21" s="6">
        <f t="shared" si="0"/>
        <v>0</v>
      </c>
      <c r="F21" s="6">
        <f t="shared" si="1"/>
        <v>0</v>
      </c>
      <c r="G21" s="62"/>
      <c r="H21" s="62"/>
      <c r="I21" s="60"/>
      <c r="J21" s="60"/>
      <c r="K21" s="64"/>
      <c r="L21" s="64"/>
      <c r="M21" s="25"/>
      <c r="N21" s="25"/>
    </row>
    <row r="22" spans="1:14" hidden="1">
      <c r="A22" s="3" t="s">
        <v>21</v>
      </c>
      <c r="B22" s="4">
        <v>114</v>
      </c>
      <c r="C22" s="7">
        <f t="shared" si="2"/>
        <v>0</v>
      </c>
      <c r="D22" s="7"/>
      <c r="E22" s="6">
        <f t="shared" si="0"/>
        <v>0</v>
      </c>
      <c r="F22" s="6">
        <f t="shared" si="1"/>
        <v>0</v>
      </c>
      <c r="G22" s="62"/>
      <c r="H22" s="62"/>
      <c r="I22" s="60"/>
      <c r="J22" s="60"/>
      <c r="K22" s="64"/>
      <c r="L22" s="64"/>
      <c r="M22" s="25"/>
      <c r="N22" s="25"/>
    </row>
    <row r="23" spans="1:14" hidden="1">
      <c r="A23" s="3" t="s">
        <v>25</v>
      </c>
      <c r="B23" s="4">
        <v>115</v>
      </c>
      <c r="C23" s="7">
        <f t="shared" si="2"/>
        <v>0</v>
      </c>
      <c r="D23" s="7"/>
      <c r="E23" s="6">
        <f t="shared" si="0"/>
        <v>0</v>
      </c>
      <c r="F23" s="6">
        <f t="shared" si="1"/>
        <v>0</v>
      </c>
      <c r="G23" s="62"/>
      <c r="H23" s="62"/>
      <c r="I23" s="60"/>
      <c r="J23" s="60"/>
      <c r="K23" s="64"/>
      <c r="L23" s="64"/>
      <c r="M23" s="25"/>
      <c r="N23" s="25"/>
    </row>
    <row r="24" spans="1:14" hidden="1">
      <c r="A24" s="3" t="s">
        <v>26</v>
      </c>
      <c r="B24" s="4" t="s">
        <v>27</v>
      </c>
      <c r="C24" s="7">
        <f t="shared" si="2"/>
        <v>0</v>
      </c>
      <c r="D24" s="7"/>
      <c r="E24" s="6">
        <f t="shared" si="0"/>
        <v>0</v>
      </c>
      <c r="F24" s="6">
        <f t="shared" si="1"/>
        <v>0</v>
      </c>
      <c r="G24" s="62"/>
      <c r="H24" s="62"/>
      <c r="I24" s="60"/>
      <c r="J24" s="60"/>
      <c r="K24" s="64"/>
      <c r="L24" s="64"/>
      <c r="M24" s="25"/>
      <c r="N24" s="25"/>
    </row>
    <row r="25" spans="1:14" hidden="1">
      <c r="A25" s="3" t="s">
        <v>28</v>
      </c>
      <c r="B25" s="4" t="s">
        <v>29</v>
      </c>
      <c r="C25" s="7">
        <f t="shared" si="2"/>
        <v>0</v>
      </c>
      <c r="D25" s="7"/>
      <c r="E25" s="6">
        <f t="shared" si="0"/>
        <v>0</v>
      </c>
      <c r="F25" s="6">
        <f t="shared" si="1"/>
        <v>0</v>
      </c>
      <c r="G25" s="62"/>
      <c r="H25" s="62"/>
      <c r="I25" s="60"/>
      <c r="J25" s="60"/>
      <c r="K25" s="64"/>
      <c r="L25" s="64"/>
      <c r="M25" s="25"/>
      <c r="N25" s="25"/>
    </row>
    <row r="26" spans="1:14" hidden="1">
      <c r="A26" s="3" t="s">
        <v>30</v>
      </c>
      <c r="B26" s="4" t="s">
        <v>31</v>
      </c>
      <c r="C26" s="7">
        <f t="shared" si="2"/>
        <v>0</v>
      </c>
      <c r="D26" s="7"/>
      <c r="E26" s="6">
        <f t="shared" si="0"/>
        <v>0</v>
      </c>
      <c r="F26" s="6">
        <f t="shared" si="1"/>
        <v>0</v>
      </c>
      <c r="G26" s="62"/>
      <c r="H26" s="62"/>
      <c r="I26" s="60"/>
      <c r="J26" s="60"/>
      <c r="K26" s="64"/>
      <c r="L26" s="64"/>
      <c r="M26" s="25"/>
      <c r="N26" s="25"/>
    </row>
    <row r="27" spans="1:14" hidden="1">
      <c r="A27" s="3" t="s">
        <v>32</v>
      </c>
      <c r="B27" s="4" t="s">
        <v>33</v>
      </c>
      <c r="C27" s="7">
        <f t="shared" si="2"/>
        <v>0</v>
      </c>
      <c r="D27" s="7"/>
      <c r="E27" s="6">
        <f t="shared" si="0"/>
        <v>0</v>
      </c>
      <c r="F27" s="6">
        <f t="shared" si="1"/>
        <v>0</v>
      </c>
      <c r="G27" s="62"/>
      <c r="H27" s="62"/>
      <c r="I27" s="60"/>
      <c r="J27" s="60"/>
      <c r="K27" s="64"/>
      <c r="L27" s="64"/>
      <c r="M27" s="25"/>
      <c r="N27" s="25"/>
    </row>
    <row r="28" spans="1:14" hidden="1">
      <c r="A28" s="3" t="s">
        <v>34</v>
      </c>
      <c r="B28" s="4" t="s">
        <v>35</v>
      </c>
      <c r="C28" s="7">
        <f t="shared" si="2"/>
        <v>0</v>
      </c>
      <c r="D28" s="7"/>
      <c r="E28" s="6">
        <f t="shared" si="0"/>
        <v>0</v>
      </c>
      <c r="F28" s="6">
        <f t="shared" si="1"/>
        <v>0</v>
      </c>
      <c r="G28" s="62"/>
      <c r="H28" s="62"/>
      <c r="I28" s="60"/>
      <c r="J28" s="60"/>
      <c r="K28" s="64"/>
      <c r="L28" s="64"/>
      <c r="M28" s="25"/>
      <c r="N28" s="25"/>
    </row>
    <row r="29" spans="1:14" hidden="1">
      <c r="A29" s="3" t="s">
        <v>36</v>
      </c>
      <c r="B29" s="4" t="s">
        <v>37</v>
      </c>
      <c r="C29" s="7">
        <f t="shared" si="2"/>
        <v>0</v>
      </c>
      <c r="D29" s="7"/>
      <c r="E29" s="6">
        <f t="shared" si="0"/>
        <v>0</v>
      </c>
      <c r="F29" s="6">
        <f t="shared" si="1"/>
        <v>0</v>
      </c>
      <c r="G29" s="62"/>
      <c r="H29" s="62"/>
      <c r="I29" s="60"/>
      <c r="J29" s="60"/>
      <c r="K29" s="64"/>
      <c r="L29" s="64"/>
      <c r="M29" s="25"/>
      <c r="N29" s="25"/>
    </row>
    <row r="30" spans="1:14" hidden="1">
      <c r="A30" s="3" t="s">
        <v>38</v>
      </c>
      <c r="B30" s="4" t="s">
        <v>39</v>
      </c>
      <c r="C30" s="7">
        <f t="shared" si="2"/>
        <v>0</v>
      </c>
      <c r="D30" s="7"/>
      <c r="E30" s="6">
        <f t="shared" si="0"/>
        <v>0</v>
      </c>
      <c r="F30" s="6">
        <f t="shared" si="1"/>
        <v>0</v>
      </c>
      <c r="G30" s="62"/>
      <c r="H30" s="62"/>
      <c r="I30" s="60"/>
      <c r="J30" s="60"/>
      <c r="K30" s="64"/>
      <c r="L30" s="64"/>
      <c r="M30" s="25"/>
      <c r="N30" s="25"/>
    </row>
    <row r="31" spans="1:14" hidden="1">
      <c r="A31" s="3" t="s">
        <v>40</v>
      </c>
      <c r="B31" s="4" t="s">
        <v>41</v>
      </c>
      <c r="C31" s="7">
        <f t="shared" si="2"/>
        <v>0</v>
      </c>
      <c r="D31" s="7"/>
      <c r="E31" s="6">
        <f t="shared" si="0"/>
        <v>0</v>
      </c>
      <c r="F31" s="6">
        <f t="shared" si="1"/>
        <v>0</v>
      </c>
      <c r="G31" s="62"/>
      <c r="H31" s="62"/>
      <c r="I31" s="60"/>
      <c r="J31" s="60"/>
      <c r="K31" s="64"/>
      <c r="L31" s="64"/>
      <c r="M31" s="25"/>
      <c r="N31" s="25"/>
    </row>
    <row r="32" spans="1:14" hidden="1">
      <c r="A32" s="3" t="s">
        <v>42</v>
      </c>
      <c r="B32" s="4" t="s">
        <v>43</v>
      </c>
      <c r="C32" s="7">
        <f t="shared" si="2"/>
        <v>0</v>
      </c>
      <c r="D32" s="7"/>
      <c r="E32" s="6">
        <f t="shared" si="0"/>
        <v>0</v>
      </c>
      <c r="F32" s="6">
        <f t="shared" si="1"/>
        <v>0</v>
      </c>
      <c r="G32" s="62"/>
      <c r="H32" s="62"/>
      <c r="I32" s="60"/>
      <c r="J32" s="60"/>
      <c r="K32" s="64"/>
      <c r="L32" s="64"/>
      <c r="M32" s="25"/>
      <c r="N32" s="25"/>
    </row>
    <row r="33" spans="1:14" hidden="1">
      <c r="A33" s="3" t="s">
        <v>44</v>
      </c>
      <c r="B33" s="4" t="s">
        <v>45</v>
      </c>
      <c r="C33" s="7">
        <f t="shared" si="2"/>
        <v>0</v>
      </c>
      <c r="D33" s="7"/>
      <c r="E33" s="6">
        <f t="shared" si="0"/>
        <v>0</v>
      </c>
      <c r="F33" s="6">
        <f t="shared" si="1"/>
        <v>0</v>
      </c>
      <c r="G33" s="62"/>
      <c r="H33" s="62"/>
      <c r="I33" s="60"/>
      <c r="J33" s="60"/>
      <c r="K33" s="64"/>
      <c r="L33" s="64"/>
      <c r="M33" s="25"/>
      <c r="N33" s="25"/>
    </row>
    <row r="34" spans="1:14" hidden="1">
      <c r="A34" s="3" t="s">
        <v>46</v>
      </c>
      <c r="B34" s="4" t="s">
        <v>47</v>
      </c>
      <c r="C34" s="7">
        <f t="shared" si="2"/>
        <v>0</v>
      </c>
      <c r="D34" s="7"/>
      <c r="E34" s="6">
        <f t="shared" si="0"/>
        <v>0</v>
      </c>
      <c r="F34" s="6">
        <f t="shared" si="1"/>
        <v>0</v>
      </c>
      <c r="G34" s="62"/>
      <c r="H34" s="62"/>
      <c r="I34" s="60"/>
      <c r="J34" s="60"/>
      <c r="K34" s="64"/>
      <c r="L34" s="64"/>
      <c r="M34" s="25"/>
      <c r="N34" s="25"/>
    </row>
    <row r="35" spans="1:14" hidden="1">
      <c r="A35" s="3" t="s">
        <v>48</v>
      </c>
      <c r="B35" s="4" t="s">
        <v>49</v>
      </c>
      <c r="C35" s="7">
        <f t="shared" si="2"/>
        <v>0</v>
      </c>
      <c r="D35" s="7"/>
      <c r="E35" s="6">
        <f t="shared" si="0"/>
        <v>0</v>
      </c>
      <c r="F35" s="6">
        <f t="shared" si="1"/>
        <v>0</v>
      </c>
      <c r="G35" s="62"/>
      <c r="H35" s="62"/>
      <c r="I35" s="60"/>
      <c r="J35" s="60"/>
      <c r="K35" s="64"/>
      <c r="L35" s="64"/>
      <c r="M35" s="25"/>
      <c r="N35" s="25"/>
    </row>
    <row r="36" spans="1:14" hidden="1">
      <c r="A36" s="3" t="s">
        <v>50</v>
      </c>
      <c r="B36" s="4" t="s">
        <v>51</v>
      </c>
      <c r="C36" s="7">
        <f t="shared" si="2"/>
        <v>0</v>
      </c>
      <c r="D36" s="7"/>
      <c r="E36" s="6">
        <f t="shared" si="0"/>
        <v>0</v>
      </c>
      <c r="F36" s="6">
        <f t="shared" si="1"/>
        <v>0</v>
      </c>
      <c r="G36" s="62"/>
      <c r="H36" s="62"/>
      <c r="I36" s="60"/>
      <c r="J36" s="60"/>
      <c r="K36" s="64"/>
      <c r="L36" s="64"/>
      <c r="M36" s="25"/>
      <c r="N36" s="25"/>
    </row>
    <row r="37" spans="1:14" hidden="1">
      <c r="A37" s="3" t="s">
        <v>52</v>
      </c>
      <c r="B37" s="4" t="s">
        <v>53</v>
      </c>
      <c r="C37" s="7">
        <f t="shared" si="2"/>
        <v>0</v>
      </c>
      <c r="D37" s="7"/>
      <c r="E37" s="6">
        <f t="shared" si="0"/>
        <v>0</v>
      </c>
      <c r="F37" s="6">
        <f t="shared" si="1"/>
        <v>0</v>
      </c>
      <c r="G37" s="62"/>
      <c r="H37" s="62"/>
      <c r="I37" s="60"/>
      <c r="J37" s="60"/>
      <c r="K37" s="64"/>
      <c r="L37" s="64"/>
      <c r="M37" s="25"/>
      <c r="N37" s="25"/>
    </row>
    <row r="38" spans="1:14">
      <c r="A38" s="3" t="s">
        <v>54</v>
      </c>
      <c r="B38" s="9">
        <v>138</v>
      </c>
      <c r="C38" s="7">
        <f t="shared" si="2"/>
        <v>1183464.43</v>
      </c>
      <c r="D38" s="7"/>
      <c r="E38" s="6">
        <f t="shared" si="0"/>
        <v>1183464.43</v>
      </c>
      <c r="F38" s="6">
        <f t="shared" si="1"/>
        <v>0</v>
      </c>
      <c r="G38" s="62">
        <v>1183464.43</v>
      </c>
      <c r="H38" s="62"/>
      <c r="I38" s="60"/>
      <c r="J38" s="60"/>
      <c r="K38" s="64"/>
      <c r="L38" s="64"/>
      <c r="M38" s="25"/>
      <c r="N38" s="25"/>
    </row>
    <row r="39" spans="1:14">
      <c r="A39" s="3" t="s">
        <v>55</v>
      </c>
      <c r="B39" s="4" t="s">
        <v>56</v>
      </c>
      <c r="C39" s="7">
        <f t="shared" si="2"/>
        <v>1897625</v>
      </c>
      <c r="D39" s="7"/>
      <c r="E39" s="6">
        <f t="shared" si="0"/>
        <v>1897625</v>
      </c>
      <c r="F39" s="6">
        <f t="shared" si="1"/>
        <v>0</v>
      </c>
      <c r="G39" s="62">
        <v>1897625</v>
      </c>
      <c r="H39" s="62"/>
      <c r="I39" s="60"/>
      <c r="J39" s="60"/>
      <c r="K39" s="64"/>
      <c r="L39" s="64"/>
      <c r="M39" s="25"/>
      <c r="N39" s="25"/>
    </row>
    <row r="40" spans="1:14" hidden="1">
      <c r="A40" s="3" t="s">
        <v>57</v>
      </c>
      <c r="B40" s="9">
        <v>144</v>
      </c>
      <c r="C40" s="7">
        <f t="shared" si="2"/>
        <v>0</v>
      </c>
      <c r="D40" s="7"/>
      <c r="E40" s="6">
        <f t="shared" si="0"/>
        <v>0</v>
      </c>
      <c r="F40" s="6">
        <f t="shared" si="1"/>
        <v>0</v>
      </c>
      <c r="G40" s="62"/>
      <c r="H40" s="62"/>
      <c r="I40" s="60"/>
      <c r="J40" s="60"/>
      <c r="K40" s="64"/>
      <c r="L40" s="64"/>
      <c r="M40" s="25"/>
      <c r="N40" s="25"/>
    </row>
    <row r="41" spans="1:14" hidden="1">
      <c r="A41" s="3" t="s">
        <v>58</v>
      </c>
      <c r="B41" s="4" t="s">
        <v>59</v>
      </c>
      <c r="C41" s="7">
        <f t="shared" si="2"/>
        <v>0</v>
      </c>
      <c r="D41" s="7"/>
      <c r="E41" s="6">
        <f t="shared" si="0"/>
        <v>0</v>
      </c>
      <c r="F41" s="6">
        <f t="shared" si="1"/>
        <v>0</v>
      </c>
      <c r="G41" s="62"/>
      <c r="H41" s="62"/>
      <c r="I41" s="60"/>
      <c r="J41" s="60"/>
      <c r="K41" s="64"/>
      <c r="L41" s="64"/>
      <c r="M41" s="25"/>
      <c r="N41" s="25"/>
    </row>
    <row r="42" spans="1:14">
      <c r="A42" s="3" t="s">
        <v>60</v>
      </c>
      <c r="B42" s="4" t="s">
        <v>61</v>
      </c>
      <c r="C42" s="7">
        <f t="shared" si="2"/>
        <v>29984964.059999987</v>
      </c>
      <c r="D42" s="7"/>
      <c r="E42" s="6">
        <f t="shared" si="0"/>
        <v>29984964.059999987</v>
      </c>
      <c r="F42" s="6">
        <f t="shared" si="1"/>
        <v>0</v>
      </c>
      <c r="G42" s="62">
        <v>29984964.059999987</v>
      </c>
      <c r="H42" s="62"/>
      <c r="I42" s="60"/>
      <c r="J42" s="60"/>
      <c r="K42" s="64"/>
      <c r="L42" s="64"/>
      <c r="M42" s="25"/>
      <c r="N42" s="25"/>
    </row>
    <row r="43" spans="1:14">
      <c r="A43" s="3" t="s">
        <v>62</v>
      </c>
      <c r="B43" s="4" t="s">
        <v>63</v>
      </c>
      <c r="C43" s="7">
        <f t="shared" si="2"/>
        <v>312433.89</v>
      </c>
      <c r="D43" s="7"/>
      <c r="E43" s="6">
        <f t="shared" si="0"/>
        <v>312433.89</v>
      </c>
      <c r="F43" s="6">
        <f t="shared" si="1"/>
        <v>0</v>
      </c>
      <c r="G43" s="62">
        <v>312433.89</v>
      </c>
      <c r="H43" s="62"/>
      <c r="I43" s="60"/>
      <c r="J43" s="60"/>
      <c r="K43" s="64"/>
      <c r="L43" s="64"/>
      <c r="M43" s="25"/>
      <c r="N43" s="25"/>
    </row>
    <row r="44" spans="1:14" hidden="1">
      <c r="A44" s="3" t="s">
        <v>64</v>
      </c>
      <c r="B44" s="4" t="s">
        <v>65</v>
      </c>
      <c r="C44" s="7">
        <f t="shared" si="2"/>
        <v>0</v>
      </c>
      <c r="D44" s="7"/>
      <c r="E44" s="6">
        <f t="shared" si="0"/>
        <v>0</v>
      </c>
      <c r="F44" s="6">
        <f t="shared" si="1"/>
        <v>0</v>
      </c>
      <c r="G44" s="62"/>
      <c r="H44" s="62"/>
      <c r="I44" s="60"/>
      <c r="J44" s="60"/>
      <c r="K44" s="64"/>
      <c r="L44" s="64"/>
      <c r="M44" s="25"/>
      <c r="N44" s="25"/>
    </row>
    <row r="45" spans="1:14" hidden="1">
      <c r="A45" s="3" t="s">
        <v>66</v>
      </c>
      <c r="B45" s="4" t="s">
        <v>67</v>
      </c>
      <c r="C45" s="7">
        <f t="shared" si="2"/>
        <v>0</v>
      </c>
      <c r="D45" s="7"/>
      <c r="E45" s="6">
        <f t="shared" si="0"/>
        <v>0</v>
      </c>
      <c r="F45" s="6">
        <f t="shared" si="1"/>
        <v>0</v>
      </c>
      <c r="G45" s="62"/>
      <c r="H45" s="62"/>
      <c r="I45" s="60"/>
      <c r="J45" s="60"/>
      <c r="K45" s="64"/>
      <c r="L45" s="64"/>
      <c r="M45" s="25"/>
      <c r="N45" s="25"/>
    </row>
    <row r="46" spans="1:14" hidden="1">
      <c r="A46" s="3" t="s">
        <v>68</v>
      </c>
      <c r="B46" s="4" t="s">
        <v>69</v>
      </c>
      <c r="C46" s="7">
        <f t="shared" si="2"/>
        <v>0</v>
      </c>
      <c r="D46" s="7"/>
      <c r="E46" s="6">
        <f t="shared" si="0"/>
        <v>0</v>
      </c>
      <c r="F46" s="6">
        <f t="shared" si="1"/>
        <v>0</v>
      </c>
      <c r="G46" s="62"/>
      <c r="H46" s="62"/>
      <c r="I46" s="60"/>
      <c r="J46" s="60"/>
      <c r="K46" s="64"/>
      <c r="L46" s="64"/>
      <c r="M46" s="25"/>
      <c r="N46" s="25"/>
    </row>
    <row r="47" spans="1:14" hidden="1">
      <c r="A47" s="3" t="s">
        <v>70</v>
      </c>
      <c r="B47" s="4" t="s">
        <v>71</v>
      </c>
      <c r="C47" s="7">
        <f t="shared" si="2"/>
        <v>0</v>
      </c>
      <c r="D47" s="7"/>
      <c r="E47" s="6">
        <f t="shared" si="0"/>
        <v>0</v>
      </c>
      <c r="F47" s="6">
        <f t="shared" si="1"/>
        <v>0</v>
      </c>
      <c r="G47" s="62"/>
      <c r="H47" s="62"/>
      <c r="I47" s="60"/>
      <c r="J47" s="60"/>
      <c r="K47" s="64"/>
      <c r="L47" s="64"/>
      <c r="M47" s="25"/>
      <c r="N47" s="25"/>
    </row>
    <row r="48" spans="1:14" hidden="1">
      <c r="A48" s="3" t="s">
        <v>72</v>
      </c>
      <c r="B48" s="4" t="s">
        <v>73</v>
      </c>
      <c r="C48" s="7">
        <f t="shared" si="2"/>
        <v>0</v>
      </c>
      <c r="D48" s="7"/>
      <c r="E48" s="6">
        <f t="shared" si="0"/>
        <v>0</v>
      </c>
      <c r="F48" s="6">
        <f t="shared" si="1"/>
        <v>0</v>
      </c>
      <c r="G48" s="62"/>
      <c r="H48" s="62"/>
      <c r="I48" s="60"/>
      <c r="J48" s="60"/>
      <c r="K48" s="64"/>
      <c r="L48" s="64"/>
      <c r="M48" s="25"/>
      <c r="N48" s="25"/>
    </row>
    <row r="49" spans="1:14" hidden="1">
      <c r="A49" s="3" t="s">
        <v>74</v>
      </c>
      <c r="B49" s="4" t="s">
        <v>75</v>
      </c>
      <c r="C49" s="7">
        <f t="shared" si="2"/>
        <v>0</v>
      </c>
      <c r="D49" s="7"/>
      <c r="E49" s="6">
        <f t="shared" si="0"/>
        <v>0</v>
      </c>
      <c r="F49" s="6">
        <f t="shared" si="1"/>
        <v>0</v>
      </c>
      <c r="G49" s="62"/>
      <c r="H49" s="62"/>
      <c r="I49" s="60"/>
      <c r="J49" s="60"/>
      <c r="K49" s="64"/>
      <c r="L49" s="64"/>
      <c r="M49" s="25"/>
      <c r="N49" s="25"/>
    </row>
    <row r="50" spans="1:14" hidden="1">
      <c r="A50" s="3" t="s">
        <v>76</v>
      </c>
      <c r="B50" s="4" t="s">
        <v>77</v>
      </c>
      <c r="C50" s="7">
        <f t="shared" si="2"/>
        <v>0</v>
      </c>
      <c r="D50" s="7"/>
      <c r="E50" s="6">
        <f t="shared" si="0"/>
        <v>0</v>
      </c>
      <c r="F50" s="6">
        <f t="shared" si="1"/>
        <v>0</v>
      </c>
      <c r="G50" s="62"/>
      <c r="H50" s="62"/>
      <c r="I50" s="60"/>
      <c r="J50" s="60"/>
      <c r="K50" s="64"/>
      <c r="L50" s="64"/>
      <c r="M50" s="25"/>
      <c r="N50" s="25"/>
    </row>
    <row r="51" spans="1:14" hidden="1">
      <c r="A51" s="3" t="s">
        <v>78</v>
      </c>
      <c r="B51" s="4" t="s">
        <v>79</v>
      </c>
      <c r="C51" s="7">
        <f t="shared" si="2"/>
        <v>0</v>
      </c>
      <c r="D51" s="7"/>
      <c r="E51" s="6">
        <f t="shared" si="0"/>
        <v>0</v>
      </c>
      <c r="F51" s="6">
        <f t="shared" si="1"/>
        <v>0</v>
      </c>
      <c r="G51" s="62"/>
      <c r="H51" s="62"/>
      <c r="I51" s="60"/>
      <c r="J51" s="60"/>
      <c r="K51" s="64"/>
      <c r="L51" s="64"/>
      <c r="M51" s="25"/>
      <c r="N51" s="25"/>
    </row>
    <row r="52" spans="1:14">
      <c r="A52" s="3" t="s">
        <v>80</v>
      </c>
      <c r="B52" s="4" t="s">
        <v>81</v>
      </c>
      <c r="C52" s="7">
        <f t="shared" si="2"/>
        <v>2812761.87</v>
      </c>
      <c r="D52" s="7"/>
      <c r="E52" s="6">
        <f t="shared" si="0"/>
        <v>2812761.87</v>
      </c>
      <c r="F52" s="6">
        <f t="shared" si="1"/>
        <v>0</v>
      </c>
      <c r="G52" s="62">
        <v>2812761.87</v>
      </c>
      <c r="H52" s="62"/>
      <c r="I52" s="60"/>
      <c r="J52" s="60"/>
      <c r="K52" s="64"/>
      <c r="L52" s="64"/>
      <c r="M52" s="25"/>
      <c r="N52" s="25"/>
    </row>
    <row r="53" spans="1:14" hidden="1">
      <c r="A53" s="8" t="s">
        <v>82</v>
      </c>
      <c r="B53" s="4" t="s">
        <v>83</v>
      </c>
      <c r="C53" s="7">
        <f t="shared" si="2"/>
        <v>0</v>
      </c>
      <c r="D53" s="7"/>
      <c r="E53" s="6">
        <f t="shared" si="0"/>
        <v>0</v>
      </c>
      <c r="F53" s="6">
        <f t="shared" si="1"/>
        <v>0</v>
      </c>
      <c r="G53" s="62"/>
      <c r="H53" s="62"/>
      <c r="I53" s="60"/>
      <c r="J53" s="60"/>
      <c r="K53" s="64"/>
      <c r="L53" s="64"/>
      <c r="M53" s="25"/>
      <c r="N53" s="25"/>
    </row>
    <row r="54" spans="1:14">
      <c r="A54" s="3" t="s">
        <v>84</v>
      </c>
      <c r="B54" s="4" t="s">
        <v>85</v>
      </c>
      <c r="C54" s="7">
        <f t="shared" si="2"/>
        <v>4202400</v>
      </c>
      <c r="D54" s="7"/>
      <c r="E54" s="6">
        <f t="shared" si="0"/>
        <v>4202400</v>
      </c>
      <c r="F54" s="6">
        <f t="shared" si="1"/>
        <v>0</v>
      </c>
      <c r="G54" s="62">
        <v>4202400</v>
      </c>
      <c r="H54" s="62"/>
      <c r="I54" s="60"/>
      <c r="J54" s="60"/>
      <c r="K54" s="64"/>
      <c r="L54" s="64"/>
      <c r="M54" s="25"/>
      <c r="N54" s="25"/>
    </row>
    <row r="55" spans="1:14" hidden="1">
      <c r="A55" s="3" t="s">
        <v>86</v>
      </c>
      <c r="B55" s="4" t="s">
        <v>87</v>
      </c>
      <c r="C55" s="7">
        <f t="shared" si="2"/>
        <v>0</v>
      </c>
      <c r="D55" s="7"/>
      <c r="E55" s="6">
        <f t="shared" si="0"/>
        <v>0</v>
      </c>
      <c r="F55" s="6">
        <f t="shared" si="1"/>
        <v>0</v>
      </c>
      <c r="G55" s="62"/>
      <c r="H55" s="62"/>
      <c r="I55" s="60"/>
      <c r="J55" s="60"/>
      <c r="K55" s="64"/>
      <c r="L55" s="64"/>
      <c r="M55" s="25"/>
      <c r="N55" s="25"/>
    </row>
    <row r="56" spans="1:14" hidden="1">
      <c r="A56" s="8" t="s">
        <v>88</v>
      </c>
      <c r="B56" s="4" t="s">
        <v>89</v>
      </c>
      <c r="C56" s="7">
        <f t="shared" si="2"/>
        <v>0</v>
      </c>
      <c r="D56" s="7"/>
      <c r="E56" s="6">
        <f t="shared" si="0"/>
        <v>0</v>
      </c>
      <c r="F56" s="6">
        <f t="shared" si="1"/>
        <v>0</v>
      </c>
      <c r="G56" s="62"/>
      <c r="H56" s="62"/>
      <c r="I56" s="60"/>
      <c r="J56" s="60"/>
      <c r="K56" s="64"/>
      <c r="L56" s="64"/>
      <c r="M56" s="25"/>
      <c r="N56" s="25"/>
    </row>
    <row r="57" spans="1:14" hidden="1">
      <c r="A57" s="3" t="s">
        <v>90</v>
      </c>
      <c r="B57" s="4" t="s">
        <v>91</v>
      </c>
      <c r="C57" s="7">
        <f t="shared" si="2"/>
        <v>0</v>
      </c>
      <c r="D57" s="7"/>
      <c r="E57" s="6">
        <f t="shared" si="0"/>
        <v>0</v>
      </c>
      <c r="F57" s="6">
        <f t="shared" si="1"/>
        <v>0</v>
      </c>
      <c r="G57" s="62"/>
      <c r="H57" s="62"/>
      <c r="I57" s="60"/>
      <c r="J57" s="60"/>
      <c r="K57" s="64"/>
      <c r="L57" s="64"/>
      <c r="M57" s="25"/>
      <c r="N57" s="25"/>
    </row>
    <row r="58" spans="1:14" hidden="1">
      <c r="A58" s="3" t="s">
        <v>92</v>
      </c>
      <c r="B58" s="4">
        <v>165</v>
      </c>
      <c r="C58" s="7">
        <f t="shared" si="2"/>
        <v>0</v>
      </c>
      <c r="D58" s="7"/>
      <c r="E58" s="6">
        <f t="shared" si="0"/>
        <v>0</v>
      </c>
      <c r="F58" s="6">
        <f t="shared" si="1"/>
        <v>0</v>
      </c>
      <c r="G58" s="62"/>
      <c r="H58" s="62"/>
      <c r="I58" s="60"/>
      <c r="J58" s="60"/>
      <c r="K58" s="64"/>
      <c r="L58" s="64"/>
      <c r="M58" s="25"/>
      <c r="N58" s="25"/>
    </row>
    <row r="59" spans="1:14" hidden="1">
      <c r="A59" s="3" t="s">
        <v>93</v>
      </c>
      <c r="B59" s="4">
        <v>166</v>
      </c>
      <c r="C59" s="7">
        <f t="shared" si="2"/>
        <v>0</v>
      </c>
      <c r="D59" s="7"/>
      <c r="E59" s="6">
        <f t="shared" si="0"/>
        <v>0</v>
      </c>
      <c r="F59" s="6">
        <f t="shared" si="1"/>
        <v>0</v>
      </c>
      <c r="G59" s="62"/>
      <c r="H59" s="62"/>
      <c r="I59" s="60"/>
      <c r="J59" s="60"/>
      <c r="K59" s="64"/>
      <c r="L59" s="64"/>
      <c r="M59" s="25"/>
      <c r="N59" s="25"/>
    </row>
    <row r="60" spans="1:14" hidden="1">
      <c r="A60" s="3" t="s">
        <v>94</v>
      </c>
      <c r="B60" s="4">
        <v>167</v>
      </c>
      <c r="C60" s="7">
        <f t="shared" si="2"/>
        <v>0</v>
      </c>
      <c r="D60" s="7"/>
      <c r="E60" s="6">
        <f t="shared" si="0"/>
        <v>0</v>
      </c>
      <c r="F60" s="6">
        <f t="shared" si="1"/>
        <v>0</v>
      </c>
      <c r="G60" s="62"/>
      <c r="H60" s="62"/>
      <c r="I60" s="60"/>
      <c r="J60" s="60"/>
      <c r="K60" s="64"/>
      <c r="L60" s="64"/>
      <c r="M60" s="25"/>
      <c r="N60" s="25"/>
    </row>
    <row r="61" spans="1:14" hidden="1">
      <c r="A61" s="3" t="s">
        <v>95</v>
      </c>
      <c r="B61" s="4" t="s">
        <v>96</v>
      </c>
      <c r="C61" s="7">
        <f t="shared" si="2"/>
        <v>0</v>
      </c>
      <c r="D61" s="7"/>
      <c r="E61" s="6">
        <f t="shared" si="0"/>
        <v>0</v>
      </c>
      <c r="F61" s="6">
        <f t="shared" si="1"/>
        <v>0</v>
      </c>
      <c r="G61" s="62"/>
      <c r="H61" s="62"/>
      <c r="I61" s="60"/>
      <c r="J61" s="60"/>
      <c r="K61" s="64"/>
      <c r="L61" s="64"/>
      <c r="M61" s="25"/>
      <c r="N61" s="25"/>
    </row>
    <row r="62" spans="1:14" hidden="1">
      <c r="A62" s="3" t="s">
        <v>97</v>
      </c>
      <c r="B62" s="4" t="s">
        <v>98</v>
      </c>
      <c r="C62" s="7">
        <f t="shared" si="2"/>
        <v>0</v>
      </c>
      <c r="D62" s="7"/>
      <c r="E62" s="6">
        <f t="shared" si="0"/>
        <v>0</v>
      </c>
      <c r="F62" s="6">
        <f t="shared" si="1"/>
        <v>0</v>
      </c>
      <c r="G62" s="62"/>
      <c r="H62" s="62"/>
      <c r="I62" s="60"/>
      <c r="J62" s="60"/>
      <c r="K62" s="64"/>
      <c r="L62" s="64"/>
      <c r="M62" s="25"/>
      <c r="N62" s="25"/>
    </row>
    <row r="63" spans="1:14" hidden="1">
      <c r="A63" s="3" t="s">
        <v>99</v>
      </c>
      <c r="B63" s="4" t="s">
        <v>100</v>
      </c>
      <c r="C63" s="7">
        <f t="shared" si="2"/>
        <v>0</v>
      </c>
      <c r="D63" s="7"/>
      <c r="E63" s="6">
        <f t="shared" si="0"/>
        <v>0</v>
      </c>
      <c r="F63" s="6">
        <f t="shared" si="1"/>
        <v>0</v>
      </c>
      <c r="G63" s="62"/>
      <c r="H63" s="62"/>
      <c r="I63" s="60"/>
      <c r="J63" s="60"/>
      <c r="K63" s="64"/>
      <c r="L63" s="64"/>
      <c r="M63" s="25"/>
      <c r="N63" s="25"/>
    </row>
    <row r="64" spans="1:14" hidden="1">
      <c r="A64" s="3" t="s">
        <v>101</v>
      </c>
      <c r="B64" s="4" t="s">
        <v>102</v>
      </c>
      <c r="C64" s="7">
        <f t="shared" si="2"/>
        <v>0</v>
      </c>
      <c r="D64" s="7"/>
      <c r="E64" s="6">
        <f t="shared" si="0"/>
        <v>0</v>
      </c>
      <c r="F64" s="6">
        <f t="shared" si="1"/>
        <v>0</v>
      </c>
      <c r="G64" s="62"/>
      <c r="H64" s="62"/>
      <c r="I64" s="60"/>
      <c r="J64" s="60"/>
      <c r="K64" s="64"/>
      <c r="L64" s="64"/>
      <c r="M64" s="25"/>
      <c r="N64" s="25"/>
    </row>
    <row r="65" spans="1:14" hidden="1">
      <c r="A65" s="3" t="s">
        <v>103</v>
      </c>
      <c r="B65" s="4" t="s">
        <v>104</v>
      </c>
      <c r="C65" s="7">
        <f t="shared" si="2"/>
        <v>0</v>
      </c>
      <c r="D65" s="7"/>
      <c r="E65" s="6">
        <f t="shared" si="0"/>
        <v>0</v>
      </c>
      <c r="F65" s="6">
        <f t="shared" si="1"/>
        <v>0</v>
      </c>
      <c r="G65" s="62"/>
      <c r="H65" s="62"/>
      <c r="I65" s="60"/>
      <c r="J65" s="60"/>
      <c r="K65" s="64"/>
      <c r="L65" s="64"/>
      <c r="M65" s="25"/>
      <c r="N65" s="25"/>
    </row>
    <row r="66" spans="1:14" hidden="1">
      <c r="A66" s="3" t="s">
        <v>105</v>
      </c>
      <c r="B66" s="9">
        <v>178</v>
      </c>
      <c r="C66" s="7">
        <f t="shared" si="2"/>
        <v>0</v>
      </c>
      <c r="D66" s="7"/>
      <c r="E66" s="6">
        <f t="shared" si="0"/>
        <v>0</v>
      </c>
      <c r="F66" s="6">
        <f t="shared" si="1"/>
        <v>0</v>
      </c>
      <c r="G66" s="62"/>
      <c r="H66" s="62"/>
      <c r="I66" s="60"/>
      <c r="J66" s="60"/>
      <c r="K66" s="64"/>
      <c r="L66" s="64"/>
      <c r="M66" s="25"/>
      <c r="N66" s="25"/>
    </row>
    <row r="67" spans="1:14" hidden="1">
      <c r="A67" s="3" t="s">
        <v>106</v>
      </c>
      <c r="B67" s="4">
        <v>179</v>
      </c>
      <c r="C67" s="7">
        <f t="shared" si="2"/>
        <v>0</v>
      </c>
      <c r="D67" s="7"/>
      <c r="E67" s="6">
        <f t="shared" si="0"/>
        <v>0</v>
      </c>
      <c r="F67" s="6">
        <f t="shared" si="1"/>
        <v>0</v>
      </c>
      <c r="G67" s="62"/>
      <c r="H67" s="62"/>
      <c r="I67" s="60"/>
      <c r="J67" s="60"/>
      <c r="K67" s="64"/>
      <c r="L67" s="64"/>
      <c r="M67" s="25"/>
      <c r="N67" s="25"/>
    </row>
    <row r="68" spans="1:14" hidden="1">
      <c r="A68" s="3" t="s">
        <v>107</v>
      </c>
      <c r="B68" s="9">
        <v>180</v>
      </c>
      <c r="C68" s="7">
        <f t="shared" si="2"/>
        <v>0</v>
      </c>
      <c r="D68" s="7"/>
      <c r="E68" s="6">
        <f t="shared" si="0"/>
        <v>0</v>
      </c>
      <c r="F68" s="6">
        <f t="shared" si="1"/>
        <v>0</v>
      </c>
      <c r="G68" s="62"/>
      <c r="H68" s="62"/>
      <c r="I68" s="60"/>
      <c r="J68" s="60"/>
      <c r="K68" s="64"/>
      <c r="L68" s="64"/>
      <c r="M68" s="25"/>
      <c r="N68" s="25"/>
    </row>
    <row r="69" spans="1:14">
      <c r="A69" s="3" t="s">
        <v>108</v>
      </c>
      <c r="B69" s="9">
        <v>181</v>
      </c>
      <c r="C69" s="7">
        <f t="shared" si="2"/>
        <v>840000</v>
      </c>
      <c r="D69" s="7"/>
      <c r="E69" s="6">
        <f t="shared" si="0"/>
        <v>840000</v>
      </c>
      <c r="F69" s="6">
        <f t="shared" si="1"/>
        <v>0</v>
      </c>
      <c r="G69" s="62">
        <v>840000</v>
      </c>
      <c r="H69" s="62"/>
      <c r="I69" s="60"/>
      <c r="J69" s="60"/>
      <c r="K69" s="64"/>
      <c r="L69" s="64"/>
      <c r="M69" s="25"/>
      <c r="N69" s="25"/>
    </row>
    <row r="70" spans="1:14" hidden="1">
      <c r="A70" s="3" t="s">
        <v>109</v>
      </c>
      <c r="B70" s="9">
        <v>182</v>
      </c>
      <c r="C70" s="7">
        <f t="shared" si="2"/>
        <v>0</v>
      </c>
      <c r="D70" s="7"/>
      <c r="E70" s="6">
        <f t="shared" si="0"/>
        <v>0</v>
      </c>
      <c r="F70" s="6">
        <f t="shared" si="1"/>
        <v>0</v>
      </c>
      <c r="G70" s="62"/>
      <c r="H70" s="62"/>
      <c r="I70" s="60"/>
      <c r="J70" s="60"/>
      <c r="K70" s="64"/>
      <c r="L70" s="64"/>
      <c r="M70" s="25"/>
      <c r="N70" s="25"/>
    </row>
    <row r="71" spans="1:14" hidden="1">
      <c r="A71" s="3" t="s">
        <v>110</v>
      </c>
      <c r="B71" s="9">
        <v>185</v>
      </c>
      <c r="C71" s="7">
        <f t="shared" si="2"/>
        <v>0</v>
      </c>
      <c r="D71" s="7"/>
      <c r="E71" s="6">
        <f t="shared" si="0"/>
        <v>0</v>
      </c>
      <c r="F71" s="6">
        <f t="shared" si="1"/>
        <v>0</v>
      </c>
      <c r="G71" s="62"/>
      <c r="H71" s="62"/>
      <c r="I71" s="60"/>
      <c r="J71" s="60"/>
      <c r="K71" s="64"/>
      <c r="L71" s="64"/>
      <c r="M71" s="25"/>
      <c r="N71" s="25"/>
    </row>
    <row r="72" spans="1:14" hidden="1">
      <c r="A72" s="3" t="s">
        <v>111</v>
      </c>
      <c r="B72" s="4" t="s">
        <v>112</v>
      </c>
      <c r="C72" s="7">
        <f t="shared" si="2"/>
        <v>0</v>
      </c>
      <c r="D72" s="7"/>
      <c r="E72" s="6">
        <f t="shared" si="0"/>
        <v>0</v>
      </c>
      <c r="F72" s="6">
        <f t="shared" si="1"/>
        <v>0</v>
      </c>
      <c r="G72" s="62"/>
      <c r="H72" s="62"/>
      <c r="I72" s="60"/>
      <c r="J72" s="60"/>
      <c r="K72" s="64"/>
      <c r="L72" s="64"/>
      <c r="M72" s="25"/>
      <c r="N72" s="25"/>
    </row>
    <row r="73" spans="1:14" hidden="1">
      <c r="A73" s="3" t="s">
        <v>113</v>
      </c>
      <c r="B73" s="4" t="s">
        <v>114</v>
      </c>
      <c r="C73" s="7">
        <f t="shared" si="2"/>
        <v>0</v>
      </c>
      <c r="D73" s="7"/>
      <c r="E73" s="6">
        <f t="shared" si="0"/>
        <v>0</v>
      </c>
      <c r="F73" s="6">
        <f t="shared" si="1"/>
        <v>0</v>
      </c>
      <c r="G73" s="62"/>
      <c r="H73" s="62"/>
      <c r="I73" s="60"/>
      <c r="J73" s="60"/>
      <c r="K73" s="64"/>
      <c r="L73" s="64"/>
      <c r="M73" s="25"/>
      <c r="N73" s="25"/>
    </row>
    <row r="74" spans="1:14" hidden="1">
      <c r="A74" s="3" t="s">
        <v>115</v>
      </c>
      <c r="B74" s="4" t="s">
        <v>116</v>
      </c>
      <c r="C74" s="7">
        <f t="shared" si="2"/>
        <v>0</v>
      </c>
      <c r="D74" s="7"/>
      <c r="E74" s="6">
        <f t="shared" si="0"/>
        <v>0</v>
      </c>
      <c r="F74" s="6">
        <f t="shared" si="1"/>
        <v>0</v>
      </c>
      <c r="G74" s="62"/>
      <c r="H74" s="62"/>
      <c r="I74" s="60"/>
      <c r="J74" s="60"/>
      <c r="K74" s="64"/>
      <c r="L74" s="64"/>
      <c r="M74" s="25"/>
      <c r="N74" s="25"/>
    </row>
    <row r="75" spans="1:14" hidden="1">
      <c r="A75" s="3" t="s">
        <v>117</v>
      </c>
      <c r="B75" s="4" t="s">
        <v>118</v>
      </c>
      <c r="C75" s="7">
        <f t="shared" si="2"/>
        <v>0</v>
      </c>
      <c r="D75" s="7"/>
      <c r="E75" s="6">
        <f t="shared" si="0"/>
        <v>0</v>
      </c>
      <c r="F75" s="6">
        <f t="shared" si="1"/>
        <v>0</v>
      </c>
      <c r="G75" s="62"/>
      <c r="H75" s="62"/>
      <c r="I75" s="60"/>
      <c r="J75" s="60"/>
      <c r="K75" s="64"/>
      <c r="L75" s="64"/>
      <c r="M75" s="25"/>
      <c r="N75" s="25"/>
    </row>
    <row r="76" spans="1:14" hidden="1">
      <c r="A76" s="3" t="s">
        <v>119</v>
      </c>
      <c r="B76" s="4" t="s">
        <v>120</v>
      </c>
      <c r="C76" s="7">
        <f t="shared" si="2"/>
        <v>0</v>
      </c>
      <c r="D76" s="7"/>
      <c r="E76" s="6">
        <f t="shared" si="0"/>
        <v>0</v>
      </c>
      <c r="F76" s="6">
        <f t="shared" si="1"/>
        <v>0</v>
      </c>
      <c r="G76" s="62"/>
      <c r="H76" s="62"/>
      <c r="I76" s="60"/>
      <c r="J76" s="60"/>
      <c r="K76" s="64"/>
      <c r="L76" s="64"/>
      <c r="M76" s="25"/>
      <c r="N76" s="25"/>
    </row>
    <row r="77" spans="1:14" hidden="1">
      <c r="A77" s="3" t="s">
        <v>121</v>
      </c>
      <c r="B77" s="4" t="s">
        <v>122</v>
      </c>
      <c r="C77" s="7">
        <f t="shared" si="2"/>
        <v>0</v>
      </c>
      <c r="D77" s="7"/>
      <c r="E77" s="6">
        <f t="shared" si="0"/>
        <v>0</v>
      </c>
      <c r="F77" s="6">
        <f t="shared" si="1"/>
        <v>0</v>
      </c>
      <c r="G77" s="62"/>
      <c r="H77" s="62"/>
      <c r="I77" s="60"/>
      <c r="J77" s="60"/>
      <c r="K77" s="64"/>
      <c r="L77" s="64"/>
      <c r="M77" s="25"/>
      <c r="N77" s="25"/>
    </row>
    <row r="78" spans="1:14" hidden="1">
      <c r="A78" s="3" t="s">
        <v>123</v>
      </c>
      <c r="B78" s="4" t="s">
        <v>124</v>
      </c>
      <c r="C78" s="7">
        <f t="shared" si="2"/>
        <v>0</v>
      </c>
      <c r="D78" s="7"/>
      <c r="E78" s="6">
        <f t="shared" ref="E78:E141" si="3">SUM(G78,I78,K78,M78)</f>
        <v>0</v>
      </c>
      <c r="F78" s="6">
        <f t="shared" ref="F78:F141" si="4">SUM(H78,J78,L78,N78)</f>
        <v>0</v>
      </c>
      <c r="G78" s="62"/>
      <c r="H78" s="62"/>
      <c r="I78" s="60"/>
      <c r="J78" s="60"/>
      <c r="K78" s="64"/>
      <c r="L78" s="64"/>
      <c r="M78" s="25"/>
      <c r="N78" s="25"/>
    </row>
    <row r="79" spans="1:14" hidden="1">
      <c r="A79" s="3" t="s">
        <v>125</v>
      </c>
      <c r="B79" s="4">
        <v>201</v>
      </c>
      <c r="C79" s="7">
        <f t="shared" si="2"/>
        <v>0</v>
      </c>
      <c r="D79" s="7"/>
      <c r="E79" s="6">
        <f t="shared" si="3"/>
        <v>0</v>
      </c>
      <c r="F79" s="6">
        <f t="shared" si="4"/>
        <v>0</v>
      </c>
      <c r="G79" s="62"/>
      <c r="H79" s="62"/>
      <c r="I79" s="60"/>
      <c r="J79" s="60"/>
      <c r="K79" s="64"/>
      <c r="L79" s="64"/>
      <c r="M79" s="25"/>
      <c r="N79" s="25"/>
    </row>
    <row r="80" spans="1:14" hidden="1">
      <c r="A80" s="3" t="s">
        <v>126</v>
      </c>
      <c r="B80" s="4">
        <v>202</v>
      </c>
      <c r="C80" s="7">
        <f t="shared" si="2"/>
        <v>0</v>
      </c>
      <c r="D80" s="7"/>
      <c r="E80" s="6">
        <f t="shared" si="3"/>
        <v>0</v>
      </c>
      <c r="F80" s="6">
        <f t="shared" si="4"/>
        <v>0</v>
      </c>
      <c r="G80" s="62"/>
      <c r="H80" s="62"/>
      <c r="I80" s="60"/>
      <c r="J80" s="60"/>
      <c r="K80" s="64"/>
      <c r="L80" s="64"/>
      <c r="M80" s="25"/>
      <c r="N80" s="25"/>
    </row>
    <row r="81" spans="1:14" hidden="1">
      <c r="A81" s="8" t="s">
        <v>127</v>
      </c>
      <c r="B81" s="4">
        <v>302</v>
      </c>
      <c r="C81" s="7"/>
      <c r="D81" s="7">
        <f>F81-E81</f>
        <v>0</v>
      </c>
      <c r="E81" s="6">
        <f t="shared" si="3"/>
        <v>0</v>
      </c>
      <c r="F81" s="6">
        <f t="shared" si="4"/>
        <v>0</v>
      </c>
      <c r="G81" s="62"/>
      <c r="H81" s="62"/>
      <c r="I81" s="60"/>
      <c r="J81" s="60"/>
      <c r="K81" s="64"/>
      <c r="L81" s="64"/>
      <c r="M81" s="25"/>
      <c r="N81" s="25"/>
    </row>
    <row r="82" spans="1:14" hidden="1">
      <c r="A82" s="3" t="s">
        <v>128</v>
      </c>
      <c r="B82" s="4">
        <v>203</v>
      </c>
      <c r="C82" s="7">
        <f>E82-F82</f>
        <v>0</v>
      </c>
      <c r="D82" s="7"/>
      <c r="E82" s="6">
        <f t="shared" si="3"/>
        <v>0</v>
      </c>
      <c r="F82" s="6">
        <f t="shared" si="4"/>
        <v>0</v>
      </c>
      <c r="G82" s="62"/>
      <c r="H82" s="62"/>
      <c r="I82" s="60"/>
      <c r="J82" s="60"/>
      <c r="K82" s="64"/>
      <c r="L82" s="64"/>
      <c r="M82" s="25"/>
      <c r="N82" s="25"/>
    </row>
    <row r="83" spans="1:14" hidden="1">
      <c r="A83" s="3" t="s">
        <v>129</v>
      </c>
      <c r="B83" s="4">
        <v>303</v>
      </c>
      <c r="C83" s="7"/>
      <c r="D83" s="7">
        <f>F83-E83</f>
        <v>0</v>
      </c>
      <c r="E83" s="6">
        <f t="shared" si="3"/>
        <v>0</v>
      </c>
      <c r="F83" s="6">
        <f t="shared" si="4"/>
        <v>0</v>
      </c>
      <c r="G83" s="62"/>
      <c r="H83" s="62"/>
      <c r="I83" s="60"/>
      <c r="J83" s="60"/>
      <c r="K83" s="64"/>
      <c r="L83" s="64"/>
      <c r="M83" s="25"/>
      <c r="N83" s="25"/>
    </row>
    <row r="84" spans="1:14" hidden="1">
      <c r="A84" s="3" t="s">
        <v>130</v>
      </c>
      <c r="B84" s="4">
        <v>204</v>
      </c>
      <c r="C84" s="7">
        <f>E84-F84</f>
        <v>0</v>
      </c>
      <c r="D84" s="7"/>
      <c r="E84" s="6">
        <f t="shared" si="3"/>
        <v>0</v>
      </c>
      <c r="F84" s="6">
        <f t="shared" si="4"/>
        <v>0</v>
      </c>
      <c r="G84" s="62"/>
      <c r="H84" s="62"/>
      <c r="I84" s="60"/>
      <c r="J84" s="60"/>
      <c r="K84" s="64"/>
      <c r="L84" s="64"/>
      <c r="M84" s="25"/>
      <c r="N84" s="25"/>
    </row>
    <row r="85" spans="1:14" hidden="1">
      <c r="A85" s="3" t="s">
        <v>131</v>
      </c>
      <c r="B85" s="4">
        <v>304</v>
      </c>
      <c r="C85" s="7"/>
      <c r="D85" s="7">
        <f>F85-E85</f>
        <v>0</v>
      </c>
      <c r="E85" s="6">
        <f t="shared" si="3"/>
        <v>0</v>
      </c>
      <c r="F85" s="6">
        <f t="shared" si="4"/>
        <v>0</v>
      </c>
      <c r="G85" s="62"/>
      <c r="H85" s="62"/>
      <c r="I85" s="60"/>
      <c r="J85" s="60"/>
      <c r="K85" s="64"/>
      <c r="L85" s="64"/>
      <c r="M85" s="25"/>
      <c r="N85" s="25"/>
    </row>
    <row r="86" spans="1:14" hidden="1">
      <c r="A86" s="3" t="s">
        <v>132</v>
      </c>
      <c r="B86" s="4">
        <v>205</v>
      </c>
      <c r="C86" s="7">
        <f>E86-F86</f>
        <v>0</v>
      </c>
      <c r="D86" s="7"/>
      <c r="E86" s="6">
        <f t="shared" si="3"/>
        <v>0</v>
      </c>
      <c r="F86" s="6">
        <f t="shared" si="4"/>
        <v>0</v>
      </c>
      <c r="G86" s="62"/>
      <c r="H86" s="62"/>
      <c r="I86" s="60"/>
      <c r="J86" s="60"/>
      <c r="K86" s="64"/>
      <c r="L86" s="64"/>
      <c r="M86" s="25"/>
      <c r="N86" s="25"/>
    </row>
    <row r="87" spans="1:14" ht="28.5" hidden="1">
      <c r="A87" s="8" t="s">
        <v>133</v>
      </c>
      <c r="B87" s="4">
        <v>305</v>
      </c>
      <c r="C87" s="7"/>
      <c r="D87" s="7">
        <f>F87-E87</f>
        <v>0</v>
      </c>
      <c r="E87" s="6">
        <f t="shared" si="3"/>
        <v>0</v>
      </c>
      <c r="F87" s="6">
        <f t="shared" si="4"/>
        <v>0</v>
      </c>
      <c r="G87" s="62"/>
      <c r="H87" s="62"/>
      <c r="I87" s="60"/>
      <c r="J87" s="60"/>
      <c r="K87" s="64"/>
      <c r="L87" s="64"/>
      <c r="M87" s="25"/>
      <c r="N87" s="25"/>
    </row>
    <row r="88" spans="1:14" hidden="1">
      <c r="A88" s="8" t="s">
        <v>134</v>
      </c>
      <c r="B88" s="4" t="s">
        <v>135</v>
      </c>
      <c r="C88" s="7">
        <f>E88-F88</f>
        <v>0</v>
      </c>
      <c r="D88" s="7"/>
      <c r="E88" s="6">
        <f t="shared" si="3"/>
        <v>0</v>
      </c>
      <c r="F88" s="6">
        <f t="shared" si="4"/>
        <v>0</v>
      </c>
      <c r="G88" s="62"/>
      <c r="H88" s="62"/>
      <c r="I88" s="60"/>
      <c r="J88" s="60"/>
      <c r="K88" s="64"/>
      <c r="L88" s="64"/>
      <c r="M88" s="25"/>
      <c r="N88" s="25"/>
    </row>
    <row r="89" spans="1:14" hidden="1">
      <c r="A89" s="8" t="s">
        <v>136</v>
      </c>
      <c r="B89" s="4" t="s">
        <v>137</v>
      </c>
      <c r="C89" s="7"/>
      <c r="D89" s="7">
        <f>F89-E89</f>
        <v>0</v>
      </c>
      <c r="E89" s="6">
        <f t="shared" si="3"/>
        <v>0</v>
      </c>
      <c r="F89" s="6">
        <f t="shared" si="4"/>
        <v>0</v>
      </c>
      <c r="G89" s="62"/>
      <c r="H89" s="62"/>
      <c r="I89" s="60"/>
      <c r="J89" s="60"/>
      <c r="K89" s="64"/>
      <c r="L89" s="64"/>
      <c r="M89" s="25"/>
      <c r="N89" s="25"/>
    </row>
    <row r="90" spans="1:14" hidden="1">
      <c r="A90" s="8" t="s">
        <v>138</v>
      </c>
      <c r="B90" s="4" t="s">
        <v>139</v>
      </c>
      <c r="C90" s="7">
        <f>E90-F90</f>
        <v>0</v>
      </c>
      <c r="D90" s="7"/>
      <c r="E90" s="6">
        <f t="shared" si="3"/>
        <v>0</v>
      </c>
      <c r="F90" s="6">
        <f t="shared" si="4"/>
        <v>0</v>
      </c>
      <c r="G90" s="62"/>
      <c r="H90" s="62"/>
      <c r="I90" s="60"/>
      <c r="J90" s="60"/>
      <c r="K90" s="64"/>
      <c r="L90" s="64"/>
      <c r="M90" s="25"/>
      <c r="N90" s="25"/>
    </row>
    <row r="91" spans="1:14" hidden="1">
      <c r="A91" s="8" t="s">
        <v>140</v>
      </c>
      <c r="B91" s="4" t="s">
        <v>141</v>
      </c>
      <c r="C91" s="7"/>
      <c r="D91" s="7">
        <f>F91-E91</f>
        <v>0</v>
      </c>
      <c r="E91" s="6">
        <f t="shared" si="3"/>
        <v>0</v>
      </c>
      <c r="F91" s="6">
        <f t="shared" si="4"/>
        <v>0</v>
      </c>
      <c r="G91" s="62"/>
      <c r="H91" s="62"/>
      <c r="I91" s="60"/>
      <c r="J91" s="60"/>
      <c r="K91" s="64"/>
      <c r="L91" s="64"/>
      <c r="M91" s="25"/>
      <c r="N91" s="25"/>
    </row>
    <row r="92" spans="1:14" hidden="1">
      <c r="A92" s="8" t="s">
        <v>142</v>
      </c>
      <c r="B92" s="4" t="s">
        <v>143</v>
      </c>
      <c r="C92" s="7">
        <f>E92-F92</f>
        <v>0</v>
      </c>
      <c r="D92" s="7"/>
      <c r="E92" s="6">
        <f t="shared" si="3"/>
        <v>0</v>
      </c>
      <c r="F92" s="6">
        <f t="shared" si="4"/>
        <v>0</v>
      </c>
      <c r="G92" s="62"/>
      <c r="H92" s="62"/>
      <c r="I92" s="60"/>
      <c r="J92" s="60"/>
      <c r="K92" s="64"/>
      <c r="L92" s="64"/>
      <c r="M92" s="25"/>
      <c r="N92" s="25"/>
    </row>
    <row r="93" spans="1:14" ht="28.5" hidden="1">
      <c r="A93" s="8" t="s">
        <v>144</v>
      </c>
      <c r="B93" s="4" t="s">
        <v>145</v>
      </c>
      <c r="C93" s="7"/>
      <c r="D93" s="7">
        <f>F93-E93</f>
        <v>0</v>
      </c>
      <c r="E93" s="6">
        <f t="shared" si="3"/>
        <v>0</v>
      </c>
      <c r="F93" s="6">
        <f t="shared" si="4"/>
        <v>0</v>
      </c>
      <c r="G93" s="62"/>
      <c r="H93" s="62"/>
      <c r="I93" s="60"/>
      <c r="J93" s="60"/>
      <c r="K93" s="64"/>
      <c r="L93" s="64"/>
      <c r="M93" s="25"/>
      <c r="N93" s="25"/>
    </row>
    <row r="94" spans="1:14" hidden="1">
      <c r="A94" s="8" t="s">
        <v>146</v>
      </c>
      <c r="B94" s="4" t="s">
        <v>147</v>
      </c>
      <c r="C94" s="7">
        <f>E94-F94</f>
        <v>0</v>
      </c>
      <c r="D94" s="7"/>
      <c r="E94" s="6">
        <f t="shared" si="3"/>
        <v>0</v>
      </c>
      <c r="F94" s="6">
        <f t="shared" si="4"/>
        <v>0</v>
      </c>
      <c r="G94" s="62"/>
      <c r="H94" s="62"/>
      <c r="I94" s="60"/>
      <c r="J94" s="60"/>
      <c r="K94" s="64"/>
      <c r="L94" s="64"/>
      <c r="M94" s="25"/>
      <c r="N94" s="25"/>
    </row>
    <row r="95" spans="1:14" ht="28.5" hidden="1">
      <c r="A95" s="8" t="s">
        <v>148</v>
      </c>
      <c r="B95" s="4" t="s">
        <v>149</v>
      </c>
      <c r="C95" s="7"/>
      <c r="D95" s="7">
        <f>F95-E95</f>
        <v>0</v>
      </c>
      <c r="E95" s="6">
        <f t="shared" si="3"/>
        <v>0</v>
      </c>
      <c r="F95" s="6">
        <f t="shared" si="4"/>
        <v>0</v>
      </c>
      <c r="G95" s="62"/>
      <c r="H95" s="62"/>
      <c r="I95" s="60"/>
      <c r="J95" s="60"/>
      <c r="K95" s="64"/>
      <c r="L95" s="64"/>
      <c r="M95" s="25"/>
      <c r="N95" s="25"/>
    </row>
    <row r="96" spans="1:14" hidden="1">
      <c r="A96" s="8" t="s">
        <v>150</v>
      </c>
      <c r="B96" s="4" t="s">
        <v>151</v>
      </c>
      <c r="C96" s="7">
        <f>E96-F96</f>
        <v>0</v>
      </c>
      <c r="D96" s="7"/>
      <c r="E96" s="6">
        <f t="shared" si="3"/>
        <v>0</v>
      </c>
      <c r="F96" s="6">
        <f t="shared" si="4"/>
        <v>0</v>
      </c>
      <c r="G96" s="62"/>
      <c r="H96" s="62"/>
      <c r="I96" s="60"/>
      <c r="J96" s="60"/>
      <c r="K96" s="64"/>
      <c r="L96" s="64"/>
      <c r="M96" s="25"/>
      <c r="N96" s="25"/>
    </row>
    <row r="97" spans="1:14" hidden="1">
      <c r="A97" s="8" t="s">
        <v>152</v>
      </c>
      <c r="B97" s="4" t="s">
        <v>153</v>
      </c>
      <c r="C97" s="7"/>
      <c r="D97" s="7">
        <f>F97-E97</f>
        <v>0</v>
      </c>
      <c r="E97" s="6">
        <f t="shared" si="3"/>
        <v>0</v>
      </c>
      <c r="F97" s="6">
        <f t="shared" si="4"/>
        <v>0</v>
      </c>
      <c r="G97" s="62"/>
      <c r="H97" s="62"/>
      <c r="I97" s="60"/>
      <c r="J97" s="60"/>
      <c r="K97" s="64"/>
      <c r="L97" s="64"/>
      <c r="M97" s="25"/>
      <c r="N97" s="25"/>
    </row>
    <row r="98" spans="1:14" hidden="1">
      <c r="A98" s="8" t="s">
        <v>154</v>
      </c>
      <c r="B98" s="4" t="s">
        <v>155</v>
      </c>
      <c r="C98" s="7">
        <f>E98-F98</f>
        <v>0</v>
      </c>
      <c r="D98" s="7"/>
      <c r="E98" s="6">
        <f t="shared" si="3"/>
        <v>0</v>
      </c>
      <c r="F98" s="6">
        <f t="shared" si="4"/>
        <v>0</v>
      </c>
      <c r="G98" s="62"/>
      <c r="H98" s="62"/>
      <c r="I98" s="60"/>
      <c r="J98" s="60"/>
      <c r="K98" s="64"/>
      <c r="L98" s="64"/>
      <c r="M98" s="25"/>
      <c r="N98" s="25"/>
    </row>
    <row r="99" spans="1:14" ht="28.5" hidden="1">
      <c r="A99" s="8" t="s">
        <v>156</v>
      </c>
      <c r="B99" s="4" t="s">
        <v>157</v>
      </c>
      <c r="C99" s="7"/>
      <c r="D99" s="7">
        <f>F99-E99</f>
        <v>0</v>
      </c>
      <c r="E99" s="6">
        <f t="shared" si="3"/>
        <v>0</v>
      </c>
      <c r="F99" s="6">
        <f t="shared" si="4"/>
        <v>0</v>
      </c>
      <c r="G99" s="62"/>
      <c r="H99" s="62"/>
      <c r="I99" s="60"/>
      <c r="J99" s="60"/>
      <c r="K99" s="64"/>
      <c r="L99" s="64"/>
      <c r="M99" s="25"/>
      <c r="N99" s="25"/>
    </row>
    <row r="100" spans="1:14" hidden="1">
      <c r="A100" s="8" t="s">
        <v>158</v>
      </c>
      <c r="B100" s="4" t="s">
        <v>159</v>
      </c>
      <c r="C100" s="7">
        <f>E100-F100</f>
        <v>0</v>
      </c>
      <c r="D100" s="7"/>
      <c r="E100" s="6">
        <f t="shared" si="3"/>
        <v>0</v>
      </c>
      <c r="F100" s="6">
        <f t="shared" si="4"/>
        <v>0</v>
      </c>
      <c r="G100" s="62"/>
      <c r="H100" s="62"/>
      <c r="I100" s="60"/>
      <c r="J100" s="60"/>
      <c r="K100" s="64"/>
      <c r="L100" s="64"/>
      <c r="M100" s="25"/>
      <c r="N100" s="25"/>
    </row>
    <row r="101" spans="1:14" ht="28.5" hidden="1">
      <c r="A101" s="8" t="s">
        <v>160</v>
      </c>
      <c r="B101" s="4" t="s">
        <v>161</v>
      </c>
      <c r="C101" s="7"/>
      <c r="D101" s="7">
        <f>F101-E101</f>
        <v>0</v>
      </c>
      <c r="E101" s="6">
        <f t="shared" si="3"/>
        <v>0</v>
      </c>
      <c r="F101" s="6">
        <f t="shared" si="4"/>
        <v>0</v>
      </c>
      <c r="G101" s="62"/>
      <c r="H101" s="62"/>
      <c r="I101" s="60"/>
      <c r="J101" s="60"/>
      <c r="K101" s="64"/>
      <c r="L101" s="64"/>
      <c r="M101" s="25"/>
      <c r="N101" s="25"/>
    </row>
    <row r="102" spans="1:14" hidden="1">
      <c r="A102" s="8" t="s">
        <v>162</v>
      </c>
      <c r="B102" s="4" t="s">
        <v>163</v>
      </c>
      <c r="C102" s="7">
        <f>E102-F102</f>
        <v>0</v>
      </c>
      <c r="D102" s="7"/>
      <c r="E102" s="6">
        <f t="shared" si="3"/>
        <v>0</v>
      </c>
      <c r="F102" s="6">
        <f t="shared" si="4"/>
        <v>0</v>
      </c>
      <c r="G102" s="62"/>
      <c r="H102" s="62"/>
      <c r="I102" s="60"/>
      <c r="J102" s="60"/>
      <c r="K102" s="64"/>
      <c r="L102" s="64"/>
      <c r="M102" s="25"/>
      <c r="N102" s="25"/>
    </row>
    <row r="103" spans="1:14" ht="28.5" hidden="1">
      <c r="A103" s="8" t="s">
        <v>164</v>
      </c>
      <c r="B103" s="4" t="s">
        <v>165</v>
      </c>
      <c r="C103" s="7"/>
      <c r="D103" s="7">
        <f>F103-E103</f>
        <v>0</v>
      </c>
      <c r="E103" s="6">
        <f t="shared" si="3"/>
        <v>0</v>
      </c>
      <c r="F103" s="6">
        <f t="shared" si="4"/>
        <v>0</v>
      </c>
      <c r="G103" s="62"/>
      <c r="H103" s="62"/>
      <c r="I103" s="60"/>
      <c r="J103" s="60"/>
      <c r="K103" s="64"/>
      <c r="L103" s="64"/>
      <c r="M103" s="25"/>
      <c r="N103" s="25"/>
    </row>
    <row r="104" spans="1:14" hidden="1">
      <c r="A104" s="8" t="s">
        <v>166</v>
      </c>
      <c r="B104" s="4" t="s">
        <v>167</v>
      </c>
      <c r="C104" s="7">
        <f>E104-F104</f>
        <v>0</v>
      </c>
      <c r="D104" s="7"/>
      <c r="E104" s="6">
        <f t="shared" si="3"/>
        <v>0</v>
      </c>
      <c r="F104" s="6">
        <f t="shared" si="4"/>
        <v>0</v>
      </c>
      <c r="G104" s="62"/>
      <c r="H104" s="62"/>
      <c r="I104" s="60"/>
      <c r="J104" s="60"/>
      <c r="K104" s="64"/>
      <c r="L104" s="64"/>
      <c r="M104" s="25"/>
      <c r="N104" s="25"/>
    </row>
    <row r="105" spans="1:14" hidden="1">
      <c r="A105" s="8" t="s">
        <v>168</v>
      </c>
      <c r="B105" s="4" t="s">
        <v>169</v>
      </c>
      <c r="C105" s="7"/>
      <c r="D105" s="7">
        <f>F105-E105</f>
        <v>0</v>
      </c>
      <c r="E105" s="6">
        <f t="shared" si="3"/>
        <v>0</v>
      </c>
      <c r="F105" s="6">
        <f t="shared" si="4"/>
        <v>0</v>
      </c>
      <c r="G105" s="62"/>
      <c r="H105" s="62"/>
      <c r="I105" s="60"/>
      <c r="J105" s="60"/>
      <c r="K105" s="64"/>
      <c r="L105" s="64"/>
      <c r="M105" s="25"/>
      <c r="N105" s="25"/>
    </row>
    <row r="106" spans="1:14" hidden="1">
      <c r="A106" s="8" t="s">
        <v>170</v>
      </c>
      <c r="B106" s="4" t="s">
        <v>171</v>
      </c>
      <c r="C106" s="7">
        <f>E106-F106</f>
        <v>0</v>
      </c>
      <c r="D106" s="7"/>
      <c r="E106" s="6">
        <f t="shared" si="3"/>
        <v>0</v>
      </c>
      <c r="F106" s="6">
        <f t="shared" si="4"/>
        <v>0</v>
      </c>
      <c r="G106" s="62"/>
      <c r="H106" s="62"/>
      <c r="I106" s="60"/>
      <c r="J106" s="60"/>
      <c r="K106" s="64"/>
      <c r="L106" s="64"/>
      <c r="M106" s="25"/>
      <c r="N106" s="25"/>
    </row>
    <row r="107" spans="1:14" ht="28.5" hidden="1">
      <c r="A107" s="8" t="s">
        <v>172</v>
      </c>
      <c r="B107" s="4" t="s">
        <v>173</v>
      </c>
      <c r="C107" s="7"/>
      <c r="D107" s="7">
        <f>F107-E107</f>
        <v>0</v>
      </c>
      <c r="E107" s="6">
        <f t="shared" si="3"/>
        <v>0</v>
      </c>
      <c r="F107" s="6">
        <f t="shared" si="4"/>
        <v>0</v>
      </c>
      <c r="G107" s="62"/>
      <c r="H107" s="62"/>
      <c r="I107" s="60"/>
      <c r="J107" s="60"/>
      <c r="K107" s="64"/>
      <c r="L107" s="64"/>
      <c r="M107" s="25"/>
      <c r="N107" s="25"/>
    </row>
    <row r="108" spans="1:14">
      <c r="A108" s="8" t="s">
        <v>174</v>
      </c>
      <c r="B108" s="4" t="s">
        <v>175</v>
      </c>
      <c r="C108" s="7">
        <f>E108-F108</f>
        <v>109913</v>
      </c>
      <c r="D108" s="7"/>
      <c r="E108" s="6">
        <f t="shared" si="3"/>
        <v>109913</v>
      </c>
      <c r="F108" s="6">
        <f t="shared" si="4"/>
        <v>0</v>
      </c>
      <c r="G108" s="62">
        <v>109913</v>
      </c>
      <c r="H108" s="62"/>
      <c r="I108" s="60"/>
      <c r="J108" s="60"/>
      <c r="K108" s="64"/>
      <c r="L108" s="64"/>
      <c r="M108" s="25"/>
      <c r="N108" s="25"/>
    </row>
    <row r="109" spans="1:14" hidden="1">
      <c r="A109" s="8" t="s">
        <v>176</v>
      </c>
      <c r="B109" s="4" t="s">
        <v>177</v>
      </c>
      <c r="C109" s="7"/>
      <c r="D109" s="7">
        <f>F109-E109</f>
        <v>0</v>
      </c>
      <c r="E109" s="6">
        <f t="shared" si="3"/>
        <v>0</v>
      </c>
      <c r="F109" s="6">
        <f t="shared" si="4"/>
        <v>0</v>
      </c>
      <c r="G109" s="62"/>
      <c r="H109" s="62"/>
      <c r="I109" s="60"/>
      <c r="J109" s="60"/>
      <c r="K109" s="64"/>
      <c r="L109" s="64"/>
      <c r="M109" s="25"/>
      <c r="N109" s="25"/>
    </row>
    <row r="110" spans="1:14" hidden="1">
      <c r="A110" s="8" t="s">
        <v>178</v>
      </c>
      <c r="B110" s="4" t="s">
        <v>179</v>
      </c>
      <c r="C110" s="7">
        <f>E110-F110</f>
        <v>0</v>
      </c>
      <c r="D110" s="7"/>
      <c r="E110" s="6">
        <f t="shared" si="3"/>
        <v>0</v>
      </c>
      <c r="F110" s="6">
        <f t="shared" si="4"/>
        <v>0</v>
      </c>
      <c r="G110" s="62"/>
      <c r="H110" s="62"/>
      <c r="I110" s="60"/>
      <c r="J110" s="60"/>
      <c r="K110" s="64"/>
      <c r="L110" s="64"/>
      <c r="M110" s="25"/>
      <c r="N110" s="25"/>
    </row>
    <row r="111" spans="1:14" hidden="1">
      <c r="A111" s="8" t="s">
        <v>180</v>
      </c>
      <c r="B111" s="4" t="s">
        <v>181</v>
      </c>
      <c r="C111" s="7"/>
      <c r="D111" s="7">
        <f>F111-E111</f>
        <v>0</v>
      </c>
      <c r="E111" s="6">
        <f t="shared" si="3"/>
        <v>0</v>
      </c>
      <c r="F111" s="6">
        <f t="shared" si="4"/>
        <v>0</v>
      </c>
      <c r="G111" s="62"/>
      <c r="H111" s="62"/>
      <c r="I111" s="60"/>
      <c r="J111" s="60"/>
      <c r="K111" s="64"/>
      <c r="L111" s="64"/>
      <c r="M111" s="25"/>
      <c r="N111" s="25"/>
    </row>
    <row r="112" spans="1:14" hidden="1">
      <c r="A112" s="8" t="s">
        <v>182</v>
      </c>
      <c r="B112" s="4" t="s">
        <v>183</v>
      </c>
      <c r="C112" s="7">
        <f>E112-F112</f>
        <v>0</v>
      </c>
      <c r="D112" s="7"/>
      <c r="E112" s="6">
        <f t="shared" si="3"/>
        <v>0</v>
      </c>
      <c r="F112" s="6">
        <f t="shared" si="4"/>
        <v>0</v>
      </c>
      <c r="G112" s="62"/>
      <c r="H112" s="62"/>
      <c r="I112" s="60"/>
      <c r="J112" s="60"/>
      <c r="K112" s="64"/>
      <c r="L112" s="64"/>
      <c r="M112" s="25"/>
      <c r="N112" s="25"/>
    </row>
    <row r="113" spans="1:14" hidden="1">
      <c r="A113" s="8" t="s">
        <v>184</v>
      </c>
      <c r="B113" s="4" t="s">
        <v>185</v>
      </c>
      <c r="C113" s="7"/>
      <c r="D113" s="7">
        <f>F113-E113</f>
        <v>0</v>
      </c>
      <c r="E113" s="6">
        <f t="shared" si="3"/>
        <v>0</v>
      </c>
      <c r="F113" s="6">
        <f t="shared" si="4"/>
        <v>0</v>
      </c>
      <c r="G113" s="62"/>
      <c r="H113" s="62"/>
      <c r="I113" s="60"/>
      <c r="J113" s="60"/>
      <c r="K113" s="64"/>
      <c r="L113" s="64"/>
      <c r="M113" s="25"/>
      <c r="N113" s="25"/>
    </row>
    <row r="114" spans="1:14" hidden="1">
      <c r="A114" s="8" t="s">
        <v>186</v>
      </c>
      <c r="B114" s="4" t="s">
        <v>187</v>
      </c>
      <c r="C114" s="7">
        <f>E114-F114</f>
        <v>0</v>
      </c>
      <c r="D114" s="7"/>
      <c r="E114" s="6">
        <f t="shared" si="3"/>
        <v>0</v>
      </c>
      <c r="F114" s="6">
        <f t="shared" si="4"/>
        <v>0</v>
      </c>
      <c r="G114" s="62"/>
      <c r="H114" s="62"/>
      <c r="I114" s="60"/>
      <c r="J114" s="60"/>
      <c r="K114" s="64"/>
      <c r="L114" s="64"/>
      <c r="M114" s="25"/>
      <c r="N114" s="25"/>
    </row>
    <row r="115" spans="1:14" ht="28.5" hidden="1">
      <c r="A115" s="8" t="s">
        <v>188</v>
      </c>
      <c r="B115" s="4" t="s">
        <v>189</v>
      </c>
      <c r="C115" s="7"/>
      <c r="D115" s="7">
        <f>F115-E115</f>
        <v>0</v>
      </c>
      <c r="E115" s="6">
        <f t="shared" si="3"/>
        <v>0</v>
      </c>
      <c r="F115" s="6">
        <f t="shared" si="4"/>
        <v>0</v>
      </c>
      <c r="G115" s="62"/>
      <c r="H115" s="62"/>
      <c r="I115" s="60"/>
      <c r="J115" s="60"/>
      <c r="K115" s="64"/>
      <c r="L115" s="64"/>
      <c r="M115" s="25"/>
      <c r="N115" s="25"/>
    </row>
    <row r="116" spans="1:14" hidden="1">
      <c r="A116" s="8" t="s">
        <v>190</v>
      </c>
      <c r="B116" s="4" t="s">
        <v>191</v>
      </c>
      <c r="C116" s="7">
        <f>E116-F116</f>
        <v>0</v>
      </c>
      <c r="D116" s="7"/>
      <c r="E116" s="6">
        <f t="shared" si="3"/>
        <v>0</v>
      </c>
      <c r="F116" s="6">
        <f t="shared" si="4"/>
        <v>0</v>
      </c>
      <c r="G116" s="62"/>
      <c r="H116" s="62"/>
      <c r="I116" s="60"/>
      <c r="J116" s="60"/>
      <c r="K116" s="64"/>
      <c r="L116" s="64"/>
      <c r="M116" s="25"/>
      <c r="N116" s="25"/>
    </row>
    <row r="117" spans="1:14" hidden="1">
      <c r="A117" s="8" t="s">
        <v>192</v>
      </c>
      <c r="B117" s="4" t="s">
        <v>193</v>
      </c>
      <c r="C117" s="7"/>
      <c r="D117" s="7">
        <f>F117-E117</f>
        <v>0</v>
      </c>
      <c r="E117" s="6">
        <f t="shared" si="3"/>
        <v>0</v>
      </c>
      <c r="F117" s="6">
        <f t="shared" si="4"/>
        <v>0</v>
      </c>
      <c r="G117" s="62"/>
      <c r="H117" s="62"/>
      <c r="I117" s="60"/>
      <c r="J117" s="60"/>
      <c r="K117" s="64"/>
      <c r="L117" s="64"/>
      <c r="M117" s="25"/>
      <c r="N117" s="25"/>
    </row>
    <row r="118" spans="1:14" hidden="1">
      <c r="A118" s="8" t="s">
        <v>194</v>
      </c>
      <c r="B118" s="4" t="s">
        <v>195</v>
      </c>
      <c r="C118" s="7">
        <f>E118-F118</f>
        <v>0</v>
      </c>
      <c r="D118" s="7"/>
      <c r="E118" s="6">
        <f t="shared" si="3"/>
        <v>0</v>
      </c>
      <c r="F118" s="6">
        <f t="shared" si="4"/>
        <v>0</v>
      </c>
      <c r="G118" s="62"/>
      <c r="H118" s="62"/>
      <c r="I118" s="60"/>
      <c r="J118" s="60"/>
      <c r="K118" s="64"/>
      <c r="L118" s="64"/>
      <c r="M118" s="25"/>
      <c r="N118" s="25"/>
    </row>
    <row r="119" spans="1:14" ht="28.5" hidden="1">
      <c r="A119" s="8" t="s">
        <v>196</v>
      </c>
      <c r="B119" s="4" t="s">
        <v>197</v>
      </c>
      <c r="C119" s="7"/>
      <c r="D119" s="7">
        <f>F119-E119</f>
        <v>0</v>
      </c>
      <c r="E119" s="6">
        <f t="shared" si="3"/>
        <v>0</v>
      </c>
      <c r="F119" s="6">
        <f t="shared" si="4"/>
        <v>0</v>
      </c>
      <c r="G119" s="62"/>
      <c r="H119" s="62"/>
      <c r="I119" s="60"/>
      <c r="J119" s="60"/>
      <c r="K119" s="64"/>
      <c r="L119" s="64"/>
      <c r="M119" s="25"/>
      <c r="N119" s="25"/>
    </row>
    <row r="120" spans="1:14" hidden="1">
      <c r="A120" s="8" t="s">
        <v>198</v>
      </c>
      <c r="B120" s="4" t="s">
        <v>199</v>
      </c>
      <c r="C120" s="7">
        <f>E120-F120</f>
        <v>0</v>
      </c>
      <c r="D120" s="7"/>
      <c r="E120" s="6">
        <f t="shared" si="3"/>
        <v>0</v>
      </c>
      <c r="F120" s="6">
        <f t="shared" si="4"/>
        <v>0</v>
      </c>
      <c r="G120" s="62"/>
      <c r="H120" s="62"/>
      <c r="I120" s="60"/>
      <c r="J120" s="60"/>
      <c r="K120" s="64"/>
      <c r="L120" s="64"/>
      <c r="M120" s="25"/>
      <c r="N120" s="25"/>
    </row>
    <row r="121" spans="1:14" ht="28.5" hidden="1">
      <c r="A121" s="8" t="s">
        <v>200</v>
      </c>
      <c r="B121" s="4" t="s">
        <v>201</v>
      </c>
      <c r="C121" s="7"/>
      <c r="D121" s="7">
        <f>F121-E121</f>
        <v>0</v>
      </c>
      <c r="E121" s="6">
        <f t="shared" si="3"/>
        <v>0</v>
      </c>
      <c r="F121" s="6">
        <f t="shared" si="4"/>
        <v>0</v>
      </c>
      <c r="G121" s="62"/>
      <c r="H121" s="62"/>
      <c r="I121" s="60"/>
      <c r="J121" s="60"/>
      <c r="K121" s="64"/>
      <c r="L121" s="64"/>
      <c r="M121" s="25"/>
      <c r="N121" s="25"/>
    </row>
    <row r="122" spans="1:14" hidden="1">
      <c r="A122" s="8" t="s">
        <v>202</v>
      </c>
      <c r="B122" s="4" t="s">
        <v>203</v>
      </c>
      <c r="C122" s="7">
        <f>E122-F122</f>
        <v>0</v>
      </c>
      <c r="D122" s="7"/>
      <c r="E122" s="6">
        <f t="shared" si="3"/>
        <v>0</v>
      </c>
      <c r="F122" s="6">
        <f t="shared" si="4"/>
        <v>0</v>
      </c>
      <c r="G122" s="62"/>
      <c r="H122" s="62"/>
      <c r="I122" s="60"/>
      <c r="J122" s="60"/>
      <c r="K122" s="64"/>
      <c r="L122" s="64"/>
      <c r="M122" s="25"/>
      <c r="N122" s="25"/>
    </row>
    <row r="123" spans="1:14" ht="28.5" hidden="1">
      <c r="A123" s="8" t="s">
        <v>204</v>
      </c>
      <c r="B123" s="4" t="s">
        <v>205</v>
      </c>
      <c r="C123" s="7"/>
      <c r="D123" s="7">
        <f>F123-E123</f>
        <v>0</v>
      </c>
      <c r="E123" s="6">
        <f t="shared" si="3"/>
        <v>0</v>
      </c>
      <c r="F123" s="6">
        <f t="shared" si="4"/>
        <v>0</v>
      </c>
      <c r="G123" s="62"/>
      <c r="H123" s="62"/>
      <c r="I123" s="60"/>
      <c r="J123" s="60"/>
      <c r="K123" s="64"/>
      <c r="L123" s="64"/>
      <c r="M123" s="25"/>
      <c r="N123" s="25"/>
    </row>
    <row r="124" spans="1:14" hidden="1">
      <c r="A124" s="8" t="s">
        <v>206</v>
      </c>
      <c r="B124" s="4" t="s">
        <v>207</v>
      </c>
      <c r="C124" s="7">
        <f>E124-F124</f>
        <v>0</v>
      </c>
      <c r="D124" s="7"/>
      <c r="E124" s="6">
        <f t="shared" si="3"/>
        <v>0</v>
      </c>
      <c r="F124" s="6">
        <f t="shared" si="4"/>
        <v>0</v>
      </c>
      <c r="G124" s="62"/>
      <c r="H124" s="62"/>
      <c r="I124" s="60"/>
      <c r="J124" s="60"/>
      <c r="K124" s="64"/>
      <c r="L124" s="64"/>
      <c r="M124" s="25"/>
      <c r="N124" s="25"/>
    </row>
    <row r="125" spans="1:14" hidden="1">
      <c r="A125" s="8" t="s">
        <v>208</v>
      </c>
      <c r="B125" s="4" t="s">
        <v>209</v>
      </c>
      <c r="C125" s="7"/>
      <c r="D125" s="7">
        <f>F125-E125</f>
        <v>0</v>
      </c>
      <c r="E125" s="6">
        <f t="shared" si="3"/>
        <v>0</v>
      </c>
      <c r="F125" s="6">
        <f t="shared" si="4"/>
        <v>0</v>
      </c>
      <c r="G125" s="62"/>
      <c r="H125" s="62"/>
      <c r="I125" s="60"/>
      <c r="J125" s="60"/>
      <c r="K125" s="64"/>
      <c r="L125" s="64"/>
      <c r="M125" s="25"/>
      <c r="N125" s="25"/>
    </row>
    <row r="126" spans="1:14" hidden="1">
      <c r="A126" s="8" t="s">
        <v>210</v>
      </c>
      <c r="B126" s="4" t="s">
        <v>211</v>
      </c>
      <c r="C126" s="7">
        <f>E126-F126</f>
        <v>0</v>
      </c>
      <c r="D126" s="7"/>
      <c r="E126" s="6">
        <f t="shared" si="3"/>
        <v>0</v>
      </c>
      <c r="F126" s="6">
        <f t="shared" si="4"/>
        <v>0</v>
      </c>
      <c r="G126" s="62"/>
      <c r="H126" s="62"/>
      <c r="I126" s="60"/>
      <c r="J126" s="60"/>
      <c r="K126" s="64"/>
      <c r="L126" s="64"/>
      <c r="M126" s="25"/>
      <c r="N126" s="25"/>
    </row>
    <row r="127" spans="1:14" ht="28.5" hidden="1">
      <c r="A127" s="8" t="s">
        <v>212</v>
      </c>
      <c r="B127" s="4" t="s">
        <v>213</v>
      </c>
      <c r="C127" s="7"/>
      <c r="D127" s="7">
        <f>F127-E127</f>
        <v>0</v>
      </c>
      <c r="E127" s="6">
        <f t="shared" si="3"/>
        <v>0</v>
      </c>
      <c r="F127" s="6">
        <f t="shared" si="4"/>
        <v>0</v>
      </c>
      <c r="G127" s="62"/>
      <c r="H127" s="62"/>
      <c r="I127" s="60"/>
      <c r="J127" s="60"/>
      <c r="K127" s="64"/>
      <c r="L127" s="64"/>
      <c r="M127" s="25"/>
      <c r="N127" s="25"/>
    </row>
    <row r="128" spans="1:14" hidden="1">
      <c r="A128" s="8" t="s">
        <v>214</v>
      </c>
      <c r="B128" s="4" t="s">
        <v>215</v>
      </c>
      <c r="C128" s="7">
        <f>E128-F128</f>
        <v>0</v>
      </c>
      <c r="D128" s="7"/>
      <c r="E128" s="6">
        <f t="shared" si="3"/>
        <v>0</v>
      </c>
      <c r="F128" s="6">
        <f t="shared" si="4"/>
        <v>0</v>
      </c>
      <c r="G128" s="62"/>
      <c r="H128" s="62"/>
      <c r="I128" s="60"/>
      <c r="J128" s="60"/>
      <c r="K128" s="64"/>
      <c r="L128" s="64"/>
      <c r="M128" s="25"/>
      <c r="N128" s="25"/>
    </row>
    <row r="129" spans="1:14" ht="28.5" hidden="1">
      <c r="A129" s="8" t="s">
        <v>216</v>
      </c>
      <c r="B129" s="4" t="s">
        <v>217</v>
      </c>
      <c r="C129" s="7"/>
      <c r="D129" s="7">
        <f>F129-E129</f>
        <v>0</v>
      </c>
      <c r="E129" s="6">
        <f t="shared" si="3"/>
        <v>0</v>
      </c>
      <c r="F129" s="6">
        <f t="shared" si="4"/>
        <v>0</v>
      </c>
      <c r="G129" s="62"/>
      <c r="H129" s="62"/>
      <c r="I129" s="60"/>
      <c r="J129" s="60"/>
      <c r="K129" s="64"/>
      <c r="L129" s="64"/>
      <c r="M129" s="25"/>
      <c r="N129" s="25"/>
    </row>
    <row r="130" spans="1:14" hidden="1">
      <c r="A130" s="8" t="s">
        <v>218</v>
      </c>
      <c r="B130" s="4" t="s">
        <v>219</v>
      </c>
      <c r="C130" s="7">
        <f>E130-F130</f>
        <v>0</v>
      </c>
      <c r="D130" s="7"/>
      <c r="E130" s="6">
        <f t="shared" si="3"/>
        <v>0</v>
      </c>
      <c r="F130" s="6">
        <f t="shared" si="4"/>
        <v>0</v>
      </c>
      <c r="G130" s="62"/>
      <c r="H130" s="62"/>
      <c r="I130" s="60"/>
      <c r="J130" s="60"/>
      <c r="K130" s="64"/>
      <c r="L130" s="64"/>
      <c r="M130" s="25"/>
      <c r="N130" s="25"/>
    </row>
    <row r="131" spans="1:14" hidden="1">
      <c r="A131" s="8" t="s">
        <v>220</v>
      </c>
      <c r="B131" s="4" t="s">
        <v>221</v>
      </c>
      <c r="C131" s="7"/>
      <c r="D131" s="7">
        <f>F131-E131</f>
        <v>0</v>
      </c>
      <c r="E131" s="6">
        <f t="shared" si="3"/>
        <v>0</v>
      </c>
      <c r="F131" s="6">
        <f t="shared" si="4"/>
        <v>0</v>
      </c>
      <c r="G131" s="62"/>
      <c r="H131" s="62"/>
      <c r="I131" s="60"/>
      <c r="J131" s="60"/>
      <c r="K131" s="64"/>
      <c r="L131" s="64"/>
      <c r="M131" s="25"/>
      <c r="N131" s="25"/>
    </row>
    <row r="132" spans="1:14" hidden="1">
      <c r="A132" s="8" t="s">
        <v>222</v>
      </c>
      <c r="B132" s="4" t="s">
        <v>223</v>
      </c>
      <c r="C132" s="7">
        <f>E132-F132</f>
        <v>0</v>
      </c>
      <c r="D132" s="7"/>
      <c r="E132" s="6">
        <f t="shared" si="3"/>
        <v>0</v>
      </c>
      <c r="F132" s="6">
        <f t="shared" si="4"/>
        <v>0</v>
      </c>
      <c r="G132" s="62"/>
      <c r="H132" s="62"/>
      <c r="I132" s="60"/>
      <c r="J132" s="60"/>
      <c r="K132" s="64"/>
      <c r="L132" s="64"/>
      <c r="M132" s="25"/>
      <c r="N132" s="25"/>
    </row>
    <row r="133" spans="1:14" ht="28.5" hidden="1">
      <c r="A133" s="8" t="s">
        <v>224</v>
      </c>
      <c r="B133" s="4" t="s">
        <v>225</v>
      </c>
      <c r="C133" s="7"/>
      <c r="D133" s="7">
        <f>F133-E133</f>
        <v>0</v>
      </c>
      <c r="E133" s="6">
        <f t="shared" si="3"/>
        <v>0</v>
      </c>
      <c r="F133" s="6">
        <f t="shared" si="4"/>
        <v>0</v>
      </c>
      <c r="G133" s="62"/>
      <c r="H133" s="62"/>
      <c r="I133" s="60"/>
      <c r="J133" s="60"/>
      <c r="K133" s="64"/>
      <c r="L133" s="64"/>
      <c r="M133" s="25"/>
      <c r="N133" s="25"/>
    </row>
    <row r="134" spans="1:14" hidden="1">
      <c r="A134" s="8" t="s">
        <v>226</v>
      </c>
      <c r="B134" s="4" t="s">
        <v>227</v>
      </c>
      <c r="C134" s="7">
        <f>E134-F134</f>
        <v>0</v>
      </c>
      <c r="D134" s="7"/>
      <c r="E134" s="6">
        <f t="shared" si="3"/>
        <v>0</v>
      </c>
      <c r="F134" s="6">
        <f t="shared" si="4"/>
        <v>0</v>
      </c>
      <c r="G134" s="62"/>
      <c r="H134" s="62"/>
      <c r="I134" s="60"/>
      <c r="J134" s="60"/>
      <c r="K134" s="64"/>
      <c r="L134" s="64"/>
      <c r="M134" s="25"/>
      <c r="N134" s="25"/>
    </row>
    <row r="135" spans="1:14" ht="28.5" hidden="1">
      <c r="A135" s="8" t="s">
        <v>228</v>
      </c>
      <c r="B135" s="4" t="s">
        <v>229</v>
      </c>
      <c r="C135" s="7"/>
      <c r="D135" s="7">
        <f>F135-E135</f>
        <v>0</v>
      </c>
      <c r="E135" s="6">
        <f t="shared" si="3"/>
        <v>0</v>
      </c>
      <c r="F135" s="6">
        <f t="shared" si="4"/>
        <v>0</v>
      </c>
      <c r="G135" s="62"/>
      <c r="H135" s="62"/>
      <c r="I135" s="60"/>
      <c r="J135" s="60"/>
      <c r="K135" s="64"/>
      <c r="L135" s="64"/>
      <c r="M135" s="25"/>
      <c r="N135" s="25"/>
    </row>
    <row r="136" spans="1:14" hidden="1">
      <c r="A136" s="8" t="s">
        <v>230</v>
      </c>
      <c r="B136" s="4" t="s">
        <v>231</v>
      </c>
      <c r="C136" s="7">
        <f>E136-F136</f>
        <v>0</v>
      </c>
      <c r="D136" s="7"/>
      <c r="E136" s="6">
        <f t="shared" si="3"/>
        <v>0</v>
      </c>
      <c r="F136" s="6">
        <f t="shared" si="4"/>
        <v>0</v>
      </c>
      <c r="G136" s="62"/>
      <c r="H136" s="62"/>
      <c r="I136" s="60"/>
      <c r="J136" s="60"/>
      <c r="K136" s="64"/>
      <c r="L136" s="64"/>
      <c r="M136" s="25"/>
      <c r="N136" s="25"/>
    </row>
    <row r="137" spans="1:14" hidden="1">
      <c r="A137" s="8" t="s">
        <v>232</v>
      </c>
      <c r="B137" s="4" t="s">
        <v>233</v>
      </c>
      <c r="C137" s="7"/>
      <c r="D137" s="7">
        <f>F137-E137</f>
        <v>0</v>
      </c>
      <c r="E137" s="6">
        <f t="shared" si="3"/>
        <v>0</v>
      </c>
      <c r="F137" s="6">
        <f t="shared" si="4"/>
        <v>0</v>
      </c>
      <c r="G137" s="62"/>
      <c r="H137" s="62"/>
      <c r="I137" s="60"/>
      <c r="J137" s="60"/>
      <c r="K137" s="64"/>
      <c r="L137" s="64"/>
      <c r="M137" s="25"/>
      <c r="N137" s="25"/>
    </row>
    <row r="138" spans="1:14" hidden="1">
      <c r="A138" s="8" t="s">
        <v>234</v>
      </c>
      <c r="B138" s="4" t="s">
        <v>235</v>
      </c>
      <c r="C138" s="7">
        <f>E138-F138</f>
        <v>0</v>
      </c>
      <c r="D138" s="7"/>
      <c r="E138" s="6">
        <f t="shared" si="3"/>
        <v>0</v>
      </c>
      <c r="F138" s="6">
        <f t="shared" si="4"/>
        <v>0</v>
      </c>
      <c r="G138" s="62"/>
      <c r="H138" s="62"/>
      <c r="I138" s="60"/>
      <c r="J138" s="60"/>
      <c r="K138" s="64"/>
      <c r="L138" s="64"/>
      <c r="M138" s="25"/>
      <c r="N138" s="25"/>
    </row>
    <row r="139" spans="1:14" hidden="1">
      <c r="A139" s="8" t="s">
        <v>236</v>
      </c>
      <c r="B139" s="4" t="s">
        <v>237</v>
      </c>
      <c r="C139" s="7"/>
      <c r="D139" s="7">
        <f>F139-E139</f>
        <v>0</v>
      </c>
      <c r="E139" s="6">
        <f t="shared" si="3"/>
        <v>0</v>
      </c>
      <c r="F139" s="6">
        <f t="shared" si="4"/>
        <v>0</v>
      </c>
      <c r="G139" s="62"/>
      <c r="H139" s="62"/>
      <c r="I139" s="60"/>
      <c r="J139" s="60"/>
      <c r="K139" s="64"/>
      <c r="L139" s="64"/>
      <c r="M139" s="25"/>
      <c r="N139" s="25"/>
    </row>
    <row r="140" spans="1:14" hidden="1">
      <c r="A140" s="8" t="s">
        <v>238</v>
      </c>
      <c r="B140" s="4" t="s">
        <v>239</v>
      </c>
      <c r="C140" s="7">
        <f>E140-F140</f>
        <v>0</v>
      </c>
      <c r="D140" s="7"/>
      <c r="E140" s="6">
        <f t="shared" si="3"/>
        <v>0</v>
      </c>
      <c r="F140" s="6">
        <f t="shared" si="4"/>
        <v>0</v>
      </c>
      <c r="G140" s="62"/>
      <c r="H140" s="62"/>
      <c r="I140" s="60"/>
      <c r="J140" s="60"/>
      <c r="K140" s="64"/>
      <c r="L140" s="64"/>
      <c r="M140" s="25"/>
      <c r="N140" s="25"/>
    </row>
    <row r="141" spans="1:14" ht="28.5" hidden="1">
      <c r="A141" s="8" t="s">
        <v>240</v>
      </c>
      <c r="B141" s="4" t="s">
        <v>241</v>
      </c>
      <c r="C141" s="7"/>
      <c r="D141" s="7">
        <f>F141-E141</f>
        <v>0</v>
      </c>
      <c r="E141" s="6">
        <f t="shared" si="3"/>
        <v>0</v>
      </c>
      <c r="F141" s="6">
        <f t="shared" si="4"/>
        <v>0</v>
      </c>
      <c r="G141" s="62"/>
      <c r="H141" s="62"/>
      <c r="I141" s="60"/>
      <c r="J141" s="60"/>
      <c r="K141" s="64"/>
      <c r="L141" s="64"/>
      <c r="M141" s="25"/>
      <c r="N141" s="25"/>
    </row>
    <row r="142" spans="1:14">
      <c r="A142" s="8" t="s">
        <v>242</v>
      </c>
      <c r="B142" s="4" t="s">
        <v>243</v>
      </c>
      <c r="C142" s="7">
        <f>E142-F142</f>
        <v>150000</v>
      </c>
      <c r="D142" s="7"/>
      <c r="E142" s="6">
        <f t="shared" ref="E142:E205" si="5">SUM(G142,I142,K142,M142)</f>
        <v>150000</v>
      </c>
      <c r="F142" s="6">
        <f t="shared" ref="F142:F205" si="6">SUM(H142,J142,L142,N142)</f>
        <v>0</v>
      </c>
      <c r="G142" s="62">
        <v>150000</v>
      </c>
      <c r="H142" s="62"/>
      <c r="I142" s="60"/>
      <c r="J142" s="60"/>
      <c r="K142" s="64"/>
      <c r="L142" s="64"/>
      <c r="M142" s="25"/>
      <c r="N142" s="25"/>
    </row>
    <row r="143" spans="1:14" hidden="1">
      <c r="A143" s="8" t="s">
        <v>244</v>
      </c>
      <c r="B143" s="4" t="s">
        <v>245</v>
      </c>
      <c r="C143" s="7"/>
      <c r="D143" s="7">
        <f>F143-E143</f>
        <v>0</v>
      </c>
      <c r="E143" s="6">
        <f t="shared" si="5"/>
        <v>0</v>
      </c>
      <c r="F143" s="6">
        <f t="shared" si="6"/>
        <v>0</v>
      </c>
      <c r="G143" s="62"/>
      <c r="H143" s="62"/>
      <c r="I143" s="60"/>
      <c r="J143" s="60"/>
      <c r="K143" s="64"/>
      <c r="L143" s="64"/>
      <c r="M143" s="25"/>
      <c r="N143" s="25"/>
    </row>
    <row r="144" spans="1:14" hidden="1">
      <c r="A144" s="8" t="s">
        <v>246</v>
      </c>
      <c r="B144" s="4" t="s">
        <v>247</v>
      </c>
      <c r="C144" s="7">
        <f>E144-F144</f>
        <v>0</v>
      </c>
      <c r="D144" s="7"/>
      <c r="E144" s="6">
        <f t="shared" si="5"/>
        <v>0</v>
      </c>
      <c r="F144" s="6">
        <f t="shared" si="6"/>
        <v>0</v>
      </c>
      <c r="G144" s="62"/>
      <c r="H144" s="62"/>
      <c r="I144" s="60"/>
      <c r="J144" s="60"/>
      <c r="K144" s="64"/>
      <c r="L144" s="64"/>
      <c r="M144" s="25"/>
      <c r="N144" s="25"/>
    </row>
    <row r="145" spans="1:14" ht="28.5" hidden="1">
      <c r="A145" s="8" t="s">
        <v>248</v>
      </c>
      <c r="B145" s="4" t="s">
        <v>249</v>
      </c>
      <c r="C145" s="7"/>
      <c r="D145" s="7">
        <f>F145-E145</f>
        <v>0</v>
      </c>
      <c r="E145" s="6">
        <f t="shared" si="5"/>
        <v>0</v>
      </c>
      <c r="F145" s="6">
        <f t="shared" si="6"/>
        <v>0</v>
      </c>
      <c r="G145" s="62"/>
      <c r="H145" s="62"/>
      <c r="I145" s="60"/>
      <c r="J145" s="60"/>
      <c r="K145" s="64"/>
      <c r="L145" s="64"/>
      <c r="M145" s="25"/>
      <c r="N145" s="25"/>
    </row>
    <row r="146" spans="1:14" hidden="1">
      <c r="A146" s="8" t="s">
        <v>250</v>
      </c>
      <c r="B146" s="4" t="s">
        <v>251</v>
      </c>
      <c r="C146" s="7">
        <f>E146-F146</f>
        <v>0</v>
      </c>
      <c r="D146" s="7"/>
      <c r="E146" s="6">
        <f t="shared" si="5"/>
        <v>0</v>
      </c>
      <c r="F146" s="6">
        <f t="shared" si="6"/>
        <v>0</v>
      </c>
      <c r="G146" s="62"/>
      <c r="H146" s="62"/>
      <c r="I146" s="60"/>
      <c r="J146" s="60"/>
      <c r="K146" s="64"/>
      <c r="L146" s="64"/>
      <c r="M146" s="25"/>
      <c r="N146" s="25"/>
    </row>
    <row r="147" spans="1:14" ht="28.5" hidden="1">
      <c r="A147" s="8" t="s">
        <v>252</v>
      </c>
      <c r="B147" s="4" t="s">
        <v>253</v>
      </c>
      <c r="C147" s="7"/>
      <c r="D147" s="7">
        <f>F147-E147</f>
        <v>0</v>
      </c>
      <c r="E147" s="6">
        <f t="shared" si="5"/>
        <v>0</v>
      </c>
      <c r="F147" s="6">
        <f t="shared" si="6"/>
        <v>0</v>
      </c>
      <c r="G147" s="62"/>
      <c r="H147" s="62"/>
      <c r="I147" s="60"/>
      <c r="J147" s="60"/>
      <c r="K147" s="64"/>
      <c r="L147" s="64"/>
      <c r="M147" s="25"/>
      <c r="N147" s="25"/>
    </row>
    <row r="148" spans="1:14" hidden="1">
      <c r="A148" s="8" t="s">
        <v>254</v>
      </c>
      <c r="B148" s="4" t="s">
        <v>255</v>
      </c>
      <c r="C148" s="7">
        <f t="shared" ref="C148:C173" si="7">E148-F148</f>
        <v>0</v>
      </c>
      <c r="D148" s="7"/>
      <c r="E148" s="6">
        <f t="shared" si="5"/>
        <v>0</v>
      </c>
      <c r="F148" s="6">
        <f t="shared" si="6"/>
        <v>0</v>
      </c>
      <c r="G148" s="62"/>
      <c r="H148" s="62"/>
      <c r="I148" s="60"/>
      <c r="J148" s="60"/>
      <c r="K148" s="64"/>
      <c r="L148" s="64"/>
      <c r="M148" s="25"/>
      <c r="N148" s="25"/>
    </row>
    <row r="149" spans="1:14" hidden="1">
      <c r="A149" s="8" t="s">
        <v>256</v>
      </c>
      <c r="B149" s="4" t="s">
        <v>257</v>
      </c>
      <c r="C149" s="7">
        <f t="shared" si="7"/>
        <v>0</v>
      </c>
      <c r="D149" s="7"/>
      <c r="E149" s="6">
        <f t="shared" si="5"/>
        <v>0</v>
      </c>
      <c r="F149" s="6">
        <f t="shared" si="6"/>
        <v>0</v>
      </c>
      <c r="G149" s="62"/>
      <c r="H149" s="62"/>
      <c r="I149" s="60"/>
      <c r="J149" s="60"/>
      <c r="K149" s="64"/>
      <c r="L149" s="64"/>
      <c r="M149" s="25"/>
      <c r="N149" s="25"/>
    </row>
    <row r="150" spans="1:14" hidden="1">
      <c r="A150" s="8" t="s">
        <v>258</v>
      </c>
      <c r="B150" s="4" t="s">
        <v>259</v>
      </c>
      <c r="C150" s="7">
        <f t="shared" si="7"/>
        <v>0</v>
      </c>
      <c r="D150" s="7"/>
      <c r="E150" s="6">
        <f t="shared" si="5"/>
        <v>0</v>
      </c>
      <c r="F150" s="6">
        <f t="shared" si="6"/>
        <v>0</v>
      </c>
      <c r="G150" s="62"/>
      <c r="H150" s="62"/>
      <c r="I150" s="60"/>
      <c r="J150" s="60"/>
      <c r="K150" s="64"/>
      <c r="L150" s="64"/>
      <c r="M150" s="25"/>
      <c r="N150" s="25"/>
    </row>
    <row r="151" spans="1:14" ht="28.5" hidden="1">
      <c r="A151" s="8" t="s">
        <v>260</v>
      </c>
      <c r="B151" s="4" t="s">
        <v>261</v>
      </c>
      <c r="C151" s="7">
        <f t="shared" si="7"/>
        <v>0</v>
      </c>
      <c r="D151" s="7"/>
      <c r="E151" s="6">
        <f t="shared" si="5"/>
        <v>0</v>
      </c>
      <c r="F151" s="6">
        <f t="shared" si="6"/>
        <v>0</v>
      </c>
      <c r="G151" s="62"/>
      <c r="H151" s="62"/>
      <c r="I151" s="60"/>
      <c r="J151" s="60"/>
      <c r="K151" s="64"/>
      <c r="L151" s="64"/>
      <c r="M151" s="25"/>
      <c r="N151" s="25"/>
    </row>
    <row r="152" spans="1:14" hidden="1">
      <c r="A152" s="8" t="s">
        <v>262</v>
      </c>
      <c r="B152" s="4" t="s">
        <v>263</v>
      </c>
      <c r="C152" s="7">
        <f t="shared" si="7"/>
        <v>0</v>
      </c>
      <c r="D152" s="7"/>
      <c r="E152" s="6">
        <f t="shared" si="5"/>
        <v>0</v>
      </c>
      <c r="F152" s="6">
        <f t="shared" si="6"/>
        <v>0</v>
      </c>
      <c r="G152" s="62"/>
      <c r="H152" s="62"/>
      <c r="I152" s="60"/>
      <c r="J152" s="60"/>
      <c r="K152" s="64"/>
      <c r="L152" s="64"/>
      <c r="M152" s="25"/>
      <c r="N152" s="25"/>
    </row>
    <row r="153" spans="1:14" hidden="1">
      <c r="A153" s="8" t="s">
        <v>264</v>
      </c>
      <c r="B153" s="4" t="s">
        <v>265</v>
      </c>
      <c r="C153" s="7">
        <f t="shared" si="7"/>
        <v>0</v>
      </c>
      <c r="D153" s="7"/>
      <c r="E153" s="6">
        <f t="shared" si="5"/>
        <v>0</v>
      </c>
      <c r="F153" s="6">
        <f t="shared" si="6"/>
        <v>0</v>
      </c>
      <c r="G153" s="62"/>
      <c r="H153" s="62"/>
      <c r="I153" s="60"/>
      <c r="J153" s="60"/>
      <c r="K153" s="64"/>
      <c r="L153" s="64"/>
      <c r="M153" s="25"/>
      <c r="N153" s="25"/>
    </row>
    <row r="154" spans="1:14" ht="28.5" hidden="1">
      <c r="A154" s="8" t="s">
        <v>266</v>
      </c>
      <c r="B154" s="4" t="s">
        <v>267</v>
      </c>
      <c r="C154" s="7">
        <f t="shared" si="7"/>
        <v>0</v>
      </c>
      <c r="D154" s="7"/>
      <c r="E154" s="6">
        <f t="shared" si="5"/>
        <v>0</v>
      </c>
      <c r="F154" s="6">
        <f t="shared" si="6"/>
        <v>0</v>
      </c>
      <c r="G154" s="62"/>
      <c r="H154" s="62"/>
      <c r="I154" s="60"/>
      <c r="J154" s="60"/>
      <c r="K154" s="64"/>
      <c r="L154" s="64"/>
      <c r="M154" s="25"/>
      <c r="N154" s="25"/>
    </row>
    <row r="155" spans="1:14" hidden="1">
      <c r="A155" s="8" t="s">
        <v>268</v>
      </c>
      <c r="B155" s="4" t="s">
        <v>269</v>
      </c>
      <c r="C155" s="7">
        <f t="shared" si="7"/>
        <v>0</v>
      </c>
      <c r="D155" s="7"/>
      <c r="E155" s="6">
        <f t="shared" si="5"/>
        <v>0</v>
      </c>
      <c r="F155" s="6">
        <f t="shared" si="6"/>
        <v>0</v>
      </c>
      <c r="G155" s="62"/>
      <c r="H155" s="62"/>
      <c r="I155" s="60"/>
      <c r="J155" s="60"/>
      <c r="K155" s="64"/>
      <c r="L155" s="64"/>
      <c r="M155" s="25"/>
      <c r="N155" s="25"/>
    </row>
    <row r="156" spans="1:14" hidden="1">
      <c r="A156" s="8" t="s">
        <v>270</v>
      </c>
      <c r="B156" s="4" t="s">
        <v>271</v>
      </c>
      <c r="C156" s="7">
        <f t="shared" si="7"/>
        <v>0</v>
      </c>
      <c r="D156" s="7"/>
      <c r="E156" s="6">
        <f t="shared" si="5"/>
        <v>0</v>
      </c>
      <c r="F156" s="6">
        <f t="shared" si="6"/>
        <v>0</v>
      </c>
      <c r="G156" s="62"/>
      <c r="H156" s="62"/>
      <c r="I156" s="60"/>
      <c r="J156" s="60"/>
      <c r="K156" s="64"/>
      <c r="L156" s="64"/>
      <c r="M156" s="25"/>
      <c r="N156" s="25"/>
    </row>
    <row r="157" spans="1:14" hidden="1">
      <c r="A157" s="8" t="s">
        <v>272</v>
      </c>
      <c r="B157" s="4" t="s">
        <v>273</v>
      </c>
      <c r="C157" s="7">
        <f t="shared" si="7"/>
        <v>0</v>
      </c>
      <c r="D157" s="7"/>
      <c r="E157" s="6">
        <f t="shared" si="5"/>
        <v>0</v>
      </c>
      <c r="F157" s="6">
        <f t="shared" si="6"/>
        <v>0</v>
      </c>
      <c r="G157" s="62"/>
      <c r="H157" s="62"/>
      <c r="I157" s="60"/>
      <c r="J157" s="60"/>
      <c r="K157" s="64"/>
      <c r="L157" s="64"/>
      <c r="M157" s="25"/>
      <c r="N157" s="25"/>
    </row>
    <row r="158" spans="1:14">
      <c r="A158" s="8" t="s">
        <v>274</v>
      </c>
      <c r="B158" s="4" t="s">
        <v>275</v>
      </c>
      <c r="C158" s="7">
        <f t="shared" si="7"/>
        <v>1000000</v>
      </c>
      <c r="D158" s="7"/>
      <c r="E158" s="6">
        <f t="shared" si="5"/>
        <v>1000000</v>
      </c>
      <c r="F158" s="6">
        <f t="shared" si="6"/>
        <v>0</v>
      </c>
      <c r="G158" s="62">
        <v>1000000</v>
      </c>
      <c r="H158" s="62"/>
      <c r="I158" s="60"/>
      <c r="J158" s="60"/>
      <c r="K158" s="64"/>
      <c r="L158" s="64"/>
      <c r="M158" s="25"/>
      <c r="N158" s="25"/>
    </row>
    <row r="159" spans="1:14" ht="28.5">
      <c r="A159" s="8" t="s">
        <v>276</v>
      </c>
      <c r="B159" s="4" t="s">
        <v>277</v>
      </c>
      <c r="C159" s="7">
        <f t="shared" si="7"/>
        <v>1826733.1999999993</v>
      </c>
      <c r="D159" s="7"/>
      <c r="E159" s="6">
        <f t="shared" si="5"/>
        <v>1826733.1999999993</v>
      </c>
      <c r="F159" s="6">
        <f t="shared" si="6"/>
        <v>0</v>
      </c>
      <c r="G159" s="62">
        <v>1826733.1999999993</v>
      </c>
      <c r="H159" s="62"/>
      <c r="I159" s="60"/>
      <c r="J159" s="60"/>
      <c r="K159" s="64"/>
      <c r="L159" s="64"/>
      <c r="M159" s="25"/>
      <c r="N159" s="25"/>
    </row>
    <row r="160" spans="1:14" ht="28.5" hidden="1">
      <c r="A160" s="8" t="s">
        <v>278</v>
      </c>
      <c r="B160" s="4" t="s">
        <v>279</v>
      </c>
      <c r="C160" s="7">
        <f t="shared" si="7"/>
        <v>0</v>
      </c>
      <c r="D160" s="7"/>
      <c r="E160" s="6">
        <f t="shared" si="5"/>
        <v>0</v>
      </c>
      <c r="F160" s="6">
        <f t="shared" si="6"/>
        <v>0</v>
      </c>
      <c r="G160" s="62"/>
      <c r="H160" s="62"/>
      <c r="I160" s="60"/>
      <c r="J160" s="60"/>
      <c r="K160" s="64"/>
      <c r="L160" s="64"/>
      <c r="M160" s="25"/>
      <c r="N160" s="25"/>
    </row>
    <row r="161" spans="1:14" ht="28.5" hidden="1">
      <c r="A161" s="8" t="s">
        <v>280</v>
      </c>
      <c r="B161" s="4" t="s">
        <v>281</v>
      </c>
      <c r="C161" s="7">
        <f t="shared" si="7"/>
        <v>0</v>
      </c>
      <c r="D161" s="7"/>
      <c r="E161" s="6">
        <f t="shared" si="5"/>
        <v>0</v>
      </c>
      <c r="F161" s="6">
        <f t="shared" si="6"/>
        <v>0</v>
      </c>
      <c r="G161" s="62"/>
      <c r="H161" s="62"/>
      <c r="I161" s="60"/>
      <c r="J161" s="60"/>
      <c r="K161" s="64"/>
      <c r="L161" s="64"/>
      <c r="M161" s="25"/>
      <c r="N161" s="25"/>
    </row>
    <row r="162" spans="1:14" ht="28.5" hidden="1">
      <c r="A162" s="8" t="s">
        <v>282</v>
      </c>
      <c r="B162" s="4" t="s">
        <v>283</v>
      </c>
      <c r="C162" s="7">
        <f t="shared" si="7"/>
        <v>0</v>
      </c>
      <c r="D162" s="7"/>
      <c r="E162" s="6">
        <f t="shared" si="5"/>
        <v>0</v>
      </c>
      <c r="F162" s="6">
        <f t="shared" si="6"/>
        <v>0</v>
      </c>
      <c r="G162" s="62"/>
      <c r="H162" s="62"/>
      <c r="I162" s="60"/>
      <c r="J162" s="60"/>
      <c r="K162" s="64"/>
      <c r="L162" s="64"/>
      <c r="M162" s="25"/>
      <c r="N162" s="25"/>
    </row>
    <row r="163" spans="1:14" ht="28.5">
      <c r="A163" s="8" t="s">
        <v>284</v>
      </c>
      <c r="B163" s="4" t="s">
        <v>285</v>
      </c>
      <c r="C163" s="7">
        <f t="shared" si="7"/>
        <v>2639594.36</v>
      </c>
      <c r="D163" s="7"/>
      <c r="E163" s="6">
        <f t="shared" si="5"/>
        <v>2639594.36</v>
      </c>
      <c r="F163" s="6">
        <f t="shared" si="6"/>
        <v>0</v>
      </c>
      <c r="G163" s="62">
        <v>2639594.36</v>
      </c>
      <c r="H163" s="62"/>
      <c r="I163" s="60"/>
      <c r="J163" s="60"/>
      <c r="K163" s="64"/>
      <c r="L163" s="64"/>
      <c r="M163" s="25"/>
      <c r="N163" s="25"/>
    </row>
    <row r="164" spans="1:14">
      <c r="A164" s="8" t="s">
        <v>286</v>
      </c>
      <c r="B164" s="4" t="s">
        <v>287</v>
      </c>
      <c r="C164" s="7">
        <f t="shared" si="7"/>
        <v>88983153.799999997</v>
      </c>
      <c r="D164" s="7"/>
      <c r="E164" s="6">
        <f t="shared" si="5"/>
        <v>88983153.799999997</v>
      </c>
      <c r="F164" s="6">
        <f t="shared" si="6"/>
        <v>0</v>
      </c>
      <c r="G164" s="62">
        <v>88983153.799999997</v>
      </c>
      <c r="H164" s="62"/>
      <c r="I164" s="60"/>
      <c r="J164" s="60"/>
      <c r="K164" s="64"/>
      <c r="L164" s="64"/>
      <c r="M164" s="25"/>
      <c r="N164" s="25"/>
    </row>
    <row r="165" spans="1:14" ht="28.5" hidden="1">
      <c r="A165" s="8" t="s">
        <v>288</v>
      </c>
      <c r="B165" s="4" t="s">
        <v>289</v>
      </c>
      <c r="C165" s="7">
        <f t="shared" si="7"/>
        <v>0</v>
      </c>
      <c r="D165" s="7"/>
      <c r="E165" s="6">
        <f t="shared" si="5"/>
        <v>0</v>
      </c>
      <c r="F165" s="6">
        <f t="shared" si="6"/>
        <v>0</v>
      </c>
      <c r="G165" s="62"/>
      <c r="H165" s="62"/>
      <c r="I165" s="60"/>
      <c r="J165" s="60"/>
      <c r="K165" s="64"/>
      <c r="L165" s="64"/>
      <c r="M165" s="25"/>
      <c r="N165" s="25"/>
    </row>
    <row r="166" spans="1:14" ht="28.5" hidden="1">
      <c r="A166" s="8" t="s">
        <v>290</v>
      </c>
      <c r="B166" s="4" t="s">
        <v>291</v>
      </c>
      <c r="C166" s="7">
        <f t="shared" si="7"/>
        <v>0</v>
      </c>
      <c r="D166" s="7"/>
      <c r="E166" s="6">
        <f t="shared" si="5"/>
        <v>0</v>
      </c>
      <c r="F166" s="6">
        <f t="shared" si="6"/>
        <v>0</v>
      </c>
      <c r="G166" s="62"/>
      <c r="H166" s="62"/>
      <c r="I166" s="60"/>
      <c r="J166" s="60"/>
      <c r="K166" s="64"/>
      <c r="L166" s="64"/>
      <c r="M166" s="25"/>
      <c r="N166" s="25"/>
    </row>
    <row r="167" spans="1:14" hidden="1">
      <c r="A167" s="3" t="s">
        <v>292</v>
      </c>
      <c r="B167" s="4" t="s">
        <v>293</v>
      </c>
      <c r="C167" s="7">
        <f t="shared" si="7"/>
        <v>0</v>
      </c>
      <c r="D167" s="7"/>
      <c r="E167" s="6">
        <f t="shared" si="5"/>
        <v>0</v>
      </c>
      <c r="F167" s="6">
        <f t="shared" si="6"/>
        <v>0</v>
      </c>
      <c r="G167" s="62"/>
      <c r="H167" s="62"/>
      <c r="I167" s="60"/>
      <c r="J167" s="60"/>
      <c r="K167" s="64"/>
      <c r="L167" s="64"/>
      <c r="M167" s="25"/>
      <c r="N167" s="25"/>
    </row>
    <row r="168" spans="1:14" hidden="1">
      <c r="A168" s="3" t="s">
        <v>294</v>
      </c>
      <c r="B168" s="4" t="s">
        <v>295</v>
      </c>
      <c r="C168" s="7">
        <f t="shared" si="7"/>
        <v>0</v>
      </c>
      <c r="D168" s="7"/>
      <c r="E168" s="6">
        <f t="shared" si="5"/>
        <v>0</v>
      </c>
      <c r="F168" s="6">
        <f t="shared" si="6"/>
        <v>0</v>
      </c>
      <c r="G168" s="62"/>
      <c r="H168" s="62"/>
      <c r="I168" s="60"/>
      <c r="J168" s="60"/>
      <c r="K168" s="64"/>
      <c r="L168" s="64"/>
      <c r="M168" s="25"/>
      <c r="N168" s="25"/>
    </row>
    <row r="169" spans="1:14" hidden="1">
      <c r="A169" s="3" t="s">
        <v>296</v>
      </c>
      <c r="B169" s="10" t="s">
        <v>297</v>
      </c>
      <c r="C169" s="7">
        <f t="shared" si="7"/>
        <v>0</v>
      </c>
      <c r="D169" s="7"/>
      <c r="E169" s="6">
        <f t="shared" si="5"/>
        <v>0</v>
      </c>
      <c r="F169" s="6">
        <f t="shared" si="6"/>
        <v>0</v>
      </c>
      <c r="G169" s="62"/>
      <c r="H169" s="62"/>
      <c r="I169" s="60"/>
      <c r="J169" s="60"/>
      <c r="K169" s="64"/>
      <c r="L169" s="64"/>
      <c r="M169" s="25"/>
      <c r="N169" s="25"/>
    </row>
    <row r="170" spans="1:14" hidden="1">
      <c r="A170" s="3" t="s">
        <v>298</v>
      </c>
      <c r="B170" s="10" t="s">
        <v>299</v>
      </c>
      <c r="C170" s="7">
        <f t="shared" si="7"/>
        <v>0</v>
      </c>
      <c r="D170" s="7"/>
      <c r="E170" s="6">
        <f t="shared" si="5"/>
        <v>0</v>
      </c>
      <c r="F170" s="6">
        <f t="shared" si="6"/>
        <v>0</v>
      </c>
      <c r="G170" s="62"/>
      <c r="H170" s="62"/>
      <c r="I170" s="60"/>
      <c r="J170" s="60"/>
      <c r="K170" s="64"/>
      <c r="L170" s="64"/>
      <c r="M170" s="25"/>
      <c r="N170" s="25"/>
    </row>
    <row r="171" spans="1:14" hidden="1">
      <c r="A171" s="3" t="s">
        <v>300</v>
      </c>
      <c r="B171" s="10" t="s">
        <v>301</v>
      </c>
      <c r="C171" s="7">
        <f t="shared" si="7"/>
        <v>0</v>
      </c>
      <c r="D171" s="7"/>
      <c r="E171" s="6">
        <f t="shared" si="5"/>
        <v>0</v>
      </c>
      <c r="F171" s="6">
        <f t="shared" si="6"/>
        <v>0</v>
      </c>
      <c r="G171" s="62"/>
      <c r="H171" s="62"/>
      <c r="I171" s="60"/>
      <c r="J171" s="60"/>
      <c r="K171" s="64"/>
      <c r="L171" s="64"/>
      <c r="M171" s="25"/>
      <c r="N171" s="25"/>
    </row>
    <row r="172" spans="1:14" hidden="1">
      <c r="A172" s="3" t="s">
        <v>302</v>
      </c>
      <c r="B172" s="10" t="s">
        <v>303</v>
      </c>
      <c r="C172" s="7">
        <f t="shared" si="7"/>
        <v>0</v>
      </c>
      <c r="D172" s="7"/>
      <c r="E172" s="6">
        <f t="shared" si="5"/>
        <v>0</v>
      </c>
      <c r="F172" s="6">
        <f t="shared" si="6"/>
        <v>0</v>
      </c>
      <c r="G172" s="62"/>
      <c r="H172" s="62"/>
      <c r="I172" s="60"/>
      <c r="J172" s="60"/>
      <c r="K172" s="64"/>
      <c r="L172" s="64"/>
      <c r="M172" s="25"/>
      <c r="N172" s="25"/>
    </row>
    <row r="173" spans="1:14" hidden="1">
      <c r="A173" s="3" t="s">
        <v>304</v>
      </c>
      <c r="B173" s="10" t="s">
        <v>305</v>
      </c>
      <c r="C173" s="7">
        <f t="shared" si="7"/>
        <v>0</v>
      </c>
      <c r="D173" s="7"/>
      <c r="E173" s="6">
        <f t="shared" si="5"/>
        <v>0</v>
      </c>
      <c r="F173" s="6">
        <f t="shared" si="6"/>
        <v>0</v>
      </c>
      <c r="G173" s="62"/>
      <c r="H173" s="62"/>
      <c r="I173" s="60"/>
      <c r="J173" s="60"/>
      <c r="K173" s="64"/>
      <c r="L173" s="64"/>
      <c r="M173" s="25"/>
      <c r="N173" s="25"/>
    </row>
    <row r="174" spans="1:14" hidden="1">
      <c r="A174" s="3" t="s">
        <v>306</v>
      </c>
      <c r="B174" s="10" t="s">
        <v>307</v>
      </c>
      <c r="C174" s="7"/>
      <c r="D174" s="7">
        <f t="shared" ref="D174:D237" si="8">F174-E174</f>
        <v>0</v>
      </c>
      <c r="E174" s="6">
        <f t="shared" si="5"/>
        <v>0</v>
      </c>
      <c r="F174" s="6">
        <f t="shared" si="6"/>
        <v>0</v>
      </c>
      <c r="G174" s="62"/>
      <c r="H174" s="62"/>
      <c r="I174" s="60"/>
      <c r="J174" s="60"/>
      <c r="K174" s="64"/>
      <c r="L174" s="64"/>
      <c r="M174" s="25"/>
      <c r="N174" s="25"/>
    </row>
    <row r="175" spans="1:14" hidden="1">
      <c r="A175" s="3" t="s">
        <v>308</v>
      </c>
      <c r="B175" s="10" t="s">
        <v>309</v>
      </c>
      <c r="C175" s="7"/>
      <c r="D175" s="7">
        <f t="shared" si="8"/>
        <v>0</v>
      </c>
      <c r="E175" s="6">
        <f t="shared" si="5"/>
        <v>0</v>
      </c>
      <c r="F175" s="6">
        <f t="shared" si="6"/>
        <v>0</v>
      </c>
      <c r="G175" s="62"/>
      <c r="H175" s="62"/>
      <c r="I175" s="60"/>
      <c r="J175" s="60"/>
      <c r="K175" s="64"/>
      <c r="L175" s="64"/>
      <c r="M175" s="25"/>
      <c r="N175" s="25"/>
    </row>
    <row r="176" spans="1:14">
      <c r="A176" s="3" t="s">
        <v>310</v>
      </c>
      <c r="B176" s="10" t="s">
        <v>311</v>
      </c>
      <c r="C176" s="7"/>
      <c r="D176" s="7">
        <f t="shared" si="8"/>
        <v>1576.43</v>
      </c>
      <c r="E176" s="6">
        <f t="shared" si="5"/>
        <v>0</v>
      </c>
      <c r="F176" s="6">
        <f t="shared" si="6"/>
        <v>1576.43</v>
      </c>
      <c r="G176" s="62"/>
      <c r="H176" s="62">
        <v>1576.43</v>
      </c>
      <c r="I176" s="60"/>
      <c r="J176" s="60"/>
      <c r="K176" s="64"/>
      <c r="L176" s="64"/>
      <c r="M176" s="25"/>
      <c r="N176" s="25"/>
    </row>
    <row r="177" spans="1:14" hidden="1">
      <c r="A177" s="3" t="s">
        <v>312</v>
      </c>
      <c r="B177" s="10" t="s">
        <v>313</v>
      </c>
      <c r="C177" s="7"/>
      <c r="D177" s="7">
        <f t="shared" si="8"/>
        <v>0</v>
      </c>
      <c r="E177" s="6">
        <f t="shared" si="5"/>
        <v>0</v>
      </c>
      <c r="F177" s="6">
        <f t="shared" si="6"/>
        <v>0</v>
      </c>
      <c r="G177" s="62"/>
      <c r="H177" s="62"/>
      <c r="I177" s="60"/>
      <c r="J177" s="60"/>
      <c r="K177" s="64"/>
      <c r="L177" s="64"/>
      <c r="M177" s="25"/>
      <c r="N177" s="25"/>
    </row>
    <row r="178" spans="1:14">
      <c r="A178" s="3" t="s">
        <v>314</v>
      </c>
      <c r="B178" s="10" t="s">
        <v>315</v>
      </c>
      <c r="C178" s="7"/>
      <c r="D178" s="7">
        <f t="shared" si="8"/>
        <v>2579474.5899999989</v>
      </c>
      <c r="E178" s="6">
        <f t="shared" si="5"/>
        <v>0</v>
      </c>
      <c r="F178" s="6">
        <f t="shared" si="6"/>
        <v>2579474.5899999989</v>
      </c>
      <c r="G178" s="62"/>
      <c r="H178" s="62">
        <v>2579474.5899999989</v>
      </c>
      <c r="I178" s="60"/>
      <c r="J178" s="60"/>
      <c r="K178" s="64"/>
      <c r="L178" s="64"/>
      <c r="M178" s="25"/>
      <c r="N178" s="25"/>
    </row>
    <row r="179" spans="1:14">
      <c r="A179" s="3" t="s">
        <v>316</v>
      </c>
      <c r="B179" s="10" t="s">
        <v>317</v>
      </c>
      <c r="C179" s="7"/>
      <c r="D179" s="7">
        <f t="shared" si="8"/>
        <v>145850.45000000001</v>
      </c>
      <c r="E179" s="6">
        <f t="shared" si="5"/>
        <v>0</v>
      </c>
      <c r="F179" s="6">
        <f t="shared" si="6"/>
        <v>145850.45000000001</v>
      </c>
      <c r="G179" s="62"/>
      <c r="H179" s="62">
        <v>145850.45000000001</v>
      </c>
      <c r="I179" s="60"/>
      <c r="J179" s="60"/>
      <c r="K179" s="64"/>
      <c r="L179" s="64"/>
      <c r="M179" s="25"/>
      <c r="N179" s="25"/>
    </row>
    <row r="180" spans="1:14">
      <c r="A180" s="3" t="s">
        <v>318</v>
      </c>
      <c r="B180" s="10" t="s">
        <v>319</v>
      </c>
      <c r="C180" s="7"/>
      <c r="D180" s="7">
        <f t="shared" si="8"/>
        <v>282369.93000000005</v>
      </c>
      <c r="E180" s="6">
        <f t="shared" si="5"/>
        <v>0</v>
      </c>
      <c r="F180" s="6">
        <f t="shared" si="6"/>
        <v>282369.93000000005</v>
      </c>
      <c r="G180" s="62"/>
      <c r="H180" s="62">
        <v>282369.93000000005</v>
      </c>
      <c r="I180" s="60"/>
      <c r="J180" s="60"/>
      <c r="K180" s="64"/>
      <c r="L180" s="64"/>
      <c r="M180" s="25"/>
      <c r="N180" s="25"/>
    </row>
    <row r="181" spans="1:14">
      <c r="A181" s="3" t="s">
        <v>320</v>
      </c>
      <c r="B181" s="10" t="s">
        <v>321</v>
      </c>
      <c r="C181" s="7"/>
      <c r="D181" s="7">
        <f t="shared" si="8"/>
        <v>140669.27000000002</v>
      </c>
      <c r="E181" s="6">
        <f t="shared" si="5"/>
        <v>0</v>
      </c>
      <c r="F181" s="6">
        <f t="shared" si="6"/>
        <v>140669.27000000002</v>
      </c>
      <c r="G181" s="62"/>
      <c r="H181" s="62">
        <v>140669.27000000002</v>
      </c>
      <c r="I181" s="60"/>
      <c r="J181" s="60"/>
      <c r="K181" s="64"/>
      <c r="L181" s="64"/>
      <c r="M181" s="25"/>
      <c r="N181" s="25"/>
    </row>
    <row r="182" spans="1:14">
      <c r="A182" s="3" t="s">
        <v>322</v>
      </c>
      <c r="B182" s="10" t="s">
        <v>323</v>
      </c>
      <c r="C182" s="7"/>
      <c r="D182" s="7">
        <f t="shared" si="8"/>
        <v>139724679.95999998</v>
      </c>
      <c r="E182" s="6">
        <f t="shared" si="5"/>
        <v>0</v>
      </c>
      <c r="F182" s="6">
        <f t="shared" si="6"/>
        <v>139724679.95999998</v>
      </c>
      <c r="G182" s="62"/>
      <c r="H182" s="62">
        <v>139724679.95999998</v>
      </c>
      <c r="I182" s="60"/>
      <c r="J182" s="60"/>
      <c r="K182" s="64"/>
      <c r="L182" s="64"/>
      <c r="M182" s="25"/>
      <c r="N182" s="25"/>
    </row>
    <row r="183" spans="1:14" hidden="1">
      <c r="A183" s="3" t="s">
        <v>324</v>
      </c>
      <c r="B183" s="10" t="s">
        <v>325</v>
      </c>
      <c r="C183" s="7"/>
      <c r="D183" s="7">
        <f t="shared" si="8"/>
        <v>0</v>
      </c>
      <c r="E183" s="6">
        <f t="shared" si="5"/>
        <v>0</v>
      </c>
      <c r="F183" s="6">
        <f t="shared" si="6"/>
        <v>0</v>
      </c>
      <c r="G183" s="62"/>
      <c r="H183" s="62"/>
      <c r="I183" s="60"/>
      <c r="J183" s="60"/>
      <c r="K183" s="64"/>
      <c r="L183" s="64"/>
      <c r="M183" s="25"/>
      <c r="N183" s="25"/>
    </row>
    <row r="184" spans="1:14">
      <c r="A184" s="3" t="s">
        <v>326</v>
      </c>
      <c r="B184" s="10" t="s">
        <v>327</v>
      </c>
      <c r="C184" s="7"/>
      <c r="D184" s="7">
        <f t="shared" si="8"/>
        <v>4489047.9400000004</v>
      </c>
      <c r="E184" s="6">
        <f t="shared" si="5"/>
        <v>0</v>
      </c>
      <c r="F184" s="6">
        <f t="shared" si="6"/>
        <v>4489047.9400000004</v>
      </c>
      <c r="G184" s="62"/>
      <c r="H184" s="62">
        <v>4489047.9400000004</v>
      </c>
      <c r="I184" s="60"/>
      <c r="J184" s="60"/>
      <c r="K184" s="64"/>
      <c r="L184" s="64"/>
      <c r="M184" s="25"/>
      <c r="N184" s="25"/>
    </row>
    <row r="185" spans="1:14">
      <c r="A185" s="3" t="s">
        <v>328</v>
      </c>
      <c r="B185" s="10" t="s">
        <v>329</v>
      </c>
      <c r="C185" s="7"/>
      <c r="D185" s="7">
        <f t="shared" si="8"/>
        <v>11797618.639999999</v>
      </c>
      <c r="E185" s="6">
        <f t="shared" si="5"/>
        <v>0</v>
      </c>
      <c r="F185" s="6">
        <f t="shared" si="6"/>
        <v>11797618.639999999</v>
      </c>
      <c r="G185" s="62"/>
      <c r="H185" s="62">
        <v>11797618.639999999</v>
      </c>
      <c r="I185" s="60"/>
      <c r="J185" s="60"/>
      <c r="K185" s="64"/>
      <c r="L185" s="64"/>
      <c r="M185" s="25"/>
      <c r="N185" s="25"/>
    </row>
    <row r="186" spans="1:14">
      <c r="A186" s="3" t="s">
        <v>330</v>
      </c>
      <c r="B186" s="10" t="s">
        <v>331</v>
      </c>
      <c r="C186" s="7"/>
      <c r="D186" s="7">
        <f t="shared" si="8"/>
        <v>5412102.8900000006</v>
      </c>
      <c r="E186" s="6">
        <f t="shared" si="5"/>
        <v>0</v>
      </c>
      <c r="F186" s="6">
        <f t="shared" si="6"/>
        <v>5412102.8900000006</v>
      </c>
      <c r="G186" s="62"/>
      <c r="H186" s="62">
        <v>5412102.8900000006</v>
      </c>
      <c r="I186" s="60"/>
      <c r="J186" s="60"/>
      <c r="K186" s="64"/>
      <c r="L186" s="64"/>
      <c r="M186" s="25"/>
      <c r="N186" s="25"/>
    </row>
    <row r="187" spans="1:14">
      <c r="A187" s="3" t="s">
        <v>332</v>
      </c>
      <c r="B187" s="10" t="s">
        <v>333</v>
      </c>
      <c r="C187" s="5"/>
      <c r="D187" s="5">
        <f t="shared" si="8"/>
        <v>1426138.3599999999</v>
      </c>
      <c r="E187" s="6">
        <f t="shared" si="5"/>
        <v>0</v>
      </c>
      <c r="F187" s="6">
        <f t="shared" si="6"/>
        <v>1426138.3599999999</v>
      </c>
      <c r="G187" s="62"/>
      <c r="H187" s="62">
        <v>1426138.3599999999</v>
      </c>
      <c r="I187" s="60"/>
      <c r="J187" s="60"/>
      <c r="K187" s="64"/>
      <c r="L187" s="64"/>
      <c r="M187" s="25"/>
      <c r="N187" s="25"/>
    </row>
    <row r="188" spans="1:14" hidden="1">
      <c r="A188" s="3" t="s">
        <v>334</v>
      </c>
      <c r="B188" s="10" t="s">
        <v>335</v>
      </c>
      <c r="C188" s="5"/>
      <c r="D188" s="5">
        <f t="shared" si="8"/>
        <v>0</v>
      </c>
      <c r="E188" s="6">
        <f t="shared" si="5"/>
        <v>0</v>
      </c>
      <c r="F188" s="6">
        <f t="shared" si="6"/>
        <v>0</v>
      </c>
      <c r="G188" s="62"/>
      <c r="H188" s="62"/>
      <c r="I188" s="60"/>
      <c r="J188" s="60"/>
      <c r="K188" s="64"/>
      <c r="L188" s="64"/>
      <c r="M188" s="25"/>
      <c r="N188" s="25"/>
    </row>
    <row r="189" spans="1:14" hidden="1">
      <c r="A189" s="3" t="s">
        <v>336</v>
      </c>
      <c r="B189" s="10" t="s">
        <v>337</v>
      </c>
      <c r="C189" s="5"/>
      <c r="D189" s="5">
        <f t="shared" si="8"/>
        <v>0</v>
      </c>
      <c r="E189" s="6">
        <f t="shared" si="5"/>
        <v>0</v>
      </c>
      <c r="F189" s="6">
        <f t="shared" si="6"/>
        <v>0</v>
      </c>
      <c r="G189" s="62"/>
      <c r="H189" s="62"/>
      <c r="I189" s="60"/>
      <c r="J189" s="60"/>
      <c r="K189" s="64"/>
      <c r="L189" s="64"/>
      <c r="M189" s="25"/>
      <c r="N189" s="25"/>
    </row>
    <row r="190" spans="1:14">
      <c r="A190" s="3" t="s">
        <v>338</v>
      </c>
      <c r="B190" s="10" t="s">
        <v>339</v>
      </c>
      <c r="C190" s="5"/>
      <c r="D190" s="5">
        <f t="shared" si="8"/>
        <v>50143127.590000004</v>
      </c>
      <c r="E190" s="6">
        <f t="shared" si="5"/>
        <v>0</v>
      </c>
      <c r="F190" s="6">
        <f t="shared" si="6"/>
        <v>50143127.590000004</v>
      </c>
      <c r="G190" s="62"/>
      <c r="H190" s="62">
        <v>50143127.590000004</v>
      </c>
      <c r="I190" s="60"/>
      <c r="J190" s="60"/>
      <c r="K190" s="64"/>
      <c r="L190" s="64"/>
      <c r="M190" s="25"/>
      <c r="N190" s="25"/>
    </row>
    <row r="191" spans="1:14" hidden="1">
      <c r="A191" s="3" t="s">
        <v>340</v>
      </c>
      <c r="B191" s="10" t="s">
        <v>341</v>
      </c>
      <c r="C191" s="5"/>
      <c r="D191" s="5">
        <f t="shared" si="8"/>
        <v>0</v>
      </c>
      <c r="E191" s="6">
        <f t="shared" si="5"/>
        <v>0</v>
      </c>
      <c r="F191" s="6">
        <f t="shared" si="6"/>
        <v>0</v>
      </c>
      <c r="G191" s="62"/>
      <c r="H191" s="62"/>
      <c r="I191" s="60"/>
      <c r="J191" s="60"/>
      <c r="K191" s="64"/>
      <c r="L191" s="64"/>
      <c r="M191" s="25"/>
      <c r="N191" s="25"/>
    </row>
    <row r="192" spans="1:14" hidden="1">
      <c r="A192" s="3" t="s">
        <v>342</v>
      </c>
      <c r="B192" s="10" t="s">
        <v>343</v>
      </c>
      <c r="C192" s="5"/>
      <c r="D192" s="5">
        <f t="shared" si="8"/>
        <v>0</v>
      </c>
      <c r="E192" s="6">
        <f t="shared" si="5"/>
        <v>0</v>
      </c>
      <c r="F192" s="6">
        <f t="shared" si="6"/>
        <v>0</v>
      </c>
      <c r="G192" s="62"/>
      <c r="H192" s="62"/>
      <c r="I192" s="60"/>
      <c r="J192" s="60"/>
      <c r="K192" s="64"/>
      <c r="L192" s="64"/>
      <c r="M192" s="25"/>
      <c r="N192" s="25"/>
    </row>
    <row r="193" spans="1:14" hidden="1">
      <c r="A193" s="3" t="s">
        <v>344</v>
      </c>
      <c r="B193" s="10" t="s">
        <v>345</v>
      </c>
      <c r="C193" s="5"/>
      <c r="D193" s="5">
        <f t="shared" si="8"/>
        <v>0</v>
      </c>
      <c r="E193" s="6">
        <f t="shared" si="5"/>
        <v>0</v>
      </c>
      <c r="F193" s="6">
        <f t="shared" si="6"/>
        <v>0</v>
      </c>
      <c r="G193" s="62"/>
      <c r="H193" s="62"/>
      <c r="I193" s="60"/>
      <c r="J193" s="60"/>
      <c r="K193" s="64"/>
      <c r="L193" s="64"/>
      <c r="M193" s="25"/>
      <c r="N193" s="25"/>
    </row>
    <row r="194" spans="1:14" hidden="1">
      <c r="A194" s="3" t="s">
        <v>346</v>
      </c>
      <c r="B194" s="10" t="s">
        <v>347</v>
      </c>
      <c r="C194" s="5"/>
      <c r="D194" s="5">
        <f t="shared" si="8"/>
        <v>0</v>
      </c>
      <c r="E194" s="6">
        <f t="shared" si="5"/>
        <v>0</v>
      </c>
      <c r="F194" s="6">
        <f t="shared" si="6"/>
        <v>0</v>
      </c>
      <c r="G194" s="62"/>
      <c r="H194" s="62"/>
      <c r="I194" s="60"/>
      <c r="J194" s="60"/>
      <c r="K194" s="64"/>
      <c r="L194" s="64"/>
      <c r="M194" s="25"/>
      <c r="N194" s="25"/>
    </row>
    <row r="195" spans="1:14" hidden="1">
      <c r="A195" s="3" t="s">
        <v>348</v>
      </c>
      <c r="B195" s="10" t="s">
        <v>349</v>
      </c>
      <c r="C195" s="5"/>
      <c r="D195" s="5">
        <f t="shared" si="8"/>
        <v>0</v>
      </c>
      <c r="E195" s="6">
        <f t="shared" si="5"/>
        <v>0</v>
      </c>
      <c r="F195" s="6">
        <f t="shared" si="6"/>
        <v>0</v>
      </c>
      <c r="G195" s="62"/>
      <c r="H195" s="62"/>
      <c r="I195" s="60"/>
      <c r="J195" s="60"/>
      <c r="K195" s="64"/>
      <c r="L195" s="64"/>
      <c r="M195" s="25"/>
      <c r="N195" s="25"/>
    </row>
    <row r="196" spans="1:14" hidden="1">
      <c r="A196" s="3" t="s">
        <v>350</v>
      </c>
      <c r="B196" s="10" t="s">
        <v>351</v>
      </c>
      <c r="C196" s="5"/>
      <c r="D196" s="5">
        <f t="shared" si="8"/>
        <v>0</v>
      </c>
      <c r="E196" s="6">
        <f t="shared" si="5"/>
        <v>0</v>
      </c>
      <c r="F196" s="6">
        <f t="shared" si="6"/>
        <v>0</v>
      </c>
      <c r="G196" s="62"/>
      <c r="H196" s="62"/>
      <c r="I196" s="60"/>
      <c r="J196" s="60"/>
      <c r="K196" s="64"/>
      <c r="L196" s="64"/>
      <c r="M196" s="25"/>
      <c r="N196" s="25"/>
    </row>
    <row r="197" spans="1:14" hidden="1">
      <c r="A197" s="3" t="s">
        <v>352</v>
      </c>
      <c r="B197" s="10" t="s">
        <v>353</v>
      </c>
      <c r="C197" s="5"/>
      <c r="D197" s="5">
        <f t="shared" si="8"/>
        <v>0</v>
      </c>
      <c r="E197" s="6">
        <f t="shared" si="5"/>
        <v>0</v>
      </c>
      <c r="F197" s="6">
        <f t="shared" si="6"/>
        <v>0</v>
      </c>
      <c r="G197" s="62"/>
      <c r="H197" s="62"/>
      <c r="I197" s="60"/>
      <c r="J197" s="60"/>
      <c r="K197" s="64"/>
      <c r="L197" s="64"/>
      <c r="M197" s="25"/>
      <c r="N197" s="25"/>
    </row>
    <row r="198" spans="1:14" hidden="1">
      <c r="A198" s="3" t="s">
        <v>354</v>
      </c>
      <c r="B198" s="10" t="s">
        <v>355</v>
      </c>
      <c r="C198" s="5"/>
      <c r="D198" s="5">
        <f t="shared" si="8"/>
        <v>0</v>
      </c>
      <c r="E198" s="6">
        <f t="shared" si="5"/>
        <v>0</v>
      </c>
      <c r="F198" s="6">
        <f t="shared" si="6"/>
        <v>0</v>
      </c>
      <c r="G198" s="62"/>
      <c r="H198" s="62"/>
      <c r="I198" s="60"/>
      <c r="J198" s="60"/>
      <c r="K198" s="64"/>
      <c r="L198" s="64"/>
      <c r="M198" s="25"/>
      <c r="N198" s="25"/>
    </row>
    <row r="199" spans="1:14" hidden="1">
      <c r="A199" s="3" t="s">
        <v>356</v>
      </c>
      <c r="B199" s="10" t="s">
        <v>357</v>
      </c>
      <c r="C199" s="5"/>
      <c r="D199" s="5">
        <f t="shared" si="8"/>
        <v>0</v>
      </c>
      <c r="E199" s="6">
        <f t="shared" si="5"/>
        <v>0</v>
      </c>
      <c r="F199" s="6">
        <f t="shared" si="6"/>
        <v>0</v>
      </c>
      <c r="G199" s="62"/>
      <c r="H199" s="62"/>
      <c r="I199" s="60"/>
      <c r="J199" s="60"/>
      <c r="K199" s="64"/>
      <c r="L199" s="64"/>
      <c r="M199" s="25"/>
      <c r="N199" s="25"/>
    </row>
    <row r="200" spans="1:14" hidden="1">
      <c r="A200" s="3" t="s">
        <v>358</v>
      </c>
      <c r="B200" s="10" t="s">
        <v>359</v>
      </c>
      <c r="C200" s="5"/>
      <c r="D200" s="5">
        <f t="shared" si="8"/>
        <v>0</v>
      </c>
      <c r="E200" s="6">
        <f t="shared" si="5"/>
        <v>0</v>
      </c>
      <c r="F200" s="6">
        <f t="shared" si="6"/>
        <v>0</v>
      </c>
      <c r="G200" s="62"/>
      <c r="H200" s="62"/>
      <c r="I200" s="60"/>
      <c r="J200" s="60"/>
      <c r="K200" s="64"/>
      <c r="L200" s="64"/>
      <c r="M200" s="25"/>
      <c r="N200" s="25"/>
    </row>
    <row r="201" spans="1:14" hidden="1">
      <c r="A201" s="3" t="s">
        <v>360</v>
      </c>
      <c r="B201" s="10" t="s">
        <v>361</v>
      </c>
      <c r="C201" s="5"/>
      <c r="D201" s="5">
        <f t="shared" si="8"/>
        <v>0</v>
      </c>
      <c r="E201" s="6">
        <f t="shared" si="5"/>
        <v>0</v>
      </c>
      <c r="F201" s="6">
        <f t="shared" si="6"/>
        <v>0</v>
      </c>
      <c r="G201" s="62"/>
      <c r="H201" s="62"/>
      <c r="I201" s="60"/>
      <c r="J201" s="60"/>
      <c r="K201" s="64"/>
      <c r="L201" s="64"/>
      <c r="M201" s="25"/>
      <c r="N201" s="25"/>
    </row>
    <row r="202" spans="1:14" hidden="1">
      <c r="A202" s="3" t="s">
        <v>362</v>
      </c>
      <c r="B202" s="10" t="s">
        <v>363</v>
      </c>
      <c r="C202" s="5"/>
      <c r="D202" s="5">
        <f t="shared" si="8"/>
        <v>0</v>
      </c>
      <c r="E202" s="6">
        <f t="shared" si="5"/>
        <v>0</v>
      </c>
      <c r="F202" s="6">
        <f t="shared" si="6"/>
        <v>0</v>
      </c>
      <c r="G202" s="62"/>
      <c r="H202" s="62"/>
      <c r="I202" s="60"/>
      <c r="J202" s="60"/>
      <c r="K202" s="64"/>
      <c r="L202" s="64"/>
      <c r="M202" s="25"/>
      <c r="N202" s="25"/>
    </row>
    <row r="203" spans="1:14" hidden="1">
      <c r="A203" s="3" t="s">
        <v>364</v>
      </c>
      <c r="B203" s="10" t="s">
        <v>365</v>
      </c>
      <c r="C203" s="5"/>
      <c r="D203" s="5">
        <f t="shared" si="8"/>
        <v>0</v>
      </c>
      <c r="E203" s="6">
        <f t="shared" si="5"/>
        <v>0</v>
      </c>
      <c r="F203" s="6">
        <f t="shared" si="6"/>
        <v>0</v>
      </c>
      <c r="G203" s="62"/>
      <c r="H203" s="62"/>
      <c r="I203" s="60"/>
      <c r="J203" s="60"/>
      <c r="K203" s="64"/>
      <c r="L203" s="64"/>
      <c r="M203" s="25"/>
      <c r="N203" s="25"/>
    </row>
    <row r="204" spans="1:14" hidden="1">
      <c r="A204" s="3" t="s">
        <v>366</v>
      </c>
      <c r="B204" s="10" t="s">
        <v>367</v>
      </c>
      <c r="C204" s="5"/>
      <c r="D204" s="5">
        <f t="shared" si="8"/>
        <v>0</v>
      </c>
      <c r="E204" s="6">
        <f t="shared" si="5"/>
        <v>0</v>
      </c>
      <c r="F204" s="6">
        <f t="shared" si="6"/>
        <v>0</v>
      </c>
      <c r="G204" s="62"/>
      <c r="H204" s="62"/>
      <c r="I204" s="60"/>
      <c r="J204" s="60"/>
      <c r="K204" s="64"/>
      <c r="L204" s="64"/>
      <c r="M204" s="25"/>
      <c r="N204" s="25"/>
    </row>
    <row r="205" spans="1:14" hidden="1">
      <c r="A205" s="3" t="s">
        <v>368</v>
      </c>
      <c r="B205" s="10" t="s">
        <v>369</v>
      </c>
      <c r="C205" s="5"/>
      <c r="D205" s="5">
        <f t="shared" si="8"/>
        <v>0</v>
      </c>
      <c r="E205" s="6">
        <f t="shared" si="5"/>
        <v>0</v>
      </c>
      <c r="F205" s="6">
        <f t="shared" si="6"/>
        <v>0</v>
      </c>
      <c r="G205" s="62"/>
      <c r="H205" s="62"/>
      <c r="I205" s="60"/>
      <c r="J205" s="60"/>
      <c r="K205" s="64"/>
      <c r="L205" s="64"/>
      <c r="M205" s="25"/>
      <c r="N205" s="25"/>
    </row>
    <row r="206" spans="1:14" hidden="1">
      <c r="A206" s="3" t="s">
        <v>370</v>
      </c>
      <c r="B206" s="10" t="s">
        <v>371</v>
      </c>
      <c r="C206" s="5"/>
      <c r="D206" s="5">
        <f t="shared" si="8"/>
        <v>0</v>
      </c>
      <c r="E206" s="6">
        <f t="shared" ref="E206:E269" si="9">SUM(G206,I206,K206,M206)</f>
        <v>0</v>
      </c>
      <c r="F206" s="6">
        <f t="shared" ref="F206:F269" si="10">SUM(H206,J206,L206,N206)</f>
        <v>0</v>
      </c>
      <c r="G206" s="62"/>
      <c r="H206" s="62"/>
      <c r="I206" s="60"/>
      <c r="J206" s="60"/>
      <c r="K206" s="64"/>
      <c r="L206" s="64"/>
      <c r="M206" s="25"/>
      <c r="N206" s="25"/>
    </row>
    <row r="207" spans="1:14" hidden="1">
      <c r="A207" s="3" t="s">
        <v>372</v>
      </c>
      <c r="B207" s="10" t="s">
        <v>373</v>
      </c>
      <c r="C207" s="5"/>
      <c r="D207" s="5">
        <f t="shared" si="8"/>
        <v>0</v>
      </c>
      <c r="E207" s="6">
        <f t="shared" si="9"/>
        <v>0</v>
      </c>
      <c r="F207" s="6">
        <f t="shared" si="10"/>
        <v>0</v>
      </c>
      <c r="G207" s="62"/>
      <c r="H207" s="62"/>
      <c r="I207" s="60"/>
      <c r="J207" s="60"/>
      <c r="K207" s="64"/>
      <c r="L207" s="64"/>
      <c r="M207" s="25"/>
      <c r="N207" s="25"/>
    </row>
    <row r="208" spans="1:14" hidden="1">
      <c r="A208" s="3" t="s">
        <v>374</v>
      </c>
      <c r="B208" s="10" t="s">
        <v>375</v>
      </c>
      <c r="C208" s="5"/>
      <c r="D208" s="5">
        <f t="shared" si="8"/>
        <v>0</v>
      </c>
      <c r="E208" s="6">
        <f t="shared" si="9"/>
        <v>0</v>
      </c>
      <c r="F208" s="6">
        <f t="shared" si="10"/>
        <v>0</v>
      </c>
      <c r="G208" s="62"/>
      <c r="H208" s="62"/>
      <c r="I208" s="60"/>
      <c r="J208" s="60"/>
      <c r="K208" s="64"/>
      <c r="L208" s="64"/>
      <c r="M208" s="25"/>
      <c r="N208" s="25"/>
    </row>
    <row r="209" spans="1:14" hidden="1">
      <c r="A209" s="3" t="s">
        <v>376</v>
      </c>
      <c r="B209" s="10" t="s">
        <v>377</v>
      </c>
      <c r="C209" s="5"/>
      <c r="D209" s="5">
        <f t="shared" si="8"/>
        <v>0</v>
      </c>
      <c r="E209" s="6">
        <f t="shared" si="9"/>
        <v>0</v>
      </c>
      <c r="F209" s="6">
        <f t="shared" si="10"/>
        <v>0</v>
      </c>
      <c r="G209" s="62"/>
      <c r="H209" s="62"/>
      <c r="I209" s="60"/>
      <c r="J209" s="60"/>
      <c r="K209" s="64"/>
      <c r="L209" s="64"/>
      <c r="M209" s="25"/>
      <c r="N209" s="25"/>
    </row>
    <row r="210" spans="1:14" hidden="1">
      <c r="A210" s="3" t="s">
        <v>378</v>
      </c>
      <c r="B210" s="10" t="s">
        <v>379</v>
      </c>
      <c r="C210" s="5"/>
      <c r="D210" s="5">
        <f t="shared" si="8"/>
        <v>0</v>
      </c>
      <c r="E210" s="6">
        <f t="shared" si="9"/>
        <v>0</v>
      </c>
      <c r="F210" s="6">
        <f t="shared" si="10"/>
        <v>0</v>
      </c>
      <c r="G210" s="62"/>
      <c r="H210" s="62"/>
      <c r="I210" s="60"/>
      <c r="J210" s="60"/>
      <c r="K210" s="64"/>
      <c r="L210" s="64"/>
      <c r="M210" s="25"/>
      <c r="N210" s="25"/>
    </row>
    <row r="211" spans="1:14" hidden="1">
      <c r="A211" s="3" t="s">
        <v>380</v>
      </c>
      <c r="B211" s="10" t="s">
        <v>381</v>
      </c>
      <c r="C211" s="5"/>
      <c r="D211" s="5">
        <f t="shared" si="8"/>
        <v>0</v>
      </c>
      <c r="E211" s="6">
        <f t="shared" si="9"/>
        <v>0</v>
      </c>
      <c r="F211" s="6">
        <f t="shared" si="10"/>
        <v>0</v>
      </c>
      <c r="G211" s="62"/>
      <c r="H211" s="62"/>
      <c r="I211" s="60"/>
      <c r="J211" s="60"/>
      <c r="K211" s="64"/>
      <c r="L211" s="64"/>
      <c r="M211" s="25"/>
      <c r="N211" s="25"/>
    </row>
    <row r="212" spans="1:14" hidden="1">
      <c r="A212" s="3" t="s">
        <v>382</v>
      </c>
      <c r="B212" s="10" t="s">
        <v>383</v>
      </c>
      <c r="C212" s="5"/>
      <c r="D212" s="5">
        <f t="shared" si="8"/>
        <v>0</v>
      </c>
      <c r="E212" s="6">
        <f t="shared" si="9"/>
        <v>0</v>
      </c>
      <c r="F212" s="6">
        <f t="shared" si="10"/>
        <v>0</v>
      </c>
      <c r="G212" s="62"/>
      <c r="H212" s="62"/>
      <c r="I212" s="60"/>
      <c r="J212" s="60"/>
      <c r="K212" s="64"/>
      <c r="L212" s="64"/>
      <c r="M212" s="25"/>
      <c r="N212" s="25"/>
    </row>
    <row r="213" spans="1:14" hidden="1">
      <c r="A213" s="3" t="s">
        <v>384</v>
      </c>
      <c r="B213" s="10" t="s">
        <v>385</v>
      </c>
      <c r="C213" s="5"/>
      <c r="D213" s="5">
        <f t="shared" si="8"/>
        <v>0</v>
      </c>
      <c r="E213" s="6">
        <f t="shared" si="9"/>
        <v>0</v>
      </c>
      <c r="F213" s="6">
        <f t="shared" si="10"/>
        <v>0</v>
      </c>
      <c r="G213" s="62"/>
      <c r="H213" s="62"/>
      <c r="I213" s="60"/>
      <c r="J213" s="60"/>
      <c r="K213" s="64"/>
      <c r="L213" s="64"/>
      <c r="M213" s="25"/>
      <c r="N213" s="25"/>
    </row>
    <row r="214" spans="1:14" hidden="1">
      <c r="A214" s="3" t="s">
        <v>386</v>
      </c>
      <c r="B214" s="10" t="s">
        <v>387</v>
      </c>
      <c r="C214" s="5"/>
      <c r="D214" s="5">
        <f t="shared" si="8"/>
        <v>0</v>
      </c>
      <c r="E214" s="6">
        <f t="shared" si="9"/>
        <v>0</v>
      </c>
      <c r="F214" s="6">
        <f t="shared" si="10"/>
        <v>0</v>
      </c>
      <c r="G214" s="62"/>
      <c r="H214" s="62"/>
      <c r="I214" s="60"/>
      <c r="J214" s="60"/>
      <c r="K214" s="64"/>
      <c r="L214" s="64"/>
      <c r="M214" s="25"/>
      <c r="N214" s="25"/>
    </row>
    <row r="215" spans="1:14" hidden="1">
      <c r="A215" s="3" t="s">
        <v>388</v>
      </c>
      <c r="B215" s="10" t="s">
        <v>389</v>
      </c>
      <c r="C215" s="5"/>
      <c r="D215" s="5">
        <f t="shared" si="8"/>
        <v>0</v>
      </c>
      <c r="E215" s="6">
        <f t="shared" si="9"/>
        <v>0</v>
      </c>
      <c r="F215" s="6">
        <f t="shared" si="10"/>
        <v>0</v>
      </c>
      <c r="G215" s="62"/>
      <c r="H215" s="62"/>
      <c r="I215" s="60"/>
      <c r="J215" s="60"/>
      <c r="K215" s="64"/>
      <c r="L215" s="64"/>
      <c r="M215" s="25"/>
      <c r="N215" s="25"/>
    </row>
    <row r="216" spans="1:14" hidden="1">
      <c r="A216" s="3" t="s">
        <v>390</v>
      </c>
      <c r="B216" s="10" t="s">
        <v>391</v>
      </c>
      <c r="C216" s="5"/>
      <c r="D216" s="5">
        <f t="shared" si="8"/>
        <v>0</v>
      </c>
      <c r="E216" s="6">
        <f t="shared" si="9"/>
        <v>0</v>
      </c>
      <c r="F216" s="6">
        <f t="shared" si="10"/>
        <v>0</v>
      </c>
      <c r="G216" s="62"/>
      <c r="H216" s="62"/>
      <c r="I216" s="60"/>
      <c r="J216" s="60"/>
      <c r="K216" s="64"/>
      <c r="L216" s="64"/>
      <c r="M216" s="25"/>
      <c r="N216" s="25"/>
    </row>
    <row r="217" spans="1:14" hidden="1">
      <c r="A217" s="3" t="s">
        <v>392</v>
      </c>
      <c r="B217" s="10" t="s">
        <v>393</v>
      </c>
      <c r="C217" s="5"/>
      <c r="D217" s="5">
        <f t="shared" si="8"/>
        <v>0</v>
      </c>
      <c r="E217" s="6">
        <f t="shared" si="9"/>
        <v>0</v>
      </c>
      <c r="F217" s="6">
        <f t="shared" si="10"/>
        <v>0</v>
      </c>
      <c r="G217" s="62"/>
      <c r="H217" s="62"/>
      <c r="I217" s="60"/>
      <c r="J217" s="60"/>
      <c r="K217" s="64"/>
      <c r="L217" s="64"/>
      <c r="M217" s="25"/>
      <c r="N217" s="25"/>
    </row>
    <row r="218" spans="1:14" hidden="1">
      <c r="A218" s="3" t="s">
        <v>394</v>
      </c>
      <c r="B218" s="10" t="s">
        <v>395</v>
      </c>
      <c r="C218" s="5"/>
      <c r="D218" s="5">
        <f t="shared" si="8"/>
        <v>0</v>
      </c>
      <c r="E218" s="6">
        <f t="shared" si="9"/>
        <v>0</v>
      </c>
      <c r="F218" s="6">
        <f t="shared" si="10"/>
        <v>0</v>
      </c>
      <c r="G218" s="62"/>
      <c r="H218" s="62"/>
      <c r="I218" s="60"/>
      <c r="J218" s="60"/>
      <c r="K218" s="64"/>
      <c r="L218" s="64"/>
      <c r="M218" s="25"/>
      <c r="N218" s="25"/>
    </row>
    <row r="219" spans="1:14" hidden="1">
      <c r="A219" s="3" t="s">
        <v>396</v>
      </c>
      <c r="B219" s="10" t="s">
        <v>397</v>
      </c>
      <c r="C219" s="5"/>
      <c r="D219" s="5">
        <f t="shared" si="8"/>
        <v>0</v>
      </c>
      <c r="E219" s="6">
        <f t="shared" si="9"/>
        <v>0</v>
      </c>
      <c r="F219" s="6">
        <f t="shared" si="10"/>
        <v>0</v>
      </c>
      <c r="G219" s="62"/>
      <c r="H219" s="62"/>
      <c r="I219" s="60"/>
      <c r="J219" s="60"/>
      <c r="K219" s="64"/>
      <c r="L219" s="64"/>
      <c r="M219" s="25"/>
      <c r="N219" s="25"/>
    </row>
    <row r="220" spans="1:14" hidden="1">
      <c r="A220" s="3" t="s">
        <v>398</v>
      </c>
      <c r="B220" s="10" t="s">
        <v>399</v>
      </c>
      <c r="C220" s="5"/>
      <c r="D220" s="5">
        <f t="shared" si="8"/>
        <v>0</v>
      </c>
      <c r="E220" s="6">
        <f t="shared" si="9"/>
        <v>0</v>
      </c>
      <c r="F220" s="6">
        <f t="shared" si="10"/>
        <v>0</v>
      </c>
      <c r="G220" s="62"/>
      <c r="H220" s="62"/>
      <c r="I220" s="60"/>
      <c r="J220" s="60"/>
      <c r="K220" s="64"/>
      <c r="L220" s="64"/>
      <c r="M220" s="25"/>
      <c r="N220" s="25"/>
    </row>
    <row r="221" spans="1:14" hidden="1">
      <c r="A221" s="3" t="s">
        <v>400</v>
      </c>
      <c r="B221" s="10" t="s">
        <v>401</v>
      </c>
      <c r="C221" s="5"/>
      <c r="D221" s="5">
        <f t="shared" si="8"/>
        <v>0</v>
      </c>
      <c r="E221" s="6">
        <f t="shared" si="9"/>
        <v>0</v>
      </c>
      <c r="F221" s="6">
        <f t="shared" si="10"/>
        <v>0</v>
      </c>
      <c r="G221" s="62"/>
      <c r="H221" s="62"/>
      <c r="I221" s="60"/>
      <c r="J221" s="60"/>
      <c r="K221" s="64"/>
      <c r="L221" s="64"/>
      <c r="M221" s="25"/>
      <c r="N221" s="25"/>
    </row>
    <row r="222" spans="1:14" hidden="1">
      <c r="A222" s="3" t="s">
        <v>402</v>
      </c>
      <c r="B222" s="10" t="s">
        <v>403</v>
      </c>
      <c r="C222" s="5"/>
      <c r="D222" s="5">
        <f t="shared" si="8"/>
        <v>0</v>
      </c>
      <c r="E222" s="6">
        <f t="shared" si="9"/>
        <v>0</v>
      </c>
      <c r="F222" s="6">
        <f t="shared" si="10"/>
        <v>0</v>
      </c>
      <c r="G222" s="62"/>
      <c r="H222" s="62"/>
      <c r="I222" s="60"/>
      <c r="J222" s="60"/>
      <c r="K222" s="64"/>
      <c r="L222" s="64"/>
      <c r="M222" s="25"/>
      <c r="N222" s="25"/>
    </row>
    <row r="223" spans="1:14" hidden="1">
      <c r="A223" s="3" t="s">
        <v>404</v>
      </c>
      <c r="B223" s="10" t="s">
        <v>405</v>
      </c>
      <c r="C223" s="5"/>
      <c r="D223" s="5">
        <f t="shared" si="8"/>
        <v>0</v>
      </c>
      <c r="E223" s="6">
        <f t="shared" si="9"/>
        <v>0</v>
      </c>
      <c r="F223" s="6">
        <f t="shared" si="10"/>
        <v>0</v>
      </c>
      <c r="G223" s="62"/>
      <c r="H223" s="62"/>
      <c r="I223" s="60"/>
      <c r="J223" s="60"/>
      <c r="K223" s="64"/>
      <c r="L223" s="64"/>
      <c r="M223" s="25"/>
      <c r="N223" s="25"/>
    </row>
    <row r="224" spans="1:14" hidden="1">
      <c r="A224" s="3" t="s">
        <v>406</v>
      </c>
      <c r="B224" s="10" t="s">
        <v>407</v>
      </c>
      <c r="C224" s="5"/>
      <c r="D224" s="5">
        <f t="shared" si="8"/>
        <v>0</v>
      </c>
      <c r="E224" s="6">
        <f t="shared" si="9"/>
        <v>0</v>
      </c>
      <c r="F224" s="6">
        <f t="shared" si="10"/>
        <v>0</v>
      </c>
      <c r="G224" s="62"/>
      <c r="H224" s="62"/>
      <c r="I224" s="60"/>
      <c r="J224" s="60"/>
      <c r="K224" s="64"/>
      <c r="L224" s="64"/>
      <c r="M224" s="25"/>
      <c r="N224" s="25"/>
    </row>
    <row r="225" spans="1:14" hidden="1">
      <c r="A225" s="3" t="s">
        <v>408</v>
      </c>
      <c r="B225" s="10" t="s">
        <v>409</v>
      </c>
      <c r="C225" s="5"/>
      <c r="D225" s="5">
        <f t="shared" si="8"/>
        <v>0</v>
      </c>
      <c r="E225" s="6">
        <f t="shared" si="9"/>
        <v>0</v>
      </c>
      <c r="F225" s="6">
        <f t="shared" si="10"/>
        <v>0</v>
      </c>
      <c r="G225" s="62"/>
      <c r="H225" s="62"/>
      <c r="I225" s="60"/>
      <c r="J225" s="60"/>
      <c r="K225" s="64"/>
      <c r="L225" s="64"/>
      <c r="M225" s="25"/>
      <c r="N225" s="25"/>
    </row>
    <row r="226" spans="1:14" hidden="1">
      <c r="A226" s="3" t="s">
        <v>410</v>
      </c>
      <c r="B226" s="10" t="s">
        <v>411</v>
      </c>
      <c r="C226" s="5"/>
      <c r="D226" s="5">
        <f t="shared" si="8"/>
        <v>0</v>
      </c>
      <c r="E226" s="6">
        <f t="shared" si="9"/>
        <v>0</v>
      </c>
      <c r="F226" s="6">
        <f t="shared" si="10"/>
        <v>0</v>
      </c>
      <c r="G226" s="62"/>
      <c r="H226" s="62"/>
      <c r="I226" s="60"/>
      <c r="J226" s="60"/>
      <c r="K226" s="64"/>
      <c r="L226" s="64"/>
      <c r="M226" s="25"/>
      <c r="N226" s="25"/>
    </row>
    <row r="227" spans="1:14" hidden="1">
      <c r="A227" s="3" t="s">
        <v>412</v>
      </c>
      <c r="B227" s="10" t="s">
        <v>413</v>
      </c>
      <c r="C227" s="5"/>
      <c r="D227" s="5">
        <f t="shared" si="8"/>
        <v>0</v>
      </c>
      <c r="E227" s="6">
        <f t="shared" si="9"/>
        <v>0</v>
      </c>
      <c r="F227" s="6">
        <f t="shared" si="10"/>
        <v>0</v>
      </c>
      <c r="G227" s="62"/>
      <c r="H227" s="62"/>
      <c r="I227" s="60"/>
      <c r="J227" s="60"/>
      <c r="K227" s="64"/>
      <c r="L227" s="64"/>
      <c r="M227" s="25"/>
      <c r="N227" s="25"/>
    </row>
    <row r="228" spans="1:14" hidden="1">
      <c r="A228" s="3" t="s">
        <v>414</v>
      </c>
      <c r="B228" s="10" t="s">
        <v>415</v>
      </c>
      <c r="C228" s="5"/>
      <c r="D228" s="5">
        <f t="shared" si="8"/>
        <v>0</v>
      </c>
      <c r="E228" s="6">
        <f t="shared" si="9"/>
        <v>0</v>
      </c>
      <c r="F228" s="6">
        <f t="shared" si="10"/>
        <v>0</v>
      </c>
      <c r="G228" s="62"/>
      <c r="H228" s="62"/>
      <c r="I228" s="60"/>
      <c r="J228" s="60"/>
      <c r="K228" s="64"/>
      <c r="L228" s="64"/>
      <c r="M228" s="25"/>
      <c r="N228" s="25"/>
    </row>
    <row r="229" spans="1:14" hidden="1">
      <c r="A229" s="3" t="s">
        <v>416</v>
      </c>
      <c r="B229" s="10" t="s">
        <v>417</v>
      </c>
      <c r="C229" s="5"/>
      <c r="D229" s="5">
        <f t="shared" si="8"/>
        <v>0</v>
      </c>
      <c r="E229" s="6">
        <f t="shared" si="9"/>
        <v>0</v>
      </c>
      <c r="F229" s="6">
        <f t="shared" si="10"/>
        <v>0</v>
      </c>
      <c r="G229" s="62"/>
      <c r="H229" s="62"/>
      <c r="I229" s="60"/>
      <c r="J229" s="60"/>
      <c r="K229" s="64"/>
      <c r="L229" s="64"/>
      <c r="M229" s="25"/>
      <c r="N229" s="25"/>
    </row>
    <row r="230" spans="1:14" hidden="1">
      <c r="A230" s="3" t="s">
        <v>418</v>
      </c>
      <c r="B230" s="10" t="s">
        <v>419</v>
      </c>
      <c r="C230" s="5"/>
      <c r="D230" s="5">
        <f t="shared" si="8"/>
        <v>0</v>
      </c>
      <c r="E230" s="6">
        <f t="shared" si="9"/>
        <v>0</v>
      </c>
      <c r="F230" s="6">
        <f t="shared" si="10"/>
        <v>0</v>
      </c>
      <c r="G230" s="62"/>
      <c r="H230" s="62"/>
      <c r="I230" s="60"/>
      <c r="J230" s="60"/>
      <c r="K230" s="64"/>
      <c r="L230" s="64"/>
      <c r="M230" s="25"/>
      <c r="N230" s="25"/>
    </row>
    <row r="231" spans="1:14" hidden="1">
      <c r="A231" s="3" t="s">
        <v>420</v>
      </c>
      <c r="B231" s="10" t="s">
        <v>421</v>
      </c>
      <c r="C231" s="5"/>
      <c r="D231" s="5">
        <f t="shared" si="8"/>
        <v>0</v>
      </c>
      <c r="E231" s="6">
        <f t="shared" si="9"/>
        <v>0</v>
      </c>
      <c r="F231" s="6">
        <f t="shared" si="10"/>
        <v>0</v>
      </c>
      <c r="G231" s="62"/>
      <c r="H231" s="62"/>
      <c r="I231" s="60"/>
      <c r="J231" s="60"/>
      <c r="K231" s="64"/>
      <c r="L231" s="64"/>
      <c r="M231" s="25"/>
      <c r="N231" s="25"/>
    </row>
    <row r="232" spans="1:14" hidden="1">
      <c r="A232" s="3" t="s">
        <v>422</v>
      </c>
      <c r="B232" s="10" t="s">
        <v>423</v>
      </c>
      <c r="C232" s="5"/>
      <c r="D232" s="5">
        <f t="shared" si="8"/>
        <v>0</v>
      </c>
      <c r="E232" s="6">
        <f t="shared" si="9"/>
        <v>0</v>
      </c>
      <c r="F232" s="6">
        <f t="shared" si="10"/>
        <v>0</v>
      </c>
      <c r="G232" s="62"/>
      <c r="H232" s="62"/>
      <c r="I232" s="60"/>
      <c r="J232" s="60"/>
      <c r="K232" s="64"/>
      <c r="L232" s="64"/>
      <c r="M232" s="25"/>
      <c r="N232" s="25"/>
    </row>
    <row r="233" spans="1:14" hidden="1">
      <c r="A233" s="3" t="s">
        <v>424</v>
      </c>
      <c r="B233" s="10" t="s">
        <v>425</v>
      </c>
      <c r="C233" s="5"/>
      <c r="D233" s="5">
        <f t="shared" si="8"/>
        <v>0</v>
      </c>
      <c r="E233" s="6">
        <f t="shared" si="9"/>
        <v>0</v>
      </c>
      <c r="F233" s="6">
        <f t="shared" si="10"/>
        <v>0</v>
      </c>
      <c r="G233" s="62"/>
      <c r="H233" s="62"/>
      <c r="I233" s="60"/>
      <c r="J233" s="60"/>
      <c r="K233" s="64"/>
      <c r="L233" s="64"/>
      <c r="M233" s="25"/>
      <c r="N233" s="25"/>
    </row>
    <row r="234" spans="1:14" hidden="1">
      <c r="A234" s="3" t="s">
        <v>426</v>
      </c>
      <c r="B234" s="10" t="s">
        <v>427</v>
      </c>
      <c r="C234" s="5"/>
      <c r="D234" s="5">
        <f t="shared" si="8"/>
        <v>0</v>
      </c>
      <c r="E234" s="6">
        <f t="shared" si="9"/>
        <v>0</v>
      </c>
      <c r="F234" s="6">
        <f t="shared" si="10"/>
        <v>0</v>
      </c>
      <c r="G234" s="62"/>
      <c r="H234" s="62"/>
      <c r="I234" s="60"/>
      <c r="J234" s="60"/>
      <c r="K234" s="64"/>
      <c r="L234" s="64"/>
      <c r="M234" s="25"/>
      <c r="N234" s="25"/>
    </row>
    <row r="235" spans="1:14" hidden="1">
      <c r="A235" s="3" t="s">
        <v>428</v>
      </c>
      <c r="B235" s="10" t="s">
        <v>429</v>
      </c>
      <c r="C235" s="5"/>
      <c r="D235" s="5">
        <f t="shared" si="8"/>
        <v>0</v>
      </c>
      <c r="E235" s="6">
        <f t="shared" si="9"/>
        <v>0</v>
      </c>
      <c r="F235" s="6">
        <f t="shared" si="10"/>
        <v>0</v>
      </c>
      <c r="G235" s="62"/>
      <c r="H235" s="62"/>
      <c r="I235" s="60"/>
      <c r="J235" s="60"/>
      <c r="K235" s="64"/>
      <c r="L235" s="64"/>
      <c r="M235" s="25"/>
      <c r="N235" s="25"/>
    </row>
    <row r="236" spans="1:14" hidden="1">
      <c r="A236" s="3" t="s">
        <v>430</v>
      </c>
      <c r="B236" s="10" t="s">
        <v>431</v>
      </c>
      <c r="C236" s="5"/>
      <c r="D236" s="5">
        <f t="shared" si="8"/>
        <v>0</v>
      </c>
      <c r="E236" s="6">
        <f t="shared" si="9"/>
        <v>0</v>
      </c>
      <c r="F236" s="6">
        <f t="shared" si="10"/>
        <v>0</v>
      </c>
      <c r="G236" s="62"/>
      <c r="H236" s="62"/>
      <c r="I236" s="60"/>
      <c r="J236" s="60"/>
      <c r="K236" s="64"/>
      <c r="L236" s="64"/>
      <c r="M236" s="25"/>
      <c r="N236" s="25"/>
    </row>
    <row r="237" spans="1:14" hidden="1">
      <c r="A237" s="3" t="s">
        <v>432</v>
      </c>
      <c r="B237" s="10" t="s">
        <v>433</v>
      </c>
      <c r="C237" s="5"/>
      <c r="D237" s="5">
        <f t="shared" si="8"/>
        <v>0</v>
      </c>
      <c r="E237" s="6">
        <f t="shared" si="9"/>
        <v>0</v>
      </c>
      <c r="F237" s="6">
        <f t="shared" si="10"/>
        <v>0</v>
      </c>
      <c r="G237" s="62"/>
      <c r="H237" s="62"/>
      <c r="I237" s="60"/>
      <c r="J237" s="60"/>
      <c r="K237" s="64"/>
      <c r="L237" s="64"/>
      <c r="M237" s="25"/>
      <c r="N237" s="25"/>
    </row>
    <row r="238" spans="1:14" hidden="1">
      <c r="A238" s="3" t="s">
        <v>434</v>
      </c>
      <c r="B238" s="10" t="s">
        <v>435</v>
      </c>
      <c r="C238" s="5"/>
      <c r="D238" s="5">
        <f t="shared" ref="D238:D280" si="11">F238-E238</f>
        <v>0</v>
      </c>
      <c r="E238" s="6">
        <f t="shared" si="9"/>
        <v>0</v>
      </c>
      <c r="F238" s="6">
        <f t="shared" si="10"/>
        <v>0</v>
      </c>
      <c r="G238" s="62"/>
      <c r="H238" s="62"/>
      <c r="I238" s="60"/>
      <c r="J238" s="60"/>
      <c r="K238" s="64"/>
      <c r="L238" s="64"/>
      <c r="M238" s="25"/>
      <c r="N238" s="25"/>
    </row>
    <row r="239" spans="1:14" hidden="1">
      <c r="A239" s="3" t="s">
        <v>436</v>
      </c>
      <c r="B239" s="10" t="s">
        <v>437</v>
      </c>
      <c r="C239" s="5"/>
      <c r="D239" s="5">
        <f t="shared" si="11"/>
        <v>0</v>
      </c>
      <c r="E239" s="6">
        <f t="shared" si="9"/>
        <v>0</v>
      </c>
      <c r="F239" s="6">
        <f t="shared" si="10"/>
        <v>0</v>
      </c>
      <c r="G239" s="62"/>
      <c r="H239" s="62"/>
      <c r="I239" s="60"/>
      <c r="J239" s="60"/>
      <c r="K239" s="64"/>
      <c r="L239" s="64"/>
      <c r="M239" s="25"/>
      <c r="N239" s="25"/>
    </row>
    <row r="240" spans="1:14" hidden="1">
      <c r="A240" s="3" t="s">
        <v>438</v>
      </c>
      <c r="B240" s="10" t="s">
        <v>439</v>
      </c>
      <c r="C240" s="5"/>
      <c r="D240" s="5">
        <f t="shared" si="11"/>
        <v>0</v>
      </c>
      <c r="E240" s="6">
        <f t="shared" si="9"/>
        <v>0</v>
      </c>
      <c r="F240" s="6">
        <f t="shared" si="10"/>
        <v>0</v>
      </c>
      <c r="G240" s="62"/>
      <c r="H240" s="62"/>
      <c r="I240" s="60"/>
      <c r="J240" s="60"/>
      <c r="K240" s="64"/>
      <c r="L240" s="64"/>
      <c r="M240" s="25"/>
      <c r="N240" s="25"/>
    </row>
    <row r="241" spans="1:14" hidden="1">
      <c r="A241" s="3" t="s">
        <v>440</v>
      </c>
      <c r="B241" s="10" t="s">
        <v>441</v>
      </c>
      <c r="C241" s="5"/>
      <c r="D241" s="5">
        <f t="shared" si="11"/>
        <v>0</v>
      </c>
      <c r="E241" s="6">
        <f t="shared" si="9"/>
        <v>0</v>
      </c>
      <c r="F241" s="6">
        <f t="shared" si="10"/>
        <v>0</v>
      </c>
      <c r="G241" s="62"/>
      <c r="H241" s="62"/>
      <c r="I241" s="60"/>
      <c r="J241" s="60"/>
      <c r="K241" s="64"/>
      <c r="L241" s="64"/>
      <c r="M241" s="25"/>
      <c r="N241" s="25"/>
    </row>
    <row r="242" spans="1:14" hidden="1">
      <c r="A242" s="3" t="s">
        <v>442</v>
      </c>
      <c r="B242" s="10" t="s">
        <v>443</v>
      </c>
      <c r="C242" s="5"/>
      <c r="D242" s="5">
        <f t="shared" si="11"/>
        <v>0</v>
      </c>
      <c r="E242" s="6">
        <f t="shared" si="9"/>
        <v>0</v>
      </c>
      <c r="F242" s="6">
        <f t="shared" si="10"/>
        <v>0</v>
      </c>
      <c r="G242" s="62"/>
      <c r="H242" s="62"/>
      <c r="I242" s="60"/>
      <c r="J242" s="60"/>
      <c r="K242" s="64"/>
      <c r="L242" s="64"/>
      <c r="M242" s="25"/>
      <c r="N242" s="25"/>
    </row>
    <row r="243" spans="1:14" hidden="1">
      <c r="A243" s="3" t="s">
        <v>444</v>
      </c>
      <c r="B243" s="10" t="s">
        <v>445</v>
      </c>
      <c r="C243" s="5"/>
      <c r="D243" s="5">
        <f t="shared" si="11"/>
        <v>0</v>
      </c>
      <c r="E243" s="6">
        <f t="shared" si="9"/>
        <v>0</v>
      </c>
      <c r="F243" s="6">
        <f t="shared" si="10"/>
        <v>0</v>
      </c>
      <c r="G243" s="62"/>
      <c r="H243" s="62"/>
      <c r="I243" s="60"/>
      <c r="J243" s="60"/>
      <c r="K243" s="64"/>
      <c r="L243" s="64"/>
      <c r="M243" s="25"/>
      <c r="N243" s="25"/>
    </row>
    <row r="244" spans="1:14" hidden="1">
      <c r="A244" s="3" t="s">
        <v>446</v>
      </c>
      <c r="B244" s="10" t="s">
        <v>447</v>
      </c>
      <c r="C244" s="5"/>
      <c r="D244" s="5">
        <f t="shared" si="11"/>
        <v>0</v>
      </c>
      <c r="E244" s="6">
        <f t="shared" si="9"/>
        <v>0</v>
      </c>
      <c r="F244" s="6">
        <f t="shared" si="10"/>
        <v>0</v>
      </c>
      <c r="G244" s="62"/>
      <c r="H244" s="62"/>
      <c r="I244" s="60"/>
      <c r="J244" s="60"/>
      <c r="K244" s="64"/>
      <c r="L244" s="64"/>
      <c r="M244" s="25"/>
      <c r="N244" s="25"/>
    </row>
    <row r="245" spans="1:14" hidden="1">
      <c r="A245" s="3" t="s">
        <v>448</v>
      </c>
      <c r="B245" s="10" t="s">
        <v>449</v>
      </c>
      <c r="C245" s="5"/>
      <c r="D245" s="5">
        <f t="shared" si="11"/>
        <v>0</v>
      </c>
      <c r="E245" s="6">
        <f t="shared" si="9"/>
        <v>0</v>
      </c>
      <c r="F245" s="6">
        <f t="shared" si="10"/>
        <v>0</v>
      </c>
      <c r="G245" s="62"/>
      <c r="H245" s="62"/>
      <c r="I245" s="60"/>
      <c r="J245" s="60"/>
      <c r="K245" s="64"/>
      <c r="L245" s="64"/>
      <c r="M245" s="25"/>
      <c r="N245" s="25"/>
    </row>
    <row r="246" spans="1:14" hidden="1">
      <c r="A246" s="3" t="s">
        <v>450</v>
      </c>
      <c r="B246" s="10" t="s">
        <v>451</v>
      </c>
      <c r="C246" s="5"/>
      <c r="D246" s="5">
        <f t="shared" si="11"/>
        <v>0</v>
      </c>
      <c r="E246" s="6">
        <f t="shared" si="9"/>
        <v>0</v>
      </c>
      <c r="F246" s="6">
        <f t="shared" si="10"/>
        <v>0</v>
      </c>
      <c r="G246" s="62"/>
      <c r="H246" s="62"/>
      <c r="I246" s="60"/>
      <c r="J246" s="60"/>
      <c r="K246" s="64"/>
      <c r="L246" s="64"/>
      <c r="M246" s="25"/>
      <c r="N246" s="25"/>
    </row>
    <row r="247" spans="1:14" hidden="1">
      <c r="A247" s="3" t="s">
        <v>452</v>
      </c>
      <c r="B247" s="10" t="s">
        <v>453</v>
      </c>
      <c r="C247" s="5"/>
      <c r="D247" s="5">
        <f t="shared" si="11"/>
        <v>0</v>
      </c>
      <c r="E247" s="6">
        <f t="shared" si="9"/>
        <v>0</v>
      </c>
      <c r="F247" s="6">
        <f t="shared" si="10"/>
        <v>0</v>
      </c>
      <c r="G247" s="62"/>
      <c r="H247" s="62"/>
      <c r="I247" s="60"/>
      <c r="J247" s="60"/>
      <c r="K247" s="64"/>
      <c r="L247" s="64"/>
      <c r="M247" s="25"/>
      <c r="N247" s="25"/>
    </row>
    <row r="248" spans="1:14" hidden="1">
      <c r="A248" s="3" t="s">
        <v>454</v>
      </c>
      <c r="B248" s="10" t="s">
        <v>455</v>
      </c>
      <c r="C248" s="5"/>
      <c r="D248" s="5">
        <f t="shared" si="11"/>
        <v>0</v>
      </c>
      <c r="E248" s="6">
        <f t="shared" si="9"/>
        <v>0</v>
      </c>
      <c r="F248" s="6">
        <f t="shared" si="10"/>
        <v>0</v>
      </c>
      <c r="G248" s="62"/>
      <c r="H248" s="62"/>
      <c r="I248" s="60"/>
      <c r="J248" s="60"/>
      <c r="K248" s="64"/>
      <c r="L248" s="64"/>
      <c r="M248" s="25"/>
      <c r="N248" s="25"/>
    </row>
    <row r="249" spans="1:14" hidden="1">
      <c r="A249" s="3" t="s">
        <v>456</v>
      </c>
      <c r="B249" s="10" t="s">
        <v>457</v>
      </c>
      <c r="C249" s="5"/>
      <c r="D249" s="5">
        <f t="shared" si="11"/>
        <v>0</v>
      </c>
      <c r="E249" s="6">
        <f t="shared" si="9"/>
        <v>0</v>
      </c>
      <c r="F249" s="6">
        <f t="shared" si="10"/>
        <v>0</v>
      </c>
      <c r="G249" s="62"/>
      <c r="H249" s="62"/>
      <c r="I249" s="60"/>
      <c r="J249" s="60"/>
      <c r="K249" s="64"/>
      <c r="L249" s="64"/>
      <c r="M249" s="25"/>
      <c r="N249" s="25"/>
    </row>
    <row r="250" spans="1:14" hidden="1">
      <c r="A250" s="3" t="s">
        <v>458</v>
      </c>
      <c r="B250" s="10" t="s">
        <v>459</v>
      </c>
      <c r="C250" s="5"/>
      <c r="D250" s="5">
        <f t="shared" si="11"/>
        <v>0</v>
      </c>
      <c r="E250" s="6">
        <f t="shared" si="9"/>
        <v>0</v>
      </c>
      <c r="F250" s="6">
        <f t="shared" si="10"/>
        <v>0</v>
      </c>
      <c r="G250" s="62"/>
      <c r="H250" s="62"/>
      <c r="I250" s="60"/>
      <c r="J250" s="60"/>
      <c r="K250" s="64"/>
      <c r="L250" s="64"/>
      <c r="M250" s="25"/>
      <c r="N250" s="25"/>
    </row>
    <row r="251" spans="1:14" hidden="1">
      <c r="A251" s="3" t="s">
        <v>460</v>
      </c>
      <c r="B251" s="10" t="s">
        <v>461</v>
      </c>
      <c r="C251" s="5"/>
      <c r="D251" s="5">
        <f t="shared" si="11"/>
        <v>0</v>
      </c>
      <c r="E251" s="6">
        <f t="shared" si="9"/>
        <v>0</v>
      </c>
      <c r="F251" s="6">
        <f t="shared" si="10"/>
        <v>0</v>
      </c>
      <c r="G251" s="62"/>
      <c r="H251" s="62"/>
      <c r="I251" s="60"/>
      <c r="J251" s="60"/>
      <c r="K251" s="64"/>
      <c r="L251" s="64"/>
      <c r="M251" s="25"/>
      <c r="N251" s="25"/>
    </row>
    <row r="252" spans="1:14" hidden="1">
      <c r="A252" s="3" t="s">
        <v>462</v>
      </c>
      <c r="B252" s="10" t="s">
        <v>463</v>
      </c>
      <c r="C252" s="5"/>
      <c r="D252" s="5">
        <f t="shared" si="11"/>
        <v>0</v>
      </c>
      <c r="E252" s="6">
        <f t="shared" si="9"/>
        <v>0</v>
      </c>
      <c r="F252" s="6">
        <f t="shared" si="10"/>
        <v>0</v>
      </c>
      <c r="G252" s="62"/>
      <c r="H252" s="62"/>
      <c r="I252" s="60"/>
      <c r="J252" s="60"/>
      <c r="K252" s="64"/>
      <c r="L252" s="64"/>
      <c r="M252" s="25"/>
      <c r="N252" s="25"/>
    </row>
    <row r="253" spans="1:14" hidden="1">
      <c r="A253" s="3" t="s">
        <v>464</v>
      </c>
      <c r="B253" s="10" t="s">
        <v>465</v>
      </c>
      <c r="C253" s="5"/>
      <c r="D253" s="5">
        <f t="shared" si="11"/>
        <v>0</v>
      </c>
      <c r="E253" s="6">
        <f t="shared" si="9"/>
        <v>0</v>
      </c>
      <c r="F253" s="6">
        <f t="shared" si="10"/>
        <v>0</v>
      </c>
      <c r="G253" s="62"/>
      <c r="H253" s="62"/>
      <c r="I253" s="60"/>
      <c r="J253" s="60"/>
      <c r="K253" s="64"/>
      <c r="L253" s="64"/>
      <c r="M253" s="25"/>
      <c r="N253" s="25"/>
    </row>
    <row r="254" spans="1:14" hidden="1">
      <c r="A254" s="3" t="s">
        <v>466</v>
      </c>
      <c r="B254" s="10" t="s">
        <v>467</v>
      </c>
      <c r="C254" s="5"/>
      <c r="D254" s="5">
        <f t="shared" si="11"/>
        <v>0</v>
      </c>
      <c r="E254" s="6">
        <f t="shared" si="9"/>
        <v>0</v>
      </c>
      <c r="F254" s="6">
        <f t="shared" si="10"/>
        <v>0</v>
      </c>
      <c r="G254" s="62"/>
      <c r="H254" s="62"/>
      <c r="I254" s="60"/>
      <c r="J254" s="60"/>
      <c r="K254" s="64"/>
      <c r="L254" s="64"/>
      <c r="M254" s="25"/>
      <c r="N254" s="25"/>
    </row>
    <row r="255" spans="1:14" hidden="1">
      <c r="A255" s="3" t="s">
        <v>468</v>
      </c>
      <c r="B255" s="10" t="s">
        <v>469</v>
      </c>
      <c r="C255" s="5"/>
      <c r="D255" s="5">
        <f t="shared" si="11"/>
        <v>0</v>
      </c>
      <c r="E255" s="6">
        <f t="shared" si="9"/>
        <v>0</v>
      </c>
      <c r="F255" s="6">
        <f t="shared" si="10"/>
        <v>0</v>
      </c>
      <c r="G255" s="62"/>
      <c r="H255" s="62"/>
      <c r="I255" s="60"/>
      <c r="J255" s="60"/>
      <c r="K255" s="64"/>
      <c r="L255" s="64"/>
      <c r="M255" s="25"/>
      <c r="N255" s="25"/>
    </row>
    <row r="256" spans="1:14" hidden="1">
      <c r="A256" s="3" t="s">
        <v>470</v>
      </c>
      <c r="B256" s="10" t="s">
        <v>471</v>
      </c>
      <c r="C256" s="5"/>
      <c r="D256" s="5">
        <f t="shared" si="11"/>
        <v>0</v>
      </c>
      <c r="E256" s="6">
        <f t="shared" si="9"/>
        <v>0</v>
      </c>
      <c r="F256" s="6">
        <f t="shared" si="10"/>
        <v>0</v>
      </c>
      <c r="G256" s="62"/>
      <c r="H256" s="62"/>
      <c r="I256" s="60"/>
      <c r="J256" s="60"/>
      <c r="K256" s="64"/>
      <c r="L256" s="64"/>
      <c r="M256" s="25"/>
      <c r="N256" s="25"/>
    </row>
    <row r="257" spans="1:14" hidden="1">
      <c r="A257" s="3" t="s">
        <v>472</v>
      </c>
      <c r="B257" s="10" t="s">
        <v>473</v>
      </c>
      <c r="C257" s="5"/>
      <c r="D257" s="5">
        <f t="shared" si="11"/>
        <v>0</v>
      </c>
      <c r="E257" s="6">
        <f t="shared" si="9"/>
        <v>0</v>
      </c>
      <c r="F257" s="6">
        <f t="shared" si="10"/>
        <v>0</v>
      </c>
      <c r="G257" s="62"/>
      <c r="H257" s="62"/>
      <c r="I257" s="60"/>
      <c r="J257" s="60"/>
      <c r="K257" s="64"/>
      <c r="L257" s="64"/>
      <c r="M257" s="25"/>
      <c r="N257" s="25"/>
    </row>
    <row r="258" spans="1:14" hidden="1">
      <c r="A258" s="3" t="s">
        <v>474</v>
      </c>
      <c r="B258" s="10" t="s">
        <v>475</v>
      </c>
      <c r="C258" s="5"/>
      <c r="D258" s="5">
        <f t="shared" si="11"/>
        <v>0</v>
      </c>
      <c r="E258" s="6">
        <f t="shared" si="9"/>
        <v>0</v>
      </c>
      <c r="F258" s="6">
        <f t="shared" si="10"/>
        <v>0</v>
      </c>
      <c r="G258" s="62"/>
      <c r="H258" s="62"/>
      <c r="I258" s="60"/>
      <c r="J258" s="60"/>
      <c r="K258" s="64"/>
      <c r="L258" s="64"/>
      <c r="M258" s="25"/>
      <c r="N258" s="25"/>
    </row>
    <row r="259" spans="1:14" hidden="1">
      <c r="A259" s="3" t="s">
        <v>476</v>
      </c>
      <c r="B259" s="10" t="s">
        <v>477</v>
      </c>
      <c r="C259" s="5"/>
      <c r="D259" s="5">
        <f t="shared" si="11"/>
        <v>0</v>
      </c>
      <c r="E259" s="6">
        <f t="shared" si="9"/>
        <v>0</v>
      </c>
      <c r="F259" s="6">
        <f t="shared" si="10"/>
        <v>0</v>
      </c>
      <c r="G259" s="62"/>
      <c r="H259" s="62"/>
      <c r="I259" s="60"/>
      <c r="J259" s="60"/>
      <c r="K259" s="64"/>
      <c r="L259" s="64"/>
      <c r="M259" s="25"/>
      <c r="N259" s="25"/>
    </row>
    <row r="260" spans="1:14" hidden="1">
      <c r="A260" s="3" t="s">
        <v>478</v>
      </c>
      <c r="B260" s="10" t="s">
        <v>479</v>
      </c>
      <c r="C260" s="5"/>
      <c r="D260" s="5">
        <f t="shared" si="11"/>
        <v>0</v>
      </c>
      <c r="E260" s="6">
        <f t="shared" si="9"/>
        <v>0</v>
      </c>
      <c r="F260" s="6">
        <f t="shared" si="10"/>
        <v>0</v>
      </c>
      <c r="G260" s="62"/>
      <c r="H260" s="62"/>
      <c r="I260" s="60"/>
      <c r="J260" s="60"/>
      <c r="K260" s="64"/>
      <c r="L260" s="64"/>
      <c r="M260" s="25"/>
      <c r="N260" s="25"/>
    </row>
    <row r="261" spans="1:14" hidden="1">
      <c r="A261" s="3" t="s">
        <v>480</v>
      </c>
      <c r="B261" s="10" t="s">
        <v>481</v>
      </c>
      <c r="C261" s="5"/>
      <c r="D261" s="5">
        <f t="shared" si="11"/>
        <v>0</v>
      </c>
      <c r="E261" s="6">
        <f t="shared" si="9"/>
        <v>0</v>
      </c>
      <c r="F261" s="6">
        <f t="shared" si="10"/>
        <v>0</v>
      </c>
      <c r="G261" s="62"/>
      <c r="H261" s="62"/>
      <c r="I261" s="60"/>
      <c r="J261" s="60"/>
      <c r="K261" s="64"/>
      <c r="L261" s="64"/>
      <c r="M261" s="25"/>
      <c r="N261" s="25"/>
    </row>
    <row r="262" spans="1:14" hidden="1">
      <c r="A262" s="3" t="s">
        <v>482</v>
      </c>
      <c r="B262" s="10" t="s">
        <v>483</v>
      </c>
      <c r="C262" s="5"/>
      <c r="D262" s="5">
        <f t="shared" si="11"/>
        <v>0</v>
      </c>
      <c r="E262" s="6">
        <f t="shared" si="9"/>
        <v>0</v>
      </c>
      <c r="F262" s="6">
        <f t="shared" si="10"/>
        <v>0</v>
      </c>
      <c r="G262" s="62"/>
      <c r="H262" s="62"/>
      <c r="I262" s="60"/>
      <c r="J262" s="60"/>
      <c r="K262" s="64"/>
      <c r="L262" s="64"/>
      <c r="M262" s="25"/>
      <c r="N262" s="25"/>
    </row>
    <row r="263" spans="1:14" hidden="1">
      <c r="A263" s="3" t="s">
        <v>484</v>
      </c>
      <c r="B263" s="10" t="s">
        <v>485</v>
      </c>
      <c r="C263" s="5"/>
      <c r="D263" s="5">
        <f t="shared" si="11"/>
        <v>0</v>
      </c>
      <c r="E263" s="6">
        <f t="shared" si="9"/>
        <v>0</v>
      </c>
      <c r="F263" s="6">
        <f t="shared" si="10"/>
        <v>0</v>
      </c>
      <c r="G263" s="62"/>
      <c r="H263" s="62"/>
      <c r="I263" s="60"/>
      <c r="J263" s="60"/>
      <c r="K263" s="64"/>
      <c r="L263" s="64"/>
      <c r="M263" s="25"/>
      <c r="N263" s="25"/>
    </row>
    <row r="264" spans="1:14" hidden="1">
      <c r="A264" s="3" t="s">
        <v>486</v>
      </c>
      <c r="B264" s="10" t="s">
        <v>487</v>
      </c>
      <c r="C264" s="5"/>
      <c r="D264" s="5">
        <f t="shared" si="11"/>
        <v>0</v>
      </c>
      <c r="E264" s="6">
        <f t="shared" si="9"/>
        <v>0</v>
      </c>
      <c r="F264" s="6">
        <f t="shared" si="10"/>
        <v>0</v>
      </c>
      <c r="G264" s="62"/>
      <c r="H264" s="62"/>
      <c r="I264" s="60"/>
      <c r="J264" s="60"/>
      <c r="K264" s="64"/>
      <c r="L264" s="64"/>
      <c r="M264" s="25"/>
      <c r="N264" s="25"/>
    </row>
    <row r="265" spans="1:14" hidden="1">
      <c r="A265" s="3" t="s">
        <v>488</v>
      </c>
      <c r="B265" s="10" t="s">
        <v>489</v>
      </c>
      <c r="C265" s="5"/>
      <c r="D265" s="5">
        <f t="shared" si="11"/>
        <v>0</v>
      </c>
      <c r="E265" s="6">
        <f t="shared" si="9"/>
        <v>0</v>
      </c>
      <c r="F265" s="6">
        <f t="shared" si="10"/>
        <v>0</v>
      </c>
      <c r="G265" s="62"/>
      <c r="H265" s="62"/>
      <c r="I265" s="60"/>
      <c r="J265" s="60"/>
      <c r="K265" s="64"/>
      <c r="L265" s="64"/>
      <c r="M265" s="25"/>
      <c r="N265" s="25"/>
    </row>
    <row r="266" spans="1:14" hidden="1">
      <c r="A266" s="3" t="s">
        <v>490</v>
      </c>
      <c r="B266" s="10" t="s">
        <v>491</v>
      </c>
      <c r="C266" s="5"/>
      <c r="D266" s="5">
        <f t="shared" si="11"/>
        <v>0</v>
      </c>
      <c r="E266" s="6">
        <f t="shared" si="9"/>
        <v>0</v>
      </c>
      <c r="F266" s="6">
        <f t="shared" si="10"/>
        <v>0</v>
      </c>
      <c r="G266" s="62"/>
      <c r="H266" s="62"/>
      <c r="I266" s="60"/>
      <c r="J266" s="60"/>
      <c r="K266" s="64"/>
      <c r="L266" s="64"/>
      <c r="M266" s="25"/>
      <c r="N266" s="25"/>
    </row>
    <row r="267" spans="1:14" hidden="1">
      <c r="A267" s="3" t="s">
        <v>492</v>
      </c>
      <c r="B267" s="10" t="s">
        <v>493</v>
      </c>
      <c r="C267" s="5"/>
      <c r="D267" s="5">
        <f t="shared" si="11"/>
        <v>0</v>
      </c>
      <c r="E267" s="6">
        <f t="shared" si="9"/>
        <v>0</v>
      </c>
      <c r="F267" s="6">
        <f t="shared" si="10"/>
        <v>0</v>
      </c>
      <c r="G267" s="62"/>
      <c r="H267" s="62"/>
      <c r="I267" s="60"/>
      <c r="J267" s="60"/>
      <c r="K267" s="64"/>
      <c r="L267" s="64"/>
      <c r="M267" s="25"/>
      <c r="N267" s="25"/>
    </row>
    <row r="268" spans="1:14" hidden="1">
      <c r="A268" s="3" t="s">
        <v>494</v>
      </c>
      <c r="B268" s="10" t="s">
        <v>495</v>
      </c>
      <c r="C268" s="5"/>
      <c r="D268" s="5">
        <f t="shared" si="11"/>
        <v>0</v>
      </c>
      <c r="E268" s="6">
        <f t="shared" si="9"/>
        <v>0</v>
      </c>
      <c r="F268" s="6">
        <f t="shared" si="10"/>
        <v>0</v>
      </c>
      <c r="G268" s="62"/>
      <c r="H268" s="62"/>
      <c r="I268" s="60"/>
      <c r="J268" s="60"/>
      <c r="K268" s="64"/>
      <c r="L268" s="64"/>
      <c r="M268" s="25"/>
      <c r="N268" s="25"/>
    </row>
    <row r="269" spans="1:14" hidden="1">
      <c r="A269" s="3" t="s">
        <v>496</v>
      </c>
      <c r="B269" s="10" t="s">
        <v>497</v>
      </c>
      <c r="C269" s="5"/>
      <c r="D269" s="5">
        <f t="shared" si="11"/>
        <v>0</v>
      </c>
      <c r="E269" s="6">
        <f t="shared" si="9"/>
        <v>0</v>
      </c>
      <c r="F269" s="6">
        <f t="shared" si="10"/>
        <v>0</v>
      </c>
      <c r="G269" s="62"/>
      <c r="H269" s="62"/>
      <c r="I269" s="60"/>
      <c r="J269" s="60"/>
      <c r="K269" s="64"/>
      <c r="L269" s="64"/>
      <c r="M269" s="25"/>
      <c r="N269" s="25"/>
    </row>
    <row r="270" spans="1:14" hidden="1">
      <c r="A270" s="3" t="s">
        <v>498</v>
      </c>
      <c r="B270" s="10" t="s">
        <v>499</v>
      </c>
      <c r="C270" s="5"/>
      <c r="D270" s="5">
        <f t="shared" si="11"/>
        <v>0</v>
      </c>
      <c r="E270" s="6">
        <f t="shared" ref="E270:E333" si="12">SUM(G270,I270,K270,M270)</f>
        <v>0</v>
      </c>
      <c r="F270" s="6">
        <f t="shared" ref="F270:F333" si="13">SUM(H270,J270,L270,N270)</f>
        <v>0</v>
      </c>
      <c r="G270" s="62"/>
      <c r="H270" s="62"/>
      <c r="I270" s="60"/>
      <c r="J270" s="60"/>
      <c r="K270" s="64"/>
      <c r="L270" s="64"/>
      <c r="M270" s="25"/>
      <c r="N270" s="25"/>
    </row>
    <row r="271" spans="1:14" hidden="1">
      <c r="A271" s="3" t="s">
        <v>500</v>
      </c>
      <c r="B271" s="10" t="s">
        <v>501</v>
      </c>
      <c r="C271" s="5"/>
      <c r="D271" s="5">
        <f t="shared" si="11"/>
        <v>0</v>
      </c>
      <c r="E271" s="6">
        <f t="shared" si="12"/>
        <v>0</v>
      </c>
      <c r="F271" s="6">
        <f t="shared" si="13"/>
        <v>0</v>
      </c>
      <c r="G271" s="62"/>
      <c r="H271" s="62"/>
      <c r="I271" s="60"/>
      <c r="J271" s="60"/>
      <c r="K271" s="64"/>
      <c r="L271" s="64"/>
      <c r="M271" s="25"/>
      <c r="N271" s="25"/>
    </row>
    <row r="272" spans="1:14" hidden="1">
      <c r="A272" s="3" t="s">
        <v>502</v>
      </c>
      <c r="B272" s="10" t="s">
        <v>503</v>
      </c>
      <c r="C272" s="5"/>
      <c r="D272" s="5">
        <f t="shared" si="11"/>
        <v>0</v>
      </c>
      <c r="E272" s="6">
        <f t="shared" si="12"/>
        <v>0</v>
      </c>
      <c r="F272" s="6">
        <f t="shared" si="13"/>
        <v>0</v>
      </c>
      <c r="G272" s="62"/>
      <c r="H272" s="62"/>
      <c r="I272" s="60"/>
      <c r="J272" s="60"/>
      <c r="K272" s="64"/>
      <c r="L272" s="64"/>
      <c r="M272" s="25"/>
      <c r="N272" s="25"/>
    </row>
    <row r="273" spans="1:14" hidden="1">
      <c r="A273" s="3" t="s">
        <v>504</v>
      </c>
      <c r="B273" s="10" t="s">
        <v>505</v>
      </c>
      <c r="C273" s="5"/>
      <c r="D273" s="5">
        <f t="shared" si="11"/>
        <v>0</v>
      </c>
      <c r="E273" s="6">
        <f t="shared" si="12"/>
        <v>0</v>
      </c>
      <c r="F273" s="6">
        <f t="shared" si="13"/>
        <v>0</v>
      </c>
      <c r="G273" s="62"/>
      <c r="H273" s="62"/>
      <c r="I273" s="60"/>
      <c r="J273" s="60"/>
      <c r="K273" s="64"/>
      <c r="L273" s="64"/>
      <c r="M273" s="25"/>
      <c r="N273" s="25"/>
    </row>
    <row r="274" spans="1:14" hidden="1">
      <c r="A274" s="3" t="s">
        <v>506</v>
      </c>
      <c r="B274" s="10" t="s">
        <v>507</v>
      </c>
      <c r="C274" s="5"/>
      <c r="D274" s="5">
        <f t="shared" si="11"/>
        <v>0</v>
      </c>
      <c r="E274" s="6">
        <f t="shared" si="12"/>
        <v>0</v>
      </c>
      <c r="F274" s="6">
        <f t="shared" si="13"/>
        <v>0</v>
      </c>
      <c r="G274" s="62"/>
      <c r="H274" s="62"/>
      <c r="I274" s="60"/>
      <c r="J274" s="60"/>
      <c r="K274" s="64"/>
      <c r="L274" s="64"/>
      <c r="M274" s="25"/>
      <c r="N274" s="25"/>
    </row>
    <row r="275" spans="1:14" hidden="1">
      <c r="A275" s="3" t="s">
        <v>508</v>
      </c>
      <c r="B275" s="10" t="s">
        <v>509</v>
      </c>
      <c r="C275" s="5"/>
      <c r="D275" s="5">
        <f t="shared" si="11"/>
        <v>0</v>
      </c>
      <c r="E275" s="6">
        <f t="shared" si="12"/>
        <v>0</v>
      </c>
      <c r="F275" s="6">
        <f t="shared" si="13"/>
        <v>0</v>
      </c>
      <c r="G275" s="62"/>
      <c r="H275" s="62"/>
      <c r="I275" s="60"/>
      <c r="J275" s="60"/>
      <c r="K275" s="64"/>
      <c r="L275" s="64"/>
      <c r="M275" s="25"/>
      <c r="N275" s="25"/>
    </row>
    <row r="276" spans="1:14" hidden="1">
      <c r="A276" s="3" t="s">
        <v>510</v>
      </c>
      <c r="B276" s="10" t="s">
        <v>511</v>
      </c>
      <c r="C276" s="5"/>
      <c r="D276" s="5">
        <f t="shared" si="11"/>
        <v>0</v>
      </c>
      <c r="E276" s="6">
        <f t="shared" si="12"/>
        <v>0</v>
      </c>
      <c r="F276" s="6">
        <f t="shared" si="13"/>
        <v>0</v>
      </c>
      <c r="G276" s="62"/>
      <c r="H276" s="62"/>
      <c r="I276" s="60"/>
      <c r="J276" s="60"/>
      <c r="K276" s="64"/>
      <c r="L276" s="64"/>
      <c r="M276" s="25"/>
      <c r="N276" s="25"/>
    </row>
    <row r="277" spans="1:14" hidden="1">
      <c r="A277" s="3" t="s">
        <v>512</v>
      </c>
      <c r="B277" s="10" t="s">
        <v>513</v>
      </c>
      <c r="C277" s="5"/>
      <c r="D277" s="5">
        <f t="shared" si="11"/>
        <v>0</v>
      </c>
      <c r="E277" s="6">
        <f t="shared" si="12"/>
        <v>0</v>
      </c>
      <c r="F277" s="6">
        <f t="shared" si="13"/>
        <v>0</v>
      </c>
      <c r="G277" s="62"/>
      <c r="H277" s="62"/>
      <c r="I277" s="60"/>
      <c r="J277" s="60"/>
      <c r="K277" s="64"/>
      <c r="L277" s="64"/>
      <c r="M277" s="25"/>
      <c r="N277" s="25"/>
    </row>
    <row r="278" spans="1:14" hidden="1">
      <c r="A278" s="3" t="s">
        <v>514</v>
      </c>
      <c r="B278" s="10" t="s">
        <v>515</v>
      </c>
      <c r="C278" s="5"/>
      <c r="D278" s="5">
        <f t="shared" si="11"/>
        <v>0</v>
      </c>
      <c r="E278" s="6">
        <f t="shared" si="12"/>
        <v>0</v>
      </c>
      <c r="F278" s="6">
        <f t="shared" si="13"/>
        <v>0</v>
      </c>
      <c r="G278" s="62"/>
      <c r="H278" s="62"/>
      <c r="I278" s="60"/>
      <c r="J278" s="60"/>
      <c r="K278" s="64"/>
      <c r="L278" s="64"/>
      <c r="M278" s="25"/>
      <c r="N278" s="25"/>
    </row>
    <row r="279" spans="1:14" hidden="1">
      <c r="A279" s="3" t="s">
        <v>516</v>
      </c>
      <c r="B279" s="10" t="s">
        <v>517</v>
      </c>
      <c r="C279" s="5"/>
      <c r="D279" s="5">
        <f t="shared" si="11"/>
        <v>0</v>
      </c>
      <c r="E279" s="6">
        <f t="shared" si="12"/>
        <v>0</v>
      </c>
      <c r="F279" s="6">
        <f t="shared" si="13"/>
        <v>0</v>
      </c>
      <c r="G279" s="62"/>
      <c r="H279" s="62"/>
      <c r="I279" s="60"/>
      <c r="J279" s="60"/>
      <c r="K279" s="64"/>
      <c r="L279" s="64"/>
      <c r="M279" s="25"/>
      <c r="N279" s="25"/>
    </row>
    <row r="280" spans="1:14" hidden="1">
      <c r="A280" s="3" t="s">
        <v>518</v>
      </c>
      <c r="B280" s="10" t="s">
        <v>519</v>
      </c>
      <c r="C280" s="5"/>
      <c r="D280" s="5">
        <f t="shared" si="11"/>
        <v>0</v>
      </c>
      <c r="E280" s="6">
        <f t="shared" si="12"/>
        <v>0</v>
      </c>
      <c r="F280" s="6">
        <f t="shared" si="13"/>
        <v>0</v>
      </c>
      <c r="G280" s="62"/>
      <c r="H280" s="62"/>
      <c r="I280" s="60"/>
      <c r="J280" s="60"/>
      <c r="K280" s="64"/>
      <c r="L280" s="64"/>
      <c r="M280" s="25"/>
      <c r="N280" s="25"/>
    </row>
    <row r="281" spans="1:14" hidden="1">
      <c r="A281" s="3" t="s">
        <v>520</v>
      </c>
      <c r="B281" s="4" t="s">
        <v>521</v>
      </c>
      <c r="C281" s="5">
        <f t="shared" ref="C281:C344" si="14">E281-F281</f>
        <v>0</v>
      </c>
      <c r="D281" s="5"/>
      <c r="E281" s="6">
        <f t="shared" si="12"/>
        <v>0</v>
      </c>
      <c r="F281" s="6">
        <f t="shared" si="13"/>
        <v>0</v>
      </c>
      <c r="G281" s="62"/>
      <c r="H281" s="62"/>
      <c r="I281" s="60"/>
      <c r="J281" s="60"/>
      <c r="K281" s="64"/>
      <c r="L281" s="64"/>
      <c r="M281" s="25"/>
      <c r="N281" s="25"/>
    </row>
    <row r="282" spans="1:14" hidden="1">
      <c r="A282" s="3" t="s">
        <v>522</v>
      </c>
      <c r="B282" s="4" t="s">
        <v>523</v>
      </c>
      <c r="C282" s="5">
        <f t="shared" si="14"/>
        <v>0</v>
      </c>
      <c r="D282" s="5"/>
      <c r="E282" s="6">
        <f t="shared" si="12"/>
        <v>0</v>
      </c>
      <c r="F282" s="6">
        <f t="shared" si="13"/>
        <v>0</v>
      </c>
      <c r="G282" s="62"/>
      <c r="H282" s="62"/>
      <c r="I282" s="60"/>
      <c r="J282" s="60"/>
      <c r="K282" s="64"/>
      <c r="L282" s="64"/>
      <c r="M282" s="25"/>
      <c r="N282" s="25"/>
    </row>
    <row r="283" spans="1:14" hidden="1">
      <c r="A283" s="3" t="s">
        <v>524</v>
      </c>
      <c r="B283" s="4" t="s">
        <v>525</v>
      </c>
      <c r="C283" s="5">
        <f t="shared" si="14"/>
        <v>0</v>
      </c>
      <c r="D283" s="5"/>
      <c r="E283" s="6">
        <f t="shared" si="12"/>
        <v>0</v>
      </c>
      <c r="F283" s="6">
        <f t="shared" si="13"/>
        <v>0</v>
      </c>
      <c r="G283" s="62"/>
      <c r="H283" s="62"/>
      <c r="I283" s="60"/>
      <c r="J283" s="60"/>
      <c r="K283" s="64"/>
      <c r="L283" s="64"/>
      <c r="M283" s="25"/>
      <c r="N283" s="25"/>
    </row>
    <row r="284" spans="1:14" hidden="1">
      <c r="A284" s="3" t="s">
        <v>526</v>
      </c>
      <c r="B284" s="4" t="s">
        <v>527</v>
      </c>
      <c r="C284" s="5">
        <f t="shared" si="14"/>
        <v>0</v>
      </c>
      <c r="D284" s="5"/>
      <c r="E284" s="6">
        <f t="shared" si="12"/>
        <v>0</v>
      </c>
      <c r="F284" s="6">
        <f t="shared" si="13"/>
        <v>0</v>
      </c>
      <c r="G284" s="62"/>
      <c r="H284" s="62"/>
      <c r="I284" s="60"/>
      <c r="J284" s="60"/>
      <c r="K284" s="64"/>
      <c r="L284" s="64"/>
      <c r="M284" s="25"/>
      <c r="N284" s="25"/>
    </row>
    <row r="285" spans="1:14" hidden="1">
      <c r="A285" s="3" t="s">
        <v>528</v>
      </c>
      <c r="B285" s="4" t="s">
        <v>529</v>
      </c>
      <c r="C285" s="5">
        <f t="shared" si="14"/>
        <v>0</v>
      </c>
      <c r="D285" s="5"/>
      <c r="E285" s="6">
        <f t="shared" si="12"/>
        <v>0</v>
      </c>
      <c r="F285" s="6">
        <f t="shared" si="13"/>
        <v>0</v>
      </c>
      <c r="G285" s="62"/>
      <c r="H285" s="62"/>
      <c r="I285" s="60"/>
      <c r="J285" s="60"/>
      <c r="K285" s="64"/>
      <c r="L285" s="64"/>
      <c r="M285" s="25"/>
      <c r="N285" s="25"/>
    </row>
    <row r="286" spans="1:14" hidden="1">
      <c r="A286" s="3" t="s">
        <v>530</v>
      </c>
      <c r="B286" s="4" t="s">
        <v>531</v>
      </c>
      <c r="C286" s="5">
        <f t="shared" si="14"/>
        <v>0</v>
      </c>
      <c r="D286" s="5"/>
      <c r="E286" s="6">
        <f t="shared" si="12"/>
        <v>0</v>
      </c>
      <c r="F286" s="6">
        <f t="shared" si="13"/>
        <v>0</v>
      </c>
      <c r="G286" s="62"/>
      <c r="H286" s="62"/>
      <c r="I286" s="60"/>
      <c r="J286" s="60"/>
      <c r="K286" s="64"/>
      <c r="L286" s="64"/>
      <c r="M286" s="25"/>
      <c r="N286" s="25"/>
    </row>
    <row r="287" spans="1:14" hidden="1">
      <c r="A287" s="3" t="s">
        <v>532</v>
      </c>
      <c r="B287" s="4" t="s">
        <v>533</v>
      </c>
      <c r="C287" s="5">
        <f t="shared" si="14"/>
        <v>0</v>
      </c>
      <c r="D287" s="5"/>
      <c r="E287" s="6">
        <f t="shared" si="12"/>
        <v>0</v>
      </c>
      <c r="F287" s="6">
        <f t="shared" si="13"/>
        <v>0</v>
      </c>
      <c r="G287" s="62"/>
      <c r="H287" s="62"/>
      <c r="I287" s="60"/>
      <c r="J287" s="60"/>
      <c r="K287" s="64"/>
      <c r="L287" s="64"/>
      <c r="M287" s="25"/>
      <c r="N287" s="25"/>
    </row>
    <row r="288" spans="1:14" hidden="1">
      <c r="A288" s="3" t="s">
        <v>534</v>
      </c>
      <c r="B288" s="4" t="s">
        <v>535</v>
      </c>
      <c r="C288" s="5">
        <f t="shared" si="14"/>
        <v>0</v>
      </c>
      <c r="D288" s="5"/>
      <c r="E288" s="6">
        <f t="shared" si="12"/>
        <v>0</v>
      </c>
      <c r="F288" s="6">
        <f t="shared" si="13"/>
        <v>0</v>
      </c>
      <c r="G288" s="62"/>
      <c r="H288" s="62"/>
      <c r="I288" s="60"/>
      <c r="J288" s="60"/>
      <c r="K288" s="64"/>
      <c r="L288" s="64"/>
      <c r="M288" s="25"/>
      <c r="N288" s="25"/>
    </row>
    <row r="289" spans="1:14" hidden="1">
      <c r="A289" s="3" t="s">
        <v>536</v>
      </c>
      <c r="B289" s="4" t="s">
        <v>537</v>
      </c>
      <c r="C289" s="5">
        <f t="shared" si="14"/>
        <v>0</v>
      </c>
      <c r="D289" s="5"/>
      <c r="E289" s="6">
        <f t="shared" si="12"/>
        <v>0</v>
      </c>
      <c r="F289" s="6">
        <f t="shared" si="13"/>
        <v>0</v>
      </c>
      <c r="G289" s="62"/>
      <c r="H289" s="62"/>
      <c r="I289" s="60"/>
      <c r="J289" s="60"/>
      <c r="K289" s="64"/>
      <c r="L289" s="64"/>
      <c r="M289" s="25"/>
      <c r="N289" s="25"/>
    </row>
    <row r="290" spans="1:14" hidden="1">
      <c r="A290" s="3" t="s">
        <v>538</v>
      </c>
      <c r="B290" s="4" t="s">
        <v>539</v>
      </c>
      <c r="C290" s="5">
        <f t="shared" si="14"/>
        <v>0</v>
      </c>
      <c r="D290" s="5"/>
      <c r="E290" s="6">
        <f t="shared" si="12"/>
        <v>0</v>
      </c>
      <c r="F290" s="6">
        <f t="shared" si="13"/>
        <v>0</v>
      </c>
      <c r="G290" s="62"/>
      <c r="H290" s="62"/>
      <c r="I290" s="60"/>
      <c r="J290" s="60"/>
      <c r="K290" s="64"/>
      <c r="L290" s="64"/>
      <c r="M290" s="25"/>
      <c r="N290" s="25"/>
    </row>
    <row r="291" spans="1:14" hidden="1">
      <c r="A291" s="3" t="s">
        <v>540</v>
      </c>
      <c r="B291" s="4" t="s">
        <v>541</v>
      </c>
      <c r="C291" s="5">
        <f t="shared" si="14"/>
        <v>0</v>
      </c>
      <c r="D291" s="5"/>
      <c r="E291" s="6">
        <f t="shared" si="12"/>
        <v>0</v>
      </c>
      <c r="F291" s="6">
        <f t="shared" si="13"/>
        <v>0</v>
      </c>
      <c r="G291" s="62"/>
      <c r="H291" s="62"/>
      <c r="I291" s="60"/>
      <c r="J291" s="60"/>
      <c r="K291" s="64"/>
      <c r="L291" s="64"/>
      <c r="M291" s="25"/>
      <c r="N291" s="25"/>
    </row>
    <row r="292" spans="1:14" hidden="1">
      <c r="A292" s="3" t="s">
        <v>542</v>
      </c>
      <c r="B292" s="4" t="s">
        <v>543</v>
      </c>
      <c r="C292" s="5">
        <f t="shared" si="14"/>
        <v>0</v>
      </c>
      <c r="D292" s="5"/>
      <c r="E292" s="6">
        <f t="shared" si="12"/>
        <v>0</v>
      </c>
      <c r="F292" s="6">
        <f t="shared" si="13"/>
        <v>0</v>
      </c>
      <c r="G292" s="62"/>
      <c r="H292" s="62"/>
      <c r="I292" s="60"/>
      <c r="J292" s="60"/>
      <c r="K292" s="64"/>
      <c r="L292" s="64"/>
      <c r="M292" s="25"/>
      <c r="N292" s="25"/>
    </row>
    <row r="293" spans="1:14" hidden="1">
      <c r="A293" s="3" t="s">
        <v>544</v>
      </c>
      <c r="B293" s="4" t="s">
        <v>545</v>
      </c>
      <c r="C293" s="5">
        <f t="shared" si="14"/>
        <v>0</v>
      </c>
      <c r="D293" s="5"/>
      <c r="E293" s="6">
        <f t="shared" si="12"/>
        <v>0</v>
      </c>
      <c r="F293" s="6">
        <f t="shared" si="13"/>
        <v>0</v>
      </c>
      <c r="G293" s="62"/>
      <c r="H293" s="62"/>
      <c r="I293" s="60"/>
      <c r="J293" s="60"/>
      <c r="K293" s="64"/>
      <c r="L293" s="64"/>
      <c r="M293" s="25"/>
      <c r="N293" s="25"/>
    </row>
    <row r="294" spans="1:14" hidden="1">
      <c r="A294" s="3" t="s">
        <v>546</v>
      </c>
      <c r="B294" s="4" t="s">
        <v>547</v>
      </c>
      <c r="C294" s="5">
        <f t="shared" si="14"/>
        <v>0</v>
      </c>
      <c r="D294" s="5"/>
      <c r="E294" s="6">
        <f t="shared" si="12"/>
        <v>0</v>
      </c>
      <c r="F294" s="6">
        <f t="shared" si="13"/>
        <v>0</v>
      </c>
      <c r="G294" s="62"/>
      <c r="H294" s="62"/>
      <c r="I294" s="60"/>
      <c r="J294" s="60"/>
      <c r="K294" s="64"/>
      <c r="L294" s="64"/>
      <c r="M294" s="25"/>
      <c r="N294" s="25"/>
    </row>
    <row r="295" spans="1:14" hidden="1">
      <c r="A295" s="3" t="s">
        <v>548</v>
      </c>
      <c r="B295" s="4" t="s">
        <v>549</v>
      </c>
      <c r="C295" s="5">
        <f t="shared" si="14"/>
        <v>0</v>
      </c>
      <c r="D295" s="5"/>
      <c r="E295" s="6">
        <f t="shared" si="12"/>
        <v>0</v>
      </c>
      <c r="F295" s="6">
        <f t="shared" si="13"/>
        <v>0</v>
      </c>
      <c r="G295" s="62"/>
      <c r="H295" s="62"/>
      <c r="I295" s="60"/>
      <c r="J295" s="60"/>
      <c r="K295" s="64"/>
      <c r="L295" s="64"/>
      <c r="M295" s="25"/>
      <c r="N295" s="25"/>
    </row>
    <row r="296" spans="1:14" hidden="1">
      <c r="A296" s="3" t="s">
        <v>550</v>
      </c>
      <c r="B296" s="4" t="s">
        <v>551</v>
      </c>
      <c r="C296" s="5">
        <f t="shared" si="14"/>
        <v>0</v>
      </c>
      <c r="D296" s="5"/>
      <c r="E296" s="6">
        <f t="shared" si="12"/>
        <v>0</v>
      </c>
      <c r="F296" s="6">
        <f t="shared" si="13"/>
        <v>0</v>
      </c>
      <c r="G296" s="62"/>
      <c r="H296" s="62"/>
      <c r="I296" s="60"/>
      <c r="J296" s="60"/>
      <c r="K296" s="64"/>
      <c r="L296" s="64"/>
      <c r="M296" s="25"/>
      <c r="N296" s="25"/>
    </row>
    <row r="297" spans="1:14" hidden="1">
      <c r="A297" s="3" t="s">
        <v>552</v>
      </c>
      <c r="B297" s="4" t="s">
        <v>553</v>
      </c>
      <c r="C297" s="5">
        <f t="shared" si="14"/>
        <v>0</v>
      </c>
      <c r="D297" s="5"/>
      <c r="E297" s="6">
        <f t="shared" si="12"/>
        <v>0</v>
      </c>
      <c r="F297" s="6">
        <f t="shared" si="13"/>
        <v>0</v>
      </c>
      <c r="G297" s="62"/>
      <c r="H297" s="62"/>
      <c r="I297" s="60"/>
      <c r="J297" s="60"/>
      <c r="K297" s="64"/>
      <c r="L297" s="64"/>
      <c r="M297" s="25"/>
      <c r="N297" s="25"/>
    </row>
    <row r="298" spans="1:14" hidden="1">
      <c r="A298" s="3" t="s">
        <v>554</v>
      </c>
      <c r="B298" s="4" t="s">
        <v>555</v>
      </c>
      <c r="C298" s="5">
        <f t="shared" si="14"/>
        <v>0</v>
      </c>
      <c r="D298" s="5"/>
      <c r="E298" s="6">
        <f t="shared" si="12"/>
        <v>0</v>
      </c>
      <c r="F298" s="6">
        <f t="shared" si="13"/>
        <v>0</v>
      </c>
      <c r="G298" s="62"/>
      <c r="H298" s="62"/>
      <c r="I298" s="60"/>
      <c r="J298" s="60"/>
      <c r="K298" s="64"/>
      <c r="L298" s="64"/>
      <c r="M298" s="25"/>
      <c r="N298" s="25"/>
    </row>
    <row r="299" spans="1:14" hidden="1">
      <c r="A299" s="3" t="s">
        <v>556</v>
      </c>
      <c r="B299" s="4" t="s">
        <v>557</v>
      </c>
      <c r="C299" s="5">
        <f t="shared" si="14"/>
        <v>0</v>
      </c>
      <c r="D299" s="5"/>
      <c r="E299" s="6">
        <f t="shared" si="12"/>
        <v>0</v>
      </c>
      <c r="F299" s="6">
        <f t="shared" si="13"/>
        <v>0</v>
      </c>
      <c r="G299" s="62"/>
      <c r="H299" s="62"/>
      <c r="I299" s="60"/>
      <c r="J299" s="60"/>
      <c r="K299" s="64"/>
      <c r="L299" s="64"/>
      <c r="M299" s="25"/>
      <c r="N299" s="25"/>
    </row>
    <row r="300" spans="1:14" hidden="1">
      <c r="A300" s="3" t="s">
        <v>558</v>
      </c>
      <c r="B300" s="4" t="s">
        <v>559</v>
      </c>
      <c r="C300" s="5">
        <f t="shared" si="14"/>
        <v>0</v>
      </c>
      <c r="D300" s="5"/>
      <c r="E300" s="6">
        <f t="shared" si="12"/>
        <v>0</v>
      </c>
      <c r="F300" s="6">
        <f t="shared" si="13"/>
        <v>0</v>
      </c>
      <c r="G300" s="62"/>
      <c r="H300" s="62"/>
      <c r="I300" s="60"/>
      <c r="J300" s="60"/>
      <c r="K300" s="64"/>
      <c r="L300" s="64"/>
      <c r="M300" s="25"/>
      <c r="N300" s="25"/>
    </row>
    <row r="301" spans="1:14" hidden="1">
      <c r="A301" s="3" t="s">
        <v>560</v>
      </c>
      <c r="B301" s="4" t="s">
        <v>561</v>
      </c>
      <c r="C301" s="5">
        <f t="shared" si="14"/>
        <v>0</v>
      </c>
      <c r="D301" s="5"/>
      <c r="E301" s="6">
        <f t="shared" si="12"/>
        <v>0</v>
      </c>
      <c r="F301" s="6">
        <f t="shared" si="13"/>
        <v>0</v>
      </c>
      <c r="G301" s="62"/>
      <c r="H301" s="62"/>
      <c r="I301" s="60"/>
      <c r="J301" s="60"/>
      <c r="K301" s="64"/>
      <c r="L301" s="64"/>
      <c r="M301" s="25"/>
      <c r="N301" s="25"/>
    </row>
    <row r="302" spans="1:14" hidden="1">
      <c r="A302" s="3" t="s">
        <v>562</v>
      </c>
      <c r="B302" s="4" t="s">
        <v>563</v>
      </c>
      <c r="C302" s="5">
        <f t="shared" si="14"/>
        <v>0</v>
      </c>
      <c r="D302" s="5"/>
      <c r="E302" s="6">
        <f t="shared" si="12"/>
        <v>0</v>
      </c>
      <c r="F302" s="6">
        <f t="shared" si="13"/>
        <v>0</v>
      </c>
      <c r="G302" s="62"/>
      <c r="H302" s="62"/>
      <c r="I302" s="60"/>
      <c r="J302" s="60"/>
      <c r="K302" s="64"/>
      <c r="L302" s="64"/>
      <c r="M302" s="25"/>
      <c r="N302" s="25"/>
    </row>
    <row r="303" spans="1:14" hidden="1">
      <c r="A303" s="3" t="s">
        <v>564</v>
      </c>
      <c r="B303" s="4" t="s">
        <v>565</v>
      </c>
      <c r="C303" s="5">
        <f t="shared" si="14"/>
        <v>0</v>
      </c>
      <c r="D303" s="5"/>
      <c r="E303" s="6">
        <f t="shared" si="12"/>
        <v>0</v>
      </c>
      <c r="F303" s="6">
        <f t="shared" si="13"/>
        <v>0</v>
      </c>
      <c r="G303" s="62"/>
      <c r="H303" s="62"/>
      <c r="I303" s="60"/>
      <c r="J303" s="60"/>
      <c r="K303" s="64"/>
      <c r="L303" s="64"/>
      <c r="M303" s="25"/>
      <c r="N303" s="25"/>
    </row>
    <row r="304" spans="1:14" hidden="1">
      <c r="A304" s="3" t="s">
        <v>566</v>
      </c>
      <c r="B304" s="4" t="s">
        <v>567</v>
      </c>
      <c r="C304" s="5">
        <f t="shared" si="14"/>
        <v>0</v>
      </c>
      <c r="D304" s="5"/>
      <c r="E304" s="6">
        <f t="shared" si="12"/>
        <v>0</v>
      </c>
      <c r="F304" s="6">
        <f t="shared" si="13"/>
        <v>0</v>
      </c>
      <c r="G304" s="62"/>
      <c r="H304" s="62"/>
      <c r="I304" s="60"/>
      <c r="J304" s="60"/>
      <c r="K304" s="64"/>
      <c r="L304" s="64"/>
      <c r="M304" s="25"/>
      <c r="N304" s="25"/>
    </row>
    <row r="305" spans="1:14" hidden="1">
      <c r="A305" s="3" t="s">
        <v>568</v>
      </c>
      <c r="B305" s="4" t="s">
        <v>569</v>
      </c>
      <c r="C305" s="5">
        <f t="shared" si="14"/>
        <v>0</v>
      </c>
      <c r="D305" s="5"/>
      <c r="E305" s="6">
        <f t="shared" si="12"/>
        <v>0</v>
      </c>
      <c r="F305" s="6">
        <f t="shared" si="13"/>
        <v>0</v>
      </c>
      <c r="G305" s="62"/>
      <c r="H305" s="62"/>
      <c r="I305" s="60"/>
      <c r="J305" s="60"/>
      <c r="K305" s="64"/>
      <c r="L305" s="64"/>
      <c r="M305" s="25"/>
      <c r="N305" s="25"/>
    </row>
    <row r="306" spans="1:14" hidden="1">
      <c r="A306" s="3" t="s">
        <v>570</v>
      </c>
      <c r="B306" s="4" t="s">
        <v>571</v>
      </c>
      <c r="C306" s="5">
        <f t="shared" si="14"/>
        <v>0</v>
      </c>
      <c r="D306" s="5"/>
      <c r="E306" s="6">
        <f t="shared" si="12"/>
        <v>0</v>
      </c>
      <c r="F306" s="6">
        <f t="shared" si="13"/>
        <v>0</v>
      </c>
      <c r="G306" s="62"/>
      <c r="H306" s="62"/>
      <c r="I306" s="60"/>
      <c r="J306" s="60"/>
      <c r="K306" s="64"/>
      <c r="L306" s="64"/>
      <c r="M306" s="25"/>
      <c r="N306" s="25"/>
    </row>
    <row r="307" spans="1:14" hidden="1">
      <c r="A307" s="3" t="s">
        <v>572</v>
      </c>
      <c r="B307" s="4" t="s">
        <v>573</v>
      </c>
      <c r="C307" s="5">
        <f t="shared" si="14"/>
        <v>0</v>
      </c>
      <c r="D307" s="5"/>
      <c r="E307" s="6">
        <f t="shared" si="12"/>
        <v>0</v>
      </c>
      <c r="F307" s="6">
        <f t="shared" si="13"/>
        <v>0</v>
      </c>
      <c r="G307" s="62"/>
      <c r="H307" s="62"/>
      <c r="I307" s="60"/>
      <c r="J307" s="60"/>
      <c r="K307" s="64"/>
      <c r="L307" s="64"/>
      <c r="M307" s="25"/>
      <c r="N307" s="25"/>
    </row>
    <row r="308" spans="1:14" hidden="1">
      <c r="A308" s="3" t="s">
        <v>574</v>
      </c>
      <c r="B308" s="4" t="s">
        <v>575</v>
      </c>
      <c r="C308" s="5">
        <f t="shared" si="14"/>
        <v>0</v>
      </c>
      <c r="D308" s="5"/>
      <c r="E308" s="6">
        <f t="shared" si="12"/>
        <v>0</v>
      </c>
      <c r="F308" s="6">
        <f t="shared" si="13"/>
        <v>0</v>
      </c>
      <c r="G308" s="62"/>
      <c r="H308" s="62"/>
      <c r="I308" s="60"/>
      <c r="J308" s="60"/>
      <c r="K308" s="64"/>
      <c r="L308" s="64"/>
      <c r="M308" s="25"/>
      <c r="N308" s="25"/>
    </row>
    <row r="309" spans="1:14" hidden="1">
      <c r="A309" s="3" t="s">
        <v>576</v>
      </c>
      <c r="B309" s="4" t="s">
        <v>577</v>
      </c>
      <c r="C309" s="5">
        <f t="shared" si="14"/>
        <v>0</v>
      </c>
      <c r="D309" s="5"/>
      <c r="E309" s="6">
        <f t="shared" si="12"/>
        <v>0</v>
      </c>
      <c r="F309" s="6">
        <f t="shared" si="13"/>
        <v>0</v>
      </c>
      <c r="G309" s="62"/>
      <c r="H309" s="62"/>
      <c r="I309" s="60"/>
      <c r="J309" s="60"/>
      <c r="K309" s="64"/>
      <c r="L309" s="64"/>
      <c r="M309" s="25"/>
      <c r="N309" s="25"/>
    </row>
    <row r="310" spans="1:14" hidden="1">
      <c r="A310" s="3" t="s">
        <v>578</v>
      </c>
      <c r="B310" s="4" t="s">
        <v>579</v>
      </c>
      <c r="C310" s="5">
        <f t="shared" si="14"/>
        <v>0</v>
      </c>
      <c r="D310" s="5"/>
      <c r="E310" s="6">
        <f t="shared" si="12"/>
        <v>0</v>
      </c>
      <c r="F310" s="6">
        <f t="shared" si="13"/>
        <v>0</v>
      </c>
      <c r="G310" s="62"/>
      <c r="H310" s="62"/>
      <c r="I310" s="60"/>
      <c r="J310" s="60"/>
      <c r="K310" s="64"/>
      <c r="L310" s="64"/>
      <c r="M310" s="25"/>
      <c r="N310" s="25"/>
    </row>
    <row r="311" spans="1:14" hidden="1">
      <c r="A311" s="3" t="s">
        <v>580</v>
      </c>
      <c r="B311" s="4" t="s">
        <v>581</v>
      </c>
      <c r="C311" s="5">
        <f t="shared" si="14"/>
        <v>0</v>
      </c>
      <c r="D311" s="5"/>
      <c r="E311" s="6">
        <f t="shared" si="12"/>
        <v>0</v>
      </c>
      <c r="F311" s="6">
        <f t="shared" si="13"/>
        <v>0</v>
      </c>
      <c r="G311" s="62"/>
      <c r="H311" s="62"/>
      <c r="I311" s="60"/>
      <c r="J311" s="60"/>
      <c r="K311" s="64"/>
      <c r="L311" s="64"/>
      <c r="M311" s="25"/>
      <c r="N311" s="25"/>
    </row>
    <row r="312" spans="1:14" hidden="1">
      <c r="A312" s="3" t="s">
        <v>582</v>
      </c>
      <c r="B312" s="4" t="s">
        <v>583</v>
      </c>
      <c r="C312" s="5">
        <f t="shared" si="14"/>
        <v>0</v>
      </c>
      <c r="D312" s="5"/>
      <c r="E312" s="6">
        <f t="shared" si="12"/>
        <v>0</v>
      </c>
      <c r="F312" s="6">
        <f t="shared" si="13"/>
        <v>0</v>
      </c>
      <c r="G312" s="62"/>
      <c r="H312" s="62"/>
      <c r="I312" s="60"/>
      <c r="J312" s="60"/>
      <c r="K312" s="64"/>
      <c r="L312" s="64"/>
      <c r="M312" s="25"/>
      <c r="N312" s="25"/>
    </row>
    <row r="313" spans="1:14" hidden="1">
      <c r="A313" s="3" t="s">
        <v>584</v>
      </c>
      <c r="B313" s="4" t="s">
        <v>585</v>
      </c>
      <c r="C313" s="5">
        <f t="shared" si="14"/>
        <v>0</v>
      </c>
      <c r="D313" s="5"/>
      <c r="E313" s="6">
        <f t="shared" si="12"/>
        <v>0</v>
      </c>
      <c r="F313" s="6">
        <f t="shared" si="13"/>
        <v>0</v>
      </c>
      <c r="G313" s="62"/>
      <c r="H313" s="62"/>
      <c r="I313" s="60"/>
      <c r="J313" s="60"/>
      <c r="K313" s="64"/>
      <c r="L313" s="64"/>
      <c r="M313" s="25"/>
      <c r="N313" s="25"/>
    </row>
    <row r="314" spans="1:14" hidden="1">
      <c r="A314" s="3" t="s">
        <v>586</v>
      </c>
      <c r="B314" s="4" t="s">
        <v>587</v>
      </c>
      <c r="C314" s="5">
        <f t="shared" si="14"/>
        <v>0</v>
      </c>
      <c r="D314" s="5"/>
      <c r="E314" s="6">
        <f t="shared" si="12"/>
        <v>0</v>
      </c>
      <c r="F314" s="6">
        <f t="shared" si="13"/>
        <v>0</v>
      </c>
      <c r="G314" s="62"/>
      <c r="H314" s="62"/>
      <c r="I314" s="60"/>
      <c r="J314" s="60"/>
      <c r="K314" s="64"/>
      <c r="L314" s="64"/>
      <c r="M314" s="25"/>
      <c r="N314" s="25"/>
    </row>
    <row r="315" spans="1:14" hidden="1">
      <c r="A315" s="3" t="s">
        <v>588</v>
      </c>
      <c r="B315" s="4" t="s">
        <v>589</v>
      </c>
      <c r="C315" s="5">
        <f t="shared" si="14"/>
        <v>0</v>
      </c>
      <c r="D315" s="5"/>
      <c r="E315" s="6">
        <f t="shared" si="12"/>
        <v>0</v>
      </c>
      <c r="F315" s="6">
        <f t="shared" si="13"/>
        <v>0</v>
      </c>
      <c r="G315" s="62"/>
      <c r="H315" s="62"/>
      <c r="I315" s="60"/>
      <c r="J315" s="60"/>
      <c r="K315" s="64"/>
      <c r="L315" s="64"/>
      <c r="M315" s="25"/>
      <c r="N315" s="25"/>
    </row>
    <row r="316" spans="1:14" hidden="1">
      <c r="A316" s="3" t="s">
        <v>590</v>
      </c>
      <c r="B316" s="4" t="s">
        <v>591</v>
      </c>
      <c r="C316" s="5">
        <f t="shared" si="14"/>
        <v>0</v>
      </c>
      <c r="D316" s="5"/>
      <c r="E316" s="6">
        <f t="shared" si="12"/>
        <v>0</v>
      </c>
      <c r="F316" s="6">
        <f t="shared" si="13"/>
        <v>0</v>
      </c>
      <c r="G316" s="62"/>
      <c r="H316" s="62"/>
      <c r="I316" s="60"/>
      <c r="J316" s="60"/>
      <c r="K316" s="64"/>
      <c r="L316" s="64"/>
      <c r="M316" s="25"/>
      <c r="N316" s="25"/>
    </row>
    <row r="317" spans="1:14" hidden="1">
      <c r="A317" s="3" t="s">
        <v>592</v>
      </c>
      <c r="B317" s="4" t="s">
        <v>593</v>
      </c>
      <c r="C317" s="5">
        <f t="shared" si="14"/>
        <v>0</v>
      </c>
      <c r="D317" s="5"/>
      <c r="E317" s="6">
        <f t="shared" si="12"/>
        <v>0</v>
      </c>
      <c r="F317" s="6">
        <f t="shared" si="13"/>
        <v>0</v>
      </c>
      <c r="G317" s="62"/>
      <c r="H317" s="62"/>
      <c r="I317" s="60"/>
      <c r="J317" s="60"/>
      <c r="K317" s="64"/>
      <c r="L317" s="64"/>
      <c r="M317" s="25"/>
      <c r="N317" s="25"/>
    </row>
    <row r="318" spans="1:14" hidden="1">
      <c r="A318" s="3" t="s">
        <v>594</v>
      </c>
      <c r="B318" s="4" t="s">
        <v>595</v>
      </c>
      <c r="C318" s="5">
        <f t="shared" si="14"/>
        <v>0</v>
      </c>
      <c r="D318" s="5"/>
      <c r="E318" s="6">
        <f t="shared" si="12"/>
        <v>0</v>
      </c>
      <c r="F318" s="6">
        <f t="shared" si="13"/>
        <v>0</v>
      </c>
      <c r="G318" s="62"/>
      <c r="H318" s="62"/>
      <c r="I318" s="60"/>
      <c r="J318" s="60"/>
      <c r="K318" s="64"/>
      <c r="L318" s="64"/>
      <c r="M318" s="25"/>
      <c r="N318" s="25"/>
    </row>
    <row r="319" spans="1:14" hidden="1">
      <c r="A319" s="3" t="s">
        <v>596</v>
      </c>
      <c r="B319" s="4" t="s">
        <v>597</v>
      </c>
      <c r="C319" s="5">
        <f t="shared" si="14"/>
        <v>0</v>
      </c>
      <c r="D319" s="5"/>
      <c r="E319" s="6">
        <f t="shared" si="12"/>
        <v>0</v>
      </c>
      <c r="F319" s="6">
        <f t="shared" si="13"/>
        <v>0</v>
      </c>
      <c r="G319" s="62"/>
      <c r="H319" s="62"/>
      <c r="I319" s="60"/>
      <c r="J319" s="60"/>
      <c r="K319" s="64"/>
      <c r="L319" s="64"/>
      <c r="M319" s="25"/>
      <c r="N319" s="25"/>
    </row>
    <row r="320" spans="1:14" hidden="1">
      <c r="A320" s="3" t="s">
        <v>598</v>
      </c>
      <c r="B320" s="4" t="s">
        <v>599</v>
      </c>
      <c r="C320" s="5">
        <f t="shared" si="14"/>
        <v>0</v>
      </c>
      <c r="D320" s="5"/>
      <c r="E320" s="6">
        <f t="shared" si="12"/>
        <v>0</v>
      </c>
      <c r="F320" s="6">
        <f t="shared" si="13"/>
        <v>0</v>
      </c>
      <c r="G320" s="62"/>
      <c r="H320" s="62"/>
      <c r="I320" s="60"/>
      <c r="J320" s="60"/>
      <c r="K320" s="64"/>
      <c r="L320" s="64"/>
      <c r="M320" s="25"/>
      <c r="N320" s="25"/>
    </row>
    <row r="321" spans="1:14" hidden="1">
      <c r="A321" s="3" t="s">
        <v>600</v>
      </c>
      <c r="B321" s="4" t="s">
        <v>601</v>
      </c>
      <c r="C321" s="5">
        <f t="shared" si="14"/>
        <v>0</v>
      </c>
      <c r="D321" s="5"/>
      <c r="E321" s="6">
        <f t="shared" si="12"/>
        <v>0</v>
      </c>
      <c r="F321" s="6">
        <f t="shared" si="13"/>
        <v>0</v>
      </c>
      <c r="G321" s="62"/>
      <c r="H321" s="62"/>
      <c r="I321" s="60"/>
      <c r="J321" s="60"/>
      <c r="K321" s="64"/>
      <c r="L321" s="64"/>
      <c r="M321" s="25"/>
      <c r="N321" s="25"/>
    </row>
    <row r="322" spans="1:14" hidden="1">
      <c r="A322" s="3" t="s">
        <v>602</v>
      </c>
      <c r="B322" s="4" t="s">
        <v>603</v>
      </c>
      <c r="C322" s="5">
        <f t="shared" si="14"/>
        <v>0</v>
      </c>
      <c r="D322" s="5"/>
      <c r="E322" s="6">
        <f t="shared" si="12"/>
        <v>0</v>
      </c>
      <c r="F322" s="6">
        <f t="shared" si="13"/>
        <v>0</v>
      </c>
      <c r="G322" s="62"/>
      <c r="H322" s="62"/>
      <c r="I322" s="60"/>
      <c r="J322" s="60"/>
      <c r="K322" s="64"/>
      <c r="L322" s="64"/>
      <c r="M322" s="25"/>
      <c r="N322" s="25"/>
    </row>
    <row r="323" spans="1:14" hidden="1">
      <c r="A323" s="3" t="s">
        <v>604</v>
      </c>
      <c r="B323" s="4" t="s">
        <v>605</v>
      </c>
      <c r="C323" s="5">
        <f t="shared" si="14"/>
        <v>0</v>
      </c>
      <c r="D323" s="5"/>
      <c r="E323" s="6">
        <f t="shared" si="12"/>
        <v>0</v>
      </c>
      <c r="F323" s="6">
        <f t="shared" si="13"/>
        <v>0</v>
      </c>
      <c r="G323" s="62"/>
      <c r="H323" s="62"/>
      <c r="I323" s="60"/>
      <c r="J323" s="60"/>
      <c r="K323" s="64"/>
      <c r="L323" s="64"/>
      <c r="M323" s="25"/>
      <c r="N323" s="25"/>
    </row>
    <row r="324" spans="1:14" s="70" customFormat="1" hidden="1">
      <c r="A324" s="3" t="s">
        <v>606</v>
      </c>
      <c r="B324" s="4" t="s">
        <v>607</v>
      </c>
      <c r="C324" s="5">
        <f t="shared" si="14"/>
        <v>0</v>
      </c>
      <c r="D324" s="5"/>
      <c r="E324" s="6">
        <f t="shared" si="12"/>
        <v>0</v>
      </c>
      <c r="F324" s="6">
        <f t="shared" si="13"/>
        <v>0</v>
      </c>
      <c r="G324" s="62"/>
      <c r="H324" s="62"/>
      <c r="I324" s="60"/>
      <c r="J324" s="60"/>
      <c r="K324" s="64"/>
      <c r="L324" s="64"/>
      <c r="M324" s="25"/>
      <c r="N324" s="25"/>
    </row>
    <row r="325" spans="1:14" s="70" customFormat="1" hidden="1">
      <c r="A325" s="3" t="s">
        <v>608</v>
      </c>
      <c r="B325" s="4" t="s">
        <v>609</v>
      </c>
      <c r="C325" s="5">
        <f t="shared" si="14"/>
        <v>0</v>
      </c>
      <c r="D325" s="5"/>
      <c r="E325" s="6">
        <f t="shared" si="12"/>
        <v>0</v>
      </c>
      <c r="F325" s="6">
        <f t="shared" si="13"/>
        <v>0</v>
      </c>
      <c r="G325" s="62"/>
      <c r="H325" s="62"/>
      <c r="I325" s="60"/>
      <c r="J325" s="60"/>
      <c r="K325" s="64"/>
      <c r="L325" s="64"/>
      <c r="M325" s="25"/>
      <c r="N325" s="25"/>
    </row>
    <row r="326" spans="1:14" s="70" customFormat="1" hidden="1">
      <c r="A326" s="3" t="s">
        <v>610</v>
      </c>
      <c r="B326" s="4" t="s">
        <v>611</v>
      </c>
      <c r="C326" s="5">
        <f t="shared" si="14"/>
        <v>0</v>
      </c>
      <c r="D326" s="5"/>
      <c r="E326" s="6">
        <f t="shared" si="12"/>
        <v>0</v>
      </c>
      <c r="F326" s="6">
        <f t="shared" si="13"/>
        <v>0</v>
      </c>
      <c r="G326" s="62"/>
      <c r="H326" s="62"/>
      <c r="I326" s="60"/>
      <c r="J326" s="60"/>
      <c r="K326" s="64"/>
      <c r="L326" s="64"/>
      <c r="M326" s="25"/>
      <c r="N326" s="25"/>
    </row>
    <row r="327" spans="1:14" s="70" customFormat="1" hidden="1">
      <c r="A327" s="3" t="s">
        <v>612</v>
      </c>
      <c r="B327" s="4" t="s">
        <v>613</v>
      </c>
      <c r="C327" s="5">
        <f t="shared" si="14"/>
        <v>0</v>
      </c>
      <c r="D327" s="5"/>
      <c r="E327" s="6">
        <f t="shared" si="12"/>
        <v>0</v>
      </c>
      <c r="F327" s="6">
        <f t="shared" si="13"/>
        <v>0</v>
      </c>
      <c r="G327" s="62"/>
      <c r="H327" s="62"/>
      <c r="I327" s="60"/>
      <c r="J327" s="60"/>
      <c r="K327" s="64"/>
      <c r="L327" s="64"/>
      <c r="M327" s="25"/>
      <c r="N327" s="25"/>
    </row>
    <row r="328" spans="1:14" s="1" customFormat="1" hidden="1">
      <c r="A328" s="3" t="s">
        <v>614</v>
      </c>
      <c r="B328" s="4" t="s">
        <v>615</v>
      </c>
      <c r="C328" s="5">
        <f t="shared" si="14"/>
        <v>0</v>
      </c>
      <c r="D328" s="5"/>
      <c r="E328" s="6">
        <f t="shared" si="12"/>
        <v>0</v>
      </c>
      <c r="F328" s="6">
        <f t="shared" si="13"/>
        <v>0</v>
      </c>
      <c r="G328" s="62"/>
      <c r="H328" s="62"/>
      <c r="I328" s="60"/>
      <c r="J328" s="60"/>
      <c r="K328" s="64"/>
      <c r="L328" s="64"/>
      <c r="M328" s="25"/>
      <c r="N328" s="25"/>
    </row>
    <row r="329" spans="1:14" s="70" customFormat="1" hidden="1">
      <c r="A329" s="3" t="s">
        <v>616</v>
      </c>
      <c r="B329" s="4" t="s">
        <v>617</v>
      </c>
      <c r="C329" s="5">
        <f t="shared" si="14"/>
        <v>0</v>
      </c>
      <c r="D329" s="5"/>
      <c r="E329" s="6">
        <f t="shared" si="12"/>
        <v>0</v>
      </c>
      <c r="F329" s="6">
        <f t="shared" si="13"/>
        <v>0</v>
      </c>
      <c r="G329" s="62"/>
      <c r="H329" s="62"/>
      <c r="I329" s="60"/>
      <c r="J329" s="60"/>
      <c r="K329" s="64"/>
      <c r="L329" s="64"/>
      <c r="M329" s="25"/>
      <c r="N329" s="25"/>
    </row>
    <row r="330" spans="1:14" s="70" customFormat="1" hidden="1">
      <c r="A330" s="3" t="s">
        <v>618</v>
      </c>
      <c r="B330" s="4" t="s">
        <v>619</v>
      </c>
      <c r="C330" s="5">
        <f t="shared" si="14"/>
        <v>0</v>
      </c>
      <c r="D330" s="5"/>
      <c r="E330" s="6">
        <f t="shared" si="12"/>
        <v>0</v>
      </c>
      <c r="F330" s="6">
        <f t="shared" si="13"/>
        <v>0</v>
      </c>
      <c r="G330" s="62"/>
      <c r="H330" s="62"/>
      <c r="I330" s="60"/>
      <c r="J330" s="60"/>
      <c r="K330" s="64"/>
      <c r="L330" s="64"/>
      <c r="M330" s="25"/>
      <c r="N330" s="25"/>
    </row>
    <row r="331" spans="1:14" s="70" customFormat="1" hidden="1">
      <c r="A331" s="11" t="s">
        <v>620</v>
      </c>
      <c r="B331" s="12" t="s">
        <v>621</v>
      </c>
      <c r="C331" s="5">
        <f t="shared" si="14"/>
        <v>0</v>
      </c>
      <c r="D331" s="5"/>
      <c r="E331" s="6">
        <f t="shared" si="12"/>
        <v>0</v>
      </c>
      <c r="F331" s="6">
        <f t="shared" si="13"/>
        <v>0</v>
      </c>
      <c r="G331" s="62"/>
      <c r="H331" s="62"/>
      <c r="I331" s="60"/>
      <c r="J331" s="60"/>
      <c r="K331" s="64"/>
      <c r="L331" s="64"/>
      <c r="M331" s="25"/>
      <c r="N331" s="25"/>
    </row>
    <row r="332" spans="1:14" s="70" customFormat="1" hidden="1">
      <c r="A332" s="3" t="s">
        <v>622</v>
      </c>
      <c r="B332" s="4" t="s">
        <v>623</v>
      </c>
      <c r="C332" s="5">
        <f t="shared" si="14"/>
        <v>0</v>
      </c>
      <c r="D332" s="5"/>
      <c r="E332" s="6">
        <f t="shared" si="12"/>
        <v>0</v>
      </c>
      <c r="F332" s="6">
        <f t="shared" si="13"/>
        <v>0</v>
      </c>
      <c r="G332" s="62"/>
      <c r="H332" s="62"/>
      <c r="I332" s="60"/>
      <c r="J332" s="60"/>
      <c r="K332" s="64"/>
      <c r="L332" s="64"/>
      <c r="M332" s="25"/>
      <c r="N332" s="25"/>
    </row>
    <row r="333" spans="1:14" s="70" customFormat="1" hidden="1">
      <c r="A333" s="3" t="s">
        <v>624</v>
      </c>
      <c r="B333" s="4" t="s">
        <v>625</v>
      </c>
      <c r="C333" s="5">
        <f t="shared" si="14"/>
        <v>0</v>
      </c>
      <c r="D333" s="5"/>
      <c r="E333" s="6">
        <f t="shared" si="12"/>
        <v>0</v>
      </c>
      <c r="F333" s="6">
        <f t="shared" si="13"/>
        <v>0</v>
      </c>
      <c r="G333" s="62"/>
      <c r="H333" s="62"/>
      <c r="I333" s="60"/>
      <c r="J333" s="60"/>
      <c r="K333" s="64"/>
      <c r="L333" s="64"/>
      <c r="M333" s="25"/>
      <c r="N333" s="25"/>
    </row>
    <row r="334" spans="1:14" hidden="1">
      <c r="A334" s="3" t="s">
        <v>626</v>
      </c>
      <c r="B334" s="4" t="s">
        <v>627</v>
      </c>
      <c r="C334" s="5">
        <f t="shared" si="14"/>
        <v>0</v>
      </c>
      <c r="D334" s="5"/>
      <c r="E334" s="6">
        <f t="shared" ref="E334:E397" si="15">SUM(G334,I334,K334,M334)</f>
        <v>0</v>
      </c>
      <c r="F334" s="6">
        <f t="shared" ref="F334:F397" si="16">SUM(H334,J334,L334,N334)</f>
        <v>0</v>
      </c>
      <c r="G334" s="62"/>
      <c r="H334" s="62"/>
      <c r="I334" s="60"/>
      <c r="J334" s="60"/>
      <c r="K334" s="64"/>
      <c r="L334" s="64"/>
      <c r="M334" s="25"/>
      <c r="N334" s="25"/>
    </row>
    <row r="335" spans="1:14" hidden="1">
      <c r="A335" s="3" t="s">
        <v>628</v>
      </c>
      <c r="B335" s="4" t="s">
        <v>629</v>
      </c>
      <c r="C335" s="5">
        <f t="shared" si="14"/>
        <v>0</v>
      </c>
      <c r="D335" s="5"/>
      <c r="E335" s="6">
        <f t="shared" si="15"/>
        <v>0</v>
      </c>
      <c r="F335" s="6">
        <f t="shared" si="16"/>
        <v>0</v>
      </c>
      <c r="G335" s="62"/>
      <c r="H335" s="62"/>
      <c r="I335" s="60"/>
      <c r="J335" s="60"/>
      <c r="K335" s="64"/>
      <c r="L335" s="64"/>
      <c r="M335" s="25"/>
      <c r="N335" s="25"/>
    </row>
    <row r="336" spans="1:14" hidden="1">
      <c r="A336" s="3" t="s">
        <v>630</v>
      </c>
      <c r="B336" s="4" t="s">
        <v>631</v>
      </c>
      <c r="C336" s="5">
        <f t="shared" si="14"/>
        <v>0</v>
      </c>
      <c r="D336" s="5"/>
      <c r="E336" s="6">
        <f t="shared" si="15"/>
        <v>0</v>
      </c>
      <c r="F336" s="6">
        <f t="shared" si="16"/>
        <v>0</v>
      </c>
      <c r="G336" s="62"/>
      <c r="H336" s="62"/>
      <c r="I336" s="60"/>
      <c r="J336" s="60"/>
      <c r="K336" s="64"/>
      <c r="L336" s="64"/>
      <c r="M336" s="25"/>
      <c r="N336" s="25"/>
    </row>
    <row r="337" spans="1:14" hidden="1">
      <c r="A337" s="3" t="s">
        <v>632</v>
      </c>
      <c r="B337" s="4" t="s">
        <v>633</v>
      </c>
      <c r="C337" s="5">
        <f t="shared" si="14"/>
        <v>0</v>
      </c>
      <c r="D337" s="5"/>
      <c r="E337" s="6">
        <f t="shared" si="15"/>
        <v>0</v>
      </c>
      <c r="F337" s="6">
        <f t="shared" si="16"/>
        <v>0</v>
      </c>
      <c r="G337" s="62"/>
      <c r="H337" s="62"/>
      <c r="I337" s="60"/>
      <c r="J337" s="60"/>
      <c r="K337" s="64"/>
      <c r="L337" s="64"/>
      <c r="M337" s="25"/>
      <c r="N337" s="25"/>
    </row>
    <row r="338" spans="1:14" hidden="1">
      <c r="A338" s="3" t="s">
        <v>634</v>
      </c>
      <c r="B338" s="4" t="s">
        <v>635</v>
      </c>
      <c r="C338" s="5">
        <f t="shared" si="14"/>
        <v>0</v>
      </c>
      <c r="D338" s="5"/>
      <c r="E338" s="6">
        <f t="shared" si="15"/>
        <v>0</v>
      </c>
      <c r="F338" s="6">
        <f t="shared" si="16"/>
        <v>0</v>
      </c>
      <c r="G338" s="62"/>
      <c r="H338" s="62"/>
      <c r="I338" s="60"/>
      <c r="J338" s="60"/>
      <c r="K338" s="64"/>
      <c r="L338" s="64"/>
      <c r="M338" s="25"/>
      <c r="N338" s="25"/>
    </row>
    <row r="339" spans="1:14" hidden="1">
      <c r="A339" s="3" t="s">
        <v>636</v>
      </c>
      <c r="B339" s="4" t="s">
        <v>637</v>
      </c>
      <c r="C339" s="5">
        <f t="shared" si="14"/>
        <v>0</v>
      </c>
      <c r="D339" s="5"/>
      <c r="E339" s="6">
        <f t="shared" si="15"/>
        <v>0</v>
      </c>
      <c r="F339" s="6">
        <f t="shared" si="16"/>
        <v>0</v>
      </c>
      <c r="G339" s="62"/>
      <c r="H339" s="62"/>
      <c r="I339" s="60"/>
      <c r="J339" s="60"/>
      <c r="K339" s="64"/>
      <c r="L339" s="64"/>
      <c r="M339" s="25"/>
      <c r="N339" s="25"/>
    </row>
    <row r="340" spans="1:14" hidden="1">
      <c r="A340" s="3" t="s">
        <v>638</v>
      </c>
      <c r="B340" s="4" t="s">
        <v>639</v>
      </c>
      <c r="C340" s="5">
        <f t="shared" si="14"/>
        <v>0</v>
      </c>
      <c r="D340" s="5"/>
      <c r="E340" s="6">
        <f t="shared" si="15"/>
        <v>0</v>
      </c>
      <c r="F340" s="6">
        <f t="shared" si="16"/>
        <v>0</v>
      </c>
      <c r="G340" s="62"/>
      <c r="H340" s="62"/>
      <c r="I340" s="60"/>
      <c r="J340" s="60"/>
      <c r="K340" s="64"/>
      <c r="L340" s="64"/>
      <c r="M340" s="25"/>
      <c r="N340" s="25"/>
    </row>
    <row r="341" spans="1:14" hidden="1">
      <c r="A341" s="3" t="s">
        <v>640</v>
      </c>
      <c r="B341" s="4" t="s">
        <v>641</v>
      </c>
      <c r="C341" s="5">
        <f t="shared" si="14"/>
        <v>0</v>
      </c>
      <c r="D341" s="5"/>
      <c r="E341" s="6">
        <f t="shared" si="15"/>
        <v>0</v>
      </c>
      <c r="F341" s="6">
        <f t="shared" si="16"/>
        <v>0</v>
      </c>
      <c r="G341" s="62"/>
      <c r="H341" s="62"/>
      <c r="I341" s="60"/>
      <c r="J341" s="60"/>
      <c r="K341" s="64"/>
      <c r="L341" s="64"/>
      <c r="M341" s="25"/>
      <c r="N341" s="25"/>
    </row>
    <row r="342" spans="1:14" hidden="1">
      <c r="A342" s="3" t="s">
        <v>642</v>
      </c>
      <c r="B342" s="4" t="s">
        <v>643</v>
      </c>
      <c r="C342" s="5">
        <f t="shared" si="14"/>
        <v>0</v>
      </c>
      <c r="D342" s="5"/>
      <c r="E342" s="6">
        <f t="shared" si="15"/>
        <v>0</v>
      </c>
      <c r="F342" s="6">
        <f t="shared" si="16"/>
        <v>0</v>
      </c>
      <c r="G342" s="62"/>
      <c r="H342" s="62"/>
      <c r="I342" s="60"/>
      <c r="J342" s="60"/>
      <c r="K342" s="64"/>
      <c r="L342" s="64"/>
      <c r="M342" s="25"/>
      <c r="N342" s="25"/>
    </row>
    <row r="343" spans="1:14" hidden="1">
      <c r="A343" s="3" t="s">
        <v>644</v>
      </c>
      <c r="B343" s="4" t="s">
        <v>645</v>
      </c>
      <c r="C343" s="5">
        <f t="shared" si="14"/>
        <v>0</v>
      </c>
      <c r="D343" s="5"/>
      <c r="E343" s="6">
        <f t="shared" si="15"/>
        <v>0</v>
      </c>
      <c r="F343" s="6">
        <f t="shared" si="16"/>
        <v>0</v>
      </c>
      <c r="G343" s="62"/>
      <c r="H343" s="62"/>
      <c r="I343" s="60"/>
      <c r="J343" s="60"/>
      <c r="K343" s="64"/>
      <c r="L343" s="64"/>
      <c r="M343" s="25"/>
      <c r="N343" s="25"/>
    </row>
    <row r="344" spans="1:14" hidden="1">
      <c r="A344" s="3" t="s">
        <v>646</v>
      </c>
      <c r="B344" s="4" t="s">
        <v>647</v>
      </c>
      <c r="C344" s="5">
        <f t="shared" si="14"/>
        <v>0</v>
      </c>
      <c r="D344" s="5"/>
      <c r="E344" s="6">
        <f t="shared" si="15"/>
        <v>0</v>
      </c>
      <c r="F344" s="6">
        <f t="shared" si="16"/>
        <v>0</v>
      </c>
      <c r="G344" s="62"/>
      <c r="H344" s="62"/>
      <c r="I344" s="60"/>
      <c r="J344" s="60"/>
      <c r="K344" s="64"/>
      <c r="L344" s="64"/>
      <c r="M344" s="25"/>
      <c r="N344" s="25"/>
    </row>
    <row r="345" spans="1:14" hidden="1">
      <c r="A345" s="3" t="s">
        <v>648</v>
      </c>
      <c r="B345" s="4" t="s">
        <v>649</v>
      </c>
      <c r="C345" s="5">
        <f t="shared" ref="C345:C408" si="17">E345-F345</f>
        <v>0</v>
      </c>
      <c r="D345" s="5"/>
      <c r="E345" s="6">
        <f t="shared" si="15"/>
        <v>0</v>
      </c>
      <c r="F345" s="6">
        <f t="shared" si="16"/>
        <v>0</v>
      </c>
      <c r="G345" s="62"/>
      <c r="H345" s="62"/>
      <c r="I345" s="60"/>
      <c r="J345" s="60"/>
      <c r="K345" s="64"/>
      <c r="L345" s="64"/>
      <c r="M345" s="25"/>
      <c r="N345" s="25"/>
    </row>
    <row r="346" spans="1:14" hidden="1">
      <c r="A346" s="3" t="s">
        <v>650</v>
      </c>
      <c r="B346" s="4" t="s">
        <v>651</v>
      </c>
      <c r="C346" s="5">
        <f t="shared" si="17"/>
        <v>0</v>
      </c>
      <c r="D346" s="5"/>
      <c r="E346" s="6">
        <f t="shared" si="15"/>
        <v>0</v>
      </c>
      <c r="F346" s="6">
        <f t="shared" si="16"/>
        <v>0</v>
      </c>
      <c r="G346" s="62"/>
      <c r="H346" s="62"/>
      <c r="I346" s="60"/>
      <c r="J346" s="60"/>
      <c r="K346" s="64"/>
      <c r="L346" s="64"/>
      <c r="M346" s="25"/>
      <c r="N346" s="25"/>
    </row>
    <row r="347" spans="1:14" hidden="1">
      <c r="A347" s="3" t="s">
        <v>652</v>
      </c>
      <c r="B347" s="4" t="s">
        <v>653</v>
      </c>
      <c r="C347" s="5">
        <f t="shared" si="17"/>
        <v>0</v>
      </c>
      <c r="D347" s="5"/>
      <c r="E347" s="6">
        <f t="shared" si="15"/>
        <v>0</v>
      </c>
      <c r="F347" s="6">
        <f t="shared" si="16"/>
        <v>0</v>
      </c>
      <c r="G347" s="62"/>
      <c r="H347" s="62"/>
      <c r="I347" s="60"/>
      <c r="J347" s="60"/>
      <c r="K347" s="64"/>
      <c r="L347" s="64"/>
      <c r="M347" s="25"/>
      <c r="N347" s="25"/>
    </row>
    <row r="348" spans="1:14" hidden="1">
      <c r="A348" s="3" t="s">
        <v>654</v>
      </c>
      <c r="B348" s="4" t="s">
        <v>655</v>
      </c>
      <c r="C348" s="5">
        <f t="shared" si="17"/>
        <v>0</v>
      </c>
      <c r="D348" s="5"/>
      <c r="E348" s="6">
        <f t="shared" si="15"/>
        <v>0</v>
      </c>
      <c r="F348" s="6">
        <f t="shared" si="16"/>
        <v>0</v>
      </c>
      <c r="G348" s="62"/>
      <c r="H348" s="62"/>
      <c r="I348" s="60"/>
      <c r="J348" s="60"/>
      <c r="K348" s="64"/>
      <c r="L348" s="64"/>
      <c r="M348" s="25"/>
      <c r="N348" s="25"/>
    </row>
    <row r="349" spans="1:14" hidden="1">
      <c r="A349" s="3" t="s">
        <v>656</v>
      </c>
      <c r="B349" s="4" t="s">
        <v>657</v>
      </c>
      <c r="C349" s="5">
        <f t="shared" si="17"/>
        <v>0</v>
      </c>
      <c r="D349" s="5"/>
      <c r="E349" s="6">
        <f t="shared" si="15"/>
        <v>0</v>
      </c>
      <c r="F349" s="6">
        <f t="shared" si="16"/>
        <v>0</v>
      </c>
      <c r="G349" s="62"/>
      <c r="H349" s="62"/>
      <c r="I349" s="60"/>
      <c r="J349" s="60"/>
      <c r="K349" s="64"/>
      <c r="L349" s="64"/>
      <c r="M349" s="25"/>
      <c r="N349" s="25"/>
    </row>
    <row r="350" spans="1:14" hidden="1">
      <c r="A350" s="3" t="s">
        <v>658</v>
      </c>
      <c r="B350" s="4" t="s">
        <v>659</v>
      </c>
      <c r="C350" s="5">
        <f t="shared" si="17"/>
        <v>0</v>
      </c>
      <c r="D350" s="5"/>
      <c r="E350" s="6">
        <f t="shared" si="15"/>
        <v>0</v>
      </c>
      <c r="F350" s="6">
        <f t="shared" si="16"/>
        <v>0</v>
      </c>
      <c r="G350" s="62"/>
      <c r="H350" s="62"/>
      <c r="I350" s="60"/>
      <c r="J350" s="60"/>
      <c r="K350" s="64"/>
      <c r="L350" s="64"/>
      <c r="M350" s="25"/>
      <c r="N350" s="25"/>
    </row>
    <row r="351" spans="1:14" hidden="1">
      <c r="A351" s="3" t="s">
        <v>660</v>
      </c>
      <c r="B351" s="4" t="s">
        <v>661</v>
      </c>
      <c r="C351" s="5">
        <f t="shared" si="17"/>
        <v>0</v>
      </c>
      <c r="D351" s="5"/>
      <c r="E351" s="6">
        <f t="shared" si="15"/>
        <v>0</v>
      </c>
      <c r="F351" s="6">
        <f t="shared" si="16"/>
        <v>0</v>
      </c>
      <c r="G351" s="62"/>
      <c r="H351" s="62"/>
      <c r="I351" s="60"/>
      <c r="J351" s="60"/>
      <c r="K351" s="64"/>
      <c r="L351" s="64"/>
      <c r="M351" s="25"/>
      <c r="N351" s="25"/>
    </row>
    <row r="352" spans="1:14" hidden="1">
      <c r="A352" s="3" t="s">
        <v>662</v>
      </c>
      <c r="B352" s="4" t="s">
        <v>663</v>
      </c>
      <c r="C352" s="5">
        <f t="shared" si="17"/>
        <v>0</v>
      </c>
      <c r="D352" s="5"/>
      <c r="E352" s="6">
        <f t="shared" si="15"/>
        <v>0</v>
      </c>
      <c r="F352" s="6">
        <f t="shared" si="16"/>
        <v>0</v>
      </c>
      <c r="G352" s="62"/>
      <c r="H352" s="62"/>
      <c r="I352" s="60"/>
      <c r="J352" s="60"/>
      <c r="K352" s="64"/>
      <c r="L352" s="64"/>
      <c r="M352" s="25"/>
      <c r="N352" s="25"/>
    </row>
    <row r="353" spans="1:14" hidden="1">
      <c r="A353" s="3" t="s">
        <v>664</v>
      </c>
      <c r="B353" s="4" t="s">
        <v>665</v>
      </c>
      <c r="C353" s="5">
        <f t="shared" si="17"/>
        <v>0</v>
      </c>
      <c r="D353" s="5"/>
      <c r="E353" s="6">
        <f t="shared" si="15"/>
        <v>0</v>
      </c>
      <c r="F353" s="6">
        <f t="shared" si="16"/>
        <v>0</v>
      </c>
      <c r="G353" s="62"/>
      <c r="H353" s="62"/>
      <c r="I353" s="60"/>
      <c r="J353" s="60"/>
      <c r="K353" s="64"/>
      <c r="L353" s="64"/>
      <c r="M353" s="25"/>
      <c r="N353" s="25"/>
    </row>
    <row r="354" spans="1:14" hidden="1">
      <c r="A354" s="3" t="s">
        <v>666</v>
      </c>
      <c r="B354" s="4" t="s">
        <v>667</v>
      </c>
      <c r="C354" s="5">
        <f t="shared" si="17"/>
        <v>0</v>
      </c>
      <c r="D354" s="5"/>
      <c r="E354" s="6">
        <f t="shared" si="15"/>
        <v>0</v>
      </c>
      <c r="F354" s="6">
        <f t="shared" si="16"/>
        <v>0</v>
      </c>
      <c r="G354" s="62"/>
      <c r="H354" s="62"/>
      <c r="I354" s="60"/>
      <c r="J354" s="60"/>
      <c r="K354" s="64"/>
      <c r="L354" s="64"/>
      <c r="M354" s="25"/>
      <c r="N354" s="25"/>
    </row>
    <row r="355" spans="1:14" hidden="1">
      <c r="A355" s="3" t="s">
        <v>668</v>
      </c>
      <c r="B355" s="4" t="s">
        <v>669</v>
      </c>
      <c r="C355" s="5">
        <f t="shared" si="17"/>
        <v>0</v>
      </c>
      <c r="D355" s="5"/>
      <c r="E355" s="6">
        <f t="shared" si="15"/>
        <v>0</v>
      </c>
      <c r="F355" s="6">
        <f t="shared" si="16"/>
        <v>0</v>
      </c>
      <c r="G355" s="62"/>
      <c r="H355" s="62"/>
      <c r="I355" s="60"/>
      <c r="J355" s="60"/>
      <c r="K355" s="64"/>
      <c r="L355" s="64"/>
      <c r="M355" s="25"/>
      <c r="N355" s="25"/>
    </row>
    <row r="356" spans="1:14" hidden="1">
      <c r="A356" s="3" t="s">
        <v>670</v>
      </c>
      <c r="B356" s="4" t="s">
        <v>671</v>
      </c>
      <c r="C356" s="5">
        <f t="shared" si="17"/>
        <v>0</v>
      </c>
      <c r="D356" s="5"/>
      <c r="E356" s="6">
        <f t="shared" si="15"/>
        <v>0</v>
      </c>
      <c r="F356" s="6">
        <f t="shared" si="16"/>
        <v>0</v>
      </c>
      <c r="G356" s="62"/>
      <c r="H356" s="62"/>
      <c r="I356" s="60"/>
      <c r="J356" s="60"/>
      <c r="K356" s="64"/>
      <c r="L356" s="64"/>
      <c r="M356" s="25"/>
      <c r="N356" s="25"/>
    </row>
    <row r="357" spans="1:14" hidden="1">
      <c r="A357" s="3" t="s">
        <v>672</v>
      </c>
      <c r="B357" s="4" t="s">
        <v>673</v>
      </c>
      <c r="C357" s="5">
        <f t="shared" si="17"/>
        <v>0</v>
      </c>
      <c r="D357" s="5"/>
      <c r="E357" s="6">
        <f t="shared" si="15"/>
        <v>0</v>
      </c>
      <c r="F357" s="6">
        <f t="shared" si="16"/>
        <v>0</v>
      </c>
      <c r="G357" s="62"/>
      <c r="H357" s="62"/>
      <c r="I357" s="60"/>
      <c r="J357" s="60"/>
      <c r="K357" s="64"/>
      <c r="L357" s="64"/>
      <c r="M357" s="25"/>
      <c r="N357" s="25"/>
    </row>
    <row r="358" spans="1:14" hidden="1">
      <c r="A358" s="3" t="s">
        <v>674</v>
      </c>
      <c r="B358" s="4" t="s">
        <v>675</v>
      </c>
      <c r="C358" s="5">
        <f t="shared" si="17"/>
        <v>0</v>
      </c>
      <c r="D358" s="5"/>
      <c r="E358" s="6">
        <f t="shared" si="15"/>
        <v>0</v>
      </c>
      <c r="F358" s="6">
        <f t="shared" si="16"/>
        <v>0</v>
      </c>
      <c r="G358" s="62"/>
      <c r="H358" s="62"/>
      <c r="I358" s="60"/>
      <c r="J358" s="60"/>
      <c r="K358" s="64"/>
      <c r="L358" s="64"/>
      <c r="M358" s="25"/>
      <c r="N358" s="25"/>
    </row>
    <row r="359" spans="1:14" hidden="1">
      <c r="A359" s="3" t="s">
        <v>676</v>
      </c>
      <c r="B359" s="4" t="s">
        <v>677</v>
      </c>
      <c r="C359" s="5">
        <f t="shared" si="17"/>
        <v>0</v>
      </c>
      <c r="D359" s="5"/>
      <c r="E359" s="6">
        <f t="shared" si="15"/>
        <v>0</v>
      </c>
      <c r="F359" s="6">
        <f t="shared" si="16"/>
        <v>0</v>
      </c>
      <c r="G359" s="62"/>
      <c r="H359" s="62"/>
      <c r="I359" s="60"/>
      <c r="J359" s="60"/>
      <c r="K359" s="64"/>
      <c r="L359" s="64"/>
      <c r="M359" s="25"/>
      <c r="N359" s="25"/>
    </row>
    <row r="360" spans="1:14" hidden="1">
      <c r="A360" s="3" t="s">
        <v>678</v>
      </c>
      <c r="B360" s="4" t="s">
        <v>679</v>
      </c>
      <c r="C360" s="5">
        <f t="shared" si="17"/>
        <v>0</v>
      </c>
      <c r="D360" s="5"/>
      <c r="E360" s="6">
        <f t="shared" si="15"/>
        <v>0</v>
      </c>
      <c r="F360" s="6">
        <f t="shared" si="16"/>
        <v>0</v>
      </c>
      <c r="G360" s="62"/>
      <c r="H360" s="62"/>
      <c r="I360" s="60"/>
      <c r="J360" s="60"/>
      <c r="K360" s="64"/>
      <c r="L360" s="64"/>
      <c r="M360" s="25"/>
      <c r="N360" s="25"/>
    </row>
    <row r="361" spans="1:14" hidden="1">
      <c r="A361" s="3" t="s">
        <v>680</v>
      </c>
      <c r="B361" s="4" t="s">
        <v>681</v>
      </c>
      <c r="C361" s="5">
        <f t="shared" si="17"/>
        <v>0</v>
      </c>
      <c r="D361" s="5"/>
      <c r="E361" s="6">
        <f t="shared" si="15"/>
        <v>0</v>
      </c>
      <c r="F361" s="6">
        <f t="shared" si="16"/>
        <v>0</v>
      </c>
      <c r="G361" s="62"/>
      <c r="H361" s="62"/>
      <c r="I361" s="60"/>
      <c r="J361" s="60"/>
      <c r="K361" s="64"/>
      <c r="L361" s="64"/>
      <c r="M361" s="25"/>
      <c r="N361" s="25"/>
    </row>
    <row r="362" spans="1:14" hidden="1">
      <c r="A362" s="3" t="s">
        <v>682</v>
      </c>
      <c r="B362" s="4" t="s">
        <v>683</v>
      </c>
      <c r="C362" s="5">
        <f t="shared" si="17"/>
        <v>0</v>
      </c>
      <c r="D362" s="5"/>
      <c r="E362" s="6">
        <f t="shared" si="15"/>
        <v>0</v>
      </c>
      <c r="F362" s="6">
        <f t="shared" si="16"/>
        <v>0</v>
      </c>
      <c r="G362" s="62"/>
      <c r="H362" s="62"/>
      <c r="I362" s="60"/>
      <c r="J362" s="60"/>
      <c r="K362" s="64"/>
      <c r="L362" s="64"/>
      <c r="M362" s="25"/>
      <c r="N362" s="25"/>
    </row>
    <row r="363" spans="1:14" hidden="1">
      <c r="A363" s="3" t="s">
        <v>684</v>
      </c>
      <c r="B363" s="4" t="s">
        <v>685</v>
      </c>
      <c r="C363" s="5">
        <f t="shared" si="17"/>
        <v>0</v>
      </c>
      <c r="D363" s="5"/>
      <c r="E363" s="6">
        <f t="shared" si="15"/>
        <v>0</v>
      </c>
      <c r="F363" s="6">
        <f t="shared" si="16"/>
        <v>0</v>
      </c>
      <c r="G363" s="62"/>
      <c r="H363" s="62"/>
      <c r="I363" s="60"/>
      <c r="J363" s="60"/>
      <c r="K363" s="64"/>
      <c r="L363" s="64"/>
      <c r="M363" s="25"/>
      <c r="N363" s="25"/>
    </row>
    <row r="364" spans="1:14" hidden="1">
      <c r="A364" s="3" t="s">
        <v>686</v>
      </c>
      <c r="B364" s="4" t="s">
        <v>687</v>
      </c>
      <c r="C364" s="5">
        <f t="shared" si="17"/>
        <v>0</v>
      </c>
      <c r="D364" s="5"/>
      <c r="E364" s="6">
        <f t="shared" si="15"/>
        <v>0</v>
      </c>
      <c r="F364" s="6">
        <f t="shared" si="16"/>
        <v>0</v>
      </c>
      <c r="G364" s="62"/>
      <c r="H364" s="62"/>
      <c r="I364" s="60"/>
      <c r="J364" s="60"/>
      <c r="K364" s="64"/>
      <c r="L364" s="64"/>
      <c r="M364" s="25"/>
      <c r="N364" s="25"/>
    </row>
    <row r="365" spans="1:14" hidden="1">
      <c r="A365" s="3" t="s">
        <v>688</v>
      </c>
      <c r="B365" s="4" t="s">
        <v>689</v>
      </c>
      <c r="C365" s="5">
        <f t="shared" si="17"/>
        <v>0</v>
      </c>
      <c r="D365" s="5"/>
      <c r="E365" s="6">
        <f t="shared" si="15"/>
        <v>0</v>
      </c>
      <c r="F365" s="6">
        <f t="shared" si="16"/>
        <v>0</v>
      </c>
      <c r="G365" s="62"/>
      <c r="H365" s="62"/>
      <c r="I365" s="60"/>
      <c r="J365" s="60"/>
      <c r="K365" s="64"/>
      <c r="L365" s="64"/>
      <c r="M365" s="25"/>
      <c r="N365" s="25"/>
    </row>
    <row r="366" spans="1:14" hidden="1">
      <c r="A366" s="3" t="s">
        <v>690</v>
      </c>
      <c r="B366" s="4" t="s">
        <v>691</v>
      </c>
      <c r="C366" s="5">
        <f t="shared" si="17"/>
        <v>0</v>
      </c>
      <c r="D366" s="5"/>
      <c r="E366" s="6">
        <f t="shared" si="15"/>
        <v>0</v>
      </c>
      <c r="F366" s="6">
        <f t="shared" si="16"/>
        <v>0</v>
      </c>
      <c r="G366" s="62"/>
      <c r="H366" s="62"/>
      <c r="I366" s="60"/>
      <c r="J366" s="60"/>
      <c r="K366" s="64"/>
      <c r="L366" s="64"/>
      <c r="M366" s="25"/>
      <c r="N366" s="25"/>
    </row>
    <row r="367" spans="1:14" hidden="1">
      <c r="A367" s="3" t="s">
        <v>692</v>
      </c>
      <c r="B367" s="4" t="s">
        <v>693</v>
      </c>
      <c r="C367" s="5">
        <f t="shared" si="17"/>
        <v>0</v>
      </c>
      <c r="D367" s="5"/>
      <c r="E367" s="6">
        <f t="shared" si="15"/>
        <v>0</v>
      </c>
      <c r="F367" s="6">
        <f t="shared" si="16"/>
        <v>0</v>
      </c>
      <c r="G367" s="62"/>
      <c r="H367" s="62"/>
      <c r="I367" s="60"/>
      <c r="J367" s="60"/>
      <c r="K367" s="64"/>
      <c r="L367" s="64"/>
      <c r="M367" s="25"/>
      <c r="N367" s="25"/>
    </row>
    <row r="368" spans="1:14" hidden="1">
      <c r="A368" s="3" t="s">
        <v>694</v>
      </c>
      <c r="B368" s="4" t="s">
        <v>695</v>
      </c>
      <c r="C368" s="5">
        <f t="shared" si="17"/>
        <v>0</v>
      </c>
      <c r="D368" s="5"/>
      <c r="E368" s="6">
        <f t="shared" si="15"/>
        <v>0</v>
      </c>
      <c r="F368" s="6">
        <f t="shared" si="16"/>
        <v>0</v>
      </c>
      <c r="G368" s="62"/>
      <c r="H368" s="62"/>
      <c r="I368" s="60"/>
      <c r="J368" s="60"/>
      <c r="K368" s="64"/>
      <c r="L368" s="64"/>
      <c r="M368" s="25"/>
      <c r="N368" s="25"/>
    </row>
    <row r="369" spans="1:14" hidden="1">
      <c r="A369" s="3" t="s">
        <v>696</v>
      </c>
      <c r="B369" s="4" t="s">
        <v>697</v>
      </c>
      <c r="C369" s="5">
        <f t="shared" si="17"/>
        <v>0</v>
      </c>
      <c r="D369" s="5"/>
      <c r="E369" s="6">
        <f t="shared" si="15"/>
        <v>0</v>
      </c>
      <c r="F369" s="6">
        <f t="shared" si="16"/>
        <v>0</v>
      </c>
      <c r="G369" s="62"/>
      <c r="H369" s="62"/>
      <c r="I369" s="60"/>
      <c r="J369" s="60"/>
      <c r="K369" s="64"/>
      <c r="L369" s="64"/>
      <c r="M369" s="25"/>
      <c r="N369" s="25"/>
    </row>
    <row r="370" spans="1:14" hidden="1">
      <c r="A370" s="3" t="s">
        <v>698</v>
      </c>
      <c r="B370" s="4" t="s">
        <v>699</v>
      </c>
      <c r="C370" s="5">
        <f t="shared" si="17"/>
        <v>0</v>
      </c>
      <c r="D370" s="5"/>
      <c r="E370" s="6">
        <f t="shared" si="15"/>
        <v>0</v>
      </c>
      <c r="F370" s="6">
        <f t="shared" si="16"/>
        <v>0</v>
      </c>
      <c r="G370" s="62"/>
      <c r="H370" s="62"/>
      <c r="I370" s="60"/>
      <c r="J370" s="60"/>
      <c r="K370" s="64"/>
      <c r="L370" s="64"/>
      <c r="M370" s="25"/>
      <c r="N370" s="25"/>
    </row>
    <row r="371" spans="1:14" hidden="1">
      <c r="A371" s="3" t="s">
        <v>700</v>
      </c>
      <c r="B371" s="4" t="s">
        <v>701</v>
      </c>
      <c r="C371" s="5">
        <f t="shared" si="17"/>
        <v>0</v>
      </c>
      <c r="D371" s="5"/>
      <c r="E371" s="6">
        <f t="shared" si="15"/>
        <v>0</v>
      </c>
      <c r="F371" s="6">
        <f t="shared" si="16"/>
        <v>0</v>
      </c>
      <c r="G371" s="62"/>
      <c r="H371" s="62"/>
      <c r="I371" s="60"/>
      <c r="J371" s="60"/>
      <c r="K371" s="64"/>
      <c r="L371" s="64"/>
      <c r="M371" s="25"/>
      <c r="N371" s="25"/>
    </row>
    <row r="372" spans="1:14" hidden="1">
      <c r="A372" s="3" t="s">
        <v>702</v>
      </c>
      <c r="B372" s="4" t="s">
        <v>703</v>
      </c>
      <c r="C372" s="5">
        <f t="shared" si="17"/>
        <v>0</v>
      </c>
      <c r="D372" s="5"/>
      <c r="E372" s="6">
        <f t="shared" si="15"/>
        <v>0</v>
      </c>
      <c r="F372" s="6">
        <f t="shared" si="16"/>
        <v>0</v>
      </c>
      <c r="G372" s="62"/>
      <c r="H372" s="62"/>
      <c r="I372" s="60"/>
      <c r="J372" s="60"/>
      <c r="K372" s="64"/>
      <c r="L372" s="64"/>
      <c r="M372" s="25"/>
      <c r="N372" s="25"/>
    </row>
    <row r="373" spans="1:14" hidden="1">
      <c r="A373" s="3" t="s">
        <v>704</v>
      </c>
      <c r="B373" s="4" t="s">
        <v>705</v>
      </c>
      <c r="C373" s="5">
        <f t="shared" si="17"/>
        <v>0</v>
      </c>
      <c r="D373" s="5"/>
      <c r="E373" s="6">
        <f t="shared" si="15"/>
        <v>0</v>
      </c>
      <c r="F373" s="6">
        <f t="shared" si="16"/>
        <v>0</v>
      </c>
      <c r="G373" s="62"/>
      <c r="H373" s="62"/>
      <c r="I373" s="60"/>
      <c r="J373" s="60"/>
      <c r="K373" s="64"/>
      <c r="L373" s="64"/>
      <c r="M373" s="25"/>
      <c r="N373" s="25"/>
    </row>
    <row r="374" spans="1:14" hidden="1">
      <c r="A374" s="3" t="s">
        <v>706</v>
      </c>
      <c r="B374" s="4" t="s">
        <v>707</v>
      </c>
      <c r="C374" s="5">
        <f t="shared" si="17"/>
        <v>0</v>
      </c>
      <c r="D374" s="5"/>
      <c r="E374" s="6">
        <f t="shared" si="15"/>
        <v>0</v>
      </c>
      <c r="F374" s="6">
        <f t="shared" si="16"/>
        <v>0</v>
      </c>
      <c r="G374" s="62"/>
      <c r="H374" s="62"/>
      <c r="I374" s="60"/>
      <c r="J374" s="60"/>
      <c r="K374" s="64"/>
      <c r="L374" s="64"/>
      <c r="M374" s="25"/>
      <c r="N374" s="25"/>
    </row>
    <row r="375" spans="1:14" hidden="1">
      <c r="A375" s="3" t="s">
        <v>708</v>
      </c>
      <c r="B375" s="4" t="s">
        <v>709</v>
      </c>
      <c r="C375" s="5">
        <f t="shared" si="17"/>
        <v>0</v>
      </c>
      <c r="D375" s="5"/>
      <c r="E375" s="6">
        <f t="shared" si="15"/>
        <v>0</v>
      </c>
      <c r="F375" s="6">
        <f t="shared" si="16"/>
        <v>0</v>
      </c>
      <c r="G375" s="62"/>
      <c r="H375" s="62"/>
      <c r="I375" s="60"/>
      <c r="J375" s="60"/>
      <c r="K375" s="64"/>
      <c r="L375" s="64"/>
      <c r="M375" s="25"/>
      <c r="N375" s="25"/>
    </row>
    <row r="376" spans="1:14" hidden="1">
      <c r="A376" s="3" t="s">
        <v>710</v>
      </c>
      <c r="B376" s="4" t="s">
        <v>711</v>
      </c>
      <c r="C376" s="5">
        <f t="shared" si="17"/>
        <v>0</v>
      </c>
      <c r="D376" s="5"/>
      <c r="E376" s="6">
        <f t="shared" si="15"/>
        <v>0</v>
      </c>
      <c r="F376" s="6">
        <f t="shared" si="16"/>
        <v>0</v>
      </c>
      <c r="G376" s="62"/>
      <c r="H376" s="62"/>
      <c r="I376" s="60"/>
      <c r="J376" s="60"/>
      <c r="K376" s="64"/>
      <c r="L376" s="64"/>
      <c r="M376" s="25"/>
      <c r="N376" s="25"/>
    </row>
    <row r="377" spans="1:14" hidden="1">
      <c r="A377" s="3" t="s">
        <v>712</v>
      </c>
      <c r="B377" s="4" t="s">
        <v>713</v>
      </c>
      <c r="C377" s="5">
        <f t="shared" si="17"/>
        <v>0</v>
      </c>
      <c r="D377" s="5"/>
      <c r="E377" s="6">
        <f t="shared" si="15"/>
        <v>0</v>
      </c>
      <c r="F377" s="6">
        <f t="shared" si="16"/>
        <v>0</v>
      </c>
      <c r="G377" s="62"/>
      <c r="H377" s="62"/>
      <c r="I377" s="60"/>
      <c r="J377" s="60"/>
      <c r="K377" s="64"/>
      <c r="L377" s="64"/>
      <c r="M377" s="25"/>
      <c r="N377" s="25"/>
    </row>
    <row r="378" spans="1:14" hidden="1">
      <c r="A378" s="3" t="s">
        <v>714</v>
      </c>
      <c r="B378" s="4" t="s">
        <v>715</v>
      </c>
      <c r="C378" s="5">
        <f t="shared" si="17"/>
        <v>0</v>
      </c>
      <c r="D378" s="5"/>
      <c r="E378" s="6">
        <f t="shared" si="15"/>
        <v>0</v>
      </c>
      <c r="F378" s="6">
        <f t="shared" si="16"/>
        <v>0</v>
      </c>
      <c r="G378" s="62"/>
      <c r="H378" s="62"/>
      <c r="I378" s="60"/>
      <c r="J378" s="60"/>
      <c r="K378" s="64"/>
      <c r="L378" s="64"/>
      <c r="M378" s="25"/>
      <c r="N378" s="25"/>
    </row>
    <row r="379" spans="1:14" hidden="1">
      <c r="A379" s="3" t="s">
        <v>716</v>
      </c>
      <c r="B379" s="4" t="s">
        <v>717</v>
      </c>
      <c r="C379" s="5">
        <f t="shared" si="17"/>
        <v>0</v>
      </c>
      <c r="D379" s="5"/>
      <c r="E379" s="6">
        <f t="shared" si="15"/>
        <v>0</v>
      </c>
      <c r="F379" s="6">
        <f t="shared" si="16"/>
        <v>0</v>
      </c>
      <c r="G379" s="62"/>
      <c r="H379" s="62"/>
      <c r="I379" s="60"/>
      <c r="J379" s="60"/>
      <c r="K379" s="64"/>
      <c r="L379" s="64"/>
      <c r="M379" s="25"/>
      <c r="N379" s="25"/>
    </row>
    <row r="380" spans="1:14" hidden="1">
      <c r="A380" s="3" t="s">
        <v>718</v>
      </c>
      <c r="B380" s="4" t="s">
        <v>719</v>
      </c>
      <c r="C380" s="5">
        <f t="shared" si="17"/>
        <v>0</v>
      </c>
      <c r="D380" s="5"/>
      <c r="E380" s="6">
        <f t="shared" si="15"/>
        <v>0</v>
      </c>
      <c r="F380" s="6">
        <f t="shared" si="16"/>
        <v>0</v>
      </c>
      <c r="G380" s="62"/>
      <c r="H380" s="62"/>
      <c r="I380" s="60"/>
      <c r="J380" s="60"/>
      <c r="K380" s="64"/>
      <c r="L380" s="64"/>
      <c r="M380" s="25"/>
      <c r="N380" s="25"/>
    </row>
    <row r="381" spans="1:14" hidden="1">
      <c r="A381" s="3" t="s">
        <v>720</v>
      </c>
      <c r="B381" s="4" t="s">
        <v>721</v>
      </c>
      <c r="C381" s="5">
        <f t="shared" si="17"/>
        <v>0</v>
      </c>
      <c r="D381" s="5"/>
      <c r="E381" s="6">
        <f t="shared" si="15"/>
        <v>0</v>
      </c>
      <c r="F381" s="6">
        <f t="shared" si="16"/>
        <v>0</v>
      </c>
      <c r="G381" s="62"/>
      <c r="H381" s="62"/>
      <c r="I381" s="60"/>
      <c r="J381" s="60"/>
      <c r="K381" s="64"/>
      <c r="L381" s="64"/>
      <c r="M381" s="25"/>
      <c r="N381" s="25"/>
    </row>
    <row r="382" spans="1:14" hidden="1">
      <c r="A382" s="3" t="s">
        <v>722</v>
      </c>
      <c r="B382" s="4" t="s">
        <v>723</v>
      </c>
      <c r="C382" s="5">
        <f t="shared" si="17"/>
        <v>0</v>
      </c>
      <c r="D382" s="5"/>
      <c r="E382" s="6">
        <f t="shared" si="15"/>
        <v>0</v>
      </c>
      <c r="F382" s="6">
        <f t="shared" si="16"/>
        <v>0</v>
      </c>
      <c r="G382" s="62"/>
      <c r="H382" s="62"/>
      <c r="I382" s="60"/>
      <c r="J382" s="60"/>
      <c r="K382" s="64"/>
      <c r="L382" s="64"/>
      <c r="M382" s="25"/>
      <c r="N382" s="25"/>
    </row>
    <row r="383" spans="1:14" hidden="1">
      <c r="A383" s="3" t="s">
        <v>724</v>
      </c>
      <c r="B383" s="4" t="s">
        <v>725</v>
      </c>
      <c r="C383" s="5">
        <f t="shared" si="17"/>
        <v>0</v>
      </c>
      <c r="D383" s="5"/>
      <c r="E383" s="6">
        <f t="shared" si="15"/>
        <v>0</v>
      </c>
      <c r="F383" s="6">
        <f t="shared" si="16"/>
        <v>0</v>
      </c>
      <c r="G383" s="62"/>
      <c r="H383" s="62"/>
      <c r="I383" s="60"/>
      <c r="J383" s="60"/>
      <c r="K383" s="64"/>
      <c r="L383" s="64"/>
      <c r="M383" s="25"/>
      <c r="N383" s="25"/>
    </row>
    <row r="384" spans="1:14" hidden="1">
      <c r="A384" s="3" t="s">
        <v>726</v>
      </c>
      <c r="B384" s="4" t="s">
        <v>727</v>
      </c>
      <c r="C384" s="5">
        <f t="shared" si="17"/>
        <v>0</v>
      </c>
      <c r="D384" s="5"/>
      <c r="E384" s="6">
        <f t="shared" si="15"/>
        <v>0</v>
      </c>
      <c r="F384" s="6">
        <f t="shared" si="16"/>
        <v>0</v>
      </c>
      <c r="G384" s="62"/>
      <c r="H384" s="62"/>
      <c r="I384" s="60"/>
      <c r="J384" s="60"/>
      <c r="K384" s="64"/>
      <c r="L384" s="64"/>
      <c r="M384" s="25"/>
      <c r="N384" s="25"/>
    </row>
    <row r="385" spans="1:14" hidden="1">
      <c r="A385" s="3" t="s">
        <v>728</v>
      </c>
      <c r="B385" s="4" t="s">
        <v>729</v>
      </c>
      <c r="C385" s="5">
        <f t="shared" si="17"/>
        <v>0</v>
      </c>
      <c r="D385" s="5"/>
      <c r="E385" s="6">
        <f t="shared" si="15"/>
        <v>0</v>
      </c>
      <c r="F385" s="6">
        <f t="shared" si="16"/>
        <v>0</v>
      </c>
      <c r="G385" s="62"/>
      <c r="H385" s="62"/>
      <c r="I385" s="60"/>
      <c r="J385" s="60"/>
      <c r="K385" s="64"/>
      <c r="L385" s="64"/>
      <c r="M385" s="25"/>
      <c r="N385" s="25"/>
    </row>
    <row r="386" spans="1:14" hidden="1">
      <c r="A386" s="3" t="s">
        <v>730</v>
      </c>
      <c r="B386" s="4" t="s">
        <v>731</v>
      </c>
      <c r="C386" s="5">
        <f t="shared" si="17"/>
        <v>0</v>
      </c>
      <c r="D386" s="5"/>
      <c r="E386" s="6">
        <f t="shared" si="15"/>
        <v>0</v>
      </c>
      <c r="F386" s="6">
        <f t="shared" si="16"/>
        <v>0</v>
      </c>
      <c r="G386" s="62"/>
      <c r="H386" s="62"/>
      <c r="I386" s="60"/>
      <c r="J386" s="60"/>
      <c r="K386" s="64"/>
      <c r="L386" s="64"/>
      <c r="M386" s="25"/>
      <c r="N386" s="25"/>
    </row>
    <row r="387" spans="1:14" hidden="1">
      <c r="A387" s="3" t="s">
        <v>732</v>
      </c>
      <c r="B387" s="4" t="s">
        <v>733</v>
      </c>
      <c r="C387" s="5">
        <f t="shared" si="17"/>
        <v>0</v>
      </c>
      <c r="D387" s="5"/>
      <c r="E387" s="6">
        <f t="shared" si="15"/>
        <v>0</v>
      </c>
      <c r="F387" s="6">
        <f t="shared" si="16"/>
        <v>0</v>
      </c>
      <c r="G387" s="62"/>
      <c r="H387" s="62"/>
      <c r="I387" s="60"/>
      <c r="J387" s="60"/>
      <c r="K387" s="64"/>
      <c r="L387" s="64"/>
      <c r="M387" s="25"/>
      <c r="N387" s="25"/>
    </row>
    <row r="388" spans="1:14" hidden="1">
      <c r="A388" s="3" t="s">
        <v>734</v>
      </c>
      <c r="B388" s="4" t="s">
        <v>735</v>
      </c>
      <c r="C388" s="5">
        <f t="shared" si="17"/>
        <v>0</v>
      </c>
      <c r="D388" s="5"/>
      <c r="E388" s="6">
        <f t="shared" si="15"/>
        <v>0</v>
      </c>
      <c r="F388" s="6">
        <f t="shared" si="16"/>
        <v>0</v>
      </c>
      <c r="G388" s="62"/>
      <c r="H388" s="62"/>
      <c r="I388" s="60"/>
      <c r="J388" s="60"/>
      <c r="K388" s="64"/>
      <c r="L388" s="64"/>
      <c r="M388" s="25"/>
      <c r="N388" s="25"/>
    </row>
    <row r="389" spans="1:14" hidden="1">
      <c r="A389" s="3" t="s">
        <v>736</v>
      </c>
      <c r="B389" s="4" t="s">
        <v>737</v>
      </c>
      <c r="C389" s="5">
        <f t="shared" si="17"/>
        <v>0</v>
      </c>
      <c r="D389" s="5"/>
      <c r="E389" s="6">
        <f t="shared" si="15"/>
        <v>0</v>
      </c>
      <c r="F389" s="6">
        <f t="shared" si="16"/>
        <v>0</v>
      </c>
      <c r="G389" s="62"/>
      <c r="H389" s="62"/>
      <c r="I389" s="60"/>
      <c r="J389" s="60"/>
      <c r="K389" s="64"/>
      <c r="L389" s="64"/>
      <c r="M389" s="25"/>
      <c r="N389" s="25"/>
    </row>
    <row r="390" spans="1:14" hidden="1">
      <c r="A390" s="3" t="s">
        <v>738</v>
      </c>
      <c r="B390" s="4" t="s">
        <v>739</v>
      </c>
      <c r="C390" s="5">
        <f t="shared" si="17"/>
        <v>0</v>
      </c>
      <c r="D390" s="5"/>
      <c r="E390" s="6">
        <f t="shared" si="15"/>
        <v>0</v>
      </c>
      <c r="F390" s="6">
        <f t="shared" si="16"/>
        <v>0</v>
      </c>
      <c r="G390" s="62"/>
      <c r="H390" s="62"/>
      <c r="I390" s="60"/>
      <c r="J390" s="60"/>
      <c r="K390" s="64"/>
      <c r="L390" s="64"/>
      <c r="M390" s="25"/>
      <c r="N390" s="25"/>
    </row>
    <row r="391" spans="1:14" hidden="1">
      <c r="A391" s="3" t="s">
        <v>740</v>
      </c>
      <c r="B391" s="4" t="s">
        <v>741</v>
      </c>
      <c r="C391" s="5">
        <f t="shared" si="17"/>
        <v>0</v>
      </c>
      <c r="D391" s="5"/>
      <c r="E391" s="6">
        <f t="shared" si="15"/>
        <v>0</v>
      </c>
      <c r="F391" s="6">
        <f t="shared" si="16"/>
        <v>0</v>
      </c>
      <c r="G391" s="62"/>
      <c r="H391" s="62"/>
      <c r="I391" s="60"/>
      <c r="J391" s="60"/>
      <c r="K391" s="64"/>
      <c r="L391" s="64"/>
      <c r="M391" s="25"/>
      <c r="N391" s="25"/>
    </row>
    <row r="392" spans="1:14" hidden="1">
      <c r="A392" s="3" t="s">
        <v>742</v>
      </c>
      <c r="B392" s="4" t="s">
        <v>743</v>
      </c>
      <c r="C392" s="5">
        <f t="shared" si="17"/>
        <v>0</v>
      </c>
      <c r="D392" s="5"/>
      <c r="E392" s="6">
        <f t="shared" si="15"/>
        <v>0</v>
      </c>
      <c r="F392" s="6">
        <f t="shared" si="16"/>
        <v>0</v>
      </c>
      <c r="G392" s="62"/>
      <c r="H392" s="62"/>
      <c r="I392" s="60"/>
      <c r="J392" s="60"/>
      <c r="K392" s="64"/>
      <c r="L392" s="64"/>
      <c r="M392" s="25"/>
      <c r="N392" s="25"/>
    </row>
    <row r="393" spans="1:14" hidden="1">
      <c r="A393" s="3" t="s">
        <v>744</v>
      </c>
      <c r="B393" s="4" t="s">
        <v>745</v>
      </c>
      <c r="C393" s="5">
        <f t="shared" si="17"/>
        <v>0</v>
      </c>
      <c r="D393" s="5"/>
      <c r="E393" s="6">
        <f t="shared" si="15"/>
        <v>0</v>
      </c>
      <c r="F393" s="6">
        <f t="shared" si="16"/>
        <v>0</v>
      </c>
      <c r="G393" s="62"/>
      <c r="H393" s="62"/>
      <c r="I393" s="60"/>
      <c r="J393" s="60"/>
      <c r="K393" s="64"/>
      <c r="L393" s="64"/>
      <c r="M393" s="25"/>
      <c r="N393" s="25"/>
    </row>
    <row r="394" spans="1:14" hidden="1">
      <c r="A394" s="3" t="s">
        <v>746</v>
      </c>
      <c r="B394" s="4" t="s">
        <v>747</v>
      </c>
      <c r="C394" s="5">
        <f t="shared" si="17"/>
        <v>0</v>
      </c>
      <c r="D394" s="5"/>
      <c r="E394" s="6">
        <f t="shared" si="15"/>
        <v>0</v>
      </c>
      <c r="F394" s="6">
        <f t="shared" si="16"/>
        <v>0</v>
      </c>
      <c r="G394" s="62"/>
      <c r="H394" s="62"/>
      <c r="I394" s="60"/>
      <c r="J394" s="60"/>
      <c r="K394" s="64"/>
      <c r="L394" s="64"/>
      <c r="M394" s="25"/>
      <c r="N394" s="25"/>
    </row>
    <row r="395" spans="1:14" hidden="1">
      <c r="A395" s="3" t="s">
        <v>748</v>
      </c>
      <c r="B395" s="4" t="s">
        <v>749</v>
      </c>
      <c r="C395" s="5">
        <f t="shared" si="17"/>
        <v>0</v>
      </c>
      <c r="D395" s="5"/>
      <c r="E395" s="6">
        <f t="shared" si="15"/>
        <v>0</v>
      </c>
      <c r="F395" s="6">
        <f t="shared" si="16"/>
        <v>0</v>
      </c>
      <c r="G395" s="62"/>
      <c r="H395" s="62"/>
      <c r="I395" s="60"/>
      <c r="J395" s="60"/>
      <c r="K395" s="64"/>
      <c r="L395" s="64"/>
      <c r="M395" s="25"/>
      <c r="N395" s="25"/>
    </row>
    <row r="396" spans="1:14" hidden="1">
      <c r="A396" s="3" t="s">
        <v>750</v>
      </c>
      <c r="B396" s="4" t="s">
        <v>751</v>
      </c>
      <c r="C396" s="5">
        <f t="shared" si="17"/>
        <v>0</v>
      </c>
      <c r="D396" s="5"/>
      <c r="E396" s="6">
        <f t="shared" si="15"/>
        <v>0</v>
      </c>
      <c r="F396" s="6">
        <f t="shared" si="16"/>
        <v>0</v>
      </c>
      <c r="G396" s="62"/>
      <c r="H396" s="62"/>
      <c r="I396" s="60"/>
      <c r="J396" s="60"/>
      <c r="K396" s="64"/>
      <c r="L396" s="64"/>
      <c r="M396" s="25"/>
      <c r="N396" s="25"/>
    </row>
    <row r="397" spans="1:14" hidden="1">
      <c r="A397" s="3" t="s">
        <v>752</v>
      </c>
      <c r="B397" s="4" t="s">
        <v>753</v>
      </c>
      <c r="C397" s="5">
        <f t="shared" si="17"/>
        <v>0</v>
      </c>
      <c r="D397" s="5"/>
      <c r="E397" s="6">
        <f t="shared" si="15"/>
        <v>0</v>
      </c>
      <c r="F397" s="6">
        <f t="shared" si="16"/>
        <v>0</v>
      </c>
      <c r="G397" s="62"/>
      <c r="H397" s="62"/>
      <c r="I397" s="60"/>
      <c r="J397" s="60"/>
      <c r="K397" s="64"/>
      <c r="L397" s="64"/>
      <c r="M397" s="25"/>
      <c r="N397" s="25"/>
    </row>
    <row r="398" spans="1:14" hidden="1">
      <c r="A398" s="3" t="s">
        <v>754</v>
      </c>
      <c r="B398" s="4" t="s">
        <v>755</v>
      </c>
      <c r="C398" s="5">
        <f t="shared" si="17"/>
        <v>0</v>
      </c>
      <c r="D398" s="5"/>
      <c r="E398" s="6">
        <f t="shared" ref="E398:E461" si="18">SUM(G398,I398,K398,M398)</f>
        <v>0</v>
      </c>
      <c r="F398" s="6">
        <f t="shared" ref="F398:F461" si="19">SUM(H398,J398,L398,N398)</f>
        <v>0</v>
      </c>
      <c r="G398" s="62"/>
      <c r="H398" s="62"/>
      <c r="I398" s="60"/>
      <c r="J398" s="60"/>
      <c r="K398" s="64"/>
      <c r="L398" s="64"/>
      <c r="M398" s="25"/>
      <c r="N398" s="25"/>
    </row>
    <row r="399" spans="1:14" hidden="1">
      <c r="A399" s="3" t="s">
        <v>756</v>
      </c>
      <c r="B399" s="4" t="s">
        <v>757</v>
      </c>
      <c r="C399" s="5">
        <f t="shared" si="17"/>
        <v>0</v>
      </c>
      <c r="D399" s="5"/>
      <c r="E399" s="6">
        <f t="shared" si="18"/>
        <v>0</v>
      </c>
      <c r="F399" s="6">
        <f t="shared" si="19"/>
        <v>0</v>
      </c>
      <c r="G399" s="62"/>
      <c r="H399" s="62"/>
      <c r="I399" s="60"/>
      <c r="J399" s="60"/>
      <c r="K399" s="64"/>
      <c r="L399" s="64"/>
      <c r="M399" s="25"/>
      <c r="N399" s="25"/>
    </row>
    <row r="400" spans="1:14" hidden="1">
      <c r="A400" s="3" t="s">
        <v>758</v>
      </c>
      <c r="B400" s="4" t="s">
        <v>759</v>
      </c>
      <c r="C400" s="5">
        <f t="shared" si="17"/>
        <v>0</v>
      </c>
      <c r="D400" s="5"/>
      <c r="E400" s="6">
        <f t="shared" si="18"/>
        <v>0</v>
      </c>
      <c r="F400" s="6">
        <f t="shared" si="19"/>
        <v>0</v>
      </c>
      <c r="G400" s="62"/>
      <c r="H400" s="62"/>
      <c r="I400" s="60"/>
      <c r="J400" s="60"/>
      <c r="K400" s="64"/>
      <c r="L400" s="64"/>
      <c r="M400" s="25"/>
      <c r="N400" s="25"/>
    </row>
    <row r="401" spans="1:14" hidden="1">
      <c r="A401" s="3" t="s">
        <v>760</v>
      </c>
      <c r="B401" s="4" t="s">
        <v>761</v>
      </c>
      <c r="C401" s="5">
        <f t="shared" si="17"/>
        <v>0</v>
      </c>
      <c r="D401" s="5"/>
      <c r="E401" s="6">
        <f t="shared" si="18"/>
        <v>0</v>
      </c>
      <c r="F401" s="6">
        <f t="shared" si="19"/>
        <v>0</v>
      </c>
      <c r="G401" s="62"/>
      <c r="H401" s="62"/>
      <c r="I401" s="60"/>
      <c r="J401" s="60"/>
      <c r="K401" s="64"/>
      <c r="L401" s="64"/>
      <c r="M401" s="25"/>
      <c r="N401" s="25"/>
    </row>
    <row r="402" spans="1:14" hidden="1">
      <c r="A402" s="3" t="s">
        <v>762</v>
      </c>
      <c r="B402" s="4" t="s">
        <v>763</v>
      </c>
      <c r="C402" s="5">
        <f t="shared" si="17"/>
        <v>0</v>
      </c>
      <c r="D402" s="5"/>
      <c r="E402" s="6">
        <f t="shared" si="18"/>
        <v>0</v>
      </c>
      <c r="F402" s="6">
        <f t="shared" si="19"/>
        <v>0</v>
      </c>
      <c r="G402" s="62"/>
      <c r="H402" s="62"/>
      <c r="I402" s="60"/>
      <c r="J402" s="60"/>
      <c r="K402" s="64"/>
      <c r="L402" s="64"/>
      <c r="M402" s="25"/>
      <c r="N402" s="25"/>
    </row>
    <row r="403" spans="1:14" hidden="1">
      <c r="A403" s="3" t="s">
        <v>764</v>
      </c>
      <c r="B403" s="4" t="s">
        <v>765</v>
      </c>
      <c r="C403" s="5">
        <f t="shared" si="17"/>
        <v>0</v>
      </c>
      <c r="D403" s="5"/>
      <c r="E403" s="6">
        <f t="shared" si="18"/>
        <v>0</v>
      </c>
      <c r="F403" s="6">
        <f t="shared" si="19"/>
        <v>0</v>
      </c>
      <c r="G403" s="62"/>
      <c r="H403" s="62"/>
      <c r="I403" s="60"/>
      <c r="J403" s="60"/>
      <c r="K403" s="64"/>
      <c r="L403" s="64"/>
      <c r="M403" s="25"/>
      <c r="N403" s="25"/>
    </row>
    <row r="404" spans="1:14" hidden="1">
      <c r="A404" s="3" t="s">
        <v>766</v>
      </c>
      <c r="B404" s="4" t="s">
        <v>767</v>
      </c>
      <c r="C404" s="5">
        <f t="shared" si="17"/>
        <v>0</v>
      </c>
      <c r="D404" s="5"/>
      <c r="E404" s="6">
        <f t="shared" si="18"/>
        <v>0</v>
      </c>
      <c r="F404" s="6">
        <f t="shared" si="19"/>
        <v>0</v>
      </c>
      <c r="G404" s="62"/>
      <c r="H404" s="62"/>
      <c r="I404" s="60"/>
      <c r="J404" s="60"/>
      <c r="K404" s="64"/>
      <c r="L404" s="64"/>
      <c r="M404" s="25"/>
      <c r="N404" s="25"/>
    </row>
    <row r="405" spans="1:14" hidden="1">
      <c r="A405" s="3" t="s">
        <v>768</v>
      </c>
      <c r="B405" s="4" t="s">
        <v>769</v>
      </c>
      <c r="C405" s="5">
        <f t="shared" si="17"/>
        <v>0</v>
      </c>
      <c r="D405" s="5"/>
      <c r="E405" s="6">
        <f t="shared" si="18"/>
        <v>0</v>
      </c>
      <c r="F405" s="6">
        <f t="shared" si="19"/>
        <v>0</v>
      </c>
      <c r="G405" s="62"/>
      <c r="H405" s="62"/>
      <c r="I405" s="60"/>
      <c r="J405" s="60"/>
      <c r="K405" s="64"/>
      <c r="L405" s="64"/>
      <c r="M405" s="25"/>
      <c r="N405" s="25"/>
    </row>
    <row r="406" spans="1:14" hidden="1">
      <c r="A406" s="3" t="s">
        <v>770</v>
      </c>
      <c r="B406" s="4" t="s">
        <v>771</v>
      </c>
      <c r="C406" s="5">
        <f t="shared" si="17"/>
        <v>0</v>
      </c>
      <c r="D406" s="5"/>
      <c r="E406" s="6">
        <f t="shared" si="18"/>
        <v>0</v>
      </c>
      <c r="F406" s="6">
        <f t="shared" si="19"/>
        <v>0</v>
      </c>
      <c r="G406" s="62"/>
      <c r="H406" s="62"/>
      <c r="I406" s="60"/>
      <c r="J406" s="60"/>
      <c r="K406" s="64"/>
      <c r="L406" s="64"/>
      <c r="M406" s="25"/>
      <c r="N406" s="25"/>
    </row>
    <row r="407" spans="1:14" hidden="1">
      <c r="A407" s="3" t="s">
        <v>772</v>
      </c>
      <c r="B407" s="4" t="s">
        <v>773</v>
      </c>
      <c r="C407" s="5">
        <f t="shared" si="17"/>
        <v>0</v>
      </c>
      <c r="D407" s="5"/>
      <c r="E407" s="6">
        <f t="shared" si="18"/>
        <v>0</v>
      </c>
      <c r="F407" s="6">
        <f t="shared" si="19"/>
        <v>0</v>
      </c>
      <c r="G407" s="62"/>
      <c r="H407" s="62"/>
      <c r="I407" s="60"/>
      <c r="J407" s="60"/>
      <c r="K407" s="64"/>
      <c r="L407" s="64"/>
      <c r="M407" s="25"/>
      <c r="N407" s="25"/>
    </row>
    <row r="408" spans="1:14" hidden="1">
      <c r="A408" s="3" t="s">
        <v>774</v>
      </c>
      <c r="B408" s="4" t="s">
        <v>775</v>
      </c>
      <c r="C408" s="5">
        <f t="shared" si="17"/>
        <v>0</v>
      </c>
      <c r="D408" s="5"/>
      <c r="E408" s="6">
        <f t="shared" si="18"/>
        <v>0</v>
      </c>
      <c r="F408" s="6">
        <f t="shared" si="19"/>
        <v>0</v>
      </c>
      <c r="G408" s="62"/>
      <c r="H408" s="62"/>
      <c r="I408" s="60"/>
      <c r="J408" s="60"/>
      <c r="K408" s="64"/>
      <c r="L408" s="64"/>
      <c r="M408" s="25"/>
      <c r="N408" s="25"/>
    </row>
    <row r="409" spans="1:14" hidden="1">
      <c r="A409" s="3" t="s">
        <v>776</v>
      </c>
      <c r="B409" s="4" t="s">
        <v>777</v>
      </c>
      <c r="C409" s="5">
        <f t="shared" ref="C409:C461" si="20">E409-F409</f>
        <v>0</v>
      </c>
      <c r="D409" s="5"/>
      <c r="E409" s="6">
        <f t="shared" si="18"/>
        <v>0</v>
      </c>
      <c r="F409" s="6">
        <f t="shared" si="19"/>
        <v>0</v>
      </c>
      <c r="G409" s="62"/>
      <c r="H409" s="62"/>
      <c r="I409" s="60"/>
      <c r="J409" s="60"/>
      <c r="K409" s="64"/>
      <c r="L409" s="64"/>
      <c r="M409" s="25"/>
      <c r="N409" s="25"/>
    </row>
    <row r="410" spans="1:14" hidden="1">
      <c r="A410" s="3" t="s">
        <v>778</v>
      </c>
      <c r="B410" s="4" t="s">
        <v>779</v>
      </c>
      <c r="C410" s="5">
        <f t="shared" si="20"/>
        <v>0</v>
      </c>
      <c r="D410" s="5"/>
      <c r="E410" s="6">
        <f t="shared" si="18"/>
        <v>0</v>
      </c>
      <c r="F410" s="6">
        <f t="shared" si="19"/>
        <v>0</v>
      </c>
      <c r="G410" s="62"/>
      <c r="H410" s="62"/>
      <c r="I410" s="60"/>
      <c r="J410" s="60"/>
      <c r="K410" s="64"/>
      <c r="L410" s="64"/>
      <c r="M410" s="25"/>
      <c r="N410" s="25"/>
    </row>
    <row r="411" spans="1:14" hidden="1">
      <c r="A411" s="3" t="s">
        <v>780</v>
      </c>
      <c r="B411" s="4" t="s">
        <v>781</v>
      </c>
      <c r="C411" s="5">
        <f t="shared" si="20"/>
        <v>0</v>
      </c>
      <c r="D411" s="5"/>
      <c r="E411" s="6">
        <f t="shared" si="18"/>
        <v>0</v>
      </c>
      <c r="F411" s="6">
        <f t="shared" si="19"/>
        <v>0</v>
      </c>
      <c r="G411" s="62"/>
      <c r="H411" s="62"/>
      <c r="I411" s="60"/>
      <c r="J411" s="60"/>
      <c r="K411" s="64"/>
      <c r="L411" s="64"/>
      <c r="M411" s="25"/>
      <c r="N411" s="25"/>
    </row>
    <row r="412" spans="1:14" hidden="1">
      <c r="A412" s="3" t="s">
        <v>782</v>
      </c>
      <c r="B412" s="4" t="s">
        <v>783</v>
      </c>
      <c r="C412" s="5">
        <f t="shared" si="20"/>
        <v>0</v>
      </c>
      <c r="D412" s="5"/>
      <c r="E412" s="6">
        <f t="shared" si="18"/>
        <v>0</v>
      </c>
      <c r="F412" s="6">
        <f t="shared" si="19"/>
        <v>0</v>
      </c>
      <c r="G412" s="62"/>
      <c r="H412" s="62"/>
      <c r="I412" s="60"/>
      <c r="J412" s="60"/>
      <c r="K412" s="64"/>
      <c r="L412" s="64"/>
      <c r="M412" s="25"/>
      <c r="N412" s="25"/>
    </row>
    <row r="413" spans="1:14" hidden="1">
      <c r="A413" s="3" t="s">
        <v>784</v>
      </c>
      <c r="B413" s="4" t="s">
        <v>785</v>
      </c>
      <c r="C413" s="5">
        <f t="shared" si="20"/>
        <v>0</v>
      </c>
      <c r="D413" s="5"/>
      <c r="E413" s="6">
        <f t="shared" si="18"/>
        <v>0</v>
      </c>
      <c r="F413" s="6">
        <f t="shared" si="19"/>
        <v>0</v>
      </c>
      <c r="G413" s="62"/>
      <c r="H413" s="62"/>
      <c r="I413" s="60"/>
      <c r="J413" s="60"/>
      <c r="K413" s="64"/>
      <c r="L413" s="64"/>
      <c r="M413" s="25"/>
      <c r="N413" s="25"/>
    </row>
    <row r="414" spans="1:14" hidden="1">
      <c r="A414" s="3" t="s">
        <v>786</v>
      </c>
      <c r="B414" s="4" t="s">
        <v>787</v>
      </c>
      <c r="C414" s="5">
        <f t="shared" si="20"/>
        <v>0</v>
      </c>
      <c r="D414" s="5"/>
      <c r="E414" s="6">
        <f t="shared" si="18"/>
        <v>0</v>
      </c>
      <c r="F414" s="6">
        <f t="shared" si="19"/>
        <v>0</v>
      </c>
      <c r="G414" s="62"/>
      <c r="H414" s="62"/>
      <c r="I414" s="60"/>
      <c r="J414" s="60"/>
      <c r="K414" s="64"/>
      <c r="L414" s="64"/>
      <c r="M414" s="25"/>
      <c r="N414" s="25"/>
    </row>
    <row r="415" spans="1:14" hidden="1">
      <c r="A415" s="3" t="s">
        <v>788</v>
      </c>
      <c r="B415" s="4" t="s">
        <v>789</v>
      </c>
      <c r="C415" s="5">
        <f t="shared" si="20"/>
        <v>0</v>
      </c>
      <c r="D415" s="5"/>
      <c r="E415" s="6">
        <f t="shared" si="18"/>
        <v>0</v>
      </c>
      <c r="F415" s="6">
        <f t="shared" si="19"/>
        <v>0</v>
      </c>
      <c r="G415" s="62"/>
      <c r="H415" s="62"/>
      <c r="I415" s="60"/>
      <c r="J415" s="60"/>
      <c r="K415" s="64"/>
      <c r="L415" s="64"/>
      <c r="M415" s="25"/>
      <c r="N415" s="25"/>
    </row>
    <row r="416" spans="1:14" hidden="1">
      <c r="A416" s="3" t="s">
        <v>790</v>
      </c>
      <c r="B416" s="4" t="s">
        <v>791</v>
      </c>
      <c r="C416" s="5">
        <f t="shared" si="20"/>
        <v>0</v>
      </c>
      <c r="D416" s="5"/>
      <c r="E416" s="6">
        <f t="shared" si="18"/>
        <v>0</v>
      </c>
      <c r="F416" s="6">
        <f t="shared" si="19"/>
        <v>0</v>
      </c>
      <c r="G416" s="62"/>
      <c r="H416" s="62"/>
      <c r="I416" s="60"/>
      <c r="J416" s="60"/>
      <c r="K416" s="64"/>
      <c r="L416" s="64"/>
      <c r="M416" s="25"/>
      <c r="N416" s="25"/>
    </row>
    <row r="417" spans="1:14" hidden="1">
      <c r="A417" s="3" t="s">
        <v>792</v>
      </c>
      <c r="B417" s="4" t="s">
        <v>793</v>
      </c>
      <c r="C417" s="5">
        <f t="shared" si="20"/>
        <v>0</v>
      </c>
      <c r="D417" s="5"/>
      <c r="E417" s="6">
        <f t="shared" si="18"/>
        <v>0</v>
      </c>
      <c r="F417" s="6">
        <f t="shared" si="19"/>
        <v>0</v>
      </c>
      <c r="G417" s="62"/>
      <c r="H417" s="62"/>
      <c r="I417" s="60"/>
      <c r="J417" s="60"/>
      <c r="K417" s="64"/>
      <c r="L417" s="64"/>
      <c r="M417" s="25"/>
      <c r="N417" s="25"/>
    </row>
    <row r="418" spans="1:14" hidden="1">
      <c r="A418" s="3" t="s">
        <v>794</v>
      </c>
      <c r="B418" s="4" t="s">
        <v>795</v>
      </c>
      <c r="C418" s="5">
        <f t="shared" si="20"/>
        <v>0</v>
      </c>
      <c r="D418" s="5"/>
      <c r="E418" s="6">
        <f t="shared" si="18"/>
        <v>0</v>
      </c>
      <c r="F418" s="6">
        <f t="shared" si="19"/>
        <v>0</v>
      </c>
      <c r="G418" s="62"/>
      <c r="H418" s="62"/>
      <c r="I418" s="60"/>
      <c r="J418" s="60"/>
      <c r="K418" s="64"/>
      <c r="L418" s="64"/>
      <c r="M418" s="25"/>
      <c r="N418" s="25"/>
    </row>
    <row r="419" spans="1:14" hidden="1">
      <c r="A419" s="3" t="s">
        <v>796</v>
      </c>
      <c r="B419" s="4" t="s">
        <v>797</v>
      </c>
      <c r="C419" s="5">
        <f t="shared" si="20"/>
        <v>0</v>
      </c>
      <c r="D419" s="5"/>
      <c r="E419" s="6">
        <f t="shared" si="18"/>
        <v>0</v>
      </c>
      <c r="F419" s="6">
        <f t="shared" si="19"/>
        <v>0</v>
      </c>
      <c r="G419" s="62"/>
      <c r="H419" s="62"/>
      <c r="I419" s="60"/>
      <c r="J419" s="60"/>
      <c r="K419" s="64"/>
      <c r="L419" s="64"/>
      <c r="M419" s="25"/>
      <c r="N419" s="25"/>
    </row>
    <row r="420" spans="1:14" hidden="1">
      <c r="A420" s="3" t="s">
        <v>798</v>
      </c>
      <c r="B420" s="4" t="s">
        <v>799</v>
      </c>
      <c r="C420" s="5">
        <f t="shared" si="20"/>
        <v>0</v>
      </c>
      <c r="D420" s="5"/>
      <c r="E420" s="6">
        <f t="shared" si="18"/>
        <v>0</v>
      </c>
      <c r="F420" s="6">
        <f t="shared" si="19"/>
        <v>0</v>
      </c>
      <c r="G420" s="62"/>
      <c r="H420" s="62"/>
      <c r="I420" s="60"/>
      <c r="J420" s="60"/>
      <c r="K420" s="64"/>
      <c r="L420" s="64"/>
      <c r="M420" s="25"/>
      <c r="N420" s="25"/>
    </row>
    <row r="421" spans="1:14" hidden="1">
      <c r="A421" s="3" t="s">
        <v>800</v>
      </c>
      <c r="B421" s="4" t="s">
        <v>801</v>
      </c>
      <c r="C421" s="5">
        <f t="shared" si="20"/>
        <v>0</v>
      </c>
      <c r="D421" s="5"/>
      <c r="E421" s="6">
        <f t="shared" si="18"/>
        <v>0</v>
      </c>
      <c r="F421" s="6">
        <f t="shared" si="19"/>
        <v>0</v>
      </c>
      <c r="G421" s="62"/>
      <c r="H421" s="62"/>
      <c r="I421" s="60"/>
      <c r="J421" s="60"/>
      <c r="K421" s="64"/>
      <c r="L421" s="64"/>
      <c r="M421" s="25"/>
      <c r="N421" s="25"/>
    </row>
    <row r="422" spans="1:14" hidden="1">
      <c r="A422" s="3" t="s">
        <v>802</v>
      </c>
      <c r="B422" s="4" t="s">
        <v>803</v>
      </c>
      <c r="C422" s="5">
        <f t="shared" si="20"/>
        <v>0</v>
      </c>
      <c r="D422" s="5"/>
      <c r="E422" s="6">
        <f t="shared" si="18"/>
        <v>0</v>
      </c>
      <c r="F422" s="6">
        <f t="shared" si="19"/>
        <v>0</v>
      </c>
      <c r="G422" s="62"/>
      <c r="H422" s="62"/>
      <c r="I422" s="60"/>
      <c r="J422" s="60"/>
      <c r="K422" s="64"/>
      <c r="L422" s="64"/>
      <c r="M422" s="25"/>
      <c r="N422" s="25"/>
    </row>
    <row r="423" spans="1:14" hidden="1">
      <c r="A423" s="3" t="s">
        <v>804</v>
      </c>
      <c r="B423" s="4" t="s">
        <v>805</v>
      </c>
      <c r="C423" s="5">
        <f t="shared" si="20"/>
        <v>0</v>
      </c>
      <c r="D423" s="5"/>
      <c r="E423" s="6">
        <f t="shared" si="18"/>
        <v>0</v>
      </c>
      <c r="F423" s="6">
        <f t="shared" si="19"/>
        <v>0</v>
      </c>
      <c r="G423" s="62"/>
      <c r="H423" s="62"/>
      <c r="I423" s="60"/>
      <c r="J423" s="60"/>
      <c r="K423" s="64"/>
      <c r="L423" s="64"/>
      <c r="M423" s="25"/>
      <c r="N423" s="25"/>
    </row>
    <row r="424" spans="1:14" hidden="1">
      <c r="A424" s="3" t="s">
        <v>806</v>
      </c>
      <c r="B424" s="4" t="s">
        <v>807</v>
      </c>
      <c r="C424" s="5">
        <f t="shared" si="20"/>
        <v>0</v>
      </c>
      <c r="D424" s="5"/>
      <c r="E424" s="6">
        <f t="shared" si="18"/>
        <v>0</v>
      </c>
      <c r="F424" s="6">
        <f t="shared" si="19"/>
        <v>0</v>
      </c>
      <c r="G424" s="62"/>
      <c r="H424" s="62"/>
      <c r="I424" s="60"/>
      <c r="J424" s="60"/>
      <c r="K424" s="64"/>
      <c r="L424" s="64"/>
      <c r="M424" s="25"/>
      <c r="N424" s="25"/>
    </row>
    <row r="425" spans="1:14" hidden="1">
      <c r="A425" s="3" t="s">
        <v>808</v>
      </c>
      <c r="B425" s="4" t="s">
        <v>809</v>
      </c>
      <c r="C425" s="5">
        <f t="shared" si="20"/>
        <v>0</v>
      </c>
      <c r="D425" s="5"/>
      <c r="E425" s="6">
        <f t="shared" si="18"/>
        <v>0</v>
      </c>
      <c r="F425" s="6">
        <f t="shared" si="19"/>
        <v>0</v>
      </c>
      <c r="G425" s="62"/>
      <c r="H425" s="62"/>
      <c r="I425" s="60"/>
      <c r="J425" s="60"/>
      <c r="K425" s="64"/>
      <c r="L425" s="64"/>
      <c r="M425" s="25"/>
      <c r="N425" s="25"/>
    </row>
    <row r="426" spans="1:14" hidden="1">
      <c r="A426" s="3" t="s">
        <v>810</v>
      </c>
      <c r="B426" s="4" t="s">
        <v>811</v>
      </c>
      <c r="C426" s="5">
        <f t="shared" si="20"/>
        <v>0</v>
      </c>
      <c r="D426" s="5"/>
      <c r="E426" s="6">
        <f t="shared" si="18"/>
        <v>0</v>
      </c>
      <c r="F426" s="6">
        <f t="shared" si="19"/>
        <v>0</v>
      </c>
      <c r="G426" s="62"/>
      <c r="H426" s="62"/>
      <c r="I426" s="60"/>
      <c r="J426" s="60"/>
      <c r="K426" s="64"/>
      <c r="L426" s="64"/>
      <c r="M426" s="25"/>
      <c r="N426" s="25"/>
    </row>
    <row r="427" spans="1:14" hidden="1">
      <c r="A427" s="3" t="s">
        <v>812</v>
      </c>
      <c r="B427" s="4" t="s">
        <v>813</v>
      </c>
      <c r="C427" s="5">
        <f t="shared" si="20"/>
        <v>0</v>
      </c>
      <c r="D427" s="5"/>
      <c r="E427" s="6">
        <f t="shared" si="18"/>
        <v>0</v>
      </c>
      <c r="F427" s="6">
        <f t="shared" si="19"/>
        <v>0</v>
      </c>
      <c r="G427" s="62"/>
      <c r="H427" s="62"/>
      <c r="I427" s="60"/>
      <c r="J427" s="60"/>
      <c r="K427" s="64"/>
      <c r="L427" s="64"/>
      <c r="M427" s="25"/>
      <c r="N427" s="25"/>
    </row>
    <row r="428" spans="1:14" hidden="1">
      <c r="A428" s="3" t="s">
        <v>814</v>
      </c>
      <c r="B428" s="4" t="s">
        <v>815</v>
      </c>
      <c r="C428" s="5">
        <f t="shared" si="20"/>
        <v>0</v>
      </c>
      <c r="D428" s="5"/>
      <c r="E428" s="6">
        <f t="shared" si="18"/>
        <v>0</v>
      </c>
      <c r="F428" s="6">
        <f t="shared" si="19"/>
        <v>0</v>
      </c>
      <c r="G428" s="62"/>
      <c r="H428" s="62"/>
      <c r="I428" s="60"/>
      <c r="J428" s="60"/>
      <c r="K428" s="64"/>
      <c r="L428" s="64"/>
      <c r="M428" s="25"/>
      <c r="N428" s="25"/>
    </row>
    <row r="429" spans="1:14" hidden="1">
      <c r="A429" s="3" t="s">
        <v>816</v>
      </c>
      <c r="B429" s="4" t="s">
        <v>817</v>
      </c>
      <c r="C429" s="5">
        <f t="shared" si="20"/>
        <v>0</v>
      </c>
      <c r="D429" s="5"/>
      <c r="E429" s="6">
        <f t="shared" si="18"/>
        <v>0</v>
      </c>
      <c r="F429" s="6">
        <f t="shared" si="19"/>
        <v>0</v>
      </c>
      <c r="G429" s="62"/>
      <c r="H429" s="62"/>
      <c r="I429" s="60"/>
      <c r="J429" s="60"/>
      <c r="K429" s="64"/>
      <c r="L429" s="64"/>
      <c r="M429" s="25"/>
      <c r="N429" s="25"/>
    </row>
    <row r="430" spans="1:14" hidden="1">
      <c r="A430" s="3" t="s">
        <v>818</v>
      </c>
      <c r="B430" s="4" t="s">
        <v>819</v>
      </c>
      <c r="C430" s="5">
        <f t="shared" si="20"/>
        <v>0</v>
      </c>
      <c r="D430" s="5"/>
      <c r="E430" s="6">
        <f t="shared" si="18"/>
        <v>0</v>
      </c>
      <c r="F430" s="6">
        <f t="shared" si="19"/>
        <v>0</v>
      </c>
      <c r="G430" s="62"/>
      <c r="H430" s="62"/>
      <c r="I430" s="60"/>
      <c r="J430" s="60"/>
      <c r="K430" s="64"/>
      <c r="L430" s="64"/>
      <c r="M430" s="25"/>
      <c r="N430" s="25"/>
    </row>
    <row r="431" spans="1:14" hidden="1">
      <c r="A431" s="3" t="s">
        <v>820</v>
      </c>
      <c r="B431" s="4" t="s">
        <v>821</v>
      </c>
      <c r="C431" s="5">
        <f t="shared" si="20"/>
        <v>0</v>
      </c>
      <c r="D431" s="5"/>
      <c r="E431" s="6">
        <f t="shared" si="18"/>
        <v>0</v>
      </c>
      <c r="F431" s="6">
        <f t="shared" si="19"/>
        <v>0</v>
      </c>
      <c r="G431" s="62"/>
      <c r="H431" s="62"/>
      <c r="I431" s="60"/>
      <c r="J431" s="60"/>
      <c r="K431" s="64"/>
      <c r="L431" s="64"/>
      <c r="M431" s="25"/>
      <c r="N431" s="25"/>
    </row>
    <row r="432" spans="1:14" hidden="1">
      <c r="A432" s="3" t="s">
        <v>822</v>
      </c>
      <c r="B432" s="4" t="s">
        <v>823</v>
      </c>
      <c r="C432" s="5">
        <f t="shared" si="20"/>
        <v>0</v>
      </c>
      <c r="D432" s="5"/>
      <c r="E432" s="6">
        <f t="shared" si="18"/>
        <v>0</v>
      </c>
      <c r="F432" s="6">
        <f t="shared" si="19"/>
        <v>0</v>
      </c>
      <c r="G432" s="62"/>
      <c r="H432" s="62"/>
      <c r="I432" s="60"/>
      <c r="J432" s="60"/>
      <c r="K432" s="64"/>
      <c r="L432" s="64"/>
      <c r="M432" s="25"/>
      <c r="N432" s="25"/>
    </row>
    <row r="433" spans="1:14" hidden="1">
      <c r="A433" s="3" t="s">
        <v>824</v>
      </c>
      <c r="B433" s="4" t="s">
        <v>825</v>
      </c>
      <c r="C433" s="5">
        <f t="shared" si="20"/>
        <v>0</v>
      </c>
      <c r="D433" s="5"/>
      <c r="E433" s="6">
        <f t="shared" si="18"/>
        <v>0</v>
      </c>
      <c r="F433" s="6">
        <f t="shared" si="19"/>
        <v>0</v>
      </c>
      <c r="G433" s="62"/>
      <c r="H433" s="62"/>
      <c r="I433" s="60"/>
      <c r="J433" s="60"/>
      <c r="K433" s="64"/>
      <c r="L433" s="64"/>
      <c r="M433" s="25"/>
      <c r="N433" s="25"/>
    </row>
    <row r="434" spans="1:14" hidden="1">
      <c r="A434" s="3" t="s">
        <v>826</v>
      </c>
      <c r="B434" s="4" t="s">
        <v>827</v>
      </c>
      <c r="C434" s="5">
        <f t="shared" si="20"/>
        <v>0</v>
      </c>
      <c r="D434" s="5"/>
      <c r="E434" s="6">
        <f t="shared" si="18"/>
        <v>0</v>
      </c>
      <c r="F434" s="6">
        <f t="shared" si="19"/>
        <v>0</v>
      </c>
      <c r="G434" s="62"/>
      <c r="H434" s="62"/>
      <c r="I434" s="60"/>
      <c r="J434" s="60"/>
      <c r="K434" s="64"/>
      <c r="L434" s="64"/>
      <c r="M434" s="25"/>
      <c r="N434" s="25"/>
    </row>
    <row r="435" spans="1:14" hidden="1">
      <c r="A435" s="3" t="s">
        <v>828</v>
      </c>
      <c r="B435" s="4" t="s">
        <v>829</v>
      </c>
      <c r="C435" s="5">
        <f t="shared" si="20"/>
        <v>0</v>
      </c>
      <c r="D435" s="5"/>
      <c r="E435" s="6">
        <f t="shared" si="18"/>
        <v>0</v>
      </c>
      <c r="F435" s="6">
        <f t="shared" si="19"/>
        <v>0</v>
      </c>
      <c r="G435" s="62"/>
      <c r="H435" s="62"/>
      <c r="I435" s="60"/>
      <c r="J435" s="60"/>
      <c r="K435" s="64"/>
      <c r="L435" s="64"/>
      <c r="M435" s="25"/>
      <c r="N435" s="25"/>
    </row>
    <row r="436" spans="1:14" hidden="1">
      <c r="A436" s="3" t="s">
        <v>830</v>
      </c>
      <c r="B436" s="4" t="s">
        <v>831</v>
      </c>
      <c r="C436" s="5">
        <f t="shared" si="20"/>
        <v>0</v>
      </c>
      <c r="D436" s="5"/>
      <c r="E436" s="6">
        <f t="shared" si="18"/>
        <v>0</v>
      </c>
      <c r="F436" s="6">
        <f t="shared" si="19"/>
        <v>0</v>
      </c>
      <c r="G436" s="62"/>
      <c r="H436" s="62"/>
      <c r="I436" s="60"/>
      <c r="J436" s="60"/>
      <c r="K436" s="64"/>
      <c r="L436" s="64"/>
      <c r="M436" s="25"/>
      <c r="N436" s="25"/>
    </row>
    <row r="437" spans="1:14" hidden="1">
      <c r="A437" s="3" t="s">
        <v>832</v>
      </c>
      <c r="B437" s="4" t="s">
        <v>833</v>
      </c>
      <c r="C437" s="5">
        <f t="shared" si="20"/>
        <v>0</v>
      </c>
      <c r="D437" s="5"/>
      <c r="E437" s="6">
        <f t="shared" si="18"/>
        <v>0</v>
      </c>
      <c r="F437" s="6">
        <f t="shared" si="19"/>
        <v>0</v>
      </c>
      <c r="G437" s="62"/>
      <c r="H437" s="62"/>
      <c r="I437" s="60"/>
      <c r="J437" s="60"/>
      <c r="K437" s="64"/>
      <c r="L437" s="64"/>
      <c r="M437" s="25"/>
      <c r="N437" s="25"/>
    </row>
    <row r="438" spans="1:14" hidden="1">
      <c r="A438" s="3" t="s">
        <v>834</v>
      </c>
      <c r="B438" s="4" t="s">
        <v>835</v>
      </c>
      <c r="C438" s="5">
        <f t="shared" si="20"/>
        <v>0</v>
      </c>
      <c r="D438" s="5"/>
      <c r="E438" s="6">
        <f t="shared" si="18"/>
        <v>0</v>
      </c>
      <c r="F438" s="6">
        <f t="shared" si="19"/>
        <v>0</v>
      </c>
      <c r="G438" s="62"/>
      <c r="H438" s="62"/>
      <c r="I438" s="60"/>
      <c r="J438" s="60"/>
      <c r="K438" s="64"/>
      <c r="L438" s="64"/>
      <c r="M438" s="25"/>
      <c r="N438" s="25"/>
    </row>
    <row r="439" spans="1:14" hidden="1">
      <c r="A439" s="3" t="s">
        <v>836</v>
      </c>
      <c r="B439" s="4" t="s">
        <v>837</v>
      </c>
      <c r="C439" s="5">
        <f t="shared" si="20"/>
        <v>0</v>
      </c>
      <c r="D439" s="5"/>
      <c r="E439" s="6">
        <f t="shared" si="18"/>
        <v>0</v>
      </c>
      <c r="F439" s="6">
        <f t="shared" si="19"/>
        <v>0</v>
      </c>
      <c r="G439" s="62"/>
      <c r="H439" s="62"/>
      <c r="I439" s="60"/>
      <c r="J439" s="60"/>
      <c r="K439" s="64"/>
      <c r="L439" s="64"/>
      <c r="M439" s="25"/>
      <c r="N439" s="25"/>
    </row>
    <row r="440" spans="1:14" hidden="1">
      <c r="A440" s="3" t="s">
        <v>838</v>
      </c>
      <c r="B440" s="4" t="s">
        <v>839</v>
      </c>
      <c r="C440" s="5">
        <f t="shared" si="20"/>
        <v>0</v>
      </c>
      <c r="D440" s="5"/>
      <c r="E440" s="6">
        <f t="shared" si="18"/>
        <v>0</v>
      </c>
      <c r="F440" s="6">
        <f t="shared" si="19"/>
        <v>0</v>
      </c>
      <c r="G440" s="62"/>
      <c r="H440" s="62"/>
      <c r="I440" s="60"/>
      <c r="J440" s="60"/>
      <c r="K440" s="64"/>
      <c r="L440" s="64"/>
      <c r="M440" s="25"/>
      <c r="N440" s="25"/>
    </row>
    <row r="441" spans="1:14" hidden="1">
      <c r="A441" s="3" t="s">
        <v>840</v>
      </c>
      <c r="B441" s="4" t="s">
        <v>841</v>
      </c>
      <c r="C441" s="5">
        <f t="shared" si="20"/>
        <v>0</v>
      </c>
      <c r="D441" s="5"/>
      <c r="E441" s="6">
        <f t="shared" si="18"/>
        <v>0</v>
      </c>
      <c r="F441" s="6">
        <f t="shared" si="19"/>
        <v>0</v>
      </c>
      <c r="G441" s="62"/>
      <c r="H441" s="62"/>
      <c r="I441" s="60"/>
      <c r="J441" s="60"/>
      <c r="K441" s="64"/>
      <c r="L441" s="64"/>
      <c r="M441" s="25"/>
      <c r="N441" s="25"/>
    </row>
    <row r="442" spans="1:14" hidden="1">
      <c r="A442" s="3" t="s">
        <v>842</v>
      </c>
      <c r="B442" s="4" t="s">
        <v>843</v>
      </c>
      <c r="C442" s="5">
        <f t="shared" si="20"/>
        <v>0</v>
      </c>
      <c r="D442" s="5"/>
      <c r="E442" s="6">
        <f t="shared" si="18"/>
        <v>0</v>
      </c>
      <c r="F442" s="6">
        <f t="shared" si="19"/>
        <v>0</v>
      </c>
      <c r="G442" s="62"/>
      <c r="H442" s="62"/>
      <c r="I442" s="60"/>
      <c r="J442" s="60"/>
      <c r="K442" s="64"/>
      <c r="L442" s="64"/>
      <c r="M442" s="25"/>
      <c r="N442" s="25"/>
    </row>
    <row r="443" spans="1:14" hidden="1">
      <c r="A443" s="3" t="s">
        <v>844</v>
      </c>
      <c r="B443" s="4" t="s">
        <v>845</v>
      </c>
      <c r="C443" s="5">
        <f t="shared" si="20"/>
        <v>0</v>
      </c>
      <c r="D443" s="5"/>
      <c r="E443" s="6">
        <f t="shared" si="18"/>
        <v>0</v>
      </c>
      <c r="F443" s="6">
        <f t="shared" si="19"/>
        <v>0</v>
      </c>
      <c r="G443" s="62"/>
      <c r="H443" s="62"/>
      <c r="I443" s="60"/>
      <c r="J443" s="60"/>
      <c r="K443" s="64"/>
      <c r="L443" s="64"/>
      <c r="M443" s="25"/>
      <c r="N443" s="25"/>
    </row>
    <row r="444" spans="1:14" hidden="1">
      <c r="A444" s="3" t="s">
        <v>846</v>
      </c>
      <c r="B444" s="4" t="s">
        <v>847</v>
      </c>
      <c r="C444" s="5">
        <f t="shared" si="20"/>
        <v>0</v>
      </c>
      <c r="D444" s="5"/>
      <c r="E444" s="6">
        <f t="shared" si="18"/>
        <v>0</v>
      </c>
      <c r="F444" s="6">
        <f t="shared" si="19"/>
        <v>0</v>
      </c>
      <c r="G444" s="62"/>
      <c r="H444" s="62"/>
      <c r="I444" s="60"/>
      <c r="J444" s="60"/>
      <c r="K444" s="64"/>
      <c r="L444" s="64"/>
      <c r="M444" s="25"/>
      <c r="N444" s="25"/>
    </row>
    <row r="445" spans="1:14" hidden="1">
      <c r="A445" s="3" t="s">
        <v>848</v>
      </c>
      <c r="B445" s="4" t="s">
        <v>849</v>
      </c>
      <c r="C445" s="5">
        <f t="shared" si="20"/>
        <v>0</v>
      </c>
      <c r="D445" s="5"/>
      <c r="E445" s="6">
        <f t="shared" si="18"/>
        <v>0</v>
      </c>
      <c r="F445" s="6">
        <f t="shared" si="19"/>
        <v>0</v>
      </c>
      <c r="G445" s="62"/>
      <c r="H445" s="62"/>
      <c r="I445" s="60"/>
      <c r="J445" s="60"/>
      <c r="K445" s="64"/>
      <c r="L445" s="64"/>
      <c r="M445" s="25"/>
      <c r="N445" s="25"/>
    </row>
    <row r="446" spans="1:14" hidden="1">
      <c r="A446" s="3" t="s">
        <v>850</v>
      </c>
      <c r="B446" s="4" t="s">
        <v>851</v>
      </c>
      <c r="C446" s="5">
        <f t="shared" si="20"/>
        <v>0</v>
      </c>
      <c r="D446" s="5"/>
      <c r="E446" s="6">
        <f t="shared" si="18"/>
        <v>0</v>
      </c>
      <c r="F446" s="6">
        <f t="shared" si="19"/>
        <v>0</v>
      </c>
      <c r="G446" s="62"/>
      <c r="H446" s="62"/>
      <c r="I446" s="60"/>
      <c r="J446" s="60"/>
      <c r="K446" s="64"/>
      <c r="L446" s="64"/>
      <c r="M446" s="25"/>
      <c r="N446" s="25"/>
    </row>
    <row r="447" spans="1:14" hidden="1">
      <c r="A447" s="3" t="s">
        <v>852</v>
      </c>
      <c r="B447" s="4" t="s">
        <v>853</v>
      </c>
      <c r="C447" s="5">
        <f t="shared" si="20"/>
        <v>0</v>
      </c>
      <c r="D447" s="5"/>
      <c r="E447" s="6">
        <f t="shared" si="18"/>
        <v>0</v>
      </c>
      <c r="F447" s="6">
        <f t="shared" si="19"/>
        <v>0</v>
      </c>
      <c r="G447" s="62"/>
      <c r="H447" s="62"/>
      <c r="I447" s="60"/>
      <c r="J447" s="60"/>
      <c r="K447" s="64"/>
      <c r="L447" s="64"/>
      <c r="M447" s="25"/>
      <c r="N447" s="25"/>
    </row>
    <row r="448" spans="1:14" hidden="1">
      <c r="A448" s="3" t="s">
        <v>854</v>
      </c>
      <c r="B448" s="4">
        <v>954</v>
      </c>
      <c r="C448" s="5">
        <f t="shared" si="20"/>
        <v>0</v>
      </c>
      <c r="D448" s="5"/>
      <c r="E448" s="6">
        <f t="shared" si="18"/>
        <v>0</v>
      </c>
      <c r="F448" s="6">
        <f t="shared" si="19"/>
        <v>0</v>
      </c>
      <c r="G448" s="62"/>
      <c r="H448" s="62"/>
      <c r="I448" s="60"/>
      <c r="J448" s="60"/>
      <c r="K448" s="64"/>
      <c r="L448" s="64"/>
      <c r="M448" s="25"/>
      <c r="N448" s="25"/>
    </row>
    <row r="449" spans="1:14" hidden="1">
      <c r="A449" s="3" t="s">
        <v>855</v>
      </c>
      <c r="B449" s="4">
        <v>955</v>
      </c>
      <c r="C449" s="5">
        <f t="shared" si="20"/>
        <v>0</v>
      </c>
      <c r="D449" s="5"/>
      <c r="E449" s="6">
        <f t="shared" si="18"/>
        <v>0</v>
      </c>
      <c r="F449" s="6">
        <f t="shared" si="19"/>
        <v>0</v>
      </c>
      <c r="G449" s="62"/>
      <c r="H449" s="62"/>
      <c r="I449" s="60"/>
      <c r="J449" s="60"/>
      <c r="K449" s="64"/>
      <c r="L449" s="64"/>
      <c r="M449" s="25"/>
      <c r="N449" s="25"/>
    </row>
    <row r="450" spans="1:14" hidden="1">
      <c r="A450" s="3" t="s">
        <v>856</v>
      </c>
      <c r="B450" s="4" t="s">
        <v>857</v>
      </c>
      <c r="C450" s="5">
        <f t="shared" si="20"/>
        <v>0</v>
      </c>
      <c r="D450" s="5"/>
      <c r="E450" s="6">
        <f t="shared" si="18"/>
        <v>0</v>
      </c>
      <c r="F450" s="6">
        <f t="shared" si="19"/>
        <v>0</v>
      </c>
      <c r="G450" s="62"/>
      <c r="H450" s="62"/>
      <c r="I450" s="60"/>
      <c r="J450" s="60"/>
      <c r="K450" s="64"/>
      <c r="L450" s="64"/>
      <c r="M450" s="25"/>
      <c r="N450" s="25"/>
    </row>
    <row r="451" spans="1:14" hidden="1">
      <c r="A451" s="3" t="s">
        <v>858</v>
      </c>
      <c r="B451" s="4" t="s">
        <v>859</v>
      </c>
      <c r="C451" s="5">
        <f t="shared" si="20"/>
        <v>0</v>
      </c>
      <c r="D451" s="5"/>
      <c r="E451" s="6">
        <f t="shared" si="18"/>
        <v>0</v>
      </c>
      <c r="F451" s="6">
        <f t="shared" si="19"/>
        <v>0</v>
      </c>
      <c r="G451" s="62"/>
      <c r="H451" s="62"/>
      <c r="I451" s="60"/>
      <c r="J451" s="60"/>
      <c r="K451" s="64"/>
      <c r="L451" s="64"/>
      <c r="M451" s="25"/>
      <c r="N451" s="25"/>
    </row>
    <row r="452" spans="1:14" hidden="1">
      <c r="A452" s="3" t="s">
        <v>860</v>
      </c>
      <c r="B452" s="4" t="s">
        <v>861</v>
      </c>
      <c r="C452" s="5">
        <f t="shared" si="20"/>
        <v>0</v>
      </c>
      <c r="D452" s="5"/>
      <c r="E452" s="6">
        <f t="shared" si="18"/>
        <v>0</v>
      </c>
      <c r="F452" s="6">
        <f t="shared" si="19"/>
        <v>0</v>
      </c>
      <c r="G452" s="62"/>
      <c r="H452" s="62"/>
      <c r="I452" s="60"/>
      <c r="J452" s="60"/>
      <c r="K452" s="64"/>
      <c r="L452" s="64"/>
      <c r="M452" s="25"/>
      <c r="N452" s="25"/>
    </row>
    <row r="453" spans="1:14" hidden="1">
      <c r="A453" s="3" t="s">
        <v>862</v>
      </c>
      <c r="B453" s="4" t="s">
        <v>863</v>
      </c>
      <c r="C453" s="5">
        <f t="shared" si="20"/>
        <v>0</v>
      </c>
      <c r="D453" s="5"/>
      <c r="E453" s="6">
        <f t="shared" si="18"/>
        <v>0</v>
      </c>
      <c r="F453" s="6">
        <f t="shared" si="19"/>
        <v>0</v>
      </c>
      <c r="G453" s="62"/>
      <c r="H453" s="62"/>
      <c r="I453" s="60"/>
      <c r="J453" s="60"/>
      <c r="K453" s="64"/>
      <c r="L453" s="64"/>
      <c r="M453" s="25"/>
      <c r="N453" s="25"/>
    </row>
    <row r="454" spans="1:14" hidden="1">
      <c r="A454" s="3" t="s">
        <v>864</v>
      </c>
      <c r="B454" s="4" t="s">
        <v>865</v>
      </c>
      <c r="C454" s="5">
        <f t="shared" si="20"/>
        <v>0</v>
      </c>
      <c r="D454" s="5"/>
      <c r="E454" s="6">
        <f t="shared" si="18"/>
        <v>0</v>
      </c>
      <c r="F454" s="6">
        <f t="shared" si="19"/>
        <v>0</v>
      </c>
      <c r="G454" s="62"/>
      <c r="H454" s="62"/>
      <c r="I454" s="60"/>
      <c r="J454" s="60"/>
      <c r="K454" s="64"/>
      <c r="L454" s="64"/>
      <c r="M454" s="25"/>
      <c r="N454" s="25"/>
    </row>
    <row r="455" spans="1:14" hidden="1">
      <c r="A455" s="3" t="s">
        <v>866</v>
      </c>
      <c r="B455" s="4" t="s">
        <v>867</v>
      </c>
      <c r="C455" s="5">
        <f t="shared" si="20"/>
        <v>0</v>
      </c>
      <c r="D455" s="5"/>
      <c r="E455" s="6">
        <f t="shared" si="18"/>
        <v>0</v>
      </c>
      <c r="F455" s="6">
        <f t="shared" si="19"/>
        <v>0</v>
      </c>
      <c r="G455" s="62"/>
      <c r="H455" s="62"/>
      <c r="I455" s="60"/>
      <c r="J455" s="60"/>
      <c r="K455" s="64"/>
      <c r="L455" s="64"/>
      <c r="M455" s="25"/>
      <c r="N455" s="25"/>
    </row>
    <row r="456" spans="1:14" hidden="1">
      <c r="A456" s="3" t="s">
        <v>868</v>
      </c>
      <c r="B456" s="4" t="s">
        <v>869</v>
      </c>
      <c r="C456" s="5">
        <f t="shared" si="20"/>
        <v>0</v>
      </c>
      <c r="D456" s="5"/>
      <c r="E456" s="6">
        <f t="shared" si="18"/>
        <v>0</v>
      </c>
      <c r="F456" s="6">
        <f t="shared" si="19"/>
        <v>0</v>
      </c>
      <c r="G456" s="62"/>
      <c r="H456" s="62"/>
      <c r="I456" s="60"/>
      <c r="J456" s="60"/>
      <c r="K456" s="64"/>
      <c r="L456" s="64"/>
      <c r="M456" s="25"/>
      <c r="N456" s="25"/>
    </row>
    <row r="457" spans="1:14" hidden="1">
      <c r="A457" s="3" t="s">
        <v>870</v>
      </c>
      <c r="B457" s="4" t="s">
        <v>871</v>
      </c>
      <c r="C457" s="5">
        <f t="shared" si="20"/>
        <v>0</v>
      </c>
      <c r="D457" s="5"/>
      <c r="E457" s="6">
        <f t="shared" si="18"/>
        <v>0</v>
      </c>
      <c r="F457" s="6">
        <f t="shared" si="19"/>
        <v>0</v>
      </c>
      <c r="G457" s="62"/>
      <c r="H457" s="62"/>
      <c r="I457" s="60"/>
      <c r="J457" s="60"/>
      <c r="K457" s="64"/>
      <c r="L457" s="64"/>
      <c r="M457" s="25"/>
      <c r="N457" s="25"/>
    </row>
    <row r="458" spans="1:14" hidden="1">
      <c r="A458" s="3" t="s">
        <v>872</v>
      </c>
      <c r="B458" s="4" t="s">
        <v>873</v>
      </c>
      <c r="C458" s="5">
        <f t="shared" si="20"/>
        <v>0</v>
      </c>
      <c r="D458" s="5"/>
      <c r="E458" s="6">
        <f t="shared" si="18"/>
        <v>0</v>
      </c>
      <c r="F458" s="6">
        <f t="shared" si="19"/>
        <v>0</v>
      </c>
      <c r="G458" s="62"/>
      <c r="H458" s="62"/>
      <c r="I458" s="60"/>
      <c r="J458" s="60"/>
      <c r="K458" s="64"/>
      <c r="L458" s="64"/>
      <c r="M458" s="25"/>
      <c r="N458" s="25"/>
    </row>
    <row r="459" spans="1:14" s="67" customFormat="1" ht="15" hidden="1">
      <c r="A459" s="3" t="s">
        <v>874</v>
      </c>
      <c r="B459" s="4" t="s">
        <v>875</v>
      </c>
      <c r="C459" s="5">
        <f t="shared" si="20"/>
        <v>0</v>
      </c>
      <c r="D459" s="5"/>
      <c r="E459" s="6">
        <f t="shared" si="18"/>
        <v>0</v>
      </c>
      <c r="F459" s="6">
        <f t="shared" si="19"/>
        <v>0</v>
      </c>
      <c r="G459" s="62"/>
      <c r="H459" s="62"/>
      <c r="I459" s="60"/>
      <c r="J459" s="60"/>
      <c r="K459" s="64"/>
      <c r="L459" s="64"/>
      <c r="M459" s="25"/>
      <c r="N459" s="25"/>
    </row>
    <row r="460" spans="1:14" hidden="1">
      <c r="A460" s="3" t="s">
        <v>876</v>
      </c>
      <c r="B460" s="4" t="s">
        <v>877</v>
      </c>
      <c r="C460" s="5">
        <f t="shared" si="20"/>
        <v>0</v>
      </c>
      <c r="D460" s="5"/>
      <c r="E460" s="6">
        <f t="shared" si="18"/>
        <v>0</v>
      </c>
      <c r="F460" s="6">
        <f t="shared" si="19"/>
        <v>0</v>
      </c>
      <c r="G460" s="62"/>
      <c r="H460" s="62"/>
      <c r="I460" s="60"/>
      <c r="J460" s="60"/>
      <c r="K460" s="64"/>
      <c r="L460" s="64"/>
      <c r="M460" s="25"/>
      <c r="N460" s="25"/>
    </row>
    <row r="461" spans="1:14" s="1" customFormat="1" hidden="1">
      <c r="A461" s="3" t="s">
        <v>878</v>
      </c>
      <c r="B461" s="4" t="s">
        <v>879</v>
      </c>
      <c r="C461" s="5">
        <f t="shared" si="20"/>
        <v>0</v>
      </c>
      <c r="D461" s="5"/>
      <c r="E461" s="6">
        <f t="shared" si="18"/>
        <v>0</v>
      </c>
      <c r="F461" s="6">
        <f t="shared" si="19"/>
        <v>0</v>
      </c>
      <c r="G461" s="62"/>
      <c r="H461" s="62"/>
      <c r="I461" s="60"/>
      <c r="J461" s="60"/>
      <c r="K461" s="64"/>
      <c r="L461" s="64"/>
      <c r="M461" s="25"/>
      <c r="N461" s="25"/>
    </row>
    <row r="462" spans="1:14" ht="17.25">
      <c r="A462" s="13" t="s">
        <v>880</v>
      </c>
      <c r="B462" s="14"/>
      <c r="C462" s="15">
        <f>SUM(C13:C461)</f>
        <v>216142656.04999998</v>
      </c>
      <c r="D462" s="15">
        <f>SUM(D13:D461)</f>
        <v>216142656.04999998</v>
      </c>
      <c r="E462" s="16">
        <f>SUM(E13:E461)</f>
        <v>216142656.04999998</v>
      </c>
      <c r="F462" s="16">
        <f>SUM(F13:F461)</f>
        <v>216142656.04999998</v>
      </c>
      <c r="G462" s="71">
        <f>SUM(G13:G461)</f>
        <v>216142656.04999998</v>
      </c>
      <c r="H462" s="71">
        <f t="shared" ref="H462:N462" si="21">SUM(H13:H461)</f>
        <v>216142656.04999998</v>
      </c>
      <c r="I462" s="72">
        <f t="shared" si="21"/>
        <v>0</v>
      </c>
      <c r="J462" s="72">
        <f t="shared" si="21"/>
        <v>0</v>
      </c>
      <c r="K462" s="73">
        <f t="shared" si="21"/>
        <v>0</v>
      </c>
      <c r="L462" s="73">
        <f t="shared" si="21"/>
        <v>0</v>
      </c>
      <c r="M462" s="74">
        <f t="shared" si="21"/>
        <v>0</v>
      </c>
      <c r="N462" s="74">
        <f t="shared" si="21"/>
        <v>0</v>
      </c>
    </row>
    <row r="463" spans="1:14" hidden="1">
      <c r="A463" s="17" t="s">
        <v>881</v>
      </c>
      <c r="B463" s="18"/>
    </row>
    <row r="464" spans="1:14" hidden="1">
      <c r="A464" s="20" t="s">
        <v>882</v>
      </c>
      <c r="B464" s="21"/>
    </row>
    <row r="465" spans="1:14" hidden="1">
      <c r="A465" s="20" t="s">
        <v>883</v>
      </c>
      <c r="B465" s="21"/>
    </row>
    <row r="466" spans="1:14" hidden="1">
      <c r="A466" s="22" t="s">
        <v>884</v>
      </c>
      <c r="B466" s="21"/>
    </row>
    <row r="467" spans="1:14" hidden="1">
      <c r="A467" s="22" t="s">
        <v>885</v>
      </c>
      <c r="B467" s="21"/>
    </row>
    <row r="468" spans="1:14" hidden="1">
      <c r="A468" s="20" t="s">
        <v>886</v>
      </c>
      <c r="B468" s="21"/>
    </row>
    <row r="469" spans="1:14" hidden="1">
      <c r="A469" s="20" t="s">
        <v>887</v>
      </c>
      <c r="B469" s="21"/>
    </row>
    <row r="470" spans="1:14" hidden="1">
      <c r="A470" s="20" t="s">
        <v>888</v>
      </c>
      <c r="B470" s="21"/>
    </row>
    <row r="471" spans="1:14" hidden="1">
      <c r="A471" s="22" t="s">
        <v>889</v>
      </c>
      <c r="B471" s="21"/>
    </row>
    <row r="472" spans="1:14" hidden="1">
      <c r="A472" s="22" t="s">
        <v>890</v>
      </c>
      <c r="B472" s="21"/>
    </row>
    <row r="473" spans="1:14" hidden="1">
      <c r="A473" s="20" t="s">
        <v>891</v>
      </c>
      <c r="B473" s="21"/>
    </row>
    <row r="474" spans="1:14" hidden="1">
      <c r="A474" s="20" t="s">
        <v>892</v>
      </c>
      <c r="B474" s="21"/>
    </row>
    <row r="475" spans="1:14">
      <c r="A475" s="23"/>
      <c r="B475" s="24"/>
      <c r="D475" s="19">
        <f>D462-C462</f>
        <v>0</v>
      </c>
      <c r="F475" s="19">
        <f>F462-E462</f>
        <v>0</v>
      </c>
      <c r="H475" s="19">
        <f>H462-G462</f>
        <v>0</v>
      </c>
      <c r="J475" s="19">
        <f>J462-I462</f>
        <v>0</v>
      </c>
      <c r="L475" s="19">
        <f>L462-K462</f>
        <v>0</v>
      </c>
      <c r="N475" s="19">
        <f>N462-M462</f>
        <v>0</v>
      </c>
    </row>
    <row r="476" spans="1:14">
      <c r="A476" s="23"/>
      <c r="B476" s="24"/>
    </row>
    <row r="477" spans="1:14">
      <c r="A477" s="23"/>
      <c r="B477" s="24"/>
    </row>
    <row r="478" spans="1:14">
      <c r="A478" s="23"/>
      <c r="B478" s="75" t="s">
        <v>893</v>
      </c>
    </row>
    <row r="479" spans="1:14">
      <c r="A479" s="23"/>
      <c r="B479" s="24"/>
    </row>
    <row r="480" spans="1:14">
      <c r="A480" s="23"/>
      <c r="B480" s="24"/>
    </row>
    <row r="481" spans="1:2">
      <c r="A481" s="23"/>
      <c r="B481" s="24"/>
    </row>
    <row r="482" spans="1:2">
      <c r="A482" s="23"/>
      <c r="B482" s="24"/>
    </row>
    <row r="483" spans="1:2">
      <c r="A483" s="23"/>
      <c r="B483" s="24"/>
    </row>
  </sheetData>
  <mergeCells count="28">
    <mergeCell ref="M9:N10"/>
    <mergeCell ref="N11:N12"/>
    <mergeCell ref="M11:M12"/>
    <mergeCell ref="E9:F10"/>
    <mergeCell ref="I9:J10"/>
    <mergeCell ref="I11:I12"/>
    <mergeCell ref="J11:J12"/>
    <mergeCell ref="K9:L10"/>
    <mergeCell ref="L11:L12"/>
    <mergeCell ref="K11:K12"/>
    <mergeCell ref="G9:H10"/>
    <mergeCell ref="G11:G12"/>
    <mergeCell ref="H11:H12"/>
    <mergeCell ref="F11:F12"/>
    <mergeCell ref="A11:A12"/>
    <mergeCell ref="B11:B12"/>
    <mergeCell ref="C11:C12"/>
    <mergeCell ref="D11:D12"/>
    <mergeCell ref="E11:E12"/>
    <mergeCell ref="A7:D7"/>
    <mergeCell ref="A8:D8"/>
    <mergeCell ref="C10:D10"/>
    <mergeCell ref="A1:D1"/>
    <mergeCell ref="A2:D2"/>
    <mergeCell ref="A3:D3"/>
    <mergeCell ref="A4:D4"/>
    <mergeCell ref="A5:D5"/>
    <mergeCell ref="A6:D6"/>
  </mergeCells>
  <printOptions horizontalCentered="1"/>
  <pageMargins left="1" right="1" top="1" bottom="1" header="0.5" footer="0.5"/>
  <pageSetup paperSize="149" scale="8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</sheetPr>
  <dimension ref="A1:N483"/>
  <sheetViews>
    <sheetView workbookViewId="0">
      <selection sqref="A1:D1"/>
    </sheetView>
  </sheetViews>
  <sheetFormatPr defaultRowHeight="14.25"/>
  <cols>
    <col min="1" max="1" width="49.7109375" style="19" customWidth="1"/>
    <col min="2" max="2" width="9.7109375" style="69" customWidth="1"/>
    <col min="3" max="6" width="18.7109375" style="19" customWidth="1"/>
    <col min="7" max="7" width="20" style="19" customWidth="1"/>
    <col min="8" max="8" width="18.7109375" style="19" customWidth="1"/>
    <col min="9" max="9" width="20.28515625" style="19" bestFit="1" customWidth="1"/>
    <col min="10" max="10" width="18.7109375" style="19" customWidth="1"/>
    <col min="11" max="11" width="20" style="19" customWidth="1"/>
    <col min="12" max="12" width="18.7109375" style="19" customWidth="1"/>
    <col min="13" max="13" width="20.28515625" style="19" bestFit="1" customWidth="1"/>
    <col min="14" max="14" width="18.7109375" style="19" customWidth="1"/>
    <col min="15" max="16384" width="9.140625" style="19"/>
  </cols>
  <sheetData>
    <row r="1" spans="1:14">
      <c r="A1" s="238" t="s">
        <v>0</v>
      </c>
      <c r="B1" s="238"/>
      <c r="C1" s="238"/>
      <c r="D1" s="238"/>
    </row>
    <row r="2" spans="1:14">
      <c r="A2" s="238" t="s">
        <v>1</v>
      </c>
      <c r="B2" s="238"/>
      <c r="C2" s="238"/>
      <c r="D2" s="238"/>
    </row>
    <row r="3" spans="1:14">
      <c r="A3" s="238" t="s">
        <v>2</v>
      </c>
      <c r="B3" s="238"/>
      <c r="C3" s="238"/>
      <c r="D3" s="238"/>
    </row>
    <row r="4" spans="1:14">
      <c r="A4" s="238"/>
      <c r="B4" s="238"/>
      <c r="C4" s="238"/>
      <c r="D4" s="238"/>
    </row>
    <row r="5" spans="1:14" ht="15">
      <c r="A5" s="238" t="s">
        <v>3</v>
      </c>
      <c r="B5" s="239"/>
      <c r="C5" s="238"/>
      <c r="D5" s="238"/>
    </row>
    <row r="6" spans="1:14" ht="15">
      <c r="A6" s="238" t="s">
        <v>4</v>
      </c>
      <c r="B6" s="239"/>
      <c r="C6" s="238"/>
      <c r="D6" s="238"/>
    </row>
    <row r="7" spans="1:14">
      <c r="A7" s="238" t="s">
        <v>1006</v>
      </c>
      <c r="B7" s="240"/>
      <c r="C7" s="238"/>
      <c r="D7" s="238"/>
    </row>
    <row r="8" spans="1:14">
      <c r="A8" s="238"/>
      <c r="B8" s="240"/>
      <c r="C8" s="238"/>
      <c r="D8" s="238"/>
    </row>
    <row r="9" spans="1:14" s="67" customFormat="1" ht="15">
      <c r="A9" s="66"/>
      <c r="B9" s="66"/>
      <c r="E9" s="250" t="str">
        <f>A7</f>
        <v>As of  May 31, 2011</v>
      </c>
      <c r="F9" s="251"/>
      <c r="G9" s="261" t="s">
        <v>10</v>
      </c>
      <c r="H9" s="262"/>
      <c r="I9" s="254" t="s">
        <v>1009</v>
      </c>
      <c r="J9" s="255"/>
      <c r="K9" s="265" t="s">
        <v>1010</v>
      </c>
      <c r="L9" s="265"/>
      <c r="M9" s="267" t="s">
        <v>11</v>
      </c>
      <c r="N9" s="267"/>
    </row>
    <row r="10" spans="1:14" ht="14.25" customHeight="1">
      <c r="A10" s="68"/>
      <c r="C10" s="241"/>
      <c r="D10" s="242"/>
      <c r="E10" s="252"/>
      <c r="F10" s="253"/>
      <c r="G10" s="263"/>
      <c r="H10" s="264"/>
      <c r="I10" s="256"/>
      <c r="J10" s="257"/>
      <c r="K10" s="265"/>
      <c r="L10" s="265"/>
      <c r="M10" s="267"/>
      <c r="N10" s="267"/>
    </row>
    <row r="11" spans="1:14" ht="15" customHeight="1">
      <c r="A11" s="243" t="s">
        <v>6</v>
      </c>
      <c r="B11" s="245" t="s">
        <v>7</v>
      </c>
      <c r="C11" s="243" t="s">
        <v>8</v>
      </c>
      <c r="D11" s="243" t="s">
        <v>9</v>
      </c>
      <c r="E11" s="247" t="s">
        <v>8</v>
      </c>
      <c r="F11" s="259" t="s">
        <v>9</v>
      </c>
      <c r="G11" s="249" t="s">
        <v>8</v>
      </c>
      <c r="H11" s="249" t="s">
        <v>9</v>
      </c>
      <c r="I11" s="258" t="s">
        <v>8</v>
      </c>
      <c r="J11" s="258" t="s">
        <v>9</v>
      </c>
      <c r="K11" s="266" t="s">
        <v>8</v>
      </c>
      <c r="L11" s="266" t="s">
        <v>9</v>
      </c>
      <c r="M11" s="268" t="s">
        <v>8</v>
      </c>
      <c r="N11" s="268" t="s">
        <v>9</v>
      </c>
    </row>
    <row r="12" spans="1:14">
      <c r="A12" s="244"/>
      <c r="B12" s="246"/>
      <c r="C12" s="244"/>
      <c r="D12" s="244"/>
      <c r="E12" s="248"/>
      <c r="F12" s="260"/>
      <c r="G12" s="249"/>
      <c r="H12" s="249"/>
      <c r="I12" s="258"/>
      <c r="J12" s="258"/>
      <c r="K12" s="266"/>
      <c r="L12" s="266"/>
      <c r="M12" s="268"/>
      <c r="N12" s="268"/>
    </row>
    <row r="13" spans="1:14">
      <c r="A13" s="3" t="s">
        <v>12</v>
      </c>
      <c r="B13" s="4">
        <v>101</v>
      </c>
      <c r="C13" s="5">
        <f>E13-F13</f>
        <v>0</v>
      </c>
      <c r="D13" s="5"/>
      <c r="E13" s="6">
        <f>SUM(G13,I13,K13,M13)</f>
        <v>6835876.2699999986</v>
      </c>
      <c r="F13" s="6">
        <f>SUM(H13,J13,L13,N13)</f>
        <v>6835876.2699999986</v>
      </c>
      <c r="G13" s="62"/>
      <c r="H13" s="62"/>
      <c r="I13" s="60"/>
      <c r="J13" s="60"/>
      <c r="K13" s="64">
        <v>6835876.2699999986</v>
      </c>
      <c r="L13" s="64">
        <v>6835876.2699999986</v>
      </c>
      <c r="M13" s="25"/>
      <c r="N13" s="25"/>
    </row>
    <row r="14" spans="1:14">
      <c r="A14" s="3" t="s">
        <v>13</v>
      </c>
      <c r="B14" s="4" t="s">
        <v>14</v>
      </c>
      <c r="C14" s="5">
        <f>E14-F14</f>
        <v>0</v>
      </c>
      <c r="D14" s="5"/>
      <c r="E14" s="6">
        <f t="shared" ref="E14:E77" si="0">SUM(G14,I14,K14,M14)</f>
        <v>0</v>
      </c>
      <c r="F14" s="6">
        <f t="shared" ref="F14:F77" si="1">SUM(H14,J14,L14,N14)</f>
        <v>0</v>
      </c>
      <c r="G14" s="62"/>
      <c r="H14" s="62"/>
      <c r="I14" s="60"/>
      <c r="J14" s="60"/>
      <c r="K14" s="64"/>
      <c r="L14" s="64"/>
      <c r="M14" s="25"/>
      <c r="N14" s="25"/>
    </row>
    <row r="15" spans="1:14">
      <c r="A15" s="3" t="s">
        <v>15</v>
      </c>
      <c r="B15" s="4" t="s">
        <v>16</v>
      </c>
      <c r="C15" s="5">
        <f>E15-F15</f>
        <v>0</v>
      </c>
      <c r="D15" s="5"/>
      <c r="E15" s="6">
        <f t="shared" si="0"/>
        <v>0</v>
      </c>
      <c r="F15" s="6">
        <f t="shared" si="1"/>
        <v>0</v>
      </c>
      <c r="G15" s="63"/>
      <c r="H15" s="63"/>
      <c r="I15" s="61"/>
      <c r="J15" s="61"/>
      <c r="K15" s="65"/>
      <c r="L15" s="65"/>
      <c r="M15" s="26"/>
      <c r="N15" s="26"/>
    </row>
    <row r="16" spans="1:14">
      <c r="A16" s="3" t="s">
        <v>17</v>
      </c>
      <c r="B16" s="4" t="s">
        <v>18</v>
      </c>
      <c r="C16" s="5">
        <f>E16-F16</f>
        <v>0</v>
      </c>
      <c r="D16" s="5"/>
      <c r="E16" s="6">
        <f t="shared" si="0"/>
        <v>0</v>
      </c>
      <c r="F16" s="6">
        <f t="shared" si="1"/>
        <v>0</v>
      </c>
      <c r="G16" s="62"/>
      <c r="H16" s="62"/>
      <c r="I16" s="60"/>
      <c r="J16" s="60"/>
      <c r="K16" s="64"/>
      <c r="L16" s="64"/>
      <c r="M16" s="25"/>
      <c r="N16" s="25"/>
    </row>
    <row r="17" spans="1:14">
      <c r="A17" s="3" t="s">
        <v>19</v>
      </c>
      <c r="B17" s="4" t="s">
        <v>20</v>
      </c>
      <c r="C17" s="7">
        <f>E17-F17</f>
        <v>3055.1700000000419</v>
      </c>
      <c r="D17" s="7"/>
      <c r="E17" s="6">
        <f t="shared" si="0"/>
        <v>855808.91</v>
      </c>
      <c r="F17" s="6">
        <f t="shared" si="1"/>
        <v>852753.74</v>
      </c>
      <c r="G17" s="62">
        <v>855808.91</v>
      </c>
      <c r="H17" s="62"/>
      <c r="I17" s="60"/>
      <c r="J17" s="60">
        <v>848948.9</v>
      </c>
      <c r="K17" s="64"/>
      <c r="L17" s="64">
        <v>3804.84</v>
      </c>
      <c r="M17" s="25"/>
      <c r="N17" s="25"/>
    </row>
    <row r="18" spans="1:14">
      <c r="A18" s="3" t="s">
        <v>21</v>
      </c>
      <c r="B18" s="4">
        <v>110</v>
      </c>
      <c r="C18" s="7">
        <f t="shared" ref="C18:C80" si="2">E18-F18</f>
        <v>0</v>
      </c>
      <c r="D18" s="7"/>
      <c r="E18" s="6">
        <f t="shared" si="0"/>
        <v>0</v>
      </c>
      <c r="F18" s="6">
        <f t="shared" si="1"/>
        <v>0</v>
      </c>
      <c r="G18" s="62"/>
      <c r="H18" s="62"/>
      <c r="I18" s="60"/>
      <c r="J18" s="60"/>
      <c r="K18" s="64"/>
      <c r="L18" s="64"/>
      <c r="M18" s="25"/>
      <c r="N18" s="25"/>
    </row>
    <row r="19" spans="1:14">
      <c r="A19" s="8" t="s">
        <v>22</v>
      </c>
      <c r="B19" s="4">
        <v>111</v>
      </c>
      <c r="C19" s="7">
        <f t="shared" si="2"/>
        <v>1646765.3699999992</v>
      </c>
      <c r="D19" s="7"/>
      <c r="E19" s="6">
        <f t="shared" si="0"/>
        <v>7473654.2699999996</v>
      </c>
      <c r="F19" s="6">
        <f t="shared" si="1"/>
        <v>5826888.9000000004</v>
      </c>
      <c r="G19" s="62"/>
      <c r="H19" s="62">
        <v>5826888.9000000004</v>
      </c>
      <c r="I19" s="60"/>
      <c r="J19" s="60"/>
      <c r="K19" s="64">
        <v>6835876.2699999996</v>
      </c>
      <c r="L19" s="64"/>
      <c r="M19" s="25">
        <v>637778</v>
      </c>
      <c r="N19" s="25"/>
    </row>
    <row r="20" spans="1:14">
      <c r="A20" s="8" t="s">
        <v>23</v>
      </c>
      <c r="B20" s="4">
        <v>112</v>
      </c>
      <c r="C20" s="7">
        <f t="shared" si="2"/>
        <v>0</v>
      </c>
      <c r="D20" s="7"/>
      <c r="E20" s="6">
        <f t="shared" si="0"/>
        <v>0</v>
      </c>
      <c r="F20" s="6">
        <f t="shared" si="1"/>
        <v>0</v>
      </c>
      <c r="G20" s="62"/>
      <c r="H20" s="62"/>
      <c r="I20" s="60"/>
      <c r="J20" s="60"/>
      <c r="K20" s="64"/>
      <c r="L20" s="64"/>
      <c r="M20" s="25"/>
      <c r="N20" s="25"/>
    </row>
    <row r="21" spans="1:14">
      <c r="A21" s="3" t="s">
        <v>24</v>
      </c>
      <c r="B21" s="4">
        <v>113</v>
      </c>
      <c r="C21" s="7">
        <f t="shared" si="2"/>
        <v>0</v>
      </c>
      <c r="D21" s="7"/>
      <c r="E21" s="6">
        <f t="shared" si="0"/>
        <v>0</v>
      </c>
      <c r="F21" s="6">
        <f t="shared" si="1"/>
        <v>0</v>
      </c>
      <c r="G21" s="62"/>
      <c r="H21" s="62"/>
      <c r="I21" s="60"/>
      <c r="J21" s="60"/>
      <c r="K21" s="64"/>
      <c r="L21" s="64"/>
      <c r="M21" s="25"/>
      <c r="N21" s="25"/>
    </row>
    <row r="22" spans="1:14">
      <c r="A22" s="3" t="s">
        <v>21</v>
      </c>
      <c r="B22" s="4">
        <v>114</v>
      </c>
      <c r="C22" s="7">
        <f t="shared" si="2"/>
        <v>0</v>
      </c>
      <c r="D22" s="7"/>
      <c r="E22" s="6">
        <f t="shared" si="0"/>
        <v>0</v>
      </c>
      <c r="F22" s="6">
        <f t="shared" si="1"/>
        <v>0</v>
      </c>
      <c r="G22" s="62"/>
      <c r="H22" s="62"/>
      <c r="I22" s="60"/>
      <c r="J22" s="60"/>
      <c r="K22" s="64"/>
      <c r="L22" s="64"/>
      <c r="M22" s="25"/>
      <c r="N22" s="25"/>
    </row>
    <row r="23" spans="1:14">
      <c r="A23" s="3" t="s">
        <v>25</v>
      </c>
      <c r="B23" s="4">
        <v>115</v>
      </c>
      <c r="C23" s="7">
        <f t="shared" si="2"/>
        <v>0</v>
      </c>
      <c r="D23" s="7"/>
      <c r="E23" s="6">
        <f t="shared" si="0"/>
        <v>0</v>
      </c>
      <c r="F23" s="6">
        <f t="shared" si="1"/>
        <v>0</v>
      </c>
      <c r="G23" s="62"/>
      <c r="H23" s="62"/>
      <c r="I23" s="60"/>
      <c r="J23" s="60"/>
      <c r="K23" s="64"/>
      <c r="L23" s="64"/>
      <c r="M23" s="25"/>
      <c r="N23" s="25"/>
    </row>
    <row r="24" spans="1:14">
      <c r="A24" s="3" t="s">
        <v>26</v>
      </c>
      <c r="B24" s="4" t="s">
        <v>27</v>
      </c>
      <c r="C24" s="7">
        <f t="shared" si="2"/>
        <v>0</v>
      </c>
      <c r="D24" s="7"/>
      <c r="E24" s="6">
        <f t="shared" si="0"/>
        <v>0</v>
      </c>
      <c r="F24" s="6">
        <f t="shared" si="1"/>
        <v>0</v>
      </c>
      <c r="G24" s="62"/>
      <c r="H24" s="62"/>
      <c r="I24" s="60"/>
      <c r="J24" s="60"/>
      <c r="K24" s="64"/>
      <c r="L24" s="64"/>
      <c r="M24" s="25"/>
      <c r="N24" s="25"/>
    </row>
    <row r="25" spans="1:14">
      <c r="A25" s="3" t="s">
        <v>28</v>
      </c>
      <c r="B25" s="4" t="s">
        <v>29</v>
      </c>
      <c r="C25" s="7">
        <f t="shared" si="2"/>
        <v>0</v>
      </c>
      <c r="D25" s="7"/>
      <c r="E25" s="6">
        <f t="shared" si="0"/>
        <v>0</v>
      </c>
      <c r="F25" s="6">
        <f t="shared" si="1"/>
        <v>0</v>
      </c>
      <c r="G25" s="62"/>
      <c r="H25" s="62"/>
      <c r="I25" s="60"/>
      <c r="J25" s="60"/>
      <c r="K25" s="64"/>
      <c r="L25" s="64"/>
      <c r="M25" s="25"/>
      <c r="N25" s="25"/>
    </row>
    <row r="26" spans="1:14">
      <c r="A26" s="3" t="s">
        <v>30</v>
      </c>
      <c r="B26" s="4" t="s">
        <v>31</v>
      </c>
      <c r="C26" s="7">
        <f t="shared" si="2"/>
        <v>0</v>
      </c>
      <c r="D26" s="7"/>
      <c r="E26" s="6">
        <f t="shared" si="0"/>
        <v>0</v>
      </c>
      <c r="F26" s="6">
        <f t="shared" si="1"/>
        <v>0</v>
      </c>
      <c r="G26" s="62"/>
      <c r="H26" s="62"/>
      <c r="I26" s="60"/>
      <c r="J26" s="60"/>
      <c r="K26" s="64"/>
      <c r="L26" s="64"/>
      <c r="M26" s="25"/>
      <c r="N26" s="25"/>
    </row>
    <row r="27" spans="1:14">
      <c r="A27" s="3" t="s">
        <v>32</v>
      </c>
      <c r="B27" s="4" t="s">
        <v>33</v>
      </c>
      <c r="C27" s="7">
        <f t="shared" si="2"/>
        <v>0</v>
      </c>
      <c r="D27" s="7"/>
      <c r="E27" s="6">
        <f t="shared" si="0"/>
        <v>0</v>
      </c>
      <c r="F27" s="6">
        <f t="shared" si="1"/>
        <v>0</v>
      </c>
      <c r="G27" s="62"/>
      <c r="H27" s="62"/>
      <c r="I27" s="60"/>
      <c r="J27" s="60"/>
      <c r="K27" s="64"/>
      <c r="L27" s="64"/>
      <c r="M27" s="25"/>
      <c r="N27" s="25"/>
    </row>
    <row r="28" spans="1:14">
      <c r="A28" s="3" t="s">
        <v>34</v>
      </c>
      <c r="B28" s="4" t="s">
        <v>35</v>
      </c>
      <c r="C28" s="7">
        <f t="shared" si="2"/>
        <v>0</v>
      </c>
      <c r="D28" s="7"/>
      <c r="E28" s="6">
        <f t="shared" si="0"/>
        <v>0</v>
      </c>
      <c r="F28" s="6">
        <f t="shared" si="1"/>
        <v>0</v>
      </c>
      <c r="G28" s="62"/>
      <c r="H28" s="62"/>
      <c r="I28" s="60"/>
      <c r="J28" s="60"/>
      <c r="K28" s="64"/>
      <c r="L28" s="64"/>
      <c r="M28" s="25"/>
      <c r="N28" s="25"/>
    </row>
    <row r="29" spans="1:14">
      <c r="A29" s="3" t="s">
        <v>36</v>
      </c>
      <c r="B29" s="4" t="s">
        <v>37</v>
      </c>
      <c r="C29" s="7">
        <f t="shared" si="2"/>
        <v>0</v>
      </c>
      <c r="D29" s="7"/>
      <c r="E29" s="6">
        <f t="shared" si="0"/>
        <v>0</v>
      </c>
      <c r="F29" s="6">
        <f t="shared" si="1"/>
        <v>0</v>
      </c>
      <c r="G29" s="62"/>
      <c r="H29" s="62"/>
      <c r="I29" s="60"/>
      <c r="J29" s="60"/>
      <c r="K29" s="64"/>
      <c r="L29" s="64"/>
      <c r="M29" s="25"/>
      <c r="N29" s="25"/>
    </row>
    <row r="30" spans="1:14">
      <c r="A30" s="3" t="s">
        <v>38</v>
      </c>
      <c r="B30" s="4" t="s">
        <v>39</v>
      </c>
      <c r="C30" s="7">
        <f t="shared" si="2"/>
        <v>0</v>
      </c>
      <c r="D30" s="7"/>
      <c r="E30" s="6">
        <f t="shared" si="0"/>
        <v>0</v>
      </c>
      <c r="F30" s="6">
        <f t="shared" si="1"/>
        <v>0</v>
      </c>
      <c r="G30" s="62"/>
      <c r="H30" s="62"/>
      <c r="I30" s="60"/>
      <c r="J30" s="60"/>
      <c r="K30" s="64"/>
      <c r="L30" s="64"/>
      <c r="M30" s="25"/>
      <c r="N30" s="25"/>
    </row>
    <row r="31" spans="1:14">
      <c r="A31" s="3" t="s">
        <v>40</v>
      </c>
      <c r="B31" s="4" t="s">
        <v>41</v>
      </c>
      <c r="C31" s="7">
        <f t="shared" si="2"/>
        <v>0</v>
      </c>
      <c r="D31" s="7"/>
      <c r="E31" s="6">
        <f t="shared" si="0"/>
        <v>0</v>
      </c>
      <c r="F31" s="6">
        <f t="shared" si="1"/>
        <v>0</v>
      </c>
      <c r="G31" s="62"/>
      <c r="H31" s="62"/>
      <c r="I31" s="60"/>
      <c r="J31" s="60"/>
      <c r="K31" s="64"/>
      <c r="L31" s="64"/>
      <c r="M31" s="25"/>
      <c r="N31" s="25"/>
    </row>
    <row r="32" spans="1:14">
      <c r="A32" s="3" t="s">
        <v>42</v>
      </c>
      <c r="B32" s="4" t="s">
        <v>43</v>
      </c>
      <c r="C32" s="7">
        <f t="shared" si="2"/>
        <v>0</v>
      </c>
      <c r="D32" s="7"/>
      <c r="E32" s="6">
        <f t="shared" si="0"/>
        <v>0</v>
      </c>
      <c r="F32" s="6">
        <f t="shared" si="1"/>
        <v>0</v>
      </c>
      <c r="G32" s="62"/>
      <c r="H32" s="62"/>
      <c r="I32" s="60"/>
      <c r="J32" s="60"/>
      <c r="K32" s="64"/>
      <c r="L32" s="64"/>
      <c r="M32" s="25"/>
      <c r="N32" s="25"/>
    </row>
    <row r="33" spans="1:14">
      <c r="A33" s="3" t="s">
        <v>44</v>
      </c>
      <c r="B33" s="4" t="s">
        <v>45</v>
      </c>
      <c r="C33" s="7">
        <f t="shared" si="2"/>
        <v>0</v>
      </c>
      <c r="D33" s="7"/>
      <c r="E33" s="6">
        <f t="shared" si="0"/>
        <v>0</v>
      </c>
      <c r="F33" s="6">
        <f t="shared" si="1"/>
        <v>0</v>
      </c>
      <c r="G33" s="62"/>
      <c r="H33" s="62"/>
      <c r="I33" s="60"/>
      <c r="J33" s="60"/>
      <c r="K33" s="64"/>
      <c r="L33" s="64"/>
      <c r="M33" s="25"/>
      <c r="N33" s="25"/>
    </row>
    <row r="34" spans="1:14">
      <c r="A34" s="3" t="s">
        <v>46</v>
      </c>
      <c r="B34" s="4" t="s">
        <v>47</v>
      </c>
      <c r="C34" s="7">
        <f t="shared" si="2"/>
        <v>0</v>
      </c>
      <c r="D34" s="7"/>
      <c r="E34" s="6">
        <f t="shared" si="0"/>
        <v>0</v>
      </c>
      <c r="F34" s="6">
        <f t="shared" si="1"/>
        <v>0</v>
      </c>
      <c r="G34" s="62"/>
      <c r="H34" s="62"/>
      <c r="I34" s="60"/>
      <c r="J34" s="60"/>
      <c r="K34" s="64"/>
      <c r="L34" s="64"/>
      <c r="M34" s="25"/>
      <c r="N34" s="25"/>
    </row>
    <row r="35" spans="1:14">
      <c r="A35" s="3" t="s">
        <v>48</v>
      </c>
      <c r="B35" s="4" t="s">
        <v>49</v>
      </c>
      <c r="C35" s="7">
        <f t="shared" si="2"/>
        <v>0</v>
      </c>
      <c r="D35" s="7"/>
      <c r="E35" s="6">
        <f t="shared" si="0"/>
        <v>0</v>
      </c>
      <c r="F35" s="6">
        <f t="shared" si="1"/>
        <v>0</v>
      </c>
      <c r="G35" s="62"/>
      <c r="H35" s="62"/>
      <c r="I35" s="60"/>
      <c r="J35" s="60"/>
      <c r="K35" s="64"/>
      <c r="L35" s="64"/>
      <c r="M35" s="25"/>
      <c r="N35" s="25"/>
    </row>
    <row r="36" spans="1:14">
      <c r="A36" s="3" t="s">
        <v>50</v>
      </c>
      <c r="B36" s="4" t="s">
        <v>51</v>
      </c>
      <c r="C36" s="7">
        <f t="shared" si="2"/>
        <v>0</v>
      </c>
      <c r="D36" s="7"/>
      <c r="E36" s="6">
        <f t="shared" si="0"/>
        <v>0</v>
      </c>
      <c r="F36" s="6">
        <f t="shared" si="1"/>
        <v>0</v>
      </c>
      <c r="G36" s="62"/>
      <c r="H36" s="62"/>
      <c r="I36" s="60"/>
      <c r="J36" s="60"/>
      <c r="K36" s="64"/>
      <c r="L36" s="64"/>
      <c r="M36" s="25"/>
      <c r="N36" s="25"/>
    </row>
    <row r="37" spans="1:14">
      <c r="A37" s="3" t="s">
        <v>52</v>
      </c>
      <c r="B37" s="4" t="s">
        <v>53</v>
      </c>
      <c r="C37" s="7">
        <f t="shared" si="2"/>
        <v>0</v>
      </c>
      <c r="D37" s="7"/>
      <c r="E37" s="6">
        <f t="shared" si="0"/>
        <v>0</v>
      </c>
      <c r="F37" s="6">
        <f t="shared" si="1"/>
        <v>0</v>
      </c>
      <c r="G37" s="62"/>
      <c r="H37" s="62"/>
      <c r="I37" s="60"/>
      <c r="J37" s="60"/>
      <c r="K37" s="64"/>
      <c r="L37" s="64"/>
      <c r="M37" s="25"/>
      <c r="N37" s="25"/>
    </row>
    <row r="38" spans="1:14">
      <c r="A38" s="3" t="s">
        <v>54</v>
      </c>
      <c r="B38" s="9">
        <v>138</v>
      </c>
      <c r="C38" s="7">
        <f t="shared" si="2"/>
        <v>0</v>
      </c>
      <c r="D38" s="7"/>
      <c r="E38" s="6">
        <f t="shared" si="0"/>
        <v>0</v>
      </c>
      <c r="F38" s="6">
        <f t="shared" si="1"/>
        <v>0</v>
      </c>
      <c r="G38" s="62"/>
      <c r="H38" s="62"/>
      <c r="I38" s="60"/>
      <c r="J38" s="60"/>
      <c r="K38" s="64"/>
      <c r="L38" s="64"/>
      <c r="M38" s="25"/>
      <c r="N38" s="25"/>
    </row>
    <row r="39" spans="1:14">
      <c r="A39" s="3" t="s">
        <v>55</v>
      </c>
      <c r="B39" s="4" t="s">
        <v>56</v>
      </c>
      <c r="C39" s="7">
        <f t="shared" si="2"/>
        <v>0</v>
      </c>
      <c r="D39" s="7"/>
      <c r="E39" s="6">
        <f t="shared" si="0"/>
        <v>0</v>
      </c>
      <c r="F39" s="6">
        <f t="shared" si="1"/>
        <v>0</v>
      </c>
      <c r="G39" s="62"/>
      <c r="H39" s="62"/>
      <c r="I39" s="60"/>
      <c r="J39" s="60"/>
      <c r="K39" s="64"/>
      <c r="L39" s="64"/>
      <c r="M39" s="25"/>
      <c r="N39" s="25"/>
    </row>
    <row r="40" spans="1:14">
      <c r="A40" s="3" t="s">
        <v>57</v>
      </c>
      <c r="B40" s="9">
        <v>144</v>
      </c>
      <c r="C40" s="7">
        <f t="shared" si="2"/>
        <v>0</v>
      </c>
      <c r="D40" s="7"/>
      <c r="E40" s="6">
        <f t="shared" si="0"/>
        <v>0</v>
      </c>
      <c r="F40" s="6">
        <f t="shared" si="1"/>
        <v>0</v>
      </c>
      <c r="G40" s="62"/>
      <c r="H40" s="62"/>
      <c r="I40" s="60"/>
      <c r="J40" s="60"/>
      <c r="K40" s="64"/>
      <c r="L40" s="64"/>
      <c r="M40" s="25"/>
      <c r="N40" s="25"/>
    </row>
    <row r="41" spans="1:14">
      <c r="A41" s="3" t="s">
        <v>58</v>
      </c>
      <c r="B41" s="4" t="s">
        <v>59</v>
      </c>
      <c r="C41" s="7">
        <f t="shared" si="2"/>
        <v>0</v>
      </c>
      <c r="D41" s="7"/>
      <c r="E41" s="6">
        <f t="shared" si="0"/>
        <v>0</v>
      </c>
      <c r="F41" s="6">
        <f t="shared" si="1"/>
        <v>0</v>
      </c>
      <c r="G41" s="62"/>
      <c r="H41" s="62"/>
      <c r="I41" s="60"/>
      <c r="J41" s="60"/>
      <c r="K41" s="64"/>
      <c r="L41" s="64"/>
      <c r="M41" s="25"/>
      <c r="N41" s="25"/>
    </row>
    <row r="42" spans="1:14">
      <c r="A42" s="3" t="s">
        <v>60</v>
      </c>
      <c r="B42" s="4" t="s">
        <v>61</v>
      </c>
      <c r="C42" s="7">
        <f t="shared" si="2"/>
        <v>375223.52</v>
      </c>
      <c r="D42" s="7"/>
      <c r="E42" s="6">
        <f t="shared" si="0"/>
        <v>400000</v>
      </c>
      <c r="F42" s="6">
        <f t="shared" si="1"/>
        <v>24776.48</v>
      </c>
      <c r="G42" s="62">
        <v>400000</v>
      </c>
      <c r="H42" s="62"/>
      <c r="I42" s="60"/>
      <c r="J42" s="60"/>
      <c r="K42" s="64"/>
      <c r="L42" s="64">
        <v>24776.48</v>
      </c>
      <c r="M42" s="25"/>
      <c r="N42" s="25"/>
    </row>
    <row r="43" spans="1:14">
      <c r="A43" s="3" t="s">
        <v>62</v>
      </c>
      <c r="B43" s="4" t="s">
        <v>63</v>
      </c>
      <c r="C43" s="7">
        <f t="shared" si="2"/>
        <v>0</v>
      </c>
      <c r="D43" s="7"/>
      <c r="E43" s="6">
        <f t="shared" si="0"/>
        <v>0</v>
      </c>
      <c r="F43" s="6">
        <f t="shared" si="1"/>
        <v>0</v>
      </c>
      <c r="G43" s="62"/>
      <c r="H43" s="62"/>
      <c r="I43" s="60"/>
      <c r="J43" s="60"/>
      <c r="K43" s="64"/>
      <c r="L43" s="64"/>
      <c r="M43" s="25"/>
      <c r="N43" s="25"/>
    </row>
    <row r="44" spans="1:14">
      <c r="A44" s="3" t="s">
        <v>64</v>
      </c>
      <c r="B44" s="4" t="s">
        <v>65</v>
      </c>
      <c r="C44" s="7">
        <f t="shared" si="2"/>
        <v>0</v>
      </c>
      <c r="D44" s="7"/>
      <c r="E44" s="6">
        <f t="shared" si="0"/>
        <v>0</v>
      </c>
      <c r="F44" s="6">
        <f t="shared" si="1"/>
        <v>0</v>
      </c>
      <c r="G44" s="62"/>
      <c r="H44" s="62"/>
      <c r="I44" s="60"/>
      <c r="J44" s="60"/>
      <c r="K44" s="64"/>
      <c r="L44" s="64"/>
      <c r="M44" s="25"/>
      <c r="N44" s="25"/>
    </row>
    <row r="45" spans="1:14">
      <c r="A45" s="3" t="s">
        <v>66</v>
      </c>
      <c r="B45" s="4" t="s">
        <v>67</v>
      </c>
      <c r="C45" s="7">
        <f t="shared" si="2"/>
        <v>0</v>
      </c>
      <c r="D45" s="7"/>
      <c r="E45" s="6">
        <f t="shared" si="0"/>
        <v>0</v>
      </c>
      <c r="F45" s="6">
        <f t="shared" si="1"/>
        <v>0</v>
      </c>
      <c r="G45" s="62"/>
      <c r="H45" s="62"/>
      <c r="I45" s="60"/>
      <c r="J45" s="60"/>
      <c r="K45" s="64"/>
      <c r="L45" s="64"/>
      <c r="M45" s="25"/>
      <c r="N45" s="25"/>
    </row>
    <row r="46" spans="1:14">
      <c r="A46" s="3" t="s">
        <v>68</v>
      </c>
      <c r="B46" s="4" t="s">
        <v>69</v>
      </c>
      <c r="C46" s="7">
        <f t="shared" si="2"/>
        <v>0</v>
      </c>
      <c r="D46" s="7"/>
      <c r="E46" s="6">
        <f t="shared" si="0"/>
        <v>0</v>
      </c>
      <c r="F46" s="6">
        <f t="shared" si="1"/>
        <v>0</v>
      </c>
      <c r="G46" s="62"/>
      <c r="H46" s="62"/>
      <c r="I46" s="60"/>
      <c r="J46" s="60"/>
      <c r="K46" s="64"/>
      <c r="L46" s="64"/>
      <c r="M46" s="25"/>
      <c r="N46" s="25"/>
    </row>
    <row r="47" spans="1:14">
      <c r="A47" s="3" t="s">
        <v>70</v>
      </c>
      <c r="B47" s="4" t="s">
        <v>71</v>
      </c>
      <c r="C47" s="7">
        <f t="shared" si="2"/>
        <v>0</v>
      </c>
      <c r="D47" s="7"/>
      <c r="E47" s="6">
        <f t="shared" si="0"/>
        <v>0</v>
      </c>
      <c r="F47" s="6">
        <f t="shared" si="1"/>
        <v>0</v>
      </c>
      <c r="G47" s="62"/>
      <c r="H47" s="62"/>
      <c r="I47" s="60"/>
      <c r="J47" s="60"/>
      <c r="K47" s="64"/>
      <c r="L47" s="64"/>
      <c r="M47" s="25"/>
      <c r="N47" s="25"/>
    </row>
    <row r="48" spans="1:14">
      <c r="A48" s="3" t="s">
        <v>72</v>
      </c>
      <c r="B48" s="4" t="s">
        <v>73</v>
      </c>
      <c r="C48" s="7">
        <f t="shared" si="2"/>
        <v>0</v>
      </c>
      <c r="D48" s="7"/>
      <c r="E48" s="6">
        <f t="shared" si="0"/>
        <v>0</v>
      </c>
      <c r="F48" s="6">
        <f t="shared" si="1"/>
        <v>0</v>
      </c>
      <c r="G48" s="62"/>
      <c r="H48" s="62"/>
      <c r="I48" s="60"/>
      <c r="J48" s="60"/>
      <c r="K48" s="64"/>
      <c r="L48" s="64"/>
      <c r="M48" s="25"/>
      <c r="N48" s="25"/>
    </row>
    <row r="49" spans="1:14">
      <c r="A49" s="3" t="s">
        <v>74</v>
      </c>
      <c r="B49" s="4" t="s">
        <v>75</v>
      </c>
      <c r="C49" s="7">
        <f t="shared" si="2"/>
        <v>0</v>
      </c>
      <c r="D49" s="7"/>
      <c r="E49" s="6">
        <f t="shared" si="0"/>
        <v>0</v>
      </c>
      <c r="F49" s="6">
        <f t="shared" si="1"/>
        <v>0</v>
      </c>
      <c r="G49" s="62"/>
      <c r="H49" s="62"/>
      <c r="I49" s="60"/>
      <c r="J49" s="60"/>
      <c r="K49" s="64"/>
      <c r="L49" s="64"/>
      <c r="M49" s="25"/>
      <c r="N49" s="25"/>
    </row>
    <row r="50" spans="1:14">
      <c r="A50" s="3" t="s">
        <v>76</v>
      </c>
      <c r="B50" s="4" t="s">
        <v>77</v>
      </c>
      <c r="C50" s="7">
        <f t="shared" si="2"/>
        <v>0</v>
      </c>
      <c r="D50" s="7"/>
      <c r="E50" s="6">
        <f t="shared" si="0"/>
        <v>0</v>
      </c>
      <c r="F50" s="6">
        <f t="shared" si="1"/>
        <v>0</v>
      </c>
      <c r="G50" s="62"/>
      <c r="H50" s="62"/>
      <c r="I50" s="60"/>
      <c r="J50" s="60"/>
      <c r="K50" s="64"/>
      <c r="L50" s="64"/>
      <c r="M50" s="25"/>
      <c r="N50" s="25"/>
    </row>
    <row r="51" spans="1:14">
      <c r="A51" s="3" t="s">
        <v>78</v>
      </c>
      <c r="B51" s="4" t="s">
        <v>79</v>
      </c>
      <c r="C51" s="7">
        <f t="shared" si="2"/>
        <v>0</v>
      </c>
      <c r="D51" s="7"/>
      <c r="E51" s="6">
        <f t="shared" si="0"/>
        <v>0</v>
      </c>
      <c r="F51" s="6">
        <f t="shared" si="1"/>
        <v>0</v>
      </c>
      <c r="G51" s="62"/>
      <c r="H51" s="62"/>
      <c r="I51" s="60"/>
      <c r="J51" s="60"/>
      <c r="K51" s="64"/>
      <c r="L51" s="64"/>
      <c r="M51" s="25"/>
      <c r="N51" s="25"/>
    </row>
    <row r="52" spans="1:14">
      <c r="A52" s="3" t="s">
        <v>80</v>
      </c>
      <c r="B52" s="4" t="s">
        <v>81</v>
      </c>
      <c r="C52" s="7">
        <f t="shared" si="2"/>
        <v>99358.22</v>
      </c>
      <c r="D52" s="7"/>
      <c r="E52" s="6">
        <f t="shared" si="0"/>
        <v>99358.22</v>
      </c>
      <c r="F52" s="6">
        <f t="shared" si="1"/>
        <v>0</v>
      </c>
      <c r="G52" s="62">
        <v>99358.22</v>
      </c>
      <c r="H52" s="62"/>
      <c r="I52" s="60"/>
      <c r="J52" s="60"/>
      <c r="K52" s="64"/>
      <c r="L52" s="64"/>
      <c r="M52" s="25"/>
      <c r="N52" s="25"/>
    </row>
    <row r="53" spans="1:14">
      <c r="A53" s="8" t="s">
        <v>82</v>
      </c>
      <c r="B53" s="4" t="s">
        <v>83</v>
      </c>
      <c r="C53" s="7">
        <f t="shared" si="2"/>
        <v>0</v>
      </c>
      <c r="D53" s="7"/>
      <c r="E53" s="6">
        <f t="shared" si="0"/>
        <v>0</v>
      </c>
      <c r="F53" s="6">
        <f t="shared" si="1"/>
        <v>0</v>
      </c>
      <c r="G53" s="62"/>
      <c r="H53" s="62"/>
      <c r="I53" s="60"/>
      <c r="J53" s="60"/>
      <c r="K53" s="64"/>
      <c r="L53" s="64"/>
      <c r="M53" s="25"/>
      <c r="N53" s="25"/>
    </row>
    <row r="54" spans="1:14">
      <c r="A54" s="3" t="s">
        <v>84</v>
      </c>
      <c r="B54" s="4" t="s">
        <v>85</v>
      </c>
      <c r="C54" s="7">
        <f t="shared" si="2"/>
        <v>890800</v>
      </c>
      <c r="D54" s="7"/>
      <c r="E54" s="6">
        <f t="shared" si="0"/>
        <v>890800</v>
      </c>
      <c r="F54" s="6">
        <f t="shared" si="1"/>
        <v>0</v>
      </c>
      <c r="G54" s="62">
        <v>890800</v>
      </c>
      <c r="H54" s="62"/>
      <c r="I54" s="60"/>
      <c r="J54" s="60"/>
      <c r="K54" s="64"/>
      <c r="L54" s="64"/>
      <c r="M54" s="25"/>
      <c r="N54" s="25"/>
    </row>
    <row r="55" spans="1:14">
      <c r="A55" s="3" t="s">
        <v>86</v>
      </c>
      <c r="B55" s="4" t="s">
        <v>87</v>
      </c>
      <c r="C55" s="7">
        <f t="shared" si="2"/>
        <v>0</v>
      </c>
      <c r="D55" s="7"/>
      <c r="E55" s="6">
        <f t="shared" si="0"/>
        <v>0</v>
      </c>
      <c r="F55" s="6">
        <f t="shared" si="1"/>
        <v>0</v>
      </c>
      <c r="G55" s="62"/>
      <c r="H55" s="62"/>
      <c r="I55" s="60"/>
      <c r="J55" s="60"/>
      <c r="K55" s="64"/>
      <c r="L55" s="64"/>
      <c r="M55" s="25"/>
      <c r="N55" s="25"/>
    </row>
    <row r="56" spans="1:14">
      <c r="A56" s="8" t="s">
        <v>88</v>
      </c>
      <c r="B56" s="4" t="s">
        <v>89</v>
      </c>
      <c r="C56" s="7">
        <f t="shared" si="2"/>
        <v>0</v>
      </c>
      <c r="D56" s="7"/>
      <c r="E56" s="6">
        <f t="shared" si="0"/>
        <v>0</v>
      </c>
      <c r="F56" s="6">
        <f t="shared" si="1"/>
        <v>0</v>
      </c>
      <c r="G56" s="62"/>
      <c r="H56" s="62"/>
      <c r="I56" s="60"/>
      <c r="J56" s="60"/>
      <c r="K56" s="64"/>
      <c r="L56" s="64"/>
      <c r="M56" s="25"/>
      <c r="N56" s="25"/>
    </row>
    <row r="57" spans="1:14">
      <c r="A57" s="3" t="s">
        <v>90</v>
      </c>
      <c r="B57" s="4" t="s">
        <v>91</v>
      </c>
      <c r="C57" s="7">
        <f t="shared" si="2"/>
        <v>0</v>
      </c>
      <c r="D57" s="7"/>
      <c r="E57" s="6">
        <f t="shared" si="0"/>
        <v>0</v>
      </c>
      <c r="F57" s="6">
        <f t="shared" si="1"/>
        <v>0</v>
      </c>
      <c r="G57" s="62"/>
      <c r="H57" s="62"/>
      <c r="I57" s="60"/>
      <c r="J57" s="60"/>
      <c r="K57" s="64"/>
      <c r="L57" s="64"/>
      <c r="M57" s="25"/>
      <c r="N57" s="25"/>
    </row>
    <row r="58" spans="1:14">
      <c r="A58" s="3" t="s">
        <v>92</v>
      </c>
      <c r="B58" s="4">
        <v>165</v>
      </c>
      <c r="C58" s="7">
        <f t="shared" si="2"/>
        <v>0</v>
      </c>
      <c r="D58" s="7"/>
      <c r="E58" s="6">
        <f t="shared" si="0"/>
        <v>0</v>
      </c>
      <c r="F58" s="6">
        <f t="shared" si="1"/>
        <v>0</v>
      </c>
      <c r="G58" s="62"/>
      <c r="H58" s="62"/>
      <c r="I58" s="60"/>
      <c r="J58" s="60"/>
      <c r="K58" s="64"/>
      <c r="L58" s="64"/>
      <c r="M58" s="25"/>
      <c r="N58" s="25"/>
    </row>
    <row r="59" spans="1:14">
      <c r="A59" s="3" t="s">
        <v>93</v>
      </c>
      <c r="B59" s="4">
        <v>166</v>
      </c>
      <c r="C59" s="7">
        <f t="shared" si="2"/>
        <v>0</v>
      </c>
      <c r="D59" s="7"/>
      <c r="E59" s="6">
        <f t="shared" si="0"/>
        <v>0</v>
      </c>
      <c r="F59" s="6">
        <f t="shared" si="1"/>
        <v>0</v>
      </c>
      <c r="G59" s="62"/>
      <c r="H59" s="62"/>
      <c r="I59" s="60"/>
      <c r="J59" s="60"/>
      <c r="K59" s="64"/>
      <c r="L59" s="64"/>
      <c r="M59" s="25"/>
      <c r="N59" s="25"/>
    </row>
    <row r="60" spans="1:14">
      <c r="A60" s="3" t="s">
        <v>94</v>
      </c>
      <c r="B60" s="4">
        <v>167</v>
      </c>
      <c r="C60" s="7">
        <f t="shared" si="2"/>
        <v>0</v>
      </c>
      <c r="D60" s="7"/>
      <c r="E60" s="6">
        <f t="shared" si="0"/>
        <v>0</v>
      </c>
      <c r="F60" s="6">
        <f t="shared" si="1"/>
        <v>0</v>
      </c>
      <c r="G60" s="62"/>
      <c r="H60" s="62"/>
      <c r="I60" s="60"/>
      <c r="J60" s="60"/>
      <c r="K60" s="64"/>
      <c r="L60" s="64"/>
      <c r="M60" s="25"/>
      <c r="N60" s="25"/>
    </row>
    <row r="61" spans="1:14">
      <c r="A61" s="3" t="s">
        <v>95</v>
      </c>
      <c r="B61" s="4" t="s">
        <v>96</v>
      </c>
      <c r="C61" s="7">
        <f t="shared" si="2"/>
        <v>0</v>
      </c>
      <c r="D61" s="7"/>
      <c r="E61" s="6">
        <f t="shared" si="0"/>
        <v>0</v>
      </c>
      <c r="F61" s="6">
        <f t="shared" si="1"/>
        <v>0</v>
      </c>
      <c r="G61" s="62"/>
      <c r="H61" s="62"/>
      <c r="I61" s="60"/>
      <c r="J61" s="60"/>
      <c r="K61" s="64"/>
      <c r="L61" s="64"/>
      <c r="M61" s="25"/>
      <c r="N61" s="25"/>
    </row>
    <row r="62" spans="1:14">
      <c r="A62" s="3" t="s">
        <v>97</v>
      </c>
      <c r="B62" s="4" t="s">
        <v>98</v>
      </c>
      <c r="C62" s="7">
        <f t="shared" si="2"/>
        <v>0</v>
      </c>
      <c r="D62" s="7"/>
      <c r="E62" s="6">
        <f t="shared" si="0"/>
        <v>0</v>
      </c>
      <c r="F62" s="6">
        <f t="shared" si="1"/>
        <v>0</v>
      </c>
      <c r="G62" s="62"/>
      <c r="H62" s="62"/>
      <c r="I62" s="60"/>
      <c r="J62" s="60"/>
      <c r="K62" s="64"/>
      <c r="L62" s="64"/>
      <c r="M62" s="25"/>
      <c r="N62" s="25"/>
    </row>
    <row r="63" spans="1:14">
      <c r="A63" s="3" t="s">
        <v>99</v>
      </c>
      <c r="B63" s="4" t="s">
        <v>100</v>
      </c>
      <c r="C63" s="7">
        <f t="shared" si="2"/>
        <v>0</v>
      </c>
      <c r="D63" s="7"/>
      <c r="E63" s="6">
        <f t="shared" si="0"/>
        <v>0</v>
      </c>
      <c r="F63" s="6">
        <f t="shared" si="1"/>
        <v>0</v>
      </c>
      <c r="G63" s="62"/>
      <c r="H63" s="62"/>
      <c r="I63" s="60"/>
      <c r="J63" s="60"/>
      <c r="K63" s="64"/>
      <c r="L63" s="64"/>
      <c r="M63" s="25"/>
      <c r="N63" s="25"/>
    </row>
    <row r="64" spans="1:14">
      <c r="A64" s="3" t="s">
        <v>101</v>
      </c>
      <c r="B64" s="4" t="s">
        <v>102</v>
      </c>
      <c r="C64" s="7">
        <f t="shared" si="2"/>
        <v>0</v>
      </c>
      <c r="D64" s="7"/>
      <c r="E64" s="6">
        <f t="shared" si="0"/>
        <v>0</v>
      </c>
      <c r="F64" s="6">
        <f t="shared" si="1"/>
        <v>0</v>
      </c>
      <c r="G64" s="62"/>
      <c r="H64" s="62"/>
      <c r="I64" s="60"/>
      <c r="J64" s="60"/>
      <c r="K64" s="64"/>
      <c r="L64" s="64"/>
      <c r="M64" s="25"/>
      <c r="N64" s="25"/>
    </row>
    <row r="65" spans="1:14">
      <c r="A65" s="3" t="s">
        <v>103</v>
      </c>
      <c r="B65" s="4" t="s">
        <v>104</v>
      </c>
      <c r="C65" s="7">
        <f t="shared" si="2"/>
        <v>0</v>
      </c>
      <c r="D65" s="7"/>
      <c r="E65" s="6">
        <f t="shared" si="0"/>
        <v>0</v>
      </c>
      <c r="F65" s="6">
        <f t="shared" si="1"/>
        <v>0</v>
      </c>
      <c r="G65" s="62"/>
      <c r="H65" s="62"/>
      <c r="I65" s="60"/>
      <c r="J65" s="60"/>
      <c r="K65" s="64"/>
      <c r="L65" s="64"/>
      <c r="M65" s="25"/>
      <c r="N65" s="25"/>
    </row>
    <row r="66" spans="1:14">
      <c r="A66" s="3" t="s">
        <v>105</v>
      </c>
      <c r="B66" s="9">
        <v>178</v>
      </c>
      <c r="C66" s="7">
        <f t="shared" si="2"/>
        <v>0</v>
      </c>
      <c r="D66" s="7"/>
      <c r="E66" s="6">
        <f t="shared" si="0"/>
        <v>0</v>
      </c>
      <c r="F66" s="6">
        <f t="shared" si="1"/>
        <v>0</v>
      </c>
      <c r="G66" s="62"/>
      <c r="H66" s="62"/>
      <c r="I66" s="60"/>
      <c r="J66" s="60"/>
      <c r="K66" s="64"/>
      <c r="L66" s="64"/>
      <c r="M66" s="25"/>
      <c r="N66" s="25"/>
    </row>
    <row r="67" spans="1:14">
      <c r="A67" s="3" t="s">
        <v>106</v>
      </c>
      <c r="B67" s="4">
        <v>179</v>
      </c>
      <c r="C67" s="7">
        <f t="shared" si="2"/>
        <v>0</v>
      </c>
      <c r="D67" s="7"/>
      <c r="E67" s="6">
        <f t="shared" si="0"/>
        <v>0</v>
      </c>
      <c r="F67" s="6">
        <f t="shared" si="1"/>
        <v>0</v>
      </c>
      <c r="G67" s="62"/>
      <c r="H67" s="62"/>
      <c r="I67" s="60"/>
      <c r="J67" s="60"/>
      <c r="K67" s="64"/>
      <c r="L67" s="64"/>
      <c r="M67" s="25"/>
      <c r="N67" s="25"/>
    </row>
    <row r="68" spans="1:14">
      <c r="A68" s="3" t="s">
        <v>107</v>
      </c>
      <c r="B68" s="9">
        <v>180</v>
      </c>
      <c r="C68" s="7">
        <f t="shared" si="2"/>
        <v>0</v>
      </c>
      <c r="D68" s="7"/>
      <c r="E68" s="6">
        <f t="shared" si="0"/>
        <v>0</v>
      </c>
      <c r="F68" s="6">
        <f t="shared" si="1"/>
        <v>0</v>
      </c>
      <c r="G68" s="62"/>
      <c r="H68" s="62"/>
      <c r="I68" s="60"/>
      <c r="J68" s="60"/>
      <c r="K68" s="64"/>
      <c r="L68" s="64"/>
      <c r="M68" s="25"/>
      <c r="N68" s="25"/>
    </row>
    <row r="69" spans="1:14">
      <c r="A69" s="3" t="s">
        <v>108</v>
      </c>
      <c r="B69" s="9">
        <v>181</v>
      </c>
      <c r="C69" s="7">
        <f t="shared" si="2"/>
        <v>-355923.02</v>
      </c>
      <c r="D69" s="7"/>
      <c r="E69" s="6">
        <f t="shared" si="0"/>
        <v>0</v>
      </c>
      <c r="F69" s="6">
        <f t="shared" si="1"/>
        <v>355923.02</v>
      </c>
      <c r="G69" s="62"/>
      <c r="H69" s="62">
        <v>355923.02</v>
      </c>
      <c r="I69" s="60"/>
      <c r="J69" s="60"/>
      <c r="K69" s="64"/>
      <c r="L69" s="64"/>
      <c r="M69" s="25"/>
      <c r="N69" s="25"/>
    </row>
    <row r="70" spans="1:14">
      <c r="A70" s="3" t="s">
        <v>109</v>
      </c>
      <c r="B70" s="9">
        <v>182</v>
      </c>
      <c r="C70" s="7">
        <f t="shared" si="2"/>
        <v>0</v>
      </c>
      <c r="D70" s="7"/>
      <c r="E70" s="6">
        <f t="shared" si="0"/>
        <v>0</v>
      </c>
      <c r="F70" s="6">
        <f t="shared" si="1"/>
        <v>0</v>
      </c>
      <c r="G70" s="62"/>
      <c r="H70" s="62"/>
      <c r="I70" s="60"/>
      <c r="J70" s="60"/>
      <c r="K70" s="64"/>
      <c r="L70" s="64"/>
      <c r="M70" s="25"/>
      <c r="N70" s="25"/>
    </row>
    <row r="71" spans="1:14">
      <c r="A71" s="3" t="s">
        <v>110</v>
      </c>
      <c r="B71" s="9">
        <v>185</v>
      </c>
      <c r="C71" s="7">
        <f t="shared" si="2"/>
        <v>0</v>
      </c>
      <c r="D71" s="7"/>
      <c r="E71" s="6">
        <f t="shared" si="0"/>
        <v>0</v>
      </c>
      <c r="F71" s="6">
        <f t="shared" si="1"/>
        <v>0</v>
      </c>
      <c r="G71" s="62"/>
      <c r="H71" s="62"/>
      <c r="I71" s="60"/>
      <c r="J71" s="60"/>
      <c r="K71" s="64"/>
      <c r="L71" s="64"/>
      <c r="M71" s="25"/>
      <c r="N71" s="25"/>
    </row>
    <row r="72" spans="1:14">
      <c r="A72" s="3" t="s">
        <v>111</v>
      </c>
      <c r="B72" s="4" t="s">
        <v>112</v>
      </c>
      <c r="C72" s="7">
        <f t="shared" si="2"/>
        <v>0</v>
      </c>
      <c r="D72" s="7"/>
      <c r="E72" s="6">
        <f t="shared" si="0"/>
        <v>0</v>
      </c>
      <c r="F72" s="6">
        <f t="shared" si="1"/>
        <v>0</v>
      </c>
      <c r="G72" s="62"/>
      <c r="H72" s="62"/>
      <c r="I72" s="60"/>
      <c r="J72" s="60"/>
      <c r="K72" s="64"/>
      <c r="L72" s="64"/>
      <c r="M72" s="25"/>
      <c r="N72" s="25"/>
    </row>
    <row r="73" spans="1:14">
      <c r="A73" s="3" t="s">
        <v>113</v>
      </c>
      <c r="B73" s="4" t="s">
        <v>114</v>
      </c>
      <c r="C73" s="7">
        <f t="shared" si="2"/>
        <v>0</v>
      </c>
      <c r="D73" s="7"/>
      <c r="E73" s="6">
        <f t="shared" si="0"/>
        <v>0</v>
      </c>
      <c r="F73" s="6">
        <f t="shared" si="1"/>
        <v>0</v>
      </c>
      <c r="G73" s="62"/>
      <c r="H73" s="62"/>
      <c r="I73" s="60"/>
      <c r="J73" s="60"/>
      <c r="K73" s="64"/>
      <c r="L73" s="64"/>
      <c r="M73" s="25"/>
      <c r="N73" s="25"/>
    </row>
    <row r="74" spans="1:14">
      <c r="A74" s="3" t="s">
        <v>115</v>
      </c>
      <c r="B74" s="4" t="s">
        <v>116</v>
      </c>
      <c r="C74" s="7">
        <f t="shared" si="2"/>
        <v>0</v>
      </c>
      <c r="D74" s="7"/>
      <c r="E74" s="6">
        <f t="shared" si="0"/>
        <v>0</v>
      </c>
      <c r="F74" s="6">
        <f t="shared" si="1"/>
        <v>0</v>
      </c>
      <c r="G74" s="62"/>
      <c r="H74" s="62"/>
      <c r="I74" s="60"/>
      <c r="J74" s="60"/>
      <c r="K74" s="64"/>
      <c r="L74" s="64"/>
      <c r="M74" s="25"/>
      <c r="N74" s="25"/>
    </row>
    <row r="75" spans="1:14">
      <c r="A75" s="3" t="s">
        <v>117</v>
      </c>
      <c r="B75" s="4" t="s">
        <v>118</v>
      </c>
      <c r="C75" s="7">
        <f t="shared" si="2"/>
        <v>0</v>
      </c>
      <c r="D75" s="7"/>
      <c r="E75" s="6">
        <f t="shared" si="0"/>
        <v>0</v>
      </c>
      <c r="F75" s="6">
        <f t="shared" si="1"/>
        <v>0</v>
      </c>
      <c r="G75" s="62"/>
      <c r="H75" s="62"/>
      <c r="I75" s="60"/>
      <c r="J75" s="60"/>
      <c r="K75" s="64"/>
      <c r="L75" s="64"/>
      <c r="M75" s="25"/>
      <c r="N75" s="25"/>
    </row>
    <row r="76" spans="1:14">
      <c r="A76" s="3" t="s">
        <v>119</v>
      </c>
      <c r="B76" s="4" t="s">
        <v>120</v>
      </c>
      <c r="C76" s="7">
        <f t="shared" si="2"/>
        <v>0</v>
      </c>
      <c r="D76" s="7"/>
      <c r="E76" s="6">
        <f t="shared" si="0"/>
        <v>0</v>
      </c>
      <c r="F76" s="6">
        <f t="shared" si="1"/>
        <v>0</v>
      </c>
      <c r="G76" s="62"/>
      <c r="H76" s="62"/>
      <c r="I76" s="60"/>
      <c r="J76" s="60"/>
      <c r="K76" s="64"/>
      <c r="L76" s="64"/>
      <c r="M76" s="25"/>
      <c r="N76" s="25"/>
    </row>
    <row r="77" spans="1:14">
      <c r="A77" s="3" t="s">
        <v>121</v>
      </c>
      <c r="B77" s="4" t="s">
        <v>122</v>
      </c>
      <c r="C77" s="7">
        <f t="shared" si="2"/>
        <v>0</v>
      </c>
      <c r="D77" s="7"/>
      <c r="E77" s="6">
        <f t="shared" si="0"/>
        <v>0</v>
      </c>
      <c r="F77" s="6">
        <f t="shared" si="1"/>
        <v>0</v>
      </c>
      <c r="G77" s="62"/>
      <c r="H77" s="62"/>
      <c r="I77" s="60"/>
      <c r="J77" s="60"/>
      <c r="K77" s="64"/>
      <c r="L77" s="64"/>
      <c r="M77" s="25"/>
      <c r="N77" s="25"/>
    </row>
    <row r="78" spans="1:14">
      <c r="A78" s="3" t="s">
        <v>123</v>
      </c>
      <c r="B78" s="4" t="s">
        <v>124</v>
      </c>
      <c r="C78" s="7">
        <f t="shared" si="2"/>
        <v>0</v>
      </c>
      <c r="D78" s="7"/>
      <c r="E78" s="6">
        <f t="shared" ref="E78:E141" si="3">SUM(G78,I78,K78,M78)</f>
        <v>0</v>
      </c>
      <c r="F78" s="6">
        <f t="shared" ref="F78:F141" si="4">SUM(H78,J78,L78,N78)</f>
        <v>0</v>
      </c>
      <c r="G78" s="62"/>
      <c r="H78" s="62"/>
      <c r="I78" s="60"/>
      <c r="J78" s="60"/>
      <c r="K78" s="64"/>
      <c r="L78" s="64"/>
      <c r="M78" s="25"/>
      <c r="N78" s="25"/>
    </row>
    <row r="79" spans="1:14">
      <c r="A79" s="3" t="s">
        <v>125</v>
      </c>
      <c r="B79" s="4">
        <v>201</v>
      </c>
      <c r="C79" s="7">
        <f t="shared" si="2"/>
        <v>0</v>
      </c>
      <c r="D79" s="7"/>
      <c r="E79" s="6">
        <f t="shared" si="3"/>
        <v>0</v>
      </c>
      <c r="F79" s="6">
        <f t="shared" si="4"/>
        <v>0</v>
      </c>
      <c r="G79" s="62"/>
      <c r="H79" s="62"/>
      <c r="I79" s="60"/>
      <c r="J79" s="60"/>
      <c r="K79" s="64"/>
      <c r="L79" s="64"/>
      <c r="M79" s="25"/>
      <c r="N79" s="25"/>
    </row>
    <row r="80" spans="1:14">
      <c r="A80" s="3" t="s">
        <v>126</v>
      </c>
      <c r="B80" s="4">
        <v>202</v>
      </c>
      <c r="C80" s="7">
        <f t="shared" si="2"/>
        <v>0</v>
      </c>
      <c r="D80" s="7"/>
      <c r="E80" s="6">
        <f t="shared" si="3"/>
        <v>0</v>
      </c>
      <c r="F80" s="6">
        <f t="shared" si="4"/>
        <v>0</v>
      </c>
      <c r="G80" s="62"/>
      <c r="H80" s="62"/>
      <c r="I80" s="60"/>
      <c r="J80" s="60"/>
      <c r="K80" s="64"/>
      <c r="L80" s="64"/>
      <c r="M80" s="25"/>
      <c r="N80" s="25"/>
    </row>
    <row r="81" spans="1:14">
      <c r="A81" s="8" t="s">
        <v>127</v>
      </c>
      <c r="B81" s="4">
        <v>302</v>
      </c>
      <c r="C81" s="7"/>
      <c r="D81" s="7">
        <f>F81-E81</f>
        <v>0</v>
      </c>
      <c r="E81" s="6">
        <f t="shared" si="3"/>
        <v>0</v>
      </c>
      <c r="F81" s="6">
        <f t="shared" si="4"/>
        <v>0</v>
      </c>
      <c r="G81" s="62"/>
      <c r="H81" s="62"/>
      <c r="I81" s="60"/>
      <c r="J81" s="60"/>
      <c r="K81" s="64"/>
      <c r="L81" s="64"/>
      <c r="M81" s="25"/>
      <c r="N81" s="25"/>
    </row>
    <row r="82" spans="1:14">
      <c r="A82" s="3" t="s">
        <v>128</v>
      </c>
      <c r="B82" s="4">
        <v>203</v>
      </c>
      <c r="C82" s="7">
        <f>E82-F82</f>
        <v>0</v>
      </c>
      <c r="D82" s="7"/>
      <c r="E82" s="6">
        <f t="shared" si="3"/>
        <v>0</v>
      </c>
      <c r="F82" s="6">
        <f t="shared" si="4"/>
        <v>0</v>
      </c>
      <c r="G82" s="62"/>
      <c r="H82" s="62"/>
      <c r="I82" s="60"/>
      <c r="J82" s="60"/>
      <c r="K82" s="64"/>
      <c r="L82" s="64"/>
      <c r="M82" s="25"/>
      <c r="N82" s="25"/>
    </row>
    <row r="83" spans="1:14">
      <c r="A83" s="3" t="s">
        <v>129</v>
      </c>
      <c r="B83" s="4">
        <v>303</v>
      </c>
      <c r="C83" s="7"/>
      <c r="D83" s="7">
        <f>F83-E83</f>
        <v>0</v>
      </c>
      <c r="E83" s="6">
        <f t="shared" si="3"/>
        <v>0</v>
      </c>
      <c r="F83" s="6">
        <f t="shared" si="4"/>
        <v>0</v>
      </c>
      <c r="G83" s="62"/>
      <c r="H83" s="62"/>
      <c r="I83" s="60"/>
      <c r="J83" s="60"/>
      <c r="K83" s="64"/>
      <c r="L83" s="64"/>
      <c r="M83" s="25"/>
      <c r="N83" s="25"/>
    </row>
    <row r="84" spans="1:14">
      <c r="A84" s="3" t="s">
        <v>130</v>
      </c>
      <c r="B84" s="4">
        <v>204</v>
      </c>
      <c r="C84" s="7">
        <f>E84-F84</f>
        <v>0</v>
      </c>
      <c r="D84" s="7"/>
      <c r="E84" s="6">
        <f t="shared" si="3"/>
        <v>0</v>
      </c>
      <c r="F84" s="6">
        <f t="shared" si="4"/>
        <v>0</v>
      </c>
      <c r="G84" s="62"/>
      <c r="H84" s="62"/>
      <c r="I84" s="60"/>
      <c r="J84" s="60"/>
      <c r="K84" s="64"/>
      <c r="L84" s="64"/>
      <c r="M84" s="25"/>
      <c r="N84" s="25"/>
    </row>
    <row r="85" spans="1:14">
      <c r="A85" s="3" t="s">
        <v>131</v>
      </c>
      <c r="B85" s="4">
        <v>304</v>
      </c>
      <c r="C85" s="7"/>
      <c r="D85" s="7">
        <f>F85-E85</f>
        <v>0</v>
      </c>
      <c r="E85" s="6">
        <f t="shared" si="3"/>
        <v>0</v>
      </c>
      <c r="F85" s="6">
        <f t="shared" si="4"/>
        <v>0</v>
      </c>
      <c r="G85" s="62"/>
      <c r="H85" s="62"/>
      <c r="I85" s="60"/>
      <c r="J85" s="60"/>
      <c r="K85" s="64"/>
      <c r="L85" s="64"/>
      <c r="M85" s="25"/>
      <c r="N85" s="25"/>
    </row>
    <row r="86" spans="1:14">
      <c r="A86" s="3" t="s">
        <v>132</v>
      </c>
      <c r="B86" s="4">
        <v>205</v>
      </c>
      <c r="C86" s="7">
        <f>E86-F86</f>
        <v>0</v>
      </c>
      <c r="D86" s="7"/>
      <c r="E86" s="6">
        <f t="shared" si="3"/>
        <v>0</v>
      </c>
      <c r="F86" s="6">
        <f t="shared" si="4"/>
        <v>0</v>
      </c>
      <c r="G86" s="62"/>
      <c r="H86" s="62"/>
      <c r="I86" s="60"/>
      <c r="J86" s="60"/>
      <c r="K86" s="64"/>
      <c r="L86" s="64"/>
      <c r="M86" s="25"/>
      <c r="N86" s="25"/>
    </row>
    <row r="87" spans="1:14" ht="28.5">
      <c r="A87" s="8" t="s">
        <v>133</v>
      </c>
      <c r="B87" s="4">
        <v>305</v>
      </c>
      <c r="C87" s="7"/>
      <c r="D87" s="7">
        <f>F87-E87</f>
        <v>0</v>
      </c>
      <c r="E87" s="6">
        <f t="shared" si="3"/>
        <v>0</v>
      </c>
      <c r="F87" s="6">
        <f t="shared" si="4"/>
        <v>0</v>
      </c>
      <c r="G87" s="62"/>
      <c r="H87" s="62"/>
      <c r="I87" s="60"/>
      <c r="J87" s="60"/>
      <c r="K87" s="64"/>
      <c r="L87" s="64"/>
      <c r="M87" s="25"/>
      <c r="N87" s="25"/>
    </row>
    <row r="88" spans="1:14">
      <c r="A88" s="8" t="s">
        <v>134</v>
      </c>
      <c r="B88" s="4" t="s">
        <v>135</v>
      </c>
      <c r="C88" s="7">
        <f>E88-F88</f>
        <v>0</v>
      </c>
      <c r="D88" s="7"/>
      <c r="E88" s="6">
        <f t="shared" si="3"/>
        <v>0</v>
      </c>
      <c r="F88" s="6">
        <f t="shared" si="4"/>
        <v>0</v>
      </c>
      <c r="G88" s="62"/>
      <c r="H88" s="62"/>
      <c r="I88" s="60"/>
      <c r="J88" s="60"/>
      <c r="K88" s="64"/>
      <c r="L88" s="64"/>
      <c r="M88" s="25"/>
      <c r="N88" s="25"/>
    </row>
    <row r="89" spans="1:14">
      <c r="A89" s="8" t="s">
        <v>136</v>
      </c>
      <c r="B89" s="4" t="s">
        <v>137</v>
      </c>
      <c r="C89" s="7"/>
      <c r="D89" s="7">
        <f>F89-E89</f>
        <v>0</v>
      </c>
      <c r="E89" s="6">
        <f t="shared" si="3"/>
        <v>0</v>
      </c>
      <c r="F89" s="6">
        <f t="shared" si="4"/>
        <v>0</v>
      </c>
      <c r="G89" s="62"/>
      <c r="H89" s="62"/>
      <c r="I89" s="60"/>
      <c r="J89" s="60"/>
      <c r="K89" s="64"/>
      <c r="L89" s="64"/>
      <c r="M89" s="25"/>
      <c r="N89" s="25"/>
    </row>
    <row r="90" spans="1:14">
      <c r="A90" s="8" t="s">
        <v>138</v>
      </c>
      <c r="B90" s="4" t="s">
        <v>139</v>
      </c>
      <c r="C90" s="7">
        <f>E90-F90</f>
        <v>0</v>
      </c>
      <c r="D90" s="7"/>
      <c r="E90" s="6">
        <f t="shared" si="3"/>
        <v>0</v>
      </c>
      <c r="F90" s="6">
        <f t="shared" si="4"/>
        <v>0</v>
      </c>
      <c r="G90" s="62"/>
      <c r="H90" s="62"/>
      <c r="I90" s="60"/>
      <c r="J90" s="60"/>
      <c r="K90" s="64"/>
      <c r="L90" s="64"/>
      <c r="M90" s="25"/>
      <c r="N90" s="25"/>
    </row>
    <row r="91" spans="1:14">
      <c r="A91" s="8" t="s">
        <v>140</v>
      </c>
      <c r="B91" s="4" t="s">
        <v>141</v>
      </c>
      <c r="C91" s="7"/>
      <c r="D91" s="7">
        <f>F91-E91</f>
        <v>0</v>
      </c>
      <c r="E91" s="6">
        <f t="shared" si="3"/>
        <v>0</v>
      </c>
      <c r="F91" s="6">
        <f t="shared" si="4"/>
        <v>0</v>
      </c>
      <c r="G91" s="62"/>
      <c r="H91" s="62"/>
      <c r="I91" s="60"/>
      <c r="J91" s="60"/>
      <c r="K91" s="64"/>
      <c r="L91" s="64"/>
      <c r="M91" s="25"/>
      <c r="N91" s="25"/>
    </row>
    <row r="92" spans="1:14">
      <c r="A92" s="8" t="s">
        <v>142</v>
      </c>
      <c r="B92" s="4" t="s">
        <v>143</v>
      </c>
      <c r="C92" s="7">
        <f>E92-F92</f>
        <v>0</v>
      </c>
      <c r="D92" s="7"/>
      <c r="E92" s="6">
        <f t="shared" si="3"/>
        <v>0</v>
      </c>
      <c r="F92" s="6">
        <f t="shared" si="4"/>
        <v>0</v>
      </c>
      <c r="G92" s="62"/>
      <c r="H92" s="62"/>
      <c r="I92" s="60"/>
      <c r="J92" s="60"/>
      <c r="K92" s="64"/>
      <c r="L92" s="64"/>
      <c r="M92" s="25"/>
      <c r="N92" s="25"/>
    </row>
    <row r="93" spans="1:14" ht="28.5">
      <c r="A93" s="8" t="s">
        <v>144</v>
      </c>
      <c r="B93" s="4" t="s">
        <v>145</v>
      </c>
      <c r="C93" s="7"/>
      <c r="D93" s="7">
        <f>F93-E93</f>
        <v>0</v>
      </c>
      <c r="E93" s="6">
        <f t="shared" si="3"/>
        <v>0</v>
      </c>
      <c r="F93" s="6">
        <f t="shared" si="4"/>
        <v>0</v>
      </c>
      <c r="G93" s="62"/>
      <c r="H93" s="62"/>
      <c r="I93" s="60"/>
      <c r="J93" s="60"/>
      <c r="K93" s="64"/>
      <c r="L93" s="64"/>
      <c r="M93" s="25"/>
      <c r="N93" s="25"/>
    </row>
    <row r="94" spans="1:14">
      <c r="A94" s="8" t="s">
        <v>146</v>
      </c>
      <c r="B94" s="4" t="s">
        <v>147</v>
      </c>
      <c r="C94" s="7">
        <f>E94-F94</f>
        <v>0</v>
      </c>
      <c r="D94" s="7"/>
      <c r="E94" s="6">
        <f t="shared" si="3"/>
        <v>0</v>
      </c>
      <c r="F94" s="6">
        <f t="shared" si="4"/>
        <v>0</v>
      </c>
      <c r="G94" s="62"/>
      <c r="H94" s="62"/>
      <c r="I94" s="60"/>
      <c r="J94" s="60"/>
      <c r="K94" s="64"/>
      <c r="L94" s="64"/>
      <c r="M94" s="25"/>
      <c r="N94" s="25"/>
    </row>
    <row r="95" spans="1:14" ht="28.5">
      <c r="A95" s="8" t="s">
        <v>148</v>
      </c>
      <c r="B95" s="4" t="s">
        <v>149</v>
      </c>
      <c r="C95" s="7"/>
      <c r="D95" s="7">
        <f>F95-E95</f>
        <v>0</v>
      </c>
      <c r="E95" s="6">
        <f t="shared" si="3"/>
        <v>0</v>
      </c>
      <c r="F95" s="6">
        <f t="shared" si="4"/>
        <v>0</v>
      </c>
      <c r="G95" s="62"/>
      <c r="H95" s="62"/>
      <c r="I95" s="60"/>
      <c r="J95" s="60"/>
      <c r="K95" s="64"/>
      <c r="L95" s="64"/>
      <c r="M95" s="25"/>
      <c r="N95" s="25"/>
    </row>
    <row r="96" spans="1:14">
      <c r="A96" s="8" t="s">
        <v>150</v>
      </c>
      <c r="B96" s="4" t="s">
        <v>151</v>
      </c>
      <c r="C96" s="7">
        <f>E96-F96</f>
        <v>0</v>
      </c>
      <c r="D96" s="7"/>
      <c r="E96" s="6">
        <f t="shared" si="3"/>
        <v>0</v>
      </c>
      <c r="F96" s="6">
        <f t="shared" si="4"/>
        <v>0</v>
      </c>
      <c r="G96" s="62"/>
      <c r="H96" s="62"/>
      <c r="I96" s="60"/>
      <c r="J96" s="60"/>
      <c r="K96" s="64"/>
      <c r="L96" s="64"/>
      <c r="M96" s="25"/>
      <c r="N96" s="25"/>
    </row>
    <row r="97" spans="1:14">
      <c r="A97" s="8" t="s">
        <v>152</v>
      </c>
      <c r="B97" s="4" t="s">
        <v>153</v>
      </c>
      <c r="C97" s="7"/>
      <c r="D97" s="7">
        <f>F97-E97</f>
        <v>0</v>
      </c>
      <c r="E97" s="6">
        <f t="shared" si="3"/>
        <v>0</v>
      </c>
      <c r="F97" s="6">
        <f t="shared" si="4"/>
        <v>0</v>
      </c>
      <c r="G97" s="62"/>
      <c r="H97" s="62"/>
      <c r="I97" s="60"/>
      <c r="J97" s="60"/>
      <c r="K97" s="64"/>
      <c r="L97" s="64"/>
      <c r="M97" s="25"/>
      <c r="N97" s="25"/>
    </row>
    <row r="98" spans="1:14">
      <c r="A98" s="8" t="s">
        <v>154</v>
      </c>
      <c r="B98" s="4" t="s">
        <v>155</v>
      </c>
      <c r="C98" s="7">
        <f>E98-F98</f>
        <v>0</v>
      </c>
      <c r="D98" s="7"/>
      <c r="E98" s="6">
        <f t="shared" si="3"/>
        <v>0</v>
      </c>
      <c r="F98" s="6">
        <f t="shared" si="4"/>
        <v>0</v>
      </c>
      <c r="G98" s="62"/>
      <c r="H98" s="62"/>
      <c r="I98" s="60"/>
      <c r="J98" s="60"/>
      <c r="K98" s="64"/>
      <c r="L98" s="64"/>
      <c r="M98" s="25"/>
      <c r="N98" s="25"/>
    </row>
    <row r="99" spans="1:14" ht="28.5">
      <c r="A99" s="8" t="s">
        <v>156</v>
      </c>
      <c r="B99" s="4" t="s">
        <v>157</v>
      </c>
      <c r="C99" s="7"/>
      <c r="D99" s="7">
        <f>F99-E99</f>
        <v>0</v>
      </c>
      <c r="E99" s="6">
        <f t="shared" si="3"/>
        <v>0</v>
      </c>
      <c r="F99" s="6">
        <f t="shared" si="4"/>
        <v>0</v>
      </c>
      <c r="G99" s="62"/>
      <c r="H99" s="62"/>
      <c r="I99" s="60"/>
      <c r="J99" s="60"/>
      <c r="K99" s="64"/>
      <c r="L99" s="64"/>
      <c r="M99" s="25"/>
      <c r="N99" s="25"/>
    </row>
    <row r="100" spans="1:14">
      <c r="A100" s="8" t="s">
        <v>158</v>
      </c>
      <c r="B100" s="4" t="s">
        <v>159</v>
      </c>
      <c r="C100" s="7">
        <f>E100-F100</f>
        <v>0</v>
      </c>
      <c r="D100" s="7"/>
      <c r="E100" s="6">
        <f t="shared" si="3"/>
        <v>0</v>
      </c>
      <c r="F100" s="6">
        <f t="shared" si="4"/>
        <v>0</v>
      </c>
      <c r="G100" s="62"/>
      <c r="H100" s="62"/>
      <c r="I100" s="60"/>
      <c r="J100" s="60"/>
      <c r="K100" s="64"/>
      <c r="L100" s="64"/>
      <c r="M100" s="25"/>
      <c r="N100" s="25"/>
    </row>
    <row r="101" spans="1:14" ht="28.5">
      <c r="A101" s="8" t="s">
        <v>160</v>
      </c>
      <c r="B101" s="4" t="s">
        <v>161</v>
      </c>
      <c r="C101" s="7"/>
      <c r="D101" s="7">
        <f>F101-E101</f>
        <v>0</v>
      </c>
      <c r="E101" s="6">
        <f t="shared" si="3"/>
        <v>0</v>
      </c>
      <c r="F101" s="6">
        <f t="shared" si="4"/>
        <v>0</v>
      </c>
      <c r="G101" s="62"/>
      <c r="H101" s="62"/>
      <c r="I101" s="60"/>
      <c r="J101" s="60"/>
      <c r="K101" s="64"/>
      <c r="L101" s="64"/>
      <c r="M101" s="25"/>
      <c r="N101" s="25"/>
    </row>
    <row r="102" spans="1:14">
      <c r="A102" s="8" t="s">
        <v>162</v>
      </c>
      <c r="B102" s="4" t="s">
        <v>163</v>
      </c>
      <c r="C102" s="7">
        <f>E102-F102</f>
        <v>0</v>
      </c>
      <c r="D102" s="7"/>
      <c r="E102" s="6">
        <f t="shared" si="3"/>
        <v>0</v>
      </c>
      <c r="F102" s="6">
        <f t="shared" si="4"/>
        <v>0</v>
      </c>
      <c r="G102" s="62"/>
      <c r="H102" s="62"/>
      <c r="I102" s="60"/>
      <c r="J102" s="60"/>
      <c r="K102" s="64"/>
      <c r="L102" s="64"/>
      <c r="M102" s="25"/>
      <c r="N102" s="25"/>
    </row>
    <row r="103" spans="1:14" ht="28.5">
      <c r="A103" s="8" t="s">
        <v>164</v>
      </c>
      <c r="B103" s="4" t="s">
        <v>165</v>
      </c>
      <c r="C103" s="7"/>
      <c r="D103" s="7">
        <f>F103-E103</f>
        <v>0</v>
      </c>
      <c r="E103" s="6">
        <f t="shared" si="3"/>
        <v>0</v>
      </c>
      <c r="F103" s="6">
        <f t="shared" si="4"/>
        <v>0</v>
      </c>
      <c r="G103" s="62"/>
      <c r="H103" s="62"/>
      <c r="I103" s="60"/>
      <c r="J103" s="60"/>
      <c r="K103" s="64"/>
      <c r="L103" s="64"/>
      <c r="M103" s="25"/>
      <c r="N103" s="25"/>
    </row>
    <row r="104" spans="1:14">
      <c r="A104" s="8" t="s">
        <v>166</v>
      </c>
      <c r="B104" s="4" t="s">
        <v>167</v>
      </c>
      <c r="C104" s="7">
        <f>E104-F104</f>
        <v>0</v>
      </c>
      <c r="D104" s="7"/>
      <c r="E104" s="6">
        <f t="shared" si="3"/>
        <v>0</v>
      </c>
      <c r="F104" s="6">
        <f t="shared" si="4"/>
        <v>0</v>
      </c>
      <c r="G104" s="62"/>
      <c r="H104" s="62"/>
      <c r="I104" s="60"/>
      <c r="J104" s="60"/>
      <c r="K104" s="64"/>
      <c r="L104" s="64"/>
      <c r="M104" s="25"/>
      <c r="N104" s="25"/>
    </row>
    <row r="105" spans="1:14">
      <c r="A105" s="8" t="s">
        <v>168</v>
      </c>
      <c r="B105" s="4" t="s">
        <v>169</v>
      </c>
      <c r="C105" s="7"/>
      <c r="D105" s="7">
        <f>F105-E105</f>
        <v>0</v>
      </c>
      <c r="E105" s="6">
        <f t="shared" si="3"/>
        <v>0</v>
      </c>
      <c r="F105" s="6">
        <f t="shared" si="4"/>
        <v>0</v>
      </c>
      <c r="G105" s="62"/>
      <c r="H105" s="62"/>
      <c r="I105" s="60"/>
      <c r="J105" s="60"/>
      <c r="K105" s="64"/>
      <c r="L105" s="64"/>
      <c r="M105" s="25"/>
      <c r="N105" s="25"/>
    </row>
    <row r="106" spans="1:14">
      <c r="A106" s="8" t="s">
        <v>170</v>
      </c>
      <c r="B106" s="4" t="s">
        <v>171</v>
      </c>
      <c r="C106" s="7">
        <f>E106-F106</f>
        <v>0</v>
      </c>
      <c r="D106" s="7"/>
      <c r="E106" s="6">
        <f t="shared" si="3"/>
        <v>0</v>
      </c>
      <c r="F106" s="6">
        <f t="shared" si="4"/>
        <v>0</v>
      </c>
      <c r="G106" s="62"/>
      <c r="H106" s="62"/>
      <c r="I106" s="60"/>
      <c r="J106" s="60"/>
      <c r="K106" s="64"/>
      <c r="L106" s="64"/>
      <c r="M106" s="25"/>
      <c r="N106" s="25"/>
    </row>
    <row r="107" spans="1:14" ht="28.5">
      <c r="A107" s="8" t="s">
        <v>172</v>
      </c>
      <c r="B107" s="4" t="s">
        <v>173</v>
      </c>
      <c r="C107" s="7"/>
      <c r="D107" s="7">
        <f>F107-E107</f>
        <v>0</v>
      </c>
      <c r="E107" s="6">
        <f t="shared" si="3"/>
        <v>0</v>
      </c>
      <c r="F107" s="6">
        <f t="shared" si="4"/>
        <v>0</v>
      </c>
      <c r="G107" s="62"/>
      <c r="H107" s="62"/>
      <c r="I107" s="60"/>
      <c r="J107" s="60"/>
      <c r="K107" s="64"/>
      <c r="L107" s="64"/>
      <c r="M107" s="25"/>
      <c r="N107" s="25"/>
    </row>
    <row r="108" spans="1:14">
      <c r="A108" s="8" t="s">
        <v>174</v>
      </c>
      <c r="B108" s="4" t="s">
        <v>175</v>
      </c>
      <c r="C108" s="7">
        <f>E108-F108</f>
        <v>0</v>
      </c>
      <c r="D108" s="7"/>
      <c r="E108" s="6">
        <f t="shared" si="3"/>
        <v>0</v>
      </c>
      <c r="F108" s="6">
        <f t="shared" si="4"/>
        <v>0</v>
      </c>
      <c r="G108" s="62"/>
      <c r="H108" s="62"/>
      <c r="I108" s="60"/>
      <c r="J108" s="60"/>
      <c r="K108" s="64"/>
      <c r="L108" s="64"/>
      <c r="M108" s="25"/>
      <c r="N108" s="25"/>
    </row>
    <row r="109" spans="1:14">
      <c r="A109" s="8" t="s">
        <v>176</v>
      </c>
      <c r="B109" s="4" t="s">
        <v>177</v>
      </c>
      <c r="C109" s="7"/>
      <c r="D109" s="7">
        <f>F109-E109</f>
        <v>0</v>
      </c>
      <c r="E109" s="6">
        <f t="shared" si="3"/>
        <v>0</v>
      </c>
      <c r="F109" s="6">
        <f t="shared" si="4"/>
        <v>0</v>
      </c>
      <c r="G109" s="62"/>
      <c r="H109" s="62"/>
      <c r="I109" s="60"/>
      <c r="J109" s="60"/>
      <c r="K109" s="64"/>
      <c r="L109" s="64"/>
      <c r="M109" s="25"/>
      <c r="N109" s="25"/>
    </row>
    <row r="110" spans="1:14">
      <c r="A110" s="8" t="s">
        <v>178</v>
      </c>
      <c r="B110" s="4" t="s">
        <v>179</v>
      </c>
      <c r="C110" s="7">
        <f>E110-F110</f>
        <v>0</v>
      </c>
      <c r="D110" s="7"/>
      <c r="E110" s="6">
        <f t="shared" si="3"/>
        <v>0</v>
      </c>
      <c r="F110" s="6">
        <f t="shared" si="4"/>
        <v>0</v>
      </c>
      <c r="G110" s="62"/>
      <c r="H110" s="62"/>
      <c r="I110" s="60"/>
      <c r="J110" s="60"/>
      <c r="K110" s="64"/>
      <c r="L110" s="64"/>
      <c r="M110" s="25"/>
      <c r="N110" s="25"/>
    </row>
    <row r="111" spans="1:14">
      <c r="A111" s="8" t="s">
        <v>180</v>
      </c>
      <c r="B111" s="4" t="s">
        <v>181</v>
      </c>
      <c r="C111" s="7"/>
      <c r="D111" s="7">
        <f>F111-E111</f>
        <v>0</v>
      </c>
      <c r="E111" s="6">
        <f t="shared" si="3"/>
        <v>0</v>
      </c>
      <c r="F111" s="6">
        <f t="shared" si="4"/>
        <v>0</v>
      </c>
      <c r="G111" s="62"/>
      <c r="H111" s="62"/>
      <c r="I111" s="60"/>
      <c r="J111" s="60"/>
      <c r="K111" s="64"/>
      <c r="L111" s="64"/>
      <c r="M111" s="25"/>
      <c r="N111" s="25"/>
    </row>
    <row r="112" spans="1:14">
      <c r="A112" s="8" t="s">
        <v>182</v>
      </c>
      <c r="B112" s="4" t="s">
        <v>183</v>
      </c>
      <c r="C112" s="7">
        <f>E112-F112</f>
        <v>0</v>
      </c>
      <c r="D112" s="7"/>
      <c r="E112" s="6">
        <f t="shared" si="3"/>
        <v>0</v>
      </c>
      <c r="F112" s="6">
        <f t="shared" si="4"/>
        <v>0</v>
      </c>
      <c r="G112" s="62"/>
      <c r="H112" s="62"/>
      <c r="I112" s="60"/>
      <c r="J112" s="60"/>
      <c r="K112" s="64"/>
      <c r="L112" s="64"/>
      <c r="M112" s="25"/>
      <c r="N112" s="25"/>
    </row>
    <row r="113" spans="1:14">
      <c r="A113" s="8" t="s">
        <v>184</v>
      </c>
      <c r="B113" s="4" t="s">
        <v>185</v>
      </c>
      <c r="C113" s="7"/>
      <c r="D113" s="7">
        <f>F113-E113</f>
        <v>0</v>
      </c>
      <c r="E113" s="6">
        <f t="shared" si="3"/>
        <v>0</v>
      </c>
      <c r="F113" s="6">
        <f t="shared" si="4"/>
        <v>0</v>
      </c>
      <c r="G113" s="62"/>
      <c r="H113" s="62"/>
      <c r="I113" s="60"/>
      <c r="J113" s="60"/>
      <c r="K113" s="64"/>
      <c r="L113" s="64"/>
      <c r="M113" s="25"/>
      <c r="N113" s="25"/>
    </row>
    <row r="114" spans="1:14">
      <c r="A114" s="8" t="s">
        <v>186</v>
      </c>
      <c r="B114" s="4" t="s">
        <v>187</v>
      </c>
      <c r="C114" s="7">
        <f>E114-F114</f>
        <v>0</v>
      </c>
      <c r="D114" s="7"/>
      <c r="E114" s="6">
        <f t="shared" si="3"/>
        <v>0</v>
      </c>
      <c r="F114" s="6">
        <f t="shared" si="4"/>
        <v>0</v>
      </c>
      <c r="G114" s="62"/>
      <c r="H114" s="62"/>
      <c r="I114" s="60"/>
      <c r="J114" s="60"/>
      <c r="K114" s="64"/>
      <c r="L114" s="64"/>
      <c r="M114" s="25"/>
      <c r="N114" s="25"/>
    </row>
    <row r="115" spans="1:14" ht="28.5">
      <c r="A115" s="8" t="s">
        <v>188</v>
      </c>
      <c r="B115" s="4" t="s">
        <v>189</v>
      </c>
      <c r="C115" s="7"/>
      <c r="D115" s="7">
        <f>F115-E115</f>
        <v>0</v>
      </c>
      <c r="E115" s="6">
        <f t="shared" si="3"/>
        <v>0</v>
      </c>
      <c r="F115" s="6">
        <f t="shared" si="4"/>
        <v>0</v>
      </c>
      <c r="G115" s="62"/>
      <c r="H115" s="62"/>
      <c r="I115" s="60"/>
      <c r="J115" s="60"/>
      <c r="K115" s="64"/>
      <c r="L115" s="64"/>
      <c r="M115" s="25"/>
      <c r="N115" s="25"/>
    </row>
    <row r="116" spans="1:14">
      <c r="A116" s="8" t="s">
        <v>190</v>
      </c>
      <c r="B116" s="4" t="s">
        <v>191</v>
      </c>
      <c r="C116" s="7">
        <f>E116-F116</f>
        <v>0</v>
      </c>
      <c r="D116" s="7"/>
      <c r="E116" s="6">
        <f t="shared" si="3"/>
        <v>0</v>
      </c>
      <c r="F116" s="6">
        <f t="shared" si="4"/>
        <v>0</v>
      </c>
      <c r="G116" s="62"/>
      <c r="H116" s="62"/>
      <c r="I116" s="60"/>
      <c r="J116" s="60"/>
      <c r="K116" s="64"/>
      <c r="L116" s="64"/>
      <c r="M116" s="25"/>
      <c r="N116" s="25"/>
    </row>
    <row r="117" spans="1:14">
      <c r="A117" s="8" t="s">
        <v>192</v>
      </c>
      <c r="B117" s="4" t="s">
        <v>193</v>
      </c>
      <c r="C117" s="7"/>
      <c r="D117" s="7">
        <f>F117-E117</f>
        <v>0</v>
      </c>
      <c r="E117" s="6">
        <f t="shared" si="3"/>
        <v>0</v>
      </c>
      <c r="F117" s="6">
        <f t="shared" si="4"/>
        <v>0</v>
      </c>
      <c r="G117" s="62"/>
      <c r="H117" s="62"/>
      <c r="I117" s="60"/>
      <c r="J117" s="60"/>
      <c r="K117" s="64"/>
      <c r="L117" s="64"/>
      <c r="M117" s="25"/>
      <c r="N117" s="25"/>
    </row>
    <row r="118" spans="1:14">
      <c r="A118" s="8" t="s">
        <v>194</v>
      </c>
      <c r="B118" s="4" t="s">
        <v>195</v>
      </c>
      <c r="C118" s="7">
        <f>E118-F118</f>
        <v>0</v>
      </c>
      <c r="D118" s="7"/>
      <c r="E118" s="6">
        <f t="shared" si="3"/>
        <v>0</v>
      </c>
      <c r="F118" s="6">
        <f t="shared" si="4"/>
        <v>0</v>
      </c>
      <c r="G118" s="62"/>
      <c r="H118" s="62"/>
      <c r="I118" s="60"/>
      <c r="J118" s="60"/>
      <c r="K118" s="64"/>
      <c r="L118" s="64"/>
      <c r="M118" s="25"/>
      <c r="N118" s="25"/>
    </row>
    <row r="119" spans="1:14" ht="28.5">
      <c r="A119" s="8" t="s">
        <v>196</v>
      </c>
      <c r="B119" s="4" t="s">
        <v>197</v>
      </c>
      <c r="C119" s="7"/>
      <c r="D119" s="7">
        <f>F119-E119</f>
        <v>0</v>
      </c>
      <c r="E119" s="6">
        <f t="shared" si="3"/>
        <v>0</v>
      </c>
      <c r="F119" s="6">
        <f t="shared" si="4"/>
        <v>0</v>
      </c>
      <c r="G119" s="62"/>
      <c r="H119" s="62"/>
      <c r="I119" s="60"/>
      <c r="J119" s="60"/>
      <c r="K119" s="64"/>
      <c r="L119" s="64"/>
      <c r="M119" s="25"/>
      <c r="N119" s="25"/>
    </row>
    <row r="120" spans="1:14">
      <c r="A120" s="8" t="s">
        <v>198</v>
      </c>
      <c r="B120" s="4" t="s">
        <v>199</v>
      </c>
      <c r="C120" s="7">
        <f>E120-F120</f>
        <v>0</v>
      </c>
      <c r="D120" s="7"/>
      <c r="E120" s="6">
        <f t="shared" si="3"/>
        <v>0</v>
      </c>
      <c r="F120" s="6">
        <f t="shared" si="4"/>
        <v>0</v>
      </c>
      <c r="G120" s="62"/>
      <c r="H120" s="62"/>
      <c r="I120" s="60"/>
      <c r="J120" s="60"/>
      <c r="K120" s="64"/>
      <c r="L120" s="64"/>
      <c r="M120" s="25"/>
      <c r="N120" s="25"/>
    </row>
    <row r="121" spans="1:14" ht="28.5">
      <c r="A121" s="8" t="s">
        <v>200</v>
      </c>
      <c r="B121" s="4" t="s">
        <v>201</v>
      </c>
      <c r="C121" s="7"/>
      <c r="D121" s="7">
        <f>F121-E121</f>
        <v>0</v>
      </c>
      <c r="E121" s="6">
        <f t="shared" si="3"/>
        <v>0</v>
      </c>
      <c r="F121" s="6">
        <f t="shared" si="4"/>
        <v>0</v>
      </c>
      <c r="G121" s="62"/>
      <c r="H121" s="62"/>
      <c r="I121" s="60"/>
      <c r="J121" s="60"/>
      <c r="K121" s="64"/>
      <c r="L121" s="64"/>
      <c r="M121" s="25"/>
      <c r="N121" s="25"/>
    </row>
    <row r="122" spans="1:14">
      <c r="A122" s="8" t="s">
        <v>202</v>
      </c>
      <c r="B122" s="4" t="s">
        <v>203</v>
      </c>
      <c r="C122" s="7">
        <f>E122-F122</f>
        <v>0</v>
      </c>
      <c r="D122" s="7"/>
      <c r="E122" s="6">
        <f t="shared" si="3"/>
        <v>0</v>
      </c>
      <c r="F122" s="6">
        <f t="shared" si="4"/>
        <v>0</v>
      </c>
      <c r="G122" s="62"/>
      <c r="H122" s="62"/>
      <c r="I122" s="60"/>
      <c r="J122" s="60"/>
      <c r="K122" s="64"/>
      <c r="L122" s="64"/>
      <c r="M122" s="25"/>
      <c r="N122" s="25"/>
    </row>
    <row r="123" spans="1:14" ht="28.5">
      <c r="A123" s="8" t="s">
        <v>204</v>
      </c>
      <c r="B123" s="4" t="s">
        <v>205</v>
      </c>
      <c r="C123" s="7"/>
      <c r="D123" s="7">
        <f>F123-E123</f>
        <v>0</v>
      </c>
      <c r="E123" s="6">
        <f t="shared" si="3"/>
        <v>0</v>
      </c>
      <c r="F123" s="6">
        <f t="shared" si="4"/>
        <v>0</v>
      </c>
      <c r="G123" s="62"/>
      <c r="H123" s="62"/>
      <c r="I123" s="60"/>
      <c r="J123" s="60"/>
      <c r="K123" s="64"/>
      <c r="L123" s="64"/>
      <c r="M123" s="25"/>
      <c r="N123" s="25"/>
    </row>
    <row r="124" spans="1:14">
      <c r="A124" s="8" t="s">
        <v>206</v>
      </c>
      <c r="B124" s="4" t="s">
        <v>207</v>
      </c>
      <c r="C124" s="7">
        <f>E124-F124</f>
        <v>0</v>
      </c>
      <c r="D124" s="7"/>
      <c r="E124" s="6">
        <f t="shared" si="3"/>
        <v>0</v>
      </c>
      <c r="F124" s="6">
        <f t="shared" si="4"/>
        <v>0</v>
      </c>
      <c r="G124" s="62"/>
      <c r="H124" s="62"/>
      <c r="I124" s="60"/>
      <c r="J124" s="60"/>
      <c r="K124" s="64"/>
      <c r="L124" s="64"/>
      <c r="M124" s="25"/>
      <c r="N124" s="25"/>
    </row>
    <row r="125" spans="1:14">
      <c r="A125" s="8" t="s">
        <v>208</v>
      </c>
      <c r="B125" s="4" t="s">
        <v>209</v>
      </c>
      <c r="C125" s="7"/>
      <c r="D125" s="7">
        <f>F125-E125</f>
        <v>0</v>
      </c>
      <c r="E125" s="6">
        <f t="shared" si="3"/>
        <v>0</v>
      </c>
      <c r="F125" s="6">
        <f t="shared" si="4"/>
        <v>0</v>
      </c>
      <c r="G125" s="62"/>
      <c r="H125" s="62"/>
      <c r="I125" s="60"/>
      <c r="J125" s="60"/>
      <c r="K125" s="64"/>
      <c r="L125" s="64"/>
      <c r="M125" s="25"/>
      <c r="N125" s="25"/>
    </row>
    <row r="126" spans="1:14">
      <c r="A126" s="8" t="s">
        <v>210</v>
      </c>
      <c r="B126" s="4" t="s">
        <v>211</v>
      </c>
      <c r="C126" s="7">
        <f>E126-F126</f>
        <v>0</v>
      </c>
      <c r="D126" s="7"/>
      <c r="E126" s="6">
        <f t="shared" si="3"/>
        <v>0</v>
      </c>
      <c r="F126" s="6">
        <f t="shared" si="4"/>
        <v>0</v>
      </c>
      <c r="G126" s="62"/>
      <c r="H126" s="62"/>
      <c r="I126" s="60"/>
      <c r="J126" s="60"/>
      <c r="K126" s="64"/>
      <c r="L126" s="64"/>
      <c r="M126" s="25"/>
      <c r="N126" s="25"/>
    </row>
    <row r="127" spans="1:14" ht="28.5">
      <c r="A127" s="8" t="s">
        <v>212</v>
      </c>
      <c r="B127" s="4" t="s">
        <v>213</v>
      </c>
      <c r="C127" s="7"/>
      <c r="D127" s="7">
        <f>F127-E127</f>
        <v>0</v>
      </c>
      <c r="E127" s="6">
        <f t="shared" si="3"/>
        <v>0</v>
      </c>
      <c r="F127" s="6">
        <f t="shared" si="4"/>
        <v>0</v>
      </c>
      <c r="G127" s="62"/>
      <c r="H127" s="62"/>
      <c r="I127" s="60"/>
      <c r="J127" s="60"/>
      <c r="K127" s="64"/>
      <c r="L127" s="64"/>
      <c r="M127" s="25"/>
      <c r="N127" s="25"/>
    </row>
    <row r="128" spans="1:14">
      <c r="A128" s="8" t="s">
        <v>214</v>
      </c>
      <c r="B128" s="4" t="s">
        <v>215</v>
      </c>
      <c r="C128" s="7">
        <f>E128-F128</f>
        <v>0</v>
      </c>
      <c r="D128" s="7"/>
      <c r="E128" s="6">
        <f t="shared" si="3"/>
        <v>0</v>
      </c>
      <c r="F128" s="6">
        <f t="shared" si="4"/>
        <v>0</v>
      </c>
      <c r="G128" s="62"/>
      <c r="H128" s="62"/>
      <c r="I128" s="60"/>
      <c r="J128" s="60"/>
      <c r="K128" s="64"/>
      <c r="L128" s="64"/>
      <c r="M128" s="25"/>
      <c r="N128" s="25"/>
    </row>
    <row r="129" spans="1:14" ht="28.5">
      <c r="A129" s="8" t="s">
        <v>216</v>
      </c>
      <c r="B129" s="4" t="s">
        <v>217</v>
      </c>
      <c r="C129" s="7"/>
      <c r="D129" s="7">
        <f>F129-E129</f>
        <v>0</v>
      </c>
      <c r="E129" s="6">
        <f t="shared" si="3"/>
        <v>0</v>
      </c>
      <c r="F129" s="6">
        <f t="shared" si="4"/>
        <v>0</v>
      </c>
      <c r="G129" s="62"/>
      <c r="H129" s="62"/>
      <c r="I129" s="60"/>
      <c r="J129" s="60"/>
      <c r="K129" s="64"/>
      <c r="L129" s="64"/>
      <c r="M129" s="25"/>
      <c r="N129" s="25"/>
    </row>
    <row r="130" spans="1:14">
      <c r="A130" s="8" t="s">
        <v>218</v>
      </c>
      <c r="B130" s="4" t="s">
        <v>219</v>
      </c>
      <c r="C130" s="7">
        <f>E130-F130</f>
        <v>0</v>
      </c>
      <c r="D130" s="7"/>
      <c r="E130" s="6">
        <f t="shared" si="3"/>
        <v>0</v>
      </c>
      <c r="F130" s="6">
        <f t="shared" si="4"/>
        <v>0</v>
      </c>
      <c r="G130" s="62"/>
      <c r="H130" s="62"/>
      <c r="I130" s="60"/>
      <c r="J130" s="60"/>
      <c r="K130" s="64"/>
      <c r="L130" s="64"/>
      <c r="M130" s="25"/>
      <c r="N130" s="25"/>
    </row>
    <row r="131" spans="1:14">
      <c r="A131" s="8" t="s">
        <v>220</v>
      </c>
      <c r="B131" s="4" t="s">
        <v>221</v>
      </c>
      <c r="C131" s="7"/>
      <c r="D131" s="7">
        <f>F131-E131</f>
        <v>0</v>
      </c>
      <c r="E131" s="6">
        <f t="shared" si="3"/>
        <v>0</v>
      </c>
      <c r="F131" s="6">
        <f t="shared" si="4"/>
        <v>0</v>
      </c>
      <c r="G131" s="62"/>
      <c r="H131" s="62"/>
      <c r="I131" s="60"/>
      <c r="J131" s="60"/>
      <c r="K131" s="64"/>
      <c r="L131" s="64"/>
      <c r="M131" s="25"/>
      <c r="N131" s="25"/>
    </row>
    <row r="132" spans="1:14">
      <c r="A132" s="8" t="s">
        <v>222</v>
      </c>
      <c r="B132" s="4" t="s">
        <v>223</v>
      </c>
      <c r="C132" s="7">
        <f>E132-F132</f>
        <v>0</v>
      </c>
      <c r="D132" s="7"/>
      <c r="E132" s="6">
        <f t="shared" si="3"/>
        <v>0</v>
      </c>
      <c r="F132" s="6">
        <f t="shared" si="4"/>
        <v>0</v>
      </c>
      <c r="G132" s="62"/>
      <c r="H132" s="62"/>
      <c r="I132" s="60"/>
      <c r="J132" s="60"/>
      <c r="K132" s="64"/>
      <c r="L132" s="64"/>
      <c r="M132" s="25"/>
      <c r="N132" s="25"/>
    </row>
    <row r="133" spans="1:14" ht="28.5">
      <c r="A133" s="8" t="s">
        <v>224</v>
      </c>
      <c r="B133" s="4" t="s">
        <v>225</v>
      </c>
      <c r="C133" s="7"/>
      <c r="D133" s="7">
        <f>F133-E133</f>
        <v>0</v>
      </c>
      <c r="E133" s="6">
        <f t="shared" si="3"/>
        <v>0</v>
      </c>
      <c r="F133" s="6">
        <f t="shared" si="4"/>
        <v>0</v>
      </c>
      <c r="G133" s="62"/>
      <c r="H133" s="62"/>
      <c r="I133" s="60"/>
      <c r="J133" s="60"/>
      <c r="K133" s="64"/>
      <c r="L133" s="64"/>
      <c r="M133" s="25"/>
      <c r="N133" s="25"/>
    </row>
    <row r="134" spans="1:14">
      <c r="A134" s="8" t="s">
        <v>226</v>
      </c>
      <c r="B134" s="4" t="s">
        <v>227</v>
      </c>
      <c r="C134" s="7">
        <f>E134-F134</f>
        <v>0</v>
      </c>
      <c r="D134" s="7"/>
      <c r="E134" s="6">
        <f t="shared" si="3"/>
        <v>0</v>
      </c>
      <c r="F134" s="6">
        <f t="shared" si="4"/>
        <v>0</v>
      </c>
      <c r="G134" s="62"/>
      <c r="H134" s="62"/>
      <c r="I134" s="60"/>
      <c r="J134" s="60"/>
      <c r="K134" s="64"/>
      <c r="L134" s="64"/>
      <c r="M134" s="25"/>
      <c r="N134" s="25"/>
    </row>
    <row r="135" spans="1:14" ht="28.5">
      <c r="A135" s="8" t="s">
        <v>228</v>
      </c>
      <c r="B135" s="4" t="s">
        <v>229</v>
      </c>
      <c r="C135" s="7"/>
      <c r="D135" s="7">
        <f>F135-E135</f>
        <v>0</v>
      </c>
      <c r="E135" s="6">
        <f t="shared" si="3"/>
        <v>0</v>
      </c>
      <c r="F135" s="6">
        <f t="shared" si="4"/>
        <v>0</v>
      </c>
      <c r="G135" s="62"/>
      <c r="H135" s="62"/>
      <c r="I135" s="60"/>
      <c r="J135" s="60"/>
      <c r="K135" s="64"/>
      <c r="L135" s="64"/>
      <c r="M135" s="25"/>
      <c r="N135" s="25"/>
    </row>
    <row r="136" spans="1:14">
      <c r="A136" s="8" t="s">
        <v>230</v>
      </c>
      <c r="B136" s="4" t="s">
        <v>231</v>
      </c>
      <c r="C136" s="7">
        <f>E136-F136</f>
        <v>0</v>
      </c>
      <c r="D136" s="7"/>
      <c r="E136" s="6">
        <f t="shared" si="3"/>
        <v>0</v>
      </c>
      <c r="F136" s="6">
        <f t="shared" si="4"/>
        <v>0</v>
      </c>
      <c r="G136" s="62"/>
      <c r="H136" s="62"/>
      <c r="I136" s="60"/>
      <c r="J136" s="60"/>
      <c r="K136" s="64"/>
      <c r="L136" s="64"/>
      <c r="M136" s="25"/>
      <c r="N136" s="25"/>
    </row>
    <row r="137" spans="1:14">
      <c r="A137" s="8" t="s">
        <v>232</v>
      </c>
      <c r="B137" s="4" t="s">
        <v>233</v>
      </c>
      <c r="C137" s="7"/>
      <c r="D137" s="7">
        <f>F137-E137</f>
        <v>0</v>
      </c>
      <c r="E137" s="6">
        <f t="shared" si="3"/>
        <v>0</v>
      </c>
      <c r="F137" s="6">
        <f t="shared" si="4"/>
        <v>0</v>
      </c>
      <c r="G137" s="62"/>
      <c r="H137" s="62"/>
      <c r="I137" s="60"/>
      <c r="J137" s="60"/>
      <c r="K137" s="64"/>
      <c r="L137" s="64"/>
      <c r="M137" s="25"/>
      <c r="N137" s="25"/>
    </row>
    <row r="138" spans="1:14">
      <c r="A138" s="8" t="s">
        <v>234</v>
      </c>
      <c r="B138" s="4" t="s">
        <v>235</v>
      </c>
      <c r="C138" s="7">
        <f>E138-F138</f>
        <v>0</v>
      </c>
      <c r="D138" s="7"/>
      <c r="E138" s="6">
        <f t="shared" si="3"/>
        <v>0</v>
      </c>
      <c r="F138" s="6">
        <f t="shared" si="4"/>
        <v>0</v>
      </c>
      <c r="G138" s="62"/>
      <c r="H138" s="62"/>
      <c r="I138" s="60"/>
      <c r="J138" s="60"/>
      <c r="K138" s="64"/>
      <c r="L138" s="64"/>
      <c r="M138" s="25"/>
      <c r="N138" s="25"/>
    </row>
    <row r="139" spans="1:14">
      <c r="A139" s="8" t="s">
        <v>236</v>
      </c>
      <c r="B139" s="4" t="s">
        <v>237</v>
      </c>
      <c r="C139" s="7"/>
      <c r="D139" s="7">
        <f>F139-E139</f>
        <v>0</v>
      </c>
      <c r="E139" s="6">
        <f t="shared" si="3"/>
        <v>0</v>
      </c>
      <c r="F139" s="6">
        <f t="shared" si="4"/>
        <v>0</v>
      </c>
      <c r="G139" s="62"/>
      <c r="H139" s="62"/>
      <c r="I139" s="60"/>
      <c r="J139" s="60"/>
      <c r="K139" s="64"/>
      <c r="L139" s="64"/>
      <c r="M139" s="25"/>
      <c r="N139" s="25"/>
    </row>
    <row r="140" spans="1:14">
      <c r="A140" s="8" t="s">
        <v>238</v>
      </c>
      <c r="B140" s="4" t="s">
        <v>239</v>
      </c>
      <c r="C140" s="7">
        <f>E140-F140</f>
        <v>0</v>
      </c>
      <c r="D140" s="7"/>
      <c r="E140" s="6">
        <f t="shared" si="3"/>
        <v>0</v>
      </c>
      <c r="F140" s="6">
        <f t="shared" si="4"/>
        <v>0</v>
      </c>
      <c r="G140" s="62"/>
      <c r="H140" s="62"/>
      <c r="I140" s="60"/>
      <c r="J140" s="60"/>
      <c r="K140" s="64"/>
      <c r="L140" s="64"/>
      <c r="M140" s="25"/>
      <c r="N140" s="25"/>
    </row>
    <row r="141" spans="1:14" ht="28.5">
      <c r="A141" s="8" t="s">
        <v>240</v>
      </c>
      <c r="B141" s="4" t="s">
        <v>241</v>
      </c>
      <c r="C141" s="7"/>
      <c r="D141" s="7">
        <f>F141-E141</f>
        <v>0</v>
      </c>
      <c r="E141" s="6">
        <f t="shared" si="3"/>
        <v>0</v>
      </c>
      <c r="F141" s="6">
        <f t="shared" si="4"/>
        <v>0</v>
      </c>
      <c r="G141" s="62"/>
      <c r="H141" s="62"/>
      <c r="I141" s="60"/>
      <c r="J141" s="60"/>
      <c r="K141" s="64"/>
      <c r="L141" s="64"/>
      <c r="M141" s="25"/>
      <c r="N141" s="25"/>
    </row>
    <row r="142" spans="1:14">
      <c r="A142" s="8" t="s">
        <v>242</v>
      </c>
      <c r="B142" s="4" t="s">
        <v>243</v>
      </c>
      <c r="C142" s="7">
        <f>E142-F142</f>
        <v>0</v>
      </c>
      <c r="D142" s="7"/>
      <c r="E142" s="6">
        <f t="shared" ref="E142:E205" si="5">SUM(G142,I142,K142,M142)</f>
        <v>0</v>
      </c>
      <c r="F142" s="6">
        <f t="shared" ref="F142:F205" si="6">SUM(H142,J142,L142,N142)</f>
        <v>0</v>
      </c>
      <c r="G142" s="62"/>
      <c r="H142" s="62"/>
      <c r="I142" s="60"/>
      <c r="J142" s="60"/>
      <c r="K142" s="64"/>
      <c r="L142" s="64"/>
      <c r="M142" s="25"/>
      <c r="N142" s="25"/>
    </row>
    <row r="143" spans="1:14">
      <c r="A143" s="8" t="s">
        <v>244</v>
      </c>
      <c r="B143" s="4" t="s">
        <v>245</v>
      </c>
      <c r="C143" s="7"/>
      <c r="D143" s="7">
        <f>F143-E143</f>
        <v>0</v>
      </c>
      <c r="E143" s="6">
        <f t="shared" si="5"/>
        <v>0</v>
      </c>
      <c r="F143" s="6">
        <f t="shared" si="6"/>
        <v>0</v>
      </c>
      <c r="G143" s="62"/>
      <c r="H143" s="62"/>
      <c r="I143" s="60"/>
      <c r="J143" s="60"/>
      <c r="K143" s="64"/>
      <c r="L143" s="64"/>
      <c r="M143" s="25"/>
      <c r="N143" s="25"/>
    </row>
    <row r="144" spans="1:14">
      <c r="A144" s="8" t="s">
        <v>246</v>
      </c>
      <c r="B144" s="4" t="s">
        <v>247</v>
      </c>
      <c r="C144" s="7">
        <f>E144-F144</f>
        <v>0</v>
      </c>
      <c r="D144" s="7"/>
      <c r="E144" s="6">
        <f t="shared" si="5"/>
        <v>0</v>
      </c>
      <c r="F144" s="6">
        <f t="shared" si="6"/>
        <v>0</v>
      </c>
      <c r="G144" s="62"/>
      <c r="H144" s="62"/>
      <c r="I144" s="60"/>
      <c r="J144" s="60"/>
      <c r="K144" s="64"/>
      <c r="L144" s="64"/>
      <c r="M144" s="25"/>
      <c r="N144" s="25"/>
    </row>
    <row r="145" spans="1:14" ht="28.5">
      <c r="A145" s="8" t="s">
        <v>248</v>
      </c>
      <c r="B145" s="4" t="s">
        <v>249</v>
      </c>
      <c r="C145" s="7"/>
      <c r="D145" s="7">
        <f>F145-E145</f>
        <v>0</v>
      </c>
      <c r="E145" s="6">
        <f t="shared" si="5"/>
        <v>0</v>
      </c>
      <c r="F145" s="6">
        <f t="shared" si="6"/>
        <v>0</v>
      </c>
      <c r="G145" s="62"/>
      <c r="H145" s="62"/>
      <c r="I145" s="60"/>
      <c r="J145" s="60"/>
      <c r="K145" s="64"/>
      <c r="L145" s="64"/>
      <c r="M145" s="25"/>
      <c r="N145" s="25"/>
    </row>
    <row r="146" spans="1:14">
      <c r="A146" s="8" t="s">
        <v>250</v>
      </c>
      <c r="B146" s="4" t="s">
        <v>251</v>
      </c>
      <c r="C146" s="7">
        <f>E146-F146</f>
        <v>0</v>
      </c>
      <c r="D146" s="7"/>
      <c r="E146" s="6">
        <f t="shared" si="5"/>
        <v>0</v>
      </c>
      <c r="F146" s="6">
        <f t="shared" si="6"/>
        <v>0</v>
      </c>
      <c r="G146" s="62"/>
      <c r="H146" s="62"/>
      <c r="I146" s="60"/>
      <c r="J146" s="60"/>
      <c r="K146" s="64"/>
      <c r="L146" s="64"/>
      <c r="M146" s="25"/>
      <c r="N146" s="25"/>
    </row>
    <row r="147" spans="1:14" ht="28.5">
      <c r="A147" s="8" t="s">
        <v>252</v>
      </c>
      <c r="B147" s="4" t="s">
        <v>253</v>
      </c>
      <c r="C147" s="7"/>
      <c r="D147" s="7">
        <f>F147-E147</f>
        <v>0</v>
      </c>
      <c r="E147" s="6">
        <f t="shared" si="5"/>
        <v>0</v>
      </c>
      <c r="F147" s="6">
        <f t="shared" si="6"/>
        <v>0</v>
      </c>
      <c r="G147" s="62"/>
      <c r="H147" s="62"/>
      <c r="I147" s="60"/>
      <c r="J147" s="60"/>
      <c r="K147" s="64"/>
      <c r="L147" s="64"/>
      <c r="M147" s="25"/>
      <c r="N147" s="25"/>
    </row>
    <row r="148" spans="1:14">
      <c r="A148" s="8" t="s">
        <v>254</v>
      </c>
      <c r="B148" s="4" t="s">
        <v>255</v>
      </c>
      <c r="C148" s="7">
        <f t="shared" ref="C148:C173" si="7">E148-F148</f>
        <v>0</v>
      </c>
      <c r="D148" s="7"/>
      <c r="E148" s="6">
        <f t="shared" si="5"/>
        <v>0</v>
      </c>
      <c r="F148" s="6">
        <f t="shared" si="6"/>
        <v>0</v>
      </c>
      <c r="G148" s="62"/>
      <c r="H148" s="62"/>
      <c r="I148" s="60"/>
      <c r="J148" s="60"/>
      <c r="K148" s="64"/>
      <c r="L148" s="64"/>
      <c r="M148" s="25"/>
      <c r="N148" s="25"/>
    </row>
    <row r="149" spans="1:14">
      <c r="A149" s="8" t="s">
        <v>256</v>
      </c>
      <c r="B149" s="4" t="s">
        <v>257</v>
      </c>
      <c r="C149" s="7">
        <f t="shared" si="7"/>
        <v>0</v>
      </c>
      <c r="D149" s="7"/>
      <c r="E149" s="6">
        <f t="shared" si="5"/>
        <v>0</v>
      </c>
      <c r="F149" s="6">
        <f t="shared" si="6"/>
        <v>0</v>
      </c>
      <c r="G149" s="62"/>
      <c r="H149" s="62"/>
      <c r="I149" s="60"/>
      <c r="J149" s="60"/>
      <c r="K149" s="64"/>
      <c r="L149" s="64"/>
      <c r="M149" s="25"/>
      <c r="N149" s="25"/>
    </row>
    <row r="150" spans="1:14">
      <c r="A150" s="8" t="s">
        <v>258</v>
      </c>
      <c r="B150" s="4" t="s">
        <v>259</v>
      </c>
      <c r="C150" s="7">
        <f t="shared" si="7"/>
        <v>0</v>
      </c>
      <c r="D150" s="7"/>
      <c r="E150" s="6">
        <f t="shared" si="5"/>
        <v>0</v>
      </c>
      <c r="F150" s="6">
        <f t="shared" si="6"/>
        <v>0</v>
      </c>
      <c r="G150" s="62"/>
      <c r="H150" s="62"/>
      <c r="I150" s="60"/>
      <c r="J150" s="60"/>
      <c r="K150" s="64"/>
      <c r="L150" s="64"/>
      <c r="M150" s="25"/>
      <c r="N150" s="25"/>
    </row>
    <row r="151" spans="1:14" ht="28.5">
      <c r="A151" s="8" t="s">
        <v>260</v>
      </c>
      <c r="B151" s="4" t="s">
        <v>261</v>
      </c>
      <c r="C151" s="7">
        <f t="shared" si="7"/>
        <v>0</v>
      </c>
      <c r="D151" s="7"/>
      <c r="E151" s="6">
        <f t="shared" si="5"/>
        <v>0</v>
      </c>
      <c r="F151" s="6">
        <f t="shared" si="6"/>
        <v>0</v>
      </c>
      <c r="G151" s="62"/>
      <c r="H151" s="62"/>
      <c r="I151" s="60"/>
      <c r="J151" s="60"/>
      <c r="K151" s="64"/>
      <c r="L151" s="64"/>
      <c r="M151" s="25"/>
      <c r="N151" s="25"/>
    </row>
    <row r="152" spans="1:14">
      <c r="A152" s="8" t="s">
        <v>262</v>
      </c>
      <c r="B152" s="4" t="s">
        <v>263</v>
      </c>
      <c r="C152" s="7">
        <f t="shared" si="7"/>
        <v>0</v>
      </c>
      <c r="D152" s="7"/>
      <c r="E152" s="6">
        <f t="shared" si="5"/>
        <v>0</v>
      </c>
      <c r="F152" s="6">
        <f t="shared" si="6"/>
        <v>0</v>
      </c>
      <c r="G152" s="62"/>
      <c r="H152" s="62"/>
      <c r="I152" s="60"/>
      <c r="J152" s="60"/>
      <c r="K152" s="64"/>
      <c r="L152" s="64"/>
      <c r="M152" s="25"/>
      <c r="N152" s="25"/>
    </row>
    <row r="153" spans="1:14">
      <c r="A153" s="8" t="s">
        <v>264</v>
      </c>
      <c r="B153" s="4" t="s">
        <v>265</v>
      </c>
      <c r="C153" s="7">
        <f t="shared" si="7"/>
        <v>0</v>
      </c>
      <c r="D153" s="7"/>
      <c r="E153" s="6">
        <f t="shared" si="5"/>
        <v>0</v>
      </c>
      <c r="F153" s="6">
        <f t="shared" si="6"/>
        <v>0</v>
      </c>
      <c r="G153" s="62"/>
      <c r="H153" s="62"/>
      <c r="I153" s="60"/>
      <c r="J153" s="60"/>
      <c r="K153" s="64"/>
      <c r="L153" s="64"/>
      <c r="M153" s="25"/>
      <c r="N153" s="25"/>
    </row>
    <row r="154" spans="1:14" ht="28.5">
      <c r="A154" s="8" t="s">
        <v>266</v>
      </c>
      <c r="B154" s="4" t="s">
        <v>267</v>
      </c>
      <c r="C154" s="7">
        <f t="shared" si="7"/>
        <v>0</v>
      </c>
      <c r="D154" s="7"/>
      <c r="E154" s="6">
        <f t="shared" si="5"/>
        <v>0</v>
      </c>
      <c r="F154" s="6">
        <f t="shared" si="6"/>
        <v>0</v>
      </c>
      <c r="G154" s="62"/>
      <c r="H154" s="62"/>
      <c r="I154" s="60"/>
      <c r="J154" s="60"/>
      <c r="K154" s="64"/>
      <c r="L154" s="64"/>
      <c r="M154" s="25"/>
      <c r="N154" s="25"/>
    </row>
    <row r="155" spans="1:14">
      <c r="A155" s="8" t="s">
        <v>268</v>
      </c>
      <c r="B155" s="4" t="s">
        <v>269</v>
      </c>
      <c r="C155" s="7">
        <f t="shared" si="7"/>
        <v>0</v>
      </c>
      <c r="D155" s="7"/>
      <c r="E155" s="6">
        <f t="shared" si="5"/>
        <v>0</v>
      </c>
      <c r="F155" s="6">
        <f t="shared" si="6"/>
        <v>0</v>
      </c>
      <c r="G155" s="62"/>
      <c r="H155" s="62"/>
      <c r="I155" s="60"/>
      <c r="J155" s="60"/>
      <c r="K155" s="64"/>
      <c r="L155" s="64"/>
      <c r="M155" s="25"/>
      <c r="N155" s="25"/>
    </row>
    <row r="156" spans="1:14">
      <c r="A156" s="8" t="s">
        <v>270</v>
      </c>
      <c r="B156" s="4" t="s">
        <v>271</v>
      </c>
      <c r="C156" s="7">
        <f t="shared" si="7"/>
        <v>0</v>
      </c>
      <c r="D156" s="7"/>
      <c r="E156" s="6">
        <f t="shared" si="5"/>
        <v>0</v>
      </c>
      <c r="F156" s="6">
        <f t="shared" si="6"/>
        <v>0</v>
      </c>
      <c r="G156" s="62"/>
      <c r="H156" s="62"/>
      <c r="I156" s="60"/>
      <c r="J156" s="60"/>
      <c r="K156" s="64"/>
      <c r="L156" s="64"/>
      <c r="M156" s="25"/>
      <c r="N156" s="25"/>
    </row>
    <row r="157" spans="1:14">
      <c r="A157" s="8" t="s">
        <v>272</v>
      </c>
      <c r="B157" s="4" t="s">
        <v>273</v>
      </c>
      <c r="C157" s="7">
        <f t="shared" si="7"/>
        <v>0</v>
      </c>
      <c r="D157" s="7"/>
      <c r="E157" s="6">
        <f t="shared" si="5"/>
        <v>0</v>
      </c>
      <c r="F157" s="6">
        <f t="shared" si="6"/>
        <v>0</v>
      </c>
      <c r="G157" s="62"/>
      <c r="H157" s="62"/>
      <c r="I157" s="60"/>
      <c r="J157" s="60"/>
      <c r="K157" s="64"/>
      <c r="L157" s="64"/>
      <c r="M157" s="25"/>
      <c r="N157" s="25"/>
    </row>
    <row r="158" spans="1:14">
      <c r="A158" s="8" t="s">
        <v>274</v>
      </c>
      <c r="B158" s="4" t="s">
        <v>275</v>
      </c>
      <c r="C158" s="7">
        <f t="shared" si="7"/>
        <v>0</v>
      </c>
      <c r="D158" s="7"/>
      <c r="E158" s="6">
        <f t="shared" si="5"/>
        <v>0</v>
      </c>
      <c r="F158" s="6">
        <f t="shared" si="6"/>
        <v>0</v>
      </c>
      <c r="G158" s="62"/>
      <c r="H158" s="62"/>
      <c r="I158" s="60"/>
      <c r="J158" s="60"/>
      <c r="K158" s="64"/>
      <c r="L158" s="64"/>
      <c r="M158" s="25"/>
      <c r="N158" s="25"/>
    </row>
    <row r="159" spans="1:14" ht="28.5">
      <c r="A159" s="8" t="s">
        <v>276</v>
      </c>
      <c r="B159" s="4" t="s">
        <v>277</v>
      </c>
      <c r="C159" s="7">
        <f t="shared" si="7"/>
        <v>0</v>
      </c>
      <c r="D159" s="7"/>
      <c r="E159" s="6">
        <f t="shared" si="5"/>
        <v>0</v>
      </c>
      <c r="F159" s="6">
        <f t="shared" si="6"/>
        <v>0</v>
      </c>
      <c r="G159" s="62"/>
      <c r="H159" s="62"/>
      <c r="I159" s="60"/>
      <c r="J159" s="60"/>
      <c r="K159" s="64"/>
      <c r="L159" s="64"/>
      <c r="M159" s="25"/>
      <c r="N159" s="25"/>
    </row>
    <row r="160" spans="1:14" ht="28.5">
      <c r="A160" s="8" t="s">
        <v>278</v>
      </c>
      <c r="B160" s="4" t="s">
        <v>279</v>
      </c>
      <c r="C160" s="7">
        <f t="shared" si="7"/>
        <v>0</v>
      </c>
      <c r="D160" s="7"/>
      <c r="E160" s="6">
        <f t="shared" si="5"/>
        <v>0</v>
      </c>
      <c r="F160" s="6">
        <f t="shared" si="6"/>
        <v>0</v>
      </c>
      <c r="G160" s="62"/>
      <c r="H160" s="62"/>
      <c r="I160" s="60"/>
      <c r="J160" s="60"/>
      <c r="K160" s="64"/>
      <c r="L160" s="64"/>
      <c r="M160" s="25"/>
      <c r="N160" s="25"/>
    </row>
    <row r="161" spans="1:14" ht="28.5">
      <c r="A161" s="8" t="s">
        <v>280</v>
      </c>
      <c r="B161" s="4" t="s">
        <v>281</v>
      </c>
      <c r="C161" s="7">
        <f t="shared" si="7"/>
        <v>0</v>
      </c>
      <c r="D161" s="7"/>
      <c r="E161" s="6">
        <f t="shared" si="5"/>
        <v>0</v>
      </c>
      <c r="F161" s="6">
        <f t="shared" si="6"/>
        <v>0</v>
      </c>
      <c r="G161" s="62"/>
      <c r="H161" s="62"/>
      <c r="I161" s="60"/>
      <c r="J161" s="60"/>
      <c r="K161" s="64"/>
      <c r="L161" s="64"/>
      <c r="M161" s="25"/>
      <c r="N161" s="25"/>
    </row>
    <row r="162" spans="1:14" ht="28.5">
      <c r="A162" s="8" t="s">
        <v>282</v>
      </c>
      <c r="B162" s="4" t="s">
        <v>283</v>
      </c>
      <c r="C162" s="7">
        <f t="shared" si="7"/>
        <v>0</v>
      </c>
      <c r="D162" s="7"/>
      <c r="E162" s="6">
        <f t="shared" si="5"/>
        <v>0</v>
      </c>
      <c r="F162" s="6">
        <f t="shared" si="6"/>
        <v>0</v>
      </c>
      <c r="G162" s="62"/>
      <c r="H162" s="62"/>
      <c r="I162" s="60"/>
      <c r="J162" s="60"/>
      <c r="K162" s="64"/>
      <c r="L162" s="64"/>
      <c r="M162" s="25"/>
      <c r="N162" s="25"/>
    </row>
    <row r="163" spans="1:14" ht="28.5">
      <c r="A163" s="8" t="s">
        <v>284</v>
      </c>
      <c r="B163" s="4" t="s">
        <v>285</v>
      </c>
      <c r="C163" s="7">
        <f t="shared" si="7"/>
        <v>0</v>
      </c>
      <c r="D163" s="7"/>
      <c r="E163" s="6">
        <f t="shared" si="5"/>
        <v>0</v>
      </c>
      <c r="F163" s="6">
        <f t="shared" si="6"/>
        <v>0</v>
      </c>
      <c r="G163" s="62"/>
      <c r="H163" s="62"/>
      <c r="I163" s="60"/>
      <c r="J163" s="60"/>
      <c r="K163" s="64"/>
      <c r="L163" s="64"/>
      <c r="M163" s="25"/>
      <c r="N163" s="25"/>
    </row>
    <row r="164" spans="1:14">
      <c r="A164" s="8" t="s">
        <v>286</v>
      </c>
      <c r="B164" s="4" t="s">
        <v>287</v>
      </c>
      <c r="C164" s="7">
        <f t="shared" si="7"/>
        <v>0</v>
      </c>
      <c r="D164" s="7"/>
      <c r="E164" s="6">
        <f t="shared" si="5"/>
        <v>0</v>
      </c>
      <c r="F164" s="6">
        <f t="shared" si="6"/>
        <v>0</v>
      </c>
      <c r="G164" s="62"/>
      <c r="H164" s="62"/>
      <c r="I164" s="60"/>
      <c r="J164" s="60"/>
      <c r="K164" s="64"/>
      <c r="L164" s="64"/>
      <c r="M164" s="25"/>
      <c r="N164" s="25"/>
    </row>
    <row r="165" spans="1:14" ht="28.5">
      <c r="A165" s="8" t="s">
        <v>288</v>
      </c>
      <c r="B165" s="4" t="s">
        <v>289</v>
      </c>
      <c r="C165" s="7">
        <f t="shared" si="7"/>
        <v>0</v>
      </c>
      <c r="D165" s="7"/>
      <c r="E165" s="6">
        <f t="shared" si="5"/>
        <v>0</v>
      </c>
      <c r="F165" s="6">
        <f t="shared" si="6"/>
        <v>0</v>
      </c>
      <c r="G165" s="62"/>
      <c r="H165" s="62"/>
      <c r="I165" s="60"/>
      <c r="J165" s="60"/>
      <c r="K165" s="64"/>
      <c r="L165" s="64"/>
      <c r="M165" s="25"/>
      <c r="N165" s="25"/>
    </row>
    <row r="166" spans="1:14" ht="28.5">
      <c r="A166" s="8" t="s">
        <v>290</v>
      </c>
      <c r="B166" s="4" t="s">
        <v>291</v>
      </c>
      <c r="C166" s="7">
        <f t="shared" si="7"/>
        <v>0</v>
      </c>
      <c r="D166" s="7"/>
      <c r="E166" s="6">
        <f t="shared" si="5"/>
        <v>0</v>
      </c>
      <c r="F166" s="6">
        <f t="shared" si="6"/>
        <v>0</v>
      </c>
      <c r="G166" s="62"/>
      <c r="H166" s="62"/>
      <c r="I166" s="60"/>
      <c r="J166" s="60"/>
      <c r="K166" s="64"/>
      <c r="L166" s="64"/>
      <c r="M166" s="25"/>
      <c r="N166" s="25"/>
    </row>
    <row r="167" spans="1:14">
      <c r="A167" s="3" t="s">
        <v>292</v>
      </c>
      <c r="B167" s="4" t="s">
        <v>293</v>
      </c>
      <c r="C167" s="7">
        <f t="shared" si="7"/>
        <v>0</v>
      </c>
      <c r="D167" s="7"/>
      <c r="E167" s="6">
        <f t="shared" si="5"/>
        <v>0</v>
      </c>
      <c r="F167" s="6">
        <f t="shared" si="6"/>
        <v>0</v>
      </c>
      <c r="G167" s="62"/>
      <c r="H167" s="62"/>
      <c r="I167" s="60"/>
      <c r="J167" s="60"/>
      <c r="K167" s="64"/>
      <c r="L167" s="64"/>
      <c r="M167" s="25"/>
      <c r="N167" s="25"/>
    </row>
    <row r="168" spans="1:14">
      <c r="A168" s="3" t="s">
        <v>294</v>
      </c>
      <c r="B168" s="4" t="s">
        <v>295</v>
      </c>
      <c r="C168" s="7">
        <f t="shared" si="7"/>
        <v>0</v>
      </c>
      <c r="D168" s="7"/>
      <c r="E168" s="6">
        <f t="shared" si="5"/>
        <v>0</v>
      </c>
      <c r="F168" s="6">
        <f t="shared" si="6"/>
        <v>0</v>
      </c>
      <c r="G168" s="62"/>
      <c r="H168" s="62"/>
      <c r="I168" s="60"/>
      <c r="J168" s="60"/>
      <c r="K168" s="64"/>
      <c r="L168" s="64"/>
      <c r="M168" s="25"/>
      <c r="N168" s="25"/>
    </row>
    <row r="169" spans="1:14">
      <c r="A169" s="3" t="s">
        <v>296</v>
      </c>
      <c r="B169" s="10" t="s">
        <v>297</v>
      </c>
      <c r="C169" s="7">
        <f t="shared" si="7"/>
        <v>0</v>
      </c>
      <c r="D169" s="7"/>
      <c r="E169" s="6">
        <f t="shared" si="5"/>
        <v>0</v>
      </c>
      <c r="F169" s="6">
        <f t="shared" si="6"/>
        <v>0</v>
      </c>
      <c r="G169" s="62"/>
      <c r="H169" s="62"/>
      <c r="I169" s="60"/>
      <c r="J169" s="60"/>
      <c r="K169" s="64"/>
      <c r="L169" s="64"/>
      <c r="M169" s="25"/>
      <c r="N169" s="25"/>
    </row>
    <row r="170" spans="1:14">
      <c r="A170" s="3" t="s">
        <v>298</v>
      </c>
      <c r="B170" s="10" t="s">
        <v>299</v>
      </c>
      <c r="C170" s="7">
        <f t="shared" si="7"/>
        <v>0</v>
      </c>
      <c r="D170" s="7"/>
      <c r="E170" s="6">
        <f t="shared" si="5"/>
        <v>0</v>
      </c>
      <c r="F170" s="6">
        <f t="shared" si="6"/>
        <v>0</v>
      </c>
      <c r="G170" s="62"/>
      <c r="H170" s="62"/>
      <c r="I170" s="60"/>
      <c r="J170" s="60"/>
      <c r="K170" s="64"/>
      <c r="L170" s="64"/>
      <c r="M170" s="25"/>
      <c r="N170" s="25"/>
    </row>
    <row r="171" spans="1:14">
      <c r="A171" s="3" t="s">
        <v>300</v>
      </c>
      <c r="B171" s="10" t="s">
        <v>301</v>
      </c>
      <c r="C171" s="7">
        <f t="shared" si="7"/>
        <v>0</v>
      </c>
      <c r="D171" s="7"/>
      <c r="E171" s="6">
        <f t="shared" si="5"/>
        <v>0</v>
      </c>
      <c r="F171" s="6">
        <f t="shared" si="6"/>
        <v>0</v>
      </c>
      <c r="G171" s="62"/>
      <c r="H171" s="62"/>
      <c r="I171" s="60"/>
      <c r="J171" s="60"/>
      <c r="K171" s="64"/>
      <c r="L171" s="64"/>
      <c r="M171" s="25"/>
      <c r="N171" s="25"/>
    </row>
    <row r="172" spans="1:14">
      <c r="A172" s="3" t="s">
        <v>302</v>
      </c>
      <c r="B172" s="10" t="s">
        <v>303</v>
      </c>
      <c r="C172" s="7">
        <f t="shared" si="7"/>
        <v>0</v>
      </c>
      <c r="D172" s="7"/>
      <c r="E172" s="6">
        <f t="shared" si="5"/>
        <v>0</v>
      </c>
      <c r="F172" s="6">
        <f t="shared" si="6"/>
        <v>0</v>
      </c>
      <c r="G172" s="62"/>
      <c r="H172" s="62"/>
      <c r="I172" s="60"/>
      <c r="J172" s="60"/>
      <c r="K172" s="64"/>
      <c r="L172" s="64"/>
      <c r="M172" s="25"/>
      <c r="N172" s="25"/>
    </row>
    <row r="173" spans="1:14">
      <c r="A173" s="3" t="s">
        <v>304</v>
      </c>
      <c r="B173" s="10" t="s">
        <v>305</v>
      </c>
      <c r="C173" s="7">
        <f t="shared" si="7"/>
        <v>0</v>
      </c>
      <c r="D173" s="7"/>
      <c r="E173" s="6">
        <f t="shared" si="5"/>
        <v>0</v>
      </c>
      <c r="F173" s="6">
        <f t="shared" si="6"/>
        <v>0</v>
      </c>
      <c r="G173" s="62"/>
      <c r="H173" s="62"/>
      <c r="I173" s="60"/>
      <c r="J173" s="60"/>
      <c r="K173" s="64"/>
      <c r="L173" s="64"/>
      <c r="M173" s="25"/>
      <c r="N173" s="25"/>
    </row>
    <row r="174" spans="1:14">
      <c r="A174" s="3" t="s">
        <v>306</v>
      </c>
      <c r="B174" s="10" t="s">
        <v>307</v>
      </c>
      <c r="C174" s="7"/>
      <c r="D174" s="7">
        <f t="shared" ref="D174:D237" si="8">F174-E174</f>
        <v>0</v>
      </c>
      <c r="E174" s="6">
        <f t="shared" si="5"/>
        <v>0</v>
      </c>
      <c r="F174" s="6">
        <f t="shared" si="6"/>
        <v>0</v>
      </c>
      <c r="G174" s="62"/>
      <c r="H174" s="62"/>
      <c r="I174" s="60"/>
      <c r="J174" s="60"/>
      <c r="K174" s="64"/>
      <c r="L174" s="64"/>
      <c r="M174" s="25"/>
      <c r="N174" s="25"/>
    </row>
    <row r="175" spans="1:14">
      <c r="A175" s="3" t="s">
        <v>308</v>
      </c>
      <c r="B175" s="10" t="s">
        <v>309</v>
      </c>
      <c r="C175" s="7"/>
      <c r="D175" s="7">
        <f t="shared" si="8"/>
        <v>0</v>
      </c>
      <c r="E175" s="6">
        <f t="shared" si="5"/>
        <v>0</v>
      </c>
      <c r="F175" s="6">
        <f t="shared" si="6"/>
        <v>0</v>
      </c>
      <c r="G175" s="62"/>
      <c r="H175" s="62"/>
      <c r="I175" s="60"/>
      <c r="J175" s="60"/>
      <c r="K175" s="64"/>
      <c r="L175" s="64"/>
      <c r="M175" s="25"/>
      <c r="N175" s="25"/>
    </row>
    <row r="176" spans="1:14">
      <c r="A176" s="3" t="s">
        <v>310</v>
      </c>
      <c r="B176" s="10" t="s">
        <v>311</v>
      </c>
      <c r="C176" s="7"/>
      <c r="D176" s="7">
        <f t="shared" si="8"/>
        <v>2700</v>
      </c>
      <c r="E176" s="6">
        <f t="shared" si="5"/>
        <v>0</v>
      </c>
      <c r="F176" s="6">
        <f t="shared" si="6"/>
        <v>2700</v>
      </c>
      <c r="G176" s="62"/>
      <c r="H176" s="62"/>
      <c r="I176" s="60"/>
      <c r="J176" s="60"/>
      <c r="K176" s="64"/>
      <c r="L176" s="64">
        <v>2700</v>
      </c>
      <c r="M176" s="25"/>
      <c r="N176" s="25"/>
    </row>
    <row r="177" spans="1:14">
      <c r="A177" s="3" t="s">
        <v>312</v>
      </c>
      <c r="B177" s="10" t="s">
        <v>313</v>
      </c>
      <c r="C177" s="7"/>
      <c r="D177" s="7">
        <f t="shared" si="8"/>
        <v>0</v>
      </c>
      <c r="E177" s="6">
        <f t="shared" si="5"/>
        <v>0</v>
      </c>
      <c r="F177" s="6">
        <f t="shared" si="6"/>
        <v>0</v>
      </c>
      <c r="G177" s="62"/>
      <c r="H177" s="62"/>
      <c r="I177" s="60"/>
      <c r="J177" s="60"/>
      <c r="K177" s="64"/>
      <c r="L177" s="64"/>
      <c r="M177" s="25"/>
      <c r="N177" s="25"/>
    </row>
    <row r="178" spans="1:14">
      <c r="A178" s="3" t="s">
        <v>314</v>
      </c>
      <c r="B178" s="10" t="s">
        <v>315</v>
      </c>
      <c r="C178" s="7"/>
      <c r="D178" s="7">
        <f t="shared" si="8"/>
        <v>161865.49</v>
      </c>
      <c r="E178" s="6">
        <f t="shared" si="5"/>
        <v>170674.86</v>
      </c>
      <c r="F178" s="6">
        <f t="shared" si="6"/>
        <v>332540.34999999998</v>
      </c>
      <c r="G178" s="62">
        <v>170674.86</v>
      </c>
      <c r="H178" s="62">
        <v>246305.94999999995</v>
      </c>
      <c r="I178" s="60"/>
      <c r="J178" s="60">
        <v>86234.4</v>
      </c>
      <c r="K178" s="64"/>
      <c r="L178" s="64"/>
      <c r="M178" s="25"/>
      <c r="N178" s="25"/>
    </row>
    <row r="179" spans="1:14">
      <c r="A179" s="3" t="s">
        <v>316</v>
      </c>
      <c r="B179" s="10" t="s">
        <v>317</v>
      </c>
      <c r="C179" s="7"/>
      <c r="D179" s="7">
        <f t="shared" si="8"/>
        <v>8091.52</v>
      </c>
      <c r="E179" s="6">
        <f t="shared" si="5"/>
        <v>0</v>
      </c>
      <c r="F179" s="6">
        <f t="shared" si="6"/>
        <v>8091.52</v>
      </c>
      <c r="G179" s="62"/>
      <c r="H179" s="62"/>
      <c r="I179" s="60"/>
      <c r="J179" s="60">
        <v>8091.52</v>
      </c>
      <c r="K179" s="64"/>
      <c r="L179" s="64"/>
      <c r="M179" s="25"/>
      <c r="N179" s="25"/>
    </row>
    <row r="180" spans="1:14">
      <c r="A180" s="3" t="s">
        <v>318</v>
      </c>
      <c r="B180" s="10" t="s">
        <v>319</v>
      </c>
      <c r="C180" s="7"/>
      <c r="D180" s="7">
        <f t="shared" si="8"/>
        <v>7601.5300000000007</v>
      </c>
      <c r="E180" s="6">
        <f t="shared" si="5"/>
        <v>8700</v>
      </c>
      <c r="F180" s="6">
        <f t="shared" si="6"/>
        <v>16301.53</v>
      </c>
      <c r="G180" s="62">
        <v>8700</v>
      </c>
      <c r="H180" s="62"/>
      <c r="I180" s="60"/>
      <c r="J180" s="60">
        <v>16301.53</v>
      </c>
      <c r="K180" s="64"/>
      <c r="L180" s="64"/>
      <c r="M180" s="25"/>
      <c r="N180" s="25"/>
    </row>
    <row r="181" spans="1:14">
      <c r="A181" s="3" t="s">
        <v>320</v>
      </c>
      <c r="B181" s="10" t="s">
        <v>321</v>
      </c>
      <c r="C181" s="7"/>
      <c r="D181" s="7">
        <f t="shared" si="8"/>
        <v>7150</v>
      </c>
      <c r="E181" s="6">
        <f t="shared" si="5"/>
        <v>2225</v>
      </c>
      <c r="F181" s="6">
        <f t="shared" si="6"/>
        <v>9375</v>
      </c>
      <c r="G181" s="62">
        <v>2225</v>
      </c>
      <c r="H181" s="62"/>
      <c r="I181" s="60"/>
      <c r="J181" s="60">
        <v>9375</v>
      </c>
      <c r="K181" s="64"/>
      <c r="L181" s="64"/>
      <c r="M181" s="25"/>
      <c r="N181" s="25"/>
    </row>
    <row r="182" spans="1:14">
      <c r="A182" s="3" t="s">
        <v>322</v>
      </c>
      <c r="B182" s="10" t="s">
        <v>323</v>
      </c>
      <c r="C182" s="7"/>
      <c r="D182" s="7">
        <f t="shared" si="8"/>
        <v>-836661.30000000028</v>
      </c>
      <c r="E182" s="6">
        <f t="shared" si="5"/>
        <v>3621183.27</v>
      </c>
      <c r="F182" s="6">
        <f t="shared" si="6"/>
        <v>2784521.9699999997</v>
      </c>
      <c r="G182" s="62">
        <v>3450774.94</v>
      </c>
      <c r="H182" s="62"/>
      <c r="I182" s="60">
        <v>170408.33</v>
      </c>
      <c r="J182" s="60"/>
      <c r="K182" s="64"/>
      <c r="L182" s="96">
        <f>1106743.97+1040000</f>
        <v>2146743.9699999997</v>
      </c>
      <c r="M182" s="25"/>
      <c r="N182" s="25">
        <v>637778</v>
      </c>
    </row>
    <row r="183" spans="1:14">
      <c r="A183" s="3" t="s">
        <v>324</v>
      </c>
      <c r="B183" s="10" t="s">
        <v>325</v>
      </c>
      <c r="C183" s="7"/>
      <c r="D183" s="7">
        <f t="shared" si="8"/>
        <v>0</v>
      </c>
      <c r="E183" s="6">
        <f t="shared" si="5"/>
        <v>0</v>
      </c>
      <c r="F183" s="6">
        <f t="shared" si="6"/>
        <v>0</v>
      </c>
      <c r="G183" s="62"/>
      <c r="H183" s="62"/>
      <c r="I183" s="60"/>
      <c r="J183" s="60"/>
      <c r="K183" s="64"/>
      <c r="L183" s="64"/>
      <c r="M183" s="25"/>
      <c r="N183" s="25"/>
    </row>
    <row r="184" spans="1:14">
      <c r="A184" s="3" t="s">
        <v>326</v>
      </c>
      <c r="B184" s="10" t="s">
        <v>327</v>
      </c>
      <c r="C184" s="7"/>
      <c r="D184" s="7">
        <f t="shared" si="8"/>
        <v>-200000</v>
      </c>
      <c r="E184" s="6">
        <f t="shared" si="5"/>
        <v>200000</v>
      </c>
      <c r="F184" s="6">
        <f t="shared" si="6"/>
        <v>0</v>
      </c>
      <c r="G184" s="62">
        <v>200000</v>
      </c>
      <c r="H184" s="62"/>
      <c r="I184" s="60"/>
      <c r="J184" s="60"/>
      <c r="K184" s="64"/>
      <c r="L184" s="64"/>
      <c r="M184" s="25"/>
      <c r="N184" s="25"/>
    </row>
    <row r="185" spans="1:14">
      <c r="A185" s="3" t="s">
        <v>328</v>
      </c>
      <c r="B185" s="10" t="s">
        <v>329</v>
      </c>
      <c r="C185" s="7"/>
      <c r="D185" s="7">
        <f t="shared" si="8"/>
        <v>0</v>
      </c>
      <c r="E185" s="6">
        <f t="shared" si="5"/>
        <v>0</v>
      </c>
      <c r="F185" s="6">
        <f t="shared" si="6"/>
        <v>0</v>
      </c>
      <c r="G185" s="62"/>
      <c r="H185" s="62"/>
      <c r="I185" s="60"/>
      <c r="J185" s="60"/>
      <c r="K185" s="64"/>
      <c r="L185" s="64"/>
      <c r="M185" s="25"/>
      <c r="N185" s="25"/>
    </row>
    <row r="186" spans="1:14">
      <c r="A186" s="3" t="s">
        <v>330</v>
      </c>
      <c r="B186" s="10" t="s">
        <v>331</v>
      </c>
      <c r="C186" s="7"/>
      <c r="D186" s="7">
        <f t="shared" si="8"/>
        <v>237282.01</v>
      </c>
      <c r="E186" s="6">
        <f t="shared" si="5"/>
        <v>0</v>
      </c>
      <c r="F186" s="6">
        <f t="shared" si="6"/>
        <v>237282.01</v>
      </c>
      <c r="G186" s="62"/>
      <c r="H186" s="62">
        <v>237282.01</v>
      </c>
      <c r="I186" s="60"/>
      <c r="J186" s="60"/>
      <c r="K186" s="64"/>
      <c r="L186" s="64"/>
      <c r="M186" s="25"/>
      <c r="N186" s="25"/>
    </row>
    <row r="187" spans="1:14">
      <c r="A187" s="3" t="s">
        <v>332</v>
      </c>
      <c r="B187" s="10" t="s">
        <v>333</v>
      </c>
      <c r="C187" s="5"/>
      <c r="D187" s="5">
        <f t="shared" si="8"/>
        <v>21590</v>
      </c>
      <c r="E187" s="6">
        <f t="shared" si="5"/>
        <v>0</v>
      </c>
      <c r="F187" s="6">
        <f t="shared" si="6"/>
        <v>21590</v>
      </c>
      <c r="G187" s="62"/>
      <c r="H187" s="62"/>
      <c r="I187" s="60"/>
      <c r="J187" s="60"/>
      <c r="K187" s="64"/>
      <c r="L187" s="64">
        <v>21590</v>
      </c>
      <c r="M187" s="25"/>
      <c r="N187" s="25"/>
    </row>
    <row r="188" spans="1:14">
      <c r="A188" s="3" t="s">
        <v>334</v>
      </c>
      <c r="B188" s="10" t="s">
        <v>335</v>
      </c>
      <c r="C188" s="5"/>
      <c r="D188" s="5">
        <f t="shared" si="8"/>
        <v>0</v>
      </c>
      <c r="E188" s="6">
        <f t="shared" si="5"/>
        <v>0</v>
      </c>
      <c r="F188" s="6">
        <f t="shared" si="6"/>
        <v>0</v>
      </c>
      <c r="G188" s="62"/>
      <c r="H188" s="62"/>
      <c r="I188" s="60"/>
      <c r="J188" s="60"/>
      <c r="K188" s="64"/>
      <c r="L188" s="64"/>
      <c r="M188" s="25"/>
      <c r="N188" s="25"/>
    </row>
    <row r="189" spans="1:14">
      <c r="A189" s="3" t="s">
        <v>336</v>
      </c>
      <c r="B189" s="10" t="s">
        <v>337</v>
      </c>
      <c r="C189" s="5"/>
      <c r="D189" s="5">
        <f t="shared" si="8"/>
        <v>0</v>
      </c>
      <c r="E189" s="6">
        <f t="shared" si="5"/>
        <v>0</v>
      </c>
      <c r="F189" s="6">
        <f t="shared" si="6"/>
        <v>0</v>
      </c>
      <c r="G189" s="62"/>
      <c r="H189" s="62"/>
      <c r="I189" s="60"/>
      <c r="J189" s="60"/>
      <c r="K189" s="64"/>
      <c r="L189" s="64"/>
      <c r="M189" s="25"/>
      <c r="N189" s="25"/>
    </row>
    <row r="190" spans="1:14">
      <c r="A190" s="3" t="s">
        <v>338</v>
      </c>
      <c r="B190" s="10" t="s">
        <v>339</v>
      </c>
      <c r="C190" s="5"/>
      <c r="D190" s="5">
        <f t="shared" si="8"/>
        <v>3249660.0100000007</v>
      </c>
      <c r="E190" s="6">
        <f t="shared" si="5"/>
        <v>1394385.97</v>
      </c>
      <c r="F190" s="6">
        <f t="shared" si="6"/>
        <v>4644045.9800000004</v>
      </c>
      <c r="G190" s="62">
        <v>588057.94999999995</v>
      </c>
      <c r="H190" s="62"/>
      <c r="I190" s="60">
        <v>798968.02</v>
      </c>
      <c r="J190" s="60">
        <v>425</v>
      </c>
      <c r="K190" s="64"/>
      <c r="L190" s="64">
        <v>4636260.9800000004</v>
      </c>
      <c r="M190" s="25">
        <v>7360</v>
      </c>
      <c r="N190" s="25">
        <v>7360</v>
      </c>
    </row>
    <row r="191" spans="1:14">
      <c r="A191" s="3" t="s">
        <v>340</v>
      </c>
      <c r="B191" s="10" t="s">
        <v>341</v>
      </c>
      <c r="C191" s="5"/>
      <c r="D191" s="5">
        <f t="shared" si="8"/>
        <v>0</v>
      </c>
      <c r="E191" s="6">
        <f t="shared" si="5"/>
        <v>0</v>
      </c>
      <c r="F191" s="6">
        <f t="shared" si="6"/>
        <v>0</v>
      </c>
      <c r="G191" s="62"/>
      <c r="H191" s="62"/>
      <c r="I191" s="60"/>
      <c r="J191" s="60"/>
      <c r="K191" s="64"/>
      <c r="L191" s="64"/>
      <c r="M191" s="25"/>
      <c r="N191" s="25"/>
    </row>
    <row r="192" spans="1:14">
      <c r="A192" s="3" t="s">
        <v>342</v>
      </c>
      <c r="B192" s="10" t="s">
        <v>343</v>
      </c>
      <c r="C192" s="5"/>
      <c r="D192" s="5">
        <f t="shared" si="8"/>
        <v>0</v>
      </c>
      <c r="E192" s="6">
        <f t="shared" si="5"/>
        <v>0</v>
      </c>
      <c r="F192" s="6">
        <f t="shared" si="6"/>
        <v>0</v>
      </c>
      <c r="G192" s="62"/>
      <c r="H192" s="62"/>
      <c r="I192" s="60"/>
      <c r="J192" s="60"/>
      <c r="K192" s="64"/>
      <c r="L192" s="64"/>
      <c r="M192" s="25"/>
      <c r="N192" s="25"/>
    </row>
    <row r="193" spans="1:14">
      <c r="A193" s="3" t="s">
        <v>344</v>
      </c>
      <c r="B193" s="10" t="s">
        <v>345</v>
      </c>
      <c r="C193" s="5"/>
      <c r="D193" s="5">
        <f t="shared" si="8"/>
        <v>0</v>
      </c>
      <c r="E193" s="6">
        <f t="shared" si="5"/>
        <v>0</v>
      </c>
      <c r="F193" s="6">
        <f t="shared" si="6"/>
        <v>0</v>
      </c>
      <c r="G193" s="62"/>
      <c r="H193" s="62"/>
      <c r="I193" s="60"/>
      <c r="J193" s="60"/>
      <c r="K193" s="64"/>
      <c r="L193" s="64"/>
      <c r="M193" s="25"/>
      <c r="N193" s="25"/>
    </row>
    <row r="194" spans="1:14">
      <c r="A194" s="3" t="s">
        <v>346</v>
      </c>
      <c r="B194" s="10" t="s">
        <v>347</v>
      </c>
      <c r="C194" s="5"/>
      <c r="D194" s="5">
        <f t="shared" si="8"/>
        <v>0</v>
      </c>
      <c r="E194" s="6">
        <f t="shared" si="5"/>
        <v>0</v>
      </c>
      <c r="F194" s="6">
        <f t="shared" si="6"/>
        <v>0</v>
      </c>
      <c r="G194" s="62"/>
      <c r="H194" s="62"/>
      <c r="I194" s="60"/>
      <c r="J194" s="60"/>
      <c r="K194" s="64"/>
      <c r="L194" s="64"/>
      <c r="M194" s="25"/>
      <c r="N194" s="25"/>
    </row>
    <row r="195" spans="1:14">
      <c r="A195" s="3" t="s">
        <v>348</v>
      </c>
      <c r="B195" s="10" t="s">
        <v>349</v>
      </c>
      <c r="C195" s="5"/>
      <c r="D195" s="5">
        <f t="shared" si="8"/>
        <v>0</v>
      </c>
      <c r="E195" s="6">
        <f t="shared" si="5"/>
        <v>0</v>
      </c>
      <c r="F195" s="6">
        <f t="shared" si="6"/>
        <v>0</v>
      </c>
      <c r="G195" s="62"/>
      <c r="H195" s="62"/>
      <c r="I195" s="60"/>
      <c r="J195" s="60"/>
      <c r="K195" s="64"/>
      <c r="L195" s="64"/>
      <c r="M195" s="25"/>
      <c r="N195" s="25"/>
    </row>
    <row r="196" spans="1:14">
      <c r="A196" s="3" t="s">
        <v>350</v>
      </c>
      <c r="B196" s="10" t="s">
        <v>351</v>
      </c>
      <c r="C196" s="5"/>
      <c r="D196" s="5">
        <f t="shared" si="8"/>
        <v>0</v>
      </c>
      <c r="E196" s="6">
        <f t="shared" si="5"/>
        <v>0</v>
      </c>
      <c r="F196" s="6">
        <f t="shared" si="6"/>
        <v>0</v>
      </c>
      <c r="G196" s="62"/>
      <c r="H196" s="62"/>
      <c r="I196" s="60"/>
      <c r="J196" s="60"/>
      <c r="K196" s="64"/>
      <c r="L196" s="64"/>
      <c r="M196" s="25"/>
      <c r="N196" s="25"/>
    </row>
    <row r="197" spans="1:14">
      <c r="A197" s="3" t="s">
        <v>352</v>
      </c>
      <c r="B197" s="10" t="s">
        <v>353</v>
      </c>
      <c r="C197" s="5"/>
      <c r="D197" s="5">
        <f t="shared" si="8"/>
        <v>0</v>
      </c>
      <c r="E197" s="6">
        <f t="shared" si="5"/>
        <v>0</v>
      </c>
      <c r="F197" s="6">
        <f t="shared" si="6"/>
        <v>0</v>
      </c>
      <c r="G197" s="62"/>
      <c r="H197" s="62"/>
      <c r="I197" s="60"/>
      <c r="J197" s="60"/>
      <c r="K197" s="64"/>
      <c r="L197" s="64"/>
      <c r="M197" s="25"/>
      <c r="N197" s="25"/>
    </row>
    <row r="198" spans="1:14">
      <c r="A198" s="3" t="s">
        <v>354</v>
      </c>
      <c r="B198" s="10" t="s">
        <v>355</v>
      </c>
      <c r="C198" s="5"/>
      <c r="D198" s="5">
        <f t="shared" si="8"/>
        <v>0</v>
      </c>
      <c r="E198" s="6">
        <f t="shared" si="5"/>
        <v>0</v>
      </c>
      <c r="F198" s="6">
        <f t="shared" si="6"/>
        <v>0</v>
      </c>
      <c r="G198" s="62"/>
      <c r="H198" s="62"/>
      <c r="I198" s="60"/>
      <c r="J198" s="60"/>
      <c r="K198" s="64"/>
      <c r="L198" s="64"/>
      <c r="M198" s="25"/>
      <c r="N198" s="25"/>
    </row>
    <row r="199" spans="1:14">
      <c r="A199" s="3" t="s">
        <v>356</v>
      </c>
      <c r="B199" s="10" t="s">
        <v>357</v>
      </c>
      <c r="C199" s="5"/>
      <c r="D199" s="5">
        <f t="shared" si="8"/>
        <v>0</v>
      </c>
      <c r="E199" s="6">
        <f t="shared" si="5"/>
        <v>0</v>
      </c>
      <c r="F199" s="6">
        <f t="shared" si="6"/>
        <v>0</v>
      </c>
      <c r="G199" s="62"/>
      <c r="H199" s="62"/>
      <c r="I199" s="60"/>
      <c r="J199" s="60"/>
      <c r="K199" s="64"/>
      <c r="L199" s="64"/>
      <c r="M199" s="25"/>
      <c r="N199" s="25"/>
    </row>
    <row r="200" spans="1:14">
      <c r="A200" s="3" t="s">
        <v>358</v>
      </c>
      <c r="B200" s="10" t="s">
        <v>359</v>
      </c>
      <c r="C200" s="5"/>
      <c r="D200" s="5">
        <f t="shared" si="8"/>
        <v>0</v>
      </c>
      <c r="E200" s="6">
        <f t="shared" si="5"/>
        <v>0</v>
      </c>
      <c r="F200" s="6">
        <f t="shared" si="6"/>
        <v>0</v>
      </c>
      <c r="G200" s="62"/>
      <c r="H200" s="62"/>
      <c r="I200" s="60"/>
      <c r="J200" s="60"/>
      <c r="K200" s="64"/>
      <c r="L200" s="64"/>
      <c r="M200" s="25"/>
      <c r="N200" s="25"/>
    </row>
    <row r="201" spans="1:14">
      <c r="A201" s="3" t="s">
        <v>360</v>
      </c>
      <c r="B201" s="10" t="s">
        <v>361</v>
      </c>
      <c r="C201" s="5"/>
      <c r="D201" s="5">
        <f t="shared" si="8"/>
        <v>0</v>
      </c>
      <c r="E201" s="6">
        <f t="shared" si="5"/>
        <v>0</v>
      </c>
      <c r="F201" s="6">
        <f t="shared" si="6"/>
        <v>0</v>
      </c>
      <c r="G201" s="62"/>
      <c r="H201" s="62"/>
      <c r="I201" s="60"/>
      <c r="J201" s="60"/>
      <c r="K201" s="64"/>
      <c r="L201" s="64"/>
      <c r="M201" s="25"/>
      <c r="N201" s="25"/>
    </row>
    <row r="202" spans="1:14">
      <c r="A202" s="3" t="s">
        <v>362</v>
      </c>
      <c r="B202" s="10" t="s">
        <v>363</v>
      </c>
      <c r="C202" s="5"/>
      <c r="D202" s="5">
        <f t="shared" si="8"/>
        <v>0</v>
      </c>
      <c r="E202" s="6">
        <f t="shared" si="5"/>
        <v>0</v>
      </c>
      <c r="F202" s="6">
        <f t="shared" si="6"/>
        <v>0</v>
      </c>
      <c r="G202" s="62"/>
      <c r="H202" s="62"/>
      <c r="I202" s="60"/>
      <c r="J202" s="60"/>
      <c r="K202" s="64"/>
      <c r="L202" s="64"/>
      <c r="M202" s="25"/>
      <c r="N202" s="25"/>
    </row>
    <row r="203" spans="1:14">
      <c r="A203" s="3" t="s">
        <v>364</v>
      </c>
      <c r="B203" s="10" t="s">
        <v>365</v>
      </c>
      <c r="C203" s="5"/>
      <c r="D203" s="5">
        <f t="shared" si="8"/>
        <v>0</v>
      </c>
      <c r="E203" s="6">
        <f t="shared" si="5"/>
        <v>0</v>
      </c>
      <c r="F203" s="6">
        <f t="shared" si="6"/>
        <v>0</v>
      </c>
      <c r="G203" s="62"/>
      <c r="H203" s="62"/>
      <c r="I203" s="60"/>
      <c r="J203" s="60"/>
      <c r="K203" s="64"/>
      <c r="L203" s="64"/>
      <c r="M203" s="25"/>
      <c r="N203" s="25"/>
    </row>
    <row r="204" spans="1:14">
      <c r="A204" s="3" t="s">
        <v>366</v>
      </c>
      <c r="B204" s="10" t="s">
        <v>367</v>
      </c>
      <c r="C204" s="5"/>
      <c r="D204" s="5">
        <f t="shared" si="8"/>
        <v>0</v>
      </c>
      <c r="E204" s="6">
        <f t="shared" si="5"/>
        <v>0</v>
      </c>
      <c r="F204" s="6">
        <f t="shared" si="6"/>
        <v>0</v>
      </c>
      <c r="G204" s="62"/>
      <c r="H204" s="62"/>
      <c r="I204" s="60"/>
      <c r="J204" s="60"/>
      <c r="K204" s="64"/>
      <c r="L204" s="64"/>
      <c r="M204" s="25"/>
      <c r="N204" s="25"/>
    </row>
    <row r="205" spans="1:14">
      <c r="A205" s="3" t="s">
        <v>368</v>
      </c>
      <c r="B205" s="10" t="s">
        <v>369</v>
      </c>
      <c r="C205" s="5"/>
      <c r="D205" s="5">
        <f t="shared" si="8"/>
        <v>0</v>
      </c>
      <c r="E205" s="6">
        <f t="shared" si="5"/>
        <v>0</v>
      </c>
      <c r="F205" s="6">
        <f t="shared" si="6"/>
        <v>0</v>
      </c>
      <c r="G205" s="62"/>
      <c r="H205" s="62"/>
      <c r="I205" s="60"/>
      <c r="J205" s="60"/>
      <c r="K205" s="64"/>
      <c r="L205" s="64"/>
      <c r="M205" s="25"/>
      <c r="N205" s="25"/>
    </row>
    <row r="206" spans="1:14">
      <c r="A206" s="3" t="s">
        <v>370</v>
      </c>
      <c r="B206" s="10" t="s">
        <v>371</v>
      </c>
      <c r="C206" s="5"/>
      <c r="D206" s="5">
        <f t="shared" si="8"/>
        <v>0</v>
      </c>
      <c r="E206" s="6">
        <f t="shared" ref="E206:E269" si="9">SUM(G206,I206,K206,M206)</f>
        <v>0</v>
      </c>
      <c r="F206" s="6">
        <f t="shared" ref="F206:F269" si="10">SUM(H206,J206,L206,N206)</f>
        <v>0</v>
      </c>
      <c r="G206" s="62"/>
      <c r="H206" s="62"/>
      <c r="I206" s="60"/>
      <c r="J206" s="60"/>
      <c r="K206" s="64"/>
      <c r="L206" s="64"/>
      <c r="M206" s="25"/>
      <c r="N206" s="25"/>
    </row>
    <row r="207" spans="1:14">
      <c r="A207" s="3" t="s">
        <v>372</v>
      </c>
      <c r="B207" s="10" t="s">
        <v>373</v>
      </c>
      <c r="C207" s="5"/>
      <c r="D207" s="5">
        <f t="shared" si="8"/>
        <v>0</v>
      </c>
      <c r="E207" s="6">
        <f t="shared" si="9"/>
        <v>0</v>
      </c>
      <c r="F207" s="6">
        <f t="shared" si="10"/>
        <v>0</v>
      </c>
      <c r="G207" s="62"/>
      <c r="H207" s="62"/>
      <c r="I207" s="60"/>
      <c r="J207" s="60"/>
      <c r="K207" s="64"/>
      <c r="L207" s="64"/>
      <c r="M207" s="25"/>
      <c r="N207" s="25"/>
    </row>
    <row r="208" spans="1:14">
      <c r="A208" s="3" t="s">
        <v>374</v>
      </c>
      <c r="B208" s="10" t="s">
        <v>375</v>
      </c>
      <c r="C208" s="5"/>
      <c r="D208" s="5">
        <f t="shared" si="8"/>
        <v>0</v>
      </c>
      <c r="E208" s="6">
        <f t="shared" si="9"/>
        <v>0</v>
      </c>
      <c r="F208" s="6">
        <f t="shared" si="10"/>
        <v>0</v>
      </c>
      <c r="G208" s="62"/>
      <c r="H208" s="62"/>
      <c r="I208" s="60"/>
      <c r="J208" s="60"/>
      <c r="K208" s="64"/>
      <c r="L208" s="64"/>
      <c r="M208" s="25"/>
      <c r="N208" s="25"/>
    </row>
    <row r="209" spans="1:14">
      <c r="A209" s="3" t="s">
        <v>376</v>
      </c>
      <c r="B209" s="10" t="s">
        <v>377</v>
      </c>
      <c r="C209" s="5"/>
      <c r="D209" s="5">
        <f t="shared" si="8"/>
        <v>0</v>
      </c>
      <c r="E209" s="6">
        <f t="shared" si="9"/>
        <v>0</v>
      </c>
      <c r="F209" s="6">
        <f t="shared" si="10"/>
        <v>0</v>
      </c>
      <c r="G209" s="62"/>
      <c r="H209" s="62"/>
      <c r="I209" s="60"/>
      <c r="J209" s="60"/>
      <c r="K209" s="64"/>
      <c r="L209" s="64"/>
      <c r="M209" s="25"/>
      <c r="N209" s="25"/>
    </row>
    <row r="210" spans="1:14">
      <c r="A210" s="3" t="s">
        <v>378</v>
      </c>
      <c r="B210" s="10" t="s">
        <v>379</v>
      </c>
      <c r="C210" s="5"/>
      <c r="D210" s="5">
        <f t="shared" si="8"/>
        <v>0</v>
      </c>
      <c r="E210" s="6">
        <f t="shared" si="9"/>
        <v>0</v>
      </c>
      <c r="F210" s="6">
        <f t="shared" si="10"/>
        <v>0</v>
      </c>
      <c r="G210" s="62"/>
      <c r="H210" s="62"/>
      <c r="I210" s="60"/>
      <c r="J210" s="60"/>
      <c r="K210" s="64"/>
      <c r="L210" s="64"/>
      <c r="M210" s="25"/>
      <c r="N210" s="25"/>
    </row>
    <row r="211" spans="1:14">
      <c r="A211" s="3" t="s">
        <v>380</v>
      </c>
      <c r="B211" s="10" t="s">
        <v>381</v>
      </c>
      <c r="C211" s="5"/>
      <c r="D211" s="5">
        <f t="shared" si="8"/>
        <v>0</v>
      </c>
      <c r="E211" s="6">
        <f t="shared" si="9"/>
        <v>0</v>
      </c>
      <c r="F211" s="6">
        <f t="shared" si="10"/>
        <v>0</v>
      </c>
      <c r="G211" s="62"/>
      <c r="H211" s="62"/>
      <c r="I211" s="60"/>
      <c r="J211" s="60"/>
      <c r="K211" s="64"/>
      <c r="L211" s="64"/>
      <c r="M211" s="25"/>
      <c r="N211" s="25"/>
    </row>
    <row r="212" spans="1:14">
      <c r="A212" s="3" t="s">
        <v>382</v>
      </c>
      <c r="B212" s="10" t="s">
        <v>383</v>
      </c>
      <c r="C212" s="5"/>
      <c r="D212" s="5">
        <f t="shared" si="8"/>
        <v>0</v>
      </c>
      <c r="E212" s="6">
        <f t="shared" si="9"/>
        <v>0</v>
      </c>
      <c r="F212" s="6">
        <f t="shared" si="10"/>
        <v>0</v>
      </c>
      <c r="G212" s="62"/>
      <c r="H212" s="62"/>
      <c r="I212" s="60"/>
      <c r="J212" s="60"/>
      <c r="K212" s="64"/>
      <c r="L212" s="64"/>
      <c r="M212" s="25"/>
      <c r="N212" s="25"/>
    </row>
    <row r="213" spans="1:14">
      <c r="A213" s="3" t="s">
        <v>384</v>
      </c>
      <c r="B213" s="10" t="s">
        <v>385</v>
      </c>
      <c r="C213" s="5"/>
      <c r="D213" s="5">
        <f t="shared" si="8"/>
        <v>0</v>
      </c>
      <c r="E213" s="6">
        <f t="shared" si="9"/>
        <v>0</v>
      </c>
      <c r="F213" s="6">
        <f t="shared" si="10"/>
        <v>0</v>
      </c>
      <c r="G213" s="62"/>
      <c r="H213" s="62"/>
      <c r="I213" s="60"/>
      <c r="J213" s="60"/>
      <c r="K213" s="64"/>
      <c r="L213" s="64"/>
      <c r="M213" s="25"/>
      <c r="N213" s="25"/>
    </row>
    <row r="214" spans="1:14">
      <c r="A214" s="3" t="s">
        <v>386</v>
      </c>
      <c r="B214" s="10" t="s">
        <v>387</v>
      </c>
      <c r="C214" s="5"/>
      <c r="D214" s="5">
        <f t="shared" si="8"/>
        <v>0</v>
      </c>
      <c r="E214" s="6">
        <f t="shared" si="9"/>
        <v>0</v>
      </c>
      <c r="F214" s="6">
        <f t="shared" si="10"/>
        <v>0</v>
      </c>
      <c r="G214" s="62"/>
      <c r="H214" s="62"/>
      <c r="I214" s="60"/>
      <c r="J214" s="60"/>
      <c r="K214" s="64"/>
      <c r="L214" s="64"/>
      <c r="M214" s="25"/>
      <c r="N214" s="25"/>
    </row>
    <row r="215" spans="1:14">
      <c r="A215" s="3" t="s">
        <v>388</v>
      </c>
      <c r="B215" s="10" t="s">
        <v>389</v>
      </c>
      <c r="C215" s="5"/>
      <c r="D215" s="5">
        <f t="shared" si="8"/>
        <v>0</v>
      </c>
      <c r="E215" s="6">
        <f t="shared" si="9"/>
        <v>0</v>
      </c>
      <c r="F215" s="6">
        <f t="shared" si="10"/>
        <v>0</v>
      </c>
      <c r="G215" s="62"/>
      <c r="H215" s="62"/>
      <c r="I215" s="60"/>
      <c r="J215" s="60"/>
      <c r="K215" s="64"/>
      <c r="L215" s="64"/>
      <c r="M215" s="25"/>
      <c r="N215" s="25"/>
    </row>
    <row r="216" spans="1:14">
      <c r="A216" s="3" t="s">
        <v>390</v>
      </c>
      <c r="B216" s="10" t="s">
        <v>391</v>
      </c>
      <c r="C216" s="5"/>
      <c r="D216" s="5">
        <f t="shared" si="8"/>
        <v>0</v>
      </c>
      <c r="E216" s="6">
        <f t="shared" si="9"/>
        <v>0</v>
      </c>
      <c r="F216" s="6">
        <f t="shared" si="10"/>
        <v>0</v>
      </c>
      <c r="G216" s="62"/>
      <c r="H216" s="62"/>
      <c r="I216" s="60"/>
      <c r="J216" s="60"/>
      <c r="K216" s="64"/>
      <c r="L216" s="64"/>
      <c r="M216" s="25"/>
      <c r="N216" s="25"/>
    </row>
    <row r="217" spans="1:14">
      <c r="A217" s="3" t="s">
        <v>392</v>
      </c>
      <c r="B217" s="10" t="s">
        <v>393</v>
      </c>
      <c r="C217" s="5"/>
      <c r="D217" s="5">
        <f t="shared" si="8"/>
        <v>0</v>
      </c>
      <c r="E217" s="6">
        <f t="shared" si="9"/>
        <v>0</v>
      </c>
      <c r="F217" s="6">
        <f t="shared" si="10"/>
        <v>0</v>
      </c>
      <c r="G217" s="62"/>
      <c r="H217" s="62"/>
      <c r="I217" s="60"/>
      <c r="J217" s="60"/>
      <c r="K217" s="64"/>
      <c r="L217" s="64"/>
      <c r="M217" s="25"/>
      <c r="N217" s="25"/>
    </row>
    <row r="218" spans="1:14">
      <c r="A218" s="3" t="s">
        <v>394</v>
      </c>
      <c r="B218" s="10" t="s">
        <v>395</v>
      </c>
      <c r="C218" s="5"/>
      <c r="D218" s="5">
        <f t="shared" si="8"/>
        <v>0</v>
      </c>
      <c r="E218" s="6">
        <f t="shared" si="9"/>
        <v>0</v>
      </c>
      <c r="F218" s="6">
        <f t="shared" si="10"/>
        <v>0</v>
      </c>
      <c r="G218" s="62"/>
      <c r="H218" s="62"/>
      <c r="I218" s="60"/>
      <c r="J218" s="60"/>
      <c r="K218" s="64"/>
      <c r="L218" s="64"/>
      <c r="M218" s="25"/>
      <c r="N218" s="25"/>
    </row>
    <row r="219" spans="1:14">
      <c r="A219" s="3" t="s">
        <v>396</v>
      </c>
      <c r="B219" s="10" t="s">
        <v>397</v>
      </c>
      <c r="C219" s="5"/>
      <c r="D219" s="5">
        <f t="shared" si="8"/>
        <v>0</v>
      </c>
      <c r="E219" s="6">
        <f t="shared" si="9"/>
        <v>0</v>
      </c>
      <c r="F219" s="6">
        <f t="shared" si="10"/>
        <v>0</v>
      </c>
      <c r="G219" s="62"/>
      <c r="H219" s="62"/>
      <c r="I219" s="60"/>
      <c r="J219" s="60"/>
      <c r="K219" s="64"/>
      <c r="L219" s="64"/>
      <c r="M219" s="25"/>
      <c r="N219" s="25"/>
    </row>
    <row r="220" spans="1:14">
      <c r="A220" s="3" t="s">
        <v>398</v>
      </c>
      <c r="B220" s="10" t="s">
        <v>399</v>
      </c>
      <c r="C220" s="5"/>
      <c r="D220" s="5">
        <f t="shared" si="8"/>
        <v>0</v>
      </c>
      <c r="E220" s="6">
        <f t="shared" si="9"/>
        <v>0</v>
      </c>
      <c r="F220" s="6">
        <f t="shared" si="10"/>
        <v>0</v>
      </c>
      <c r="G220" s="62"/>
      <c r="H220" s="62"/>
      <c r="I220" s="60"/>
      <c r="J220" s="60"/>
      <c r="K220" s="64"/>
      <c r="L220" s="64"/>
      <c r="M220" s="25"/>
      <c r="N220" s="25"/>
    </row>
    <row r="221" spans="1:14">
      <c r="A221" s="3" t="s">
        <v>400</v>
      </c>
      <c r="B221" s="10" t="s">
        <v>401</v>
      </c>
      <c r="C221" s="5"/>
      <c r="D221" s="5">
        <f t="shared" si="8"/>
        <v>0</v>
      </c>
      <c r="E221" s="6">
        <f t="shared" si="9"/>
        <v>0</v>
      </c>
      <c r="F221" s="6">
        <f t="shared" si="10"/>
        <v>0</v>
      </c>
      <c r="G221" s="62"/>
      <c r="H221" s="62"/>
      <c r="I221" s="60"/>
      <c r="J221" s="60"/>
      <c r="K221" s="64"/>
      <c r="L221" s="64"/>
      <c r="M221" s="25"/>
      <c r="N221" s="25"/>
    </row>
    <row r="222" spans="1:14">
      <c r="A222" s="3" t="s">
        <v>402</v>
      </c>
      <c r="B222" s="10" t="s">
        <v>403</v>
      </c>
      <c r="C222" s="5"/>
      <c r="D222" s="5">
        <f t="shared" si="8"/>
        <v>0</v>
      </c>
      <c r="E222" s="6">
        <f t="shared" si="9"/>
        <v>0</v>
      </c>
      <c r="F222" s="6">
        <f t="shared" si="10"/>
        <v>0</v>
      </c>
      <c r="G222" s="62"/>
      <c r="H222" s="62"/>
      <c r="I222" s="60"/>
      <c r="J222" s="60"/>
      <c r="K222" s="64"/>
      <c r="L222" s="64"/>
      <c r="M222" s="25"/>
      <c r="N222" s="25"/>
    </row>
    <row r="223" spans="1:14">
      <c r="A223" s="3" t="s">
        <v>404</v>
      </c>
      <c r="B223" s="10" t="s">
        <v>405</v>
      </c>
      <c r="C223" s="5"/>
      <c r="D223" s="5">
        <f t="shared" si="8"/>
        <v>0</v>
      </c>
      <c r="E223" s="6">
        <f t="shared" si="9"/>
        <v>0</v>
      </c>
      <c r="F223" s="6">
        <f t="shared" si="10"/>
        <v>0</v>
      </c>
      <c r="G223" s="62"/>
      <c r="H223" s="62"/>
      <c r="I223" s="60"/>
      <c r="J223" s="60"/>
      <c r="K223" s="64"/>
      <c r="L223" s="64"/>
      <c r="M223" s="25"/>
      <c r="N223" s="25"/>
    </row>
    <row r="224" spans="1:14">
      <c r="A224" s="3" t="s">
        <v>406</v>
      </c>
      <c r="B224" s="10" t="s">
        <v>407</v>
      </c>
      <c r="C224" s="5"/>
      <c r="D224" s="5">
        <f t="shared" si="8"/>
        <v>0</v>
      </c>
      <c r="E224" s="6">
        <f t="shared" si="9"/>
        <v>0</v>
      </c>
      <c r="F224" s="6">
        <f t="shared" si="10"/>
        <v>0</v>
      </c>
      <c r="G224" s="62"/>
      <c r="H224" s="62"/>
      <c r="I224" s="60"/>
      <c r="J224" s="60"/>
      <c r="K224" s="64"/>
      <c r="L224" s="64"/>
      <c r="M224" s="25"/>
      <c r="N224" s="25"/>
    </row>
    <row r="225" spans="1:14">
      <c r="A225" s="3" t="s">
        <v>408</v>
      </c>
      <c r="B225" s="10" t="s">
        <v>409</v>
      </c>
      <c r="C225" s="5"/>
      <c r="D225" s="5">
        <f t="shared" si="8"/>
        <v>0</v>
      </c>
      <c r="E225" s="6">
        <f t="shared" si="9"/>
        <v>0</v>
      </c>
      <c r="F225" s="6">
        <f t="shared" si="10"/>
        <v>0</v>
      </c>
      <c r="G225" s="62"/>
      <c r="H225" s="62"/>
      <c r="I225" s="60"/>
      <c r="J225" s="60"/>
      <c r="K225" s="64"/>
      <c r="L225" s="64"/>
      <c r="M225" s="25"/>
      <c r="N225" s="25"/>
    </row>
    <row r="226" spans="1:14">
      <c r="A226" s="3" t="s">
        <v>410</v>
      </c>
      <c r="B226" s="10" t="s">
        <v>411</v>
      </c>
      <c r="C226" s="5"/>
      <c r="D226" s="5">
        <f t="shared" si="8"/>
        <v>0</v>
      </c>
      <c r="E226" s="6">
        <f t="shared" si="9"/>
        <v>0</v>
      </c>
      <c r="F226" s="6">
        <f t="shared" si="10"/>
        <v>0</v>
      </c>
      <c r="G226" s="62"/>
      <c r="H226" s="62"/>
      <c r="I226" s="60"/>
      <c r="J226" s="60"/>
      <c r="K226" s="64"/>
      <c r="L226" s="64"/>
      <c r="M226" s="25"/>
      <c r="N226" s="25"/>
    </row>
    <row r="227" spans="1:14">
      <c r="A227" s="3" t="s">
        <v>412</v>
      </c>
      <c r="B227" s="10" t="s">
        <v>413</v>
      </c>
      <c r="C227" s="5"/>
      <c r="D227" s="5">
        <f t="shared" si="8"/>
        <v>0</v>
      </c>
      <c r="E227" s="6">
        <f t="shared" si="9"/>
        <v>0</v>
      </c>
      <c r="F227" s="6">
        <f t="shared" si="10"/>
        <v>0</v>
      </c>
      <c r="G227" s="62"/>
      <c r="H227" s="62"/>
      <c r="I227" s="60"/>
      <c r="J227" s="60"/>
      <c r="K227" s="64"/>
      <c r="L227" s="64"/>
      <c r="M227" s="25"/>
      <c r="N227" s="25"/>
    </row>
    <row r="228" spans="1:14">
      <c r="A228" s="3" t="s">
        <v>414</v>
      </c>
      <c r="B228" s="10" t="s">
        <v>415</v>
      </c>
      <c r="C228" s="5"/>
      <c r="D228" s="5">
        <f t="shared" si="8"/>
        <v>0</v>
      </c>
      <c r="E228" s="6">
        <f t="shared" si="9"/>
        <v>0</v>
      </c>
      <c r="F228" s="6">
        <f t="shared" si="10"/>
        <v>0</v>
      </c>
      <c r="G228" s="62"/>
      <c r="H228" s="62"/>
      <c r="I228" s="60"/>
      <c r="J228" s="60"/>
      <c r="K228" s="64"/>
      <c r="L228" s="64"/>
      <c r="M228" s="25"/>
      <c r="N228" s="25"/>
    </row>
    <row r="229" spans="1:14">
      <c r="A229" s="3" t="s">
        <v>416</v>
      </c>
      <c r="B229" s="10" t="s">
        <v>417</v>
      </c>
      <c r="C229" s="5"/>
      <c r="D229" s="5">
        <f t="shared" si="8"/>
        <v>0</v>
      </c>
      <c r="E229" s="6">
        <f t="shared" si="9"/>
        <v>0</v>
      </c>
      <c r="F229" s="6">
        <f t="shared" si="10"/>
        <v>0</v>
      </c>
      <c r="G229" s="62"/>
      <c r="H229" s="62"/>
      <c r="I229" s="60"/>
      <c r="J229" s="60"/>
      <c r="K229" s="64"/>
      <c r="L229" s="64"/>
      <c r="M229" s="25"/>
      <c r="N229" s="25"/>
    </row>
    <row r="230" spans="1:14">
      <c r="A230" s="3" t="s">
        <v>418</v>
      </c>
      <c r="B230" s="10" t="s">
        <v>419</v>
      </c>
      <c r="C230" s="5"/>
      <c r="D230" s="5">
        <f t="shared" si="8"/>
        <v>0</v>
      </c>
      <c r="E230" s="6">
        <f t="shared" si="9"/>
        <v>0</v>
      </c>
      <c r="F230" s="6">
        <f t="shared" si="10"/>
        <v>0</v>
      </c>
      <c r="G230" s="62"/>
      <c r="H230" s="62"/>
      <c r="I230" s="60"/>
      <c r="J230" s="60"/>
      <c r="K230" s="64"/>
      <c r="L230" s="64"/>
      <c r="M230" s="25"/>
      <c r="N230" s="25"/>
    </row>
    <row r="231" spans="1:14">
      <c r="A231" s="3" t="s">
        <v>420</v>
      </c>
      <c r="B231" s="10" t="s">
        <v>421</v>
      </c>
      <c r="C231" s="5"/>
      <c r="D231" s="5">
        <f t="shared" si="8"/>
        <v>0</v>
      </c>
      <c r="E231" s="6">
        <f t="shared" si="9"/>
        <v>0</v>
      </c>
      <c r="F231" s="6">
        <f t="shared" si="10"/>
        <v>0</v>
      </c>
      <c r="G231" s="62"/>
      <c r="H231" s="62"/>
      <c r="I231" s="60"/>
      <c r="J231" s="60"/>
      <c r="K231" s="64"/>
      <c r="L231" s="64"/>
      <c r="M231" s="25"/>
      <c r="N231" s="25"/>
    </row>
    <row r="232" spans="1:14">
      <c r="A232" s="3" t="s">
        <v>422</v>
      </c>
      <c r="B232" s="10" t="s">
        <v>423</v>
      </c>
      <c r="C232" s="5"/>
      <c r="D232" s="5">
        <f t="shared" si="8"/>
        <v>0</v>
      </c>
      <c r="E232" s="6">
        <f t="shared" si="9"/>
        <v>0</v>
      </c>
      <c r="F232" s="6">
        <f t="shared" si="10"/>
        <v>0</v>
      </c>
      <c r="G232" s="62"/>
      <c r="H232" s="62"/>
      <c r="I232" s="60"/>
      <c r="J232" s="60"/>
      <c r="K232" s="64"/>
      <c r="L232" s="64"/>
      <c r="M232" s="25"/>
      <c r="N232" s="25"/>
    </row>
    <row r="233" spans="1:14">
      <c r="A233" s="3" t="s">
        <v>424</v>
      </c>
      <c r="B233" s="10" t="s">
        <v>425</v>
      </c>
      <c r="C233" s="5"/>
      <c r="D233" s="5">
        <f t="shared" si="8"/>
        <v>0</v>
      </c>
      <c r="E233" s="6">
        <f t="shared" si="9"/>
        <v>0</v>
      </c>
      <c r="F233" s="6">
        <f t="shared" si="10"/>
        <v>0</v>
      </c>
      <c r="G233" s="62"/>
      <c r="H233" s="62"/>
      <c r="I233" s="60"/>
      <c r="J233" s="60"/>
      <c r="K233" s="64"/>
      <c r="L233" s="64"/>
      <c r="M233" s="25"/>
      <c r="N233" s="25"/>
    </row>
    <row r="234" spans="1:14">
      <c r="A234" s="3" t="s">
        <v>426</v>
      </c>
      <c r="B234" s="10" t="s">
        <v>427</v>
      </c>
      <c r="C234" s="5"/>
      <c r="D234" s="5">
        <f t="shared" si="8"/>
        <v>0</v>
      </c>
      <c r="E234" s="6">
        <f t="shared" si="9"/>
        <v>0</v>
      </c>
      <c r="F234" s="6">
        <f t="shared" si="10"/>
        <v>0</v>
      </c>
      <c r="G234" s="62"/>
      <c r="H234" s="62"/>
      <c r="I234" s="60"/>
      <c r="J234" s="60"/>
      <c r="K234" s="64"/>
      <c r="L234" s="64"/>
      <c r="M234" s="25"/>
      <c r="N234" s="25"/>
    </row>
    <row r="235" spans="1:14">
      <c r="A235" s="3" t="s">
        <v>428</v>
      </c>
      <c r="B235" s="10" t="s">
        <v>429</v>
      </c>
      <c r="C235" s="5"/>
      <c r="D235" s="5">
        <f t="shared" si="8"/>
        <v>0</v>
      </c>
      <c r="E235" s="6">
        <f t="shared" si="9"/>
        <v>0</v>
      </c>
      <c r="F235" s="6">
        <f t="shared" si="10"/>
        <v>0</v>
      </c>
      <c r="G235" s="62"/>
      <c r="H235" s="62"/>
      <c r="I235" s="60"/>
      <c r="J235" s="60"/>
      <c r="K235" s="64"/>
      <c r="L235" s="64"/>
      <c r="M235" s="25"/>
      <c r="N235" s="25"/>
    </row>
    <row r="236" spans="1:14">
      <c r="A236" s="3" t="s">
        <v>430</v>
      </c>
      <c r="B236" s="10" t="s">
        <v>431</v>
      </c>
      <c r="C236" s="5"/>
      <c r="D236" s="5">
        <f t="shared" si="8"/>
        <v>0</v>
      </c>
      <c r="E236" s="6">
        <f t="shared" si="9"/>
        <v>0</v>
      </c>
      <c r="F236" s="6">
        <f t="shared" si="10"/>
        <v>0</v>
      </c>
      <c r="G236" s="62"/>
      <c r="H236" s="62"/>
      <c r="I236" s="60"/>
      <c r="J236" s="60"/>
      <c r="K236" s="64"/>
      <c r="L236" s="64"/>
      <c r="M236" s="25"/>
      <c r="N236" s="25"/>
    </row>
    <row r="237" spans="1:14">
      <c r="A237" s="3" t="s">
        <v>432</v>
      </c>
      <c r="B237" s="10" t="s">
        <v>433</v>
      </c>
      <c r="C237" s="5"/>
      <c r="D237" s="5">
        <f t="shared" si="8"/>
        <v>0</v>
      </c>
      <c r="E237" s="6">
        <f t="shared" si="9"/>
        <v>0</v>
      </c>
      <c r="F237" s="6">
        <f t="shared" si="10"/>
        <v>0</v>
      </c>
      <c r="G237" s="62"/>
      <c r="H237" s="62"/>
      <c r="I237" s="60"/>
      <c r="J237" s="60"/>
      <c r="K237" s="64"/>
      <c r="L237" s="64"/>
      <c r="M237" s="25"/>
      <c r="N237" s="25"/>
    </row>
    <row r="238" spans="1:14">
      <c r="A238" s="3" t="s">
        <v>434</v>
      </c>
      <c r="B238" s="10" t="s">
        <v>435</v>
      </c>
      <c r="C238" s="5"/>
      <c r="D238" s="5">
        <f t="shared" ref="D238:D280" si="11">F238-E238</f>
        <v>0</v>
      </c>
      <c r="E238" s="6">
        <f t="shared" si="9"/>
        <v>0</v>
      </c>
      <c r="F238" s="6">
        <f t="shared" si="10"/>
        <v>0</v>
      </c>
      <c r="G238" s="62"/>
      <c r="H238" s="62"/>
      <c r="I238" s="60"/>
      <c r="J238" s="60"/>
      <c r="K238" s="64"/>
      <c r="L238" s="64"/>
      <c r="M238" s="25"/>
      <c r="N238" s="25"/>
    </row>
    <row r="239" spans="1:14">
      <c r="A239" s="3" t="s">
        <v>436</v>
      </c>
      <c r="B239" s="10" t="s">
        <v>437</v>
      </c>
      <c r="C239" s="5"/>
      <c r="D239" s="5">
        <f t="shared" si="11"/>
        <v>0</v>
      </c>
      <c r="E239" s="6">
        <f t="shared" si="9"/>
        <v>0</v>
      </c>
      <c r="F239" s="6">
        <f t="shared" si="10"/>
        <v>0</v>
      </c>
      <c r="G239" s="62"/>
      <c r="H239" s="62"/>
      <c r="I239" s="60"/>
      <c r="J239" s="60"/>
      <c r="K239" s="64"/>
      <c r="L239" s="64"/>
      <c r="M239" s="25"/>
      <c r="N239" s="25"/>
    </row>
    <row r="240" spans="1:14">
      <c r="A240" s="3" t="s">
        <v>438</v>
      </c>
      <c r="B240" s="10" t="s">
        <v>439</v>
      </c>
      <c r="C240" s="5"/>
      <c r="D240" s="5">
        <f t="shared" si="11"/>
        <v>0</v>
      </c>
      <c r="E240" s="6">
        <f t="shared" si="9"/>
        <v>0</v>
      </c>
      <c r="F240" s="6">
        <f t="shared" si="10"/>
        <v>0</v>
      </c>
      <c r="G240" s="62"/>
      <c r="H240" s="62"/>
      <c r="I240" s="60"/>
      <c r="J240" s="60"/>
      <c r="K240" s="64"/>
      <c r="L240" s="64"/>
      <c r="M240" s="25"/>
      <c r="N240" s="25"/>
    </row>
    <row r="241" spans="1:14">
      <c r="A241" s="3" t="s">
        <v>440</v>
      </c>
      <c r="B241" s="10" t="s">
        <v>441</v>
      </c>
      <c r="C241" s="5"/>
      <c r="D241" s="5">
        <f t="shared" si="11"/>
        <v>0</v>
      </c>
      <c r="E241" s="6">
        <f t="shared" si="9"/>
        <v>0</v>
      </c>
      <c r="F241" s="6">
        <f t="shared" si="10"/>
        <v>0</v>
      </c>
      <c r="G241" s="62"/>
      <c r="H241" s="62"/>
      <c r="I241" s="60"/>
      <c r="J241" s="60"/>
      <c r="K241" s="64"/>
      <c r="L241" s="64"/>
      <c r="M241" s="25"/>
      <c r="N241" s="25"/>
    </row>
    <row r="242" spans="1:14">
      <c r="A242" s="3" t="s">
        <v>442</v>
      </c>
      <c r="B242" s="10" t="s">
        <v>443</v>
      </c>
      <c r="C242" s="5"/>
      <c r="D242" s="5">
        <f t="shared" si="11"/>
        <v>0</v>
      </c>
      <c r="E242" s="6">
        <f t="shared" si="9"/>
        <v>0</v>
      </c>
      <c r="F242" s="6">
        <f t="shared" si="10"/>
        <v>0</v>
      </c>
      <c r="G242" s="62"/>
      <c r="H242" s="62"/>
      <c r="I242" s="60"/>
      <c r="J242" s="60"/>
      <c r="K242" s="64"/>
      <c r="L242" s="64"/>
      <c r="M242" s="25"/>
      <c r="N242" s="25"/>
    </row>
    <row r="243" spans="1:14">
      <c r="A243" s="3" t="s">
        <v>444</v>
      </c>
      <c r="B243" s="10" t="s">
        <v>445</v>
      </c>
      <c r="C243" s="5"/>
      <c r="D243" s="5">
        <f t="shared" si="11"/>
        <v>0</v>
      </c>
      <c r="E243" s="6">
        <f t="shared" si="9"/>
        <v>0</v>
      </c>
      <c r="F243" s="6">
        <f t="shared" si="10"/>
        <v>0</v>
      </c>
      <c r="G243" s="62"/>
      <c r="H243" s="62"/>
      <c r="I243" s="60"/>
      <c r="J243" s="60"/>
      <c r="K243" s="64"/>
      <c r="L243" s="64"/>
      <c r="M243" s="25"/>
      <c r="N243" s="25"/>
    </row>
    <row r="244" spans="1:14">
      <c r="A244" s="3" t="s">
        <v>446</v>
      </c>
      <c r="B244" s="10" t="s">
        <v>447</v>
      </c>
      <c r="C244" s="5"/>
      <c r="D244" s="5">
        <f t="shared" si="11"/>
        <v>0</v>
      </c>
      <c r="E244" s="6">
        <f t="shared" si="9"/>
        <v>0</v>
      </c>
      <c r="F244" s="6">
        <f t="shared" si="10"/>
        <v>0</v>
      </c>
      <c r="G244" s="62"/>
      <c r="H244" s="62"/>
      <c r="I244" s="60"/>
      <c r="J244" s="60"/>
      <c r="K244" s="64"/>
      <c r="L244" s="64"/>
      <c r="M244" s="25"/>
      <c r="N244" s="25"/>
    </row>
    <row r="245" spans="1:14">
      <c r="A245" s="3" t="s">
        <v>448</v>
      </c>
      <c r="B245" s="10" t="s">
        <v>449</v>
      </c>
      <c r="C245" s="5"/>
      <c r="D245" s="5">
        <f t="shared" si="11"/>
        <v>0</v>
      </c>
      <c r="E245" s="6">
        <f t="shared" si="9"/>
        <v>0</v>
      </c>
      <c r="F245" s="6">
        <f t="shared" si="10"/>
        <v>0</v>
      </c>
      <c r="G245" s="62"/>
      <c r="H245" s="62"/>
      <c r="I245" s="60"/>
      <c r="J245" s="60"/>
      <c r="K245" s="64"/>
      <c r="L245" s="64"/>
      <c r="M245" s="25"/>
      <c r="N245" s="25"/>
    </row>
    <row r="246" spans="1:14">
      <c r="A246" s="3" t="s">
        <v>450</v>
      </c>
      <c r="B246" s="10" t="s">
        <v>451</v>
      </c>
      <c r="C246" s="5"/>
      <c r="D246" s="5">
        <f t="shared" si="11"/>
        <v>0</v>
      </c>
      <c r="E246" s="6">
        <f t="shared" si="9"/>
        <v>0</v>
      </c>
      <c r="F246" s="6">
        <f t="shared" si="10"/>
        <v>0</v>
      </c>
      <c r="G246" s="62"/>
      <c r="H246" s="62"/>
      <c r="I246" s="60"/>
      <c r="J246" s="60"/>
      <c r="K246" s="64"/>
      <c r="L246" s="64"/>
      <c r="M246" s="25"/>
      <c r="N246" s="25"/>
    </row>
    <row r="247" spans="1:14">
      <c r="A247" s="3" t="s">
        <v>452</v>
      </c>
      <c r="B247" s="10" t="s">
        <v>453</v>
      </c>
      <c r="C247" s="5"/>
      <c r="D247" s="5">
        <f t="shared" si="11"/>
        <v>0</v>
      </c>
      <c r="E247" s="6">
        <f t="shared" si="9"/>
        <v>0</v>
      </c>
      <c r="F247" s="6">
        <f t="shared" si="10"/>
        <v>0</v>
      </c>
      <c r="G247" s="62"/>
      <c r="H247" s="62"/>
      <c r="I247" s="60"/>
      <c r="J247" s="60"/>
      <c r="K247" s="64"/>
      <c r="L247" s="64"/>
      <c r="M247" s="25"/>
      <c r="N247" s="25"/>
    </row>
    <row r="248" spans="1:14">
      <c r="A248" s="3" t="s">
        <v>454</v>
      </c>
      <c r="B248" s="10" t="s">
        <v>455</v>
      </c>
      <c r="C248" s="5"/>
      <c r="D248" s="5">
        <f t="shared" si="11"/>
        <v>0</v>
      </c>
      <c r="E248" s="6">
        <f t="shared" si="9"/>
        <v>0</v>
      </c>
      <c r="F248" s="6">
        <f t="shared" si="10"/>
        <v>0</v>
      </c>
      <c r="G248" s="62"/>
      <c r="H248" s="62"/>
      <c r="I248" s="60"/>
      <c r="J248" s="60"/>
      <c r="K248" s="64"/>
      <c r="L248" s="64"/>
      <c r="M248" s="25"/>
      <c r="N248" s="25"/>
    </row>
    <row r="249" spans="1:14">
      <c r="A249" s="3" t="s">
        <v>456</v>
      </c>
      <c r="B249" s="10" t="s">
        <v>457</v>
      </c>
      <c r="C249" s="5"/>
      <c r="D249" s="5">
        <f t="shared" si="11"/>
        <v>0</v>
      </c>
      <c r="E249" s="6">
        <f t="shared" si="9"/>
        <v>0</v>
      </c>
      <c r="F249" s="6">
        <f t="shared" si="10"/>
        <v>0</v>
      </c>
      <c r="G249" s="62"/>
      <c r="H249" s="62"/>
      <c r="I249" s="60"/>
      <c r="J249" s="60"/>
      <c r="K249" s="64"/>
      <c r="L249" s="64"/>
      <c r="M249" s="25"/>
      <c r="N249" s="25"/>
    </row>
    <row r="250" spans="1:14">
      <c r="A250" s="3" t="s">
        <v>458</v>
      </c>
      <c r="B250" s="10" t="s">
        <v>459</v>
      </c>
      <c r="C250" s="5"/>
      <c r="D250" s="5">
        <f t="shared" si="11"/>
        <v>0</v>
      </c>
      <c r="E250" s="6">
        <f t="shared" si="9"/>
        <v>0</v>
      </c>
      <c r="F250" s="6">
        <f t="shared" si="10"/>
        <v>0</v>
      </c>
      <c r="G250" s="62"/>
      <c r="H250" s="62"/>
      <c r="I250" s="60"/>
      <c r="J250" s="60"/>
      <c r="K250" s="64"/>
      <c r="L250" s="64"/>
      <c r="M250" s="25"/>
      <c r="N250" s="25"/>
    </row>
    <row r="251" spans="1:14">
      <c r="A251" s="3" t="s">
        <v>460</v>
      </c>
      <c r="B251" s="10" t="s">
        <v>461</v>
      </c>
      <c r="C251" s="5"/>
      <c r="D251" s="5">
        <f t="shared" si="11"/>
        <v>0</v>
      </c>
      <c r="E251" s="6">
        <f t="shared" si="9"/>
        <v>0</v>
      </c>
      <c r="F251" s="6">
        <f t="shared" si="10"/>
        <v>0</v>
      </c>
      <c r="G251" s="62"/>
      <c r="H251" s="62"/>
      <c r="I251" s="60"/>
      <c r="J251" s="60"/>
      <c r="K251" s="64"/>
      <c r="L251" s="64"/>
      <c r="M251" s="25"/>
      <c r="N251" s="25"/>
    </row>
    <row r="252" spans="1:14">
      <c r="A252" s="3" t="s">
        <v>462</v>
      </c>
      <c r="B252" s="10" t="s">
        <v>463</v>
      </c>
      <c r="C252" s="5"/>
      <c r="D252" s="5">
        <f t="shared" si="11"/>
        <v>0</v>
      </c>
      <c r="E252" s="6">
        <f t="shared" si="9"/>
        <v>0</v>
      </c>
      <c r="F252" s="6">
        <f t="shared" si="10"/>
        <v>0</v>
      </c>
      <c r="G252" s="62"/>
      <c r="H252" s="62"/>
      <c r="I252" s="60"/>
      <c r="J252" s="60"/>
      <c r="K252" s="64"/>
      <c r="L252" s="64"/>
      <c r="M252" s="25"/>
      <c r="N252" s="25"/>
    </row>
    <row r="253" spans="1:14">
      <c r="A253" s="3" t="s">
        <v>464</v>
      </c>
      <c r="B253" s="10" t="s">
        <v>465</v>
      </c>
      <c r="C253" s="5"/>
      <c r="D253" s="5">
        <f t="shared" si="11"/>
        <v>0</v>
      </c>
      <c r="E253" s="6">
        <f t="shared" si="9"/>
        <v>0</v>
      </c>
      <c r="F253" s="6">
        <f t="shared" si="10"/>
        <v>0</v>
      </c>
      <c r="G253" s="62"/>
      <c r="H253" s="62"/>
      <c r="I253" s="60"/>
      <c r="J253" s="60"/>
      <c r="K253" s="64"/>
      <c r="L253" s="64"/>
      <c r="M253" s="25"/>
      <c r="N253" s="25"/>
    </row>
    <row r="254" spans="1:14">
      <c r="A254" s="3" t="s">
        <v>466</v>
      </c>
      <c r="B254" s="10" t="s">
        <v>467</v>
      </c>
      <c r="C254" s="5"/>
      <c r="D254" s="5">
        <f t="shared" si="11"/>
        <v>0</v>
      </c>
      <c r="E254" s="6">
        <f t="shared" si="9"/>
        <v>0</v>
      </c>
      <c r="F254" s="6">
        <f t="shared" si="10"/>
        <v>0</v>
      </c>
      <c r="G254" s="62"/>
      <c r="H254" s="62"/>
      <c r="I254" s="60"/>
      <c r="J254" s="60"/>
      <c r="K254" s="64"/>
      <c r="L254" s="64"/>
      <c r="M254" s="25"/>
      <c r="N254" s="25"/>
    </row>
    <row r="255" spans="1:14">
      <c r="A255" s="3" t="s">
        <v>468</v>
      </c>
      <c r="B255" s="10" t="s">
        <v>469</v>
      </c>
      <c r="C255" s="5"/>
      <c r="D255" s="5">
        <f t="shared" si="11"/>
        <v>0</v>
      </c>
      <c r="E255" s="6">
        <f t="shared" si="9"/>
        <v>0</v>
      </c>
      <c r="F255" s="6">
        <f t="shared" si="10"/>
        <v>0</v>
      </c>
      <c r="G255" s="62"/>
      <c r="H255" s="62"/>
      <c r="I255" s="60"/>
      <c r="J255" s="60"/>
      <c r="K255" s="64"/>
      <c r="L255" s="64"/>
      <c r="M255" s="25"/>
      <c r="N255" s="25"/>
    </row>
    <row r="256" spans="1:14">
      <c r="A256" s="3" t="s">
        <v>470</v>
      </c>
      <c r="B256" s="10" t="s">
        <v>471</v>
      </c>
      <c r="C256" s="5"/>
      <c r="D256" s="5">
        <f t="shared" si="11"/>
        <v>0</v>
      </c>
      <c r="E256" s="6">
        <f t="shared" si="9"/>
        <v>0</v>
      </c>
      <c r="F256" s="6">
        <f t="shared" si="10"/>
        <v>0</v>
      </c>
      <c r="G256" s="62"/>
      <c r="H256" s="62"/>
      <c r="I256" s="60"/>
      <c r="J256" s="60"/>
      <c r="K256" s="64"/>
      <c r="L256" s="64"/>
      <c r="M256" s="25"/>
      <c r="N256" s="25"/>
    </row>
    <row r="257" spans="1:14">
      <c r="A257" s="3" t="s">
        <v>472</v>
      </c>
      <c r="B257" s="10" t="s">
        <v>473</v>
      </c>
      <c r="C257" s="5"/>
      <c r="D257" s="5">
        <f t="shared" si="11"/>
        <v>0</v>
      </c>
      <c r="E257" s="6">
        <f t="shared" si="9"/>
        <v>0</v>
      </c>
      <c r="F257" s="6">
        <f t="shared" si="10"/>
        <v>0</v>
      </c>
      <c r="G257" s="62"/>
      <c r="H257" s="62"/>
      <c r="I257" s="60"/>
      <c r="J257" s="60"/>
      <c r="K257" s="64"/>
      <c r="L257" s="64"/>
      <c r="M257" s="25"/>
      <c r="N257" s="25"/>
    </row>
    <row r="258" spans="1:14">
      <c r="A258" s="3" t="s">
        <v>474</v>
      </c>
      <c r="B258" s="10" t="s">
        <v>475</v>
      </c>
      <c r="C258" s="5"/>
      <c r="D258" s="5">
        <f t="shared" si="11"/>
        <v>0</v>
      </c>
      <c r="E258" s="6">
        <f t="shared" si="9"/>
        <v>0</v>
      </c>
      <c r="F258" s="6">
        <f t="shared" si="10"/>
        <v>0</v>
      </c>
      <c r="G258" s="62"/>
      <c r="H258" s="62"/>
      <c r="I258" s="60"/>
      <c r="J258" s="60"/>
      <c r="K258" s="64"/>
      <c r="L258" s="64"/>
      <c r="M258" s="25"/>
      <c r="N258" s="25"/>
    </row>
    <row r="259" spans="1:14">
      <c r="A259" s="3" t="s">
        <v>476</v>
      </c>
      <c r="B259" s="10" t="s">
        <v>477</v>
      </c>
      <c r="C259" s="5"/>
      <c r="D259" s="5">
        <f t="shared" si="11"/>
        <v>0</v>
      </c>
      <c r="E259" s="6">
        <f t="shared" si="9"/>
        <v>0</v>
      </c>
      <c r="F259" s="6">
        <f t="shared" si="10"/>
        <v>0</v>
      </c>
      <c r="G259" s="62"/>
      <c r="H259" s="62"/>
      <c r="I259" s="60"/>
      <c r="J259" s="60"/>
      <c r="K259" s="64"/>
      <c r="L259" s="64"/>
      <c r="M259" s="25"/>
      <c r="N259" s="25"/>
    </row>
    <row r="260" spans="1:14">
      <c r="A260" s="3" t="s">
        <v>478</v>
      </c>
      <c r="B260" s="10" t="s">
        <v>479</v>
      </c>
      <c r="C260" s="5"/>
      <c r="D260" s="5">
        <f t="shared" si="11"/>
        <v>0</v>
      </c>
      <c r="E260" s="6">
        <f t="shared" si="9"/>
        <v>0</v>
      </c>
      <c r="F260" s="6">
        <f t="shared" si="10"/>
        <v>0</v>
      </c>
      <c r="G260" s="62"/>
      <c r="H260" s="62"/>
      <c r="I260" s="60"/>
      <c r="J260" s="60"/>
      <c r="K260" s="64"/>
      <c r="L260" s="64"/>
      <c r="M260" s="25"/>
      <c r="N260" s="25"/>
    </row>
    <row r="261" spans="1:14">
      <c r="A261" s="3" t="s">
        <v>480</v>
      </c>
      <c r="B261" s="10" t="s">
        <v>481</v>
      </c>
      <c r="C261" s="5"/>
      <c r="D261" s="5">
        <f t="shared" si="11"/>
        <v>0</v>
      </c>
      <c r="E261" s="6">
        <f t="shared" si="9"/>
        <v>0</v>
      </c>
      <c r="F261" s="6">
        <f t="shared" si="10"/>
        <v>0</v>
      </c>
      <c r="G261" s="62"/>
      <c r="H261" s="62"/>
      <c r="I261" s="60"/>
      <c r="J261" s="60"/>
      <c r="K261" s="64"/>
      <c r="L261" s="64"/>
      <c r="M261" s="25"/>
      <c r="N261" s="25"/>
    </row>
    <row r="262" spans="1:14">
      <c r="A262" s="3" t="s">
        <v>482</v>
      </c>
      <c r="B262" s="10" t="s">
        <v>483</v>
      </c>
      <c r="C262" s="5"/>
      <c r="D262" s="5">
        <f t="shared" si="11"/>
        <v>0</v>
      </c>
      <c r="E262" s="6">
        <f t="shared" si="9"/>
        <v>0</v>
      </c>
      <c r="F262" s="6">
        <f t="shared" si="10"/>
        <v>0</v>
      </c>
      <c r="G262" s="62"/>
      <c r="H262" s="62"/>
      <c r="I262" s="60"/>
      <c r="J262" s="60"/>
      <c r="K262" s="64"/>
      <c r="L262" s="64"/>
      <c r="M262" s="25"/>
      <c r="N262" s="25"/>
    </row>
    <row r="263" spans="1:14">
      <c r="A263" s="3" t="s">
        <v>484</v>
      </c>
      <c r="B263" s="10" t="s">
        <v>485</v>
      </c>
      <c r="C263" s="5"/>
      <c r="D263" s="5">
        <f t="shared" si="11"/>
        <v>0</v>
      </c>
      <c r="E263" s="6">
        <f t="shared" si="9"/>
        <v>0</v>
      </c>
      <c r="F263" s="6">
        <f t="shared" si="10"/>
        <v>0</v>
      </c>
      <c r="G263" s="62"/>
      <c r="H263" s="62"/>
      <c r="I263" s="60"/>
      <c r="J263" s="60"/>
      <c r="K263" s="64"/>
      <c r="L263" s="64"/>
      <c r="M263" s="25"/>
      <c r="N263" s="25"/>
    </row>
    <row r="264" spans="1:14">
      <c r="A264" s="3" t="s">
        <v>486</v>
      </c>
      <c r="B264" s="10" t="s">
        <v>487</v>
      </c>
      <c r="C264" s="5"/>
      <c r="D264" s="5">
        <f t="shared" si="11"/>
        <v>0</v>
      </c>
      <c r="E264" s="6">
        <f t="shared" si="9"/>
        <v>0</v>
      </c>
      <c r="F264" s="6">
        <f t="shared" si="10"/>
        <v>0</v>
      </c>
      <c r="G264" s="62"/>
      <c r="H264" s="62"/>
      <c r="I264" s="60"/>
      <c r="J264" s="60"/>
      <c r="K264" s="64"/>
      <c r="L264" s="64"/>
      <c r="M264" s="25"/>
      <c r="N264" s="25"/>
    </row>
    <row r="265" spans="1:14">
      <c r="A265" s="3" t="s">
        <v>488</v>
      </c>
      <c r="B265" s="10" t="s">
        <v>489</v>
      </c>
      <c r="C265" s="5"/>
      <c r="D265" s="5">
        <f t="shared" si="11"/>
        <v>0</v>
      </c>
      <c r="E265" s="6">
        <f t="shared" si="9"/>
        <v>0</v>
      </c>
      <c r="F265" s="6">
        <f t="shared" si="10"/>
        <v>0</v>
      </c>
      <c r="G265" s="62"/>
      <c r="H265" s="62"/>
      <c r="I265" s="60"/>
      <c r="J265" s="60"/>
      <c r="K265" s="64"/>
      <c r="L265" s="64"/>
      <c r="M265" s="25"/>
      <c r="N265" s="25"/>
    </row>
    <row r="266" spans="1:14">
      <c r="A266" s="3" t="s">
        <v>490</v>
      </c>
      <c r="B266" s="10" t="s">
        <v>491</v>
      </c>
      <c r="C266" s="5"/>
      <c r="D266" s="5">
        <f t="shared" si="11"/>
        <v>0</v>
      </c>
      <c r="E266" s="6">
        <f t="shared" si="9"/>
        <v>0</v>
      </c>
      <c r="F266" s="6">
        <f t="shared" si="10"/>
        <v>0</v>
      </c>
      <c r="G266" s="62"/>
      <c r="H266" s="62"/>
      <c r="I266" s="60"/>
      <c r="J266" s="60"/>
      <c r="K266" s="64"/>
      <c r="L266" s="64"/>
      <c r="M266" s="25"/>
      <c r="N266" s="25"/>
    </row>
    <row r="267" spans="1:14">
      <c r="A267" s="3" t="s">
        <v>492</v>
      </c>
      <c r="B267" s="10" t="s">
        <v>493</v>
      </c>
      <c r="C267" s="5"/>
      <c r="D267" s="5">
        <f t="shared" si="11"/>
        <v>0</v>
      </c>
      <c r="E267" s="6">
        <f t="shared" si="9"/>
        <v>0</v>
      </c>
      <c r="F267" s="6">
        <f t="shared" si="10"/>
        <v>0</v>
      </c>
      <c r="G267" s="62"/>
      <c r="H267" s="62"/>
      <c r="I267" s="60"/>
      <c r="J267" s="60"/>
      <c r="K267" s="64"/>
      <c r="L267" s="64"/>
      <c r="M267" s="25"/>
      <c r="N267" s="25"/>
    </row>
    <row r="268" spans="1:14">
      <c r="A268" s="3" t="s">
        <v>494</v>
      </c>
      <c r="B268" s="10" t="s">
        <v>495</v>
      </c>
      <c r="C268" s="5"/>
      <c r="D268" s="5">
        <f t="shared" si="11"/>
        <v>0</v>
      </c>
      <c r="E268" s="6">
        <f t="shared" si="9"/>
        <v>0</v>
      </c>
      <c r="F268" s="6">
        <f t="shared" si="10"/>
        <v>0</v>
      </c>
      <c r="G268" s="62"/>
      <c r="H268" s="62"/>
      <c r="I268" s="60"/>
      <c r="J268" s="60"/>
      <c r="K268" s="64"/>
      <c r="L268" s="64"/>
      <c r="M268" s="25"/>
      <c r="N268" s="25"/>
    </row>
    <row r="269" spans="1:14">
      <c r="A269" s="3" t="s">
        <v>496</v>
      </c>
      <c r="B269" s="10" t="s">
        <v>497</v>
      </c>
      <c r="C269" s="5"/>
      <c r="D269" s="5">
        <f t="shared" si="11"/>
        <v>0</v>
      </c>
      <c r="E269" s="6">
        <f t="shared" si="9"/>
        <v>0</v>
      </c>
      <c r="F269" s="6">
        <f t="shared" si="10"/>
        <v>0</v>
      </c>
      <c r="G269" s="62"/>
      <c r="H269" s="62"/>
      <c r="I269" s="60"/>
      <c r="J269" s="60"/>
      <c r="K269" s="64"/>
      <c r="L269" s="64"/>
      <c r="M269" s="25"/>
      <c r="N269" s="25"/>
    </row>
    <row r="270" spans="1:14">
      <c r="A270" s="3" t="s">
        <v>498</v>
      </c>
      <c r="B270" s="10" t="s">
        <v>499</v>
      </c>
      <c r="C270" s="5"/>
      <c r="D270" s="5">
        <f t="shared" si="11"/>
        <v>0</v>
      </c>
      <c r="E270" s="6">
        <f t="shared" ref="E270:E333" si="12">SUM(G270,I270,K270,M270)</f>
        <v>0</v>
      </c>
      <c r="F270" s="6">
        <f t="shared" ref="F270:F333" si="13">SUM(H270,J270,L270,N270)</f>
        <v>0</v>
      </c>
      <c r="G270" s="62"/>
      <c r="H270" s="62"/>
      <c r="I270" s="60"/>
      <c r="J270" s="60"/>
      <c r="K270" s="64"/>
      <c r="L270" s="64"/>
      <c r="M270" s="25"/>
      <c r="N270" s="25"/>
    </row>
    <row r="271" spans="1:14">
      <c r="A271" s="3" t="s">
        <v>500</v>
      </c>
      <c r="B271" s="10" t="s">
        <v>501</v>
      </c>
      <c r="C271" s="5"/>
      <c r="D271" s="5">
        <f t="shared" si="11"/>
        <v>0</v>
      </c>
      <c r="E271" s="6">
        <f t="shared" si="12"/>
        <v>0</v>
      </c>
      <c r="F271" s="6">
        <f t="shared" si="13"/>
        <v>0</v>
      </c>
      <c r="G271" s="62"/>
      <c r="H271" s="62"/>
      <c r="I271" s="60"/>
      <c r="J271" s="60"/>
      <c r="K271" s="64"/>
      <c r="L271" s="64"/>
      <c r="M271" s="25"/>
      <c r="N271" s="25"/>
    </row>
    <row r="272" spans="1:14">
      <c r="A272" s="3" t="s">
        <v>502</v>
      </c>
      <c r="B272" s="10" t="s">
        <v>503</v>
      </c>
      <c r="C272" s="5"/>
      <c r="D272" s="5">
        <f t="shared" si="11"/>
        <v>0</v>
      </c>
      <c r="E272" s="6">
        <f t="shared" si="12"/>
        <v>0</v>
      </c>
      <c r="F272" s="6">
        <f t="shared" si="13"/>
        <v>0</v>
      </c>
      <c r="G272" s="62"/>
      <c r="H272" s="62"/>
      <c r="I272" s="60"/>
      <c r="J272" s="60"/>
      <c r="K272" s="64"/>
      <c r="L272" s="64"/>
      <c r="M272" s="25"/>
      <c r="N272" s="25"/>
    </row>
    <row r="273" spans="1:14">
      <c r="A273" s="3" t="s">
        <v>504</v>
      </c>
      <c r="B273" s="10" t="s">
        <v>505</v>
      </c>
      <c r="C273" s="5"/>
      <c r="D273" s="5">
        <f t="shared" si="11"/>
        <v>0</v>
      </c>
      <c r="E273" s="6">
        <f t="shared" si="12"/>
        <v>0</v>
      </c>
      <c r="F273" s="6">
        <f t="shared" si="13"/>
        <v>0</v>
      </c>
      <c r="G273" s="62"/>
      <c r="H273" s="62"/>
      <c r="I273" s="60"/>
      <c r="J273" s="60"/>
      <c r="K273" s="64"/>
      <c r="L273" s="64"/>
      <c r="M273" s="25"/>
      <c r="N273" s="25"/>
    </row>
    <row r="274" spans="1:14">
      <c r="A274" s="3" t="s">
        <v>506</v>
      </c>
      <c r="B274" s="10" t="s">
        <v>507</v>
      </c>
      <c r="C274" s="5"/>
      <c r="D274" s="5">
        <f t="shared" si="11"/>
        <v>0</v>
      </c>
      <c r="E274" s="6">
        <f t="shared" si="12"/>
        <v>0</v>
      </c>
      <c r="F274" s="6">
        <f t="shared" si="13"/>
        <v>0</v>
      </c>
      <c r="G274" s="62"/>
      <c r="H274" s="62"/>
      <c r="I274" s="60"/>
      <c r="J274" s="60"/>
      <c r="K274" s="64"/>
      <c r="L274" s="64"/>
      <c r="M274" s="25"/>
      <c r="N274" s="25"/>
    </row>
    <row r="275" spans="1:14">
      <c r="A275" s="3" t="s">
        <v>508</v>
      </c>
      <c r="B275" s="10" t="s">
        <v>509</v>
      </c>
      <c r="C275" s="5"/>
      <c r="D275" s="5">
        <f t="shared" si="11"/>
        <v>0</v>
      </c>
      <c r="E275" s="6">
        <f t="shared" si="12"/>
        <v>0</v>
      </c>
      <c r="F275" s="6">
        <f t="shared" si="13"/>
        <v>0</v>
      </c>
      <c r="G275" s="62"/>
      <c r="H275" s="62"/>
      <c r="I275" s="60"/>
      <c r="J275" s="60"/>
      <c r="K275" s="64"/>
      <c r="L275" s="64"/>
      <c r="M275" s="25"/>
      <c r="N275" s="25"/>
    </row>
    <row r="276" spans="1:14">
      <c r="A276" s="3" t="s">
        <v>510</v>
      </c>
      <c r="B276" s="10" t="s">
        <v>511</v>
      </c>
      <c r="C276" s="5"/>
      <c r="D276" s="5">
        <f t="shared" si="11"/>
        <v>0</v>
      </c>
      <c r="E276" s="6">
        <f t="shared" si="12"/>
        <v>0</v>
      </c>
      <c r="F276" s="6">
        <f t="shared" si="13"/>
        <v>0</v>
      </c>
      <c r="G276" s="62"/>
      <c r="H276" s="62"/>
      <c r="I276" s="60"/>
      <c r="J276" s="60"/>
      <c r="K276" s="64"/>
      <c r="L276" s="64"/>
      <c r="M276" s="25"/>
      <c r="N276" s="25"/>
    </row>
    <row r="277" spans="1:14">
      <c r="A277" s="3" t="s">
        <v>512</v>
      </c>
      <c r="B277" s="10" t="s">
        <v>513</v>
      </c>
      <c r="C277" s="5"/>
      <c r="D277" s="5">
        <f t="shared" si="11"/>
        <v>0</v>
      </c>
      <c r="E277" s="6">
        <f t="shared" si="12"/>
        <v>0</v>
      </c>
      <c r="F277" s="6">
        <f t="shared" si="13"/>
        <v>0</v>
      </c>
      <c r="G277" s="62"/>
      <c r="H277" s="62"/>
      <c r="I277" s="60"/>
      <c r="J277" s="60"/>
      <c r="K277" s="64"/>
      <c r="L277" s="64"/>
      <c r="M277" s="25"/>
      <c r="N277" s="25"/>
    </row>
    <row r="278" spans="1:14">
      <c r="A278" s="3" t="s">
        <v>514</v>
      </c>
      <c r="B278" s="10" t="s">
        <v>515</v>
      </c>
      <c r="C278" s="5"/>
      <c r="D278" s="5">
        <f t="shared" si="11"/>
        <v>0</v>
      </c>
      <c r="E278" s="6">
        <f t="shared" si="12"/>
        <v>0</v>
      </c>
      <c r="F278" s="6">
        <f t="shared" si="13"/>
        <v>0</v>
      </c>
      <c r="G278" s="62"/>
      <c r="H278" s="62"/>
      <c r="I278" s="60"/>
      <c r="J278" s="60"/>
      <c r="K278" s="64"/>
      <c r="L278" s="64"/>
      <c r="M278" s="25"/>
      <c r="N278" s="25"/>
    </row>
    <row r="279" spans="1:14">
      <c r="A279" s="3" t="s">
        <v>516</v>
      </c>
      <c r="B279" s="10" t="s">
        <v>517</v>
      </c>
      <c r="C279" s="5"/>
      <c r="D279" s="5">
        <f t="shared" si="11"/>
        <v>0</v>
      </c>
      <c r="E279" s="6">
        <f t="shared" si="12"/>
        <v>0</v>
      </c>
      <c r="F279" s="6">
        <f t="shared" si="13"/>
        <v>0</v>
      </c>
      <c r="G279" s="62"/>
      <c r="H279" s="62"/>
      <c r="I279" s="60"/>
      <c r="J279" s="60"/>
      <c r="K279" s="64"/>
      <c r="L279" s="64"/>
      <c r="M279" s="25"/>
      <c r="N279" s="25"/>
    </row>
    <row r="280" spans="1:14">
      <c r="A280" s="3" t="s">
        <v>518</v>
      </c>
      <c r="B280" s="10" t="s">
        <v>519</v>
      </c>
      <c r="C280" s="5"/>
      <c r="D280" s="5">
        <f t="shared" si="11"/>
        <v>0</v>
      </c>
      <c r="E280" s="6">
        <f t="shared" si="12"/>
        <v>0</v>
      </c>
      <c r="F280" s="6">
        <f t="shared" si="13"/>
        <v>0</v>
      </c>
      <c r="G280" s="62"/>
      <c r="H280" s="62"/>
      <c r="I280" s="60"/>
      <c r="J280" s="60"/>
      <c r="K280" s="64"/>
      <c r="L280" s="64"/>
      <c r="M280" s="25"/>
      <c r="N280" s="25"/>
    </row>
    <row r="281" spans="1:14">
      <c r="A281" s="3" t="s">
        <v>520</v>
      </c>
      <c r="B281" s="4" t="s">
        <v>521</v>
      </c>
      <c r="C281" s="5">
        <f t="shared" ref="C281:C344" si="14">E281-F281</f>
        <v>0</v>
      </c>
      <c r="D281" s="5"/>
      <c r="E281" s="6">
        <f t="shared" si="12"/>
        <v>0</v>
      </c>
      <c r="F281" s="6">
        <f t="shared" si="13"/>
        <v>0</v>
      </c>
      <c r="G281" s="62"/>
      <c r="H281" s="62"/>
      <c r="I281" s="60"/>
      <c r="J281" s="60"/>
      <c r="K281" s="64"/>
      <c r="L281" s="64"/>
      <c r="M281" s="25"/>
      <c r="N281" s="25"/>
    </row>
    <row r="282" spans="1:14">
      <c r="A282" s="3" t="s">
        <v>522</v>
      </c>
      <c r="B282" s="4" t="s">
        <v>523</v>
      </c>
      <c r="C282" s="5">
        <f t="shared" si="14"/>
        <v>0</v>
      </c>
      <c r="D282" s="5"/>
      <c r="E282" s="6">
        <f t="shared" si="12"/>
        <v>0</v>
      </c>
      <c r="F282" s="6">
        <f t="shared" si="13"/>
        <v>0</v>
      </c>
      <c r="G282" s="62"/>
      <c r="H282" s="62"/>
      <c r="I282" s="60"/>
      <c r="J282" s="60"/>
      <c r="K282" s="64"/>
      <c r="L282" s="64"/>
      <c r="M282" s="25"/>
      <c r="N282" s="25"/>
    </row>
    <row r="283" spans="1:14">
      <c r="A283" s="3" t="s">
        <v>524</v>
      </c>
      <c r="B283" s="4" t="s">
        <v>525</v>
      </c>
      <c r="C283" s="5">
        <f t="shared" si="14"/>
        <v>0</v>
      </c>
      <c r="D283" s="5"/>
      <c r="E283" s="6">
        <f t="shared" si="12"/>
        <v>0</v>
      </c>
      <c r="F283" s="6">
        <f t="shared" si="13"/>
        <v>0</v>
      </c>
      <c r="G283" s="62"/>
      <c r="H283" s="62"/>
      <c r="I283" s="60"/>
      <c r="J283" s="60"/>
      <c r="K283" s="64"/>
      <c r="L283" s="64"/>
      <c r="M283" s="25"/>
      <c r="N283" s="25"/>
    </row>
    <row r="284" spans="1:14">
      <c r="A284" s="3" t="s">
        <v>526</v>
      </c>
      <c r="B284" s="4" t="s">
        <v>527</v>
      </c>
      <c r="C284" s="5">
        <f t="shared" si="14"/>
        <v>0</v>
      </c>
      <c r="D284" s="5"/>
      <c r="E284" s="6">
        <f t="shared" si="12"/>
        <v>0</v>
      </c>
      <c r="F284" s="6">
        <f t="shared" si="13"/>
        <v>0</v>
      </c>
      <c r="G284" s="62"/>
      <c r="H284" s="62"/>
      <c r="I284" s="60"/>
      <c r="J284" s="60"/>
      <c r="K284" s="64"/>
      <c r="L284" s="64"/>
      <c r="M284" s="25"/>
      <c r="N284" s="25"/>
    </row>
    <row r="285" spans="1:14">
      <c r="A285" s="3" t="s">
        <v>528</v>
      </c>
      <c r="B285" s="4" t="s">
        <v>529</v>
      </c>
      <c r="C285" s="5">
        <f t="shared" si="14"/>
        <v>0</v>
      </c>
      <c r="D285" s="5"/>
      <c r="E285" s="6">
        <f t="shared" si="12"/>
        <v>0</v>
      </c>
      <c r="F285" s="6">
        <f t="shared" si="13"/>
        <v>0</v>
      </c>
      <c r="G285" s="62"/>
      <c r="H285" s="62"/>
      <c r="I285" s="60"/>
      <c r="J285" s="60"/>
      <c r="K285" s="64"/>
      <c r="L285" s="64"/>
      <c r="M285" s="25"/>
      <c r="N285" s="25"/>
    </row>
    <row r="286" spans="1:14">
      <c r="A286" s="3" t="s">
        <v>530</v>
      </c>
      <c r="B286" s="4" t="s">
        <v>531</v>
      </c>
      <c r="C286" s="5">
        <f t="shared" si="14"/>
        <v>0</v>
      </c>
      <c r="D286" s="5"/>
      <c r="E286" s="6">
        <f t="shared" si="12"/>
        <v>0</v>
      </c>
      <c r="F286" s="6">
        <f t="shared" si="13"/>
        <v>0</v>
      </c>
      <c r="G286" s="62"/>
      <c r="H286" s="62"/>
      <c r="I286" s="60"/>
      <c r="J286" s="60"/>
      <c r="K286" s="64"/>
      <c r="L286" s="64"/>
      <c r="M286" s="25"/>
      <c r="N286" s="25"/>
    </row>
    <row r="287" spans="1:14">
      <c r="A287" s="3" t="s">
        <v>532</v>
      </c>
      <c r="B287" s="4" t="s">
        <v>533</v>
      </c>
      <c r="C287" s="5">
        <f t="shared" si="14"/>
        <v>0</v>
      </c>
      <c r="D287" s="5"/>
      <c r="E287" s="6">
        <f t="shared" si="12"/>
        <v>0</v>
      </c>
      <c r="F287" s="6">
        <f t="shared" si="13"/>
        <v>0</v>
      </c>
      <c r="G287" s="62"/>
      <c r="H287" s="62"/>
      <c r="I287" s="60"/>
      <c r="J287" s="60"/>
      <c r="K287" s="64"/>
      <c r="L287" s="64"/>
      <c r="M287" s="25"/>
      <c r="N287" s="25"/>
    </row>
    <row r="288" spans="1:14">
      <c r="A288" s="3" t="s">
        <v>534</v>
      </c>
      <c r="B288" s="4" t="s">
        <v>535</v>
      </c>
      <c r="C288" s="5">
        <f t="shared" si="14"/>
        <v>0</v>
      </c>
      <c r="D288" s="5"/>
      <c r="E288" s="6">
        <f t="shared" si="12"/>
        <v>0</v>
      </c>
      <c r="F288" s="6">
        <f t="shared" si="13"/>
        <v>0</v>
      </c>
      <c r="G288" s="62"/>
      <c r="H288" s="62"/>
      <c r="I288" s="60"/>
      <c r="J288" s="60"/>
      <c r="K288" s="64"/>
      <c r="L288" s="64"/>
      <c r="M288" s="25"/>
      <c r="N288" s="25"/>
    </row>
    <row r="289" spans="1:14">
      <c r="A289" s="3" t="s">
        <v>536</v>
      </c>
      <c r="B289" s="4" t="s">
        <v>537</v>
      </c>
      <c r="C289" s="5">
        <f t="shared" si="14"/>
        <v>0</v>
      </c>
      <c r="D289" s="5"/>
      <c r="E289" s="6">
        <f t="shared" si="12"/>
        <v>0</v>
      </c>
      <c r="F289" s="6">
        <f t="shared" si="13"/>
        <v>0</v>
      </c>
      <c r="G289" s="62"/>
      <c r="H289" s="62"/>
      <c r="I289" s="60"/>
      <c r="J289" s="60"/>
      <c r="K289" s="64"/>
      <c r="L289" s="64"/>
      <c r="M289" s="25"/>
      <c r="N289" s="25"/>
    </row>
    <row r="290" spans="1:14">
      <c r="A290" s="3" t="s">
        <v>538</v>
      </c>
      <c r="B290" s="4" t="s">
        <v>539</v>
      </c>
      <c r="C290" s="5">
        <f t="shared" si="14"/>
        <v>0</v>
      </c>
      <c r="D290" s="5"/>
      <c r="E290" s="6">
        <f t="shared" si="12"/>
        <v>0</v>
      </c>
      <c r="F290" s="6">
        <f t="shared" si="13"/>
        <v>0</v>
      </c>
      <c r="G290" s="62"/>
      <c r="H290" s="62"/>
      <c r="I290" s="60"/>
      <c r="J290" s="60"/>
      <c r="K290" s="64"/>
      <c r="L290" s="64"/>
      <c r="M290" s="25"/>
      <c r="N290" s="25"/>
    </row>
    <row r="291" spans="1:14">
      <c r="A291" s="3" t="s">
        <v>540</v>
      </c>
      <c r="B291" s="4" t="s">
        <v>541</v>
      </c>
      <c r="C291" s="5">
        <f t="shared" si="14"/>
        <v>0</v>
      </c>
      <c r="D291" s="5"/>
      <c r="E291" s="6">
        <f t="shared" si="12"/>
        <v>0</v>
      </c>
      <c r="F291" s="6">
        <f t="shared" si="13"/>
        <v>0</v>
      </c>
      <c r="G291" s="62"/>
      <c r="H291" s="62"/>
      <c r="I291" s="60"/>
      <c r="J291" s="60"/>
      <c r="K291" s="64"/>
      <c r="L291" s="64"/>
      <c r="M291" s="25"/>
      <c r="N291" s="25"/>
    </row>
    <row r="292" spans="1:14">
      <c r="A292" s="3" t="s">
        <v>542</v>
      </c>
      <c r="B292" s="4" t="s">
        <v>543</v>
      </c>
      <c r="C292" s="5">
        <f t="shared" si="14"/>
        <v>0</v>
      </c>
      <c r="D292" s="5"/>
      <c r="E292" s="6">
        <f t="shared" si="12"/>
        <v>0</v>
      </c>
      <c r="F292" s="6">
        <f t="shared" si="13"/>
        <v>0</v>
      </c>
      <c r="G292" s="62"/>
      <c r="H292" s="62"/>
      <c r="I292" s="60"/>
      <c r="J292" s="60"/>
      <c r="K292" s="64"/>
      <c r="L292" s="64"/>
      <c r="M292" s="25"/>
      <c r="N292" s="25"/>
    </row>
    <row r="293" spans="1:14">
      <c r="A293" s="3" t="s">
        <v>544</v>
      </c>
      <c r="B293" s="4" t="s">
        <v>545</v>
      </c>
      <c r="C293" s="5">
        <f t="shared" si="14"/>
        <v>0</v>
      </c>
      <c r="D293" s="5"/>
      <c r="E293" s="6">
        <f t="shared" si="12"/>
        <v>0</v>
      </c>
      <c r="F293" s="6">
        <f t="shared" si="13"/>
        <v>0</v>
      </c>
      <c r="G293" s="62"/>
      <c r="H293" s="62"/>
      <c r="I293" s="60"/>
      <c r="J293" s="60"/>
      <c r="K293" s="64"/>
      <c r="L293" s="64"/>
      <c r="M293" s="25"/>
      <c r="N293" s="25"/>
    </row>
    <row r="294" spans="1:14">
      <c r="A294" s="3" t="s">
        <v>546</v>
      </c>
      <c r="B294" s="4" t="s">
        <v>547</v>
      </c>
      <c r="C294" s="5">
        <f t="shared" si="14"/>
        <v>0</v>
      </c>
      <c r="D294" s="5"/>
      <c r="E294" s="6">
        <f t="shared" si="12"/>
        <v>0</v>
      </c>
      <c r="F294" s="6">
        <f t="shared" si="13"/>
        <v>0</v>
      </c>
      <c r="G294" s="62"/>
      <c r="H294" s="62"/>
      <c r="I294" s="60"/>
      <c r="J294" s="60"/>
      <c r="K294" s="64"/>
      <c r="L294" s="64"/>
      <c r="M294" s="25"/>
      <c r="N294" s="25"/>
    </row>
    <row r="295" spans="1:14">
      <c r="A295" s="3" t="s">
        <v>548</v>
      </c>
      <c r="B295" s="4" t="s">
        <v>549</v>
      </c>
      <c r="C295" s="5">
        <f t="shared" si="14"/>
        <v>0</v>
      </c>
      <c r="D295" s="5"/>
      <c r="E295" s="6">
        <f t="shared" si="12"/>
        <v>0</v>
      </c>
      <c r="F295" s="6">
        <f t="shared" si="13"/>
        <v>0</v>
      </c>
      <c r="G295" s="62"/>
      <c r="H295" s="62"/>
      <c r="I295" s="60"/>
      <c r="J295" s="60"/>
      <c r="K295" s="64"/>
      <c r="L295" s="64"/>
      <c r="M295" s="25"/>
      <c r="N295" s="25"/>
    </row>
    <row r="296" spans="1:14">
      <c r="A296" s="3" t="s">
        <v>550</v>
      </c>
      <c r="B296" s="4" t="s">
        <v>551</v>
      </c>
      <c r="C296" s="5">
        <f t="shared" si="14"/>
        <v>0</v>
      </c>
      <c r="D296" s="5"/>
      <c r="E296" s="6">
        <f t="shared" si="12"/>
        <v>0</v>
      </c>
      <c r="F296" s="6">
        <f t="shared" si="13"/>
        <v>0</v>
      </c>
      <c r="G296" s="62"/>
      <c r="H296" s="62"/>
      <c r="I296" s="60"/>
      <c r="J296" s="60"/>
      <c r="K296" s="64"/>
      <c r="L296" s="64"/>
      <c r="M296" s="25"/>
      <c r="N296" s="25"/>
    </row>
    <row r="297" spans="1:14">
      <c r="A297" s="3" t="s">
        <v>552</v>
      </c>
      <c r="B297" s="4" t="s">
        <v>553</v>
      </c>
      <c r="C297" s="5">
        <f t="shared" si="14"/>
        <v>0</v>
      </c>
      <c r="D297" s="5"/>
      <c r="E297" s="6">
        <f t="shared" si="12"/>
        <v>0</v>
      </c>
      <c r="F297" s="6">
        <f t="shared" si="13"/>
        <v>0</v>
      </c>
      <c r="G297" s="62"/>
      <c r="H297" s="62"/>
      <c r="I297" s="60"/>
      <c r="J297" s="60"/>
      <c r="K297" s="64"/>
      <c r="L297" s="64"/>
      <c r="M297" s="25"/>
      <c r="N297" s="25"/>
    </row>
    <row r="298" spans="1:14">
      <c r="A298" s="3" t="s">
        <v>554</v>
      </c>
      <c r="B298" s="4" t="s">
        <v>555</v>
      </c>
      <c r="C298" s="5">
        <f t="shared" si="14"/>
        <v>0</v>
      </c>
      <c r="D298" s="5"/>
      <c r="E298" s="6">
        <f t="shared" si="12"/>
        <v>0</v>
      </c>
      <c r="F298" s="6">
        <f t="shared" si="13"/>
        <v>0</v>
      </c>
      <c r="G298" s="62"/>
      <c r="H298" s="62"/>
      <c r="I298" s="60"/>
      <c r="J298" s="60"/>
      <c r="K298" s="64"/>
      <c r="L298" s="64"/>
      <c r="M298" s="25"/>
      <c r="N298" s="25"/>
    </row>
    <row r="299" spans="1:14">
      <c r="A299" s="3" t="s">
        <v>556</v>
      </c>
      <c r="B299" s="4" t="s">
        <v>557</v>
      </c>
      <c r="C299" s="5">
        <f t="shared" si="14"/>
        <v>0</v>
      </c>
      <c r="D299" s="5"/>
      <c r="E299" s="6">
        <f t="shared" si="12"/>
        <v>0</v>
      </c>
      <c r="F299" s="6">
        <f t="shared" si="13"/>
        <v>0</v>
      </c>
      <c r="G299" s="62"/>
      <c r="H299" s="62"/>
      <c r="I299" s="60"/>
      <c r="J299" s="60"/>
      <c r="K299" s="64"/>
      <c r="L299" s="64"/>
      <c r="M299" s="25"/>
      <c r="N299" s="25"/>
    </row>
    <row r="300" spans="1:14">
      <c r="A300" s="3" t="s">
        <v>558</v>
      </c>
      <c r="B300" s="4" t="s">
        <v>559</v>
      </c>
      <c r="C300" s="5">
        <f t="shared" si="14"/>
        <v>0</v>
      </c>
      <c r="D300" s="5"/>
      <c r="E300" s="6">
        <f t="shared" si="12"/>
        <v>0</v>
      </c>
      <c r="F300" s="6">
        <f t="shared" si="13"/>
        <v>0</v>
      </c>
      <c r="G300" s="62"/>
      <c r="H300" s="62"/>
      <c r="I300" s="60"/>
      <c r="J300" s="60"/>
      <c r="K300" s="64"/>
      <c r="L300" s="64"/>
      <c r="M300" s="25"/>
      <c r="N300" s="25"/>
    </row>
    <row r="301" spans="1:14">
      <c r="A301" s="3" t="s">
        <v>560</v>
      </c>
      <c r="B301" s="4" t="s">
        <v>561</v>
      </c>
      <c r="C301" s="5">
        <f t="shared" si="14"/>
        <v>0</v>
      </c>
      <c r="D301" s="5"/>
      <c r="E301" s="6">
        <f t="shared" si="12"/>
        <v>0</v>
      </c>
      <c r="F301" s="6">
        <f t="shared" si="13"/>
        <v>0</v>
      </c>
      <c r="G301" s="62"/>
      <c r="H301" s="62"/>
      <c r="I301" s="60"/>
      <c r="J301" s="60"/>
      <c r="K301" s="64"/>
      <c r="L301" s="64"/>
      <c r="M301" s="25"/>
      <c r="N301" s="25"/>
    </row>
    <row r="302" spans="1:14">
      <c r="A302" s="3" t="s">
        <v>562</v>
      </c>
      <c r="B302" s="4" t="s">
        <v>563</v>
      </c>
      <c r="C302" s="5">
        <f t="shared" si="14"/>
        <v>0</v>
      </c>
      <c r="D302" s="5"/>
      <c r="E302" s="6">
        <f t="shared" si="12"/>
        <v>0</v>
      </c>
      <c r="F302" s="6">
        <f t="shared" si="13"/>
        <v>0</v>
      </c>
      <c r="G302" s="62"/>
      <c r="H302" s="62"/>
      <c r="I302" s="60"/>
      <c r="J302" s="60"/>
      <c r="K302" s="64"/>
      <c r="L302" s="64"/>
      <c r="M302" s="25"/>
      <c r="N302" s="25"/>
    </row>
    <row r="303" spans="1:14">
      <c r="A303" s="3" t="s">
        <v>564</v>
      </c>
      <c r="B303" s="4" t="s">
        <v>565</v>
      </c>
      <c r="C303" s="5">
        <f t="shared" si="14"/>
        <v>0</v>
      </c>
      <c r="D303" s="5"/>
      <c r="E303" s="6">
        <f t="shared" si="12"/>
        <v>0</v>
      </c>
      <c r="F303" s="6">
        <f t="shared" si="13"/>
        <v>0</v>
      </c>
      <c r="G303" s="62"/>
      <c r="H303" s="62"/>
      <c r="I303" s="60"/>
      <c r="J303" s="60"/>
      <c r="K303" s="64"/>
      <c r="L303" s="64"/>
      <c r="M303" s="25"/>
      <c r="N303" s="25"/>
    </row>
    <row r="304" spans="1:14">
      <c r="A304" s="3" t="s">
        <v>566</v>
      </c>
      <c r="B304" s="4" t="s">
        <v>567</v>
      </c>
      <c r="C304" s="5">
        <f t="shared" si="14"/>
        <v>0</v>
      </c>
      <c r="D304" s="5"/>
      <c r="E304" s="6">
        <f t="shared" si="12"/>
        <v>0</v>
      </c>
      <c r="F304" s="6">
        <f t="shared" si="13"/>
        <v>0</v>
      </c>
      <c r="G304" s="62"/>
      <c r="H304" s="62"/>
      <c r="I304" s="60"/>
      <c r="J304" s="60"/>
      <c r="K304" s="64"/>
      <c r="L304" s="64"/>
      <c r="M304" s="25"/>
      <c r="N304" s="25"/>
    </row>
    <row r="305" spans="1:14">
      <c r="A305" s="3" t="s">
        <v>568</v>
      </c>
      <c r="B305" s="4" t="s">
        <v>569</v>
      </c>
      <c r="C305" s="5">
        <f t="shared" si="14"/>
        <v>0</v>
      </c>
      <c r="D305" s="5"/>
      <c r="E305" s="6">
        <f t="shared" si="12"/>
        <v>0</v>
      </c>
      <c r="F305" s="6">
        <f t="shared" si="13"/>
        <v>0</v>
      </c>
      <c r="G305" s="62"/>
      <c r="H305" s="62"/>
      <c r="I305" s="60"/>
      <c r="J305" s="60"/>
      <c r="K305" s="64"/>
      <c r="L305" s="64"/>
      <c r="M305" s="25"/>
      <c r="N305" s="25"/>
    </row>
    <row r="306" spans="1:14">
      <c r="A306" s="3" t="s">
        <v>570</v>
      </c>
      <c r="B306" s="4" t="s">
        <v>571</v>
      </c>
      <c r="C306" s="5">
        <f t="shared" si="14"/>
        <v>0</v>
      </c>
      <c r="D306" s="5"/>
      <c r="E306" s="6">
        <f t="shared" si="12"/>
        <v>0</v>
      </c>
      <c r="F306" s="6">
        <f t="shared" si="13"/>
        <v>0</v>
      </c>
      <c r="G306" s="62"/>
      <c r="H306" s="62"/>
      <c r="I306" s="60"/>
      <c r="J306" s="60"/>
      <c r="K306" s="64"/>
      <c r="L306" s="64"/>
      <c r="M306" s="25"/>
      <c r="N306" s="25"/>
    </row>
    <row r="307" spans="1:14">
      <c r="A307" s="3" t="s">
        <v>572</v>
      </c>
      <c r="B307" s="4" t="s">
        <v>573</v>
      </c>
      <c r="C307" s="5">
        <f t="shared" si="14"/>
        <v>0</v>
      </c>
      <c r="D307" s="5"/>
      <c r="E307" s="6">
        <f t="shared" si="12"/>
        <v>0</v>
      </c>
      <c r="F307" s="6">
        <f t="shared" si="13"/>
        <v>0</v>
      </c>
      <c r="G307" s="62"/>
      <c r="H307" s="62"/>
      <c r="I307" s="60"/>
      <c r="J307" s="60"/>
      <c r="K307" s="64"/>
      <c r="L307" s="64"/>
      <c r="M307" s="25"/>
      <c r="N307" s="25"/>
    </row>
    <row r="308" spans="1:14">
      <c r="A308" s="3" t="s">
        <v>574</v>
      </c>
      <c r="B308" s="4" t="s">
        <v>575</v>
      </c>
      <c r="C308" s="5">
        <f t="shared" si="14"/>
        <v>0</v>
      </c>
      <c r="D308" s="5"/>
      <c r="E308" s="6">
        <f t="shared" si="12"/>
        <v>0</v>
      </c>
      <c r="F308" s="6">
        <f t="shared" si="13"/>
        <v>0</v>
      </c>
      <c r="G308" s="62"/>
      <c r="H308" s="62"/>
      <c r="I308" s="60"/>
      <c r="J308" s="60"/>
      <c r="K308" s="64"/>
      <c r="L308" s="64"/>
      <c r="M308" s="25"/>
      <c r="N308" s="25"/>
    </row>
    <row r="309" spans="1:14">
      <c r="A309" s="3" t="s">
        <v>576</v>
      </c>
      <c r="B309" s="4" t="s">
        <v>577</v>
      </c>
      <c r="C309" s="5">
        <f t="shared" si="14"/>
        <v>0</v>
      </c>
      <c r="D309" s="5"/>
      <c r="E309" s="6">
        <f t="shared" si="12"/>
        <v>0</v>
      </c>
      <c r="F309" s="6">
        <f t="shared" si="13"/>
        <v>0</v>
      </c>
      <c r="G309" s="62"/>
      <c r="H309" s="62"/>
      <c r="I309" s="60"/>
      <c r="J309" s="60"/>
      <c r="K309" s="64"/>
      <c r="L309" s="64"/>
      <c r="M309" s="25"/>
      <c r="N309" s="25"/>
    </row>
    <row r="310" spans="1:14">
      <c r="A310" s="3" t="s">
        <v>578</v>
      </c>
      <c r="B310" s="4" t="s">
        <v>579</v>
      </c>
      <c r="C310" s="5">
        <f t="shared" si="14"/>
        <v>0</v>
      </c>
      <c r="D310" s="5"/>
      <c r="E310" s="6">
        <f t="shared" si="12"/>
        <v>0</v>
      </c>
      <c r="F310" s="6">
        <f t="shared" si="13"/>
        <v>0</v>
      </c>
      <c r="G310" s="62"/>
      <c r="H310" s="62"/>
      <c r="I310" s="60"/>
      <c r="J310" s="60"/>
      <c r="K310" s="64"/>
      <c r="L310" s="64"/>
      <c r="M310" s="25"/>
      <c r="N310" s="25"/>
    </row>
    <row r="311" spans="1:14">
      <c r="A311" s="3" t="s">
        <v>580</v>
      </c>
      <c r="B311" s="4" t="s">
        <v>581</v>
      </c>
      <c r="C311" s="5">
        <f t="shared" si="14"/>
        <v>0</v>
      </c>
      <c r="D311" s="5"/>
      <c r="E311" s="6">
        <f t="shared" si="12"/>
        <v>0</v>
      </c>
      <c r="F311" s="6">
        <f t="shared" si="13"/>
        <v>0</v>
      </c>
      <c r="G311" s="62"/>
      <c r="H311" s="62"/>
      <c r="I311" s="60"/>
      <c r="J311" s="60"/>
      <c r="K311" s="64"/>
      <c r="L311" s="64"/>
      <c r="M311" s="25"/>
      <c r="N311" s="25"/>
    </row>
    <row r="312" spans="1:14">
      <c r="A312" s="3" t="s">
        <v>582</v>
      </c>
      <c r="B312" s="4" t="s">
        <v>583</v>
      </c>
      <c r="C312" s="5">
        <f t="shared" si="14"/>
        <v>0</v>
      </c>
      <c r="D312" s="5"/>
      <c r="E312" s="6">
        <f t="shared" si="12"/>
        <v>0</v>
      </c>
      <c r="F312" s="6">
        <f t="shared" si="13"/>
        <v>0</v>
      </c>
      <c r="G312" s="62"/>
      <c r="H312" s="62"/>
      <c r="I312" s="60"/>
      <c r="J312" s="60"/>
      <c r="K312" s="64"/>
      <c r="L312" s="64"/>
      <c r="M312" s="25"/>
      <c r="N312" s="25"/>
    </row>
    <row r="313" spans="1:14">
      <c r="A313" s="3" t="s">
        <v>584</v>
      </c>
      <c r="B313" s="4" t="s">
        <v>585</v>
      </c>
      <c r="C313" s="5">
        <f t="shared" si="14"/>
        <v>0</v>
      </c>
      <c r="D313" s="5"/>
      <c r="E313" s="6">
        <f t="shared" si="12"/>
        <v>0</v>
      </c>
      <c r="F313" s="6">
        <f t="shared" si="13"/>
        <v>0</v>
      </c>
      <c r="G313" s="62"/>
      <c r="H313" s="62"/>
      <c r="I313" s="60"/>
      <c r="J313" s="60"/>
      <c r="K313" s="64"/>
      <c r="L313" s="64"/>
      <c r="M313" s="25"/>
      <c r="N313" s="25"/>
    </row>
    <row r="314" spans="1:14">
      <c r="A314" s="3" t="s">
        <v>586</v>
      </c>
      <c r="B314" s="4" t="s">
        <v>587</v>
      </c>
      <c r="C314" s="5">
        <f t="shared" si="14"/>
        <v>0</v>
      </c>
      <c r="D314" s="5"/>
      <c r="E314" s="6">
        <f t="shared" si="12"/>
        <v>0</v>
      </c>
      <c r="F314" s="6">
        <f t="shared" si="13"/>
        <v>0</v>
      </c>
      <c r="G314" s="62"/>
      <c r="H314" s="62"/>
      <c r="I314" s="60"/>
      <c r="J314" s="60"/>
      <c r="K314" s="64"/>
      <c r="L314" s="64"/>
      <c r="M314" s="25"/>
      <c r="N314" s="25"/>
    </row>
    <row r="315" spans="1:14">
      <c r="A315" s="3" t="s">
        <v>588</v>
      </c>
      <c r="B315" s="4" t="s">
        <v>589</v>
      </c>
      <c r="C315" s="5">
        <f t="shared" si="14"/>
        <v>0</v>
      </c>
      <c r="D315" s="5"/>
      <c r="E315" s="6">
        <f t="shared" si="12"/>
        <v>0</v>
      </c>
      <c r="F315" s="6">
        <f t="shared" si="13"/>
        <v>0</v>
      </c>
      <c r="G315" s="62"/>
      <c r="H315" s="62"/>
      <c r="I315" s="60"/>
      <c r="J315" s="60"/>
      <c r="K315" s="64"/>
      <c r="L315" s="64"/>
      <c r="M315" s="25"/>
      <c r="N315" s="25"/>
    </row>
    <row r="316" spans="1:14">
      <c r="A316" s="3" t="s">
        <v>590</v>
      </c>
      <c r="B316" s="4" t="s">
        <v>591</v>
      </c>
      <c r="C316" s="5">
        <f t="shared" si="14"/>
        <v>0</v>
      </c>
      <c r="D316" s="5"/>
      <c r="E316" s="6">
        <f t="shared" si="12"/>
        <v>0</v>
      </c>
      <c r="F316" s="6">
        <f t="shared" si="13"/>
        <v>0</v>
      </c>
      <c r="G316" s="62"/>
      <c r="H316" s="62"/>
      <c r="I316" s="60"/>
      <c r="J316" s="60"/>
      <c r="K316" s="64"/>
      <c r="L316" s="64"/>
      <c r="M316" s="25"/>
      <c r="N316" s="25"/>
    </row>
    <row r="317" spans="1:14">
      <c r="A317" s="3" t="s">
        <v>592</v>
      </c>
      <c r="B317" s="4" t="s">
        <v>593</v>
      </c>
      <c r="C317" s="5">
        <f t="shared" si="14"/>
        <v>0</v>
      </c>
      <c r="D317" s="5"/>
      <c r="E317" s="6">
        <f t="shared" si="12"/>
        <v>0</v>
      </c>
      <c r="F317" s="6">
        <f t="shared" si="13"/>
        <v>0</v>
      </c>
      <c r="G317" s="62"/>
      <c r="H317" s="62"/>
      <c r="I317" s="60"/>
      <c r="J317" s="60"/>
      <c r="K317" s="64"/>
      <c r="L317" s="64"/>
      <c r="M317" s="25"/>
      <c r="N317" s="25"/>
    </row>
    <row r="318" spans="1:14">
      <c r="A318" s="3" t="s">
        <v>594</v>
      </c>
      <c r="B318" s="4" t="s">
        <v>595</v>
      </c>
      <c r="C318" s="5">
        <f t="shared" si="14"/>
        <v>0</v>
      </c>
      <c r="D318" s="5"/>
      <c r="E318" s="6">
        <f t="shared" si="12"/>
        <v>0</v>
      </c>
      <c r="F318" s="6">
        <f t="shared" si="13"/>
        <v>0</v>
      </c>
      <c r="G318" s="62"/>
      <c r="H318" s="62"/>
      <c r="I318" s="60"/>
      <c r="J318" s="60"/>
      <c r="K318" s="64"/>
      <c r="L318" s="64"/>
      <c r="M318" s="25"/>
      <c r="N318" s="25"/>
    </row>
    <row r="319" spans="1:14">
      <c r="A319" s="3" t="s">
        <v>596</v>
      </c>
      <c r="B319" s="4" t="s">
        <v>597</v>
      </c>
      <c r="C319" s="5">
        <f t="shared" si="14"/>
        <v>0</v>
      </c>
      <c r="D319" s="5"/>
      <c r="E319" s="6">
        <f t="shared" si="12"/>
        <v>0</v>
      </c>
      <c r="F319" s="6">
        <f t="shared" si="13"/>
        <v>0</v>
      </c>
      <c r="G319" s="62"/>
      <c r="H319" s="62"/>
      <c r="I319" s="60"/>
      <c r="J319" s="60"/>
      <c r="K319" s="64"/>
      <c r="L319" s="64"/>
      <c r="M319" s="25"/>
      <c r="N319" s="25"/>
    </row>
    <row r="320" spans="1:14">
      <c r="A320" s="3" t="s">
        <v>598</v>
      </c>
      <c r="B320" s="4" t="s">
        <v>599</v>
      </c>
      <c r="C320" s="5">
        <f t="shared" si="14"/>
        <v>0</v>
      </c>
      <c r="D320" s="5"/>
      <c r="E320" s="6">
        <f t="shared" si="12"/>
        <v>0</v>
      </c>
      <c r="F320" s="6">
        <f t="shared" si="13"/>
        <v>0</v>
      </c>
      <c r="G320" s="62"/>
      <c r="H320" s="62"/>
      <c r="I320" s="60"/>
      <c r="J320" s="60"/>
      <c r="K320" s="64"/>
      <c r="L320" s="64"/>
      <c r="M320" s="25"/>
      <c r="N320" s="25"/>
    </row>
    <row r="321" spans="1:14">
      <c r="A321" s="3" t="s">
        <v>600</v>
      </c>
      <c r="B321" s="4" t="s">
        <v>601</v>
      </c>
      <c r="C321" s="5">
        <f t="shared" si="14"/>
        <v>0</v>
      </c>
      <c r="D321" s="5"/>
      <c r="E321" s="6">
        <f t="shared" si="12"/>
        <v>0</v>
      </c>
      <c r="F321" s="6">
        <f t="shared" si="13"/>
        <v>0</v>
      </c>
      <c r="G321" s="62"/>
      <c r="H321" s="62"/>
      <c r="I321" s="60"/>
      <c r="J321" s="60"/>
      <c r="K321" s="64"/>
      <c r="L321" s="64"/>
      <c r="M321" s="25"/>
      <c r="N321" s="25"/>
    </row>
    <row r="322" spans="1:14">
      <c r="A322" s="3" t="s">
        <v>602</v>
      </c>
      <c r="B322" s="4" t="s">
        <v>603</v>
      </c>
      <c r="C322" s="5">
        <f t="shared" si="14"/>
        <v>0</v>
      </c>
      <c r="D322" s="5"/>
      <c r="E322" s="6">
        <f t="shared" si="12"/>
        <v>0</v>
      </c>
      <c r="F322" s="6">
        <f t="shared" si="13"/>
        <v>0</v>
      </c>
      <c r="G322" s="62"/>
      <c r="H322" s="62"/>
      <c r="I322" s="60"/>
      <c r="J322" s="60"/>
      <c r="K322" s="64"/>
      <c r="L322" s="64"/>
      <c r="M322" s="25"/>
      <c r="N322" s="25"/>
    </row>
    <row r="323" spans="1:14">
      <c r="A323" s="3" t="s">
        <v>604</v>
      </c>
      <c r="B323" s="4" t="s">
        <v>605</v>
      </c>
      <c r="C323" s="5">
        <f t="shared" si="14"/>
        <v>0</v>
      </c>
      <c r="D323" s="5"/>
      <c r="E323" s="6">
        <f t="shared" si="12"/>
        <v>0</v>
      </c>
      <c r="F323" s="6">
        <f t="shared" si="13"/>
        <v>0</v>
      </c>
      <c r="G323" s="62"/>
      <c r="H323" s="62"/>
      <c r="I323" s="60"/>
      <c r="J323" s="60"/>
      <c r="K323" s="64"/>
      <c r="L323" s="64"/>
      <c r="M323" s="25"/>
      <c r="N323" s="25"/>
    </row>
    <row r="324" spans="1:14" s="70" customFormat="1">
      <c r="A324" s="3" t="s">
        <v>606</v>
      </c>
      <c r="B324" s="4" t="s">
        <v>607</v>
      </c>
      <c r="C324" s="5">
        <f t="shared" si="14"/>
        <v>0</v>
      </c>
      <c r="D324" s="5"/>
      <c r="E324" s="6">
        <f t="shared" si="12"/>
        <v>0</v>
      </c>
      <c r="F324" s="6">
        <f t="shared" si="13"/>
        <v>0</v>
      </c>
      <c r="G324" s="62"/>
      <c r="H324" s="62"/>
      <c r="I324" s="60"/>
      <c r="J324" s="60"/>
      <c r="K324" s="64"/>
      <c r="L324" s="64"/>
      <c r="M324" s="25"/>
      <c r="N324" s="25"/>
    </row>
    <row r="325" spans="1:14" s="70" customFormat="1">
      <c r="A325" s="3" t="s">
        <v>608</v>
      </c>
      <c r="B325" s="4" t="s">
        <v>609</v>
      </c>
      <c r="C325" s="5">
        <f t="shared" si="14"/>
        <v>0</v>
      </c>
      <c r="D325" s="5"/>
      <c r="E325" s="6">
        <f t="shared" si="12"/>
        <v>0</v>
      </c>
      <c r="F325" s="6">
        <f t="shared" si="13"/>
        <v>0</v>
      </c>
      <c r="G325" s="62"/>
      <c r="H325" s="62"/>
      <c r="I325" s="60"/>
      <c r="J325" s="60"/>
      <c r="K325" s="64"/>
      <c r="L325" s="64"/>
      <c r="M325" s="25"/>
      <c r="N325" s="25"/>
    </row>
    <row r="326" spans="1:14" s="70" customFormat="1">
      <c r="A326" s="3" t="s">
        <v>610</v>
      </c>
      <c r="B326" s="4" t="s">
        <v>611</v>
      </c>
      <c r="C326" s="5">
        <f t="shared" si="14"/>
        <v>0</v>
      </c>
      <c r="D326" s="5"/>
      <c r="E326" s="6">
        <f t="shared" si="12"/>
        <v>0</v>
      </c>
      <c r="F326" s="6">
        <f t="shared" si="13"/>
        <v>0</v>
      </c>
      <c r="G326" s="62"/>
      <c r="H326" s="62"/>
      <c r="I326" s="60"/>
      <c r="J326" s="60"/>
      <c r="K326" s="64"/>
      <c r="L326" s="64"/>
      <c r="M326" s="25"/>
      <c r="N326" s="25"/>
    </row>
    <row r="327" spans="1:14" s="70" customFormat="1">
      <c r="A327" s="3" t="s">
        <v>612</v>
      </c>
      <c r="B327" s="4" t="s">
        <v>613</v>
      </c>
      <c r="C327" s="5">
        <f t="shared" si="14"/>
        <v>0</v>
      </c>
      <c r="D327" s="5"/>
      <c r="E327" s="6">
        <f t="shared" si="12"/>
        <v>0</v>
      </c>
      <c r="F327" s="6">
        <f t="shared" si="13"/>
        <v>0</v>
      </c>
      <c r="G327" s="62"/>
      <c r="H327" s="62"/>
      <c r="I327" s="60"/>
      <c r="J327" s="60"/>
      <c r="K327" s="64"/>
      <c r="L327" s="64"/>
      <c r="M327" s="25"/>
      <c r="N327" s="25"/>
    </row>
    <row r="328" spans="1:14" s="1" customFormat="1">
      <c r="A328" s="3" t="s">
        <v>614</v>
      </c>
      <c r="B328" s="4" t="s">
        <v>615</v>
      </c>
      <c r="C328" s="5">
        <f t="shared" si="14"/>
        <v>0</v>
      </c>
      <c r="D328" s="5"/>
      <c r="E328" s="6">
        <f t="shared" si="12"/>
        <v>0</v>
      </c>
      <c r="F328" s="6">
        <f t="shared" si="13"/>
        <v>0</v>
      </c>
      <c r="G328" s="62"/>
      <c r="H328" s="62"/>
      <c r="I328" s="60"/>
      <c r="J328" s="60"/>
      <c r="K328" s="64"/>
      <c r="L328" s="64"/>
      <c r="M328" s="25"/>
      <c r="N328" s="25"/>
    </row>
    <row r="329" spans="1:14" s="70" customFormat="1">
      <c r="A329" s="3" t="s">
        <v>616</v>
      </c>
      <c r="B329" s="4" t="s">
        <v>617</v>
      </c>
      <c r="C329" s="5">
        <f t="shared" si="14"/>
        <v>0</v>
      </c>
      <c r="D329" s="5"/>
      <c r="E329" s="6">
        <f t="shared" si="12"/>
        <v>0</v>
      </c>
      <c r="F329" s="6">
        <f t="shared" si="13"/>
        <v>0</v>
      </c>
      <c r="G329" s="62"/>
      <c r="H329" s="62"/>
      <c r="I329" s="60"/>
      <c r="J329" s="60"/>
      <c r="K329" s="64"/>
      <c r="L329" s="64"/>
      <c r="M329" s="25"/>
      <c r="N329" s="25"/>
    </row>
    <row r="330" spans="1:14" s="70" customFormat="1">
      <c r="A330" s="3" t="s">
        <v>618</v>
      </c>
      <c r="B330" s="4" t="s">
        <v>619</v>
      </c>
      <c r="C330" s="5">
        <f t="shared" si="14"/>
        <v>0</v>
      </c>
      <c r="D330" s="5"/>
      <c r="E330" s="6">
        <f t="shared" si="12"/>
        <v>0</v>
      </c>
      <c r="F330" s="6">
        <f t="shared" si="13"/>
        <v>0</v>
      </c>
      <c r="G330" s="62"/>
      <c r="H330" s="62"/>
      <c r="I330" s="60"/>
      <c r="J330" s="60"/>
      <c r="K330" s="64"/>
      <c r="L330" s="64"/>
      <c r="M330" s="25"/>
      <c r="N330" s="25"/>
    </row>
    <row r="331" spans="1:14" s="70" customFormat="1">
      <c r="A331" s="11" t="s">
        <v>620</v>
      </c>
      <c r="B331" s="12" t="s">
        <v>621</v>
      </c>
      <c r="C331" s="5">
        <f t="shared" si="14"/>
        <v>0</v>
      </c>
      <c r="D331" s="5"/>
      <c r="E331" s="6">
        <f t="shared" si="12"/>
        <v>0</v>
      </c>
      <c r="F331" s="6">
        <f t="shared" si="13"/>
        <v>0</v>
      </c>
      <c r="G331" s="62"/>
      <c r="H331" s="62"/>
      <c r="I331" s="60"/>
      <c r="J331" s="60"/>
      <c r="K331" s="64"/>
      <c r="L331" s="64"/>
      <c r="M331" s="25"/>
      <c r="N331" s="25"/>
    </row>
    <row r="332" spans="1:14" s="70" customFormat="1">
      <c r="A332" s="3" t="s">
        <v>622</v>
      </c>
      <c r="B332" s="4" t="s">
        <v>623</v>
      </c>
      <c r="C332" s="5">
        <f t="shared" si="14"/>
        <v>0</v>
      </c>
      <c r="D332" s="5"/>
      <c r="E332" s="6">
        <f t="shared" si="12"/>
        <v>0</v>
      </c>
      <c r="F332" s="6">
        <f t="shared" si="13"/>
        <v>0</v>
      </c>
      <c r="G332" s="62"/>
      <c r="H332" s="62"/>
      <c r="I332" s="60"/>
      <c r="J332" s="60"/>
      <c r="K332" s="64"/>
      <c r="L332" s="64"/>
      <c r="M332" s="25"/>
      <c r="N332" s="25"/>
    </row>
    <row r="333" spans="1:14" s="70" customFormat="1">
      <c r="A333" s="3" t="s">
        <v>624</v>
      </c>
      <c r="B333" s="4" t="s">
        <v>625</v>
      </c>
      <c r="C333" s="5">
        <f t="shared" si="14"/>
        <v>0</v>
      </c>
      <c r="D333" s="5"/>
      <c r="E333" s="6">
        <f t="shared" si="12"/>
        <v>0</v>
      </c>
      <c r="F333" s="6">
        <f t="shared" si="13"/>
        <v>0</v>
      </c>
      <c r="G333" s="62"/>
      <c r="H333" s="62"/>
      <c r="I333" s="60"/>
      <c r="J333" s="60"/>
      <c r="K333" s="64"/>
      <c r="L333" s="64"/>
      <c r="M333" s="25"/>
      <c r="N333" s="25"/>
    </row>
    <row r="334" spans="1:14">
      <c r="A334" s="3" t="s">
        <v>626</v>
      </c>
      <c r="B334" s="4" t="s">
        <v>627</v>
      </c>
      <c r="C334" s="5">
        <f t="shared" si="14"/>
        <v>0</v>
      </c>
      <c r="D334" s="5"/>
      <c r="E334" s="6">
        <f t="shared" ref="E334:E397" si="15">SUM(G334,I334,K334,M334)</f>
        <v>0</v>
      </c>
      <c r="F334" s="6">
        <f t="shared" ref="F334:F397" si="16">SUM(H334,J334,L334,N334)</f>
        <v>0</v>
      </c>
      <c r="G334" s="62"/>
      <c r="H334" s="62"/>
      <c r="I334" s="60"/>
      <c r="J334" s="60"/>
      <c r="K334" s="64"/>
      <c r="L334" s="64"/>
      <c r="M334" s="25"/>
      <c r="N334" s="25"/>
    </row>
    <row r="335" spans="1:14">
      <c r="A335" s="3" t="s">
        <v>628</v>
      </c>
      <c r="B335" s="4" t="s">
        <v>629</v>
      </c>
      <c r="C335" s="5">
        <f t="shared" si="14"/>
        <v>0</v>
      </c>
      <c r="D335" s="5"/>
      <c r="E335" s="6">
        <f t="shared" si="15"/>
        <v>0</v>
      </c>
      <c r="F335" s="6">
        <f t="shared" si="16"/>
        <v>0</v>
      </c>
      <c r="G335" s="62"/>
      <c r="H335" s="62"/>
      <c r="I335" s="60"/>
      <c r="J335" s="60"/>
      <c r="K335" s="64"/>
      <c r="L335" s="64"/>
      <c r="M335" s="25"/>
      <c r="N335" s="25"/>
    </row>
    <row r="336" spans="1:14">
      <c r="A336" s="3" t="s">
        <v>630</v>
      </c>
      <c r="B336" s="4" t="s">
        <v>631</v>
      </c>
      <c r="C336" s="5">
        <f t="shared" si="14"/>
        <v>0</v>
      </c>
      <c r="D336" s="5"/>
      <c r="E336" s="6">
        <f t="shared" si="15"/>
        <v>0</v>
      </c>
      <c r="F336" s="6">
        <f t="shared" si="16"/>
        <v>0</v>
      </c>
      <c r="G336" s="62"/>
      <c r="H336" s="62"/>
      <c r="I336" s="60"/>
      <c r="J336" s="60"/>
      <c r="K336" s="64"/>
      <c r="L336" s="64"/>
      <c r="M336" s="25"/>
      <c r="N336" s="25"/>
    </row>
    <row r="337" spans="1:14">
      <c r="A337" s="3" t="s">
        <v>632</v>
      </c>
      <c r="B337" s="4" t="s">
        <v>633</v>
      </c>
      <c r="C337" s="5">
        <f t="shared" si="14"/>
        <v>0</v>
      </c>
      <c r="D337" s="5"/>
      <c r="E337" s="6">
        <f t="shared" si="15"/>
        <v>0</v>
      </c>
      <c r="F337" s="6">
        <f t="shared" si="16"/>
        <v>0</v>
      </c>
      <c r="G337" s="62"/>
      <c r="H337" s="62"/>
      <c r="I337" s="60"/>
      <c r="J337" s="60"/>
      <c r="K337" s="64"/>
      <c r="L337" s="64"/>
      <c r="M337" s="25"/>
      <c r="N337" s="25"/>
    </row>
    <row r="338" spans="1:14">
      <c r="A338" s="3" t="s">
        <v>634</v>
      </c>
      <c r="B338" s="4" t="s">
        <v>635</v>
      </c>
      <c r="C338" s="5">
        <f t="shared" si="14"/>
        <v>0</v>
      </c>
      <c r="D338" s="5"/>
      <c r="E338" s="6">
        <f t="shared" si="15"/>
        <v>0</v>
      </c>
      <c r="F338" s="6">
        <f t="shared" si="16"/>
        <v>0</v>
      </c>
      <c r="G338" s="62"/>
      <c r="H338" s="62"/>
      <c r="I338" s="60"/>
      <c r="J338" s="60"/>
      <c r="K338" s="64"/>
      <c r="L338" s="64"/>
      <c r="M338" s="25"/>
      <c r="N338" s="25"/>
    </row>
    <row r="339" spans="1:14">
      <c r="A339" s="3" t="s">
        <v>636</v>
      </c>
      <c r="B339" s="4" t="s">
        <v>637</v>
      </c>
      <c r="C339" s="5">
        <f t="shared" si="14"/>
        <v>0</v>
      </c>
      <c r="D339" s="5"/>
      <c r="E339" s="6">
        <f t="shared" si="15"/>
        <v>0</v>
      </c>
      <c r="F339" s="6">
        <f t="shared" si="16"/>
        <v>0</v>
      </c>
      <c r="G339" s="62"/>
      <c r="H339" s="62"/>
      <c r="I339" s="60"/>
      <c r="J339" s="60"/>
      <c r="K339" s="64"/>
      <c r="L339" s="64"/>
      <c r="M339" s="25"/>
      <c r="N339" s="25"/>
    </row>
    <row r="340" spans="1:14">
      <c r="A340" s="3" t="s">
        <v>638</v>
      </c>
      <c r="B340" s="4" t="s">
        <v>639</v>
      </c>
      <c r="C340" s="5">
        <f t="shared" si="14"/>
        <v>0</v>
      </c>
      <c r="D340" s="5"/>
      <c r="E340" s="6">
        <f t="shared" si="15"/>
        <v>0</v>
      </c>
      <c r="F340" s="6">
        <f t="shared" si="16"/>
        <v>0</v>
      </c>
      <c r="G340" s="62"/>
      <c r="H340" s="62"/>
      <c r="I340" s="60"/>
      <c r="J340" s="60"/>
      <c r="K340" s="64"/>
      <c r="L340" s="64"/>
      <c r="M340" s="25"/>
      <c r="N340" s="25"/>
    </row>
    <row r="341" spans="1:14">
      <c r="A341" s="3" t="s">
        <v>640</v>
      </c>
      <c r="B341" s="4" t="s">
        <v>641</v>
      </c>
      <c r="C341" s="5">
        <f t="shared" si="14"/>
        <v>0</v>
      </c>
      <c r="D341" s="5"/>
      <c r="E341" s="6">
        <f t="shared" si="15"/>
        <v>0</v>
      </c>
      <c r="F341" s="6">
        <f t="shared" si="16"/>
        <v>0</v>
      </c>
      <c r="G341" s="62"/>
      <c r="H341" s="62"/>
      <c r="I341" s="60"/>
      <c r="J341" s="60"/>
      <c r="K341" s="64"/>
      <c r="L341" s="64"/>
      <c r="M341" s="25"/>
      <c r="N341" s="25"/>
    </row>
    <row r="342" spans="1:14">
      <c r="A342" s="3" t="s">
        <v>642</v>
      </c>
      <c r="B342" s="4" t="s">
        <v>643</v>
      </c>
      <c r="C342" s="5">
        <f t="shared" si="14"/>
        <v>0</v>
      </c>
      <c r="D342" s="5"/>
      <c r="E342" s="6">
        <f t="shared" si="15"/>
        <v>0</v>
      </c>
      <c r="F342" s="6">
        <f t="shared" si="16"/>
        <v>0</v>
      </c>
      <c r="G342" s="62"/>
      <c r="H342" s="62"/>
      <c r="I342" s="60"/>
      <c r="J342" s="60"/>
      <c r="K342" s="64"/>
      <c r="L342" s="64"/>
      <c r="M342" s="25"/>
      <c r="N342" s="25"/>
    </row>
    <row r="343" spans="1:14">
      <c r="A343" s="3" t="s">
        <v>644</v>
      </c>
      <c r="B343" s="4" t="s">
        <v>645</v>
      </c>
      <c r="C343" s="5">
        <f t="shared" si="14"/>
        <v>0</v>
      </c>
      <c r="D343" s="5"/>
      <c r="E343" s="6">
        <f t="shared" si="15"/>
        <v>0</v>
      </c>
      <c r="F343" s="6">
        <f t="shared" si="16"/>
        <v>0</v>
      </c>
      <c r="G343" s="62"/>
      <c r="H343" s="62"/>
      <c r="I343" s="60"/>
      <c r="J343" s="60"/>
      <c r="K343" s="64"/>
      <c r="L343" s="64"/>
      <c r="M343" s="25"/>
      <c r="N343" s="25"/>
    </row>
    <row r="344" spans="1:14">
      <c r="A344" s="3" t="s">
        <v>646</v>
      </c>
      <c r="B344" s="4" t="s">
        <v>647</v>
      </c>
      <c r="C344" s="5">
        <f t="shared" si="14"/>
        <v>0</v>
      </c>
      <c r="D344" s="5"/>
      <c r="E344" s="6">
        <f t="shared" si="15"/>
        <v>0</v>
      </c>
      <c r="F344" s="6">
        <f t="shared" si="16"/>
        <v>0</v>
      </c>
      <c r="G344" s="62"/>
      <c r="H344" s="62"/>
      <c r="I344" s="60"/>
      <c r="J344" s="60"/>
      <c r="K344" s="64"/>
      <c r="L344" s="64"/>
      <c r="M344" s="25"/>
      <c r="N344" s="25"/>
    </row>
    <row r="345" spans="1:14">
      <c r="A345" s="3" t="s">
        <v>648</v>
      </c>
      <c r="B345" s="4" t="s">
        <v>649</v>
      </c>
      <c r="C345" s="5">
        <f t="shared" ref="C345:C408" si="17">E345-F345</f>
        <v>0</v>
      </c>
      <c r="D345" s="5"/>
      <c r="E345" s="6">
        <f t="shared" si="15"/>
        <v>0</v>
      </c>
      <c r="F345" s="6">
        <f t="shared" si="16"/>
        <v>0</v>
      </c>
      <c r="G345" s="62"/>
      <c r="H345" s="62"/>
      <c r="I345" s="60"/>
      <c r="J345" s="60"/>
      <c r="K345" s="64"/>
      <c r="L345" s="64"/>
      <c r="M345" s="25"/>
      <c r="N345" s="25"/>
    </row>
    <row r="346" spans="1:14">
      <c r="A346" s="3" t="s">
        <v>650</v>
      </c>
      <c r="B346" s="4" t="s">
        <v>651</v>
      </c>
      <c r="C346" s="5">
        <f t="shared" si="17"/>
        <v>0</v>
      </c>
      <c r="D346" s="5"/>
      <c r="E346" s="6">
        <f t="shared" si="15"/>
        <v>0</v>
      </c>
      <c r="F346" s="6">
        <f t="shared" si="16"/>
        <v>0</v>
      </c>
      <c r="G346" s="62"/>
      <c r="H346" s="62"/>
      <c r="I346" s="60"/>
      <c r="J346" s="60"/>
      <c r="K346" s="64"/>
      <c r="L346" s="64"/>
      <c r="M346" s="25"/>
      <c r="N346" s="25"/>
    </row>
    <row r="347" spans="1:14">
      <c r="A347" s="3" t="s">
        <v>652</v>
      </c>
      <c r="B347" s="4" t="s">
        <v>653</v>
      </c>
      <c r="C347" s="5">
        <f t="shared" si="17"/>
        <v>0</v>
      </c>
      <c r="D347" s="5"/>
      <c r="E347" s="6">
        <f t="shared" si="15"/>
        <v>0</v>
      </c>
      <c r="F347" s="6">
        <f t="shared" si="16"/>
        <v>0</v>
      </c>
      <c r="G347" s="62"/>
      <c r="H347" s="62"/>
      <c r="I347" s="60"/>
      <c r="J347" s="60"/>
      <c r="K347" s="64"/>
      <c r="L347" s="64"/>
      <c r="M347" s="25"/>
      <c r="N347" s="25"/>
    </row>
    <row r="348" spans="1:14">
      <c r="A348" s="3" t="s">
        <v>654</v>
      </c>
      <c r="B348" s="4" t="s">
        <v>655</v>
      </c>
      <c r="C348" s="5">
        <f t="shared" si="17"/>
        <v>0</v>
      </c>
      <c r="D348" s="5"/>
      <c r="E348" s="6">
        <f t="shared" si="15"/>
        <v>0</v>
      </c>
      <c r="F348" s="6">
        <f t="shared" si="16"/>
        <v>0</v>
      </c>
      <c r="G348" s="62"/>
      <c r="H348" s="62"/>
      <c r="I348" s="60"/>
      <c r="J348" s="60"/>
      <c r="K348" s="64"/>
      <c r="L348" s="64"/>
      <c r="M348" s="25"/>
      <c r="N348" s="25"/>
    </row>
    <row r="349" spans="1:14">
      <c r="A349" s="3" t="s">
        <v>656</v>
      </c>
      <c r="B349" s="4" t="s">
        <v>657</v>
      </c>
      <c r="C349" s="5">
        <f t="shared" si="17"/>
        <v>0</v>
      </c>
      <c r="D349" s="5"/>
      <c r="E349" s="6">
        <f t="shared" si="15"/>
        <v>0</v>
      </c>
      <c r="F349" s="6">
        <f t="shared" si="16"/>
        <v>0</v>
      </c>
      <c r="G349" s="62"/>
      <c r="H349" s="62"/>
      <c r="I349" s="60"/>
      <c r="J349" s="60"/>
      <c r="K349" s="64"/>
      <c r="L349" s="64"/>
      <c r="M349" s="25"/>
      <c r="N349" s="25"/>
    </row>
    <row r="350" spans="1:14">
      <c r="A350" s="3" t="s">
        <v>658</v>
      </c>
      <c r="B350" s="4" t="s">
        <v>659</v>
      </c>
      <c r="C350" s="5">
        <f t="shared" si="17"/>
        <v>0</v>
      </c>
      <c r="D350" s="5"/>
      <c r="E350" s="6">
        <f t="shared" si="15"/>
        <v>0</v>
      </c>
      <c r="F350" s="6">
        <f t="shared" si="16"/>
        <v>0</v>
      </c>
      <c r="G350" s="62"/>
      <c r="H350" s="62"/>
      <c r="I350" s="60"/>
      <c r="J350" s="60"/>
      <c r="K350" s="64"/>
      <c r="L350" s="64"/>
      <c r="M350" s="25"/>
      <c r="N350" s="25"/>
    </row>
    <row r="351" spans="1:14">
      <c r="A351" s="3" t="s">
        <v>660</v>
      </c>
      <c r="B351" s="4" t="s">
        <v>661</v>
      </c>
      <c r="C351" s="5">
        <f t="shared" si="17"/>
        <v>0</v>
      </c>
      <c r="D351" s="5"/>
      <c r="E351" s="6">
        <f t="shared" si="15"/>
        <v>0</v>
      </c>
      <c r="F351" s="6">
        <f t="shared" si="16"/>
        <v>0</v>
      </c>
      <c r="G351" s="62"/>
      <c r="H351" s="62"/>
      <c r="I351" s="60"/>
      <c r="J351" s="60"/>
      <c r="K351" s="64"/>
      <c r="L351" s="64"/>
      <c r="M351" s="25"/>
      <c r="N351" s="25"/>
    </row>
    <row r="352" spans="1:14">
      <c r="A352" s="3" t="s">
        <v>662</v>
      </c>
      <c r="B352" s="4" t="s">
        <v>663</v>
      </c>
      <c r="C352" s="5">
        <f t="shared" si="17"/>
        <v>0</v>
      </c>
      <c r="D352" s="5"/>
      <c r="E352" s="6">
        <f t="shared" si="15"/>
        <v>0</v>
      </c>
      <c r="F352" s="6">
        <f t="shared" si="16"/>
        <v>0</v>
      </c>
      <c r="G352" s="62"/>
      <c r="H352" s="62"/>
      <c r="I352" s="60"/>
      <c r="J352" s="60"/>
      <c r="K352" s="64"/>
      <c r="L352" s="64"/>
      <c r="M352" s="25"/>
      <c r="N352" s="25"/>
    </row>
    <row r="353" spans="1:14">
      <c r="A353" s="3" t="s">
        <v>664</v>
      </c>
      <c r="B353" s="4" t="s">
        <v>665</v>
      </c>
      <c r="C353" s="5">
        <f t="shared" si="17"/>
        <v>0</v>
      </c>
      <c r="D353" s="5"/>
      <c r="E353" s="6">
        <f t="shared" si="15"/>
        <v>0</v>
      </c>
      <c r="F353" s="6">
        <f t="shared" si="16"/>
        <v>0</v>
      </c>
      <c r="G353" s="62"/>
      <c r="H353" s="62"/>
      <c r="I353" s="60"/>
      <c r="J353" s="60"/>
      <c r="K353" s="64"/>
      <c r="L353" s="64"/>
      <c r="M353" s="25"/>
      <c r="N353" s="25"/>
    </row>
    <row r="354" spans="1:14">
      <c r="A354" s="3" t="s">
        <v>666</v>
      </c>
      <c r="B354" s="4" t="s">
        <v>667</v>
      </c>
      <c r="C354" s="5">
        <f t="shared" si="17"/>
        <v>0</v>
      </c>
      <c r="D354" s="5"/>
      <c r="E354" s="6">
        <f t="shared" si="15"/>
        <v>0</v>
      </c>
      <c r="F354" s="6">
        <f t="shared" si="16"/>
        <v>0</v>
      </c>
      <c r="G354" s="62"/>
      <c r="H354" s="62"/>
      <c r="I354" s="60"/>
      <c r="J354" s="60"/>
      <c r="K354" s="64"/>
      <c r="L354" s="64"/>
      <c r="M354" s="25"/>
      <c r="N354" s="25"/>
    </row>
    <row r="355" spans="1:14">
      <c r="A355" s="3" t="s">
        <v>668</v>
      </c>
      <c r="B355" s="4" t="s">
        <v>669</v>
      </c>
      <c r="C355" s="5">
        <f t="shared" si="17"/>
        <v>0</v>
      </c>
      <c r="D355" s="5"/>
      <c r="E355" s="6">
        <f t="shared" si="15"/>
        <v>0</v>
      </c>
      <c r="F355" s="6">
        <f t="shared" si="16"/>
        <v>0</v>
      </c>
      <c r="G355" s="62"/>
      <c r="H355" s="62"/>
      <c r="I355" s="60"/>
      <c r="J355" s="60"/>
      <c r="K355" s="64"/>
      <c r="L355" s="64"/>
      <c r="M355" s="25"/>
      <c r="N355" s="25"/>
    </row>
    <row r="356" spans="1:14">
      <c r="A356" s="3" t="s">
        <v>670</v>
      </c>
      <c r="B356" s="4" t="s">
        <v>671</v>
      </c>
      <c r="C356" s="5">
        <f t="shared" si="17"/>
        <v>0</v>
      </c>
      <c r="D356" s="5"/>
      <c r="E356" s="6">
        <f t="shared" si="15"/>
        <v>0</v>
      </c>
      <c r="F356" s="6">
        <f t="shared" si="16"/>
        <v>0</v>
      </c>
      <c r="G356" s="62"/>
      <c r="H356" s="62"/>
      <c r="I356" s="60"/>
      <c r="J356" s="60"/>
      <c r="K356" s="64"/>
      <c r="L356" s="64"/>
      <c r="M356" s="25"/>
      <c r="N356" s="25"/>
    </row>
    <row r="357" spans="1:14">
      <c r="A357" s="3" t="s">
        <v>672</v>
      </c>
      <c r="B357" s="4" t="s">
        <v>673</v>
      </c>
      <c r="C357" s="5">
        <f t="shared" si="17"/>
        <v>0</v>
      </c>
      <c r="D357" s="5"/>
      <c r="E357" s="6">
        <f t="shared" si="15"/>
        <v>0</v>
      </c>
      <c r="F357" s="6">
        <f t="shared" si="16"/>
        <v>0</v>
      </c>
      <c r="G357" s="62"/>
      <c r="H357" s="62"/>
      <c r="I357" s="60"/>
      <c r="J357" s="60"/>
      <c r="K357" s="64"/>
      <c r="L357" s="64"/>
      <c r="M357" s="25"/>
      <c r="N357" s="25"/>
    </row>
    <row r="358" spans="1:14">
      <c r="A358" s="3" t="s">
        <v>674</v>
      </c>
      <c r="B358" s="4" t="s">
        <v>675</v>
      </c>
      <c r="C358" s="5">
        <f t="shared" si="17"/>
        <v>0</v>
      </c>
      <c r="D358" s="5"/>
      <c r="E358" s="6">
        <f t="shared" si="15"/>
        <v>0</v>
      </c>
      <c r="F358" s="6">
        <f t="shared" si="16"/>
        <v>0</v>
      </c>
      <c r="G358" s="62"/>
      <c r="H358" s="62"/>
      <c r="I358" s="60"/>
      <c r="J358" s="60"/>
      <c r="K358" s="64"/>
      <c r="L358" s="64"/>
      <c r="M358" s="25"/>
      <c r="N358" s="25"/>
    </row>
    <row r="359" spans="1:14">
      <c r="A359" s="3" t="s">
        <v>676</v>
      </c>
      <c r="B359" s="4" t="s">
        <v>677</v>
      </c>
      <c r="C359" s="5">
        <f t="shared" si="17"/>
        <v>0</v>
      </c>
      <c r="D359" s="5"/>
      <c r="E359" s="6">
        <f t="shared" si="15"/>
        <v>0</v>
      </c>
      <c r="F359" s="6">
        <f t="shared" si="16"/>
        <v>0</v>
      </c>
      <c r="G359" s="62"/>
      <c r="H359" s="62"/>
      <c r="I359" s="60"/>
      <c r="J359" s="60"/>
      <c r="K359" s="64"/>
      <c r="L359" s="64"/>
      <c r="M359" s="25"/>
      <c r="N359" s="25"/>
    </row>
    <row r="360" spans="1:14">
      <c r="A360" s="3" t="s">
        <v>678</v>
      </c>
      <c r="B360" s="4" t="s">
        <v>679</v>
      </c>
      <c r="C360" s="5">
        <f t="shared" si="17"/>
        <v>0</v>
      </c>
      <c r="D360" s="5"/>
      <c r="E360" s="6">
        <f t="shared" si="15"/>
        <v>0</v>
      </c>
      <c r="F360" s="6">
        <f t="shared" si="16"/>
        <v>0</v>
      </c>
      <c r="G360" s="62"/>
      <c r="H360" s="62"/>
      <c r="I360" s="60"/>
      <c r="J360" s="60"/>
      <c r="K360" s="64"/>
      <c r="L360" s="64"/>
      <c r="M360" s="25"/>
      <c r="N360" s="25"/>
    </row>
    <row r="361" spans="1:14">
      <c r="A361" s="3" t="s">
        <v>680</v>
      </c>
      <c r="B361" s="4" t="s">
        <v>681</v>
      </c>
      <c r="C361" s="5">
        <f t="shared" si="17"/>
        <v>0</v>
      </c>
      <c r="D361" s="5"/>
      <c r="E361" s="6">
        <f t="shared" si="15"/>
        <v>0</v>
      </c>
      <c r="F361" s="6">
        <f t="shared" si="16"/>
        <v>0</v>
      </c>
      <c r="G361" s="62"/>
      <c r="H361" s="62"/>
      <c r="I361" s="60"/>
      <c r="J361" s="60"/>
      <c r="K361" s="64"/>
      <c r="L361" s="64"/>
      <c r="M361" s="25"/>
      <c r="N361" s="25"/>
    </row>
    <row r="362" spans="1:14">
      <c r="A362" s="3" t="s">
        <v>682</v>
      </c>
      <c r="B362" s="4" t="s">
        <v>683</v>
      </c>
      <c r="C362" s="5">
        <f t="shared" si="17"/>
        <v>0</v>
      </c>
      <c r="D362" s="5"/>
      <c r="E362" s="6">
        <f t="shared" si="15"/>
        <v>0</v>
      </c>
      <c r="F362" s="6">
        <f t="shared" si="16"/>
        <v>0</v>
      </c>
      <c r="G362" s="62"/>
      <c r="H362" s="62"/>
      <c r="I362" s="60"/>
      <c r="J362" s="60"/>
      <c r="K362" s="64"/>
      <c r="L362" s="64"/>
      <c r="M362" s="25"/>
      <c r="N362" s="25"/>
    </row>
    <row r="363" spans="1:14">
      <c r="A363" s="3" t="s">
        <v>684</v>
      </c>
      <c r="B363" s="4" t="s">
        <v>685</v>
      </c>
      <c r="C363" s="5">
        <f t="shared" si="17"/>
        <v>0</v>
      </c>
      <c r="D363" s="5"/>
      <c r="E363" s="6">
        <f t="shared" si="15"/>
        <v>0</v>
      </c>
      <c r="F363" s="6">
        <f t="shared" si="16"/>
        <v>0</v>
      </c>
      <c r="G363" s="62"/>
      <c r="H363" s="62"/>
      <c r="I363" s="60"/>
      <c r="J363" s="60"/>
      <c r="K363" s="64"/>
      <c r="L363" s="64"/>
      <c r="M363" s="25"/>
      <c r="N363" s="25"/>
    </row>
    <row r="364" spans="1:14">
      <c r="A364" s="3" t="s">
        <v>686</v>
      </c>
      <c r="B364" s="4" t="s">
        <v>687</v>
      </c>
      <c r="C364" s="5">
        <f t="shared" si="17"/>
        <v>0</v>
      </c>
      <c r="D364" s="5"/>
      <c r="E364" s="6">
        <f t="shared" si="15"/>
        <v>0</v>
      </c>
      <c r="F364" s="6">
        <f t="shared" si="16"/>
        <v>0</v>
      </c>
      <c r="G364" s="62"/>
      <c r="H364" s="62"/>
      <c r="I364" s="60"/>
      <c r="J364" s="60"/>
      <c r="K364" s="64"/>
      <c r="L364" s="64"/>
      <c r="M364" s="25"/>
      <c r="N364" s="25"/>
    </row>
    <row r="365" spans="1:14">
      <c r="A365" s="3" t="s">
        <v>688</v>
      </c>
      <c r="B365" s="4" t="s">
        <v>689</v>
      </c>
      <c r="C365" s="5">
        <f t="shared" si="17"/>
        <v>0</v>
      </c>
      <c r="D365" s="5"/>
      <c r="E365" s="6">
        <f t="shared" si="15"/>
        <v>0</v>
      </c>
      <c r="F365" s="6">
        <f t="shared" si="16"/>
        <v>0</v>
      </c>
      <c r="G365" s="62"/>
      <c r="H365" s="62"/>
      <c r="I365" s="60"/>
      <c r="J365" s="60"/>
      <c r="K365" s="64"/>
      <c r="L365" s="64"/>
      <c r="M365" s="25"/>
      <c r="N365" s="25"/>
    </row>
    <row r="366" spans="1:14">
      <c r="A366" s="3" t="s">
        <v>690</v>
      </c>
      <c r="B366" s="4" t="s">
        <v>691</v>
      </c>
      <c r="C366" s="5">
        <f t="shared" si="17"/>
        <v>0</v>
      </c>
      <c r="D366" s="5"/>
      <c r="E366" s="6">
        <f t="shared" si="15"/>
        <v>0</v>
      </c>
      <c r="F366" s="6">
        <f t="shared" si="16"/>
        <v>0</v>
      </c>
      <c r="G366" s="62"/>
      <c r="H366" s="62"/>
      <c r="I366" s="60"/>
      <c r="J366" s="60"/>
      <c r="K366" s="64"/>
      <c r="L366" s="64"/>
      <c r="M366" s="25"/>
      <c r="N366" s="25"/>
    </row>
    <row r="367" spans="1:14">
      <c r="A367" s="3" t="s">
        <v>692</v>
      </c>
      <c r="B367" s="4" t="s">
        <v>693</v>
      </c>
      <c r="C367" s="5">
        <f t="shared" si="17"/>
        <v>0</v>
      </c>
      <c r="D367" s="5"/>
      <c r="E367" s="6">
        <f t="shared" si="15"/>
        <v>0</v>
      </c>
      <c r="F367" s="6">
        <f t="shared" si="16"/>
        <v>0</v>
      </c>
      <c r="G367" s="62"/>
      <c r="H367" s="62"/>
      <c r="I367" s="60"/>
      <c r="J367" s="60"/>
      <c r="K367" s="64"/>
      <c r="L367" s="64"/>
      <c r="M367" s="25"/>
      <c r="N367" s="25"/>
    </row>
    <row r="368" spans="1:14">
      <c r="A368" s="3" t="s">
        <v>694</v>
      </c>
      <c r="B368" s="4" t="s">
        <v>695</v>
      </c>
      <c r="C368" s="5">
        <f t="shared" si="17"/>
        <v>0</v>
      </c>
      <c r="D368" s="5"/>
      <c r="E368" s="6">
        <f t="shared" si="15"/>
        <v>0</v>
      </c>
      <c r="F368" s="6">
        <f t="shared" si="16"/>
        <v>0</v>
      </c>
      <c r="G368" s="62"/>
      <c r="H368" s="62"/>
      <c r="I368" s="60"/>
      <c r="J368" s="60"/>
      <c r="K368" s="64"/>
      <c r="L368" s="64"/>
      <c r="M368" s="25"/>
      <c r="N368" s="25"/>
    </row>
    <row r="369" spans="1:14">
      <c r="A369" s="3" t="s">
        <v>696</v>
      </c>
      <c r="B369" s="4" t="s">
        <v>697</v>
      </c>
      <c r="C369" s="5">
        <f t="shared" si="17"/>
        <v>0</v>
      </c>
      <c r="D369" s="5"/>
      <c r="E369" s="6">
        <f t="shared" si="15"/>
        <v>0</v>
      </c>
      <c r="F369" s="6">
        <f t="shared" si="16"/>
        <v>0</v>
      </c>
      <c r="G369" s="62"/>
      <c r="H369" s="62"/>
      <c r="I369" s="60"/>
      <c r="J369" s="60"/>
      <c r="K369" s="64"/>
      <c r="L369" s="64"/>
      <c r="M369" s="25"/>
      <c r="N369" s="25"/>
    </row>
    <row r="370" spans="1:14">
      <c r="A370" s="3" t="s">
        <v>698</v>
      </c>
      <c r="B370" s="4" t="s">
        <v>699</v>
      </c>
      <c r="C370" s="5">
        <f t="shared" si="17"/>
        <v>0</v>
      </c>
      <c r="D370" s="5"/>
      <c r="E370" s="6">
        <f t="shared" si="15"/>
        <v>0</v>
      </c>
      <c r="F370" s="6">
        <f t="shared" si="16"/>
        <v>0</v>
      </c>
      <c r="G370" s="62"/>
      <c r="H370" s="62"/>
      <c r="I370" s="60"/>
      <c r="J370" s="60"/>
      <c r="K370" s="64"/>
      <c r="L370" s="64"/>
      <c r="M370" s="25"/>
      <c r="N370" s="25"/>
    </row>
    <row r="371" spans="1:14">
      <c r="A371" s="3" t="s">
        <v>700</v>
      </c>
      <c r="B371" s="4" t="s">
        <v>701</v>
      </c>
      <c r="C371" s="5">
        <f t="shared" si="17"/>
        <v>0</v>
      </c>
      <c r="D371" s="5"/>
      <c r="E371" s="6">
        <f t="shared" si="15"/>
        <v>0</v>
      </c>
      <c r="F371" s="6">
        <f t="shared" si="16"/>
        <v>0</v>
      </c>
      <c r="G371" s="62"/>
      <c r="H371" s="62"/>
      <c r="I371" s="60"/>
      <c r="J371" s="60"/>
      <c r="K371" s="64"/>
      <c r="L371" s="64"/>
      <c r="M371" s="25"/>
      <c r="N371" s="25"/>
    </row>
    <row r="372" spans="1:14">
      <c r="A372" s="3" t="s">
        <v>702</v>
      </c>
      <c r="B372" s="4" t="s">
        <v>703</v>
      </c>
      <c r="C372" s="5">
        <f t="shared" si="17"/>
        <v>0</v>
      </c>
      <c r="D372" s="5"/>
      <c r="E372" s="6">
        <f t="shared" si="15"/>
        <v>0</v>
      </c>
      <c r="F372" s="6">
        <f t="shared" si="16"/>
        <v>0</v>
      </c>
      <c r="G372" s="62"/>
      <c r="H372" s="62"/>
      <c r="I372" s="60"/>
      <c r="J372" s="60"/>
      <c r="K372" s="64"/>
      <c r="L372" s="64"/>
      <c r="M372" s="25"/>
      <c r="N372" s="25"/>
    </row>
    <row r="373" spans="1:14">
      <c r="A373" s="3" t="s">
        <v>704</v>
      </c>
      <c r="B373" s="4" t="s">
        <v>705</v>
      </c>
      <c r="C373" s="5">
        <f t="shared" si="17"/>
        <v>0</v>
      </c>
      <c r="D373" s="5"/>
      <c r="E373" s="6">
        <f t="shared" si="15"/>
        <v>0</v>
      </c>
      <c r="F373" s="6">
        <f t="shared" si="16"/>
        <v>0</v>
      </c>
      <c r="G373" s="62"/>
      <c r="H373" s="62"/>
      <c r="I373" s="60"/>
      <c r="J373" s="60"/>
      <c r="K373" s="64"/>
      <c r="L373" s="64"/>
      <c r="M373" s="25"/>
      <c r="N373" s="25"/>
    </row>
    <row r="374" spans="1:14">
      <c r="A374" s="3" t="s">
        <v>706</v>
      </c>
      <c r="B374" s="4" t="s">
        <v>707</v>
      </c>
      <c r="C374" s="5">
        <f t="shared" si="17"/>
        <v>0</v>
      </c>
      <c r="D374" s="5"/>
      <c r="E374" s="6">
        <f t="shared" si="15"/>
        <v>0</v>
      </c>
      <c r="F374" s="6">
        <f t="shared" si="16"/>
        <v>0</v>
      </c>
      <c r="G374" s="62"/>
      <c r="H374" s="62"/>
      <c r="I374" s="60"/>
      <c r="J374" s="60"/>
      <c r="K374" s="64"/>
      <c r="L374" s="64"/>
      <c r="M374" s="25"/>
      <c r="N374" s="25"/>
    </row>
    <row r="375" spans="1:14">
      <c r="A375" s="3" t="s">
        <v>708</v>
      </c>
      <c r="B375" s="4" t="s">
        <v>709</v>
      </c>
      <c r="C375" s="5">
        <f t="shared" si="17"/>
        <v>0</v>
      </c>
      <c r="D375" s="5"/>
      <c r="E375" s="6">
        <f t="shared" si="15"/>
        <v>0</v>
      </c>
      <c r="F375" s="6">
        <f t="shared" si="16"/>
        <v>0</v>
      </c>
      <c r="G375" s="62"/>
      <c r="H375" s="62"/>
      <c r="I375" s="60"/>
      <c r="J375" s="60"/>
      <c r="K375" s="64"/>
      <c r="L375" s="64"/>
      <c r="M375" s="25"/>
      <c r="N375" s="25"/>
    </row>
    <row r="376" spans="1:14">
      <c r="A376" s="3" t="s">
        <v>710</v>
      </c>
      <c r="B376" s="4" t="s">
        <v>711</v>
      </c>
      <c r="C376" s="5">
        <f t="shared" si="17"/>
        <v>0</v>
      </c>
      <c r="D376" s="5"/>
      <c r="E376" s="6">
        <f t="shared" si="15"/>
        <v>0</v>
      </c>
      <c r="F376" s="6">
        <f t="shared" si="16"/>
        <v>0</v>
      </c>
      <c r="G376" s="62"/>
      <c r="H376" s="62"/>
      <c r="I376" s="60"/>
      <c r="J376" s="60"/>
      <c r="K376" s="64"/>
      <c r="L376" s="64"/>
      <c r="M376" s="25"/>
      <c r="N376" s="25"/>
    </row>
    <row r="377" spans="1:14">
      <c r="A377" s="3" t="s">
        <v>712</v>
      </c>
      <c r="B377" s="4" t="s">
        <v>713</v>
      </c>
      <c r="C377" s="5">
        <f t="shared" si="17"/>
        <v>0</v>
      </c>
      <c r="D377" s="5"/>
      <c r="E377" s="6">
        <f t="shared" si="15"/>
        <v>0</v>
      </c>
      <c r="F377" s="6">
        <f t="shared" si="16"/>
        <v>0</v>
      </c>
      <c r="G377" s="62"/>
      <c r="H377" s="62"/>
      <c r="I377" s="60"/>
      <c r="J377" s="60"/>
      <c r="K377" s="64"/>
      <c r="L377" s="64"/>
      <c r="M377" s="25"/>
      <c r="N377" s="25"/>
    </row>
    <row r="378" spans="1:14">
      <c r="A378" s="3" t="s">
        <v>714</v>
      </c>
      <c r="B378" s="4" t="s">
        <v>715</v>
      </c>
      <c r="C378" s="5">
        <f t="shared" si="17"/>
        <v>0</v>
      </c>
      <c r="D378" s="5"/>
      <c r="E378" s="6">
        <f t="shared" si="15"/>
        <v>0</v>
      </c>
      <c r="F378" s="6">
        <f t="shared" si="16"/>
        <v>0</v>
      </c>
      <c r="G378" s="62"/>
      <c r="H378" s="62"/>
      <c r="I378" s="60"/>
      <c r="J378" s="60"/>
      <c r="K378" s="64"/>
      <c r="L378" s="64"/>
      <c r="M378" s="25"/>
      <c r="N378" s="25"/>
    </row>
    <row r="379" spans="1:14">
      <c r="A379" s="3" t="s">
        <v>716</v>
      </c>
      <c r="B379" s="4" t="s">
        <v>717</v>
      </c>
      <c r="C379" s="5">
        <f t="shared" si="17"/>
        <v>0</v>
      </c>
      <c r="D379" s="5"/>
      <c r="E379" s="6">
        <f t="shared" si="15"/>
        <v>0</v>
      </c>
      <c r="F379" s="6">
        <f t="shared" si="16"/>
        <v>0</v>
      </c>
      <c r="G379" s="62"/>
      <c r="H379" s="62"/>
      <c r="I379" s="60"/>
      <c r="J379" s="60"/>
      <c r="K379" s="64"/>
      <c r="L379" s="64"/>
      <c r="M379" s="25"/>
      <c r="N379" s="25"/>
    </row>
    <row r="380" spans="1:14">
      <c r="A380" s="3" t="s">
        <v>718</v>
      </c>
      <c r="B380" s="4" t="s">
        <v>719</v>
      </c>
      <c r="C380" s="5">
        <f t="shared" si="17"/>
        <v>0</v>
      </c>
      <c r="D380" s="5"/>
      <c r="E380" s="6">
        <f t="shared" si="15"/>
        <v>0</v>
      </c>
      <c r="F380" s="6">
        <f t="shared" si="16"/>
        <v>0</v>
      </c>
      <c r="G380" s="62"/>
      <c r="H380" s="62"/>
      <c r="I380" s="60"/>
      <c r="J380" s="60"/>
      <c r="K380" s="64"/>
      <c r="L380" s="64"/>
      <c r="M380" s="25"/>
      <c r="N380" s="25"/>
    </row>
    <row r="381" spans="1:14">
      <c r="A381" s="3" t="s">
        <v>720</v>
      </c>
      <c r="B381" s="4" t="s">
        <v>721</v>
      </c>
      <c r="C381" s="5">
        <f t="shared" si="17"/>
        <v>0</v>
      </c>
      <c r="D381" s="5"/>
      <c r="E381" s="6">
        <f t="shared" si="15"/>
        <v>0</v>
      </c>
      <c r="F381" s="6">
        <f t="shared" si="16"/>
        <v>0</v>
      </c>
      <c r="G381" s="62"/>
      <c r="H381" s="62"/>
      <c r="I381" s="60"/>
      <c r="J381" s="60"/>
      <c r="K381" s="64"/>
      <c r="L381" s="64"/>
      <c r="M381" s="25"/>
      <c r="N381" s="25"/>
    </row>
    <row r="382" spans="1:14">
      <c r="A382" s="3" t="s">
        <v>722</v>
      </c>
      <c r="B382" s="4" t="s">
        <v>723</v>
      </c>
      <c r="C382" s="5">
        <f t="shared" si="17"/>
        <v>0</v>
      </c>
      <c r="D382" s="5"/>
      <c r="E382" s="6">
        <f t="shared" si="15"/>
        <v>0</v>
      </c>
      <c r="F382" s="6">
        <f t="shared" si="16"/>
        <v>0</v>
      </c>
      <c r="G382" s="62"/>
      <c r="H382" s="62"/>
      <c r="I382" s="60"/>
      <c r="J382" s="60"/>
      <c r="K382" s="64"/>
      <c r="L382" s="64"/>
      <c r="M382" s="25"/>
      <c r="N382" s="25"/>
    </row>
    <row r="383" spans="1:14">
      <c r="A383" s="3" t="s">
        <v>724</v>
      </c>
      <c r="B383" s="4" t="s">
        <v>725</v>
      </c>
      <c r="C383" s="5">
        <f t="shared" si="17"/>
        <v>0</v>
      </c>
      <c r="D383" s="5"/>
      <c r="E383" s="6">
        <f t="shared" si="15"/>
        <v>0</v>
      </c>
      <c r="F383" s="6">
        <f t="shared" si="16"/>
        <v>0</v>
      </c>
      <c r="G383" s="62"/>
      <c r="H383" s="62"/>
      <c r="I383" s="60"/>
      <c r="J383" s="60"/>
      <c r="K383" s="64"/>
      <c r="L383" s="64"/>
      <c r="M383" s="25"/>
      <c r="N383" s="25"/>
    </row>
    <row r="384" spans="1:14">
      <c r="A384" s="3" t="s">
        <v>726</v>
      </c>
      <c r="B384" s="4" t="s">
        <v>727</v>
      </c>
      <c r="C384" s="5">
        <f t="shared" si="17"/>
        <v>0</v>
      </c>
      <c r="D384" s="5"/>
      <c r="E384" s="6">
        <f t="shared" si="15"/>
        <v>0</v>
      </c>
      <c r="F384" s="6">
        <f t="shared" si="16"/>
        <v>0</v>
      </c>
      <c r="G384" s="62"/>
      <c r="H384" s="62"/>
      <c r="I384" s="60"/>
      <c r="J384" s="60"/>
      <c r="K384" s="64"/>
      <c r="L384" s="64"/>
      <c r="M384" s="25"/>
      <c r="N384" s="25"/>
    </row>
    <row r="385" spans="1:14">
      <c r="A385" s="3" t="s">
        <v>728</v>
      </c>
      <c r="B385" s="4" t="s">
        <v>729</v>
      </c>
      <c r="C385" s="5">
        <f t="shared" si="17"/>
        <v>0</v>
      </c>
      <c r="D385" s="5"/>
      <c r="E385" s="6">
        <f t="shared" si="15"/>
        <v>0</v>
      </c>
      <c r="F385" s="6">
        <f t="shared" si="16"/>
        <v>0</v>
      </c>
      <c r="G385" s="62"/>
      <c r="H385" s="62"/>
      <c r="I385" s="60"/>
      <c r="J385" s="60"/>
      <c r="K385" s="64"/>
      <c r="L385" s="64"/>
      <c r="M385" s="25"/>
      <c r="N385" s="25"/>
    </row>
    <row r="386" spans="1:14">
      <c r="A386" s="3" t="s">
        <v>730</v>
      </c>
      <c r="B386" s="4" t="s">
        <v>731</v>
      </c>
      <c r="C386" s="5">
        <f t="shared" si="17"/>
        <v>0</v>
      </c>
      <c r="D386" s="5"/>
      <c r="E386" s="6">
        <f t="shared" si="15"/>
        <v>0</v>
      </c>
      <c r="F386" s="6">
        <f t="shared" si="16"/>
        <v>0</v>
      </c>
      <c r="G386" s="62"/>
      <c r="H386" s="62"/>
      <c r="I386" s="60"/>
      <c r="J386" s="60"/>
      <c r="K386" s="64"/>
      <c r="L386" s="64"/>
      <c r="M386" s="25"/>
      <c r="N386" s="25"/>
    </row>
    <row r="387" spans="1:14">
      <c r="A387" s="3" t="s">
        <v>732</v>
      </c>
      <c r="B387" s="4" t="s">
        <v>733</v>
      </c>
      <c r="C387" s="5">
        <f t="shared" si="17"/>
        <v>0</v>
      </c>
      <c r="D387" s="5"/>
      <c r="E387" s="6">
        <f t="shared" si="15"/>
        <v>0</v>
      </c>
      <c r="F387" s="6">
        <f t="shared" si="16"/>
        <v>0</v>
      </c>
      <c r="G387" s="62"/>
      <c r="H387" s="62"/>
      <c r="I387" s="60"/>
      <c r="J387" s="60"/>
      <c r="K387" s="64"/>
      <c r="L387" s="64"/>
      <c r="M387" s="25"/>
      <c r="N387" s="25"/>
    </row>
    <row r="388" spans="1:14">
      <c r="A388" s="3" t="s">
        <v>734</v>
      </c>
      <c r="B388" s="4" t="s">
        <v>735</v>
      </c>
      <c r="C388" s="5">
        <f t="shared" si="17"/>
        <v>0</v>
      </c>
      <c r="D388" s="5"/>
      <c r="E388" s="6">
        <f t="shared" si="15"/>
        <v>0</v>
      </c>
      <c r="F388" s="6">
        <f t="shared" si="16"/>
        <v>0</v>
      </c>
      <c r="G388" s="62"/>
      <c r="H388" s="62"/>
      <c r="I388" s="60"/>
      <c r="J388" s="60"/>
      <c r="K388" s="64"/>
      <c r="L388" s="64"/>
      <c r="M388" s="25"/>
      <c r="N388" s="25"/>
    </row>
    <row r="389" spans="1:14">
      <c r="A389" s="3" t="s">
        <v>736</v>
      </c>
      <c r="B389" s="4" t="s">
        <v>737</v>
      </c>
      <c r="C389" s="5">
        <f t="shared" si="17"/>
        <v>0</v>
      </c>
      <c r="D389" s="5"/>
      <c r="E389" s="6">
        <f t="shared" si="15"/>
        <v>0</v>
      </c>
      <c r="F389" s="6">
        <f t="shared" si="16"/>
        <v>0</v>
      </c>
      <c r="G389" s="62"/>
      <c r="H389" s="62"/>
      <c r="I389" s="60"/>
      <c r="J389" s="60"/>
      <c r="K389" s="64"/>
      <c r="L389" s="64"/>
      <c r="M389" s="25"/>
      <c r="N389" s="25"/>
    </row>
    <row r="390" spans="1:14">
      <c r="A390" s="3" t="s">
        <v>738</v>
      </c>
      <c r="B390" s="4" t="s">
        <v>739</v>
      </c>
      <c r="C390" s="5">
        <f t="shared" si="17"/>
        <v>0</v>
      </c>
      <c r="D390" s="5"/>
      <c r="E390" s="6">
        <f t="shared" si="15"/>
        <v>0</v>
      </c>
      <c r="F390" s="6">
        <f t="shared" si="16"/>
        <v>0</v>
      </c>
      <c r="G390" s="62"/>
      <c r="H390" s="62"/>
      <c r="I390" s="60"/>
      <c r="J390" s="60"/>
      <c r="K390" s="64"/>
      <c r="L390" s="64"/>
      <c r="M390" s="25"/>
      <c r="N390" s="25"/>
    </row>
    <row r="391" spans="1:14">
      <c r="A391" s="3" t="s">
        <v>740</v>
      </c>
      <c r="B391" s="4" t="s">
        <v>741</v>
      </c>
      <c r="C391" s="5">
        <f t="shared" si="17"/>
        <v>0</v>
      </c>
      <c r="D391" s="5"/>
      <c r="E391" s="6">
        <f t="shared" si="15"/>
        <v>0</v>
      </c>
      <c r="F391" s="6">
        <f t="shared" si="16"/>
        <v>0</v>
      </c>
      <c r="G391" s="62"/>
      <c r="H391" s="62"/>
      <c r="I391" s="60"/>
      <c r="J391" s="60"/>
      <c r="K391" s="64"/>
      <c r="L391" s="64"/>
      <c r="M391" s="25"/>
      <c r="N391" s="25"/>
    </row>
    <row r="392" spans="1:14">
      <c r="A392" s="3" t="s">
        <v>742</v>
      </c>
      <c r="B392" s="4" t="s">
        <v>743</v>
      </c>
      <c r="C392" s="5">
        <f t="shared" si="17"/>
        <v>0</v>
      </c>
      <c r="D392" s="5"/>
      <c r="E392" s="6">
        <f t="shared" si="15"/>
        <v>0</v>
      </c>
      <c r="F392" s="6">
        <f t="shared" si="16"/>
        <v>0</v>
      </c>
      <c r="G392" s="62"/>
      <c r="H392" s="62"/>
      <c r="I392" s="60"/>
      <c r="J392" s="60"/>
      <c r="K392" s="64"/>
      <c r="L392" s="64"/>
      <c r="M392" s="25"/>
      <c r="N392" s="25"/>
    </row>
    <row r="393" spans="1:14">
      <c r="A393" s="3" t="s">
        <v>744</v>
      </c>
      <c r="B393" s="4" t="s">
        <v>745</v>
      </c>
      <c r="C393" s="5">
        <f t="shared" si="17"/>
        <v>0</v>
      </c>
      <c r="D393" s="5"/>
      <c r="E393" s="6">
        <f t="shared" si="15"/>
        <v>0</v>
      </c>
      <c r="F393" s="6">
        <f t="shared" si="16"/>
        <v>0</v>
      </c>
      <c r="G393" s="62"/>
      <c r="H393" s="62"/>
      <c r="I393" s="60"/>
      <c r="J393" s="60"/>
      <c r="K393" s="64"/>
      <c r="L393" s="64"/>
      <c r="M393" s="25"/>
      <c r="N393" s="25"/>
    </row>
    <row r="394" spans="1:14">
      <c r="A394" s="3" t="s">
        <v>746</v>
      </c>
      <c r="B394" s="4" t="s">
        <v>747</v>
      </c>
      <c r="C394" s="5">
        <f t="shared" si="17"/>
        <v>0</v>
      </c>
      <c r="D394" s="5"/>
      <c r="E394" s="6">
        <f t="shared" si="15"/>
        <v>0</v>
      </c>
      <c r="F394" s="6">
        <f t="shared" si="16"/>
        <v>0</v>
      </c>
      <c r="G394" s="62"/>
      <c r="H394" s="62"/>
      <c r="I394" s="60"/>
      <c r="J394" s="60"/>
      <c r="K394" s="64"/>
      <c r="L394" s="64"/>
      <c r="M394" s="25"/>
      <c r="N394" s="25"/>
    </row>
    <row r="395" spans="1:14">
      <c r="A395" s="3" t="s">
        <v>748</v>
      </c>
      <c r="B395" s="4" t="s">
        <v>749</v>
      </c>
      <c r="C395" s="5">
        <f t="shared" si="17"/>
        <v>0</v>
      </c>
      <c r="D395" s="5"/>
      <c r="E395" s="6">
        <f t="shared" si="15"/>
        <v>0</v>
      </c>
      <c r="F395" s="6">
        <f t="shared" si="16"/>
        <v>0</v>
      </c>
      <c r="G395" s="62"/>
      <c r="H395" s="62"/>
      <c r="I395" s="60"/>
      <c r="J395" s="60"/>
      <c r="K395" s="64"/>
      <c r="L395" s="64"/>
      <c r="M395" s="25"/>
      <c r="N395" s="25"/>
    </row>
    <row r="396" spans="1:14">
      <c r="A396" s="3" t="s">
        <v>750</v>
      </c>
      <c r="B396" s="4" t="s">
        <v>751</v>
      </c>
      <c r="C396" s="5">
        <f t="shared" si="17"/>
        <v>0</v>
      </c>
      <c r="D396" s="5"/>
      <c r="E396" s="6">
        <f t="shared" si="15"/>
        <v>0</v>
      </c>
      <c r="F396" s="6">
        <f t="shared" si="16"/>
        <v>0</v>
      </c>
      <c r="G396" s="62"/>
      <c r="H396" s="62"/>
      <c r="I396" s="60"/>
      <c r="J396" s="60"/>
      <c r="K396" s="64"/>
      <c r="L396" s="64"/>
      <c r="M396" s="25"/>
      <c r="N396" s="25"/>
    </row>
    <row r="397" spans="1:14">
      <c r="A397" s="3" t="s">
        <v>752</v>
      </c>
      <c r="B397" s="4" t="s">
        <v>753</v>
      </c>
      <c r="C397" s="5">
        <f t="shared" si="17"/>
        <v>0</v>
      </c>
      <c r="D397" s="5"/>
      <c r="E397" s="6">
        <f t="shared" si="15"/>
        <v>0</v>
      </c>
      <c r="F397" s="6">
        <f t="shared" si="16"/>
        <v>0</v>
      </c>
      <c r="G397" s="62"/>
      <c r="H397" s="62"/>
      <c r="I397" s="60"/>
      <c r="J397" s="60"/>
      <c r="K397" s="64"/>
      <c r="L397" s="64"/>
      <c r="M397" s="25"/>
      <c r="N397" s="25"/>
    </row>
    <row r="398" spans="1:14">
      <c r="A398" s="3" t="s">
        <v>754</v>
      </c>
      <c r="B398" s="4" t="s">
        <v>755</v>
      </c>
      <c r="C398" s="5">
        <f t="shared" si="17"/>
        <v>0</v>
      </c>
      <c r="D398" s="5"/>
      <c r="E398" s="6">
        <f t="shared" ref="E398:E461" si="18">SUM(G398,I398,K398,M398)</f>
        <v>0</v>
      </c>
      <c r="F398" s="6">
        <f t="shared" ref="F398:F461" si="19">SUM(H398,J398,L398,N398)</f>
        <v>0</v>
      </c>
      <c r="G398" s="62"/>
      <c r="H398" s="62"/>
      <c r="I398" s="60"/>
      <c r="J398" s="60"/>
      <c r="K398" s="64"/>
      <c r="L398" s="64"/>
      <c r="M398" s="25"/>
      <c r="N398" s="25"/>
    </row>
    <row r="399" spans="1:14">
      <c r="A399" s="3" t="s">
        <v>756</v>
      </c>
      <c r="B399" s="4" t="s">
        <v>757</v>
      </c>
      <c r="C399" s="5">
        <f t="shared" si="17"/>
        <v>0</v>
      </c>
      <c r="D399" s="5"/>
      <c r="E399" s="6">
        <f t="shared" si="18"/>
        <v>0</v>
      </c>
      <c r="F399" s="6">
        <f t="shared" si="19"/>
        <v>0</v>
      </c>
      <c r="G399" s="62"/>
      <c r="H399" s="62"/>
      <c r="I399" s="60"/>
      <c r="J399" s="60"/>
      <c r="K399" s="64"/>
      <c r="L399" s="64"/>
      <c r="M399" s="25"/>
      <c r="N399" s="25"/>
    </row>
    <row r="400" spans="1:14">
      <c r="A400" s="3" t="s">
        <v>758</v>
      </c>
      <c r="B400" s="4" t="s">
        <v>759</v>
      </c>
      <c r="C400" s="5">
        <f t="shared" si="17"/>
        <v>0</v>
      </c>
      <c r="D400" s="5"/>
      <c r="E400" s="6">
        <f t="shared" si="18"/>
        <v>0</v>
      </c>
      <c r="F400" s="6">
        <f t="shared" si="19"/>
        <v>0</v>
      </c>
      <c r="G400" s="62"/>
      <c r="H400" s="62"/>
      <c r="I400" s="60"/>
      <c r="J400" s="60"/>
      <c r="K400" s="64"/>
      <c r="L400" s="64"/>
      <c r="M400" s="25"/>
      <c r="N400" s="25"/>
    </row>
    <row r="401" spans="1:14">
      <c r="A401" s="3" t="s">
        <v>760</v>
      </c>
      <c r="B401" s="4" t="s">
        <v>761</v>
      </c>
      <c r="C401" s="5">
        <f t="shared" si="17"/>
        <v>0</v>
      </c>
      <c r="D401" s="5"/>
      <c r="E401" s="6">
        <f t="shared" si="18"/>
        <v>0</v>
      </c>
      <c r="F401" s="6">
        <f t="shared" si="19"/>
        <v>0</v>
      </c>
      <c r="G401" s="62"/>
      <c r="H401" s="62"/>
      <c r="I401" s="60"/>
      <c r="J401" s="60"/>
      <c r="K401" s="64"/>
      <c r="L401" s="64"/>
      <c r="M401" s="25"/>
      <c r="N401" s="25"/>
    </row>
    <row r="402" spans="1:14">
      <c r="A402" s="3" t="s">
        <v>762</v>
      </c>
      <c r="B402" s="4" t="s">
        <v>763</v>
      </c>
      <c r="C402" s="5">
        <f t="shared" si="17"/>
        <v>0</v>
      </c>
      <c r="D402" s="5"/>
      <c r="E402" s="6">
        <f t="shared" si="18"/>
        <v>0</v>
      </c>
      <c r="F402" s="6">
        <f t="shared" si="19"/>
        <v>0</v>
      </c>
      <c r="G402" s="62"/>
      <c r="H402" s="62"/>
      <c r="I402" s="60"/>
      <c r="J402" s="60"/>
      <c r="K402" s="64"/>
      <c r="L402" s="64"/>
      <c r="M402" s="25"/>
      <c r="N402" s="25"/>
    </row>
    <row r="403" spans="1:14">
      <c r="A403" s="3" t="s">
        <v>764</v>
      </c>
      <c r="B403" s="4" t="s">
        <v>765</v>
      </c>
      <c r="C403" s="5">
        <f t="shared" si="17"/>
        <v>0</v>
      </c>
      <c r="D403" s="5"/>
      <c r="E403" s="6">
        <f t="shared" si="18"/>
        <v>0</v>
      </c>
      <c r="F403" s="6">
        <f t="shared" si="19"/>
        <v>0</v>
      </c>
      <c r="G403" s="62"/>
      <c r="H403" s="62"/>
      <c r="I403" s="60"/>
      <c r="J403" s="60"/>
      <c r="K403" s="64"/>
      <c r="L403" s="64"/>
      <c r="M403" s="25"/>
      <c r="N403" s="25"/>
    </row>
    <row r="404" spans="1:14">
      <c r="A404" s="3" t="s">
        <v>766</v>
      </c>
      <c r="B404" s="4" t="s">
        <v>767</v>
      </c>
      <c r="C404" s="5">
        <f t="shared" si="17"/>
        <v>0</v>
      </c>
      <c r="D404" s="5"/>
      <c r="E404" s="6">
        <f t="shared" si="18"/>
        <v>0</v>
      </c>
      <c r="F404" s="6">
        <f t="shared" si="19"/>
        <v>0</v>
      </c>
      <c r="G404" s="62"/>
      <c r="H404" s="62"/>
      <c r="I404" s="60"/>
      <c r="J404" s="60"/>
      <c r="K404" s="64"/>
      <c r="L404" s="64"/>
      <c r="M404" s="25"/>
      <c r="N404" s="25"/>
    </row>
    <row r="405" spans="1:14">
      <c r="A405" s="3" t="s">
        <v>768</v>
      </c>
      <c r="B405" s="4" t="s">
        <v>769</v>
      </c>
      <c r="C405" s="5">
        <f t="shared" si="17"/>
        <v>0</v>
      </c>
      <c r="D405" s="5"/>
      <c r="E405" s="6">
        <f t="shared" si="18"/>
        <v>0</v>
      </c>
      <c r="F405" s="6">
        <f t="shared" si="19"/>
        <v>0</v>
      </c>
      <c r="G405" s="62"/>
      <c r="H405" s="62"/>
      <c r="I405" s="60"/>
      <c r="J405" s="60"/>
      <c r="K405" s="64"/>
      <c r="L405" s="64"/>
      <c r="M405" s="25"/>
      <c r="N405" s="25"/>
    </row>
    <row r="406" spans="1:14">
      <c r="A406" s="3" t="s">
        <v>770</v>
      </c>
      <c r="B406" s="4" t="s">
        <v>771</v>
      </c>
      <c r="C406" s="5">
        <f t="shared" si="17"/>
        <v>0</v>
      </c>
      <c r="D406" s="5"/>
      <c r="E406" s="6">
        <f t="shared" si="18"/>
        <v>0</v>
      </c>
      <c r="F406" s="6">
        <f t="shared" si="19"/>
        <v>0</v>
      </c>
      <c r="G406" s="62"/>
      <c r="H406" s="62"/>
      <c r="I406" s="60"/>
      <c r="J406" s="60"/>
      <c r="K406" s="64"/>
      <c r="L406" s="64"/>
      <c r="M406" s="25"/>
      <c r="N406" s="25"/>
    </row>
    <row r="407" spans="1:14">
      <c r="A407" s="3" t="s">
        <v>772</v>
      </c>
      <c r="B407" s="4" t="s">
        <v>773</v>
      </c>
      <c r="C407" s="5">
        <f t="shared" si="17"/>
        <v>0</v>
      </c>
      <c r="D407" s="5"/>
      <c r="E407" s="6">
        <f t="shared" si="18"/>
        <v>0</v>
      </c>
      <c r="F407" s="6">
        <f t="shared" si="19"/>
        <v>0</v>
      </c>
      <c r="G407" s="62"/>
      <c r="H407" s="62"/>
      <c r="I407" s="60"/>
      <c r="J407" s="60"/>
      <c r="K407" s="64"/>
      <c r="L407" s="64"/>
      <c r="M407" s="25"/>
      <c r="N407" s="25"/>
    </row>
    <row r="408" spans="1:14">
      <c r="A408" s="3" t="s">
        <v>774</v>
      </c>
      <c r="B408" s="4" t="s">
        <v>775</v>
      </c>
      <c r="C408" s="5">
        <f t="shared" si="17"/>
        <v>0</v>
      </c>
      <c r="D408" s="5"/>
      <c r="E408" s="6">
        <f t="shared" si="18"/>
        <v>0</v>
      </c>
      <c r="F408" s="6">
        <f t="shared" si="19"/>
        <v>0</v>
      </c>
      <c r="G408" s="62"/>
      <c r="H408" s="62"/>
      <c r="I408" s="60"/>
      <c r="J408" s="60"/>
      <c r="K408" s="64"/>
      <c r="L408" s="64"/>
      <c r="M408" s="25"/>
      <c r="N408" s="25"/>
    </row>
    <row r="409" spans="1:14">
      <c r="A409" s="3" t="s">
        <v>776</v>
      </c>
      <c r="B409" s="4" t="s">
        <v>777</v>
      </c>
      <c r="C409" s="5">
        <f t="shared" ref="C409:C461" si="20">E409-F409</f>
        <v>0</v>
      </c>
      <c r="D409" s="5"/>
      <c r="E409" s="6">
        <f t="shared" si="18"/>
        <v>0</v>
      </c>
      <c r="F409" s="6">
        <f t="shared" si="19"/>
        <v>0</v>
      </c>
      <c r="G409" s="62"/>
      <c r="H409" s="62"/>
      <c r="I409" s="60"/>
      <c r="J409" s="60"/>
      <c r="K409" s="64"/>
      <c r="L409" s="64"/>
      <c r="M409" s="25"/>
      <c r="N409" s="25"/>
    </row>
    <row r="410" spans="1:14">
      <c r="A410" s="3" t="s">
        <v>778</v>
      </c>
      <c r="B410" s="4" t="s">
        <v>779</v>
      </c>
      <c r="C410" s="5">
        <f t="shared" si="20"/>
        <v>0</v>
      </c>
      <c r="D410" s="5"/>
      <c r="E410" s="6">
        <f t="shared" si="18"/>
        <v>0</v>
      </c>
      <c r="F410" s="6">
        <f t="shared" si="19"/>
        <v>0</v>
      </c>
      <c r="G410" s="62"/>
      <c r="H410" s="62"/>
      <c r="I410" s="60"/>
      <c r="J410" s="60"/>
      <c r="K410" s="64"/>
      <c r="L410" s="64"/>
      <c r="M410" s="25"/>
      <c r="N410" s="25"/>
    </row>
    <row r="411" spans="1:14">
      <c r="A411" s="3" t="s">
        <v>780</v>
      </c>
      <c r="B411" s="4" t="s">
        <v>781</v>
      </c>
      <c r="C411" s="5">
        <f t="shared" si="20"/>
        <v>0</v>
      </c>
      <c r="D411" s="5"/>
      <c r="E411" s="6">
        <f t="shared" si="18"/>
        <v>0</v>
      </c>
      <c r="F411" s="6">
        <f t="shared" si="19"/>
        <v>0</v>
      </c>
      <c r="G411" s="62"/>
      <c r="H411" s="62"/>
      <c r="I411" s="60"/>
      <c r="J411" s="60"/>
      <c r="K411" s="64"/>
      <c r="L411" s="64"/>
      <c r="M411" s="25"/>
      <c r="N411" s="25"/>
    </row>
    <row r="412" spans="1:14">
      <c r="A412" s="3" t="s">
        <v>782</v>
      </c>
      <c r="B412" s="4" t="s">
        <v>783</v>
      </c>
      <c r="C412" s="5">
        <f t="shared" si="20"/>
        <v>0</v>
      </c>
      <c r="D412" s="5"/>
      <c r="E412" s="6">
        <f t="shared" si="18"/>
        <v>0</v>
      </c>
      <c r="F412" s="6">
        <f t="shared" si="19"/>
        <v>0</v>
      </c>
      <c r="G412" s="62"/>
      <c r="H412" s="62"/>
      <c r="I412" s="60"/>
      <c r="J412" s="60"/>
      <c r="K412" s="64"/>
      <c r="L412" s="64"/>
      <c r="M412" s="25"/>
      <c r="N412" s="25"/>
    </row>
    <row r="413" spans="1:14">
      <c r="A413" s="3" t="s">
        <v>784</v>
      </c>
      <c r="B413" s="4" t="s">
        <v>785</v>
      </c>
      <c r="C413" s="5">
        <f t="shared" si="20"/>
        <v>0</v>
      </c>
      <c r="D413" s="5"/>
      <c r="E413" s="6">
        <f t="shared" si="18"/>
        <v>0</v>
      </c>
      <c r="F413" s="6">
        <f t="shared" si="19"/>
        <v>0</v>
      </c>
      <c r="G413" s="62"/>
      <c r="H413" s="62"/>
      <c r="I413" s="60"/>
      <c r="J413" s="60"/>
      <c r="K413" s="64"/>
      <c r="L413" s="64"/>
      <c r="M413" s="25"/>
      <c r="N413" s="25"/>
    </row>
    <row r="414" spans="1:14">
      <c r="A414" s="3" t="s">
        <v>786</v>
      </c>
      <c r="B414" s="4" t="s">
        <v>787</v>
      </c>
      <c r="C414" s="5">
        <f t="shared" si="20"/>
        <v>0</v>
      </c>
      <c r="D414" s="5"/>
      <c r="E414" s="6">
        <f t="shared" si="18"/>
        <v>0</v>
      </c>
      <c r="F414" s="6">
        <f t="shared" si="19"/>
        <v>0</v>
      </c>
      <c r="G414" s="62"/>
      <c r="H414" s="62"/>
      <c r="I414" s="60"/>
      <c r="J414" s="60"/>
      <c r="K414" s="64"/>
      <c r="L414" s="64"/>
      <c r="M414" s="25"/>
      <c r="N414" s="25"/>
    </row>
    <row r="415" spans="1:14">
      <c r="A415" s="3" t="s">
        <v>788</v>
      </c>
      <c r="B415" s="4" t="s">
        <v>789</v>
      </c>
      <c r="C415" s="5">
        <f t="shared" si="20"/>
        <v>0</v>
      </c>
      <c r="D415" s="5"/>
      <c r="E415" s="6">
        <f t="shared" si="18"/>
        <v>0</v>
      </c>
      <c r="F415" s="6">
        <f t="shared" si="19"/>
        <v>0</v>
      </c>
      <c r="G415" s="62"/>
      <c r="H415" s="62"/>
      <c r="I415" s="60"/>
      <c r="J415" s="60"/>
      <c r="K415" s="64"/>
      <c r="L415" s="64"/>
      <c r="M415" s="25"/>
      <c r="N415" s="25"/>
    </row>
    <row r="416" spans="1:14">
      <c r="A416" s="3" t="s">
        <v>790</v>
      </c>
      <c r="B416" s="4" t="s">
        <v>791</v>
      </c>
      <c r="C416" s="5">
        <f t="shared" si="20"/>
        <v>0</v>
      </c>
      <c r="D416" s="5"/>
      <c r="E416" s="6">
        <f t="shared" si="18"/>
        <v>0</v>
      </c>
      <c r="F416" s="6">
        <f t="shared" si="19"/>
        <v>0</v>
      </c>
      <c r="G416" s="62"/>
      <c r="H416" s="62"/>
      <c r="I416" s="60"/>
      <c r="J416" s="60"/>
      <c r="K416" s="64"/>
      <c r="L416" s="64"/>
      <c r="M416" s="25"/>
      <c r="N416" s="25"/>
    </row>
    <row r="417" spans="1:14">
      <c r="A417" s="3" t="s">
        <v>792</v>
      </c>
      <c r="B417" s="4" t="s">
        <v>793</v>
      </c>
      <c r="C417" s="5">
        <f t="shared" si="20"/>
        <v>0</v>
      </c>
      <c r="D417" s="5"/>
      <c r="E417" s="6">
        <f t="shared" si="18"/>
        <v>0</v>
      </c>
      <c r="F417" s="6">
        <f t="shared" si="19"/>
        <v>0</v>
      </c>
      <c r="G417" s="62"/>
      <c r="H417" s="62"/>
      <c r="I417" s="60"/>
      <c r="J417" s="60"/>
      <c r="K417" s="64"/>
      <c r="L417" s="64"/>
      <c r="M417" s="25"/>
      <c r="N417" s="25"/>
    </row>
    <row r="418" spans="1:14">
      <c r="A418" s="3" t="s">
        <v>794</v>
      </c>
      <c r="B418" s="4" t="s">
        <v>795</v>
      </c>
      <c r="C418" s="5">
        <f t="shared" si="20"/>
        <v>0</v>
      </c>
      <c r="D418" s="5"/>
      <c r="E418" s="6">
        <f t="shared" si="18"/>
        <v>0</v>
      </c>
      <c r="F418" s="6">
        <f t="shared" si="19"/>
        <v>0</v>
      </c>
      <c r="G418" s="62"/>
      <c r="H418" s="62"/>
      <c r="I418" s="60"/>
      <c r="J418" s="60"/>
      <c r="K418" s="64"/>
      <c r="L418" s="64"/>
      <c r="M418" s="25"/>
      <c r="N418" s="25"/>
    </row>
    <row r="419" spans="1:14">
      <c r="A419" s="3" t="s">
        <v>796</v>
      </c>
      <c r="B419" s="4" t="s">
        <v>797</v>
      </c>
      <c r="C419" s="5">
        <f t="shared" si="20"/>
        <v>0</v>
      </c>
      <c r="D419" s="5"/>
      <c r="E419" s="6">
        <f t="shared" si="18"/>
        <v>0</v>
      </c>
      <c r="F419" s="6">
        <f t="shared" si="19"/>
        <v>0</v>
      </c>
      <c r="G419" s="62"/>
      <c r="H419" s="62"/>
      <c r="I419" s="60"/>
      <c r="J419" s="60"/>
      <c r="K419" s="64"/>
      <c r="L419" s="64"/>
      <c r="M419" s="25"/>
      <c r="N419" s="25"/>
    </row>
    <row r="420" spans="1:14">
      <c r="A420" s="3" t="s">
        <v>798</v>
      </c>
      <c r="B420" s="4" t="s">
        <v>799</v>
      </c>
      <c r="C420" s="5">
        <f t="shared" si="20"/>
        <v>0</v>
      </c>
      <c r="D420" s="5"/>
      <c r="E420" s="6">
        <f t="shared" si="18"/>
        <v>0</v>
      </c>
      <c r="F420" s="6">
        <f t="shared" si="19"/>
        <v>0</v>
      </c>
      <c r="G420" s="62"/>
      <c r="H420" s="62"/>
      <c r="I420" s="60"/>
      <c r="J420" s="60"/>
      <c r="K420" s="64"/>
      <c r="L420" s="64"/>
      <c r="M420" s="25"/>
      <c r="N420" s="25"/>
    </row>
    <row r="421" spans="1:14">
      <c r="A421" s="3" t="s">
        <v>800</v>
      </c>
      <c r="B421" s="4" t="s">
        <v>801</v>
      </c>
      <c r="C421" s="5">
        <f t="shared" si="20"/>
        <v>0</v>
      </c>
      <c r="D421" s="5"/>
      <c r="E421" s="6">
        <f t="shared" si="18"/>
        <v>0</v>
      </c>
      <c r="F421" s="6">
        <f t="shared" si="19"/>
        <v>0</v>
      </c>
      <c r="G421" s="62"/>
      <c r="H421" s="62"/>
      <c r="I421" s="60"/>
      <c r="J421" s="60"/>
      <c r="K421" s="64"/>
      <c r="L421" s="64"/>
      <c r="M421" s="25"/>
      <c r="N421" s="25"/>
    </row>
    <row r="422" spans="1:14">
      <c r="A422" s="3" t="s">
        <v>802</v>
      </c>
      <c r="B422" s="4" t="s">
        <v>803</v>
      </c>
      <c r="C422" s="5">
        <f t="shared" si="20"/>
        <v>0</v>
      </c>
      <c r="D422" s="5"/>
      <c r="E422" s="6">
        <f t="shared" si="18"/>
        <v>0</v>
      </c>
      <c r="F422" s="6">
        <f t="shared" si="19"/>
        <v>0</v>
      </c>
      <c r="G422" s="62"/>
      <c r="H422" s="62"/>
      <c r="I422" s="60"/>
      <c r="J422" s="60"/>
      <c r="K422" s="64"/>
      <c r="L422" s="64"/>
      <c r="M422" s="25"/>
      <c r="N422" s="25"/>
    </row>
    <row r="423" spans="1:14">
      <c r="A423" s="3" t="s">
        <v>804</v>
      </c>
      <c r="B423" s="4" t="s">
        <v>805</v>
      </c>
      <c r="C423" s="5">
        <f t="shared" si="20"/>
        <v>0</v>
      </c>
      <c r="D423" s="5"/>
      <c r="E423" s="6">
        <f t="shared" si="18"/>
        <v>0</v>
      </c>
      <c r="F423" s="6">
        <f t="shared" si="19"/>
        <v>0</v>
      </c>
      <c r="G423" s="62"/>
      <c r="H423" s="62"/>
      <c r="I423" s="60"/>
      <c r="J423" s="60"/>
      <c r="K423" s="64"/>
      <c r="L423" s="64"/>
      <c r="M423" s="25"/>
      <c r="N423" s="25"/>
    </row>
    <row r="424" spans="1:14">
      <c r="A424" s="3" t="s">
        <v>806</v>
      </c>
      <c r="B424" s="4" t="s">
        <v>807</v>
      </c>
      <c r="C424" s="5">
        <f t="shared" si="20"/>
        <v>0</v>
      </c>
      <c r="D424" s="5"/>
      <c r="E424" s="6">
        <f t="shared" si="18"/>
        <v>0</v>
      </c>
      <c r="F424" s="6">
        <f t="shared" si="19"/>
        <v>0</v>
      </c>
      <c r="G424" s="62"/>
      <c r="H424" s="62"/>
      <c r="I424" s="60"/>
      <c r="J424" s="60"/>
      <c r="K424" s="64"/>
      <c r="L424" s="64"/>
      <c r="M424" s="25"/>
      <c r="N424" s="25"/>
    </row>
    <row r="425" spans="1:14">
      <c r="A425" s="3" t="s">
        <v>808</v>
      </c>
      <c r="B425" s="4" t="s">
        <v>809</v>
      </c>
      <c r="C425" s="5">
        <f t="shared" si="20"/>
        <v>0</v>
      </c>
      <c r="D425" s="5"/>
      <c r="E425" s="6">
        <f t="shared" si="18"/>
        <v>0</v>
      </c>
      <c r="F425" s="6">
        <f t="shared" si="19"/>
        <v>0</v>
      </c>
      <c r="G425" s="62"/>
      <c r="H425" s="62"/>
      <c r="I425" s="60"/>
      <c r="J425" s="60"/>
      <c r="K425" s="64"/>
      <c r="L425" s="64"/>
      <c r="M425" s="25"/>
      <c r="N425" s="25"/>
    </row>
    <row r="426" spans="1:14">
      <c r="A426" s="3" t="s">
        <v>810</v>
      </c>
      <c r="B426" s="4" t="s">
        <v>811</v>
      </c>
      <c r="C426" s="5">
        <f t="shared" si="20"/>
        <v>0</v>
      </c>
      <c r="D426" s="5"/>
      <c r="E426" s="6">
        <f t="shared" si="18"/>
        <v>0</v>
      </c>
      <c r="F426" s="6">
        <f t="shared" si="19"/>
        <v>0</v>
      </c>
      <c r="G426" s="62"/>
      <c r="H426" s="62"/>
      <c r="I426" s="60"/>
      <c r="J426" s="60"/>
      <c r="K426" s="64"/>
      <c r="L426" s="64"/>
      <c r="M426" s="25"/>
      <c r="N426" s="25"/>
    </row>
    <row r="427" spans="1:14">
      <c r="A427" s="3" t="s">
        <v>812</v>
      </c>
      <c r="B427" s="4" t="s">
        <v>813</v>
      </c>
      <c r="C427" s="5">
        <f t="shared" si="20"/>
        <v>0</v>
      </c>
      <c r="D427" s="5"/>
      <c r="E427" s="6">
        <f t="shared" si="18"/>
        <v>0</v>
      </c>
      <c r="F427" s="6">
        <f t="shared" si="19"/>
        <v>0</v>
      </c>
      <c r="G427" s="62"/>
      <c r="H427" s="62"/>
      <c r="I427" s="60"/>
      <c r="J427" s="60"/>
      <c r="K427" s="64"/>
      <c r="L427" s="64"/>
      <c r="M427" s="25"/>
      <c r="N427" s="25"/>
    </row>
    <row r="428" spans="1:14">
      <c r="A428" s="3" t="s">
        <v>814</v>
      </c>
      <c r="B428" s="4" t="s">
        <v>815</v>
      </c>
      <c r="C428" s="5">
        <f t="shared" si="20"/>
        <v>0</v>
      </c>
      <c r="D428" s="5"/>
      <c r="E428" s="6">
        <f t="shared" si="18"/>
        <v>0</v>
      </c>
      <c r="F428" s="6">
        <f t="shared" si="19"/>
        <v>0</v>
      </c>
      <c r="G428" s="62"/>
      <c r="H428" s="62"/>
      <c r="I428" s="60"/>
      <c r="J428" s="60"/>
      <c r="K428" s="64"/>
      <c r="L428" s="64"/>
      <c r="M428" s="25"/>
      <c r="N428" s="25"/>
    </row>
    <row r="429" spans="1:14">
      <c r="A429" s="3" t="s">
        <v>816</v>
      </c>
      <c r="B429" s="4" t="s">
        <v>817</v>
      </c>
      <c r="C429" s="5">
        <f t="shared" si="20"/>
        <v>0</v>
      </c>
      <c r="D429" s="5"/>
      <c r="E429" s="6">
        <f t="shared" si="18"/>
        <v>0</v>
      </c>
      <c r="F429" s="6">
        <f t="shared" si="19"/>
        <v>0</v>
      </c>
      <c r="G429" s="62"/>
      <c r="H429" s="62"/>
      <c r="I429" s="60"/>
      <c r="J429" s="60"/>
      <c r="K429" s="64"/>
      <c r="L429" s="64"/>
      <c r="M429" s="25"/>
      <c r="N429" s="25"/>
    </row>
    <row r="430" spans="1:14">
      <c r="A430" s="3" t="s">
        <v>818</v>
      </c>
      <c r="B430" s="4" t="s">
        <v>819</v>
      </c>
      <c r="C430" s="5">
        <f t="shared" si="20"/>
        <v>0</v>
      </c>
      <c r="D430" s="5"/>
      <c r="E430" s="6">
        <f t="shared" si="18"/>
        <v>0</v>
      </c>
      <c r="F430" s="6">
        <f t="shared" si="19"/>
        <v>0</v>
      </c>
      <c r="G430" s="62"/>
      <c r="H430" s="62"/>
      <c r="I430" s="60"/>
      <c r="J430" s="60"/>
      <c r="K430" s="64"/>
      <c r="L430" s="64"/>
      <c r="M430" s="25"/>
      <c r="N430" s="25"/>
    </row>
    <row r="431" spans="1:14">
      <c r="A431" s="3" t="s">
        <v>820</v>
      </c>
      <c r="B431" s="4" t="s">
        <v>821</v>
      </c>
      <c r="C431" s="5">
        <f t="shared" si="20"/>
        <v>0</v>
      </c>
      <c r="D431" s="5"/>
      <c r="E431" s="6">
        <f t="shared" si="18"/>
        <v>0</v>
      </c>
      <c r="F431" s="6">
        <f t="shared" si="19"/>
        <v>0</v>
      </c>
      <c r="G431" s="62"/>
      <c r="H431" s="62"/>
      <c r="I431" s="60"/>
      <c r="J431" s="60"/>
      <c r="K431" s="64"/>
      <c r="L431" s="64"/>
      <c r="M431" s="25"/>
      <c r="N431" s="25"/>
    </row>
    <row r="432" spans="1:14">
      <c r="A432" s="3" t="s">
        <v>822</v>
      </c>
      <c r="B432" s="4" t="s">
        <v>823</v>
      </c>
      <c r="C432" s="5">
        <f t="shared" si="20"/>
        <v>0</v>
      </c>
      <c r="D432" s="5"/>
      <c r="E432" s="6">
        <f t="shared" si="18"/>
        <v>0</v>
      </c>
      <c r="F432" s="6">
        <f t="shared" si="19"/>
        <v>0</v>
      </c>
      <c r="G432" s="62"/>
      <c r="H432" s="62"/>
      <c r="I432" s="60"/>
      <c r="J432" s="60"/>
      <c r="K432" s="64"/>
      <c r="L432" s="64"/>
      <c r="M432" s="25"/>
      <c r="N432" s="25"/>
    </row>
    <row r="433" spans="1:14">
      <c r="A433" s="3" t="s">
        <v>824</v>
      </c>
      <c r="B433" s="4" t="s">
        <v>825</v>
      </c>
      <c r="C433" s="5">
        <f t="shared" si="20"/>
        <v>0</v>
      </c>
      <c r="D433" s="5"/>
      <c r="E433" s="6">
        <f t="shared" si="18"/>
        <v>0</v>
      </c>
      <c r="F433" s="6">
        <f t="shared" si="19"/>
        <v>0</v>
      </c>
      <c r="G433" s="62"/>
      <c r="H433" s="62"/>
      <c r="I433" s="60"/>
      <c r="J433" s="60"/>
      <c r="K433" s="64"/>
      <c r="L433" s="64"/>
      <c r="M433" s="25"/>
      <c r="N433" s="25"/>
    </row>
    <row r="434" spans="1:14">
      <c r="A434" s="3" t="s">
        <v>826</v>
      </c>
      <c r="B434" s="4" t="s">
        <v>827</v>
      </c>
      <c r="C434" s="5">
        <f t="shared" si="20"/>
        <v>0</v>
      </c>
      <c r="D434" s="5"/>
      <c r="E434" s="6">
        <f t="shared" si="18"/>
        <v>0</v>
      </c>
      <c r="F434" s="6">
        <f t="shared" si="19"/>
        <v>0</v>
      </c>
      <c r="G434" s="62"/>
      <c r="H434" s="62"/>
      <c r="I434" s="60"/>
      <c r="J434" s="60"/>
      <c r="K434" s="64"/>
      <c r="L434" s="64"/>
      <c r="M434" s="25"/>
      <c r="N434" s="25"/>
    </row>
    <row r="435" spans="1:14">
      <c r="A435" s="3" t="s">
        <v>828</v>
      </c>
      <c r="B435" s="4" t="s">
        <v>829</v>
      </c>
      <c r="C435" s="5">
        <f t="shared" si="20"/>
        <v>0</v>
      </c>
      <c r="D435" s="5"/>
      <c r="E435" s="6">
        <f t="shared" si="18"/>
        <v>0</v>
      </c>
      <c r="F435" s="6">
        <f t="shared" si="19"/>
        <v>0</v>
      </c>
      <c r="G435" s="62"/>
      <c r="H435" s="62"/>
      <c r="I435" s="60"/>
      <c r="J435" s="60"/>
      <c r="K435" s="64"/>
      <c r="L435" s="64"/>
      <c r="M435" s="25"/>
      <c r="N435" s="25"/>
    </row>
    <row r="436" spans="1:14">
      <c r="A436" s="3" t="s">
        <v>830</v>
      </c>
      <c r="B436" s="4" t="s">
        <v>831</v>
      </c>
      <c r="C436" s="5">
        <f t="shared" si="20"/>
        <v>0</v>
      </c>
      <c r="D436" s="5"/>
      <c r="E436" s="6">
        <f t="shared" si="18"/>
        <v>0</v>
      </c>
      <c r="F436" s="6">
        <f t="shared" si="19"/>
        <v>0</v>
      </c>
      <c r="G436" s="62"/>
      <c r="H436" s="62"/>
      <c r="I436" s="60"/>
      <c r="J436" s="60"/>
      <c r="K436" s="64"/>
      <c r="L436" s="64"/>
      <c r="M436" s="25"/>
      <c r="N436" s="25"/>
    </row>
    <row r="437" spans="1:14">
      <c r="A437" s="3" t="s">
        <v>832</v>
      </c>
      <c r="B437" s="4" t="s">
        <v>833</v>
      </c>
      <c r="C437" s="5">
        <f t="shared" si="20"/>
        <v>0</v>
      </c>
      <c r="D437" s="5"/>
      <c r="E437" s="6">
        <f t="shared" si="18"/>
        <v>0</v>
      </c>
      <c r="F437" s="6">
        <f t="shared" si="19"/>
        <v>0</v>
      </c>
      <c r="G437" s="62"/>
      <c r="H437" s="62"/>
      <c r="I437" s="60"/>
      <c r="J437" s="60"/>
      <c r="K437" s="64"/>
      <c r="L437" s="64"/>
      <c r="M437" s="25"/>
      <c r="N437" s="25"/>
    </row>
    <row r="438" spans="1:14">
      <c r="A438" s="3" t="s">
        <v>834</v>
      </c>
      <c r="B438" s="4" t="s">
        <v>835</v>
      </c>
      <c r="C438" s="5">
        <f t="shared" si="20"/>
        <v>0</v>
      </c>
      <c r="D438" s="5"/>
      <c r="E438" s="6">
        <f t="shared" si="18"/>
        <v>0</v>
      </c>
      <c r="F438" s="6">
        <f t="shared" si="19"/>
        <v>0</v>
      </c>
      <c r="G438" s="62"/>
      <c r="H438" s="62"/>
      <c r="I438" s="60"/>
      <c r="J438" s="60"/>
      <c r="K438" s="64"/>
      <c r="L438" s="64"/>
      <c r="M438" s="25"/>
      <c r="N438" s="25"/>
    </row>
    <row r="439" spans="1:14">
      <c r="A439" s="3" t="s">
        <v>836</v>
      </c>
      <c r="B439" s="4" t="s">
        <v>837</v>
      </c>
      <c r="C439" s="5">
        <f t="shared" si="20"/>
        <v>0</v>
      </c>
      <c r="D439" s="5"/>
      <c r="E439" s="6">
        <f t="shared" si="18"/>
        <v>0</v>
      </c>
      <c r="F439" s="6">
        <f t="shared" si="19"/>
        <v>0</v>
      </c>
      <c r="G439" s="62"/>
      <c r="H439" s="62"/>
      <c r="I439" s="60"/>
      <c r="J439" s="60"/>
      <c r="K439" s="64"/>
      <c r="L439" s="64"/>
      <c r="M439" s="25"/>
      <c r="N439" s="25"/>
    </row>
    <row r="440" spans="1:14">
      <c r="A440" s="3" t="s">
        <v>838</v>
      </c>
      <c r="B440" s="4" t="s">
        <v>839</v>
      </c>
      <c r="C440" s="5">
        <f t="shared" si="20"/>
        <v>0</v>
      </c>
      <c r="D440" s="5"/>
      <c r="E440" s="6">
        <f t="shared" si="18"/>
        <v>0</v>
      </c>
      <c r="F440" s="6">
        <f t="shared" si="19"/>
        <v>0</v>
      </c>
      <c r="G440" s="62"/>
      <c r="H440" s="62"/>
      <c r="I440" s="60"/>
      <c r="J440" s="60"/>
      <c r="K440" s="64"/>
      <c r="L440" s="64"/>
      <c r="M440" s="25"/>
      <c r="N440" s="25"/>
    </row>
    <row r="441" spans="1:14">
      <c r="A441" s="3" t="s">
        <v>840</v>
      </c>
      <c r="B441" s="4" t="s">
        <v>841</v>
      </c>
      <c r="C441" s="5">
        <f t="shared" si="20"/>
        <v>0</v>
      </c>
      <c r="D441" s="5"/>
      <c r="E441" s="6">
        <f t="shared" si="18"/>
        <v>0</v>
      </c>
      <c r="F441" s="6">
        <f t="shared" si="19"/>
        <v>0</v>
      </c>
      <c r="G441" s="62"/>
      <c r="H441" s="62"/>
      <c r="I441" s="60"/>
      <c r="J441" s="60"/>
      <c r="K441" s="64"/>
      <c r="L441" s="64"/>
      <c r="M441" s="25"/>
      <c r="N441" s="25"/>
    </row>
    <row r="442" spans="1:14">
      <c r="A442" s="3" t="s">
        <v>842</v>
      </c>
      <c r="B442" s="4" t="s">
        <v>843</v>
      </c>
      <c r="C442" s="5">
        <f t="shared" si="20"/>
        <v>0</v>
      </c>
      <c r="D442" s="5"/>
      <c r="E442" s="6">
        <f t="shared" si="18"/>
        <v>0</v>
      </c>
      <c r="F442" s="6">
        <f t="shared" si="19"/>
        <v>0</v>
      </c>
      <c r="G442" s="62"/>
      <c r="H442" s="62"/>
      <c r="I442" s="60"/>
      <c r="J442" s="60"/>
      <c r="K442" s="64"/>
      <c r="L442" s="64"/>
      <c r="M442" s="25"/>
      <c r="N442" s="25"/>
    </row>
    <row r="443" spans="1:14">
      <c r="A443" s="3" t="s">
        <v>844</v>
      </c>
      <c r="B443" s="4" t="s">
        <v>845</v>
      </c>
      <c r="C443" s="5">
        <f t="shared" si="20"/>
        <v>0</v>
      </c>
      <c r="D443" s="5"/>
      <c r="E443" s="6">
        <f t="shared" si="18"/>
        <v>0</v>
      </c>
      <c r="F443" s="6">
        <f t="shared" si="19"/>
        <v>0</v>
      </c>
      <c r="G443" s="62"/>
      <c r="H443" s="62"/>
      <c r="I443" s="60"/>
      <c r="J443" s="60"/>
      <c r="K443" s="64"/>
      <c r="L443" s="64"/>
      <c r="M443" s="25"/>
      <c r="N443" s="25"/>
    </row>
    <row r="444" spans="1:14">
      <c r="A444" s="3" t="s">
        <v>846</v>
      </c>
      <c r="B444" s="4" t="s">
        <v>847</v>
      </c>
      <c r="C444" s="5">
        <f t="shared" si="20"/>
        <v>0</v>
      </c>
      <c r="D444" s="5"/>
      <c r="E444" s="6">
        <f t="shared" si="18"/>
        <v>0</v>
      </c>
      <c r="F444" s="6">
        <f t="shared" si="19"/>
        <v>0</v>
      </c>
      <c r="G444" s="62"/>
      <c r="H444" s="62"/>
      <c r="I444" s="60"/>
      <c r="J444" s="60"/>
      <c r="K444" s="64"/>
      <c r="L444" s="64"/>
      <c r="M444" s="25"/>
      <c r="N444" s="25"/>
    </row>
    <row r="445" spans="1:14">
      <c r="A445" s="3" t="s">
        <v>848</v>
      </c>
      <c r="B445" s="4" t="s">
        <v>849</v>
      </c>
      <c r="C445" s="5">
        <f t="shared" si="20"/>
        <v>0</v>
      </c>
      <c r="D445" s="5"/>
      <c r="E445" s="6">
        <f t="shared" si="18"/>
        <v>0</v>
      </c>
      <c r="F445" s="6">
        <f t="shared" si="19"/>
        <v>0</v>
      </c>
      <c r="G445" s="62"/>
      <c r="H445" s="62"/>
      <c r="I445" s="60"/>
      <c r="J445" s="60"/>
      <c r="K445" s="64"/>
      <c r="L445" s="64"/>
      <c r="M445" s="25"/>
      <c r="N445" s="25"/>
    </row>
    <row r="446" spans="1:14">
      <c r="A446" s="3" t="s">
        <v>850</v>
      </c>
      <c r="B446" s="4" t="s">
        <v>851</v>
      </c>
      <c r="C446" s="5">
        <f t="shared" si="20"/>
        <v>0</v>
      </c>
      <c r="D446" s="5"/>
      <c r="E446" s="6">
        <f t="shared" si="18"/>
        <v>0</v>
      </c>
      <c r="F446" s="6">
        <f t="shared" si="19"/>
        <v>0</v>
      </c>
      <c r="G446" s="62"/>
      <c r="H446" s="62"/>
      <c r="I446" s="60"/>
      <c r="J446" s="60"/>
      <c r="K446" s="64"/>
      <c r="L446" s="64"/>
      <c r="M446" s="25"/>
      <c r="N446" s="25"/>
    </row>
    <row r="447" spans="1:14">
      <c r="A447" s="3" t="s">
        <v>852</v>
      </c>
      <c r="B447" s="4" t="s">
        <v>853</v>
      </c>
      <c r="C447" s="5">
        <f t="shared" si="20"/>
        <v>0</v>
      </c>
      <c r="D447" s="5"/>
      <c r="E447" s="6">
        <f t="shared" si="18"/>
        <v>0</v>
      </c>
      <c r="F447" s="6">
        <f t="shared" si="19"/>
        <v>0</v>
      </c>
      <c r="G447" s="62"/>
      <c r="H447" s="62"/>
      <c r="I447" s="60"/>
      <c r="J447" s="60"/>
      <c r="K447" s="64"/>
      <c r="L447" s="64"/>
      <c r="M447" s="25"/>
      <c r="N447" s="25"/>
    </row>
    <row r="448" spans="1:14">
      <c r="A448" s="3" t="s">
        <v>854</v>
      </c>
      <c r="B448" s="4">
        <v>954</v>
      </c>
      <c r="C448" s="5">
        <f t="shared" si="20"/>
        <v>0</v>
      </c>
      <c r="D448" s="5"/>
      <c r="E448" s="6">
        <f t="shared" si="18"/>
        <v>0</v>
      </c>
      <c r="F448" s="6">
        <f t="shared" si="19"/>
        <v>0</v>
      </c>
      <c r="G448" s="62"/>
      <c r="H448" s="62"/>
      <c r="I448" s="60"/>
      <c r="J448" s="60"/>
      <c r="K448" s="64"/>
      <c r="L448" s="64"/>
      <c r="M448" s="25"/>
      <c r="N448" s="25"/>
    </row>
    <row r="449" spans="1:14">
      <c r="A449" s="3" t="s">
        <v>855</v>
      </c>
      <c r="B449" s="4">
        <v>955</v>
      </c>
      <c r="C449" s="5">
        <f t="shared" si="20"/>
        <v>0</v>
      </c>
      <c r="D449" s="5"/>
      <c r="E449" s="6">
        <f t="shared" si="18"/>
        <v>0</v>
      </c>
      <c r="F449" s="6">
        <f t="shared" si="19"/>
        <v>0</v>
      </c>
      <c r="G449" s="62"/>
      <c r="H449" s="62"/>
      <c r="I449" s="60"/>
      <c r="J449" s="60"/>
      <c r="K449" s="64"/>
      <c r="L449" s="64"/>
      <c r="M449" s="25"/>
      <c r="N449" s="25"/>
    </row>
    <row r="450" spans="1:14">
      <c r="A450" s="3" t="s">
        <v>856</v>
      </c>
      <c r="B450" s="4" t="s">
        <v>857</v>
      </c>
      <c r="C450" s="5">
        <f t="shared" si="20"/>
        <v>0</v>
      </c>
      <c r="D450" s="5"/>
      <c r="E450" s="6">
        <f t="shared" si="18"/>
        <v>0</v>
      </c>
      <c r="F450" s="6">
        <f t="shared" si="19"/>
        <v>0</v>
      </c>
      <c r="G450" s="62"/>
      <c r="H450" s="62"/>
      <c r="I450" s="60"/>
      <c r="J450" s="60"/>
      <c r="K450" s="64"/>
      <c r="L450" s="64"/>
      <c r="M450" s="25"/>
      <c r="N450" s="25"/>
    </row>
    <row r="451" spans="1:14">
      <c r="A451" s="3" t="s">
        <v>858</v>
      </c>
      <c r="B451" s="4" t="s">
        <v>859</v>
      </c>
      <c r="C451" s="5">
        <f t="shared" si="20"/>
        <v>0</v>
      </c>
      <c r="D451" s="5"/>
      <c r="E451" s="6">
        <f t="shared" si="18"/>
        <v>0</v>
      </c>
      <c r="F451" s="6">
        <f t="shared" si="19"/>
        <v>0</v>
      </c>
      <c r="G451" s="62"/>
      <c r="H451" s="62"/>
      <c r="I451" s="60"/>
      <c r="J451" s="60"/>
      <c r="K451" s="64"/>
      <c r="L451" s="64"/>
      <c r="M451" s="25"/>
      <c r="N451" s="25"/>
    </row>
    <row r="452" spans="1:14">
      <c r="A452" s="3" t="s">
        <v>860</v>
      </c>
      <c r="B452" s="4" t="s">
        <v>861</v>
      </c>
      <c r="C452" s="5">
        <f t="shared" si="20"/>
        <v>0</v>
      </c>
      <c r="D452" s="5"/>
      <c r="E452" s="6">
        <f t="shared" si="18"/>
        <v>0</v>
      </c>
      <c r="F452" s="6">
        <f t="shared" si="19"/>
        <v>0</v>
      </c>
      <c r="G452" s="62"/>
      <c r="H452" s="62"/>
      <c r="I452" s="60"/>
      <c r="J452" s="60"/>
      <c r="K452" s="64"/>
      <c r="L452" s="64"/>
      <c r="M452" s="25"/>
      <c r="N452" s="25"/>
    </row>
    <row r="453" spans="1:14">
      <c r="A453" s="3" t="s">
        <v>862</v>
      </c>
      <c r="B453" s="4" t="s">
        <v>863</v>
      </c>
      <c r="C453" s="5">
        <f t="shared" si="20"/>
        <v>0</v>
      </c>
      <c r="D453" s="5"/>
      <c r="E453" s="6">
        <f t="shared" si="18"/>
        <v>0</v>
      </c>
      <c r="F453" s="6">
        <f t="shared" si="19"/>
        <v>0</v>
      </c>
      <c r="G453" s="62"/>
      <c r="H453" s="62"/>
      <c r="I453" s="60"/>
      <c r="J453" s="60"/>
      <c r="K453" s="64"/>
      <c r="L453" s="64"/>
      <c r="M453" s="25"/>
      <c r="N453" s="25"/>
    </row>
    <row r="454" spans="1:14">
      <c r="A454" s="3" t="s">
        <v>864</v>
      </c>
      <c r="B454" s="4" t="s">
        <v>865</v>
      </c>
      <c r="C454" s="5">
        <f t="shared" si="20"/>
        <v>0</v>
      </c>
      <c r="D454" s="5"/>
      <c r="E454" s="6">
        <f t="shared" si="18"/>
        <v>0</v>
      </c>
      <c r="F454" s="6">
        <f t="shared" si="19"/>
        <v>0</v>
      </c>
      <c r="G454" s="62"/>
      <c r="H454" s="62"/>
      <c r="I454" s="60"/>
      <c r="J454" s="60"/>
      <c r="K454" s="64"/>
      <c r="L454" s="64"/>
      <c r="M454" s="25"/>
      <c r="N454" s="25"/>
    </row>
    <row r="455" spans="1:14">
      <c r="A455" s="3" t="s">
        <v>866</v>
      </c>
      <c r="B455" s="4" t="s">
        <v>867</v>
      </c>
      <c r="C455" s="5">
        <f t="shared" si="20"/>
        <v>0</v>
      </c>
      <c r="D455" s="5"/>
      <c r="E455" s="6">
        <f t="shared" si="18"/>
        <v>0</v>
      </c>
      <c r="F455" s="6">
        <f t="shared" si="19"/>
        <v>0</v>
      </c>
      <c r="G455" s="62"/>
      <c r="H455" s="62"/>
      <c r="I455" s="60"/>
      <c r="J455" s="60"/>
      <c r="K455" s="64"/>
      <c r="L455" s="64"/>
      <c r="M455" s="25"/>
      <c r="N455" s="25"/>
    </row>
    <row r="456" spans="1:14">
      <c r="A456" s="3" t="s">
        <v>868</v>
      </c>
      <c r="B456" s="4" t="s">
        <v>869</v>
      </c>
      <c r="C456" s="5">
        <f t="shared" si="20"/>
        <v>0</v>
      </c>
      <c r="D456" s="5"/>
      <c r="E456" s="6">
        <f t="shared" si="18"/>
        <v>0</v>
      </c>
      <c r="F456" s="6">
        <f t="shared" si="19"/>
        <v>0</v>
      </c>
      <c r="G456" s="62"/>
      <c r="H456" s="62"/>
      <c r="I456" s="60"/>
      <c r="J456" s="60"/>
      <c r="K456" s="64"/>
      <c r="L456" s="64"/>
      <c r="M456" s="25"/>
      <c r="N456" s="25"/>
    </row>
    <row r="457" spans="1:14">
      <c r="A457" s="3" t="s">
        <v>870</v>
      </c>
      <c r="B457" s="4" t="s">
        <v>871</v>
      </c>
      <c r="C457" s="5">
        <f t="shared" si="20"/>
        <v>0</v>
      </c>
      <c r="D457" s="5"/>
      <c r="E457" s="6">
        <f t="shared" si="18"/>
        <v>0</v>
      </c>
      <c r="F457" s="6">
        <f t="shared" si="19"/>
        <v>0</v>
      </c>
      <c r="G457" s="62"/>
      <c r="H457" s="62"/>
      <c r="I457" s="60"/>
      <c r="J457" s="60"/>
      <c r="K457" s="64"/>
      <c r="L457" s="64"/>
      <c r="M457" s="25"/>
      <c r="N457" s="25"/>
    </row>
    <row r="458" spans="1:14">
      <c r="A458" s="3" t="s">
        <v>872</v>
      </c>
      <c r="B458" s="4" t="s">
        <v>873</v>
      </c>
      <c r="C458" s="5">
        <f t="shared" si="20"/>
        <v>0</v>
      </c>
      <c r="D458" s="5"/>
      <c r="E458" s="6">
        <f t="shared" si="18"/>
        <v>0</v>
      </c>
      <c r="F458" s="6">
        <f t="shared" si="19"/>
        <v>0</v>
      </c>
      <c r="G458" s="62"/>
      <c r="H458" s="62"/>
      <c r="I458" s="60"/>
      <c r="J458" s="60"/>
      <c r="K458" s="64"/>
      <c r="L458" s="64"/>
      <c r="M458" s="25"/>
      <c r="N458" s="25"/>
    </row>
    <row r="459" spans="1:14" s="67" customFormat="1" ht="15">
      <c r="A459" s="3" t="s">
        <v>874</v>
      </c>
      <c r="B459" s="4" t="s">
        <v>875</v>
      </c>
      <c r="C459" s="5">
        <f t="shared" si="20"/>
        <v>0</v>
      </c>
      <c r="D459" s="5"/>
      <c r="E459" s="6">
        <f t="shared" si="18"/>
        <v>0</v>
      </c>
      <c r="F459" s="6">
        <f t="shared" si="19"/>
        <v>0</v>
      </c>
      <c r="G459" s="62"/>
      <c r="H459" s="62"/>
      <c r="I459" s="60"/>
      <c r="J459" s="60"/>
      <c r="K459" s="64"/>
      <c r="L459" s="64"/>
      <c r="M459" s="25"/>
      <c r="N459" s="25"/>
    </row>
    <row r="460" spans="1:14">
      <c r="A460" s="3" t="s">
        <v>876</v>
      </c>
      <c r="B460" s="4" t="s">
        <v>877</v>
      </c>
      <c r="C460" s="5">
        <f t="shared" si="20"/>
        <v>0</v>
      </c>
      <c r="D460" s="5"/>
      <c r="E460" s="6">
        <f t="shared" si="18"/>
        <v>0</v>
      </c>
      <c r="F460" s="6">
        <f t="shared" si="19"/>
        <v>0</v>
      </c>
      <c r="G460" s="62"/>
      <c r="H460" s="62"/>
      <c r="I460" s="60"/>
      <c r="J460" s="60"/>
      <c r="K460" s="64"/>
      <c r="L460" s="64"/>
      <c r="M460" s="25"/>
      <c r="N460" s="25"/>
    </row>
    <row r="461" spans="1:14" s="1" customFormat="1">
      <c r="A461" s="3" t="s">
        <v>878</v>
      </c>
      <c r="B461" s="4" t="s">
        <v>879</v>
      </c>
      <c r="C461" s="5">
        <f t="shared" si="20"/>
        <v>0</v>
      </c>
      <c r="D461" s="5"/>
      <c r="E461" s="6">
        <f t="shared" si="18"/>
        <v>0</v>
      </c>
      <c r="F461" s="6">
        <f t="shared" si="19"/>
        <v>0</v>
      </c>
      <c r="G461" s="62"/>
      <c r="H461" s="62"/>
      <c r="I461" s="60"/>
      <c r="J461" s="60"/>
      <c r="K461" s="64"/>
      <c r="L461" s="64"/>
      <c r="M461" s="25"/>
      <c r="N461" s="25"/>
    </row>
    <row r="462" spans="1:14" ht="17.25">
      <c r="A462" s="13" t="s">
        <v>880</v>
      </c>
      <c r="B462" s="14"/>
      <c r="C462" s="15">
        <f>SUM(C13:C461)</f>
        <v>2659279.2599999993</v>
      </c>
      <c r="D462" s="15">
        <f>SUM(D13:D461)</f>
        <v>2659279.2600000007</v>
      </c>
      <c r="E462" s="16">
        <f>SUM(E13:E461)</f>
        <v>21952666.77</v>
      </c>
      <c r="F462" s="16">
        <f>SUM(F13:F461)</f>
        <v>21952666.77</v>
      </c>
      <c r="G462" s="71">
        <f>SUM(G13:G461)</f>
        <v>6666399.8799999999</v>
      </c>
      <c r="H462" s="71">
        <f t="shared" ref="H462:N462" si="21">SUM(H13:H461)</f>
        <v>6666399.8799999999</v>
      </c>
      <c r="I462" s="72">
        <f t="shared" si="21"/>
        <v>969376.35</v>
      </c>
      <c r="J462" s="72">
        <f t="shared" si="21"/>
        <v>969376.35000000009</v>
      </c>
      <c r="K462" s="73">
        <f t="shared" si="21"/>
        <v>13671752.539999999</v>
      </c>
      <c r="L462" s="73">
        <f t="shared" si="21"/>
        <v>13671752.539999999</v>
      </c>
      <c r="M462" s="74">
        <f t="shared" si="21"/>
        <v>645138</v>
      </c>
      <c r="N462" s="74">
        <f t="shared" si="21"/>
        <v>645138</v>
      </c>
    </row>
    <row r="463" spans="1:14" hidden="1">
      <c r="A463" s="17" t="s">
        <v>881</v>
      </c>
      <c r="B463" s="18"/>
    </row>
    <row r="464" spans="1:14" hidden="1">
      <c r="A464" s="20" t="s">
        <v>882</v>
      </c>
      <c r="B464" s="21"/>
    </row>
    <row r="465" spans="1:14" hidden="1">
      <c r="A465" s="20" t="s">
        <v>883</v>
      </c>
      <c r="B465" s="21"/>
    </row>
    <row r="466" spans="1:14" hidden="1">
      <c r="A466" s="22" t="s">
        <v>884</v>
      </c>
      <c r="B466" s="21"/>
    </row>
    <row r="467" spans="1:14" hidden="1">
      <c r="A467" s="22" t="s">
        <v>885</v>
      </c>
      <c r="B467" s="21"/>
    </row>
    <row r="468" spans="1:14" hidden="1">
      <c r="A468" s="20" t="s">
        <v>886</v>
      </c>
      <c r="B468" s="21"/>
    </row>
    <row r="469" spans="1:14" hidden="1">
      <c r="A469" s="20" t="s">
        <v>887</v>
      </c>
      <c r="B469" s="21"/>
    </row>
    <row r="470" spans="1:14" hidden="1">
      <c r="A470" s="20" t="s">
        <v>888</v>
      </c>
      <c r="B470" s="21"/>
    </row>
    <row r="471" spans="1:14" hidden="1">
      <c r="A471" s="22" t="s">
        <v>889</v>
      </c>
      <c r="B471" s="21"/>
    </row>
    <row r="472" spans="1:14" hidden="1">
      <c r="A472" s="22" t="s">
        <v>890</v>
      </c>
      <c r="B472" s="21"/>
    </row>
    <row r="473" spans="1:14" hidden="1">
      <c r="A473" s="20" t="s">
        <v>891</v>
      </c>
      <c r="B473" s="21"/>
    </row>
    <row r="474" spans="1:14" hidden="1">
      <c r="A474" s="20" t="s">
        <v>892</v>
      </c>
      <c r="B474" s="21"/>
    </row>
    <row r="475" spans="1:14">
      <c r="A475" s="23"/>
      <c r="B475" s="24"/>
      <c r="D475" s="19">
        <f>D462-C462</f>
        <v>0</v>
      </c>
      <c r="F475" s="19">
        <f>F462-E462</f>
        <v>0</v>
      </c>
      <c r="H475" s="19">
        <f>H462-G462</f>
        <v>0</v>
      </c>
      <c r="J475" s="19">
        <f>J462-I462</f>
        <v>0</v>
      </c>
      <c r="L475" s="19">
        <f>L462-K462</f>
        <v>0</v>
      </c>
      <c r="N475" s="19">
        <f>N462-M462</f>
        <v>0</v>
      </c>
    </row>
    <row r="476" spans="1:14">
      <c r="A476" s="23"/>
      <c r="B476" s="24"/>
    </row>
    <row r="477" spans="1:14">
      <c r="A477" s="23"/>
      <c r="B477" s="24"/>
    </row>
    <row r="478" spans="1:14">
      <c r="A478" s="23"/>
      <c r="B478" s="75" t="s">
        <v>893</v>
      </c>
    </row>
    <row r="479" spans="1:14">
      <c r="A479" s="23"/>
      <c r="B479" s="24"/>
    </row>
    <row r="480" spans="1:14">
      <c r="A480" s="23"/>
      <c r="B480" s="24"/>
    </row>
    <row r="481" spans="1:2">
      <c r="A481" s="23"/>
      <c r="B481" s="24"/>
    </row>
    <row r="482" spans="1:2">
      <c r="A482" s="23"/>
      <c r="B482" s="24"/>
    </row>
    <row r="483" spans="1:2">
      <c r="A483" s="23"/>
      <c r="B483" s="24"/>
    </row>
  </sheetData>
  <mergeCells count="28">
    <mergeCell ref="M9:N10"/>
    <mergeCell ref="N11:N12"/>
    <mergeCell ref="M11:M12"/>
    <mergeCell ref="E9:F10"/>
    <mergeCell ref="I9:J10"/>
    <mergeCell ref="I11:I12"/>
    <mergeCell ref="J11:J12"/>
    <mergeCell ref="K9:L10"/>
    <mergeCell ref="L11:L12"/>
    <mergeCell ref="K11:K12"/>
    <mergeCell ref="G9:H10"/>
    <mergeCell ref="G11:G12"/>
    <mergeCell ref="H11:H12"/>
    <mergeCell ref="F11:F12"/>
    <mergeCell ref="A11:A12"/>
    <mergeCell ref="B11:B12"/>
    <mergeCell ref="C11:C12"/>
    <mergeCell ref="D11:D12"/>
    <mergeCell ref="E11:E12"/>
    <mergeCell ref="A7:D7"/>
    <mergeCell ref="A8:D8"/>
    <mergeCell ref="C10:D10"/>
    <mergeCell ref="A1:D1"/>
    <mergeCell ref="A2:D2"/>
    <mergeCell ref="A3:D3"/>
    <mergeCell ref="A4:D4"/>
    <mergeCell ref="A5:D5"/>
    <mergeCell ref="A6:D6"/>
  </mergeCells>
  <printOptions horizontalCentered="1"/>
  <pageMargins left="1" right="1" top="1" bottom="1" header="0.5" footer="0.5"/>
  <pageSetup paperSize="149" scale="8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B050"/>
  </sheetPr>
  <dimension ref="A1:N483"/>
  <sheetViews>
    <sheetView workbookViewId="0">
      <selection sqref="A1:D1"/>
    </sheetView>
  </sheetViews>
  <sheetFormatPr defaultRowHeight="14.25"/>
  <cols>
    <col min="1" max="1" width="49.7109375" style="19" customWidth="1"/>
    <col min="2" max="2" width="9.7109375" style="69" customWidth="1"/>
    <col min="3" max="6" width="18.7109375" style="19" customWidth="1"/>
    <col min="7" max="7" width="20" style="19" customWidth="1"/>
    <col min="8" max="8" width="18.7109375" style="19" customWidth="1"/>
    <col min="9" max="9" width="20.28515625" style="19" bestFit="1" customWidth="1"/>
    <col min="10" max="10" width="18.7109375" style="19" customWidth="1"/>
    <col min="11" max="11" width="20" style="19" customWidth="1"/>
    <col min="12" max="12" width="18.7109375" style="19" customWidth="1"/>
    <col min="13" max="13" width="20.28515625" style="19" bestFit="1" customWidth="1"/>
    <col min="14" max="14" width="18.7109375" style="19" customWidth="1"/>
    <col min="15" max="16384" width="9.140625" style="19"/>
  </cols>
  <sheetData>
    <row r="1" spans="1:14">
      <c r="A1" s="238" t="s">
        <v>0</v>
      </c>
      <c r="B1" s="238"/>
      <c r="C1" s="238"/>
      <c r="D1" s="238"/>
    </row>
    <row r="2" spans="1:14">
      <c r="A2" s="238" t="s">
        <v>1</v>
      </c>
      <c r="B2" s="238"/>
      <c r="C2" s="238"/>
      <c r="D2" s="238"/>
    </row>
    <row r="3" spans="1:14">
      <c r="A3" s="238" t="s">
        <v>2</v>
      </c>
      <c r="B3" s="238"/>
      <c r="C3" s="238"/>
      <c r="D3" s="238"/>
    </row>
    <row r="4" spans="1:14">
      <c r="A4" s="238"/>
      <c r="B4" s="238"/>
      <c r="C4" s="238"/>
      <c r="D4" s="238"/>
    </row>
    <row r="5" spans="1:14" ht="15">
      <c r="A5" s="238" t="s">
        <v>3</v>
      </c>
      <c r="B5" s="239"/>
      <c r="C5" s="238"/>
      <c r="D5" s="238"/>
    </row>
    <row r="6" spans="1:14" ht="15">
      <c r="A6" s="238" t="s">
        <v>4</v>
      </c>
      <c r="B6" s="239"/>
      <c r="C6" s="238"/>
      <c r="D6" s="238"/>
    </row>
    <row r="7" spans="1:14">
      <c r="A7" s="238" t="s">
        <v>1007</v>
      </c>
      <c r="B7" s="240"/>
      <c r="C7" s="238"/>
      <c r="D7" s="238"/>
    </row>
    <row r="8" spans="1:14">
      <c r="A8" s="238"/>
      <c r="B8" s="240"/>
      <c r="C8" s="238"/>
      <c r="D8" s="238"/>
    </row>
    <row r="9" spans="1:14" s="67" customFormat="1" ht="15">
      <c r="A9" s="66"/>
      <c r="B9" s="66"/>
      <c r="E9" s="250" t="str">
        <f>A7</f>
        <v>As of June 30, 2011</v>
      </c>
      <c r="F9" s="251"/>
      <c r="G9" s="261" t="s">
        <v>10</v>
      </c>
      <c r="H9" s="262"/>
      <c r="I9" s="254" t="s">
        <v>1009</v>
      </c>
      <c r="J9" s="255"/>
      <c r="K9" s="265" t="s">
        <v>1010</v>
      </c>
      <c r="L9" s="265"/>
      <c r="M9" s="267" t="s">
        <v>11</v>
      </c>
      <c r="N9" s="267"/>
    </row>
    <row r="10" spans="1:14" ht="14.25" customHeight="1">
      <c r="A10" s="68"/>
      <c r="C10" s="241"/>
      <c r="D10" s="242"/>
      <c r="E10" s="252"/>
      <c r="F10" s="253"/>
      <c r="G10" s="263"/>
      <c r="H10" s="264"/>
      <c r="I10" s="256"/>
      <c r="J10" s="257"/>
      <c r="K10" s="265"/>
      <c r="L10" s="265"/>
      <c r="M10" s="267"/>
      <c r="N10" s="267"/>
    </row>
    <row r="11" spans="1:14" ht="15" customHeight="1">
      <c r="A11" s="243" t="s">
        <v>6</v>
      </c>
      <c r="B11" s="245" t="s">
        <v>7</v>
      </c>
      <c r="C11" s="243" t="s">
        <v>8</v>
      </c>
      <c r="D11" s="243" t="s">
        <v>9</v>
      </c>
      <c r="E11" s="247" t="s">
        <v>8</v>
      </c>
      <c r="F11" s="259" t="s">
        <v>9</v>
      </c>
      <c r="G11" s="249" t="s">
        <v>8</v>
      </c>
      <c r="H11" s="249" t="s">
        <v>9</v>
      </c>
      <c r="I11" s="258" t="s">
        <v>8</v>
      </c>
      <c r="J11" s="258" t="s">
        <v>9</v>
      </c>
      <c r="K11" s="266" t="s">
        <v>8</v>
      </c>
      <c r="L11" s="266" t="s">
        <v>9</v>
      </c>
      <c r="M11" s="268" t="s">
        <v>8</v>
      </c>
      <c r="N11" s="268" t="s">
        <v>9</v>
      </c>
    </row>
    <row r="12" spans="1:14">
      <c r="A12" s="244"/>
      <c r="B12" s="246"/>
      <c r="C12" s="244"/>
      <c r="D12" s="244"/>
      <c r="E12" s="248"/>
      <c r="F12" s="260"/>
      <c r="G12" s="249"/>
      <c r="H12" s="249"/>
      <c r="I12" s="258"/>
      <c r="J12" s="258"/>
      <c r="K12" s="266"/>
      <c r="L12" s="266"/>
      <c r="M12" s="268"/>
      <c r="N12" s="268"/>
    </row>
    <row r="13" spans="1:14">
      <c r="A13" s="3" t="s">
        <v>12</v>
      </c>
      <c r="B13" s="4">
        <v>101</v>
      </c>
      <c r="C13" s="5">
        <f>E13-F13</f>
        <v>0</v>
      </c>
      <c r="D13" s="5"/>
      <c r="E13" s="6">
        <f>SUM(G13,I13,K13,M13)</f>
        <v>7178151.870000001</v>
      </c>
      <c r="F13" s="6">
        <f>SUM(H13,J13,L13,N13)</f>
        <v>7178151.870000001</v>
      </c>
      <c r="G13" s="62"/>
      <c r="H13" s="62"/>
      <c r="I13" s="60"/>
      <c r="J13" s="60"/>
      <c r="K13" s="64">
        <v>7178151.870000001</v>
      </c>
      <c r="L13" s="64">
        <v>7178151.870000001</v>
      </c>
      <c r="M13" s="25"/>
      <c r="N13" s="25"/>
    </row>
    <row r="14" spans="1:14">
      <c r="A14" s="3" t="s">
        <v>13</v>
      </c>
      <c r="B14" s="4" t="s">
        <v>14</v>
      </c>
      <c r="C14" s="5">
        <f>E14-F14</f>
        <v>0</v>
      </c>
      <c r="D14" s="5"/>
      <c r="E14" s="6">
        <f t="shared" ref="E14:E77" si="0">SUM(G14,I14,K14,M14)</f>
        <v>0</v>
      </c>
      <c r="F14" s="6">
        <f t="shared" ref="F14:F77" si="1">SUM(H14,J14,L14,N14)</f>
        <v>0</v>
      </c>
      <c r="G14" s="62"/>
      <c r="H14" s="62"/>
      <c r="I14" s="60"/>
      <c r="J14" s="60"/>
      <c r="K14" s="64"/>
      <c r="L14" s="64"/>
      <c r="M14" s="25"/>
      <c r="N14" s="25"/>
    </row>
    <row r="15" spans="1:14">
      <c r="A15" s="3" t="s">
        <v>15</v>
      </c>
      <c r="B15" s="4" t="s">
        <v>16</v>
      </c>
      <c r="C15" s="5">
        <f>E15-F15</f>
        <v>0</v>
      </c>
      <c r="D15" s="5"/>
      <c r="E15" s="6">
        <f t="shared" si="0"/>
        <v>0</v>
      </c>
      <c r="F15" s="6">
        <f t="shared" si="1"/>
        <v>0</v>
      </c>
      <c r="G15" s="63"/>
      <c r="H15" s="63"/>
      <c r="I15" s="61"/>
      <c r="J15" s="61"/>
      <c r="K15" s="65"/>
      <c r="L15" s="65"/>
      <c r="M15" s="26"/>
      <c r="N15" s="26"/>
    </row>
    <row r="16" spans="1:14">
      <c r="A16" s="3" t="s">
        <v>17</v>
      </c>
      <c r="B16" s="4" t="s">
        <v>18</v>
      </c>
      <c r="C16" s="5">
        <f>E16-F16</f>
        <v>0</v>
      </c>
      <c r="D16" s="5"/>
      <c r="E16" s="6">
        <f t="shared" si="0"/>
        <v>0</v>
      </c>
      <c r="F16" s="6">
        <f t="shared" si="1"/>
        <v>0</v>
      </c>
      <c r="G16" s="62"/>
      <c r="H16" s="62"/>
      <c r="I16" s="60"/>
      <c r="J16" s="60"/>
      <c r="K16" s="64"/>
      <c r="L16" s="64"/>
      <c r="M16" s="25"/>
      <c r="N16" s="25"/>
    </row>
    <row r="17" spans="1:14">
      <c r="A17" s="3" t="s">
        <v>19</v>
      </c>
      <c r="B17" s="4" t="s">
        <v>20</v>
      </c>
      <c r="C17" s="7">
        <f>E17-F17</f>
        <v>0</v>
      </c>
      <c r="D17" s="7"/>
      <c r="E17" s="6">
        <f t="shared" si="0"/>
        <v>729606.4</v>
      </c>
      <c r="F17" s="6">
        <f t="shared" si="1"/>
        <v>729606.4</v>
      </c>
      <c r="G17" s="62">
        <v>729606.4</v>
      </c>
      <c r="H17" s="62"/>
      <c r="I17" s="60"/>
      <c r="J17" s="60">
        <v>729606.4</v>
      </c>
      <c r="K17" s="64"/>
      <c r="L17" s="64"/>
      <c r="M17" s="25"/>
      <c r="N17" s="25"/>
    </row>
    <row r="18" spans="1:14">
      <c r="A18" s="3" t="s">
        <v>21</v>
      </c>
      <c r="B18" s="4">
        <v>110</v>
      </c>
      <c r="C18" s="7">
        <f t="shared" ref="C18:C80" si="2">E18-F18</f>
        <v>0</v>
      </c>
      <c r="D18" s="7"/>
      <c r="E18" s="6">
        <f t="shared" si="0"/>
        <v>0</v>
      </c>
      <c r="F18" s="6">
        <f t="shared" si="1"/>
        <v>0</v>
      </c>
      <c r="G18" s="62"/>
      <c r="H18" s="62"/>
      <c r="I18" s="60"/>
      <c r="J18" s="60"/>
      <c r="K18" s="64"/>
      <c r="L18" s="64"/>
      <c r="M18" s="25"/>
      <c r="N18" s="25"/>
    </row>
    <row r="19" spans="1:14">
      <c r="A19" s="8" t="s">
        <v>22</v>
      </c>
      <c r="B19" s="4">
        <v>111</v>
      </c>
      <c r="C19" s="7">
        <f t="shared" si="2"/>
        <v>460357.20000000112</v>
      </c>
      <c r="D19" s="7"/>
      <c r="E19" s="6">
        <f t="shared" si="0"/>
        <v>9117059.2300000004</v>
      </c>
      <c r="F19" s="6">
        <f t="shared" si="1"/>
        <v>8656702.0299999993</v>
      </c>
      <c r="G19" s="62"/>
      <c r="H19" s="62">
        <v>8653202.0299999993</v>
      </c>
      <c r="I19" s="60"/>
      <c r="J19" s="60"/>
      <c r="K19" s="64">
        <v>7178151.8799999999</v>
      </c>
      <c r="L19" s="64"/>
      <c r="M19" s="25">
        <v>1938907.35</v>
      </c>
      <c r="N19" s="25">
        <v>3500</v>
      </c>
    </row>
    <row r="20" spans="1:14">
      <c r="A20" s="8" t="s">
        <v>23</v>
      </c>
      <c r="B20" s="4">
        <v>112</v>
      </c>
      <c r="C20" s="7">
        <f t="shared" si="2"/>
        <v>0</v>
      </c>
      <c r="D20" s="7"/>
      <c r="E20" s="6">
        <f t="shared" si="0"/>
        <v>0</v>
      </c>
      <c r="F20" s="6">
        <f t="shared" si="1"/>
        <v>0</v>
      </c>
      <c r="G20" s="62"/>
      <c r="H20" s="62"/>
      <c r="I20" s="60"/>
      <c r="J20" s="60"/>
      <c r="K20" s="64"/>
      <c r="L20" s="64"/>
      <c r="M20" s="25"/>
      <c r="N20" s="25"/>
    </row>
    <row r="21" spans="1:14">
      <c r="A21" s="3" t="s">
        <v>24</v>
      </c>
      <c r="B21" s="4">
        <v>113</v>
      </c>
      <c r="C21" s="7">
        <f t="shared" si="2"/>
        <v>0</v>
      </c>
      <c r="D21" s="7"/>
      <c r="E21" s="6">
        <f t="shared" si="0"/>
        <v>0</v>
      </c>
      <c r="F21" s="6">
        <f t="shared" si="1"/>
        <v>0</v>
      </c>
      <c r="G21" s="62"/>
      <c r="H21" s="62"/>
      <c r="I21" s="60"/>
      <c r="J21" s="60"/>
      <c r="K21" s="64"/>
      <c r="L21" s="64"/>
      <c r="M21" s="25"/>
      <c r="N21" s="25"/>
    </row>
    <row r="22" spans="1:14">
      <c r="A22" s="3" t="s">
        <v>21</v>
      </c>
      <c r="B22" s="4">
        <v>114</v>
      </c>
      <c r="C22" s="7">
        <f t="shared" si="2"/>
        <v>0</v>
      </c>
      <c r="D22" s="7"/>
      <c r="E22" s="6">
        <f t="shared" si="0"/>
        <v>0</v>
      </c>
      <c r="F22" s="6">
        <f t="shared" si="1"/>
        <v>0</v>
      </c>
      <c r="G22" s="62"/>
      <c r="H22" s="62"/>
      <c r="I22" s="60"/>
      <c r="J22" s="60"/>
      <c r="K22" s="64"/>
      <c r="L22" s="64"/>
      <c r="M22" s="25"/>
      <c r="N22" s="25"/>
    </row>
    <row r="23" spans="1:14">
      <c r="A23" s="3" t="s">
        <v>25</v>
      </c>
      <c r="B23" s="4">
        <v>115</v>
      </c>
      <c r="C23" s="7">
        <f t="shared" si="2"/>
        <v>0</v>
      </c>
      <c r="D23" s="7"/>
      <c r="E23" s="6">
        <f t="shared" si="0"/>
        <v>0</v>
      </c>
      <c r="F23" s="6">
        <f t="shared" si="1"/>
        <v>0</v>
      </c>
      <c r="G23" s="62"/>
      <c r="H23" s="62"/>
      <c r="I23" s="60"/>
      <c r="J23" s="60"/>
      <c r="K23" s="64"/>
      <c r="L23" s="64"/>
      <c r="M23" s="25"/>
      <c r="N23" s="25"/>
    </row>
    <row r="24" spans="1:14">
      <c r="A24" s="3" t="s">
        <v>26</v>
      </c>
      <c r="B24" s="4" t="s">
        <v>27</v>
      </c>
      <c r="C24" s="7">
        <f t="shared" si="2"/>
        <v>0</v>
      </c>
      <c r="D24" s="7"/>
      <c r="E24" s="6">
        <f t="shared" si="0"/>
        <v>0</v>
      </c>
      <c r="F24" s="6">
        <f t="shared" si="1"/>
        <v>0</v>
      </c>
      <c r="G24" s="62"/>
      <c r="H24" s="62"/>
      <c r="I24" s="60"/>
      <c r="J24" s="60"/>
      <c r="K24" s="64"/>
      <c r="L24" s="64"/>
      <c r="M24" s="25"/>
      <c r="N24" s="25"/>
    </row>
    <row r="25" spans="1:14">
      <c r="A25" s="3" t="s">
        <v>28</v>
      </c>
      <c r="B25" s="4" t="s">
        <v>29</v>
      </c>
      <c r="C25" s="7">
        <f t="shared" si="2"/>
        <v>0</v>
      </c>
      <c r="D25" s="7"/>
      <c r="E25" s="6">
        <f t="shared" si="0"/>
        <v>0</v>
      </c>
      <c r="F25" s="6">
        <f t="shared" si="1"/>
        <v>0</v>
      </c>
      <c r="G25" s="62"/>
      <c r="H25" s="62"/>
      <c r="I25" s="60"/>
      <c r="J25" s="60"/>
      <c r="K25" s="64"/>
      <c r="L25" s="64"/>
      <c r="M25" s="25"/>
      <c r="N25" s="25"/>
    </row>
    <row r="26" spans="1:14">
      <c r="A26" s="3" t="s">
        <v>30</v>
      </c>
      <c r="B26" s="4" t="s">
        <v>31</v>
      </c>
      <c r="C26" s="7">
        <f t="shared" si="2"/>
        <v>0</v>
      </c>
      <c r="D26" s="7"/>
      <c r="E26" s="6">
        <f t="shared" si="0"/>
        <v>0</v>
      </c>
      <c r="F26" s="6">
        <f t="shared" si="1"/>
        <v>0</v>
      </c>
      <c r="G26" s="62"/>
      <c r="H26" s="62"/>
      <c r="I26" s="60"/>
      <c r="J26" s="60"/>
      <c r="K26" s="64"/>
      <c r="L26" s="64"/>
      <c r="M26" s="25"/>
      <c r="N26" s="25"/>
    </row>
    <row r="27" spans="1:14">
      <c r="A27" s="3" t="s">
        <v>32</v>
      </c>
      <c r="B27" s="4" t="s">
        <v>33</v>
      </c>
      <c r="C27" s="7">
        <f t="shared" si="2"/>
        <v>0</v>
      </c>
      <c r="D27" s="7"/>
      <c r="E27" s="6">
        <f t="shared" si="0"/>
        <v>0</v>
      </c>
      <c r="F27" s="6">
        <f t="shared" si="1"/>
        <v>0</v>
      </c>
      <c r="G27" s="62"/>
      <c r="H27" s="62"/>
      <c r="I27" s="60"/>
      <c r="J27" s="60"/>
      <c r="K27" s="64"/>
      <c r="L27" s="64"/>
      <c r="M27" s="25"/>
      <c r="N27" s="25"/>
    </row>
    <row r="28" spans="1:14">
      <c r="A28" s="3" t="s">
        <v>34</v>
      </c>
      <c r="B28" s="4" t="s">
        <v>35</v>
      </c>
      <c r="C28" s="7">
        <f t="shared" si="2"/>
        <v>0</v>
      </c>
      <c r="D28" s="7"/>
      <c r="E28" s="6">
        <f t="shared" si="0"/>
        <v>0</v>
      </c>
      <c r="F28" s="6">
        <f t="shared" si="1"/>
        <v>0</v>
      </c>
      <c r="G28" s="62"/>
      <c r="H28" s="62"/>
      <c r="I28" s="60"/>
      <c r="J28" s="60"/>
      <c r="K28" s="64"/>
      <c r="L28" s="64"/>
      <c r="M28" s="25"/>
      <c r="N28" s="25"/>
    </row>
    <row r="29" spans="1:14">
      <c r="A29" s="3" t="s">
        <v>36</v>
      </c>
      <c r="B29" s="4" t="s">
        <v>37</v>
      </c>
      <c r="C29" s="7">
        <f t="shared" si="2"/>
        <v>0</v>
      </c>
      <c r="D29" s="7"/>
      <c r="E29" s="6">
        <f t="shared" si="0"/>
        <v>0</v>
      </c>
      <c r="F29" s="6">
        <f t="shared" si="1"/>
        <v>0</v>
      </c>
      <c r="G29" s="62"/>
      <c r="H29" s="62"/>
      <c r="I29" s="60"/>
      <c r="J29" s="60"/>
      <c r="K29" s="64"/>
      <c r="L29" s="64"/>
      <c r="M29" s="25"/>
      <c r="N29" s="25"/>
    </row>
    <row r="30" spans="1:14">
      <c r="A30" s="3" t="s">
        <v>38</v>
      </c>
      <c r="B30" s="4" t="s">
        <v>39</v>
      </c>
      <c r="C30" s="7">
        <f t="shared" si="2"/>
        <v>0</v>
      </c>
      <c r="D30" s="7"/>
      <c r="E30" s="6">
        <f t="shared" si="0"/>
        <v>0</v>
      </c>
      <c r="F30" s="6">
        <f t="shared" si="1"/>
        <v>0</v>
      </c>
      <c r="G30" s="62"/>
      <c r="H30" s="62"/>
      <c r="I30" s="60"/>
      <c r="J30" s="60"/>
      <c r="K30" s="64"/>
      <c r="L30" s="64"/>
      <c r="M30" s="25"/>
      <c r="N30" s="25"/>
    </row>
    <row r="31" spans="1:14">
      <c r="A31" s="3" t="s">
        <v>40</v>
      </c>
      <c r="B31" s="4" t="s">
        <v>41</v>
      </c>
      <c r="C31" s="7">
        <f t="shared" si="2"/>
        <v>0</v>
      </c>
      <c r="D31" s="7"/>
      <c r="E31" s="6">
        <f t="shared" si="0"/>
        <v>0</v>
      </c>
      <c r="F31" s="6">
        <f t="shared" si="1"/>
        <v>0</v>
      </c>
      <c r="G31" s="62"/>
      <c r="H31" s="62"/>
      <c r="I31" s="60"/>
      <c r="J31" s="60"/>
      <c r="K31" s="64"/>
      <c r="L31" s="64"/>
      <c r="M31" s="25"/>
      <c r="N31" s="25"/>
    </row>
    <row r="32" spans="1:14">
      <c r="A32" s="3" t="s">
        <v>42</v>
      </c>
      <c r="B32" s="4" t="s">
        <v>43</v>
      </c>
      <c r="C32" s="7">
        <f t="shared" si="2"/>
        <v>0</v>
      </c>
      <c r="D32" s="7"/>
      <c r="E32" s="6">
        <f t="shared" si="0"/>
        <v>0</v>
      </c>
      <c r="F32" s="6">
        <f t="shared" si="1"/>
        <v>0</v>
      </c>
      <c r="G32" s="62"/>
      <c r="H32" s="62"/>
      <c r="I32" s="60"/>
      <c r="J32" s="60"/>
      <c r="K32" s="64"/>
      <c r="L32" s="64"/>
      <c r="M32" s="25"/>
      <c r="N32" s="25"/>
    </row>
    <row r="33" spans="1:14">
      <c r="A33" s="3" t="s">
        <v>44</v>
      </c>
      <c r="B33" s="4" t="s">
        <v>45</v>
      </c>
      <c r="C33" s="7">
        <f t="shared" si="2"/>
        <v>0</v>
      </c>
      <c r="D33" s="7"/>
      <c r="E33" s="6">
        <f t="shared" si="0"/>
        <v>0</v>
      </c>
      <c r="F33" s="6">
        <f t="shared" si="1"/>
        <v>0</v>
      </c>
      <c r="G33" s="62"/>
      <c r="H33" s="62"/>
      <c r="I33" s="60"/>
      <c r="J33" s="60"/>
      <c r="K33" s="64"/>
      <c r="L33" s="64"/>
      <c r="M33" s="25"/>
      <c r="N33" s="25"/>
    </row>
    <row r="34" spans="1:14">
      <c r="A34" s="3" t="s">
        <v>46</v>
      </c>
      <c r="B34" s="4" t="s">
        <v>47</v>
      </c>
      <c r="C34" s="7">
        <f t="shared" si="2"/>
        <v>0</v>
      </c>
      <c r="D34" s="7"/>
      <c r="E34" s="6">
        <f t="shared" si="0"/>
        <v>0</v>
      </c>
      <c r="F34" s="6">
        <f t="shared" si="1"/>
        <v>0</v>
      </c>
      <c r="G34" s="62"/>
      <c r="H34" s="62"/>
      <c r="I34" s="60"/>
      <c r="J34" s="60"/>
      <c r="K34" s="64"/>
      <c r="L34" s="64"/>
      <c r="M34" s="25"/>
      <c r="N34" s="25"/>
    </row>
    <row r="35" spans="1:14">
      <c r="A35" s="3" t="s">
        <v>48</v>
      </c>
      <c r="B35" s="4" t="s">
        <v>49</v>
      </c>
      <c r="C35" s="7">
        <f t="shared" si="2"/>
        <v>0</v>
      </c>
      <c r="D35" s="7"/>
      <c r="E35" s="6">
        <f t="shared" si="0"/>
        <v>0</v>
      </c>
      <c r="F35" s="6">
        <f t="shared" si="1"/>
        <v>0</v>
      </c>
      <c r="G35" s="62"/>
      <c r="H35" s="62"/>
      <c r="I35" s="60"/>
      <c r="J35" s="60"/>
      <c r="K35" s="64"/>
      <c r="L35" s="64"/>
      <c r="M35" s="25"/>
      <c r="N35" s="25"/>
    </row>
    <row r="36" spans="1:14">
      <c r="A36" s="3" t="s">
        <v>50</v>
      </c>
      <c r="B36" s="4" t="s">
        <v>51</v>
      </c>
      <c r="C36" s="7">
        <f t="shared" si="2"/>
        <v>0</v>
      </c>
      <c r="D36" s="7"/>
      <c r="E36" s="6">
        <f t="shared" si="0"/>
        <v>0</v>
      </c>
      <c r="F36" s="6">
        <f t="shared" si="1"/>
        <v>0</v>
      </c>
      <c r="G36" s="62"/>
      <c r="H36" s="62"/>
      <c r="I36" s="60"/>
      <c r="J36" s="60"/>
      <c r="K36" s="64"/>
      <c r="L36" s="64"/>
      <c r="M36" s="25"/>
      <c r="N36" s="25"/>
    </row>
    <row r="37" spans="1:14">
      <c r="A37" s="3" t="s">
        <v>52</v>
      </c>
      <c r="B37" s="4" t="s">
        <v>53</v>
      </c>
      <c r="C37" s="7">
        <f t="shared" si="2"/>
        <v>0</v>
      </c>
      <c r="D37" s="7"/>
      <c r="E37" s="6">
        <f t="shared" si="0"/>
        <v>0</v>
      </c>
      <c r="F37" s="6">
        <f t="shared" si="1"/>
        <v>0</v>
      </c>
      <c r="G37" s="62"/>
      <c r="H37" s="62"/>
      <c r="I37" s="60"/>
      <c r="J37" s="60"/>
      <c r="K37" s="64"/>
      <c r="L37" s="64"/>
      <c r="M37" s="25"/>
      <c r="N37" s="25"/>
    </row>
    <row r="38" spans="1:14">
      <c r="A38" s="3" t="s">
        <v>54</v>
      </c>
      <c r="B38" s="9">
        <v>138</v>
      </c>
      <c r="C38" s="7">
        <f t="shared" si="2"/>
        <v>0</v>
      </c>
      <c r="D38" s="7"/>
      <c r="E38" s="6">
        <f t="shared" si="0"/>
        <v>0</v>
      </c>
      <c r="F38" s="6">
        <f t="shared" si="1"/>
        <v>0</v>
      </c>
      <c r="G38" s="62"/>
      <c r="H38" s="62"/>
      <c r="I38" s="60"/>
      <c r="J38" s="60"/>
      <c r="K38" s="64"/>
      <c r="L38" s="64"/>
      <c r="M38" s="25"/>
      <c r="N38" s="25"/>
    </row>
    <row r="39" spans="1:14">
      <c r="A39" s="3" t="s">
        <v>55</v>
      </c>
      <c r="B39" s="4" t="s">
        <v>56</v>
      </c>
      <c r="C39" s="7">
        <f t="shared" si="2"/>
        <v>0</v>
      </c>
      <c r="D39" s="7"/>
      <c r="E39" s="6">
        <f t="shared" si="0"/>
        <v>0</v>
      </c>
      <c r="F39" s="6">
        <f t="shared" si="1"/>
        <v>0</v>
      </c>
      <c r="G39" s="62"/>
      <c r="H39" s="62"/>
      <c r="I39" s="60"/>
      <c r="J39" s="60"/>
      <c r="K39" s="64"/>
      <c r="L39" s="64"/>
      <c r="M39" s="25"/>
      <c r="N39" s="25"/>
    </row>
    <row r="40" spans="1:14">
      <c r="A40" s="3" t="s">
        <v>57</v>
      </c>
      <c r="B40" s="9">
        <v>144</v>
      </c>
      <c r="C40" s="7">
        <f t="shared" si="2"/>
        <v>0</v>
      </c>
      <c r="D40" s="7"/>
      <c r="E40" s="6">
        <f t="shared" si="0"/>
        <v>0</v>
      </c>
      <c r="F40" s="6">
        <f t="shared" si="1"/>
        <v>0</v>
      </c>
      <c r="G40" s="62"/>
      <c r="H40" s="62"/>
      <c r="I40" s="60"/>
      <c r="J40" s="60"/>
      <c r="K40" s="64"/>
      <c r="L40" s="64"/>
      <c r="M40" s="25"/>
      <c r="N40" s="25"/>
    </row>
    <row r="41" spans="1:14">
      <c r="A41" s="3" t="s">
        <v>58</v>
      </c>
      <c r="B41" s="4" t="s">
        <v>59</v>
      </c>
      <c r="C41" s="7">
        <f t="shared" si="2"/>
        <v>0</v>
      </c>
      <c r="D41" s="7"/>
      <c r="E41" s="6">
        <f t="shared" si="0"/>
        <v>0</v>
      </c>
      <c r="F41" s="6">
        <f t="shared" si="1"/>
        <v>0</v>
      </c>
      <c r="G41" s="62"/>
      <c r="H41" s="62"/>
      <c r="I41" s="60"/>
      <c r="J41" s="60"/>
      <c r="K41" s="64"/>
      <c r="L41" s="64"/>
      <c r="M41" s="25"/>
      <c r="N41" s="25"/>
    </row>
    <row r="42" spans="1:14">
      <c r="A42" s="3" t="s">
        <v>60</v>
      </c>
      <c r="B42" s="4" t="s">
        <v>61</v>
      </c>
      <c r="C42" s="7">
        <f t="shared" si="2"/>
        <v>28411</v>
      </c>
      <c r="D42" s="7"/>
      <c r="E42" s="6">
        <f t="shared" si="0"/>
        <v>194920</v>
      </c>
      <c r="F42" s="6">
        <f t="shared" si="1"/>
        <v>166509</v>
      </c>
      <c r="G42" s="62">
        <v>194920</v>
      </c>
      <c r="H42" s="62"/>
      <c r="I42" s="60"/>
      <c r="J42" s="60"/>
      <c r="K42" s="64"/>
      <c r="L42" s="64">
        <v>16</v>
      </c>
      <c r="M42" s="25"/>
      <c r="N42" s="25">
        <v>166493</v>
      </c>
    </row>
    <row r="43" spans="1:14">
      <c r="A43" s="3" t="s">
        <v>62</v>
      </c>
      <c r="B43" s="4" t="s">
        <v>63</v>
      </c>
      <c r="C43" s="7">
        <f t="shared" si="2"/>
        <v>30000</v>
      </c>
      <c r="D43" s="7"/>
      <c r="E43" s="6">
        <f t="shared" si="0"/>
        <v>30000</v>
      </c>
      <c r="F43" s="6">
        <f t="shared" si="1"/>
        <v>0</v>
      </c>
      <c r="G43" s="62">
        <v>30000</v>
      </c>
      <c r="H43" s="62"/>
      <c r="I43" s="60"/>
      <c r="J43" s="60"/>
      <c r="K43" s="64"/>
      <c r="L43" s="64"/>
      <c r="M43" s="25"/>
      <c r="N43" s="25"/>
    </row>
    <row r="44" spans="1:14">
      <c r="A44" s="3" t="s">
        <v>64</v>
      </c>
      <c r="B44" s="4" t="s">
        <v>65</v>
      </c>
      <c r="C44" s="7">
        <f t="shared" si="2"/>
        <v>0</v>
      </c>
      <c r="D44" s="7"/>
      <c r="E44" s="6">
        <f t="shared" si="0"/>
        <v>0</v>
      </c>
      <c r="F44" s="6">
        <f t="shared" si="1"/>
        <v>0</v>
      </c>
      <c r="G44" s="62"/>
      <c r="H44" s="62"/>
      <c r="I44" s="60"/>
      <c r="J44" s="60"/>
      <c r="K44" s="64"/>
      <c r="L44" s="64"/>
      <c r="M44" s="25"/>
      <c r="N44" s="25"/>
    </row>
    <row r="45" spans="1:14">
      <c r="A45" s="3" t="s">
        <v>66</v>
      </c>
      <c r="B45" s="4" t="s">
        <v>67</v>
      </c>
      <c r="C45" s="7">
        <f t="shared" si="2"/>
        <v>0</v>
      </c>
      <c r="D45" s="7"/>
      <c r="E45" s="6">
        <f t="shared" si="0"/>
        <v>0</v>
      </c>
      <c r="F45" s="6">
        <f t="shared" si="1"/>
        <v>0</v>
      </c>
      <c r="G45" s="62"/>
      <c r="H45" s="62"/>
      <c r="I45" s="60"/>
      <c r="J45" s="60"/>
      <c r="K45" s="64"/>
      <c r="L45" s="64"/>
      <c r="M45" s="25"/>
      <c r="N45" s="25"/>
    </row>
    <row r="46" spans="1:14">
      <c r="A46" s="3" t="s">
        <v>68</v>
      </c>
      <c r="B46" s="4" t="s">
        <v>69</v>
      </c>
      <c r="C46" s="7">
        <f t="shared" si="2"/>
        <v>0</v>
      </c>
      <c r="D46" s="7"/>
      <c r="E46" s="6">
        <f t="shared" si="0"/>
        <v>0</v>
      </c>
      <c r="F46" s="6">
        <f t="shared" si="1"/>
        <v>0</v>
      </c>
      <c r="G46" s="62"/>
      <c r="H46" s="62"/>
      <c r="I46" s="60"/>
      <c r="J46" s="60"/>
      <c r="K46" s="64"/>
      <c r="L46" s="64"/>
      <c r="M46" s="25"/>
      <c r="N46" s="25"/>
    </row>
    <row r="47" spans="1:14">
      <c r="A47" s="3" t="s">
        <v>70</v>
      </c>
      <c r="B47" s="4" t="s">
        <v>71</v>
      </c>
      <c r="C47" s="7">
        <f t="shared" si="2"/>
        <v>0</v>
      </c>
      <c r="D47" s="7"/>
      <c r="E47" s="6">
        <f t="shared" si="0"/>
        <v>0</v>
      </c>
      <c r="F47" s="6">
        <f t="shared" si="1"/>
        <v>0</v>
      </c>
      <c r="G47" s="62"/>
      <c r="H47" s="62"/>
      <c r="I47" s="60"/>
      <c r="J47" s="60"/>
      <c r="K47" s="64"/>
      <c r="L47" s="64"/>
      <c r="M47" s="25"/>
      <c r="N47" s="25"/>
    </row>
    <row r="48" spans="1:14">
      <c r="A48" s="3" t="s">
        <v>72</v>
      </c>
      <c r="B48" s="4" t="s">
        <v>73</v>
      </c>
      <c r="C48" s="7">
        <f t="shared" si="2"/>
        <v>0</v>
      </c>
      <c r="D48" s="7"/>
      <c r="E48" s="6">
        <f t="shared" si="0"/>
        <v>0</v>
      </c>
      <c r="F48" s="6">
        <f t="shared" si="1"/>
        <v>0</v>
      </c>
      <c r="G48" s="62"/>
      <c r="H48" s="62"/>
      <c r="I48" s="60"/>
      <c r="J48" s="60"/>
      <c r="K48" s="64"/>
      <c r="L48" s="64"/>
      <c r="M48" s="25"/>
      <c r="N48" s="25"/>
    </row>
    <row r="49" spans="1:14">
      <c r="A49" s="3" t="s">
        <v>74</v>
      </c>
      <c r="B49" s="4" t="s">
        <v>75</v>
      </c>
      <c r="C49" s="7">
        <f t="shared" si="2"/>
        <v>0</v>
      </c>
      <c r="D49" s="7"/>
      <c r="E49" s="6">
        <f t="shared" si="0"/>
        <v>0</v>
      </c>
      <c r="F49" s="6">
        <f t="shared" si="1"/>
        <v>0</v>
      </c>
      <c r="G49" s="62"/>
      <c r="H49" s="62"/>
      <c r="I49" s="60"/>
      <c r="J49" s="60"/>
      <c r="K49" s="64"/>
      <c r="L49" s="64"/>
      <c r="M49" s="25"/>
      <c r="N49" s="25"/>
    </row>
    <row r="50" spans="1:14">
      <c r="A50" s="3" t="s">
        <v>76</v>
      </c>
      <c r="B50" s="4" t="s">
        <v>77</v>
      </c>
      <c r="C50" s="7">
        <f t="shared" si="2"/>
        <v>0</v>
      </c>
      <c r="D50" s="7"/>
      <c r="E50" s="6">
        <f t="shared" si="0"/>
        <v>0</v>
      </c>
      <c r="F50" s="6">
        <f t="shared" si="1"/>
        <v>0</v>
      </c>
      <c r="G50" s="62"/>
      <c r="H50" s="62"/>
      <c r="I50" s="60"/>
      <c r="J50" s="60"/>
      <c r="K50" s="64"/>
      <c r="L50" s="64"/>
      <c r="M50" s="25"/>
      <c r="N50" s="25"/>
    </row>
    <row r="51" spans="1:14">
      <c r="A51" s="3" t="s">
        <v>78</v>
      </c>
      <c r="B51" s="4" t="s">
        <v>79</v>
      </c>
      <c r="C51" s="7">
        <f t="shared" si="2"/>
        <v>0</v>
      </c>
      <c r="D51" s="7"/>
      <c r="E51" s="6">
        <f t="shared" si="0"/>
        <v>0</v>
      </c>
      <c r="F51" s="6">
        <f t="shared" si="1"/>
        <v>0</v>
      </c>
      <c r="G51" s="62"/>
      <c r="H51" s="62"/>
      <c r="I51" s="60"/>
      <c r="J51" s="60"/>
      <c r="K51" s="64"/>
      <c r="L51" s="64"/>
      <c r="M51" s="25"/>
      <c r="N51" s="25"/>
    </row>
    <row r="52" spans="1:14">
      <c r="A52" s="3" t="s">
        <v>80</v>
      </c>
      <c r="B52" s="4" t="s">
        <v>81</v>
      </c>
      <c r="C52" s="7">
        <f t="shared" si="2"/>
        <v>545430</v>
      </c>
      <c r="D52" s="7"/>
      <c r="E52" s="6">
        <f t="shared" si="0"/>
        <v>545430</v>
      </c>
      <c r="F52" s="6">
        <f t="shared" si="1"/>
        <v>0</v>
      </c>
      <c r="G52" s="62">
        <v>545430</v>
      </c>
      <c r="H52" s="62"/>
      <c r="I52" s="60"/>
      <c r="J52" s="60"/>
      <c r="K52" s="64"/>
      <c r="L52" s="64"/>
      <c r="M52" s="25"/>
      <c r="N52" s="25"/>
    </row>
    <row r="53" spans="1:14">
      <c r="A53" s="8" t="s">
        <v>82</v>
      </c>
      <c r="B53" s="4" t="s">
        <v>83</v>
      </c>
      <c r="C53" s="7">
        <f t="shared" si="2"/>
        <v>0</v>
      </c>
      <c r="D53" s="7"/>
      <c r="E53" s="6">
        <f t="shared" si="0"/>
        <v>0</v>
      </c>
      <c r="F53" s="6">
        <f t="shared" si="1"/>
        <v>0</v>
      </c>
      <c r="G53" s="62"/>
      <c r="H53" s="62"/>
      <c r="I53" s="60"/>
      <c r="J53" s="60"/>
      <c r="K53" s="64"/>
      <c r="L53" s="64"/>
      <c r="M53" s="25"/>
      <c r="N53" s="25"/>
    </row>
    <row r="54" spans="1:14">
      <c r="A54" s="3" t="s">
        <v>84</v>
      </c>
      <c r="B54" s="4" t="s">
        <v>85</v>
      </c>
      <c r="C54" s="7">
        <f t="shared" si="2"/>
        <v>616000</v>
      </c>
      <c r="D54" s="7"/>
      <c r="E54" s="6">
        <f t="shared" si="0"/>
        <v>616000</v>
      </c>
      <c r="F54" s="6">
        <f t="shared" si="1"/>
        <v>0</v>
      </c>
      <c r="G54" s="62">
        <v>616000</v>
      </c>
      <c r="H54" s="62"/>
      <c r="I54" s="60"/>
      <c r="J54" s="60"/>
      <c r="K54" s="64"/>
      <c r="L54" s="64"/>
      <c r="M54" s="25"/>
      <c r="N54" s="25"/>
    </row>
    <row r="55" spans="1:14">
      <c r="A55" s="3" t="s">
        <v>86</v>
      </c>
      <c r="B55" s="4" t="s">
        <v>87</v>
      </c>
      <c r="C55" s="7">
        <f t="shared" si="2"/>
        <v>0</v>
      </c>
      <c r="D55" s="7"/>
      <c r="E55" s="6">
        <f t="shared" si="0"/>
        <v>0</v>
      </c>
      <c r="F55" s="6">
        <f t="shared" si="1"/>
        <v>0</v>
      </c>
      <c r="G55" s="62"/>
      <c r="H55" s="62"/>
      <c r="I55" s="60"/>
      <c r="J55" s="60"/>
      <c r="K55" s="64"/>
      <c r="L55" s="64"/>
      <c r="M55" s="25"/>
      <c r="N55" s="25"/>
    </row>
    <row r="56" spans="1:14">
      <c r="A56" s="8" t="s">
        <v>88</v>
      </c>
      <c r="B56" s="4" t="s">
        <v>89</v>
      </c>
      <c r="C56" s="7">
        <f t="shared" si="2"/>
        <v>0</v>
      </c>
      <c r="D56" s="7"/>
      <c r="E56" s="6">
        <f t="shared" si="0"/>
        <v>0</v>
      </c>
      <c r="F56" s="6">
        <f t="shared" si="1"/>
        <v>0</v>
      </c>
      <c r="G56" s="62"/>
      <c r="H56" s="62"/>
      <c r="I56" s="60"/>
      <c r="J56" s="60"/>
      <c r="K56" s="64"/>
      <c r="L56" s="64"/>
      <c r="M56" s="25"/>
      <c r="N56" s="25"/>
    </row>
    <row r="57" spans="1:14">
      <c r="A57" s="3" t="s">
        <v>90</v>
      </c>
      <c r="B57" s="4" t="s">
        <v>91</v>
      </c>
      <c r="C57" s="7">
        <f t="shared" si="2"/>
        <v>0</v>
      </c>
      <c r="D57" s="7"/>
      <c r="E57" s="6">
        <f t="shared" si="0"/>
        <v>0</v>
      </c>
      <c r="F57" s="6">
        <f t="shared" si="1"/>
        <v>0</v>
      </c>
      <c r="G57" s="62"/>
      <c r="H57" s="62"/>
      <c r="I57" s="60"/>
      <c r="J57" s="60"/>
      <c r="K57" s="64"/>
      <c r="L57" s="64"/>
      <c r="M57" s="25"/>
      <c r="N57" s="25"/>
    </row>
    <row r="58" spans="1:14">
      <c r="A58" s="3" t="s">
        <v>92</v>
      </c>
      <c r="B58" s="4">
        <v>165</v>
      </c>
      <c r="C58" s="7">
        <f t="shared" si="2"/>
        <v>0</v>
      </c>
      <c r="D58" s="7"/>
      <c r="E58" s="6">
        <f t="shared" si="0"/>
        <v>0</v>
      </c>
      <c r="F58" s="6">
        <f t="shared" si="1"/>
        <v>0</v>
      </c>
      <c r="G58" s="62"/>
      <c r="H58" s="62"/>
      <c r="I58" s="60"/>
      <c r="J58" s="60"/>
      <c r="K58" s="64"/>
      <c r="L58" s="64"/>
      <c r="M58" s="25"/>
      <c r="N58" s="25"/>
    </row>
    <row r="59" spans="1:14">
      <c r="A59" s="3" t="s">
        <v>93</v>
      </c>
      <c r="B59" s="4">
        <v>166</v>
      </c>
      <c r="C59" s="7">
        <f t="shared" si="2"/>
        <v>0</v>
      </c>
      <c r="D59" s="7"/>
      <c r="E59" s="6">
        <f t="shared" si="0"/>
        <v>0</v>
      </c>
      <c r="F59" s="6">
        <f t="shared" si="1"/>
        <v>0</v>
      </c>
      <c r="G59" s="62"/>
      <c r="H59" s="62"/>
      <c r="I59" s="60"/>
      <c r="J59" s="60"/>
      <c r="K59" s="64"/>
      <c r="L59" s="64"/>
      <c r="M59" s="25"/>
      <c r="N59" s="25"/>
    </row>
    <row r="60" spans="1:14">
      <c r="A60" s="3" t="s">
        <v>94</v>
      </c>
      <c r="B60" s="4">
        <v>167</v>
      </c>
      <c r="C60" s="7">
        <f t="shared" si="2"/>
        <v>0</v>
      </c>
      <c r="D60" s="7"/>
      <c r="E60" s="6">
        <f t="shared" si="0"/>
        <v>0</v>
      </c>
      <c r="F60" s="6">
        <f t="shared" si="1"/>
        <v>0</v>
      </c>
      <c r="G60" s="62"/>
      <c r="H60" s="62"/>
      <c r="I60" s="60"/>
      <c r="J60" s="60"/>
      <c r="K60" s="64"/>
      <c r="L60" s="64"/>
      <c r="M60" s="25"/>
      <c r="N60" s="25"/>
    </row>
    <row r="61" spans="1:14">
      <c r="A61" s="3" t="s">
        <v>95</v>
      </c>
      <c r="B61" s="4" t="s">
        <v>96</v>
      </c>
      <c r="C61" s="7">
        <f t="shared" si="2"/>
        <v>0</v>
      </c>
      <c r="D61" s="7"/>
      <c r="E61" s="6">
        <f t="shared" si="0"/>
        <v>0</v>
      </c>
      <c r="F61" s="6">
        <f t="shared" si="1"/>
        <v>0</v>
      </c>
      <c r="G61" s="62"/>
      <c r="H61" s="62"/>
      <c r="I61" s="60"/>
      <c r="J61" s="60"/>
      <c r="K61" s="64"/>
      <c r="L61" s="64"/>
      <c r="M61" s="25"/>
      <c r="N61" s="25"/>
    </row>
    <row r="62" spans="1:14">
      <c r="A62" s="3" t="s">
        <v>97</v>
      </c>
      <c r="B62" s="4" t="s">
        <v>98</v>
      </c>
      <c r="C62" s="7">
        <f t="shared" si="2"/>
        <v>0</v>
      </c>
      <c r="D62" s="7"/>
      <c r="E62" s="6">
        <f t="shared" si="0"/>
        <v>0</v>
      </c>
      <c r="F62" s="6">
        <f t="shared" si="1"/>
        <v>0</v>
      </c>
      <c r="G62" s="62"/>
      <c r="H62" s="62"/>
      <c r="I62" s="60"/>
      <c r="J62" s="60"/>
      <c r="K62" s="64"/>
      <c r="L62" s="64"/>
      <c r="M62" s="25"/>
      <c r="N62" s="25"/>
    </row>
    <row r="63" spans="1:14">
      <c r="A63" s="3" t="s">
        <v>99</v>
      </c>
      <c r="B63" s="4" t="s">
        <v>100</v>
      </c>
      <c r="C63" s="7">
        <f t="shared" si="2"/>
        <v>0</v>
      </c>
      <c r="D63" s="7"/>
      <c r="E63" s="6">
        <f t="shared" si="0"/>
        <v>0</v>
      </c>
      <c r="F63" s="6">
        <f t="shared" si="1"/>
        <v>0</v>
      </c>
      <c r="G63" s="62"/>
      <c r="H63" s="62"/>
      <c r="I63" s="60"/>
      <c r="J63" s="60"/>
      <c r="K63" s="64"/>
      <c r="L63" s="64"/>
      <c r="M63" s="25"/>
      <c r="N63" s="25"/>
    </row>
    <row r="64" spans="1:14">
      <c r="A64" s="3" t="s">
        <v>101</v>
      </c>
      <c r="B64" s="4" t="s">
        <v>102</v>
      </c>
      <c r="C64" s="7">
        <f t="shared" si="2"/>
        <v>0</v>
      </c>
      <c r="D64" s="7"/>
      <c r="E64" s="6">
        <f t="shared" si="0"/>
        <v>0</v>
      </c>
      <c r="F64" s="6">
        <f t="shared" si="1"/>
        <v>0</v>
      </c>
      <c r="G64" s="62"/>
      <c r="H64" s="62"/>
      <c r="I64" s="60"/>
      <c r="J64" s="60"/>
      <c r="K64" s="64"/>
      <c r="L64" s="64"/>
      <c r="M64" s="25"/>
      <c r="N64" s="25"/>
    </row>
    <row r="65" spans="1:14">
      <c r="A65" s="3" t="s">
        <v>103</v>
      </c>
      <c r="B65" s="4" t="s">
        <v>104</v>
      </c>
      <c r="C65" s="7">
        <f t="shared" si="2"/>
        <v>0</v>
      </c>
      <c r="D65" s="7"/>
      <c r="E65" s="6">
        <f t="shared" si="0"/>
        <v>0</v>
      </c>
      <c r="F65" s="6">
        <f t="shared" si="1"/>
        <v>0</v>
      </c>
      <c r="G65" s="62"/>
      <c r="H65" s="62"/>
      <c r="I65" s="60"/>
      <c r="J65" s="60"/>
      <c r="K65" s="64"/>
      <c r="L65" s="64"/>
      <c r="M65" s="25"/>
      <c r="N65" s="25"/>
    </row>
    <row r="66" spans="1:14">
      <c r="A66" s="3" t="s">
        <v>105</v>
      </c>
      <c r="B66" s="9">
        <v>178</v>
      </c>
      <c r="C66" s="7">
        <f t="shared" si="2"/>
        <v>0</v>
      </c>
      <c r="D66" s="7"/>
      <c r="E66" s="6">
        <f t="shared" si="0"/>
        <v>0</v>
      </c>
      <c r="F66" s="6">
        <f t="shared" si="1"/>
        <v>0</v>
      </c>
      <c r="G66" s="62"/>
      <c r="H66" s="62"/>
      <c r="I66" s="60"/>
      <c r="J66" s="60"/>
      <c r="K66" s="64"/>
      <c r="L66" s="64"/>
      <c r="M66" s="25"/>
      <c r="N66" s="25"/>
    </row>
    <row r="67" spans="1:14">
      <c r="A67" s="3" t="s">
        <v>106</v>
      </c>
      <c r="B67" s="4">
        <v>179</v>
      </c>
      <c r="C67" s="7">
        <f t="shared" si="2"/>
        <v>0</v>
      </c>
      <c r="D67" s="7"/>
      <c r="E67" s="6">
        <f t="shared" si="0"/>
        <v>0</v>
      </c>
      <c r="F67" s="6">
        <f t="shared" si="1"/>
        <v>0</v>
      </c>
      <c r="G67" s="62"/>
      <c r="H67" s="62"/>
      <c r="I67" s="60"/>
      <c r="J67" s="60"/>
      <c r="K67" s="64"/>
      <c r="L67" s="64"/>
      <c r="M67" s="25"/>
      <c r="N67" s="25"/>
    </row>
    <row r="68" spans="1:14">
      <c r="A68" s="3" t="s">
        <v>107</v>
      </c>
      <c r="B68" s="9">
        <v>180</v>
      </c>
      <c r="C68" s="7">
        <f t="shared" si="2"/>
        <v>0</v>
      </c>
      <c r="D68" s="7"/>
      <c r="E68" s="6">
        <f t="shared" si="0"/>
        <v>0</v>
      </c>
      <c r="F68" s="6">
        <f t="shared" si="1"/>
        <v>0</v>
      </c>
      <c r="G68" s="62"/>
      <c r="H68" s="62"/>
      <c r="I68" s="60"/>
      <c r="J68" s="60"/>
      <c r="K68" s="64"/>
      <c r="L68" s="64"/>
      <c r="M68" s="25"/>
      <c r="N68" s="25"/>
    </row>
    <row r="69" spans="1:14">
      <c r="A69" s="3" t="s">
        <v>108</v>
      </c>
      <c r="B69" s="9">
        <v>181</v>
      </c>
      <c r="C69" s="7">
        <f t="shared" si="2"/>
        <v>0</v>
      </c>
      <c r="D69" s="7"/>
      <c r="E69" s="6">
        <f t="shared" si="0"/>
        <v>0</v>
      </c>
      <c r="F69" s="6">
        <f t="shared" si="1"/>
        <v>0</v>
      </c>
      <c r="G69" s="62"/>
      <c r="H69" s="62"/>
      <c r="I69" s="60"/>
      <c r="J69" s="60"/>
      <c r="K69" s="64"/>
      <c r="L69" s="64"/>
      <c r="M69" s="25"/>
      <c r="N69" s="25"/>
    </row>
    <row r="70" spans="1:14">
      <c r="A70" s="3" t="s">
        <v>109</v>
      </c>
      <c r="B70" s="9">
        <v>182</v>
      </c>
      <c r="C70" s="7">
        <f t="shared" si="2"/>
        <v>0</v>
      </c>
      <c r="D70" s="7"/>
      <c r="E70" s="6">
        <f t="shared" si="0"/>
        <v>0</v>
      </c>
      <c r="F70" s="6">
        <f t="shared" si="1"/>
        <v>0</v>
      </c>
      <c r="G70" s="62"/>
      <c r="H70" s="62"/>
      <c r="I70" s="60"/>
      <c r="J70" s="60"/>
      <c r="K70" s="64"/>
      <c r="L70" s="64"/>
      <c r="M70" s="25"/>
      <c r="N70" s="25"/>
    </row>
    <row r="71" spans="1:14">
      <c r="A71" s="3" t="s">
        <v>110</v>
      </c>
      <c r="B71" s="9">
        <v>185</v>
      </c>
      <c r="C71" s="7">
        <f t="shared" si="2"/>
        <v>0</v>
      </c>
      <c r="D71" s="7"/>
      <c r="E71" s="6">
        <f t="shared" si="0"/>
        <v>0</v>
      </c>
      <c r="F71" s="6">
        <f t="shared" si="1"/>
        <v>0</v>
      </c>
      <c r="G71" s="62"/>
      <c r="H71" s="62"/>
      <c r="I71" s="60"/>
      <c r="J71" s="60"/>
      <c r="K71" s="64"/>
      <c r="L71" s="64"/>
      <c r="M71" s="25"/>
      <c r="N71" s="25"/>
    </row>
    <row r="72" spans="1:14">
      <c r="A72" s="3" t="s">
        <v>111</v>
      </c>
      <c r="B72" s="4" t="s">
        <v>112</v>
      </c>
      <c r="C72" s="7">
        <f t="shared" si="2"/>
        <v>0</v>
      </c>
      <c r="D72" s="7"/>
      <c r="E72" s="6">
        <f t="shared" si="0"/>
        <v>0</v>
      </c>
      <c r="F72" s="6">
        <f t="shared" si="1"/>
        <v>0</v>
      </c>
      <c r="G72" s="62"/>
      <c r="H72" s="62"/>
      <c r="I72" s="60"/>
      <c r="J72" s="60"/>
      <c r="K72" s="64"/>
      <c r="L72" s="64"/>
      <c r="M72" s="25"/>
      <c r="N72" s="25"/>
    </row>
    <row r="73" spans="1:14">
      <c r="A73" s="3" t="s">
        <v>113</v>
      </c>
      <c r="B73" s="4" t="s">
        <v>114</v>
      </c>
      <c r="C73" s="7">
        <f t="shared" si="2"/>
        <v>0</v>
      </c>
      <c r="D73" s="7"/>
      <c r="E73" s="6">
        <f t="shared" si="0"/>
        <v>0</v>
      </c>
      <c r="F73" s="6">
        <f t="shared" si="1"/>
        <v>0</v>
      </c>
      <c r="G73" s="62"/>
      <c r="H73" s="62"/>
      <c r="I73" s="60"/>
      <c r="J73" s="60"/>
      <c r="K73" s="64"/>
      <c r="L73" s="64"/>
      <c r="M73" s="25"/>
      <c r="N73" s="25"/>
    </row>
    <row r="74" spans="1:14">
      <c r="A74" s="3" t="s">
        <v>115</v>
      </c>
      <c r="B74" s="4" t="s">
        <v>116</v>
      </c>
      <c r="C74" s="7">
        <f t="shared" si="2"/>
        <v>0</v>
      </c>
      <c r="D74" s="7"/>
      <c r="E74" s="6">
        <f t="shared" si="0"/>
        <v>0</v>
      </c>
      <c r="F74" s="6">
        <f t="shared" si="1"/>
        <v>0</v>
      </c>
      <c r="G74" s="62"/>
      <c r="H74" s="62"/>
      <c r="I74" s="60"/>
      <c r="J74" s="60"/>
      <c r="K74" s="64"/>
      <c r="L74" s="64"/>
      <c r="M74" s="25"/>
      <c r="N74" s="25"/>
    </row>
    <row r="75" spans="1:14">
      <c r="A75" s="3" t="s">
        <v>117</v>
      </c>
      <c r="B75" s="4" t="s">
        <v>118</v>
      </c>
      <c r="C75" s="7">
        <f t="shared" si="2"/>
        <v>0</v>
      </c>
      <c r="D75" s="7"/>
      <c r="E75" s="6">
        <f t="shared" si="0"/>
        <v>0</v>
      </c>
      <c r="F75" s="6">
        <f t="shared" si="1"/>
        <v>0</v>
      </c>
      <c r="G75" s="62"/>
      <c r="H75" s="62"/>
      <c r="I75" s="60"/>
      <c r="J75" s="60"/>
      <c r="K75" s="64"/>
      <c r="L75" s="64"/>
      <c r="M75" s="25"/>
      <c r="N75" s="25"/>
    </row>
    <row r="76" spans="1:14">
      <c r="A76" s="3" t="s">
        <v>119</v>
      </c>
      <c r="B76" s="4" t="s">
        <v>120</v>
      </c>
      <c r="C76" s="7">
        <f t="shared" si="2"/>
        <v>0</v>
      </c>
      <c r="D76" s="7"/>
      <c r="E76" s="6">
        <f t="shared" si="0"/>
        <v>0</v>
      </c>
      <c r="F76" s="6">
        <f t="shared" si="1"/>
        <v>0</v>
      </c>
      <c r="G76" s="62"/>
      <c r="H76" s="62"/>
      <c r="I76" s="60"/>
      <c r="J76" s="60"/>
      <c r="K76" s="64"/>
      <c r="L76" s="64"/>
      <c r="M76" s="25"/>
      <c r="N76" s="25"/>
    </row>
    <row r="77" spans="1:14">
      <c r="A77" s="3" t="s">
        <v>121</v>
      </c>
      <c r="B77" s="4" t="s">
        <v>122</v>
      </c>
      <c r="C77" s="7">
        <f t="shared" si="2"/>
        <v>0</v>
      </c>
      <c r="D77" s="7"/>
      <c r="E77" s="6">
        <f t="shared" si="0"/>
        <v>0</v>
      </c>
      <c r="F77" s="6">
        <f t="shared" si="1"/>
        <v>0</v>
      </c>
      <c r="G77" s="62"/>
      <c r="H77" s="62"/>
      <c r="I77" s="60"/>
      <c r="J77" s="60"/>
      <c r="K77" s="64"/>
      <c r="L77" s="64"/>
      <c r="M77" s="25"/>
      <c r="N77" s="25"/>
    </row>
    <row r="78" spans="1:14">
      <c r="A78" s="3" t="s">
        <v>123</v>
      </c>
      <c r="B78" s="4" t="s">
        <v>124</v>
      </c>
      <c r="C78" s="7">
        <f t="shared" si="2"/>
        <v>0</v>
      </c>
      <c r="D78" s="7"/>
      <c r="E78" s="6">
        <f t="shared" ref="E78:E141" si="3">SUM(G78,I78,K78,M78)</f>
        <v>0</v>
      </c>
      <c r="F78" s="6">
        <f t="shared" ref="F78:F141" si="4">SUM(H78,J78,L78,N78)</f>
        <v>0</v>
      </c>
      <c r="G78" s="62"/>
      <c r="H78" s="62"/>
      <c r="I78" s="60"/>
      <c r="J78" s="60"/>
      <c r="K78" s="64"/>
      <c r="L78" s="64"/>
      <c r="M78" s="25"/>
      <c r="N78" s="25"/>
    </row>
    <row r="79" spans="1:14">
      <c r="A79" s="3" t="s">
        <v>125</v>
      </c>
      <c r="B79" s="4">
        <v>201</v>
      </c>
      <c r="C79" s="7">
        <f t="shared" si="2"/>
        <v>0</v>
      </c>
      <c r="D79" s="7"/>
      <c r="E79" s="6">
        <f t="shared" si="3"/>
        <v>0</v>
      </c>
      <c r="F79" s="6">
        <f t="shared" si="4"/>
        <v>0</v>
      </c>
      <c r="G79" s="62"/>
      <c r="H79" s="62"/>
      <c r="I79" s="60"/>
      <c r="J79" s="60"/>
      <c r="K79" s="64"/>
      <c r="L79" s="64"/>
      <c r="M79" s="25"/>
      <c r="N79" s="25"/>
    </row>
    <row r="80" spans="1:14">
      <c r="A80" s="3" t="s">
        <v>126</v>
      </c>
      <c r="B80" s="4">
        <v>202</v>
      </c>
      <c r="C80" s="7">
        <f t="shared" si="2"/>
        <v>0</v>
      </c>
      <c r="D80" s="7"/>
      <c r="E80" s="6">
        <f t="shared" si="3"/>
        <v>0</v>
      </c>
      <c r="F80" s="6">
        <f t="shared" si="4"/>
        <v>0</v>
      </c>
      <c r="G80" s="62"/>
      <c r="H80" s="62"/>
      <c r="I80" s="60"/>
      <c r="J80" s="60"/>
      <c r="K80" s="64"/>
      <c r="L80" s="64"/>
      <c r="M80" s="25"/>
      <c r="N80" s="25"/>
    </row>
    <row r="81" spans="1:14">
      <c r="A81" s="8" t="s">
        <v>127</v>
      </c>
      <c r="B81" s="4">
        <v>302</v>
      </c>
      <c r="C81" s="7"/>
      <c r="D81" s="7">
        <f>F81-E81</f>
        <v>0</v>
      </c>
      <c r="E81" s="6">
        <f t="shared" si="3"/>
        <v>0</v>
      </c>
      <c r="F81" s="6">
        <f t="shared" si="4"/>
        <v>0</v>
      </c>
      <c r="G81" s="62"/>
      <c r="H81" s="62"/>
      <c r="I81" s="60"/>
      <c r="J81" s="60"/>
      <c r="K81" s="64"/>
      <c r="L81" s="64"/>
      <c r="M81" s="25"/>
      <c r="N81" s="25"/>
    </row>
    <row r="82" spans="1:14">
      <c r="A82" s="3" t="s">
        <v>128</v>
      </c>
      <c r="B82" s="4">
        <v>203</v>
      </c>
      <c r="C82" s="7">
        <f>E82-F82</f>
        <v>0</v>
      </c>
      <c r="D82" s="7"/>
      <c r="E82" s="6">
        <f t="shared" si="3"/>
        <v>0</v>
      </c>
      <c r="F82" s="6">
        <f t="shared" si="4"/>
        <v>0</v>
      </c>
      <c r="G82" s="62"/>
      <c r="H82" s="62"/>
      <c r="I82" s="60"/>
      <c r="J82" s="60"/>
      <c r="K82" s="64"/>
      <c r="L82" s="64"/>
      <c r="M82" s="25"/>
      <c r="N82" s="25"/>
    </row>
    <row r="83" spans="1:14">
      <c r="A83" s="3" t="s">
        <v>129</v>
      </c>
      <c r="B83" s="4">
        <v>303</v>
      </c>
      <c r="C83" s="7"/>
      <c r="D83" s="7">
        <f>F83-E83</f>
        <v>0</v>
      </c>
      <c r="E83" s="6">
        <f t="shared" si="3"/>
        <v>0</v>
      </c>
      <c r="F83" s="6">
        <f t="shared" si="4"/>
        <v>0</v>
      </c>
      <c r="G83" s="62"/>
      <c r="H83" s="62"/>
      <c r="I83" s="60"/>
      <c r="J83" s="60"/>
      <c r="K83" s="64"/>
      <c r="L83" s="64"/>
      <c r="M83" s="25"/>
      <c r="N83" s="25"/>
    </row>
    <row r="84" spans="1:14">
      <c r="A84" s="3" t="s">
        <v>130</v>
      </c>
      <c r="B84" s="4">
        <v>204</v>
      </c>
      <c r="C84" s="7">
        <f>E84-F84</f>
        <v>0</v>
      </c>
      <c r="D84" s="7"/>
      <c r="E84" s="6">
        <f t="shared" si="3"/>
        <v>0</v>
      </c>
      <c r="F84" s="6">
        <f t="shared" si="4"/>
        <v>0</v>
      </c>
      <c r="G84" s="62"/>
      <c r="H84" s="62"/>
      <c r="I84" s="60"/>
      <c r="J84" s="60"/>
      <c r="K84" s="64"/>
      <c r="L84" s="64"/>
      <c r="M84" s="25"/>
      <c r="N84" s="25"/>
    </row>
    <row r="85" spans="1:14">
      <c r="A85" s="3" t="s">
        <v>131</v>
      </c>
      <c r="B85" s="4">
        <v>304</v>
      </c>
      <c r="C85" s="7"/>
      <c r="D85" s="7">
        <f>F85-E85</f>
        <v>0</v>
      </c>
      <c r="E85" s="6">
        <f t="shared" si="3"/>
        <v>0</v>
      </c>
      <c r="F85" s="6">
        <f t="shared" si="4"/>
        <v>0</v>
      </c>
      <c r="G85" s="62"/>
      <c r="H85" s="62"/>
      <c r="I85" s="60"/>
      <c r="J85" s="60"/>
      <c r="K85" s="64"/>
      <c r="L85" s="64"/>
      <c r="M85" s="25"/>
      <c r="N85" s="25"/>
    </row>
    <row r="86" spans="1:14">
      <c r="A86" s="3" t="s">
        <v>132</v>
      </c>
      <c r="B86" s="4">
        <v>205</v>
      </c>
      <c r="C86" s="7">
        <f>E86-F86</f>
        <v>0</v>
      </c>
      <c r="D86" s="7"/>
      <c r="E86" s="6">
        <f t="shared" si="3"/>
        <v>0</v>
      </c>
      <c r="F86" s="6">
        <f t="shared" si="4"/>
        <v>0</v>
      </c>
      <c r="G86" s="62"/>
      <c r="H86" s="62"/>
      <c r="I86" s="60"/>
      <c r="J86" s="60"/>
      <c r="K86" s="64"/>
      <c r="L86" s="64"/>
      <c r="M86" s="25"/>
      <c r="N86" s="25"/>
    </row>
    <row r="87" spans="1:14" ht="28.5">
      <c r="A87" s="8" t="s">
        <v>133</v>
      </c>
      <c r="B87" s="4">
        <v>305</v>
      </c>
      <c r="C87" s="7"/>
      <c r="D87" s="7">
        <f>F87-E87</f>
        <v>0</v>
      </c>
      <c r="E87" s="6">
        <f t="shared" si="3"/>
        <v>0</v>
      </c>
      <c r="F87" s="6">
        <f t="shared" si="4"/>
        <v>0</v>
      </c>
      <c r="G87" s="62"/>
      <c r="H87" s="62"/>
      <c r="I87" s="60"/>
      <c r="J87" s="60"/>
      <c r="K87" s="64"/>
      <c r="L87" s="64"/>
      <c r="M87" s="25"/>
      <c r="N87" s="25"/>
    </row>
    <row r="88" spans="1:14">
      <c r="A88" s="8" t="s">
        <v>134</v>
      </c>
      <c r="B88" s="4" t="s">
        <v>135</v>
      </c>
      <c r="C88" s="7">
        <f>E88-F88</f>
        <v>0</v>
      </c>
      <c r="D88" s="7"/>
      <c r="E88" s="6">
        <f t="shared" si="3"/>
        <v>0</v>
      </c>
      <c r="F88" s="6">
        <f t="shared" si="4"/>
        <v>0</v>
      </c>
      <c r="G88" s="62"/>
      <c r="H88" s="62"/>
      <c r="I88" s="60"/>
      <c r="J88" s="60"/>
      <c r="K88" s="64"/>
      <c r="L88" s="64"/>
      <c r="M88" s="25"/>
      <c r="N88" s="25"/>
    </row>
    <row r="89" spans="1:14">
      <c r="A89" s="8" t="s">
        <v>136</v>
      </c>
      <c r="B89" s="4" t="s">
        <v>137</v>
      </c>
      <c r="C89" s="7"/>
      <c r="D89" s="7">
        <f>F89-E89</f>
        <v>0</v>
      </c>
      <c r="E89" s="6">
        <f t="shared" si="3"/>
        <v>0</v>
      </c>
      <c r="F89" s="6">
        <f t="shared" si="4"/>
        <v>0</v>
      </c>
      <c r="G89" s="62"/>
      <c r="H89" s="62"/>
      <c r="I89" s="60"/>
      <c r="J89" s="60"/>
      <c r="K89" s="64"/>
      <c r="L89" s="64"/>
      <c r="M89" s="25"/>
      <c r="N89" s="25"/>
    </row>
    <row r="90" spans="1:14">
      <c r="A90" s="8" t="s">
        <v>138</v>
      </c>
      <c r="B90" s="4" t="s">
        <v>139</v>
      </c>
      <c r="C90" s="7">
        <f>E90-F90</f>
        <v>0</v>
      </c>
      <c r="D90" s="7"/>
      <c r="E90" s="6">
        <f t="shared" si="3"/>
        <v>0</v>
      </c>
      <c r="F90" s="6">
        <f t="shared" si="4"/>
        <v>0</v>
      </c>
      <c r="G90" s="62"/>
      <c r="H90" s="62"/>
      <c r="I90" s="60"/>
      <c r="J90" s="60"/>
      <c r="K90" s="64"/>
      <c r="L90" s="64"/>
      <c r="M90" s="25"/>
      <c r="N90" s="25"/>
    </row>
    <row r="91" spans="1:14">
      <c r="A91" s="8" t="s">
        <v>140</v>
      </c>
      <c r="B91" s="4" t="s">
        <v>141</v>
      </c>
      <c r="C91" s="7"/>
      <c r="D91" s="7">
        <f>F91-E91</f>
        <v>0</v>
      </c>
      <c r="E91" s="6">
        <f t="shared" si="3"/>
        <v>0</v>
      </c>
      <c r="F91" s="6">
        <f t="shared" si="4"/>
        <v>0</v>
      </c>
      <c r="G91" s="62"/>
      <c r="H91" s="62"/>
      <c r="I91" s="60"/>
      <c r="J91" s="60"/>
      <c r="K91" s="64"/>
      <c r="L91" s="64"/>
      <c r="M91" s="25"/>
      <c r="N91" s="25"/>
    </row>
    <row r="92" spans="1:14">
      <c r="A92" s="8" t="s">
        <v>142</v>
      </c>
      <c r="B92" s="4" t="s">
        <v>143</v>
      </c>
      <c r="C92" s="7">
        <f>E92-F92</f>
        <v>0</v>
      </c>
      <c r="D92" s="7"/>
      <c r="E92" s="6">
        <f t="shared" si="3"/>
        <v>0</v>
      </c>
      <c r="F92" s="6">
        <f t="shared" si="4"/>
        <v>0</v>
      </c>
      <c r="G92" s="62"/>
      <c r="H92" s="62"/>
      <c r="I92" s="60"/>
      <c r="J92" s="60"/>
      <c r="K92" s="64"/>
      <c r="L92" s="64"/>
      <c r="M92" s="25"/>
      <c r="N92" s="25"/>
    </row>
    <row r="93" spans="1:14" ht="28.5">
      <c r="A93" s="8" t="s">
        <v>144</v>
      </c>
      <c r="B93" s="4" t="s">
        <v>145</v>
      </c>
      <c r="C93" s="7"/>
      <c r="D93" s="7">
        <f>F93-E93</f>
        <v>0</v>
      </c>
      <c r="E93" s="6">
        <f t="shared" si="3"/>
        <v>0</v>
      </c>
      <c r="F93" s="6">
        <f t="shared" si="4"/>
        <v>0</v>
      </c>
      <c r="G93" s="62"/>
      <c r="H93" s="62"/>
      <c r="I93" s="60"/>
      <c r="J93" s="60"/>
      <c r="K93" s="64"/>
      <c r="L93" s="64"/>
      <c r="M93" s="25"/>
      <c r="N93" s="25"/>
    </row>
    <row r="94" spans="1:14">
      <c r="A94" s="8" t="s">
        <v>146</v>
      </c>
      <c r="B94" s="4" t="s">
        <v>147</v>
      </c>
      <c r="C94" s="7">
        <f>E94-F94</f>
        <v>0</v>
      </c>
      <c r="D94" s="7"/>
      <c r="E94" s="6">
        <f t="shared" si="3"/>
        <v>0</v>
      </c>
      <c r="F94" s="6">
        <f t="shared" si="4"/>
        <v>0</v>
      </c>
      <c r="G94" s="62"/>
      <c r="H94" s="62"/>
      <c r="I94" s="60"/>
      <c r="J94" s="60"/>
      <c r="K94" s="64"/>
      <c r="L94" s="64"/>
      <c r="M94" s="25"/>
      <c r="N94" s="25"/>
    </row>
    <row r="95" spans="1:14" ht="28.5">
      <c r="A95" s="8" t="s">
        <v>148</v>
      </c>
      <c r="B95" s="4" t="s">
        <v>149</v>
      </c>
      <c r="C95" s="7"/>
      <c r="D95" s="7">
        <f>F95-E95</f>
        <v>0</v>
      </c>
      <c r="E95" s="6">
        <f t="shared" si="3"/>
        <v>0</v>
      </c>
      <c r="F95" s="6">
        <f t="shared" si="4"/>
        <v>0</v>
      </c>
      <c r="G95" s="62"/>
      <c r="H95" s="62"/>
      <c r="I95" s="60"/>
      <c r="J95" s="60"/>
      <c r="K95" s="64"/>
      <c r="L95" s="64"/>
      <c r="M95" s="25"/>
      <c r="N95" s="25"/>
    </row>
    <row r="96" spans="1:14">
      <c r="A96" s="8" t="s">
        <v>150</v>
      </c>
      <c r="B96" s="4" t="s">
        <v>151</v>
      </c>
      <c r="C96" s="7">
        <f>E96-F96</f>
        <v>0</v>
      </c>
      <c r="D96" s="7"/>
      <c r="E96" s="6">
        <f t="shared" si="3"/>
        <v>0</v>
      </c>
      <c r="F96" s="6">
        <f t="shared" si="4"/>
        <v>0</v>
      </c>
      <c r="G96" s="62"/>
      <c r="H96" s="62"/>
      <c r="I96" s="60"/>
      <c r="J96" s="60"/>
      <c r="K96" s="64"/>
      <c r="L96" s="64"/>
      <c r="M96" s="25"/>
      <c r="N96" s="25"/>
    </row>
    <row r="97" spans="1:14">
      <c r="A97" s="8" t="s">
        <v>152</v>
      </c>
      <c r="B97" s="4" t="s">
        <v>153</v>
      </c>
      <c r="C97" s="7"/>
      <c r="D97" s="7">
        <f>F97-E97</f>
        <v>0</v>
      </c>
      <c r="E97" s="6">
        <f t="shared" si="3"/>
        <v>0</v>
      </c>
      <c r="F97" s="6">
        <f t="shared" si="4"/>
        <v>0</v>
      </c>
      <c r="G97" s="62"/>
      <c r="H97" s="62"/>
      <c r="I97" s="60"/>
      <c r="J97" s="60"/>
      <c r="K97" s="64"/>
      <c r="L97" s="64"/>
      <c r="M97" s="25"/>
      <c r="N97" s="25"/>
    </row>
    <row r="98" spans="1:14">
      <c r="A98" s="8" t="s">
        <v>154</v>
      </c>
      <c r="B98" s="4" t="s">
        <v>155</v>
      </c>
      <c r="C98" s="7">
        <f>E98-F98</f>
        <v>0</v>
      </c>
      <c r="D98" s="7"/>
      <c r="E98" s="6">
        <f t="shared" si="3"/>
        <v>0</v>
      </c>
      <c r="F98" s="6">
        <f t="shared" si="4"/>
        <v>0</v>
      </c>
      <c r="G98" s="62"/>
      <c r="H98" s="62"/>
      <c r="I98" s="60"/>
      <c r="J98" s="60"/>
      <c r="K98" s="64"/>
      <c r="L98" s="64"/>
      <c r="M98" s="25"/>
      <c r="N98" s="25"/>
    </row>
    <row r="99" spans="1:14" ht="28.5">
      <c r="A99" s="8" t="s">
        <v>156</v>
      </c>
      <c r="B99" s="4" t="s">
        <v>157</v>
      </c>
      <c r="C99" s="7"/>
      <c r="D99" s="7">
        <f>F99-E99</f>
        <v>0</v>
      </c>
      <c r="E99" s="6">
        <f t="shared" si="3"/>
        <v>0</v>
      </c>
      <c r="F99" s="6">
        <f t="shared" si="4"/>
        <v>0</v>
      </c>
      <c r="G99" s="62"/>
      <c r="H99" s="62"/>
      <c r="I99" s="60"/>
      <c r="J99" s="60"/>
      <c r="K99" s="64"/>
      <c r="L99" s="64"/>
      <c r="M99" s="25"/>
      <c r="N99" s="25"/>
    </row>
    <row r="100" spans="1:14">
      <c r="A100" s="8" t="s">
        <v>158</v>
      </c>
      <c r="B100" s="4" t="s">
        <v>159</v>
      </c>
      <c r="C100" s="7">
        <f>E100-F100</f>
        <v>0</v>
      </c>
      <c r="D100" s="7"/>
      <c r="E100" s="6">
        <f t="shared" si="3"/>
        <v>0</v>
      </c>
      <c r="F100" s="6">
        <f t="shared" si="4"/>
        <v>0</v>
      </c>
      <c r="G100" s="62"/>
      <c r="H100" s="62"/>
      <c r="I100" s="60"/>
      <c r="J100" s="60"/>
      <c r="K100" s="64"/>
      <c r="L100" s="64"/>
      <c r="M100" s="25"/>
      <c r="N100" s="25"/>
    </row>
    <row r="101" spans="1:14" ht="28.5">
      <c r="A101" s="8" t="s">
        <v>160</v>
      </c>
      <c r="B101" s="4" t="s">
        <v>161</v>
      </c>
      <c r="C101" s="7"/>
      <c r="D101" s="7">
        <f>F101-E101</f>
        <v>0</v>
      </c>
      <c r="E101" s="6">
        <f t="shared" si="3"/>
        <v>0</v>
      </c>
      <c r="F101" s="6">
        <f t="shared" si="4"/>
        <v>0</v>
      </c>
      <c r="G101" s="62"/>
      <c r="H101" s="62"/>
      <c r="I101" s="60"/>
      <c r="J101" s="60"/>
      <c r="K101" s="64"/>
      <c r="L101" s="64"/>
      <c r="M101" s="25"/>
      <c r="N101" s="25"/>
    </row>
    <row r="102" spans="1:14">
      <c r="A102" s="8" t="s">
        <v>162</v>
      </c>
      <c r="B102" s="4" t="s">
        <v>163</v>
      </c>
      <c r="C102" s="7">
        <f>E102-F102</f>
        <v>0</v>
      </c>
      <c r="D102" s="7"/>
      <c r="E102" s="6">
        <f t="shared" si="3"/>
        <v>0</v>
      </c>
      <c r="F102" s="6">
        <f t="shared" si="4"/>
        <v>0</v>
      </c>
      <c r="G102" s="62"/>
      <c r="H102" s="62"/>
      <c r="I102" s="60"/>
      <c r="J102" s="60"/>
      <c r="K102" s="64"/>
      <c r="L102" s="64"/>
      <c r="M102" s="25"/>
      <c r="N102" s="25"/>
    </row>
    <row r="103" spans="1:14" ht="28.5">
      <c r="A103" s="8" t="s">
        <v>164</v>
      </c>
      <c r="B103" s="4" t="s">
        <v>165</v>
      </c>
      <c r="C103" s="7"/>
      <c r="D103" s="7">
        <f>F103-E103</f>
        <v>0</v>
      </c>
      <c r="E103" s="6">
        <f t="shared" si="3"/>
        <v>0</v>
      </c>
      <c r="F103" s="6">
        <f t="shared" si="4"/>
        <v>0</v>
      </c>
      <c r="G103" s="62"/>
      <c r="H103" s="62"/>
      <c r="I103" s="60"/>
      <c r="J103" s="60"/>
      <c r="K103" s="64"/>
      <c r="L103" s="64"/>
      <c r="M103" s="25"/>
      <c r="N103" s="25"/>
    </row>
    <row r="104" spans="1:14">
      <c r="A104" s="8" t="s">
        <v>166</v>
      </c>
      <c r="B104" s="4" t="s">
        <v>167</v>
      </c>
      <c r="C104" s="7">
        <f>E104-F104</f>
        <v>0</v>
      </c>
      <c r="D104" s="7"/>
      <c r="E104" s="6">
        <f t="shared" si="3"/>
        <v>0</v>
      </c>
      <c r="F104" s="6">
        <f t="shared" si="4"/>
        <v>0</v>
      </c>
      <c r="G104" s="62"/>
      <c r="H104" s="62"/>
      <c r="I104" s="60"/>
      <c r="J104" s="60"/>
      <c r="K104" s="64"/>
      <c r="L104" s="64"/>
      <c r="M104" s="25"/>
      <c r="N104" s="25"/>
    </row>
    <row r="105" spans="1:14">
      <c r="A105" s="8" t="s">
        <v>168</v>
      </c>
      <c r="B105" s="4" t="s">
        <v>169</v>
      </c>
      <c r="C105" s="7"/>
      <c r="D105" s="7">
        <f>F105-E105</f>
        <v>0</v>
      </c>
      <c r="E105" s="6">
        <f t="shared" si="3"/>
        <v>0</v>
      </c>
      <c r="F105" s="6">
        <f t="shared" si="4"/>
        <v>0</v>
      </c>
      <c r="G105" s="62"/>
      <c r="H105" s="62"/>
      <c r="I105" s="60"/>
      <c r="J105" s="60"/>
      <c r="K105" s="64"/>
      <c r="L105" s="64"/>
      <c r="M105" s="25"/>
      <c r="N105" s="25"/>
    </row>
    <row r="106" spans="1:14">
      <c r="A106" s="8" t="s">
        <v>170</v>
      </c>
      <c r="B106" s="4" t="s">
        <v>171</v>
      </c>
      <c r="C106" s="7">
        <f>E106-F106</f>
        <v>0</v>
      </c>
      <c r="D106" s="7"/>
      <c r="E106" s="6">
        <f t="shared" si="3"/>
        <v>0</v>
      </c>
      <c r="F106" s="6">
        <f t="shared" si="4"/>
        <v>0</v>
      </c>
      <c r="G106" s="62"/>
      <c r="H106" s="62"/>
      <c r="I106" s="60"/>
      <c r="J106" s="60"/>
      <c r="K106" s="64"/>
      <c r="L106" s="64"/>
      <c r="M106" s="25"/>
      <c r="N106" s="25"/>
    </row>
    <row r="107" spans="1:14" ht="28.5">
      <c r="A107" s="8" t="s">
        <v>172</v>
      </c>
      <c r="B107" s="4" t="s">
        <v>173</v>
      </c>
      <c r="C107" s="7"/>
      <c r="D107" s="7">
        <f>F107-E107</f>
        <v>0</v>
      </c>
      <c r="E107" s="6">
        <f t="shared" si="3"/>
        <v>0</v>
      </c>
      <c r="F107" s="6">
        <f t="shared" si="4"/>
        <v>0</v>
      </c>
      <c r="G107" s="62"/>
      <c r="H107" s="62"/>
      <c r="I107" s="60"/>
      <c r="J107" s="60"/>
      <c r="K107" s="64"/>
      <c r="L107" s="64"/>
      <c r="M107" s="25"/>
      <c r="N107" s="25"/>
    </row>
    <row r="108" spans="1:14">
      <c r="A108" s="8" t="s">
        <v>174</v>
      </c>
      <c r="B108" s="4" t="s">
        <v>175</v>
      </c>
      <c r="C108" s="7">
        <f>E108-F108</f>
        <v>0</v>
      </c>
      <c r="D108" s="7"/>
      <c r="E108" s="6">
        <f t="shared" si="3"/>
        <v>0</v>
      </c>
      <c r="F108" s="6">
        <f t="shared" si="4"/>
        <v>0</v>
      </c>
      <c r="G108" s="62"/>
      <c r="H108" s="62"/>
      <c r="I108" s="60"/>
      <c r="J108" s="60"/>
      <c r="K108" s="64"/>
      <c r="L108" s="64"/>
      <c r="M108" s="25"/>
      <c r="N108" s="25"/>
    </row>
    <row r="109" spans="1:14">
      <c r="A109" s="8" t="s">
        <v>176</v>
      </c>
      <c r="B109" s="4" t="s">
        <v>177</v>
      </c>
      <c r="C109" s="7"/>
      <c r="D109" s="7">
        <f>F109-E109</f>
        <v>0</v>
      </c>
      <c r="E109" s="6">
        <f t="shared" si="3"/>
        <v>0</v>
      </c>
      <c r="F109" s="6">
        <f t="shared" si="4"/>
        <v>0</v>
      </c>
      <c r="G109" s="62"/>
      <c r="H109" s="62"/>
      <c r="I109" s="60"/>
      <c r="J109" s="60"/>
      <c r="K109" s="64"/>
      <c r="L109" s="64"/>
      <c r="M109" s="25"/>
      <c r="N109" s="25"/>
    </row>
    <row r="110" spans="1:14">
      <c r="A110" s="8" t="s">
        <v>178</v>
      </c>
      <c r="B110" s="4" t="s">
        <v>179</v>
      </c>
      <c r="C110" s="7">
        <f>E110-F110</f>
        <v>0</v>
      </c>
      <c r="D110" s="7"/>
      <c r="E110" s="6">
        <f t="shared" si="3"/>
        <v>0</v>
      </c>
      <c r="F110" s="6">
        <f t="shared" si="4"/>
        <v>0</v>
      </c>
      <c r="G110" s="62"/>
      <c r="H110" s="62"/>
      <c r="I110" s="60"/>
      <c r="J110" s="60"/>
      <c r="K110" s="64"/>
      <c r="L110" s="64"/>
      <c r="M110" s="25"/>
      <c r="N110" s="25"/>
    </row>
    <row r="111" spans="1:14">
      <c r="A111" s="8" t="s">
        <v>180</v>
      </c>
      <c r="B111" s="4" t="s">
        <v>181</v>
      </c>
      <c r="C111" s="7"/>
      <c r="D111" s="7">
        <f>F111-E111</f>
        <v>0</v>
      </c>
      <c r="E111" s="6">
        <f t="shared" si="3"/>
        <v>0</v>
      </c>
      <c r="F111" s="6">
        <f t="shared" si="4"/>
        <v>0</v>
      </c>
      <c r="G111" s="62"/>
      <c r="H111" s="62"/>
      <c r="I111" s="60"/>
      <c r="J111" s="60"/>
      <c r="K111" s="64"/>
      <c r="L111" s="64"/>
      <c r="M111" s="25"/>
      <c r="N111" s="25"/>
    </row>
    <row r="112" spans="1:14">
      <c r="A112" s="8" t="s">
        <v>182</v>
      </c>
      <c r="B112" s="4" t="s">
        <v>183</v>
      </c>
      <c r="C112" s="7">
        <f>E112-F112</f>
        <v>0</v>
      </c>
      <c r="D112" s="7"/>
      <c r="E112" s="6">
        <f t="shared" si="3"/>
        <v>0</v>
      </c>
      <c r="F112" s="6">
        <f t="shared" si="4"/>
        <v>0</v>
      </c>
      <c r="G112" s="62"/>
      <c r="H112" s="62"/>
      <c r="I112" s="60"/>
      <c r="J112" s="60"/>
      <c r="K112" s="64"/>
      <c r="L112" s="64"/>
      <c r="M112" s="25"/>
      <c r="N112" s="25"/>
    </row>
    <row r="113" spans="1:14">
      <c r="A113" s="8" t="s">
        <v>184</v>
      </c>
      <c r="B113" s="4" t="s">
        <v>185</v>
      </c>
      <c r="C113" s="7"/>
      <c r="D113" s="7">
        <f>F113-E113</f>
        <v>0</v>
      </c>
      <c r="E113" s="6">
        <f t="shared" si="3"/>
        <v>0</v>
      </c>
      <c r="F113" s="6">
        <f t="shared" si="4"/>
        <v>0</v>
      </c>
      <c r="G113" s="62"/>
      <c r="H113" s="62"/>
      <c r="I113" s="60"/>
      <c r="J113" s="60"/>
      <c r="K113" s="64"/>
      <c r="L113" s="64"/>
      <c r="M113" s="25"/>
      <c r="N113" s="25"/>
    </row>
    <row r="114" spans="1:14">
      <c r="A114" s="8" t="s">
        <v>186</v>
      </c>
      <c r="B114" s="4" t="s">
        <v>187</v>
      </c>
      <c r="C114" s="7">
        <f>E114-F114</f>
        <v>0</v>
      </c>
      <c r="D114" s="7"/>
      <c r="E114" s="6">
        <f t="shared" si="3"/>
        <v>0</v>
      </c>
      <c r="F114" s="6">
        <f t="shared" si="4"/>
        <v>0</v>
      </c>
      <c r="G114" s="62"/>
      <c r="H114" s="62"/>
      <c r="I114" s="60"/>
      <c r="J114" s="60"/>
      <c r="K114" s="64"/>
      <c r="L114" s="64"/>
      <c r="M114" s="25"/>
      <c r="N114" s="25"/>
    </row>
    <row r="115" spans="1:14" ht="28.5">
      <c r="A115" s="8" t="s">
        <v>188</v>
      </c>
      <c r="B115" s="4" t="s">
        <v>189</v>
      </c>
      <c r="C115" s="7"/>
      <c r="D115" s="7">
        <f>F115-E115</f>
        <v>0</v>
      </c>
      <c r="E115" s="6">
        <f t="shared" si="3"/>
        <v>0</v>
      </c>
      <c r="F115" s="6">
        <f t="shared" si="4"/>
        <v>0</v>
      </c>
      <c r="G115" s="62"/>
      <c r="H115" s="62"/>
      <c r="I115" s="60"/>
      <c r="J115" s="60"/>
      <c r="K115" s="64"/>
      <c r="L115" s="64"/>
      <c r="M115" s="25"/>
      <c r="N115" s="25"/>
    </row>
    <row r="116" spans="1:14">
      <c r="A116" s="8" t="s">
        <v>190</v>
      </c>
      <c r="B116" s="4" t="s">
        <v>191</v>
      </c>
      <c r="C116" s="7">
        <f>E116-F116</f>
        <v>0</v>
      </c>
      <c r="D116" s="7"/>
      <c r="E116" s="6">
        <f t="shared" si="3"/>
        <v>0</v>
      </c>
      <c r="F116" s="6">
        <f t="shared" si="4"/>
        <v>0</v>
      </c>
      <c r="G116" s="62"/>
      <c r="H116" s="62"/>
      <c r="I116" s="60"/>
      <c r="J116" s="60"/>
      <c r="K116" s="64"/>
      <c r="L116" s="64"/>
      <c r="M116" s="25"/>
      <c r="N116" s="25"/>
    </row>
    <row r="117" spans="1:14">
      <c r="A117" s="8" t="s">
        <v>192</v>
      </c>
      <c r="B117" s="4" t="s">
        <v>193</v>
      </c>
      <c r="C117" s="7"/>
      <c r="D117" s="7">
        <f>F117-E117</f>
        <v>0</v>
      </c>
      <c r="E117" s="6">
        <f t="shared" si="3"/>
        <v>0</v>
      </c>
      <c r="F117" s="6">
        <f t="shared" si="4"/>
        <v>0</v>
      </c>
      <c r="G117" s="62"/>
      <c r="H117" s="62"/>
      <c r="I117" s="60"/>
      <c r="J117" s="60"/>
      <c r="K117" s="64"/>
      <c r="L117" s="64"/>
      <c r="M117" s="25"/>
      <c r="N117" s="25"/>
    </row>
    <row r="118" spans="1:14">
      <c r="A118" s="8" t="s">
        <v>194</v>
      </c>
      <c r="B118" s="4" t="s">
        <v>195</v>
      </c>
      <c r="C118" s="7">
        <f>E118-F118</f>
        <v>0</v>
      </c>
      <c r="D118" s="7"/>
      <c r="E118" s="6">
        <f t="shared" si="3"/>
        <v>0</v>
      </c>
      <c r="F118" s="6">
        <f t="shared" si="4"/>
        <v>0</v>
      </c>
      <c r="G118" s="62"/>
      <c r="H118" s="62"/>
      <c r="I118" s="60"/>
      <c r="J118" s="60"/>
      <c r="K118" s="64"/>
      <c r="L118" s="64"/>
      <c r="M118" s="25"/>
      <c r="N118" s="25"/>
    </row>
    <row r="119" spans="1:14" ht="28.5">
      <c r="A119" s="8" t="s">
        <v>196</v>
      </c>
      <c r="B119" s="4" t="s">
        <v>197</v>
      </c>
      <c r="C119" s="7"/>
      <c r="D119" s="7">
        <f>F119-E119</f>
        <v>0</v>
      </c>
      <c r="E119" s="6">
        <f t="shared" si="3"/>
        <v>0</v>
      </c>
      <c r="F119" s="6">
        <f t="shared" si="4"/>
        <v>0</v>
      </c>
      <c r="G119" s="62"/>
      <c r="H119" s="62"/>
      <c r="I119" s="60"/>
      <c r="J119" s="60"/>
      <c r="K119" s="64"/>
      <c r="L119" s="64"/>
      <c r="M119" s="25"/>
      <c r="N119" s="25"/>
    </row>
    <row r="120" spans="1:14">
      <c r="A120" s="8" t="s">
        <v>198</v>
      </c>
      <c r="B120" s="4" t="s">
        <v>199</v>
      </c>
      <c r="C120" s="7">
        <f>E120-F120</f>
        <v>0</v>
      </c>
      <c r="D120" s="7"/>
      <c r="E120" s="6">
        <f t="shared" si="3"/>
        <v>0</v>
      </c>
      <c r="F120" s="6">
        <f t="shared" si="4"/>
        <v>0</v>
      </c>
      <c r="G120" s="62"/>
      <c r="H120" s="62"/>
      <c r="I120" s="60"/>
      <c r="J120" s="60"/>
      <c r="K120" s="64"/>
      <c r="L120" s="64"/>
      <c r="M120" s="25"/>
      <c r="N120" s="25"/>
    </row>
    <row r="121" spans="1:14" ht="28.5">
      <c r="A121" s="8" t="s">
        <v>200</v>
      </c>
      <c r="B121" s="4" t="s">
        <v>201</v>
      </c>
      <c r="C121" s="7"/>
      <c r="D121" s="7">
        <f>F121-E121</f>
        <v>0</v>
      </c>
      <c r="E121" s="6">
        <f t="shared" si="3"/>
        <v>0</v>
      </c>
      <c r="F121" s="6">
        <f t="shared" si="4"/>
        <v>0</v>
      </c>
      <c r="G121" s="62"/>
      <c r="H121" s="62"/>
      <c r="I121" s="60"/>
      <c r="J121" s="60"/>
      <c r="K121" s="64"/>
      <c r="L121" s="64"/>
      <c r="M121" s="25"/>
      <c r="N121" s="25"/>
    </row>
    <row r="122" spans="1:14">
      <c r="A122" s="8" t="s">
        <v>202</v>
      </c>
      <c r="B122" s="4" t="s">
        <v>203</v>
      </c>
      <c r="C122" s="7">
        <f>E122-F122</f>
        <v>0</v>
      </c>
      <c r="D122" s="7"/>
      <c r="E122" s="6">
        <f t="shared" si="3"/>
        <v>0</v>
      </c>
      <c r="F122" s="6">
        <f t="shared" si="4"/>
        <v>0</v>
      </c>
      <c r="G122" s="62"/>
      <c r="H122" s="62"/>
      <c r="I122" s="60"/>
      <c r="J122" s="60"/>
      <c r="K122" s="64"/>
      <c r="L122" s="64"/>
      <c r="M122" s="25"/>
      <c r="N122" s="25"/>
    </row>
    <row r="123" spans="1:14" ht="28.5">
      <c r="A123" s="8" t="s">
        <v>204</v>
      </c>
      <c r="B123" s="4" t="s">
        <v>205</v>
      </c>
      <c r="C123" s="7"/>
      <c r="D123" s="7">
        <f>F123-E123</f>
        <v>0</v>
      </c>
      <c r="E123" s="6">
        <f t="shared" si="3"/>
        <v>0</v>
      </c>
      <c r="F123" s="6">
        <f t="shared" si="4"/>
        <v>0</v>
      </c>
      <c r="G123" s="62"/>
      <c r="H123" s="62"/>
      <c r="I123" s="60"/>
      <c r="J123" s="60"/>
      <c r="K123" s="64"/>
      <c r="L123" s="64"/>
      <c r="M123" s="25"/>
      <c r="N123" s="25"/>
    </row>
    <row r="124" spans="1:14">
      <c r="A124" s="8" t="s">
        <v>206</v>
      </c>
      <c r="B124" s="4" t="s">
        <v>207</v>
      </c>
      <c r="C124" s="7">
        <f>E124-F124</f>
        <v>0</v>
      </c>
      <c r="D124" s="7"/>
      <c r="E124" s="6">
        <f t="shared" si="3"/>
        <v>0</v>
      </c>
      <c r="F124" s="6">
        <f t="shared" si="4"/>
        <v>0</v>
      </c>
      <c r="G124" s="62"/>
      <c r="H124" s="62"/>
      <c r="I124" s="60"/>
      <c r="J124" s="60"/>
      <c r="K124" s="64"/>
      <c r="L124" s="64"/>
      <c r="M124" s="25"/>
      <c r="N124" s="25"/>
    </row>
    <row r="125" spans="1:14">
      <c r="A125" s="8" t="s">
        <v>208</v>
      </c>
      <c r="B125" s="4" t="s">
        <v>209</v>
      </c>
      <c r="C125" s="7"/>
      <c r="D125" s="7">
        <f>F125-E125</f>
        <v>0</v>
      </c>
      <c r="E125" s="6">
        <f t="shared" si="3"/>
        <v>0</v>
      </c>
      <c r="F125" s="6">
        <f t="shared" si="4"/>
        <v>0</v>
      </c>
      <c r="G125" s="62"/>
      <c r="H125" s="62"/>
      <c r="I125" s="60"/>
      <c r="J125" s="60"/>
      <c r="K125" s="64"/>
      <c r="L125" s="64"/>
      <c r="M125" s="25"/>
      <c r="N125" s="25"/>
    </row>
    <row r="126" spans="1:14">
      <c r="A126" s="8" t="s">
        <v>210</v>
      </c>
      <c r="B126" s="4" t="s">
        <v>211</v>
      </c>
      <c r="C126" s="7">
        <f>E126-F126</f>
        <v>0</v>
      </c>
      <c r="D126" s="7"/>
      <c r="E126" s="6">
        <f t="shared" si="3"/>
        <v>0</v>
      </c>
      <c r="F126" s="6">
        <f t="shared" si="4"/>
        <v>0</v>
      </c>
      <c r="G126" s="62"/>
      <c r="H126" s="62"/>
      <c r="I126" s="60"/>
      <c r="J126" s="60"/>
      <c r="K126" s="64"/>
      <c r="L126" s="64"/>
      <c r="M126" s="25"/>
      <c r="N126" s="25"/>
    </row>
    <row r="127" spans="1:14" ht="28.5">
      <c r="A127" s="8" t="s">
        <v>212</v>
      </c>
      <c r="B127" s="4" t="s">
        <v>213</v>
      </c>
      <c r="C127" s="7"/>
      <c r="D127" s="7">
        <f>F127-E127</f>
        <v>0</v>
      </c>
      <c r="E127" s="6">
        <f t="shared" si="3"/>
        <v>0</v>
      </c>
      <c r="F127" s="6">
        <f t="shared" si="4"/>
        <v>0</v>
      </c>
      <c r="G127" s="62"/>
      <c r="H127" s="62"/>
      <c r="I127" s="60"/>
      <c r="J127" s="60"/>
      <c r="K127" s="64"/>
      <c r="L127" s="64"/>
      <c r="M127" s="25"/>
      <c r="N127" s="25"/>
    </row>
    <row r="128" spans="1:14">
      <c r="A128" s="8" t="s">
        <v>214</v>
      </c>
      <c r="B128" s="4" t="s">
        <v>215</v>
      </c>
      <c r="C128" s="7">
        <f>E128-F128</f>
        <v>0</v>
      </c>
      <c r="D128" s="7"/>
      <c r="E128" s="6">
        <f t="shared" si="3"/>
        <v>0</v>
      </c>
      <c r="F128" s="6">
        <f t="shared" si="4"/>
        <v>0</v>
      </c>
      <c r="G128" s="62"/>
      <c r="H128" s="62"/>
      <c r="I128" s="60"/>
      <c r="J128" s="60"/>
      <c r="K128" s="64"/>
      <c r="L128" s="64"/>
      <c r="M128" s="25"/>
      <c r="N128" s="25"/>
    </row>
    <row r="129" spans="1:14" ht="28.5">
      <c r="A129" s="8" t="s">
        <v>216</v>
      </c>
      <c r="B129" s="4" t="s">
        <v>217</v>
      </c>
      <c r="C129" s="7"/>
      <c r="D129" s="7">
        <f>F129-E129</f>
        <v>0</v>
      </c>
      <c r="E129" s="6">
        <f t="shared" si="3"/>
        <v>0</v>
      </c>
      <c r="F129" s="6">
        <f t="shared" si="4"/>
        <v>0</v>
      </c>
      <c r="G129" s="62"/>
      <c r="H129" s="62"/>
      <c r="I129" s="60"/>
      <c r="J129" s="60"/>
      <c r="K129" s="64"/>
      <c r="L129" s="64"/>
      <c r="M129" s="25"/>
      <c r="N129" s="25"/>
    </row>
    <row r="130" spans="1:14">
      <c r="A130" s="8" t="s">
        <v>218</v>
      </c>
      <c r="B130" s="4" t="s">
        <v>219</v>
      </c>
      <c r="C130" s="7">
        <f>E130-F130</f>
        <v>0</v>
      </c>
      <c r="D130" s="7"/>
      <c r="E130" s="6">
        <f t="shared" si="3"/>
        <v>0</v>
      </c>
      <c r="F130" s="6">
        <f t="shared" si="4"/>
        <v>0</v>
      </c>
      <c r="G130" s="62"/>
      <c r="H130" s="62"/>
      <c r="I130" s="60"/>
      <c r="J130" s="60"/>
      <c r="K130" s="64"/>
      <c r="L130" s="64"/>
      <c r="M130" s="25"/>
      <c r="N130" s="25"/>
    </row>
    <row r="131" spans="1:14">
      <c r="A131" s="8" t="s">
        <v>220</v>
      </c>
      <c r="B131" s="4" t="s">
        <v>221</v>
      </c>
      <c r="C131" s="7"/>
      <c r="D131" s="7">
        <f>F131-E131</f>
        <v>0</v>
      </c>
      <c r="E131" s="6">
        <f t="shared" si="3"/>
        <v>0</v>
      </c>
      <c r="F131" s="6">
        <f t="shared" si="4"/>
        <v>0</v>
      </c>
      <c r="G131" s="62"/>
      <c r="H131" s="62"/>
      <c r="I131" s="60"/>
      <c r="J131" s="60"/>
      <c r="K131" s="64"/>
      <c r="L131" s="64"/>
      <c r="M131" s="25"/>
      <c r="N131" s="25"/>
    </row>
    <row r="132" spans="1:14">
      <c r="A132" s="8" t="s">
        <v>222</v>
      </c>
      <c r="B132" s="4" t="s">
        <v>223</v>
      </c>
      <c r="C132" s="7">
        <f>E132-F132</f>
        <v>0</v>
      </c>
      <c r="D132" s="7"/>
      <c r="E132" s="6">
        <f t="shared" si="3"/>
        <v>0</v>
      </c>
      <c r="F132" s="6">
        <f t="shared" si="4"/>
        <v>0</v>
      </c>
      <c r="G132" s="62"/>
      <c r="H132" s="62"/>
      <c r="I132" s="60"/>
      <c r="J132" s="60"/>
      <c r="K132" s="64"/>
      <c r="L132" s="64"/>
      <c r="M132" s="25"/>
      <c r="N132" s="25"/>
    </row>
    <row r="133" spans="1:14" ht="28.5">
      <c r="A133" s="8" t="s">
        <v>224</v>
      </c>
      <c r="B133" s="4" t="s">
        <v>225</v>
      </c>
      <c r="C133" s="7"/>
      <c r="D133" s="7">
        <f>F133-E133</f>
        <v>0</v>
      </c>
      <c r="E133" s="6">
        <f t="shared" si="3"/>
        <v>0</v>
      </c>
      <c r="F133" s="6">
        <f t="shared" si="4"/>
        <v>0</v>
      </c>
      <c r="G133" s="62"/>
      <c r="H133" s="62"/>
      <c r="I133" s="60"/>
      <c r="J133" s="60"/>
      <c r="K133" s="64"/>
      <c r="L133" s="64"/>
      <c r="M133" s="25"/>
      <c r="N133" s="25"/>
    </row>
    <row r="134" spans="1:14">
      <c r="A134" s="8" t="s">
        <v>226</v>
      </c>
      <c r="B134" s="4" t="s">
        <v>227</v>
      </c>
      <c r="C134" s="7">
        <f>E134-F134</f>
        <v>0</v>
      </c>
      <c r="D134" s="7"/>
      <c r="E134" s="6">
        <f t="shared" si="3"/>
        <v>0</v>
      </c>
      <c r="F134" s="6">
        <f t="shared" si="4"/>
        <v>0</v>
      </c>
      <c r="G134" s="62"/>
      <c r="H134" s="62"/>
      <c r="I134" s="60"/>
      <c r="J134" s="60"/>
      <c r="K134" s="64"/>
      <c r="L134" s="64"/>
      <c r="M134" s="25"/>
      <c r="N134" s="25"/>
    </row>
    <row r="135" spans="1:14" ht="28.5">
      <c r="A135" s="8" t="s">
        <v>228</v>
      </c>
      <c r="B135" s="4" t="s">
        <v>229</v>
      </c>
      <c r="C135" s="7"/>
      <c r="D135" s="7">
        <f>F135-E135</f>
        <v>0</v>
      </c>
      <c r="E135" s="6">
        <f t="shared" si="3"/>
        <v>0</v>
      </c>
      <c r="F135" s="6">
        <f t="shared" si="4"/>
        <v>0</v>
      </c>
      <c r="G135" s="62"/>
      <c r="H135" s="62"/>
      <c r="I135" s="60"/>
      <c r="J135" s="60"/>
      <c r="K135" s="64"/>
      <c r="L135" s="64"/>
      <c r="M135" s="25"/>
      <c r="N135" s="25"/>
    </row>
    <row r="136" spans="1:14">
      <c r="A136" s="8" t="s">
        <v>230</v>
      </c>
      <c r="B136" s="4" t="s">
        <v>231</v>
      </c>
      <c r="C136" s="7">
        <f>E136-F136</f>
        <v>0</v>
      </c>
      <c r="D136" s="7"/>
      <c r="E136" s="6">
        <f t="shared" si="3"/>
        <v>0</v>
      </c>
      <c r="F136" s="6">
        <f t="shared" si="4"/>
        <v>0</v>
      </c>
      <c r="G136" s="62"/>
      <c r="H136" s="62"/>
      <c r="I136" s="60"/>
      <c r="J136" s="60"/>
      <c r="K136" s="64"/>
      <c r="L136" s="64"/>
      <c r="M136" s="25"/>
      <c r="N136" s="25"/>
    </row>
    <row r="137" spans="1:14">
      <c r="A137" s="8" t="s">
        <v>232</v>
      </c>
      <c r="B137" s="4" t="s">
        <v>233</v>
      </c>
      <c r="C137" s="7"/>
      <c r="D137" s="7">
        <f>F137-E137</f>
        <v>0</v>
      </c>
      <c r="E137" s="6">
        <f t="shared" si="3"/>
        <v>0</v>
      </c>
      <c r="F137" s="6">
        <f t="shared" si="4"/>
        <v>0</v>
      </c>
      <c r="G137" s="62"/>
      <c r="H137" s="62"/>
      <c r="I137" s="60"/>
      <c r="J137" s="60"/>
      <c r="K137" s="64"/>
      <c r="L137" s="64"/>
      <c r="M137" s="25"/>
      <c r="N137" s="25"/>
    </row>
    <row r="138" spans="1:14">
      <c r="A138" s="8" t="s">
        <v>234</v>
      </c>
      <c r="B138" s="4" t="s">
        <v>235</v>
      </c>
      <c r="C138" s="7">
        <f>E138-F138</f>
        <v>0</v>
      </c>
      <c r="D138" s="7"/>
      <c r="E138" s="6">
        <f t="shared" si="3"/>
        <v>0</v>
      </c>
      <c r="F138" s="6">
        <f t="shared" si="4"/>
        <v>0</v>
      </c>
      <c r="G138" s="62"/>
      <c r="H138" s="62"/>
      <c r="I138" s="60"/>
      <c r="J138" s="60"/>
      <c r="K138" s="64"/>
      <c r="L138" s="64"/>
      <c r="M138" s="25"/>
      <c r="N138" s="25"/>
    </row>
    <row r="139" spans="1:14">
      <c r="A139" s="8" t="s">
        <v>236</v>
      </c>
      <c r="B139" s="4" t="s">
        <v>237</v>
      </c>
      <c r="C139" s="7"/>
      <c r="D139" s="7">
        <f>F139-E139</f>
        <v>0</v>
      </c>
      <c r="E139" s="6">
        <f t="shared" si="3"/>
        <v>0</v>
      </c>
      <c r="F139" s="6">
        <f t="shared" si="4"/>
        <v>0</v>
      </c>
      <c r="G139" s="62"/>
      <c r="H139" s="62"/>
      <c r="I139" s="60"/>
      <c r="J139" s="60"/>
      <c r="K139" s="64"/>
      <c r="L139" s="64"/>
      <c r="M139" s="25"/>
      <c r="N139" s="25"/>
    </row>
    <row r="140" spans="1:14">
      <c r="A140" s="8" t="s">
        <v>238</v>
      </c>
      <c r="B140" s="4" t="s">
        <v>239</v>
      </c>
      <c r="C140" s="7">
        <f>E140-F140</f>
        <v>0</v>
      </c>
      <c r="D140" s="7"/>
      <c r="E140" s="6">
        <f t="shared" si="3"/>
        <v>0</v>
      </c>
      <c r="F140" s="6">
        <f t="shared" si="4"/>
        <v>0</v>
      </c>
      <c r="G140" s="62"/>
      <c r="H140" s="62"/>
      <c r="I140" s="60"/>
      <c r="J140" s="60"/>
      <c r="K140" s="64"/>
      <c r="L140" s="64"/>
      <c r="M140" s="25"/>
      <c r="N140" s="25"/>
    </row>
    <row r="141" spans="1:14" ht="28.5">
      <c r="A141" s="8" t="s">
        <v>240</v>
      </c>
      <c r="B141" s="4" t="s">
        <v>241</v>
      </c>
      <c r="C141" s="7"/>
      <c r="D141" s="7">
        <f>F141-E141</f>
        <v>0</v>
      </c>
      <c r="E141" s="6">
        <f t="shared" si="3"/>
        <v>0</v>
      </c>
      <c r="F141" s="6">
        <f t="shared" si="4"/>
        <v>0</v>
      </c>
      <c r="G141" s="62"/>
      <c r="H141" s="62"/>
      <c r="I141" s="60"/>
      <c r="J141" s="60"/>
      <c r="K141" s="64"/>
      <c r="L141" s="64"/>
      <c r="M141" s="25"/>
      <c r="N141" s="25"/>
    </row>
    <row r="142" spans="1:14">
      <c r="A142" s="8" t="s">
        <v>242</v>
      </c>
      <c r="B142" s="4" t="s">
        <v>243</v>
      </c>
      <c r="C142" s="7">
        <f>E142-F142</f>
        <v>0</v>
      </c>
      <c r="D142" s="7"/>
      <c r="E142" s="6">
        <f t="shared" ref="E142:E205" si="5">SUM(G142,I142,K142,M142)</f>
        <v>0</v>
      </c>
      <c r="F142" s="6">
        <f t="shared" ref="F142:F205" si="6">SUM(H142,J142,L142,N142)</f>
        <v>0</v>
      </c>
      <c r="G142" s="62"/>
      <c r="H142" s="62"/>
      <c r="I142" s="60"/>
      <c r="J142" s="60"/>
      <c r="K142" s="64"/>
      <c r="L142" s="64"/>
      <c r="M142" s="25"/>
      <c r="N142" s="25"/>
    </row>
    <row r="143" spans="1:14">
      <c r="A143" s="8" t="s">
        <v>244</v>
      </c>
      <c r="B143" s="4" t="s">
        <v>245</v>
      </c>
      <c r="C143" s="7"/>
      <c r="D143" s="7">
        <f>F143-E143</f>
        <v>0</v>
      </c>
      <c r="E143" s="6">
        <f t="shared" si="5"/>
        <v>0</v>
      </c>
      <c r="F143" s="6">
        <f t="shared" si="6"/>
        <v>0</v>
      </c>
      <c r="G143" s="62"/>
      <c r="H143" s="62"/>
      <c r="I143" s="60"/>
      <c r="J143" s="60"/>
      <c r="K143" s="64"/>
      <c r="L143" s="64"/>
      <c r="M143" s="25"/>
      <c r="N143" s="25"/>
    </row>
    <row r="144" spans="1:14">
      <c r="A144" s="8" t="s">
        <v>246</v>
      </c>
      <c r="B144" s="4" t="s">
        <v>247</v>
      </c>
      <c r="C144" s="7">
        <f>E144-F144</f>
        <v>0</v>
      </c>
      <c r="D144" s="7"/>
      <c r="E144" s="6">
        <f t="shared" si="5"/>
        <v>0</v>
      </c>
      <c r="F144" s="6">
        <f t="shared" si="6"/>
        <v>0</v>
      </c>
      <c r="G144" s="62"/>
      <c r="H144" s="62"/>
      <c r="I144" s="60"/>
      <c r="J144" s="60"/>
      <c r="K144" s="64"/>
      <c r="L144" s="64"/>
      <c r="M144" s="25"/>
      <c r="N144" s="25"/>
    </row>
    <row r="145" spans="1:14" ht="28.5">
      <c r="A145" s="8" t="s">
        <v>248</v>
      </c>
      <c r="B145" s="4" t="s">
        <v>249</v>
      </c>
      <c r="C145" s="7"/>
      <c r="D145" s="7">
        <f>F145-E145</f>
        <v>0</v>
      </c>
      <c r="E145" s="6">
        <f t="shared" si="5"/>
        <v>0</v>
      </c>
      <c r="F145" s="6">
        <f t="shared" si="6"/>
        <v>0</v>
      </c>
      <c r="G145" s="62"/>
      <c r="H145" s="62"/>
      <c r="I145" s="60"/>
      <c r="J145" s="60"/>
      <c r="K145" s="64"/>
      <c r="L145" s="64"/>
      <c r="M145" s="25"/>
      <c r="N145" s="25"/>
    </row>
    <row r="146" spans="1:14">
      <c r="A146" s="8" t="s">
        <v>250</v>
      </c>
      <c r="B146" s="4" t="s">
        <v>251</v>
      </c>
      <c r="C146" s="7">
        <f>E146-F146</f>
        <v>0</v>
      </c>
      <c r="D146" s="7"/>
      <c r="E146" s="6">
        <f t="shared" si="5"/>
        <v>0</v>
      </c>
      <c r="F146" s="6">
        <f t="shared" si="6"/>
        <v>0</v>
      </c>
      <c r="G146" s="62"/>
      <c r="H146" s="62"/>
      <c r="I146" s="60"/>
      <c r="J146" s="60"/>
      <c r="K146" s="64"/>
      <c r="L146" s="64"/>
      <c r="M146" s="25"/>
      <c r="N146" s="25"/>
    </row>
    <row r="147" spans="1:14" ht="28.5">
      <c r="A147" s="8" t="s">
        <v>252</v>
      </c>
      <c r="B147" s="4" t="s">
        <v>253</v>
      </c>
      <c r="C147" s="7"/>
      <c r="D147" s="7">
        <f>F147-E147</f>
        <v>0</v>
      </c>
      <c r="E147" s="6">
        <f t="shared" si="5"/>
        <v>0</v>
      </c>
      <c r="F147" s="6">
        <f t="shared" si="6"/>
        <v>0</v>
      </c>
      <c r="G147" s="62"/>
      <c r="H147" s="62"/>
      <c r="I147" s="60"/>
      <c r="J147" s="60"/>
      <c r="K147" s="64"/>
      <c r="L147" s="64"/>
      <c r="M147" s="25"/>
      <c r="N147" s="25"/>
    </row>
    <row r="148" spans="1:14">
      <c r="A148" s="8" t="s">
        <v>254</v>
      </c>
      <c r="B148" s="4" t="s">
        <v>255</v>
      </c>
      <c r="C148" s="7">
        <f t="shared" ref="C148:C173" si="7">E148-F148</f>
        <v>0</v>
      </c>
      <c r="D148" s="7"/>
      <c r="E148" s="6">
        <f t="shared" si="5"/>
        <v>0</v>
      </c>
      <c r="F148" s="6">
        <f t="shared" si="6"/>
        <v>0</v>
      </c>
      <c r="G148" s="62"/>
      <c r="H148" s="62"/>
      <c r="I148" s="60"/>
      <c r="J148" s="60"/>
      <c r="K148" s="64"/>
      <c r="L148" s="64"/>
      <c r="M148" s="25"/>
      <c r="N148" s="25"/>
    </row>
    <row r="149" spans="1:14">
      <c r="A149" s="8" t="s">
        <v>256</v>
      </c>
      <c r="B149" s="4" t="s">
        <v>257</v>
      </c>
      <c r="C149" s="7">
        <f t="shared" si="7"/>
        <v>0</v>
      </c>
      <c r="D149" s="7"/>
      <c r="E149" s="6">
        <f t="shared" si="5"/>
        <v>0</v>
      </c>
      <c r="F149" s="6">
        <f t="shared" si="6"/>
        <v>0</v>
      </c>
      <c r="G149" s="62"/>
      <c r="H149" s="62"/>
      <c r="I149" s="60"/>
      <c r="J149" s="60"/>
      <c r="K149" s="64"/>
      <c r="L149" s="64"/>
      <c r="M149" s="25"/>
      <c r="N149" s="25"/>
    </row>
    <row r="150" spans="1:14">
      <c r="A150" s="8" t="s">
        <v>258</v>
      </c>
      <c r="B150" s="4" t="s">
        <v>259</v>
      </c>
      <c r="C150" s="7">
        <f t="shared" si="7"/>
        <v>0</v>
      </c>
      <c r="D150" s="7"/>
      <c r="E150" s="6">
        <f t="shared" si="5"/>
        <v>0</v>
      </c>
      <c r="F150" s="6">
        <f t="shared" si="6"/>
        <v>0</v>
      </c>
      <c r="G150" s="62"/>
      <c r="H150" s="62"/>
      <c r="I150" s="60"/>
      <c r="J150" s="60"/>
      <c r="K150" s="64"/>
      <c r="L150" s="64"/>
      <c r="M150" s="25"/>
      <c r="N150" s="25"/>
    </row>
    <row r="151" spans="1:14" ht="28.5">
      <c r="A151" s="8" t="s">
        <v>260</v>
      </c>
      <c r="B151" s="4" t="s">
        <v>261</v>
      </c>
      <c r="C151" s="7">
        <f t="shared" si="7"/>
        <v>0</v>
      </c>
      <c r="D151" s="7"/>
      <c r="E151" s="6">
        <f t="shared" si="5"/>
        <v>0</v>
      </c>
      <c r="F151" s="6">
        <f t="shared" si="6"/>
        <v>0</v>
      </c>
      <c r="G151" s="62"/>
      <c r="H151" s="62"/>
      <c r="I151" s="60"/>
      <c r="J151" s="60"/>
      <c r="K151" s="64"/>
      <c r="L151" s="64"/>
      <c r="M151" s="25"/>
      <c r="N151" s="25"/>
    </row>
    <row r="152" spans="1:14">
      <c r="A152" s="8" t="s">
        <v>262</v>
      </c>
      <c r="B152" s="4" t="s">
        <v>263</v>
      </c>
      <c r="C152" s="7">
        <f t="shared" si="7"/>
        <v>0</v>
      </c>
      <c r="D152" s="7"/>
      <c r="E152" s="6">
        <f t="shared" si="5"/>
        <v>0</v>
      </c>
      <c r="F152" s="6">
        <f t="shared" si="6"/>
        <v>0</v>
      </c>
      <c r="G152" s="62"/>
      <c r="H152" s="62"/>
      <c r="I152" s="60"/>
      <c r="J152" s="60"/>
      <c r="K152" s="64"/>
      <c r="L152" s="64"/>
      <c r="M152" s="25"/>
      <c r="N152" s="25"/>
    </row>
    <row r="153" spans="1:14">
      <c r="A153" s="8" t="s">
        <v>264</v>
      </c>
      <c r="B153" s="4" t="s">
        <v>265</v>
      </c>
      <c r="C153" s="7">
        <f t="shared" si="7"/>
        <v>0</v>
      </c>
      <c r="D153" s="7"/>
      <c r="E153" s="6">
        <f t="shared" si="5"/>
        <v>0</v>
      </c>
      <c r="F153" s="6">
        <f t="shared" si="6"/>
        <v>0</v>
      </c>
      <c r="G153" s="62"/>
      <c r="H153" s="62"/>
      <c r="I153" s="60"/>
      <c r="J153" s="60"/>
      <c r="K153" s="64"/>
      <c r="L153" s="64"/>
      <c r="M153" s="25"/>
      <c r="N153" s="25"/>
    </row>
    <row r="154" spans="1:14" ht="28.5">
      <c r="A154" s="8" t="s">
        <v>266</v>
      </c>
      <c r="B154" s="4" t="s">
        <v>267</v>
      </c>
      <c r="C154" s="7">
        <f t="shared" si="7"/>
        <v>0</v>
      </c>
      <c r="D154" s="7"/>
      <c r="E154" s="6">
        <f t="shared" si="5"/>
        <v>0</v>
      </c>
      <c r="F154" s="6">
        <f t="shared" si="6"/>
        <v>0</v>
      </c>
      <c r="G154" s="62"/>
      <c r="H154" s="62"/>
      <c r="I154" s="60"/>
      <c r="J154" s="60"/>
      <c r="K154" s="64"/>
      <c r="L154" s="64"/>
      <c r="M154" s="25"/>
      <c r="N154" s="25"/>
    </row>
    <row r="155" spans="1:14">
      <c r="A155" s="8" t="s">
        <v>268</v>
      </c>
      <c r="B155" s="4" t="s">
        <v>269</v>
      </c>
      <c r="C155" s="7">
        <f t="shared" si="7"/>
        <v>0</v>
      </c>
      <c r="D155" s="7"/>
      <c r="E155" s="6">
        <f t="shared" si="5"/>
        <v>0</v>
      </c>
      <c r="F155" s="6">
        <f t="shared" si="6"/>
        <v>0</v>
      </c>
      <c r="G155" s="62"/>
      <c r="H155" s="62"/>
      <c r="I155" s="60"/>
      <c r="J155" s="60"/>
      <c r="K155" s="64"/>
      <c r="L155" s="64"/>
      <c r="M155" s="25"/>
      <c r="N155" s="25"/>
    </row>
    <row r="156" spans="1:14">
      <c r="A156" s="8" t="s">
        <v>270</v>
      </c>
      <c r="B156" s="4" t="s">
        <v>271</v>
      </c>
      <c r="C156" s="7">
        <f t="shared" si="7"/>
        <v>0</v>
      </c>
      <c r="D156" s="7"/>
      <c r="E156" s="6">
        <f t="shared" si="5"/>
        <v>0</v>
      </c>
      <c r="F156" s="6">
        <f t="shared" si="6"/>
        <v>0</v>
      </c>
      <c r="G156" s="62"/>
      <c r="H156" s="62"/>
      <c r="I156" s="60"/>
      <c r="J156" s="60"/>
      <c r="K156" s="64"/>
      <c r="L156" s="64"/>
      <c r="M156" s="25"/>
      <c r="N156" s="25"/>
    </row>
    <row r="157" spans="1:14">
      <c r="A157" s="8" t="s">
        <v>272</v>
      </c>
      <c r="B157" s="4" t="s">
        <v>273</v>
      </c>
      <c r="C157" s="7">
        <f t="shared" si="7"/>
        <v>0</v>
      </c>
      <c r="D157" s="7"/>
      <c r="E157" s="6">
        <f t="shared" si="5"/>
        <v>0</v>
      </c>
      <c r="F157" s="6">
        <f t="shared" si="6"/>
        <v>0</v>
      </c>
      <c r="G157" s="62"/>
      <c r="H157" s="62"/>
      <c r="I157" s="60"/>
      <c r="J157" s="60"/>
      <c r="K157" s="64"/>
      <c r="L157" s="64"/>
      <c r="M157" s="25"/>
      <c r="N157" s="25"/>
    </row>
    <row r="158" spans="1:14">
      <c r="A158" s="8" t="s">
        <v>274</v>
      </c>
      <c r="B158" s="4" t="s">
        <v>275</v>
      </c>
      <c r="C158" s="7">
        <f t="shared" si="7"/>
        <v>0</v>
      </c>
      <c r="D158" s="7"/>
      <c r="E158" s="6">
        <f t="shared" si="5"/>
        <v>0</v>
      </c>
      <c r="F158" s="6">
        <f t="shared" si="6"/>
        <v>0</v>
      </c>
      <c r="G158" s="62"/>
      <c r="H158" s="62"/>
      <c r="I158" s="60"/>
      <c r="J158" s="60"/>
      <c r="K158" s="64"/>
      <c r="L158" s="64"/>
      <c r="M158" s="25"/>
      <c r="N158" s="25"/>
    </row>
    <row r="159" spans="1:14" ht="28.5">
      <c r="A159" s="8" t="s">
        <v>276</v>
      </c>
      <c r="B159" s="4" t="s">
        <v>277</v>
      </c>
      <c r="C159" s="7">
        <f t="shared" si="7"/>
        <v>0</v>
      </c>
      <c r="D159" s="7"/>
      <c r="E159" s="6">
        <f t="shared" si="5"/>
        <v>0</v>
      </c>
      <c r="F159" s="6">
        <f t="shared" si="6"/>
        <v>0</v>
      </c>
      <c r="G159" s="62"/>
      <c r="H159" s="62"/>
      <c r="I159" s="60"/>
      <c r="J159" s="60"/>
      <c r="K159" s="64"/>
      <c r="L159" s="64"/>
      <c r="M159" s="25"/>
      <c r="N159" s="25"/>
    </row>
    <row r="160" spans="1:14" ht="28.5">
      <c r="A160" s="8" t="s">
        <v>278</v>
      </c>
      <c r="B160" s="4" t="s">
        <v>279</v>
      </c>
      <c r="C160" s="7">
        <f t="shared" si="7"/>
        <v>0</v>
      </c>
      <c r="D160" s="7"/>
      <c r="E160" s="6">
        <f t="shared" si="5"/>
        <v>0</v>
      </c>
      <c r="F160" s="6">
        <f t="shared" si="6"/>
        <v>0</v>
      </c>
      <c r="G160" s="62"/>
      <c r="H160" s="62"/>
      <c r="I160" s="60"/>
      <c r="J160" s="60"/>
      <c r="K160" s="64"/>
      <c r="L160" s="64"/>
      <c r="M160" s="25"/>
      <c r="N160" s="25"/>
    </row>
    <row r="161" spans="1:14" ht="28.5">
      <c r="A161" s="8" t="s">
        <v>280</v>
      </c>
      <c r="B161" s="4" t="s">
        <v>281</v>
      </c>
      <c r="C161" s="7">
        <f t="shared" si="7"/>
        <v>0</v>
      </c>
      <c r="D161" s="7"/>
      <c r="E161" s="6">
        <f t="shared" si="5"/>
        <v>0</v>
      </c>
      <c r="F161" s="6">
        <f t="shared" si="6"/>
        <v>0</v>
      </c>
      <c r="G161" s="62"/>
      <c r="H161" s="62"/>
      <c r="I161" s="60"/>
      <c r="J161" s="60"/>
      <c r="K161" s="64"/>
      <c r="L161" s="64"/>
      <c r="M161" s="25"/>
      <c r="N161" s="25"/>
    </row>
    <row r="162" spans="1:14" ht="28.5">
      <c r="A162" s="8" t="s">
        <v>282</v>
      </c>
      <c r="B162" s="4" t="s">
        <v>283</v>
      </c>
      <c r="C162" s="7">
        <f t="shared" si="7"/>
        <v>0</v>
      </c>
      <c r="D162" s="7"/>
      <c r="E162" s="6">
        <f t="shared" si="5"/>
        <v>0</v>
      </c>
      <c r="F162" s="6">
        <f t="shared" si="6"/>
        <v>0</v>
      </c>
      <c r="G162" s="62"/>
      <c r="H162" s="62"/>
      <c r="I162" s="60"/>
      <c r="J162" s="60"/>
      <c r="K162" s="64"/>
      <c r="L162" s="64"/>
      <c r="M162" s="25"/>
      <c r="N162" s="25"/>
    </row>
    <row r="163" spans="1:14" ht="28.5">
      <c r="A163" s="8" t="s">
        <v>284</v>
      </c>
      <c r="B163" s="4" t="s">
        <v>285</v>
      </c>
      <c r="C163" s="7">
        <f t="shared" si="7"/>
        <v>0</v>
      </c>
      <c r="D163" s="7"/>
      <c r="E163" s="6">
        <f t="shared" si="5"/>
        <v>0</v>
      </c>
      <c r="F163" s="6">
        <f t="shared" si="6"/>
        <v>0</v>
      </c>
      <c r="G163" s="62"/>
      <c r="H163" s="62"/>
      <c r="I163" s="60"/>
      <c r="J163" s="60"/>
      <c r="K163" s="64"/>
      <c r="L163" s="64"/>
      <c r="M163" s="25"/>
      <c r="N163" s="25"/>
    </row>
    <row r="164" spans="1:14">
      <c r="A164" s="8" t="s">
        <v>286</v>
      </c>
      <c r="B164" s="4" t="s">
        <v>287</v>
      </c>
      <c r="C164" s="7">
        <f t="shared" si="7"/>
        <v>0</v>
      </c>
      <c r="D164" s="7"/>
      <c r="E164" s="6">
        <f t="shared" si="5"/>
        <v>0</v>
      </c>
      <c r="F164" s="6">
        <f t="shared" si="6"/>
        <v>0</v>
      </c>
      <c r="G164" s="62"/>
      <c r="H164" s="62"/>
      <c r="I164" s="60"/>
      <c r="J164" s="60"/>
      <c r="K164" s="64"/>
      <c r="L164" s="64"/>
      <c r="M164" s="25"/>
      <c r="N164" s="25"/>
    </row>
    <row r="165" spans="1:14" ht="28.5">
      <c r="A165" s="8" t="s">
        <v>288</v>
      </c>
      <c r="B165" s="4" t="s">
        <v>289</v>
      </c>
      <c r="C165" s="7">
        <f t="shared" si="7"/>
        <v>0</v>
      </c>
      <c r="D165" s="7"/>
      <c r="E165" s="6">
        <f t="shared" si="5"/>
        <v>0</v>
      </c>
      <c r="F165" s="6">
        <f t="shared" si="6"/>
        <v>0</v>
      </c>
      <c r="G165" s="62"/>
      <c r="H165" s="62"/>
      <c r="I165" s="60"/>
      <c r="J165" s="60"/>
      <c r="K165" s="64"/>
      <c r="L165" s="64"/>
      <c r="M165" s="25"/>
      <c r="N165" s="25"/>
    </row>
    <row r="166" spans="1:14" ht="28.5">
      <c r="A166" s="8" t="s">
        <v>290</v>
      </c>
      <c r="B166" s="4" t="s">
        <v>291</v>
      </c>
      <c r="C166" s="7">
        <f t="shared" si="7"/>
        <v>0</v>
      </c>
      <c r="D166" s="7"/>
      <c r="E166" s="6">
        <f t="shared" si="5"/>
        <v>0</v>
      </c>
      <c r="F166" s="6">
        <f t="shared" si="6"/>
        <v>0</v>
      </c>
      <c r="G166" s="62"/>
      <c r="H166" s="62"/>
      <c r="I166" s="60"/>
      <c r="J166" s="60"/>
      <c r="K166" s="64"/>
      <c r="L166" s="64"/>
      <c r="M166" s="25"/>
      <c r="N166" s="25"/>
    </row>
    <row r="167" spans="1:14">
      <c r="A167" s="3" t="s">
        <v>292</v>
      </c>
      <c r="B167" s="4" t="s">
        <v>293</v>
      </c>
      <c r="C167" s="7">
        <f t="shared" si="7"/>
        <v>0</v>
      </c>
      <c r="D167" s="7"/>
      <c r="E167" s="6">
        <f t="shared" si="5"/>
        <v>0</v>
      </c>
      <c r="F167" s="6">
        <f t="shared" si="6"/>
        <v>0</v>
      </c>
      <c r="G167" s="62"/>
      <c r="H167" s="62"/>
      <c r="I167" s="60"/>
      <c r="J167" s="60"/>
      <c r="K167" s="64"/>
      <c r="L167" s="64"/>
      <c r="M167" s="25"/>
      <c r="N167" s="25"/>
    </row>
    <row r="168" spans="1:14">
      <c r="A168" s="3" t="s">
        <v>294</v>
      </c>
      <c r="B168" s="4" t="s">
        <v>295</v>
      </c>
      <c r="C168" s="7">
        <f t="shared" si="7"/>
        <v>0</v>
      </c>
      <c r="D168" s="7"/>
      <c r="E168" s="6">
        <f t="shared" si="5"/>
        <v>0</v>
      </c>
      <c r="F168" s="6">
        <f t="shared" si="6"/>
        <v>0</v>
      </c>
      <c r="G168" s="62"/>
      <c r="H168" s="62"/>
      <c r="I168" s="60"/>
      <c r="J168" s="60"/>
      <c r="K168" s="64"/>
      <c r="L168" s="64"/>
      <c r="M168" s="25"/>
      <c r="N168" s="25"/>
    </row>
    <row r="169" spans="1:14">
      <c r="A169" s="3" t="s">
        <v>296</v>
      </c>
      <c r="B169" s="10" t="s">
        <v>297</v>
      </c>
      <c r="C169" s="7">
        <f t="shared" si="7"/>
        <v>0</v>
      </c>
      <c r="D169" s="7"/>
      <c r="E169" s="6">
        <f t="shared" si="5"/>
        <v>0</v>
      </c>
      <c r="F169" s="6">
        <f t="shared" si="6"/>
        <v>0</v>
      </c>
      <c r="G169" s="62"/>
      <c r="H169" s="62"/>
      <c r="I169" s="60"/>
      <c r="J169" s="60"/>
      <c r="K169" s="64"/>
      <c r="L169" s="64"/>
      <c r="M169" s="25"/>
      <c r="N169" s="25"/>
    </row>
    <row r="170" spans="1:14">
      <c r="A170" s="3" t="s">
        <v>298</v>
      </c>
      <c r="B170" s="10" t="s">
        <v>299</v>
      </c>
      <c r="C170" s="7">
        <f t="shared" si="7"/>
        <v>0</v>
      </c>
      <c r="D170" s="7"/>
      <c r="E170" s="6">
        <f t="shared" si="5"/>
        <v>0</v>
      </c>
      <c r="F170" s="6">
        <f t="shared" si="6"/>
        <v>0</v>
      </c>
      <c r="G170" s="62"/>
      <c r="H170" s="62"/>
      <c r="I170" s="60"/>
      <c r="J170" s="60"/>
      <c r="K170" s="64"/>
      <c r="L170" s="64"/>
      <c r="M170" s="25"/>
      <c r="N170" s="25"/>
    </row>
    <row r="171" spans="1:14">
      <c r="A171" s="3" t="s">
        <v>300</v>
      </c>
      <c r="B171" s="10" t="s">
        <v>301</v>
      </c>
      <c r="C171" s="7">
        <f t="shared" si="7"/>
        <v>0</v>
      </c>
      <c r="D171" s="7"/>
      <c r="E171" s="6">
        <f t="shared" si="5"/>
        <v>0</v>
      </c>
      <c r="F171" s="6">
        <f t="shared" si="6"/>
        <v>0</v>
      </c>
      <c r="G171" s="62"/>
      <c r="H171" s="62"/>
      <c r="I171" s="60"/>
      <c r="J171" s="60"/>
      <c r="K171" s="64"/>
      <c r="L171" s="64"/>
      <c r="M171" s="25"/>
      <c r="N171" s="25"/>
    </row>
    <row r="172" spans="1:14">
      <c r="A172" s="3" t="s">
        <v>302</v>
      </c>
      <c r="B172" s="10" t="s">
        <v>303</v>
      </c>
      <c r="C172" s="7">
        <f t="shared" si="7"/>
        <v>0</v>
      </c>
      <c r="D172" s="7"/>
      <c r="E172" s="6">
        <f t="shared" si="5"/>
        <v>0</v>
      </c>
      <c r="F172" s="6">
        <f t="shared" si="6"/>
        <v>0</v>
      </c>
      <c r="G172" s="62"/>
      <c r="H172" s="62"/>
      <c r="I172" s="60"/>
      <c r="J172" s="60"/>
      <c r="K172" s="64"/>
      <c r="L172" s="64"/>
      <c r="M172" s="25"/>
      <c r="N172" s="25"/>
    </row>
    <row r="173" spans="1:14">
      <c r="A173" s="3" t="s">
        <v>304</v>
      </c>
      <c r="B173" s="10" t="s">
        <v>305</v>
      </c>
      <c r="C173" s="7">
        <f t="shared" si="7"/>
        <v>0</v>
      </c>
      <c r="D173" s="7"/>
      <c r="E173" s="6">
        <f t="shared" si="5"/>
        <v>0</v>
      </c>
      <c r="F173" s="6">
        <f t="shared" si="6"/>
        <v>0</v>
      </c>
      <c r="G173" s="62"/>
      <c r="H173" s="62"/>
      <c r="I173" s="60"/>
      <c r="J173" s="60"/>
      <c r="K173" s="64"/>
      <c r="L173" s="64"/>
      <c r="M173" s="25"/>
      <c r="N173" s="25"/>
    </row>
    <row r="174" spans="1:14">
      <c r="A174" s="3" t="s">
        <v>306</v>
      </c>
      <c r="B174" s="10" t="s">
        <v>307</v>
      </c>
      <c r="C174" s="7"/>
      <c r="D174" s="7">
        <f t="shared" ref="D174:D237" si="8">F174-E174</f>
        <v>0</v>
      </c>
      <c r="E174" s="6">
        <f t="shared" si="5"/>
        <v>0</v>
      </c>
      <c r="F174" s="6">
        <f t="shared" si="6"/>
        <v>0</v>
      </c>
      <c r="G174" s="62"/>
      <c r="H174" s="62"/>
      <c r="I174" s="60"/>
      <c r="J174" s="60"/>
      <c r="K174" s="64"/>
      <c r="L174" s="64"/>
      <c r="M174" s="25"/>
      <c r="N174" s="25"/>
    </row>
    <row r="175" spans="1:14">
      <c r="A175" s="3" t="s">
        <v>308</v>
      </c>
      <c r="B175" s="10" t="s">
        <v>309</v>
      </c>
      <c r="C175" s="7"/>
      <c r="D175" s="7">
        <f t="shared" si="8"/>
        <v>0</v>
      </c>
      <c r="E175" s="6">
        <f t="shared" si="5"/>
        <v>0</v>
      </c>
      <c r="F175" s="6">
        <f t="shared" si="6"/>
        <v>0</v>
      </c>
      <c r="G175" s="62"/>
      <c r="H175" s="62"/>
      <c r="I175" s="60"/>
      <c r="J175" s="60"/>
      <c r="K175" s="64"/>
      <c r="L175" s="64"/>
      <c r="M175" s="25"/>
      <c r="N175" s="25"/>
    </row>
    <row r="176" spans="1:14">
      <c r="A176" s="3" t="s">
        <v>310</v>
      </c>
      <c r="B176" s="10" t="s">
        <v>311</v>
      </c>
      <c r="C176" s="7"/>
      <c r="D176" s="7">
        <f t="shared" si="8"/>
        <v>-2699.99</v>
      </c>
      <c r="E176" s="6">
        <f t="shared" si="5"/>
        <v>2700.6</v>
      </c>
      <c r="F176" s="6">
        <f t="shared" si="6"/>
        <v>0.61</v>
      </c>
      <c r="G176" s="62">
        <v>2700</v>
      </c>
      <c r="H176" s="62"/>
      <c r="I176" s="60"/>
      <c r="J176" s="60"/>
      <c r="K176" s="64">
        <v>0.6</v>
      </c>
      <c r="L176" s="64">
        <v>0.61</v>
      </c>
      <c r="M176" s="25"/>
      <c r="N176" s="25"/>
    </row>
    <row r="177" spans="1:14">
      <c r="A177" s="3" t="s">
        <v>312</v>
      </c>
      <c r="B177" s="10" t="s">
        <v>313</v>
      </c>
      <c r="C177" s="7"/>
      <c r="D177" s="7">
        <f t="shared" si="8"/>
        <v>0</v>
      </c>
      <c r="E177" s="6">
        <f t="shared" si="5"/>
        <v>0</v>
      </c>
      <c r="F177" s="6">
        <f t="shared" si="6"/>
        <v>0</v>
      </c>
      <c r="G177" s="62"/>
      <c r="H177" s="62"/>
      <c r="I177" s="60"/>
      <c r="J177" s="60"/>
      <c r="K177" s="64"/>
      <c r="L177" s="64"/>
      <c r="M177" s="25"/>
      <c r="N177" s="25"/>
    </row>
    <row r="178" spans="1:14">
      <c r="A178" s="3" t="s">
        <v>314</v>
      </c>
      <c r="B178" s="10" t="s">
        <v>315</v>
      </c>
      <c r="C178" s="7"/>
      <c r="D178" s="7">
        <f t="shared" si="8"/>
        <v>-38599.899999999965</v>
      </c>
      <c r="E178" s="6">
        <f t="shared" si="5"/>
        <v>284170.81</v>
      </c>
      <c r="F178" s="6">
        <f t="shared" si="6"/>
        <v>245570.91000000003</v>
      </c>
      <c r="G178" s="62">
        <v>284170.81</v>
      </c>
      <c r="H178" s="62">
        <v>202331.33000000005</v>
      </c>
      <c r="I178" s="60"/>
      <c r="J178" s="60">
        <v>43239.58</v>
      </c>
      <c r="K178" s="64"/>
      <c r="L178" s="64"/>
      <c r="M178" s="25"/>
      <c r="N178" s="25"/>
    </row>
    <row r="179" spans="1:14">
      <c r="A179" s="3" t="s">
        <v>316</v>
      </c>
      <c r="B179" s="10" t="s">
        <v>317</v>
      </c>
      <c r="C179" s="7"/>
      <c r="D179" s="7">
        <f t="shared" si="8"/>
        <v>4045.76</v>
      </c>
      <c r="E179" s="6">
        <f t="shared" si="5"/>
        <v>0</v>
      </c>
      <c r="F179" s="6">
        <f t="shared" si="6"/>
        <v>4045.76</v>
      </c>
      <c r="G179" s="62"/>
      <c r="H179" s="62"/>
      <c r="I179" s="60"/>
      <c r="J179" s="60">
        <v>4045.76</v>
      </c>
      <c r="K179" s="64"/>
      <c r="L179" s="64"/>
      <c r="M179" s="25"/>
      <c r="N179" s="25"/>
    </row>
    <row r="180" spans="1:14">
      <c r="A180" s="3" t="s">
        <v>318</v>
      </c>
      <c r="B180" s="10" t="s">
        <v>319</v>
      </c>
      <c r="C180" s="7"/>
      <c r="D180" s="7">
        <f t="shared" si="8"/>
        <v>8976.5300000000007</v>
      </c>
      <c r="E180" s="6">
        <f t="shared" si="5"/>
        <v>2300</v>
      </c>
      <c r="F180" s="6">
        <f t="shared" si="6"/>
        <v>11276.53</v>
      </c>
      <c r="G180" s="62">
        <v>2300</v>
      </c>
      <c r="H180" s="62"/>
      <c r="I180" s="60"/>
      <c r="J180" s="60">
        <v>11276.53</v>
      </c>
      <c r="K180" s="64"/>
      <c r="L180" s="64"/>
      <c r="M180" s="25"/>
      <c r="N180" s="25"/>
    </row>
    <row r="181" spans="1:14">
      <c r="A181" s="3" t="s">
        <v>320</v>
      </c>
      <c r="B181" s="10" t="s">
        <v>321</v>
      </c>
      <c r="C181" s="7"/>
      <c r="D181" s="7">
        <f t="shared" si="8"/>
        <v>3175</v>
      </c>
      <c r="E181" s="6">
        <f t="shared" si="5"/>
        <v>1925</v>
      </c>
      <c r="F181" s="6">
        <f t="shared" si="6"/>
        <v>5100</v>
      </c>
      <c r="G181" s="62">
        <v>1925</v>
      </c>
      <c r="H181" s="62"/>
      <c r="I181" s="60"/>
      <c r="J181" s="60">
        <v>5100</v>
      </c>
      <c r="K181" s="64"/>
      <c r="L181" s="64"/>
      <c r="M181" s="25"/>
      <c r="N181" s="25"/>
    </row>
    <row r="182" spans="1:14">
      <c r="A182" s="3" t="s">
        <v>322</v>
      </c>
      <c r="B182" s="10" t="s">
        <v>323</v>
      </c>
      <c r="C182" s="7"/>
      <c r="D182" s="7">
        <f t="shared" si="8"/>
        <v>-171497.8900000006</v>
      </c>
      <c r="E182" s="6">
        <f t="shared" si="5"/>
        <v>4704853.74</v>
      </c>
      <c r="F182" s="6">
        <f t="shared" si="6"/>
        <v>4533355.8499999996</v>
      </c>
      <c r="G182" s="62">
        <v>4259318.37</v>
      </c>
      <c r="H182" s="62"/>
      <c r="I182" s="60">
        <v>288846.37</v>
      </c>
      <c r="J182" s="60"/>
      <c r="K182" s="64"/>
      <c r="L182" s="64">
        <v>2595127.85</v>
      </c>
      <c r="M182" s="25">
        <v>156689</v>
      </c>
      <c r="N182" s="25">
        <v>1938228</v>
      </c>
    </row>
    <row r="183" spans="1:14">
      <c r="A183" s="3" t="s">
        <v>324</v>
      </c>
      <c r="B183" s="10" t="s">
        <v>325</v>
      </c>
      <c r="C183" s="7"/>
      <c r="D183" s="7">
        <f t="shared" si="8"/>
        <v>0</v>
      </c>
      <c r="E183" s="6">
        <f t="shared" si="5"/>
        <v>0</v>
      </c>
      <c r="F183" s="6">
        <f t="shared" si="6"/>
        <v>0</v>
      </c>
      <c r="G183" s="62"/>
      <c r="H183" s="62"/>
      <c r="I183" s="60"/>
      <c r="J183" s="60"/>
      <c r="K183" s="64"/>
      <c r="L183" s="64"/>
      <c r="M183" s="25"/>
      <c r="N183" s="25"/>
    </row>
    <row r="184" spans="1:14">
      <c r="A184" s="3" t="s">
        <v>326</v>
      </c>
      <c r="B184" s="10" t="s">
        <v>327</v>
      </c>
      <c r="C184" s="7"/>
      <c r="D184" s="7">
        <f t="shared" si="8"/>
        <v>0</v>
      </c>
      <c r="E184" s="6">
        <f t="shared" si="5"/>
        <v>0</v>
      </c>
      <c r="F184" s="6">
        <f t="shared" si="6"/>
        <v>0</v>
      </c>
      <c r="G184" s="62"/>
      <c r="H184" s="62"/>
      <c r="I184" s="60"/>
      <c r="J184" s="60"/>
      <c r="K184" s="64"/>
      <c r="L184" s="64"/>
      <c r="M184" s="25"/>
      <c r="N184" s="25"/>
    </row>
    <row r="185" spans="1:14">
      <c r="A185" s="3" t="s">
        <v>328</v>
      </c>
      <c r="B185" s="10" t="s">
        <v>329</v>
      </c>
      <c r="C185" s="7"/>
      <c r="D185" s="7">
        <f t="shared" si="8"/>
        <v>-10000</v>
      </c>
      <c r="E185" s="6">
        <f t="shared" si="5"/>
        <v>78160</v>
      </c>
      <c r="F185" s="6">
        <f t="shared" si="6"/>
        <v>68160</v>
      </c>
      <c r="G185" s="62">
        <v>78160</v>
      </c>
      <c r="H185" s="62"/>
      <c r="I185" s="60"/>
      <c r="J185" s="60"/>
      <c r="K185" s="64"/>
      <c r="L185" s="64">
        <v>68160</v>
      </c>
      <c r="M185" s="25"/>
      <c r="N185" s="25"/>
    </row>
    <row r="186" spans="1:14">
      <c r="A186" s="3" t="s">
        <v>330</v>
      </c>
      <c r="B186" s="10" t="s">
        <v>331</v>
      </c>
      <c r="C186" s="7"/>
      <c r="D186" s="7">
        <f t="shared" si="8"/>
        <v>-938674.17</v>
      </c>
      <c r="E186" s="6">
        <f t="shared" si="5"/>
        <v>938674.17</v>
      </c>
      <c r="F186" s="6">
        <f t="shared" si="6"/>
        <v>0</v>
      </c>
      <c r="G186" s="62">
        <v>938674.17</v>
      </c>
      <c r="H186" s="62"/>
      <c r="I186" s="60"/>
      <c r="J186" s="60"/>
      <c r="K186" s="64"/>
      <c r="L186" s="64"/>
      <c r="M186" s="25"/>
      <c r="N186" s="25"/>
    </row>
    <row r="187" spans="1:14">
      <c r="A187" s="3" t="s">
        <v>332</v>
      </c>
      <c r="B187" s="10" t="s">
        <v>333</v>
      </c>
      <c r="C187" s="5"/>
      <c r="D187" s="5">
        <f t="shared" si="8"/>
        <v>23720.870000000003</v>
      </c>
      <c r="E187" s="6">
        <f t="shared" si="5"/>
        <v>34489.129999999997</v>
      </c>
      <c r="F187" s="6">
        <f t="shared" si="6"/>
        <v>58210</v>
      </c>
      <c r="G187" s="62">
        <v>34489.129999999997</v>
      </c>
      <c r="H187" s="62"/>
      <c r="I187" s="60"/>
      <c r="J187" s="60"/>
      <c r="K187" s="64"/>
      <c r="L187" s="64">
        <v>58210</v>
      </c>
      <c r="M187" s="25"/>
      <c r="N187" s="25"/>
    </row>
    <row r="188" spans="1:14">
      <c r="A188" s="3" t="s">
        <v>334</v>
      </c>
      <c r="B188" s="10" t="s">
        <v>335</v>
      </c>
      <c r="C188" s="5"/>
      <c r="D188" s="5">
        <f t="shared" si="8"/>
        <v>0</v>
      </c>
      <c r="E188" s="6">
        <f t="shared" si="5"/>
        <v>0</v>
      </c>
      <c r="F188" s="6">
        <f t="shared" si="6"/>
        <v>0</v>
      </c>
      <c r="G188" s="62"/>
      <c r="H188" s="62"/>
      <c r="I188" s="60"/>
      <c r="J188" s="60"/>
      <c r="K188" s="64"/>
      <c r="L188" s="64"/>
      <c r="M188" s="25"/>
      <c r="N188" s="25"/>
    </row>
    <row r="189" spans="1:14">
      <c r="A189" s="3" t="s">
        <v>336</v>
      </c>
      <c r="B189" s="10" t="s">
        <v>337</v>
      </c>
      <c r="C189" s="5"/>
      <c r="D189" s="5">
        <f t="shared" si="8"/>
        <v>0</v>
      </c>
      <c r="E189" s="6">
        <f t="shared" si="5"/>
        <v>0</v>
      </c>
      <c r="F189" s="6">
        <f t="shared" si="6"/>
        <v>0</v>
      </c>
      <c r="G189" s="62"/>
      <c r="H189" s="62"/>
      <c r="I189" s="60"/>
      <c r="J189" s="60"/>
      <c r="K189" s="64"/>
      <c r="L189" s="64"/>
      <c r="M189" s="25"/>
      <c r="N189" s="25"/>
    </row>
    <row r="190" spans="1:14">
      <c r="A190" s="3" t="s">
        <v>338</v>
      </c>
      <c r="B190" s="10" t="s">
        <v>339</v>
      </c>
      <c r="C190" s="5"/>
      <c r="D190" s="5">
        <f t="shared" si="8"/>
        <v>2801072.6399999997</v>
      </c>
      <c r="E190" s="6">
        <f t="shared" si="5"/>
        <v>1656232.38</v>
      </c>
      <c r="F190" s="6">
        <f t="shared" si="6"/>
        <v>4457305.0199999996</v>
      </c>
      <c r="G190" s="62">
        <v>1137839.48</v>
      </c>
      <c r="H190" s="62"/>
      <c r="I190" s="60">
        <v>505088.9</v>
      </c>
      <c r="J190" s="60">
        <v>667</v>
      </c>
      <c r="K190" s="64"/>
      <c r="L190" s="64">
        <v>4456638.0199999996</v>
      </c>
      <c r="M190" s="25">
        <v>13304</v>
      </c>
      <c r="N190" s="25"/>
    </row>
    <row r="191" spans="1:14">
      <c r="A191" s="3" t="s">
        <v>340</v>
      </c>
      <c r="B191" s="10" t="s">
        <v>341</v>
      </c>
      <c r="C191" s="5"/>
      <c r="D191" s="5">
        <f t="shared" si="8"/>
        <v>0</v>
      </c>
      <c r="E191" s="6">
        <f t="shared" si="5"/>
        <v>0</v>
      </c>
      <c r="F191" s="6">
        <f t="shared" si="6"/>
        <v>0</v>
      </c>
      <c r="G191" s="62"/>
      <c r="H191" s="62"/>
      <c r="I191" s="60"/>
      <c r="J191" s="60"/>
      <c r="K191" s="64"/>
      <c r="L191" s="64"/>
      <c r="M191" s="25"/>
      <c r="N191" s="25"/>
    </row>
    <row r="192" spans="1:14">
      <c r="A192" s="3" t="s">
        <v>342</v>
      </c>
      <c r="B192" s="10" t="s">
        <v>343</v>
      </c>
      <c r="C192" s="5"/>
      <c r="D192" s="5">
        <f t="shared" si="8"/>
        <v>0</v>
      </c>
      <c r="E192" s="6">
        <f t="shared" si="5"/>
        <v>0</v>
      </c>
      <c r="F192" s="6">
        <f t="shared" si="6"/>
        <v>0</v>
      </c>
      <c r="G192" s="62"/>
      <c r="H192" s="62"/>
      <c r="I192" s="60"/>
      <c r="J192" s="60"/>
      <c r="K192" s="64"/>
      <c r="L192" s="64"/>
      <c r="M192" s="25"/>
      <c r="N192" s="25"/>
    </row>
    <row r="193" spans="1:14">
      <c r="A193" s="3" t="s">
        <v>344</v>
      </c>
      <c r="B193" s="10" t="s">
        <v>345</v>
      </c>
      <c r="C193" s="5"/>
      <c r="D193" s="5">
        <f t="shared" si="8"/>
        <v>0</v>
      </c>
      <c r="E193" s="6">
        <f t="shared" si="5"/>
        <v>0</v>
      </c>
      <c r="F193" s="6">
        <f t="shared" si="6"/>
        <v>0</v>
      </c>
      <c r="G193" s="62"/>
      <c r="H193" s="62"/>
      <c r="I193" s="60"/>
      <c r="J193" s="60"/>
      <c r="K193" s="64"/>
      <c r="L193" s="64"/>
      <c r="M193" s="25"/>
      <c r="N193" s="25"/>
    </row>
    <row r="194" spans="1:14">
      <c r="A194" s="3" t="s">
        <v>346</v>
      </c>
      <c r="B194" s="10" t="s">
        <v>347</v>
      </c>
      <c r="C194" s="5"/>
      <c r="D194" s="5">
        <f t="shared" si="8"/>
        <v>0</v>
      </c>
      <c r="E194" s="6">
        <f t="shared" si="5"/>
        <v>0</v>
      </c>
      <c r="F194" s="6">
        <f t="shared" si="6"/>
        <v>0</v>
      </c>
      <c r="G194" s="62"/>
      <c r="H194" s="62"/>
      <c r="I194" s="60"/>
      <c r="J194" s="60"/>
      <c r="K194" s="64"/>
      <c r="L194" s="64"/>
      <c r="M194" s="25"/>
      <c r="N194" s="25"/>
    </row>
    <row r="195" spans="1:14">
      <c r="A195" s="3" t="s">
        <v>348</v>
      </c>
      <c r="B195" s="10" t="s">
        <v>349</v>
      </c>
      <c r="C195" s="5"/>
      <c r="D195" s="5">
        <f t="shared" si="8"/>
        <v>0</v>
      </c>
      <c r="E195" s="6">
        <f t="shared" si="5"/>
        <v>0</v>
      </c>
      <c r="F195" s="6">
        <f t="shared" si="6"/>
        <v>0</v>
      </c>
      <c r="G195" s="62"/>
      <c r="H195" s="62"/>
      <c r="I195" s="60"/>
      <c r="J195" s="60"/>
      <c r="K195" s="64"/>
      <c r="L195" s="64"/>
      <c r="M195" s="25"/>
      <c r="N195" s="25"/>
    </row>
    <row r="196" spans="1:14">
      <c r="A196" s="3" t="s">
        <v>350</v>
      </c>
      <c r="B196" s="10" t="s">
        <v>351</v>
      </c>
      <c r="C196" s="5"/>
      <c r="D196" s="5">
        <f t="shared" si="8"/>
        <v>0</v>
      </c>
      <c r="E196" s="6">
        <f t="shared" si="5"/>
        <v>0</v>
      </c>
      <c r="F196" s="6">
        <f t="shared" si="6"/>
        <v>0</v>
      </c>
      <c r="G196" s="62"/>
      <c r="H196" s="62"/>
      <c r="I196" s="60"/>
      <c r="J196" s="60"/>
      <c r="K196" s="64"/>
      <c r="L196" s="64"/>
      <c r="M196" s="25"/>
      <c r="N196" s="25"/>
    </row>
    <row r="197" spans="1:14">
      <c r="A197" s="3" t="s">
        <v>352</v>
      </c>
      <c r="B197" s="10" t="s">
        <v>353</v>
      </c>
      <c r="C197" s="5"/>
      <c r="D197" s="5">
        <f t="shared" si="8"/>
        <v>0</v>
      </c>
      <c r="E197" s="6">
        <f t="shared" si="5"/>
        <v>0</v>
      </c>
      <c r="F197" s="6">
        <f t="shared" si="6"/>
        <v>0</v>
      </c>
      <c r="G197" s="62"/>
      <c r="H197" s="62"/>
      <c r="I197" s="60"/>
      <c r="J197" s="60"/>
      <c r="K197" s="64"/>
      <c r="L197" s="64"/>
      <c r="M197" s="25"/>
      <c r="N197" s="25"/>
    </row>
    <row r="198" spans="1:14">
      <c r="A198" s="3" t="s">
        <v>354</v>
      </c>
      <c r="B198" s="10" t="s">
        <v>355</v>
      </c>
      <c r="C198" s="5"/>
      <c r="D198" s="5">
        <f t="shared" si="8"/>
        <v>0</v>
      </c>
      <c r="E198" s="6">
        <f t="shared" si="5"/>
        <v>0</v>
      </c>
      <c r="F198" s="6">
        <f t="shared" si="6"/>
        <v>0</v>
      </c>
      <c r="G198" s="62"/>
      <c r="H198" s="62"/>
      <c r="I198" s="60"/>
      <c r="J198" s="60"/>
      <c r="K198" s="64"/>
      <c r="L198" s="64"/>
      <c r="M198" s="25"/>
      <c r="N198" s="25"/>
    </row>
    <row r="199" spans="1:14">
      <c r="A199" s="3" t="s">
        <v>356</v>
      </c>
      <c r="B199" s="10" t="s">
        <v>357</v>
      </c>
      <c r="C199" s="5"/>
      <c r="D199" s="5">
        <f t="shared" si="8"/>
        <v>0</v>
      </c>
      <c r="E199" s="6">
        <f t="shared" si="5"/>
        <v>0</v>
      </c>
      <c r="F199" s="6">
        <f t="shared" si="6"/>
        <v>0</v>
      </c>
      <c r="G199" s="62"/>
      <c r="H199" s="62"/>
      <c r="I199" s="60"/>
      <c r="J199" s="60"/>
      <c r="K199" s="64"/>
      <c r="L199" s="64"/>
      <c r="M199" s="25"/>
      <c r="N199" s="25"/>
    </row>
    <row r="200" spans="1:14">
      <c r="A200" s="3" t="s">
        <v>358</v>
      </c>
      <c r="B200" s="10" t="s">
        <v>359</v>
      </c>
      <c r="C200" s="5"/>
      <c r="D200" s="5">
        <f t="shared" si="8"/>
        <v>0</v>
      </c>
      <c r="E200" s="6">
        <f t="shared" si="5"/>
        <v>0</v>
      </c>
      <c r="F200" s="6">
        <f t="shared" si="6"/>
        <v>0</v>
      </c>
      <c r="G200" s="62"/>
      <c r="H200" s="62"/>
      <c r="I200" s="60"/>
      <c r="J200" s="60"/>
      <c r="K200" s="64"/>
      <c r="L200" s="64"/>
      <c r="M200" s="25"/>
      <c r="N200" s="25"/>
    </row>
    <row r="201" spans="1:14">
      <c r="A201" s="3" t="s">
        <v>360</v>
      </c>
      <c r="B201" s="10" t="s">
        <v>361</v>
      </c>
      <c r="C201" s="5"/>
      <c r="D201" s="5">
        <f t="shared" si="8"/>
        <v>0</v>
      </c>
      <c r="E201" s="6">
        <f t="shared" si="5"/>
        <v>0</v>
      </c>
      <c r="F201" s="6">
        <f t="shared" si="6"/>
        <v>0</v>
      </c>
      <c r="G201" s="62"/>
      <c r="H201" s="62"/>
      <c r="I201" s="60"/>
      <c r="J201" s="60"/>
      <c r="K201" s="64"/>
      <c r="L201" s="64"/>
      <c r="M201" s="25"/>
      <c r="N201" s="25"/>
    </row>
    <row r="202" spans="1:14">
      <c r="A202" s="3" t="s">
        <v>362</v>
      </c>
      <c r="B202" s="10" t="s">
        <v>363</v>
      </c>
      <c r="C202" s="5"/>
      <c r="D202" s="5">
        <f t="shared" si="8"/>
        <v>0</v>
      </c>
      <c r="E202" s="6">
        <f t="shared" si="5"/>
        <v>0</v>
      </c>
      <c r="F202" s="6">
        <f t="shared" si="6"/>
        <v>0</v>
      </c>
      <c r="G202" s="62"/>
      <c r="H202" s="62"/>
      <c r="I202" s="60"/>
      <c r="J202" s="60"/>
      <c r="K202" s="64"/>
      <c r="L202" s="64"/>
      <c r="M202" s="25"/>
      <c r="N202" s="25"/>
    </row>
    <row r="203" spans="1:14">
      <c r="A203" s="3" t="s">
        <v>364</v>
      </c>
      <c r="B203" s="10" t="s">
        <v>365</v>
      </c>
      <c r="C203" s="5"/>
      <c r="D203" s="5">
        <f t="shared" si="8"/>
        <v>0</v>
      </c>
      <c r="E203" s="6">
        <f t="shared" si="5"/>
        <v>0</v>
      </c>
      <c r="F203" s="6">
        <f t="shared" si="6"/>
        <v>0</v>
      </c>
      <c r="G203" s="62"/>
      <c r="H203" s="62"/>
      <c r="I203" s="60"/>
      <c r="J203" s="60"/>
      <c r="K203" s="64"/>
      <c r="L203" s="64"/>
      <c r="M203" s="25"/>
      <c r="N203" s="25"/>
    </row>
    <row r="204" spans="1:14">
      <c r="A204" s="3" t="s">
        <v>366</v>
      </c>
      <c r="B204" s="10" t="s">
        <v>367</v>
      </c>
      <c r="C204" s="5"/>
      <c r="D204" s="5">
        <f t="shared" si="8"/>
        <v>0</v>
      </c>
      <c r="E204" s="6">
        <f t="shared" si="5"/>
        <v>0</v>
      </c>
      <c r="F204" s="6">
        <f t="shared" si="6"/>
        <v>0</v>
      </c>
      <c r="G204" s="62"/>
      <c r="H204" s="62"/>
      <c r="I204" s="60"/>
      <c r="J204" s="60"/>
      <c r="K204" s="64"/>
      <c r="L204" s="64"/>
      <c r="M204" s="25"/>
      <c r="N204" s="25"/>
    </row>
    <row r="205" spans="1:14">
      <c r="A205" s="3" t="s">
        <v>368</v>
      </c>
      <c r="B205" s="10" t="s">
        <v>369</v>
      </c>
      <c r="C205" s="5"/>
      <c r="D205" s="5">
        <f t="shared" si="8"/>
        <v>0</v>
      </c>
      <c r="E205" s="6">
        <f t="shared" si="5"/>
        <v>0</v>
      </c>
      <c r="F205" s="6">
        <f t="shared" si="6"/>
        <v>0</v>
      </c>
      <c r="G205" s="62"/>
      <c r="H205" s="62"/>
      <c r="I205" s="60"/>
      <c r="J205" s="60"/>
      <c r="K205" s="64"/>
      <c r="L205" s="64"/>
      <c r="M205" s="25"/>
      <c r="N205" s="25"/>
    </row>
    <row r="206" spans="1:14">
      <c r="A206" s="3" t="s">
        <v>370</v>
      </c>
      <c r="B206" s="10" t="s">
        <v>371</v>
      </c>
      <c r="C206" s="5"/>
      <c r="D206" s="5">
        <f t="shared" si="8"/>
        <v>0</v>
      </c>
      <c r="E206" s="6">
        <f t="shared" ref="E206:E269" si="9">SUM(G206,I206,K206,M206)</f>
        <v>0</v>
      </c>
      <c r="F206" s="6">
        <f t="shared" ref="F206:F269" si="10">SUM(H206,J206,L206,N206)</f>
        <v>0</v>
      </c>
      <c r="G206" s="62"/>
      <c r="H206" s="62"/>
      <c r="I206" s="60"/>
      <c r="J206" s="60"/>
      <c r="K206" s="64"/>
      <c r="L206" s="64"/>
      <c r="M206" s="25"/>
      <c r="N206" s="25"/>
    </row>
    <row r="207" spans="1:14">
      <c r="A207" s="3" t="s">
        <v>372</v>
      </c>
      <c r="B207" s="10" t="s">
        <v>373</v>
      </c>
      <c r="C207" s="5"/>
      <c r="D207" s="5">
        <f t="shared" si="8"/>
        <v>0</v>
      </c>
      <c r="E207" s="6">
        <f t="shared" si="9"/>
        <v>0</v>
      </c>
      <c r="F207" s="6">
        <f t="shared" si="10"/>
        <v>0</v>
      </c>
      <c r="G207" s="62"/>
      <c r="H207" s="62"/>
      <c r="I207" s="60"/>
      <c r="J207" s="60"/>
      <c r="K207" s="64"/>
      <c r="L207" s="64"/>
      <c r="M207" s="25"/>
      <c r="N207" s="25"/>
    </row>
    <row r="208" spans="1:14">
      <c r="A208" s="3" t="s">
        <v>374</v>
      </c>
      <c r="B208" s="10" t="s">
        <v>375</v>
      </c>
      <c r="C208" s="5"/>
      <c r="D208" s="5">
        <f t="shared" si="8"/>
        <v>0</v>
      </c>
      <c r="E208" s="6">
        <f t="shared" si="9"/>
        <v>0</v>
      </c>
      <c r="F208" s="6">
        <f t="shared" si="10"/>
        <v>0</v>
      </c>
      <c r="G208" s="62"/>
      <c r="H208" s="62"/>
      <c r="I208" s="60"/>
      <c r="J208" s="60"/>
      <c r="K208" s="64"/>
      <c r="L208" s="64"/>
      <c r="M208" s="25"/>
      <c r="N208" s="25"/>
    </row>
    <row r="209" spans="1:14">
      <c r="A209" s="3" t="s">
        <v>376</v>
      </c>
      <c r="B209" s="10" t="s">
        <v>377</v>
      </c>
      <c r="C209" s="5"/>
      <c r="D209" s="5">
        <f t="shared" si="8"/>
        <v>0</v>
      </c>
      <c r="E209" s="6">
        <f t="shared" si="9"/>
        <v>0</v>
      </c>
      <c r="F209" s="6">
        <f t="shared" si="10"/>
        <v>0</v>
      </c>
      <c r="G209" s="62"/>
      <c r="H209" s="62"/>
      <c r="I209" s="60"/>
      <c r="J209" s="60"/>
      <c r="K209" s="64"/>
      <c r="L209" s="64"/>
      <c r="M209" s="25"/>
      <c r="N209" s="25"/>
    </row>
    <row r="210" spans="1:14">
      <c r="A210" s="3" t="s">
        <v>378</v>
      </c>
      <c r="B210" s="10" t="s">
        <v>379</v>
      </c>
      <c r="C210" s="5"/>
      <c r="D210" s="5">
        <f t="shared" si="8"/>
        <v>0</v>
      </c>
      <c r="E210" s="6">
        <f t="shared" si="9"/>
        <v>0</v>
      </c>
      <c r="F210" s="6">
        <f t="shared" si="10"/>
        <v>0</v>
      </c>
      <c r="G210" s="62"/>
      <c r="H210" s="62"/>
      <c r="I210" s="60"/>
      <c r="J210" s="60"/>
      <c r="K210" s="64"/>
      <c r="L210" s="64"/>
      <c r="M210" s="25"/>
      <c r="N210" s="25"/>
    </row>
    <row r="211" spans="1:14">
      <c r="A211" s="3" t="s">
        <v>380</v>
      </c>
      <c r="B211" s="10" t="s">
        <v>381</v>
      </c>
      <c r="C211" s="5"/>
      <c r="D211" s="5">
        <f t="shared" si="8"/>
        <v>0</v>
      </c>
      <c r="E211" s="6">
        <f t="shared" si="9"/>
        <v>0</v>
      </c>
      <c r="F211" s="6">
        <f t="shared" si="10"/>
        <v>0</v>
      </c>
      <c r="G211" s="62"/>
      <c r="H211" s="62"/>
      <c r="I211" s="60"/>
      <c r="J211" s="60"/>
      <c r="K211" s="64"/>
      <c r="L211" s="64"/>
      <c r="M211" s="25"/>
      <c r="N211" s="25"/>
    </row>
    <row r="212" spans="1:14">
      <c r="A212" s="3" t="s">
        <v>382</v>
      </c>
      <c r="B212" s="10" t="s">
        <v>383</v>
      </c>
      <c r="C212" s="5"/>
      <c r="D212" s="5">
        <f t="shared" si="8"/>
        <v>0</v>
      </c>
      <c r="E212" s="6">
        <f t="shared" si="9"/>
        <v>0</v>
      </c>
      <c r="F212" s="6">
        <f t="shared" si="10"/>
        <v>0</v>
      </c>
      <c r="G212" s="62"/>
      <c r="H212" s="62"/>
      <c r="I212" s="60"/>
      <c r="J212" s="60"/>
      <c r="K212" s="64"/>
      <c r="L212" s="64"/>
      <c r="M212" s="25"/>
      <c r="N212" s="25"/>
    </row>
    <row r="213" spans="1:14">
      <c r="A213" s="3" t="s">
        <v>384</v>
      </c>
      <c r="B213" s="10" t="s">
        <v>385</v>
      </c>
      <c r="C213" s="5"/>
      <c r="D213" s="5">
        <f t="shared" si="8"/>
        <v>0</v>
      </c>
      <c r="E213" s="6">
        <f t="shared" si="9"/>
        <v>0</v>
      </c>
      <c r="F213" s="6">
        <f t="shared" si="10"/>
        <v>0</v>
      </c>
      <c r="G213" s="62"/>
      <c r="H213" s="62"/>
      <c r="I213" s="60"/>
      <c r="J213" s="60"/>
      <c r="K213" s="64"/>
      <c r="L213" s="64"/>
      <c r="M213" s="25"/>
      <c r="N213" s="25"/>
    </row>
    <row r="214" spans="1:14">
      <c r="A214" s="3" t="s">
        <v>386</v>
      </c>
      <c r="B214" s="10" t="s">
        <v>387</v>
      </c>
      <c r="C214" s="5"/>
      <c r="D214" s="5">
        <f t="shared" si="8"/>
        <v>0</v>
      </c>
      <c r="E214" s="6">
        <f t="shared" si="9"/>
        <v>0</v>
      </c>
      <c r="F214" s="6">
        <f t="shared" si="10"/>
        <v>0</v>
      </c>
      <c r="G214" s="62"/>
      <c r="H214" s="62"/>
      <c r="I214" s="60"/>
      <c r="J214" s="60"/>
      <c r="K214" s="64"/>
      <c r="L214" s="64"/>
      <c r="M214" s="25"/>
      <c r="N214" s="25"/>
    </row>
    <row r="215" spans="1:14">
      <c r="A215" s="3" t="s">
        <v>388</v>
      </c>
      <c r="B215" s="10" t="s">
        <v>389</v>
      </c>
      <c r="C215" s="5"/>
      <c r="D215" s="5">
        <f t="shared" si="8"/>
        <v>0</v>
      </c>
      <c r="E215" s="6">
        <f t="shared" si="9"/>
        <v>0</v>
      </c>
      <c r="F215" s="6">
        <f t="shared" si="10"/>
        <v>0</v>
      </c>
      <c r="G215" s="62"/>
      <c r="H215" s="62"/>
      <c r="I215" s="60"/>
      <c r="J215" s="60"/>
      <c r="K215" s="64"/>
      <c r="L215" s="64"/>
      <c r="M215" s="25"/>
      <c r="N215" s="25"/>
    </row>
    <row r="216" spans="1:14">
      <c r="A216" s="3" t="s">
        <v>390</v>
      </c>
      <c r="B216" s="10" t="s">
        <v>391</v>
      </c>
      <c r="C216" s="5"/>
      <c r="D216" s="5">
        <f t="shared" si="8"/>
        <v>0</v>
      </c>
      <c r="E216" s="6">
        <f t="shared" si="9"/>
        <v>0</v>
      </c>
      <c r="F216" s="6">
        <f t="shared" si="10"/>
        <v>0</v>
      </c>
      <c r="G216" s="62"/>
      <c r="H216" s="62"/>
      <c r="I216" s="60"/>
      <c r="J216" s="60"/>
      <c r="K216" s="64"/>
      <c r="L216" s="64"/>
      <c r="M216" s="25"/>
      <c r="N216" s="25"/>
    </row>
    <row r="217" spans="1:14">
      <c r="A217" s="3" t="s">
        <v>392</v>
      </c>
      <c r="B217" s="10" t="s">
        <v>393</v>
      </c>
      <c r="C217" s="5"/>
      <c r="D217" s="5">
        <f t="shared" si="8"/>
        <v>0</v>
      </c>
      <c r="E217" s="6">
        <f t="shared" si="9"/>
        <v>0</v>
      </c>
      <c r="F217" s="6">
        <f t="shared" si="10"/>
        <v>0</v>
      </c>
      <c r="G217" s="62"/>
      <c r="H217" s="62"/>
      <c r="I217" s="60"/>
      <c r="J217" s="60"/>
      <c r="K217" s="64"/>
      <c r="L217" s="64"/>
      <c r="M217" s="25"/>
      <c r="N217" s="25"/>
    </row>
    <row r="218" spans="1:14">
      <c r="A218" s="3" t="s">
        <v>394</v>
      </c>
      <c r="B218" s="10" t="s">
        <v>395</v>
      </c>
      <c r="C218" s="5"/>
      <c r="D218" s="5">
        <f t="shared" si="8"/>
        <v>0</v>
      </c>
      <c r="E218" s="6">
        <f t="shared" si="9"/>
        <v>0</v>
      </c>
      <c r="F218" s="6">
        <f t="shared" si="10"/>
        <v>0</v>
      </c>
      <c r="G218" s="62"/>
      <c r="H218" s="62"/>
      <c r="I218" s="60"/>
      <c r="J218" s="60"/>
      <c r="K218" s="64"/>
      <c r="L218" s="64"/>
      <c r="M218" s="25"/>
      <c r="N218" s="25"/>
    </row>
    <row r="219" spans="1:14">
      <c r="A219" s="3" t="s">
        <v>396</v>
      </c>
      <c r="B219" s="10" t="s">
        <v>397</v>
      </c>
      <c r="C219" s="5"/>
      <c r="D219" s="5">
        <f t="shared" si="8"/>
        <v>0</v>
      </c>
      <c r="E219" s="6">
        <f t="shared" si="9"/>
        <v>0</v>
      </c>
      <c r="F219" s="6">
        <f t="shared" si="10"/>
        <v>0</v>
      </c>
      <c r="G219" s="62"/>
      <c r="H219" s="62"/>
      <c r="I219" s="60"/>
      <c r="J219" s="60"/>
      <c r="K219" s="64"/>
      <c r="L219" s="64"/>
      <c r="M219" s="25"/>
      <c r="N219" s="25"/>
    </row>
    <row r="220" spans="1:14">
      <c r="A220" s="3" t="s">
        <v>398</v>
      </c>
      <c r="B220" s="10" t="s">
        <v>399</v>
      </c>
      <c r="C220" s="5"/>
      <c r="D220" s="5">
        <f t="shared" si="8"/>
        <v>0</v>
      </c>
      <c r="E220" s="6">
        <f t="shared" si="9"/>
        <v>0</v>
      </c>
      <c r="F220" s="6">
        <f t="shared" si="10"/>
        <v>0</v>
      </c>
      <c r="G220" s="62"/>
      <c r="H220" s="62"/>
      <c r="I220" s="60"/>
      <c r="J220" s="60"/>
      <c r="K220" s="64"/>
      <c r="L220" s="64"/>
      <c r="M220" s="25"/>
      <c r="N220" s="25"/>
    </row>
    <row r="221" spans="1:14">
      <c r="A221" s="3" t="s">
        <v>400</v>
      </c>
      <c r="B221" s="10" t="s">
        <v>401</v>
      </c>
      <c r="C221" s="5"/>
      <c r="D221" s="5">
        <f t="shared" si="8"/>
        <v>0</v>
      </c>
      <c r="E221" s="6">
        <f t="shared" si="9"/>
        <v>0</v>
      </c>
      <c r="F221" s="6">
        <f t="shared" si="10"/>
        <v>0</v>
      </c>
      <c r="G221" s="62"/>
      <c r="H221" s="62"/>
      <c r="I221" s="60"/>
      <c r="J221" s="60"/>
      <c r="K221" s="64"/>
      <c r="L221" s="64"/>
      <c r="M221" s="25"/>
      <c r="N221" s="25"/>
    </row>
    <row r="222" spans="1:14">
      <c r="A222" s="3" t="s">
        <v>402</v>
      </c>
      <c r="B222" s="10" t="s">
        <v>403</v>
      </c>
      <c r="C222" s="5"/>
      <c r="D222" s="5">
        <f t="shared" si="8"/>
        <v>0</v>
      </c>
      <c r="E222" s="6">
        <f t="shared" si="9"/>
        <v>0</v>
      </c>
      <c r="F222" s="6">
        <f t="shared" si="10"/>
        <v>0</v>
      </c>
      <c r="G222" s="62"/>
      <c r="H222" s="62"/>
      <c r="I222" s="60"/>
      <c r="J222" s="60"/>
      <c r="K222" s="64"/>
      <c r="L222" s="64"/>
      <c r="M222" s="25"/>
      <c r="N222" s="25"/>
    </row>
    <row r="223" spans="1:14">
      <c r="A223" s="3" t="s">
        <v>404</v>
      </c>
      <c r="B223" s="10" t="s">
        <v>405</v>
      </c>
      <c r="C223" s="5"/>
      <c r="D223" s="5">
        <f t="shared" si="8"/>
        <v>0</v>
      </c>
      <c r="E223" s="6">
        <f t="shared" si="9"/>
        <v>0</v>
      </c>
      <c r="F223" s="6">
        <f t="shared" si="10"/>
        <v>0</v>
      </c>
      <c r="G223" s="62"/>
      <c r="H223" s="62"/>
      <c r="I223" s="60"/>
      <c r="J223" s="60"/>
      <c r="K223" s="64"/>
      <c r="L223" s="64"/>
      <c r="M223" s="25"/>
      <c r="N223" s="25"/>
    </row>
    <row r="224" spans="1:14">
      <c r="A224" s="3" t="s">
        <v>406</v>
      </c>
      <c r="B224" s="10" t="s">
        <v>407</v>
      </c>
      <c r="C224" s="5"/>
      <c r="D224" s="5">
        <f t="shared" si="8"/>
        <v>0</v>
      </c>
      <c r="E224" s="6">
        <f t="shared" si="9"/>
        <v>0</v>
      </c>
      <c r="F224" s="6">
        <f t="shared" si="10"/>
        <v>0</v>
      </c>
      <c r="G224" s="62"/>
      <c r="H224" s="62"/>
      <c r="I224" s="60"/>
      <c r="J224" s="60"/>
      <c r="K224" s="64"/>
      <c r="L224" s="64"/>
      <c r="M224" s="25"/>
      <c r="N224" s="25"/>
    </row>
    <row r="225" spans="1:14">
      <c r="A225" s="3" t="s">
        <v>408</v>
      </c>
      <c r="B225" s="10" t="s">
        <v>409</v>
      </c>
      <c r="C225" s="5"/>
      <c r="D225" s="5">
        <f t="shared" si="8"/>
        <v>0</v>
      </c>
      <c r="E225" s="6">
        <f t="shared" si="9"/>
        <v>0</v>
      </c>
      <c r="F225" s="6">
        <f t="shared" si="10"/>
        <v>0</v>
      </c>
      <c r="G225" s="62"/>
      <c r="H225" s="62"/>
      <c r="I225" s="60"/>
      <c r="J225" s="60"/>
      <c r="K225" s="64"/>
      <c r="L225" s="64"/>
      <c r="M225" s="25"/>
      <c r="N225" s="25"/>
    </row>
    <row r="226" spans="1:14">
      <c r="A226" s="3" t="s">
        <v>410</v>
      </c>
      <c r="B226" s="10" t="s">
        <v>411</v>
      </c>
      <c r="C226" s="5"/>
      <c r="D226" s="5">
        <f t="shared" si="8"/>
        <v>0</v>
      </c>
      <c r="E226" s="6">
        <f t="shared" si="9"/>
        <v>0</v>
      </c>
      <c r="F226" s="6">
        <f t="shared" si="10"/>
        <v>0</v>
      </c>
      <c r="G226" s="62"/>
      <c r="H226" s="62"/>
      <c r="I226" s="60"/>
      <c r="J226" s="60"/>
      <c r="K226" s="64"/>
      <c r="L226" s="64"/>
      <c r="M226" s="25"/>
      <c r="N226" s="25"/>
    </row>
    <row r="227" spans="1:14">
      <c r="A227" s="3" t="s">
        <v>412</v>
      </c>
      <c r="B227" s="10" t="s">
        <v>413</v>
      </c>
      <c r="C227" s="5"/>
      <c r="D227" s="5">
        <f t="shared" si="8"/>
        <v>0</v>
      </c>
      <c r="E227" s="6">
        <f t="shared" si="9"/>
        <v>0</v>
      </c>
      <c r="F227" s="6">
        <f t="shared" si="10"/>
        <v>0</v>
      </c>
      <c r="G227" s="62"/>
      <c r="H227" s="62"/>
      <c r="I227" s="60"/>
      <c r="J227" s="60"/>
      <c r="K227" s="64"/>
      <c r="L227" s="64"/>
      <c r="M227" s="25"/>
      <c r="N227" s="25"/>
    </row>
    <row r="228" spans="1:14">
      <c r="A228" s="3" t="s">
        <v>414</v>
      </c>
      <c r="B228" s="10" t="s">
        <v>415</v>
      </c>
      <c r="C228" s="5"/>
      <c r="D228" s="5">
        <f t="shared" si="8"/>
        <v>0</v>
      </c>
      <c r="E228" s="6">
        <f t="shared" si="9"/>
        <v>0</v>
      </c>
      <c r="F228" s="6">
        <f t="shared" si="10"/>
        <v>0</v>
      </c>
      <c r="G228" s="62"/>
      <c r="H228" s="62"/>
      <c r="I228" s="60"/>
      <c r="J228" s="60"/>
      <c r="K228" s="64"/>
      <c r="L228" s="64"/>
      <c r="M228" s="25"/>
      <c r="N228" s="25"/>
    </row>
    <row r="229" spans="1:14">
      <c r="A229" s="3" t="s">
        <v>416</v>
      </c>
      <c r="B229" s="10" t="s">
        <v>417</v>
      </c>
      <c r="C229" s="5"/>
      <c r="D229" s="5">
        <f t="shared" si="8"/>
        <v>0</v>
      </c>
      <c r="E229" s="6">
        <f t="shared" si="9"/>
        <v>0</v>
      </c>
      <c r="F229" s="6">
        <f t="shared" si="10"/>
        <v>0</v>
      </c>
      <c r="G229" s="62"/>
      <c r="H229" s="62"/>
      <c r="I229" s="60"/>
      <c r="J229" s="60"/>
      <c r="K229" s="64"/>
      <c r="L229" s="64"/>
      <c r="M229" s="25"/>
      <c r="N229" s="25"/>
    </row>
    <row r="230" spans="1:14">
      <c r="A230" s="3" t="s">
        <v>418</v>
      </c>
      <c r="B230" s="10" t="s">
        <v>419</v>
      </c>
      <c r="C230" s="5"/>
      <c r="D230" s="5">
        <f t="shared" si="8"/>
        <v>0</v>
      </c>
      <c r="E230" s="6">
        <f t="shared" si="9"/>
        <v>0</v>
      </c>
      <c r="F230" s="6">
        <f t="shared" si="10"/>
        <v>0</v>
      </c>
      <c r="G230" s="62"/>
      <c r="H230" s="62"/>
      <c r="I230" s="60"/>
      <c r="J230" s="60"/>
      <c r="K230" s="64"/>
      <c r="L230" s="64"/>
      <c r="M230" s="25"/>
      <c r="N230" s="25"/>
    </row>
    <row r="231" spans="1:14">
      <c r="A231" s="3" t="s">
        <v>420</v>
      </c>
      <c r="B231" s="10" t="s">
        <v>421</v>
      </c>
      <c r="C231" s="5"/>
      <c r="D231" s="5">
        <f t="shared" si="8"/>
        <v>0</v>
      </c>
      <c r="E231" s="6">
        <f t="shared" si="9"/>
        <v>0</v>
      </c>
      <c r="F231" s="6">
        <f t="shared" si="10"/>
        <v>0</v>
      </c>
      <c r="G231" s="62"/>
      <c r="H231" s="62"/>
      <c r="I231" s="60"/>
      <c r="J231" s="60"/>
      <c r="K231" s="64"/>
      <c r="L231" s="64"/>
      <c r="M231" s="25"/>
      <c r="N231" s="25"/>
    </row>
    <row r="232" spans="1:14">
      <c r="A232" s="3" t="s">
        <v>422</v>
      </c>
      <c r="B232" s="10" t="s">
        <v>423</v>
      </c>
      <c r="C232" s="5"/>
      <c r="D232" s="5">
        <f t="shared" si="8"/>
        <v>0</v>
      </c>
      <c r="E232" s="6">
        <f t="shared" si="9"/>
        <v>0</v>
      </c>
      <c r="F232" s="6">
        <f t="shared" si="10"/>
        <v>0</v>
      </c>
      <c r="G232" s="62"/>
      <c r="H232" s="62"/>
      <c r="I232" s="60"/>
      <c r="J232" s="60"/>
      <c r="K232" s="64"/>
      <c r="L232" s="64"/>
      <c r="M232" s="25"/>
      <c r="N232" s="25"/>
    </row>
    <row r="233" spans="1:14">
      <c r="A233" s="3" t="s">
        <v>424</v>
      </c>
      <c r="B233" s="10" t="s">
        <v>425</v>
      </c>
      <c r="C233" s="5"/>
      <c r="D233" s="5">
        <f t="shared" si="8"/>
        <v>0</v>
      </c>
      <c r="E233" s="6">
        <f t="shared" si="9"/>
        <v>0</v>
      </c>
      <c r="F233" s="6">
        <f t="shared" si="10"/>
        <v>0</v>
      </c>
      <c r="G233" s="62"/>
      <c r="H233" s="62"/>
      <c r="I233" s="60"/>
      <c r="J233" s="60"/>
      <c r="K233" s="64"/>
      <c r="L233" s="64"/>
      <c r="M233" s="25"/>
      <c r="N233" s="25"/>
    </row>
    <row r="234" spans="1:14">
      <c r="A234" s="3" t="s">
        <v>426</v>
      </c>
      <c r="B234" s="10" t="s">
        <v>427</v>
      </c>
      <c r="C234" s="5"/>
      <c r="D234" s="5">
        <f t="shared" si="8"/>
        <v>0</v>
      </c>
      <c r="E234" s="6">
        <f t="shared" si="9"/>
        <v>0</v>
      </c>
      <c r="F234" s="6">
        <f t="shared" si="10"/>
        <v>0</v>
      </c>
      <c r="G234" s="62"/>
      <c r="H234" s="62"/>
      <c r="I234" s="60"/>
      <c r="J234" s="60"/>
      <c r="K234" s="64"/>
      <c r="L234" s="64"/>
      <c r="M234" s="25"/>
      <c r="N234" s="25"/>
    </row>
    <row r="235" spans="1:14">
      <c r="A235" s="3" t="s">
        <v>428</v>
      </c>
      <c r="B235" s="10" t="s">
        <v>429</v>
      </c>
      <c r="C235" s="5"/>
      <c r="D235" s="5">
        <f t="shared" si="8"/>
        <v>0</v>
      </c>
      <c r="E235" s="6">
        <f t="shared" si="9"/>
        <v>0</v>
      </c>
      <c r="F235" s="6">
        <f t="shared" si="10"/>
        <v>0</v>
      </c>
      <c r="G235" s="62"/>
      <c r="H235" s="62"/>
      <c r="I235" s="60"/>
      <c r="J235" s="60"/>
      <c r="K235" s="64"/>
      <c r="L235" s="64"/>
      <c r="M235" s="25"/>
      <c r="N235" s="25"/>
    </row>
    <row r="236" spans="1:14">
      <c r="A236" s="3" t="s">
        <v>430</v>
      </c>
      <c r="B236" s="10" t="s">
        <v>431</v>
      </c>
      <c r="C236" s="5"/>
      <c r="D236" s="5">
        <f t="shared" si="8"/>
        <v>0</v>
      </c>
      <c r="E236" s="6">
        <f t="shared" si="9"/>
        <v>0</v>
      </c>
      <c r="F236" s="6">
        <f t="shared" si="10"/>
        <v>0</v>
      </c>
      <c r="G236" s="62"/>
      <c r="H236" s="62"/>
      <c r="I236" s="60"/>
      <c r="J236" s="60"/>
      <c r="K236" s="64"/>
      <c r="L236" s="64"/>
      <c r="M236" s="25"/>
      <c r="N236" s="25"/>
    </row>
    <row r="237" spans="1:14">
      <c r="A237" s="3" t="s">
        <v>432</v>
      </c>
      <c r="B237" s="10" t="s">
        <v>433</v>
      </c>
      <c r="C237" s="5"/>
      <c r="D237" s="5">
        <f t="shared" si="8"/>
        <v>0</v>
      </c>
      <c r="E237" s="6">
        <f t="shared" si="9"/>
        <v>0</v>
      </c>
      <c r="F237" s="6">
        <f t="shared" si="10"/>
        <v>0</v>
      </c>
      <c r="G237" s="62"/>
      <c r="H237" s="62"/>
      <c r="I237" s="60"/>
      <c r="J237" s="60"/>
      <c r="K237" s="64"/>
      <c r="L237" s="64"/>
      <c r="M237" s="25"/>
      <c r="N237" s="25"/>
    </row>
    <row r="238" spans="1:14">
      <c r="A238" s="3" t="s">
        <v>434</v>
      </c>
      <c r="B238" s="10" t="s">
        <v>435</v>
      </c>
      <c r="C238" s="5"/>
      <c r="D238" s="5">
        <f t="shared" ref="D238:D280" si="11">F238-E238</f>
        <v>0</v>
      </c>
      <c r="E238" s="6">
        <f t="shared" si="9"/>
        <v>0</v>
      </c>
      <c r="F238" s="6">
        <f t="shared" si="10"/>
        <v>0</v>
      </c>
      <c r="G238" s="62"/>
      <c r="H238" s="62"/>
      <c r="I238" s="60"/>
      <c r="J238" s="60"/>
      <c r="K238" s="64"/>
      <c r="L238" s="64"/>
      <c r="M238" s="25"/>
      <c r="N238" s="25"/>
    </row>
    <row r="239" spans="1:14">
      <c r="A239" s="3" t="s">
        <v>436</v>
      </c>
      <c r="B239" s="10" t="s">
        <v>437</v>
      </c>
      <c r="C239" s="5"/>
      <c r="D239" s="5">
        <f t="shared" si="11"/>
        <v>0</v>
      </c>
      <c r="E239" s="6">
        <f t="shared" si="9"/>
        <v>0</v>
      </c>
      <c r="F239" s="6">
        <f t="shared" si="10"/>
        <v>0</v>
      </c>
      <c r="G239" s="62"/>
      <c r="H239" s="62"/>
      <c r="I239" s="60"/>
      <c r="J239" s="60"/>
      <c r="K239" s="64"/>
      <c r="L239" s="64"/>
      <c r="M239" s="25"/>
      <c r="N239" s="25"/>
    </row>
    <row r="240" spans="1:14">
      <c r="A240" s="3" t="s">
        <v>438</v>
      </c>
      <c r="B240" s="10" t="s">
        <v>439</v>
      </c>
      <c r="C240" s="5"/>
      <c r="D240" s="5">
        <f t="shared" si="11"/>
        <v>0</v>
      </c>
      <c r="E240" s="6">
        <f t="shared" si="9"/>
        <v>0</v>
      </c>
      <c r="F240" s="6">
        <f t="shared" si="10"/>
        <v>0</v>
      </c>
      <c r="G240" s="62"/>
      <c r="H240" s="62"/>
      <c r="I240" s="60"/>
      <c r="J240" s="60"/>
      <c r="K240" s="64"/>
      <c r="L240" s="64"/>
      <c r="M240" s="25"/>
      <c r="N240" s="25"/>
    </row>
    <row r="241" spans="1:14">
      <c r="A241" s="3" t="s">
        <v>440</v>
      </c>
      <c r="B241" s="10" t="s">
        <v>441</v>
      </c>
      <c r="C241" s="5"/>
      <c r="D241" s="5">
        <f t="shared" si="11"/>
        <v>0</v>
      </c>
      <c r="E241" s="6">
        <f t="shared" si="9"/>
        <v>0</v>
      </c>
      <c r="F241" s="6">
        <f t="shared" si="10"/>
        <v>0</v>
      </c>
      <c r="G241" s="62"/>
      <c r="H241" s="62"/>
      <c r="I241" s="60"/>
      <c r="J241" s="60"/>
      <c r="K241" s="64"/>
      <c r="L241" s="64"/>
      <c r="M241" s="25"/>
      <c r="N241" s="25"/>
    </row>
    <row r="242" spans="1:14">
      <c r="A242" s="3" t="s">
        <v>442</v>
      </c>
      <c r="B242" s="10" t="s">
        <v>443</v>
      </c>
      <c r="C242" s="5"/>
      <c r="D242" s="5">
        <f t="shared" si="11"/>
        <v>0</v>
      </c>
      <c r="E242" s="6">
        <f t="shared" si="9"/>
        <v>0</v>
      </c>
      <c r="F242" s="6">
        <f t="shared" si="10"/>
        <v>0</v>
      </c>
      <c r="G242" s="62"/>
      <c r="H242" s="62"/>
      <c r="I242" s="60"/>
      <c r="J242" s="60"/>
      <c r="K242" s="64"/>
      <c r="L242" s="64"/>
      <c r="M242" s="25"/>
      <c r="N242" s="25"/>
    </row>
    <row r="243" spans="1:14">
      <c r="A243" s="3" t="s">
        <v>444</v>
      </c>
      <c r="B243" s="10" t="s">
        <v>445</v>
      </c>
      <c r="C243" s="5"/>
      <c r="D243" s="5">
        <f t="shared" si="11"/>
        <v>0</v>
      </c>
      <c r="E243" s="6">
        <f t="shared" si="9"/>
        <v>0</v>
      </c>
      <c r="F243" s="6">
        <f t="shared" si="10"/>
        <v>0</v>
      </c>
      <c r="G243" s="62"/>
      <c r="H243" s="62"/>
      <c r="I243" s="60"/>
      <c r="J243" s="60"/>
      <c r="K243" s="64"/>
      <c r="L243" s="64"/>
      <c r="M243" s="25"/>
      <c r="N243" s="25"/>
    </row>
    <row r="244" spans="1:14">
      <c r="A244" s="3" t="s">
        <v>446</v>
      </c>
      <c r="B244" s="10" t="s">
        <v>447</v>
      </c>
      <c r="C244" s="5"/>
      <c r="D244" s="5">
        <f t="shared" si="11"/>
        <v>0</v>
      </c>
      <c r="E244" s="6">
        <f t="shared" si="9"/>
        <v>0</v>
      </c>
      <c r="F244" s="6">
        <f t="shared" si="10"/>
        <v>0</v>
      </c>
      <c r="G244" s="62"/>
      <c r="H244" s="62"/>
      <c r="I244" s="60"/>
      <c r="J244" s="60"/>
      <c r="K244" s="64"/>
      <c r="L244" s="64"/>
      <c r="M244" s="25"/>
      <c r="N244" s="25"/>
    </row>
    <row r="245" spans="1:14">
      <c r="A245" s="3" t="s">
        <v>448</v>
      </c>
      <c r="B245" s="10" t="s">
        <v>449</v>
      </c>
      <c r="C245" s="5"/>
      <c r="D245" s="5">
        <f t="shared" si="11"/>
        <v>0</v>
      </c>
      <c r="E245" s="6">
        <f t="shared" si="9"/>
        <v>0</v>
      </c>
      <c r="F245" s="6">
        <f t="shared" si="10"/>
        <v>0</v>
      </c>
      <c r="G245" s="62"/>
      <c r="H245" s="62"/>
      <c r="I245" s="60"/>
      <c r="J245" s="60"/>
      <c r="K245" s="64"/>
      <c r="L245" s="64"/>
      <c r="M245" s="25"/>
      <c r="N245" s="25"/>
    </row>
    <row r="246" spans="1:14">
      <c r="A246" s="3" t="s">
        <v>450</v>
      </c>
      <c r="B246" s="10" t="s">
        <v>451</v>
      </c>
      <c r="C246" s="5"/>
      <c r="D246" s="5">
        <f t="shared" si="11"/>
        <v>0</v>
      </c>
      <c r="E246" s="6">
        <f t="shared" si="9"/>
        <v>0</v>
      </c>
      <c r="F246" s="6">
        <f t="shared" si="10"/>
        <v>0</v>
      </c>
      <c r="G246" s="62"/>
      <c r="H246" s="62"/>
      <c r="I246" s="60"/>
      <c r="J246" s="60"/>
      <c r="K246" s="64"/>
      <c r="L246" s="64"/>
      <c r="M246" s="25"/>
      <c r="N246" s="25"/>
    </row>
    <row r="247" spans="1:14">
      <c r="A247" s="3" t="s">
        <v>452</v>
      </c>
      <c r="B247" s="10" t="s">
        <v>453</v>
      </c>
      <c r="C247" s="5"/>
      <c r="D247" s="5">
        <f t="shared" si="11"/>
        <v>0</v>
      </c>
      <c r="E247" s="6">
        <f t="shared" si="9"/>
        <v>0</v>
      </c>
      <c r="F247" s="6">
        <f t="shared" si="10"/>
        <v>0</v>
      </c>
      <c r="G247" s="62"/>
      <c r="H247" s="62"/>
      <c r="I247" s="60"/>
      <c r="J247" s="60"/>
      <c r="K247" s="64"/>
      <c r="L247" s="64"/>
      <c r="M247" s="25"/>
      <c r="N247" s="25"/>
    </row>
    <row r="248" spans="1:14">
      <c r="A248" s="3" t="s">
        <v>454</v>
      </c>
      <c r="B248" s="10" t="s">
        <v>455</v>
      </c>
      <c r="C248" s="5"/>
      <c r="D248" s="5">
        <f t="shared" si="11"/>
        <v>0</v>
      </c>
      <c r="E248" s="6">
        <f t="shared" si="9"/>
        <v>0</v>
      </c>
      <c r="F248" s="6">
        <f t="shared" si="10"/>
        <v>0</v>
      </c>
      <c r="G248" s="62"/>
      <c r="H248" s="62"/>
      <c r="I248" s="60"/>
      <c r="J248" s="60"/>
      <c r="K248" s="64"/>
      <c r="L248" s="64"/>
      <c r="M248" s="25"/>
      <c r="N248" s="25"/>
    </row>
    <row r="249" spans="1:14">
      <c r="A249" s="3" t="s">
        <v>456</v>
      </c>
      <c r="B249" s="10" t="s">
        <v>457</v>
      </c>
      <c r="C249" s="5"/>
      <c r="D249" s="5">
        <f t="shared" si="11"/>
        <v>0</v>
      </c>
      <c r="E249" s="6">
        <f t="shared" si="9"/>
        <v>0</v>
      </c>
      <c r="F249" s="6">
        <f t="shared" si="10"/>
        <v>0</v>
      </c>
      <c r="G249" s="62"/>
      <c r="H249" s="62"/>
      <c r="I249" s="60"/>
      <c r="J249" s="60"/>
      <c r="K249" s="64"/>
      <c r="L249" s="64"/>
      <c r="M249" s="25"/>
      <c r="N249" s="25"/>
    </row>
    <row r="250" spans="1:14">
      <c r="A250" s="3" t="s">
        <v>458</v>
      </c>
      <c r="B250" s="10" t="s">
        <v>459</v>
      </c>
      <c r="C250" s="5"/>
      <c r="D250" s="5">
        <f t="shared" si="11"/>
        <v>0</v>
      </c>
      <c r="E250" s="6">
        <f t="shared" si="9"/>
        <v>0</v>
      </c>
      <c r="F250" s="6">
        <f t="shared" si="10"/>
        <v>0</v>
      </c>
      <c r="G250" s="62"/>
      <c r="H250" s="62"/>
      <c r="I250" s="60"/>
      <c r="J250" s="60"/>
      <c r="K250" s="64"/>
      <c r="L250" s="64"/>
      <c r="M250" s="25"/>
      <c r="N250" s="25"/>
    </row>
    <row r="251" spans="1:14">
      <c r="A251" s="3" t="s">
        <v>460</v>
      </c>
      <c r="B251" s="10" t="s">
        <v>461</v>
      </c>
      <c r="C251" s="5"/>
      <c r="D251" s="5">
        <f t="shared" si="11"/>
        <v>0</v>
      </c>
      <c r="E251" s="6">
        <f t="shared" si="9"/>
        <v>0</v>
      </c>
      <c r="F251" s="6">
        <f t="shared" si="10"/>
        <v>0</v>
      </c>
      <c r="G251" s="62"/>
      <c r="H251" s="62"/>
      <c r="I251" s="60"/>
      <c r="J251" s="60"/>
      <c r="K251" s="64"/>
      <c r="L251" s="64"/>
      <c r="M251" s="25"/>
      <c r="N251" s="25"/>
    </row>
    <row r="252" spans="1:14">
      <c r="A252" s="3" t="s">
        <v>462</v>
      </c>
      <c r="B252" s="10" t="s">
        <v>463</v>
      </c>
      <c r="C252" s="5"/>
      <c r="D252" s="5">
        <f t="shared" si="11"/>
        <v>0</v>
      </c>
      <c r="E252" s="6">
        <f t="shared" si="9"/>
        <v>0</v>
      </c>
      <c r="F252" s="6">
        <f t="shared" si="10"/>
        <v>0</v>
      </c>
      <c r="G252" s="62"/>
      <c r="H252" s="62"/>
      <c r="I252" s="60"/>
      <c r="J252" s="60"/>
      <c r="K252" s="64"/>
      <c r="L252" s="64"/>
      <c r="M252" s="25"/>
      <c r="N252" s="25"/>
    </row>
    <row r="253" spans="1:14">
      <c r="A253" s="3" t="s">
        <v>464</v>
      </c>
      <c r="B253" s="10" t="s">
        <v>465</v>
      </c>
      <c r="C253" s="5"/>
      <c r="D253" s="5">
        <f t="shared" si="11"/>
        <v>0</v>
      </c>
      <c r="E253" s="6">
        <f t="shared" si="9"/>
        <v>0</v>
      </c>
      <c r="F253" s="6">
        <f t="shared" si="10"/>
        <v>0</v>
      </c>
      <c r="G253" s="62"/>
      <c r="H253" s="62"/>
      <c r="I253" s="60"/>
      <c r="J253" s="60"/>
      <c r="K253" s="64"/>
      <c r="L253" s="64"/>
      <c r="M253" s="25"/>
      <c r="N253" s="25"/>
    </row>
    <row r="254" spans="1:14">
      <c r="A254" s="3" t="s">
        <v>466</v>
      </c>
      <c r="B254" s="10" t="s">
        <v>467</v>
      </c>
      <c r="C254" s="5"/>
      <c r="D254" s="5">
        <f t="shared" si="11"/>
        <v>0</v>
      </c>
      <c r="E254" s="6">
        <f t="shared" si="9"/>
        <v>0</v>
      </c>
      <c r="F254" s="6">
        <f t="shared" si="10"/>
        <v>0</v>
      </c>
      <c r="G254" s="62"/>
      <c r="H254" s="62"/>
      <c r="I254" s="60"/>
      <c r="J254" s="60"/>
      <c r="K254" s="64"/>
      <c r="L254" s="64"/>
      <c r="M254" s="25"/>
      <c r="N254" s="25"/>
    </row>
    <row r="255" spans="1:14">
      <c r="A255" s="3" t="s">
        <v>468</v>
      </c>
      <c r="B255" s="10" t="s">
        <v>469</v>
      </c>
      <c r="C255" s="5"/>
      <c r="D255" s="5">
        <f t="shared" si="11"/>
        <v>0</v>
      </c>
      <c r="E255" s="6">
        <f t="shared" si="9"/>
        <v>0</v>
      </c>
      <c r="F255" s="6">
        <f t="shared" si="10"/>
        <v>0</v>
      </c>
      <c r="G255" s="62"/>
      <c r="H255" s="62"/>
      <c r="I255" s="60"/>
      <c r="J255" s="60"/>
      <c r="K255" s="64"/>
      <c r="L255" s="64"/>
      <c r="M255" s="25"/>
      <c r="N255" s="25"/>
    </row>
    <row r="256" spans="1:14">
      <c r="A256" s="3" t="s">
        <v>470</v>
      </c>
      <c r="B256" s="10" t="s">
        <v>471</v>
      </c>
      <c r="C256" s="5"/>
      <c r="D256" s="5">
        <f t="shared" si="11"/>
        <v>0</v>
      </c>
      <c r="E256" s="6">
        <f t="shared" si="9"/>
        <v>0</v>
      </c>
      <c r="F256" s="6">
        <f t="shared" si="10"/>
        <v>0</v>
      </c>
      <c r="G256" s="62"/>
      <c r="H256" s="62"/>
      <c r="I256" s="60"/>
      <c r="J256" s="60"/>
      <c r="K256" s="64"/>
      <c r="L256" s="64"/>
      <c r="M256" s="25"/>
      <c r="N256" s="25"/>
    </row>
    <row r="257" spans="1:14">
      <c r="A257" s="3" t="s">
        <v>472</v>
      </c>
      <c r="B257" s="10" t="s">
        <v>473</v>
      </c>
      <c r="C257" s="5"/>
      <c r="D257" s="5">
        <f t="shared" si="11"/>
        <v>0</v>
      </c>
      <c r="E257" s="6">
        <f t="shared" si="9"/>
        <v>0</v>
      </c>
      <c r="F257" s="6">
        <f t="shared" si="10"/>
        <v>0</v>
      </c>
      <c r="G257" s="62"/>
      <c r="H257" s="62"/>
      <c r="I257" s="60"/>
      <c r="J257" s="60"/>
      <c r="K257" s="64"/>
      <c r="L257" s="64"/>
      <c r="M257" s="25"/>
      <c r="N257" s="25"/>
    </row>
    <row r="258" spans="1:14">
      <c r="A258" s="3" t="s">
        <v>474</v>
      </c>
      <c r="B258" s="10" t="s">
        <v>475</v>
      </c>
      <c r="C258" s="5"/>
      <c r="D258" s="5">
        <f t="shared" si="11"/>
        <v>0</v>
      </c>
      <c r="E258" s="6">
        <f t="shared" si="9"/>
        <v>0</v>
      </c>
      <c r="F258" s="6">
        <f t="shared" si="10"/>
        <v>0</v>
      </c>
      <c r="G258" s="62"/>
      <c r="H258" s="62"/>
      <c r="I258" s="60"/>
      <c r="J258" s="60"/>
      <c r="K258" s="64"/>
      <c r="L258" s="64"/>
      <c r="M258" s="25"/>
      <c r="N258" s="25"/>
    </row>
    <row r="259" spans="1:14">
      <c r="A259" s="3" t="s">
        <v>476</v>
      </c>
      <c r="B259" s="10" t="s">
        <v>477</v>
      </c>
      <c r="C259" s="5"/>
      <c r="D259" s="5">
        <f t="shared" si="11"/>
        <v>0</v>
      </c>
      <c r="E259" s="6">
        <f t="shared" si="9"/>
        <v>0</v>
      </c>
      <c r="F259" s="6">
        <f t="shared" si="10"/>
        <v>0</v>
      </c>
      <c r="G259" s="62"/>
      <c r="H259" s="62"/>
      <c r="I259" s="60"/>
      <c r="J259" s="60"/>
      <c r="K259" s="64"/>
      <c r="L259" s="64"/>
      <c r="M259" s="25"/>
      <c r="N259" s="25"/>
    </row>
    <row r="260" spans="1:14">
      <c r="A260" s="3" t="s">
        <v>478</v>
      </c>
      <c r="B260" s="10" t="s">
        <v>479</v>
      </c>
      <c r="C260" s="5"/>
      <c r="D260" s="5">
        <f t="shared" si="11"/>
        <v>0</v>
      </c>
      <c r="E260" s="6">
        <f t="shared" si="9"/>
        <v>0</v>
      </c>
      <c r="F260" s="6">
        <f t="shared" si="10"/>
        <v>0</v>
      </c>
      <c r="G260" s="62"/>
      <c r="H260" s="62"/>
      <c r="I260" s="60"/>
      <c r="J260" s="60"/>
      <c r="K260" s="64"/>
      <c r="L260" s="64"/>
      <c r="M260" s="25"/>
      <c r="N260" s="25"/>
    </row>
    <row r="261" spans="1:14">
      <c r="A261" s="3" t="s">
        <v>480</v>
      </c>
      <c r="B261" s="10" t="s">
        <v>481</v>
      </c>
      <c r="C261" s="5"/>
      <c r="D261" s="5">
        <f t="shared" si="11"/>
        <v>0</v>
      </c>
      <c r="E261" s="6">
        <f t="shared" si="9"/>
        <v>0</v>
      </c>
      <c r="F261" s="6">
        <f t="shared" si="10"/>
        <v>0</v>
      </c>
      <c r="G261" s="62"/>
      <c r="H261" s="62"/>
      <c r="I261" s="60"/>
      <c r="J261" s="60"/>
      <c r="K261" s="64"/>
      <c r="L261" s="64"/>
      <c r="M261" s="25"/>
      <c r="N261" s="25"/>
    </row>
    <row r="262" spans="1:14">
      <c r="A262" s="3" t="s">
        <v>482</v>
      </c>
      <c r="B262" s="10" t="s">
        <v>483</v>
      </c>
      <c r="C262" s="5"/>
      <c r="D262" s="5">
        <f t="shared" si="11"/>
        <v>0</v>
      </c>
      <c r="E262" s="6">
        <f t="shared" si="9"/>
        <v>0</v>
      </c>
      <c r="F262" s="6">
        <f t="shared" si="10"/>
        <v>0</v>
      </c>
      <c r="G262" s="62"/>
      <c r="H262" s="62"/>
      <c r="I262" s="60"/>
      <c r="J262" s="60"/>
      <c r="K262" s="64"/>
      <c r="L262" s="64"/>
      <c r="M262" s="25"/>
      <c r="N262" s="25"/>
    </row>
    <row r="263" spans="1:14">
      <c r="A263" s="3" t="s">
        <v>484</v>
      </c>
      <c r="B263" s="10" t="s">
        <v>485</v>
      </c>
      <c r="C263" s="5"/>
      <c r="D263" s="5">
        <f t="shared" si="11"/>
        <v>0</v>
      </c>
      <c r="E263" s="6">
        <f t="shared" si="9"/>
        <v>0</v>
      </c>
      <c r="F263" s="6">
        <f t="shared" si="10"/>
        <v>0</v>
      </c>
      <c r="G263" s="62"/>
      <c r="H263" s="62"/>
      <c r="I263" s="60"/>
      <c r="J263" s="60"/>
      <c r="K263" s="64"/>
      <c r="L263" s="64"/>
      <c r="M263" s="25"/>
      <c r="N263" s="25"/>
    </row>
    <row r="264" spans="1:14">
      <c r="A264" s="3" t="s">
        <v>486</v>
      </c>
      <c r="B264" s="10" t="s">
        <v>487</v>
      </c>
      <c r="C264" s="5"/>
      <c r="D264" s="5">
        <f t="shared" si="11"/>
        <v>0</v>
      </c>
      <c r="E264" s="6">
        <f t="shared" si="9"/>
        <v>0</v>
      </c>
      <c r="F264" s="6">
        <f t="shared" si="10"/>
        <v>0</v>
      </c>
      <c r="G264" s="62"/>
      <c r="H264" s="62"/>
      <c r="I264" s="60"/>
      <c r="J264" s="60"/>
      <c r="K264" s="64"/>
      <c r="L264" s="64"/>
      <c r="M264" s="25"/>
      <c r="N264" s="25"/>
    </row>
    <row r="265" spans="1:14">
      <c r="A265" s="3" t="s">
        <v>488</v>
      </c>
      <c r="B265" s="10" t="s">
        <v>489</v>
      </c>
      <c r="C265" s="5"/>
      <c r="D265" s="5">
        <f t="shared" si="11"/>
        <v>0</v>
      </c>
      <c r="E265" s="6">
        <f t="shared" si="9"/>
        <v>0</v>
      </c>
      <c r="F265" s="6">
        <f t="shared" si="10"/>
        <v>0</v>
      </c>
      <c r="G265" s="62"/>
      <c r="H265" s="62"/>
      <c r="I265" s="60"/>
      <c r="J265" s="60"/>
      <c r="K265" s="64"/>
      <c r="L265" s="64"/>
      <c r="M265" s="25"/>
      <c r="N265" s="25"/>
    </row>
    <row r="266" spans="1:14">
      <c r="A266" s="3" t="s">
        <v>490</v>
      </c>
      <c r="B266" s="10" t="s">
        <v>491</v>
      </c>
      <c r="C266" s="5"/>
      <c r="D266" s="5">
        <f t="shared" si="11"/>
        <v>0</v>
      </c>
      <c r="E266" s="6">
        <f t="shared" si="9"/>
        <v>0</v>
      </c>
      <c r="F266" s="6">
        <f t="shared" si="10"/>
        <v>0</v>
      </c>
      <c r="G266" s="62"/>
      <c r="H266" s="62"/>
      <c r="I266" s="60"/>
      <c r="J266" s="60"/>
      <c r="K266" s="64"/>
      <c r="L266" s="64"/>
      <c r="M266" s="25"/>
      <c r="N266" s="25"/>
    </row>
    <row r="267" spans="1:14">
      <c r="A267" s="3" t="s">
        <v>492</v>
      </c>
      <c r="B267" s="10" t="s">
        <v>493</v>
      </c>
      <c r="C267" s="5"/>
      <c r="D267" s="5">
        <f t="shared" si="11"/>
        <v>679.35</v>
      </c>
      <c r="E267" s="6">
        <f t="shared" si="9"/>
        <v>0</v>
      </c>
      <c r="F267" s="6">
        <f t="shared" si="10"/>
        <v>679.35</v>
      </c>
      <c r="G267" s="62"/>
      <c r="H267" s="62"/>
      <c r="I267" s="60"/>
      <c r="J267" s="60"/>
      <c r="K267" s="64"/>
      <c r="L267" s="64"/>
      <c r="M267" s="25"/>
      <c r="N267" s="25">
        <v>679.35</v>
      </c>
    </row>
    <row r="268" spans="1:14">
      <c r="A268" s="3" t="s">
        <v>494</v>
      </c>
      <c r="B268" s="10" t="s">
        <v>495</v>
      </c>
      <c r="C268" s="5"/>
      <c r="D268" s="5">
        <f t="shared" si="11"/>
        <v>0</v>
      </c>
      <c r="E268" s="6">
        <f t="shared" si="9"/>
        <v>0</v>
      </c>
      <c r="F268" s="6">
        <f t="shared" si="10"/>
        <v>0</v>
      </c>
      <c r="G268" s="62"/>
      <c r="H268" s="62"/>
      <c r="I268" s="60"/>
      <c r="J268" s="60"/>
      <c r="K268" s="64"/>
      <c r="L268" s="64"/>
      <c r="M268" s="25"/>
      <c r="N268" s="25"/>
    </row>
    <row r="269" spans="1:14">
      <c r="A269" s="3" t="s">
        <v>496</v>
      </c>
      <c r="B269" s="10" t="s">
        <v>497</v>
      </c>
      <c r="C269" s="5"/>
      <c r="D269" s="5">
        <f t="shared" si="11"/>
        <v>0</v>
      </c>
      <c r="E269" s="6">
        <f t="shared" si="9"/>
        <v>0</v>
      </c>
      <c r="F269" s="6">
        <f t="shared" si="10"/>
        <v>0</v>
      </c>
      <c r="G269" s="62"/>
      <c r="H269" s="62"/>
      <c r="I269" s="60"/>
      <c r="J269" s="60"/>
      <c r="K269" s="64"/>
      <c r="L269" s="64"/>
      <c r="M269" s="25"/>
      <c r="N269" s="25"/>
    </row>
    <row r="270" spans="1:14">
      <c r="A270" s="3" t="s">
        <v>498</v>
      </c>
      <c r="B270" s="10" t="s">
        <v>499</v>
      </c>
      <c r="C270" s="5"/>
      <c r="D270" s="5">
        <f t="shared" si="11"/>
        <v>0</v>
      </c>
      <c r="E270" s="6">
        <f t="shared" ref="E270:E333" si="12">SUM(G270,I270,K270,M270)</f>
        <v>0</v>
      </c>
      <c r="F270" s="6">
        <f t="shared" ref="F270:F333" si="13">SUM(H270,J270,L270,N270)</f>
        <v>0</v>
      </c>
      <c r="G270" s="62"/>
      <c r="H270" s="62"/>
      <c r="I270" s="60"/>
      <c r="J270" s="60"/>
      <c r="K270" s="64"/>
      <c r="L270" s="64"/>
      <c r="M270" s="25"/>
      <c r="N270" s="25"/>
    </row>
    <row r="271" spans="1:14">
      <c r="A271" s="3" t="s">
        <v>500</v>
      </c>
      <c r="B271" s="10" t="s">
        <v>501</v>
      </c>
      <c r="C271" s="5"/>
      <c r="D271" s="5">
        <f t="shared" si="11"/>
        <v>0</v>
      </c>
      <c r="E271" s="6">
        <f t="shared" si="12"/>
        <v>0</v>
      </c>
      <c r="F271" s="6">
        <f t="shared" si="13"/>
        <v>0</v>
      </c>
      <c r="G271" s="62"/>
      <c r="H271" s="62"/>
      <c r="I271" s="60"/>
      <c r="J271" s="60"/>
      <c r="K271" s="64"/>
      <c r="L271" s="64"/>
      <c r="M271" s="25"/>
      <c r="N271" s="25"/>
    </row>
    <row r="272" spans="1:14">
      <c r="A272" s="3" t="s">
        <v>502</v>
      </c>
      <c r="B272" s="10" t="s">
        <v>503</v>
      </c>
      <c r="C272" s="5"/>
      <c r="D272" s="5">
        <f t="shared" si="11"/>
        <v>0</v>
      </c>
      <c r="E272" s="6">
        <f t="shared" si="12"/>
        <v>0</v>
      </c>
      <c r="F272" s="6">
        <f t="shared" si="13"/>
        <v>0</v>
      </c>
      <c r="G272" s="62"/>
      <c r="H272" s="62"/>
      <c r="I272" s="60"/>
      <c r="J272" s="60"/>
      <c r="K272" s="64"/>
      <c r="L272" s="64"/>
      <c r="M272" s="25"/>
      <c r="N272" s="25"/>
    </row>
    <row r="273" spans="1:14">
      <c r="A273" s="3" t="s">
        <v>504</v>
      </c>
      <c r="B273" s="10" t="s">
        <v>505</v>
      </c>
      <c r="C273" s="5"/>
      <c r="D273" s="5">
        <f t="shared" si="11"/>
        <v>0</v>
      </c>
      <c r="E273" s="6">
        <f t="shared" si="12"/>
        <v>0</v>
      </c>
      <c r="F273" s="6">
        <f t="shared" si="13"/>
        <v>0</v>
      </c>
      <c r="G273" s="62"/>
      <c r="H273" s="62"/>
      <c r="I273" s="60"/>
      <c r="J273" s="60"/>
      <c r="K273" s="64"/>
      <c r="L273" s="64"/>
      <c r="M273" s="25"/>
      <c r="N273" s="25"/>
    </row>
    <row r="274" spans="1:14">
      <c r="A274" s="3" t="s">
        <v>506</v>
      </c>
      <c r="B274" s="10" t="s">
        <v>507</v>
      </c>
      <c r="C274" s="5"/>
      <c r="D274" s="5">
        <f t="shared" si="11"/>
        <v>0</v>
      </c>
      <c r="E274" s="6">
        <f t="shared" si="12"/>
        <v>0</v>
      </c>
      <c r="F274" s="6">
        <f t="shared" si="13"/>
        <v>0</v>
      </c>
      <c r="G274" s="62"/>
      <c r="H274" s="62"/>
      <c r="I274" s="60"/>
      <c r="J274" s="60"/>
      <c r="K274" s="64"/>
      <c r="L274" s="64"/>
      <c r="M274" s="25"/>
      <c r="N274" s="25"/>
    </row>
    <row r="275" spans="1:14">
      <c r="A275" s="3" t="s">
        <v>508</v>
      </c>
      <c r="B275" s="10" t="s">
        <v>509</v>
      </c>
      <c r="C275" s="5"/>
      <c r="D275" s="5">
        <f t="shared" si="11"/>
        <v>0</v>
      </c>
      <c r="E275" s="6">
        <f t="shared" si="12"/>
        <v>0</v>
      </c>
      <c r="F275" s="6">
        <f t="shared" si="13"/>
        <v>0</v>
      </c>
      <c r="G275" s="62"/>
      <c r="H275" s="62"/>
      <c r="I275" s="60"/>
      <c r="J275" s="60"/>
      <c r="K275" s="64"/>
      <c r="L275" s="64"/>
      <c r="M275" s="25"/>
      <c r="N275" s="25"/>
    </row>
    <row r="276" spans="1:14">
      <c r="A276" s="3" t="s">
        <v>510</v>
      </c>
      <c r="B276" s="10" t="s">
        <v>511</v>
      </c>
      <c r="C276" s="5"/>
      <c r="D276" s="5">
        <f t="shared" si="11"/>
        <v>0</v>
      </c>
      <c r="E276" s="6">
        <f t="shared" si="12"/>
        <v>0</v>
      </c>
      <c r="F276" s="6">
        <f t="shared" si="13"/>
        <v>0</v>
      </c>
      <c r="G276" s="62"/>
      <c r="H276" s="62"/>
      <c r="I276" s="60"/>
      <c r="J276" s="60"/>
      <c r="K276" s="64"/>
      <c r="L276" s="64"/>
      <c r="M276" s="25"/>
      <c r="N276" s="25"/>
    </row>
    <row r="277" spans="1:14">
      <c r="A277" s="3" t="s">
        <v>512</v>
      </c>
      <c r="B277" s="10" t="s">
        <v>513</v>
      </c>
      <c r="C277" s="5"/>
      <c r="D277" s="5">
        <f t="shared" si="11"/>
        <v>0</v>
      </c>
      <c r="E277" s="6">
        <f t="shared" si="12"/>
        <v>0</v>
      </c>
      <c r="F277" s="6">
        <f t="shared" si="13"/>
        <v>0</v>
      </c>
      <c r="G277" s="62"/>
      <c r="H277" s="62"/>
      <c r="I277" s="60"/>
      <c r="J277" s="60"/>
      <c r="K277" s="64"/>
      <c r="L277" s="64"/>
      <c r="M277" s="25"/>
      <c r="N277" s="25"/>
    </row>
    <row r="278" spans="1:14">
      <c r="A278" s="3" t="s">
        <v>514</v>
      </c>
      <c r="B278" s="10" t="s">
        <v>515</v>
      </c>
      <c r="C278" s="5"/>
      <c r="D278" s="5">
        <f t="shared" si="11"/>
        <v>0</v>
      </c>
      <c r="E278" s="6">
        <f t="shared" si="12"/>
        <v>0</v>
      </c>
      <c r="F278" s="6">
        <f t="shared" si="13"/>
        <v>0</v>
      </c>
      <c r="G278" s="62"/>
      <c r="H278" s="62"/>
      <c r="I278" s="60"/>
      <c r="J278" s="60"/>
      <c r="K278" s="64"/>
      <c r="L278" s="64"/>
      <c r="M278" s="25"/>
      <c r="N278" s="25"/>
    </row>
    <row r="279" spans="1:14">
      <c r="A279" s="3" t="s">
        <v>516</v>
      </c>
      <c r="B279" s="10" t="s">
        <v>517</v>
      </c>
      <c r="C279" s="5"/>
      <c r="D279" s="5">
        <f t="shared" si="11"/>
        <v>0</v>
      </c>
      <c r="E279" s="6">
        <f t="shared" si="12"/>
        <v>0</v>
      </c>
      <c r="F279" s="6">
        <f t="shared" si="13"/>
        <v>0</v>
      </c>
      <c r="G279" s="62"/>
      <c r="H279" s="62"/>
      <c r="I279" s="60"/>
      <c r="J279" s="60"/>
      <c r="K279" s="64"/>
      <c r="L279" s="64"/>
      <c r="M279" s="25"/>
      <c r="N279" s="25"/>
    </row>
    <row r="280" spans="1:14">
      <c r="A280" s="3" t="s">
        <v>518</v>
      </c>
      <c r="B280" s="10" t="s">
        <v>519</v>
      </c>
      <c r="C280" s="5"/>
      <c r="D280" s="5">
        <f t="shared" si="11"/>
        <v>0</v>
      </c>
      <c r="E280" s="6">
        <f t="shared" si="12"/>
        <v>0</v>
      </c>
      <c r="F280" s="6">
        <f t="shared" si="13"/>
        <v>0</v>
      </c>
      <c r="G280" s="62"/>
      <c r="H280" s="62"/>
      <c r="I280" s="60"/>
      <c r="J280" s="60"/>
      <c r="K280" s="64"/>
      <c r="L280" s="64"/>
      <c r="M280" s="25"/>
      <c r="N280" s="25"/>
    </row>
    <row r="281" spans="1:14">
      <c r="A281" s="3" t="s">
        <v>520</v>
      </c>
      <c r="B281" s="4" t="s">
        <v>521</v>
      </c>
      <c r="C281" s="5">
        <f t="shared" ref="C281:C344" si="14">E281-F281</f>
        <v>0</v>
      </c>
      <c r="D281" s="5"/>
      <c r="E281" s="6">
        <f t="shared" si="12"/>
        <v>0</v>
      </c>
      <c r="F281" s="6">
        <f t="shared" si="13"/>
        <v>0</v>
      </c>
      <c r="G281" s="62"/>
      <c r="H281" s="62"/>
      <c r="I281" s="60"/>
      <c r="J281" s="60"/>
      <c r="K281" s="64"/>
      <c r="L281" s="64"/>
      <c r="M281" s="25"/>
      <c r="N281" s="25"/>
    </row>
    <row r="282" spans="1:14">
      <c r="A282" s="3" t="s">
        <v>522</v>
      </c>
      <c r="B282" s="4" t="s">
        <v>523</v>
      </c>
      <c r="C282" s="5">
        <f t="shared" si="14"/>
        <v>0</v>
      </c>
      <c r="D282" s="5"/>
      <c r="E282" s="6">
        <f t="shared" si="12"/>
        <v>0</v>
      </c>
      <c r="F282" s="6">
        <f t="shared" si="13"/>
        <v>0</v>
      </c>
      <c r="G282" s="62"/>
      <c r="H282" s="62"/>
      <c r="I282" s="60"/>
      <c r="J282" s="60"/>
      <c r="K282" s="64"/>
      <c r="L282" s="64"/>
      <c r="M282" s="25"/>
      <c r="N282" s="25"/>
    </row>
    <row r="283" spans="1:14">
      <c r="A283" s="3" t="s">
        <v>524</v>
      </c>
      <c r="B283" s="4" t="s">
        <v>525</v>
      </c>
      <c r="C283" s="5">
        <f t="shared" si="14"/>
        <v>0</v>
      </c>
      <c r="D283" s="5"/>
      <c r="E283" s="6">
        <f t="shared" si="12"/>
        <v>0</v>
      </c>
      <c r="F283" s="6">
        <f t="shared" si="13"/>
        <v>0</v>
      </c>
      <c r="G283" s="62"/>
      <c r="H283" s="62"/>
      <c r="I283" s="60"/>
      <c r="J283" s="60"/>
      <c r="K283" s="64"/>
      <c r="L283" s="64"/>
      <c r="M283" s="25"/>
      <c r="N283" s="25"/>
    </row>
    <row r="284" spans="1:14">
      <c r="A284" s="3" t="s">
        <v>526</v>
      </c>
      <c r="B284" s="4" t="s">
        <v>527</v>
      </c>
      <c r="C284" s="5">
        <f t="shared" si="14"/>
        <v>0</v>
      </c>
      <c r="D284" s="5"/>
      <c r="E284" s="6">
        <f t="shared" si="12"/>
        <v>0</v>
      </c>
      <c r="F284" s="6">
        <f t="shared" si="13"/>
        <v>0</v>
      </c>
      <c r="G284" s="62"/>
      <c r="H284" s="62"/>
      <c r="I284" s="60"/>
      <c r="J284" s="60"/>
      <c r="K284" s="64"/>
      <c r="L284" s="64"/>
      <c r="M284" s="25"/>
      <c r="N284" s="25"/>
    </row>
    <row r="285" spans="1:14">
      <c r="A285" s="3" t="s">
        <v>528</v>
      </c>
      <c r="B285" s="4" t="s">
        <v>529</v>
      </c>
      <c r="C285" s="5">
        <f t="shared" si="14"/>
        <v>0</v>
      </c>
      <c r="D285" s="5"/>
      <c r="E285" s="6">
        <f t="shared" si="12"/>
        <v>0</v>
      </c>
      <c r="F285" s="6">
        <f t="shared" si="13"/>
        <v>0</v>
      </c>
      <c r="G285" s="62"/>
      <c r="H285" s="62"/>
      <c r="I285" s="60"/>
      <c r="J285" s="60"/>
      <c r="K285" s="64"/>
      <c r="L285" s="64"/>
      <c r="M285" s="25"/>
      <c r="N285" s="25"/>
    </row>
    <row r="286" spans="1:14">
      <c r="A286" s="3" t="s">
        <v>530</v>
      </c>
      <c r="B286" s="4" t="s">
        <v>531</v>
      </c>
      <c r="C286" s="5">
        <f t="shared" si="14"/>
        <v>0</v>
      </c>
      <c r="D286" s="5"/>
      <c r="E286" s="6">
        <f t="shared" si="12"/>
        <v>0</v>
      </c>
      <c r="F286" s="6">
        <f t="shared" si="13"/>
        <v>0</v>
      </c>
      <c r="G286" s="62"/>
      <c r="H286" s="62"/>
      <c r="I286" s="60"/>
      <c r="J286" s="60"/>
      <c r="K286" s="64"/>
      <c r="L286" s="64"/>
      <c r="M286" s="25"/>
      <c r="N286" s="25"/>
    </row>
    <row r="287" spans="1:14">
      <c r="A287" s="3" t="s">
        <v>532</v>
      </c>
      <c r="B287" s="4" t="s">
        <v>533</v>
      </c>
      <c r="C287" s="5">
        <f t="shared" si="14"/>
        <v>0</v>
      </c>
      <c r="D287" s="5"/>
      <c r="E287" s="6">
        <f t="shared" si="12"/>
        <v>0</v>
      </c>
      <c r="F287" s="6">
        <f t="shared" si="13"/>
        <v>0</v>
      </c>
      <c r="G287" s="62"/>
      <c r="H287" s="62"/>
      <c r="I287" s="60"/>
      <c r="J287" s="60"/>
      <c r="K287" s="64"/>
      <c r="L287" s="64"/>
      <c r="M287" s="25"/>
      <c r="N287" s="25"/>
    </row>
    <row r="288" spans="1:14">
      <c r="A288" s="3" t="s">
        <v>534</v>
      </c>
      <c r="B288" s="4" t="s">
        <v>535</v>
      </c>
      <c r="C288" s="5">
        <f t="shared" si="14"/>
        <v>0</v>
      </c>
      <c r="D288" s="5"/>
      <c r="E288" s="6">
        <f t="shared" si="12"/>
        <v>0</v>
      </c>
      <c r="F288" s="6">
        <f t="shared" si="13"/>
        <v>0</v>
      </c>
      <c r="G288" s="62"/>
      <c r="H288" s="62"/>
      <c r="I288" s="60"/>
      <c r="J288" s="60"/>
      <c r="K288" s="64"/>
      <c r="L288" s="64"/>
      <c r="M288" s="25"/>
      <c r="N288" s="25"/>
    </row>
    <row r="289" spans="1:14">
      <c r="A289" s="3" t="s">
        <v>536</v>
      </c>
      <c r="B289" s="4" t="s">
        <v>537</v>
      </c>
      <c r="C289" s="5">
        <f t="shared" si="14"/>
        <v>0</v>
      </c>
      <c r="D289" s="5"/>
      <c r="E289" s="6">
        <f t="shared" si="12"/>
        <v>0</v>
      </c>
      <c r="F289" s="6">
        <f t="shared" si="13"/>
        <v>0</v>
      </c>
      <c r="G289" s="62"/>
      <c r="H289" s="62"/>
      <c r="I289" s="60"/>
      <c r="J289" s="60"/>
      <c r="K289" s="64"/>
      <c r="L289" s="64"/>
      <c r="M289" s="25"/>
      <c r="N289" s="25"/>
    </row>
    <row r="290" spans="1:14">
      <c r="A290" s="3" t="s">
        <v>538</v>
      </c>
      <c r="B290" s="4" t="s">
        <v>539</v>
      </c>
      <c r="C290" s="5">
        <f t="shared" si="14"/>
        <v>0</v>
      </c>
      <c r="D290" s="5"/>
      <c r="E290" s="6">
        <f t="shared" si="12"/>
        <v>0</v>
      </c>
      <c r="F290" s="6">
        <f t="shared" si="13"/>
        <v>0</v>
      </c>
      <c r="G290" s="62"/>
      <c r="H290" s="62"/>
      <c r="I290" s="60"/>
      <c r="J290" s="60"/>
      <c r="K290" s="64"/>
      <c r="L290" s="64"/>
      <c r="M290" s="25"/>
      <c r="N290" s="25"/>
    </row>
    <row r="291" spans="1:14">
      <c r="A291" s="3" t="s">
        <v>540</v>
      </c>
      <c r="B291" s="4" t="s">
        <v>541</v>
      </c>
      <c r="C291" s="5">
        <f t="shared" si="14"/>
        <v>0</v>
      </c>
      <c r="D291" s="5"/>
      <c r="E291" s="6">
        <f t="shared" si="12"/>
        <v>0</v>
      </c>
      <c r="F291" s="6">
        <f t="shared" si="13"/>
        <v>0</v>
      </c>
      <c r="G291" s="62"/>
      <c r="H291" s="62"/>
      <c r="I291" s="60"/>
      <c r="J291" s="60"/>
      <c r="K291" s="64"/>
      <c r="L291" s="64"/>
      <c r="M291" s="25"/>
      <c r="N291" s="25"/>
    </row>
    <row r="292" spans="1:14">
      <c r="A292" s="3" t="s">
        <v>542</v>
      </c>
      <c r="B292" s="4" t="s">
        <v>543</v>
      </c>
      <c r="C292" s="5">
        <f t="shared" si="14"/>
        <v>0</v>
      </c>
      <c r="D292" s="5"/>
      <c r="E292" s="6">
        <f t="shared" si="12"/>
        <v>0</v>
      </c>
      <c r="F292" s="6">
        <f t="shared" si="13"/>
        <v>0</v>
      </c>
      <c r="G292" s="62"/>
      <c r="H292" s="62"/>
      <c r="I292" s="60"/>
      <c r="J292" s="60"/>
      <c r="K292" s="64"/>
      <c r="L292" s="64"/>
      <c r="M292" s="25"/>
      <c r="N292" s="25"/>
    </row>
    <row r="293" spans="1:14">
      <c r="A293" s="3" t="s">
        <v>544</v>
      </c>
      <c r="B293" s="4" t="s">
        <v>545</v>
      </c>
      <c r="C293" s="5">
        <f t="shared" si="14"/>
        <v>0</v>
      </c>
      <c r="D293" s="5"/>
      <c r="E293" s="6">
        <f t="shared" si="12"/>
        <v>0</v>
      </c>
      <c r="F293" s="6">
        <f t="shared" si="13"/>
        <v>0</v>
      </c>
      <c r="G293" s="62"/>
      <c r="H293" s="62"/>
      <c r="I293" s="60"/>
      <c r="J293" s="60"/>
      <c r="K293" s="64"/>
      <c r="L293" s="64"/>
      <c r="M293" s="25"/>
      <c r="N293" s="25"/>
    </row>
    <row r="294" spans="1:14">
      <c r="A294" s="3" t="s">
        <v>546</v>
      </c>
      <c r="B294" s="4" t="s">
        <v>547</v>
      </c>
      <c r="C294" s="5">
        <f t="shared" si="14"/>
        <v>0</v>
      </c>
      <c r="D294" s="5"/>
      <c r="E294" s="6">
        <f t="shared" si="12"/>
        <v>0</v>
      </c>
      <c r="F294" s="6">
        <f t="shared" si="13"/>
        <v>0</v>
      </c>
      <c r="G294" s="62"/>
      <c r="H294" s="62"/>
      <c r="I294" s="60"/>
      <c r="J294" s="60"/>
      <c r="K294" s="64"/>
      <c r="L294" s="64"/>
      <c r="M294" s="25"/>
      <c r="N294" s="25"/>
    </row>
    <row r="295" spans="1:14">
      <c r="A295" s="3" t="s">
        <v>548</v>
      </c>
      <c r="B295" s="4" t="s">
        <v>549</v>
      </c>
      <c r="C295" s="5">
        <f t="shared" si="14"/>
        <v>0</v>
      </c>
      <c r="D295" s="5"/>
      <c r="E295" s="6">
        <f t="shared" si="12"/>
        <v>0</v>
      </c>
      <c r="F295" s="6">
        <f t="shared" si="13"/>
        <v>0</v>
      </c>
      <c r="G295" s="62"/>
      <c r="H295" s="62"/>
      <c r="I295" s="60"/>
      <c r="J295" s="60"/>
      <c r="K295" s="64"/>
      <c r="L295" s="64"/>
      <c r="M295" s="25"/>
      <c r="N295" s="25"/>
    </row>
    <row r="296" spans="1:14">
      <c r="A296" s="3" t="s">
        <v>550</v>
      </c>
      <c r="B296" s="4" t="s">
        <v>551</v>
      </c>
      <c r="C296" s="5">
        <f t="shared" si="14"/>
        <v>0</v>
      </c>
      <c r="D296" s="5"/>
      <c r="E296" s="6">
        <f t="shared" si="12"/>
        <v>0</v>
      </c>
      <c r="F296" s="6">
        <f t="shared" si="13"/>
        <v>0</v>
      </c>
      <c r="G296" s="62"/>
      <c r="H296" s="62"/>
      <c r="I296" s="60"/>
      <c r="J296" s="60"/>
      <c r="K296" s="64"/>
      <c r="L296" s="64"/>
      <c r="M296" s="25"/>
      <c r="N296" s="25"/>
    </row>
    <row r="297" spans="1:14">
      <c r="A297" s="3" t="s">
        <v>552</v>
      </c>
      <c r="B297" s="4" t="s">
        <v>553</v>
      </c>
      <c r="C297" s="5">
        <f t="shared" si="14"/>
        <v>0</v>
      </c>
      <c r="D297" s="5"/>
      <c r="E297" s="6">
        <f t="shared" si="12"/>
        <v>0</v>
      </c>
      <c r="F297" s="6">
        <f t="shared" si="13"/>
        <v>0</v>
      </c>
      <c r="G297" s="62"/>
      <c r="H297" s="62"/>
      <c r="I297" s="60"/>
      <c r="J297" s="60"/>
      <c r="K297" s="64"/>
      <c r="L297" s="64"/>
      <c r="M297" s="25"/>
      <c r="N297" s="25"/>
    </row>
    <row r="298" spans="1:14">
      <c r="A298" s="3" t="s">
        <v>554</v>
      </c>
      <c r="B298" s="4" t="s">
        <v>555</v>
      </c>
      <c r="C298" s="5">
        <f t="shared" si="14"/>
        <v>0</v>
      </c>
      <c r="D298" s="5"/>
      <c r="E298" s="6">
        <f t="shared" si="12"/>
        <v>0</v>
      </c>
      <c r="F298" s="6">
        <f t="shared" si="13"/>
        <v>0</v>
      </c>
      <c r="G298" s="62"/>
      <c r="H298" s="62"/>
      <c r="I298" s="60"/>
      <c r="J298" s="60"/>
      <c r="K298" s="64"/>
      <c r="L298" s="64"/>
      <c r="M298" s="25"/>
      <c r="N298" s="25"/>
    </row>
    <row r="299" spans="1:14">
      <c r="A299" s="3" t="s">
        <v>556</v>
      </c>
      <c r="B299" s="4" t="s">
        <v>557</v>
      </c>
      <c r="C299" s="5">
        <f t="shared" si="14"/>
        <v>0</v>
      </c>
      <c r="D299" s="5"/>
      <c r="E299" s="6">
        <f t="shared" si="12"/>
        <v>0</v>
      </c>
      <c r="F299" s="6">
        <f t="shared" si="13"/>
        <v>0</v>
      </c>
      <c r="G299" s="62"/>
      <c r="H299" s="62"/>
      <c r="I299" s="60"/>
      <c r="J299" s="60"/>
      <c r="K299" s="64"/>
      <c r="L299" s="64"/>
      <c r="M299" s="25"/>
      <c r="N299" s="25"/>
    </row>
    <row r="300" spans="1:14">
      <c r="A300" s="3" t="s">
        <v>558</v>
      </c>
      <c r="B300" s="4" t="s">
        <v>559</v>
      </c>
      <c r="C300" s="5">
        <f t="shared" si="14"/>
        <v>0</v>
      </c>
      <c r="D300" s="5"/>
      <c r="E300" s="6">
        <f t="shared" si="12"/>
        <v>0</v>
      </c>
      <c r="F300" s="6">
        <f t="shared" si="13"/>
        <v>0</v>
      </c>
      <c r="G300" s="62"/>
      <c r="H300" s="62"/>
      <c r="I300" s="60"/>
      <c r="J300" s="60"/>
      <c r="K300" s="64"/>
      <c r="L300" s="64"/>
      <c r="M300" s="25"/>
      <c r="N300" s="25"/>
    </row>
    <row r="301" spans="1:14">
      <c r="A301" s="3" t="s">
        <v>560</v>
      </c>
      <c r="B301" s="4" t="s">
        <v>561</v>
      </c>
      <c r="C301" s="5">
        <f t="shared" si="14"/>
        <v>0</v>
      </c>
      <c r="D301" s="5"/>
      <c r="E301" s="6">
        <f t="shared" si="12"/>
        <v>0</v>
      </c>
      <c r="F301" s="6">
        <f t="shared" si="13"/>
        <v>0</v>
      </c>
      <c r="G301" s="62"/>
      <c r="H301" s="62"/>
      <c r="I301" s="60"/>
      <c r="J301" s="60"/>
      <c r="K301" s="64"/>
      <c r="L301" s="64"/>
      <c r="M301" s="25"/>
      <c r="N301" s="25"/>
    </row>
    <row r="302" spans="1:14">
      <c r="A302" s="3" t="s">
        <v>562</v>
      </c>
      <c r="B302" s="4" t="s">
        <v>563</v>
      </c>
      <c r="C302" s="5">
        <f t="shared" si="14"/>
        <v>0</v>
      </c>
      <c r="D302" s="5"/>
      <c r="E302" s="6">
        <f t="shared" si="12"/>
        <v>0</v>
      </c>
      <c r="F302" s="6">
        <f t="shared" si="13"/>
        <v>0</v>
      </c>
      <c r="G302" s="62"/>
      <c r="H302" s="62"/>
      <c r="I302" s="60"/>
      <c r="J302" s="60"/>
      <c r="K302" s="64"/>
      <c r="L302" s="64"/>
      <c r="M302" s="25"/>
      <c r="N302" s="25"/>
    </row>
    <row r="303" spans="1:14">
      <c r="A303" s="3" t="s">
        <v>564</v>
      </c>
      <c r="B303" s="4" t="s">
        <v>565</v>
      </c>
      <c r="C303" s="5">
        <f t="shared" si="14"/>
        <v>0</v>
      </c>
      <c r="D303" s="5"/>
      <c r="E303" s="6">
        <f t="shared" si="12"/>
        <v>0</v>
      </c>
      <c r="F303" s="6">
        <f t="shared" si="13"/>
        <v>0</v>
      </c>
      <c r="G303" s="62"/>
      <c r="H303" s="62"/>
      <c r="I303" s="60"/>
      <c r="J303" s="60"/>
      <c r="K303" s="64"/>
      <c r="L303" s="64"/>
      <c r="M303" s="25"/>
      <c r="N303" s="25"/>
    </row>
    <row r="304" spans="1:14">
      <c r="A304" s="3" t="s">
        <v>566</v>
      </c>
      <c r="B304" s="4" t="s">
        <v>567</v>
      </c>
      <c r="C304" s="5">
        <f t="shared" si="14"/>
        <v>0</v>
      </c>
      <c r="D304" s="5"/>
      <c r="E304" s="6">
        <f t="shared" si="12"/>
        <v>0</v>
      </c>
      <c r="F304" s="6">
        <f t="shared" si="13"/>
        <v>0</v>
      </c>
      <c r="G304" s="62"/>
      <c r="H304" s="62"/>
      <c r="I304" s="60"/>
      <c r="J304" s="60"/>
      <c r="K304" s="64"/>
      <c r="L304" s="64"/>
      <c r="M304" s="25"/>
      <c r="N304" s="25"/>
    </row>
    <row r="305" spans="1:14">
      <c r="A305" s="3" t="s">
        <v>568</v>
      </c>
      <c r="B305" s="4" t="s">
        <v>569</v>
      </c>
      <c r="C305" s="5">
        <f t="shared" si="14"/>
        <v>0</v>
      </c>
      <c r="D305" s="5"/>
      <c r="E305" s="6">
        <f t="shared" si="12"/>
        <v>0</v>
      </c>
      <c r="F305" s="6">
        <f t="shared" si="13"/>
        <v>0</v>
      </c>
      <c r="G305" s="62"/>
      <c r="H305" s="62"/>
      <c r="I305" s="60"/>
      <c r="J305" s="60"/>
      <c r="K305" s="64"/>
      <c r="L305" s="64"/>
      <c r="M305" s="25"/>
      <c r="N305" s="25"/>
    </row>
    <row r="306" spans="1:14">
      <c r="A306" s="3" t="s">
        <v>570</v>
      </c>
      <c r="B306" s="4" t="s">
        <v>571</v>
      </c>
      <c r="C306" s="5">
        <f t="shared" si="14"/>
        <v>0</v>
      </c>
      <c r="D306" s="5"/>
      <c r="E306" s="6">
        <f t="shared" si="12"/>
        <v>0</v>
      </c>
      <c r="F306" s="6">
        <f t="shared" si="13"/>
        <v>0</v>
      </c>
      <c r="G306" s="62"/>
      <c r="H306" s="62"/>
      <c r="I306" s="60"/>
      <c r="J306" s="60"/>
      <c r="K306" s="64"/>
      <c r="L306" s="64"/>
      <c r="M306" s="25"/>
      <c r="N306" s="25"/>
    </row>
    <row r="307" spans="1:14">
      <c r="A307" s="3" t="s">
        <v>572</v>
      </c>
      <c r="B307" s="4" t="s">
        <v>573</v>
      </c>
      <c r="C307" s="5">
        <f t="shared" si="14"/>
        <v>0</v>
      </c>
      <c r="D307" s="5"/>
      <c r="E307" s="6">
        <f t="shared" si="12"/>
        <v>0</v>
      </c>
      <c r="F307" s="6">
        <f t="shared" si="13"/>
        <v>0</v>
      </c>
      <c r="G307" s="62"/>
      <c r="H307" s="62"/>
      <c r="I307" s="60"/>
      <c r="J307" s="60"/>
      <c r="K307" s="64"/>
      <c r="L307" s="64"/>
      <c r="M307" s="25"/>
      <c r="N307" s="25"/>
    </row>
    <row r="308" spans="1:14">
      <c r="A308" s="3" t="s">
        <v>574</v>
      </c>
      <c r="B308" s="4" t="s">
        <v>575</v>
      </c>
      <c r="C308" s="5">
        <f t="shared" si="14"/>
        <v>0</v>
      </c>
      <c r="D308" s="5"/>
      <c r="E308" s="6">
        <f t="shared" si="12"/>
        <v>0</v>
      </c>
      <c r="F308" s="6">
        <f t="shared" si="13"/>
        <v>0</v>
      </c>
      <c r="G308" s="62"/>
      <c r="H308" s="62"/>
      <c r="I308" s="60"/>
      <c r="J308" s="60"/>
      <c r="K308" s="64"/>
      <c r="L308" s="64"/>
      <c r="M308" s="25"/>
      <c r="N308" s="25"/>
    </row>
    <row r="309" spans="1:14">
      <c r="A309" s="3" t="s">
        <v>576</v>
      </c>
      <c r="B309" s="4" t="s">
        <v>577</v>
      </c>
      <c r="C309" s="5">
        <f t="shared" si="14"/>
        <v>0</v>
      </c>
      <c r="D309" s="5"/>
      <c r="E309" s="6">
        <f t="shared" si="12"/>
        <v>0</v>
      </c>
      <c r="F309" s="6">
        <f t="shared" si="13"/>
        <v>0</v>
      </c>
      <c r="G309" s="62"/>
      <c r="H309" s="62"/>
      <c r="I309" s="60"/>
      <c r="J309" s="60"/>
      <c r="K309" s="64"/>
      <c r="L309" s="64"/>
      <c r="M309" s="25"/>
      <c r="N309" s="25"/>
    </row>
    <row r="310" spans="1:14">
      <c r="A310" s="3" t="s">
        <v>578</v>
      </c>
      <c r="B310" s="4" t="s">
        <v>579</v>
      </c>
      <c r="C310" s="5">
        <f t="shared" si="14"/>
        <v>0</v>
      </c>
      <c r="D310" s="5"/>
      <c r="E310" s="6">
        <f t="shared" si="12"/>
        <v>0</v>
      </c>
      <c r="F310" s="6">
        <f t="shared" si="13"/>
        <v>0</v>
      </c>
      <c r="G310" s="62"/>
      <c r="H310" s="62"/>
      <c r="I310" s="60"/>
      <c r="J310" s="60"/>
      <c r="K310" s="64"/>
      <c r="L310" s="64"/>
      <c r="M310" s="25"/>
      <c r="N310" s="25"/>
    </row>
    <row r="311" spans="1:14">
      <c r="A311" s="3" t="s">
        <v>580</v>
      </c>
      <c r="B311" s="4" t="s">
        <v>581</v>
      </c>
      <c r="C311" s="5">
        <f t="shared" si="14"/>
        <v>0</v>
      </c>
      <c r="D311" s="5"/>
      <c r="E311" s="6">
        <f t="shared" si="12"/>
        <v>0</v>
      </c>
      <c r="F311" s="6">
        <f t="shared" si="13"/>
        <v>0</v>
      </c>
      <c r="G311" s="62"/>
      <c r="H311" s="62"/>
      <c r="I311" s="60"/>
      <c r="J311" s="60"/>
      <c r="K311" s="64"/>
      <c r="L311" s="64"/>
      <c r="M311" s="25"/>
      <c r="N311" s="25"/>
    </row>
    <row r="312" spans="1:14">
      <c r="A312" s="3" t="s">
        <v>582</v>
      </c>
      <c r="B312" s="4" t="s">
        <v>583</v>
      </c>
      <c r="C312" s="5">
        <f t="shared" si="14"/>
        <v>0</v>
      </c>
      <c r="D312" s="5"/>
      <c r="E312" s="6">
        <f t="shared" si="12"/>
        <v>0</v>
      </c>
      <c r="F312" s="6">
        <f t="shared" si="13"/>
        <v>0</v>
      </c>
      <c r="G312" s="62"/>
      <c r="H312" s="62"/>
      <c r="I312" s="60"/>
      <c r="J312" s="60"/>
      <c r="K312" s="64"/>
      <c r="L312" s="64"/>
      <c r="M312" s="25"/>
      <c r="N312" s="25"/>
    </row>
    <row r="313" spans="1:14">
      <c r="A313" s="3" t="s">
        <v>584</v>
      </c>
      <c r="B313" s="4" t="s">
        <v>585</v>
      </c>
      <c r="C313" s="5">
        <f t="shared" si="14"/>
        <v>0</v>
      </c>
      <c r="D313" s="5"/>
      <c r="E313" s="6">
        <f t="shared" si="12"/>
        <v>0</v>
      </c>
      <c r="F313" s="6">
        <f t="shared" si="13"/>
        <v>0</v>
      </c>
      <c r="G313" s="62"/>
      <c r="H313" s="62"/>
      <c r="I313" s="60"/>
      <c r="J313" s="60"/>
      <c r="K313" s="64"/>
      <c r="L313" s="64"/>
      <c r="M313" s="25"/>
      <c r="N313" s="25"/>
    </row>
    <row r="314" spans="1:14">
      <c r="A314" s="3" t="s">
        <v>586</v>
      </c>
      <c r="B314" s="4" t="s">
        <v>587</v>
      </c>
      <c r="C314" s="5">
        <f t="shared" si="14"/>
        <v>0</v>
      </c>
      <c r="D314" s="5"/>
      <c r="E314" s="6">
        <f t="shared" si="12"/>
        <v>0</v>
      </c>
      <c r="F314" s="6">
        <f t="shared" si="13"/>
        <v>0</v>
      </c>
      <c r="G314" s="62"/>
      <c r="H314" s="62"/>
      <c r="I314" s="60"/>
      <c r="J314" s="60"/>
      <c r="K314" s="64"/>
      <c r="L314" s="64"/>
      <c r="M314" s="25"/>
      <c r="N314" s="25"/>
    </row>
    <row r="315" spans="1:14">
      <c r="A315" s="3" t="s">
        <v>588</v>
      </c>
      <c r="B315" s="4" t="s">
        <v>589</v>
      </c>
      <c r="C315" s="5">
        <f t="shared" si="14"/>
        <v>0</v>
      </c>
      <c r="D315" s="5"/>
      <c r="E315" s="6">
        <f t="shared" si="12"/>
        <v>0</v>
      </c>
      <c r="F315" s="6">
        <f t="shared" si="13"/>
        <v>0</v>
      </c>
      <c r="G315" s="62"/>
      <c r="H315" s="62"/>
      <c r="I315" s="60"/>
      <c r="J315" s="60"/>
      <c r="K315" s="64"/>
      <c r="L315" s="64"/>
      <c r="M315" s="25"/>
      <c r="N315" s="25"/>
    </row>
    <row r="316" spans="1:14">
      <c r="A316" s="3" t="s">
        <v>590</v>
      </c>
      <c r="B316" s="4" t="s">
        <v>591</v>
      </c>
      <c r="C316" s="5">
        <f t="shared" si="14"/>
        <v>0</v>
      </c>
      <c r="D316" s="5"/>
      <c r="E316" s="6">
        <f t="shared" si="12"/>
        <v>0</v>
      </c>
      <c r="F316" s="6">
        <f t="shared" si="13"/>
        <v>0</v>
      </c>
      <c r="G316" s="62"/>
      <c r="H316" s="62"/>
      <c r="I316" s="60"/>
      <c r="J316" s="60"/>
      <c r="K316" s="64"/>
      <c r="L316" s="64"/>
      <c r="M316" s="25"/>
      <c r="N316" s="25"/>
    </row>
    <row r="317" spans="1:14">
      <c r="A317" s="3" t="s">
        <v>592</v>
      </c>
      <c r="B317" s="4" t="s">
        <v>593</v>
      </c>
      <c r="C317" s="5">
        <f t="shared" si="14"/>
        <v>0</v>
      </c>
      <c r="D317" s="5"/>
      <c r="E317" s="6">
        <f t="shared" si="12"/>
        <v>0</v>
      </c>
      <c r="F317" s="6">
        <f t="shared" si="13"/>
        <v>0</v>
      </c>
      <c r="G317" s="62"/>
      <c r="H317" s="62"/>
      <c r="I317" s="60"/>
      <c r="J317" s="60"/>
      <c r="K317" s="64"/>
      <c r="L317" s="64"/>
      <c r="M317" s="25"/>
      <c r="N317" s="25"/>
    </row>
    <row r="318" spans="1:14">
      <c r="A318" s="3" t="s">
        <v>594</v>
      </c>
      <c r="B318" s="4" t="s">
        <v>595</v>
      </c>
      <c r="C318" s="5">
        <f t="shared" si="14"/>
        <v>0</v>
      </c>
      <c r="D318" s="5"/>
      <c r="E318" s="6">
        <f t="shared" si="12"/>
        <v>0</v>
      </c>
      <c r="F318" s="6">
        <f t="shared" si="13"/>
        <v>0</v>
      </c>
      <c r="G318" s="62"/>
      <c r="H318" s="62"/>
      <c r="I318" s="60"/>
      <c r="J318" s="60"/>
      <c r="K318" s="64"/>
      <c r="L318" s="64"/>
      <c r="M318" s="25"/>
      <c r="N318" s="25"/>
    </row>
    <row r="319" spans="1:14">
      <c r="A319" s="3" t="s">
        <v>596</v>
      </c>
      <c r="B319" s="4" t="s">
        <v>597</v>
      </c>
      <c r="C319" s="5">
        <f t="shared" si="14"/>
        <v>0</v>
      </c>
      <c r="D319" s="5"/>
      <c r="E319" s="6">
        <f t="shared" si="12"/>
        <v>0</v>
      </c>
      <c r="F319" s="6">
        <f t="shared" si="13"/>
        <v>0</v>
      </c>
      <c r="G319" s="62"/>
      <c r="H319" s="62"/>
      <c r="I319" s="60"/>
      <c r="J319" s="60"/>
      <c r="K319" s="64"/>
      <c r="L319" s="64"/>
      <c r="M319" s="25"/>
      <c r="N319" s="25"/>
    </row>
    <row r="320" spans="1:14">
      <c r="A320" s="3" t="s">
        <v>598</v>
      </c>
      <c r="B320" s="4" t="s">
        <v>599</v>
      </c>
      <c r="C320" s="5">
        <f t="shared" si="14"/>
        <v>0</v>
      </c>
      <c r="D320" s="5"/>
      <c r="E320" s="6">
        <f t="shared" si="12"/>
        <v>0</v>
      </c>
      <c r="F320" s="6">
        <f t="shared" si="13"/>
        <v>0</v>
      </c>
      <c r="G320" s="62"/>
      <c r="H320" s="62"/>
      <c r="I320" s="60"/>
      <c r="J320" s="60"/>
      <c r="K320" s="64"/>
      <c r="L320" s="64"/>
      <c r="M320" s="25"/>
      <c r="N320" s="25"/>
    </row>
    <row r="321" spans="1:14">
      <c r="A321" s="3" t="s">
        <v>600</v>
      </c>
      <c r="B321" s="4" t="s">
        <v>601</v>
      </c>
      <c r="C321" s="5">
        <f t="shared" si="14"/>
        <v>0</v>
      </c>
      <c r="D321" s="5"/>
      <c r="E321" s="6">
        <f t="shared" si="12"/>
        <v>0</v>
      </c>
      <c r="F321" s="6">
        <f t="shared" si="13"/>
        <v>0</v>
      </c>
      <c r="G321" s="62"/>
      <c r="H321" s="62"/>
      <c r="I321" s="60"/>
      <c r="J321" s="60"/>
      <c r="K321" s="64"/>
      <c r="L321" s="64"/>
      <c r="M321" s="25"/>
      <c r="N321" s="25"/>
    </row>
    <row r="322" spans="1:14">
      <c r="A322" s="3" t="s">
        <v>602</v>
      </c>
      <c r="B322" s="4" t="s">
        <v>603</v>
      </c>
      <c r="C322" s="5">
        <f t="shared" si="14"/>
        <v>0</v>
      </c>
      <c r="D322" s="5"/>
      <c r="E322" s="6">
        <f t="shared" si="12"/>
        <v>0</v>
      </c>
      <c r="F322" s="6">
        <f t="shared" si="13"/>
        <v>0</v>
      </c>
      <c r="G322" s="62"/>
      <c r="H322" s="62"/>
      <c r="I322" s="60"/>
      <c r="J322" s="60"/>
      <c r="K322" s="64"/>
      <c r="L322" s="64"/>
      <c r="M322" s="25"/>
      <c r="N322" s="25"/>
    </row>
    <row r="323" spans="1:14">
      <c r="A323" s="3" t="s">
        <v>604</v>
      </c>
      <c r="B323" s="4" t="s">
        <v>605</v>
      </c>
      <c r="C323" s="5">
        <f t="shared" si="14"/>
        <v>0</v>
      </c>
      <c r="D323" s="5"/>
      <c r="E323" s="6">
        <f t="shared" si="12"/>
        <v>0</v>
      </c>
      <c r="F323" s="6">
        <f t="shared" si="13"/>
        <v>0</v>
      </c>
      <c r="G323" s="62"/>
      <c r="H323" s="62"/>
      <c r="I323" s="60"/>
      <c r="J323" s="60"/>
      <c r="K323" s="64"/>
      <c r="L323" s="64"/>
      <c r="M323" s="25"/>
      <c r="N323" s="25"/>
    </row>
    <row r="324" spans="1:14" s="70" customFormat="1">
      <c r="A324" s="3" t="s">
        <v>606</v>
      </c>
      <c r="B324" s="4" t="s">
        <v>607</v>
      </c>
      <c r="C324" s="5">
        <f t="shared" si="14"/>
        <v>0</v>
      </c>
      <c r="D324" s="5"/>
      <c r="E324" s="6">
        <f t="shared" si="12"/>
        <v>0</v>
      </c>
      <c r="F324" s="6">
        <f t="shared" si="13"/>
        <v>0</v>
      </c>
      <c r="G324" s="62"/>
      <c r="H324" s="62"/>
      <c r="I324" s="60"/>
      <c r="J324" s="60"/>
      <c r="K324" s="64"/>
      <c r="L324" s="64"/>
      <c r="M324" s="25"/>
      <c r="N324" s="25"/>
    </row>
    <row r="325" spans="1:14" s="70" customFormat="1">
      <c r="A325" s="3" t="s">
        <v>608</v>
      </c>
      <c r="B325" s="4" t="s">
        <v>609</v>
      </c>
      <c r="C325" s="5">
        <f t="shared" si="14"/>
        <v>0</v>
      </c>
      <c r="D325" s="5"/>
      <c r="E325" s="6">
        <f t="shared" si="12"/>
        <v>0</v>
      </c>
      <c r="F325" s="6">
        <f t="shared" si="13"/>
        <v>0</v>
      </c>
      <c r="G325" s="62"/>
      <c r="H325" s="62"/>
      <c r="I325" s="60"/>
      <c r="J325" s="60"/>
      <c r="K325" s="64"/>
      <c r="L325" s="64"/>
      <c r="M325" s="25"/>
      <c r="N325" s="25"/>
    </row>
    <row r="326" spans="1:14" s="70" customFormat="1">
      <c r="A326" s="3" t="s">
        <v>610</v>
      </c>
      <c r="B326" s="4" t="s">
        <v>611</v>
      </c>
      <c r="C326" s="5">
        <f t="shared" si="14"/>
        <v>0</v>
      </c>
      <c r="D326" s="5"/>
      <c r="E326" s="6">
        <f t="shared" si="12"/>
        <v>0</v>
      </c>
      <c r="F326" s="6">
        <f t="shared" si="13"/>
        <v>0</v>
      </c>
      <c r="G326" s="62"/>
      <c r="H326" s="62"/>
      <c r="I326" s="60"/>
      <c r="J326" s="60"/>
      <c r="K326" s="64"/>
      <c r="L326" s="64"/>
      <c r="M326" s="25"/>
      <c r="N326" s="25"/>
    </row>
    <row r="327" spans="1:14" s="70" customFormat="1">
      <c r="A327" s="3" t="s">
        <v>612</v>
      </c>
      <c r="B327" s="4" t="s">
        <v>613</v>
      </c>
      <c r="C327" s="5">
        <f t="shared" si="14"/>
        <v>0</v>
      </c>
      <c r="D327" s="5"/>
      <c r="E327" s="6">
        <f t="shared" si="12"/>
        <v>0</v>
      </c>
      <c r="F327" s="6">
        <f t="shared" si="13"/>
        <v>0</v>
      </c>
      <c r="G327" s="62"/>
      <c r="H327" s="62"/>
      <c r="I327" s="60"/>
      <c r="J327" s="60"/>
      <c r="K327" s="64"/>
      <c r="L327" s="64"/>
      <c r="M327" s="25"/>
      <c r="N327" s="25"/>
    </row>
    <row r="328" spans="1:14" s="1" customFormat="1">
      <c r="A328" s="3" t="s">
        <v>614</v>
      </c>
      <c r="B328" s="4" t="s">
        <v>615</v>
      </c>
      <c r="C328" s="5">
        <f t="shared" si="14"/>
        <v>0</v>
      </c>
      <c r="D328" s="5"/>
      <c r="E328" s="6">
        <f t="shared" si="12"/>
        <v>0</v>
      </c>
      <c r="F328" s="6">
        <f t="shared" si="13"/>
        <v>0</v>
      </c>
      <c r="G328" s="62"/>
      <c r="H328" s="62"/>
      <c r="I328" s="60"/>
      <c r="J328" s="60"/>
      <c r="K328" s="64"/>
      <c r="L328" s="64"/>
      <c r="M328" s="25"/>
      <c r="N328" s="25"/>
    </row>
    <row r="329" spans="1:14" s="70" customFormat="1">
      <c r="A329" s="3" t="s">
        <v>616</v>
      </c>
      <c r="B329" s="4" t="s">
        <v>617</v>
      </c>
      <c r="C329" s="5">
        <f t="shared" si="14"/>
        <v>0</v>
      </c>
      <c r="D329" s="5"/>
      <c r="E329" s="6">
        <f t="shared" si="12"/>
        <v>0</v>
      </c>
      <c r="F329" s="6">
        <f t="shared" si="13"/>
        <v>0</v>
      </c>
      <c r="G329" s="62"/>
      <c r="H329" s="62"/>
      <c r="I329" s="60"/>
      <c r="J329" s="60"/>
      <c r="K329" s="64"/>
      <c r="L329" s="64"/>
      <c r="M329" s="25"/>
      <c r="N329" s="25"/>
    </row>
    <row r="330" spans="1:14" s="70" customFormat="1">
      <c r="A330" s="3" t="s">
        <v>618</v>
      </c>
      <c r="B330" s="4" t="s">
        <v>619</v>
      </c>
      <c r="C330" s="5">
        <f t="shared" si="14"/>
        <v>0</v>
      </c>
      <c r="D330" s="5"/>
      <c r="E330" s="6">
        <f t="shared" si="12"/>
        <v>0</v>
      </c>
      <c r="F330" s="6">
        <f t="shared" si="13"/>
        <v>0</v>
      </c>
      <c r="G330" s="62"/>
      <c r="H330" s="62"/>
      <c r="I330" s="60"/>
      <c r="J330" s="60"/>
      <c r="K330" s="64"/>
      <c r="L330" s="64"/>
      <c r="M330" s="25"/>
      <c r="N330" s="25"/>
    </row>
    <row r="331" spans="1:14" s="70" customFormat="1">
      <c r="A331" s="11" t="s">
        <v>620</v>
      </c>
      <c r="B331" s="12" t="s">
        <v>621</v>
      </c>
      <c r="C331" s="5">
        <f t="shared" si="14"/>
        <v>0</v>
      </c>
      <c r="D331" s="5"/>
      <c r="E331" s="6">
        <f t="shared" si="12"/>
        <v>0</v>
      </c>
      <c r="F331" s="6">
        <f t="shared" si="13"/>
        <v>0</v>
      </c>
      <c r="G331" s="62"/>
      <c r="H331" s="62"/>
      <c r="I331" s="60"/>
      <c r="J331" s="60"/>
      <c r="K331" s="64"/>
      <c r="L331" s="64"/>
      <c r="M331" s="25"/>
      <c r="N331" s="25"/>
    </row>
    <row r="332" spans="1:14" s="70" customFormat="1">
      <c r="A332" s="3" t="s">
        <v>622</v>
      </c>
      <c r="B332" s="4" t="s">
        <v>623</v>
      </c>
      <c r="C332" s="5">
        <f t="shared" si="14"/>
        <v>0</v>
      </c>
      <c r="D332" s="5"/>
      <c r="E332" s="6">
        <f t="shared" si="12"/>
        <v>0</v>
      </c>
      <c r="F332" s="6">
        <f t="shared" si="13"/>
        <v>0</v>
      </c>
      <c r="G332" s="62"/>
      <c r="H332" s="62"/>
      <c r="I332" s="60"/>
      <c r="J332" s="60"/>
      <c r="K332" s="64"/>
      <c r="L332" s="64"/>
      <c r="M332" s="25"/>
      <c r="N332" s="25"/>
    </row>
    <row r="333" spans="1:14" s="70" customFormat="1">
      <c r="A333" s="3" t="s">
        <v>624</v>
      </c>
      <c r="B333" s="4" t="s">
        <v>625</v>
      </c>
      <c r="C333" s="5">
        <f t="shared" si="14"/>
        <v>0</v>
      </c>
      <c r="D333" s="5"/>
      <c r="E333" s="6">
        <f t="shared" si="12"/>
        <v>0</v>
      </c>
      <c r="F333" s="6">
        <f t="shared" si="13"/>
        <v>0</v>
      </c>
      <c r="G333" s="62"/>
      <c r="H333" s="62"/>
      <c r="I333" s="60"/>
      <c r="J333" s="60"/>
      <c r="K333" s="64"/>
      <c r="L333" s="64"/>
      <c r="M333" s="25"/>
      <c r="N333" s="25"/>
    </row>
    <row r="334" spans="1:14">
      <c r="A334" s="3" t="s">
        <v>626</v>
      </c>
      <c r="B334" s="4" t="s">
        <v>627</v>
      </c>
      <c r="C334" s="5">
        <f t="shared" si="14"/>
        <v>0</v>
      </c>
      <c r="D334" s="5"/>
      <c r="E334" s="6">
        <f t="shared" ref="E334:E397" si="15">SUM(G334,I334,K334,M334)</f>
        <v>0</v>
      </c>
      <c r="F334" s="6">
        <f t="shared" ref="F334:F397" si="16">SUM(H334,J334,L334,N334)</f>
        <v>0</v>
      </c>
      <c r="G334" s="62"/>
      <c r="H334" s="62"/>
      <c r="I334" s="60"/>
      <c r="J334" s="60"/>
      <c r="K334" s="64"/>
      <c r="L334" s="64"/>
      <c r="M334" s="25"/>
      <c r="N334" s="25"/>
    </row>
    <row r="335" spans="1:14">
      <c r="A335" s="3" t="s">
        <v>628</v>
      </c>
      <c r="B335" s="4" t="s">
        <v>629</v>
      </c>
      <c r="C335" s="5">
        <f t="shared" si="14"/>
        <v>0</v>
      </c>
      <c r="D335" s="5"/>
      <c r="E335" s="6">
        <f t="shared" si="15"/>
        <v>0</v>
      </c>
      <c r="F335" s="6">
        <f t="shared" si="16"/>
        <v>0</v>
      </c>
      <c r="G335" s="62"/>
      <c r="H335" s="62"/>
      <c r="I335" s="60"/>
      <c r="J335" s="60"/>
      <c r="K335" s="64"/>
      <c r="L335" s="64"/>
      <c r="M335" s="25"/>
      <c r="N335" s="25"/>
    </row>
    <row r="336" spans="1:14">
      <c r="A336" s="3" t="s">
        <v>630</v>
      </c>
      <c r="B336" s="4" t="s">
        <v>631</v>
      </c>
      <c r="C336" s="5">
        <f t="shared" si="14"/>
        <v>0</v>
      </c>
      <c r="D336" s="5"/>
      <c r="E336" s="6">
        <f t="shared" si="15"/>
        <v>0</v>
      </c>
      <c r="F336" s="6">
        <f t="shared" si="16"/>
        <v>0</v>
      </c>
      <c r="G336" s="62"/>
      <c r="H336" s="62"/>
      <c r="I336" s="60"/>
      <c r="J336" s="60"/>
      <c r="K336" s="64"/>
      <c r="L336" s="64"/>
      <c r="M336" s="25"/>
      <c r="N336" s="25"/>
    </row>
    <row r="337" spans="1:14">
      <c r="A337" s="3" t="s">
        <v>632</v>
      </c>
      <c r="B337" s="4" t="s">
        <v>633</v>
      </c>
      <c r="C337" s="5">
        <f t="shared" si="14"/>
        <v>0</v>
      </c>
      <c r="D337" s="5"/>
      <c r="E337" s="6">
        <f t="shared" si="15"/>
        <v>0</v>
      </c>
      <c r="F337" s="6">
        <f t="shared" si="16"/>
        <v>0</v>
      </c>
      <c r="G337" s="62"/>
      <c r="H337" s="62"/>
      <c r="I337" s="60"/>
      <c r="J337" s="60"/>
      <c r="K337" s="64"/>
      <c r="L337" s="64"/>
      <c r="M337" s="25"/>
      <c r="N337" s="25"/>
    </row>
    <row r="338" spans="1:14">
      <c r="A338" s="3" t="s">
        <v>634</v>
      </c>
      <c r="B338" s="4" t="s">
        <v>635</v>
      </c>
      <c r="C338" s="5">
        <f t="shared" si="14"/>
        <v>0</v>
      </c>
      <c r="D338" s="5"/>
      <c r="E338" s="6">
        <f t="shared" si="15"/>
        <v>0</v>
      </c>
      <c r="F338" s="6">
        <f t="shared" si="16"/>
        <v>0</v>
      </c>
      <c r="G338" s="62"/>
      <c r="H338" s="62"/>
      <c r="I338" s="60"/>
      <c r="J338" s="60"/>
      <c r="K338" s="64"/>
      <c r="L338" s="64"/>
      <c r="M338" s="25"/>
      <c r="N338" s="25"/>
    </row>
    <row r="339" spans="1:14">
      <c r="A339" s="3" t="s">
        <v>636</v>
      </c>
      <c r="B339" s="4" t="s">
        <v>637</v>
      </c>
      <c r="C339" s="5">
        <f t="shared" si="14"/>
        <v>0</v>
      </c>
      <c r="D339" s="5"/>
      <c r="E339" s="6">
        <f t="shared" si="15"/>
        <v>0</v>
      </c>
      <c r="F339" s="6">
        <f t="shared" si="16"/>
        <v>0</v>
      </c>
      <c r="G339" s="62"/>
      <c r="H339" s="62"/>
      <c r="I339" s="60"/>
      <c r="J339" s="60"/>
      <c r="K339" s="64"/>
      <c r="L339" s="64"/>
      <c r="M339" s="25"/>
      <c r="N339" s="25"/>
    </row>
    <row r="340" spans="1:14">
      <c r="A340" s="3" t="s">
        <v>638</v>
      </c>
      <c r="B340" s="4" t="s">
        <v>639</v>
      </c>
      <c r="C340" s="5">
        <f t="shared" si="14"/>
        <v>0</v>
      </c>
      <c r="D340" s="5"/>
      <c r="E340" s="6">
        <f t="shared" si="15"/>
        <v>0</v>
      </c>
      <c r="F340" s="6">
        <f t="shared" si="16"/>
        <v>0</v>
      </c>
      <c r="G340" s="62"/>
      <c r="H340" s="62"/>
      <c r="I340" s="60"/>
      <c r="J340" s="60"/>
      <c r="K340" s="64"/>
      <c r="L340" s="64"/>
      <c r="M340" s="25"/>
      <c r="N340" s="25"/>
    </row>
    <row r="341" spans="1:14">
      <c r="A341" s="3" t="s">
        <v>640</v>
      </c>
      <c r="B341" s="4" t="s">
        <v>641</v>
      </c>
      <c r="C341" s="5">
        <f t="shared" si="14"/>
        <v>0</v>
      </c>
      <c r="D341" s="5"/>
      <c r="E341" s="6">
        <f t="shared" si="15"/>
        <v>0</v>
      </c>
      <c r="F341" s="6">
        <f t="shared" si="16"/>
        <v>0</v>
      </c>
      <c r="G341" s="62"/>
      <c r="H341" s="62"/>
      <c r="I341" s="60"/>
      <c r="J341" s="60"/>
      <c r="K341" s="64"/>
      <c r="L341" s="64"/>
      <c r="M341" s="25"/>
      <c r="N341" s="25"/>
    </row>
    <row r="342" spans="1:14">
      <c r="A342" s="3" t="s">
        <v>642</v>
      </c>
      <c r="B342" s="4" t="s">
        <v>643</v>
      </c>
      <c r="C342" s="5">
        <f t="shared" si="14"/>
        <v>0</v>
      </c>
      <c r="D342" s="5"/>
      <c r="E342" s="6">
        <f t="shared" si="15"/>
        <v>0</v>
      </c>
      <c r="F342" s="6">
        <f t="shared" si="16"/>
        <v>0</v>
      </c>
      <c r="G342" s="62"/>
      <c r="H342" s="62"/>
      <c r="I342" s="60"/>
      <c r="J342" s="60"/>
      <c r="K342" s="64"/>
      <c r="L342" s="64"/>
      <c r="M342" s="25"/>
      <c r="N342" s="25"/>
    </row>
    <row r="343" spans="1:14">
      <c r="A343" s="3" t="s">
        <v>644</v>
      </c>
      <c r="B343" s="4" t="s">
        <v>645</v>
      </c>
      <c r="C343" s="5">
        <f t="shared" si="14"/>
        <v>0</v>
      </c>
      <c r="D343" s="5"/>
      <c r="E343" s="6">
        <f t="shared" si="15"/>
        <v>0</v>
      </c>
      <c r="F343" s="6">
        <f t="shared" si="16"/>
        <v>0</v>
      </c>
      <c r="G343" s="62"/>
      <c r="H343" s="62"/>
      <c r="I343" s="60"/>
      <c r="J343" s="60"/>
      <c r="K343" s="64"/>
      <c r="L343" s="64"/>
      <c r="M343" s="25"/>
      <c r="N343" s="25"/>
    </row>
    <row r="344" spans="1:14">
      <c r="A344" s="3" t="s">
        <v>646</v>
      </c>
      <c r="B344" s="4" t="s">
        <v>647</v>
      </c>
      <c r="C344" s="5">
        <f t="shared" si="14"/>
        <v>0</v>
      </c>
      <c r="D344" s="5"/>
      <c r="E344" s="6">
        <f t="shared" si="15"/>
        <v>0</v>
      </c>
      <c r="F344" s="6">
        <f t="shared" si="16"/>
        <v>0</v>
      </c>
      <c r="G344" s="62"/>
      <c r="H344" s="62"/>
      <c r="I344" s="60"/>
      <c r="J344" s="60"/>
      <c r="K344" s="64"/>
      <c r="L344" s="64"/>
      <c r="M344" s="25"/>
      <c r="N344" s="25"/>
    </row>
    <row r="345" spans="1:14">
      <c r="A345" s="3" t="s">
        <v>648</v>
      </c>
      <c r="B345" s="4" t="s">
        <v>649</v>
      </c>
      <c r="C345" s="5">
        <f t="shared" ref="C345:C408" si="17">E345-F345</f>
        <v>0</v>
      </c>
      <c r="D345" s="5"/>
      <c r="E345" s="6">
        <f t="shared" si="15"/>
        <v>0</v>
      </c>
      <c r="F345" s="6">
        <f t="shared" si="16"/>
        <v>0</v>
      </c>
      <c r="G345" s="62"/>
      <c r="H345" s="62"/>
      <c r="I345" s="60"/>
      <c r="J345" s="60"/>
      <c r="K345" s="64"/>
      <c r="L345" s="64"/>
      <c r="M345" s="25"/>
      <c r="N345" s="25"/>
    </row>
    <row r="346" spans="1:14">
      <c r="A346" s="3" t="s">
        <v>650</v>
      </c>
      <c r="B346" s="4" t="s">
        <v>651</v>
      </c>
      <c r="C346" s="5">
        <f t="shared" si="17"/>
        <v>0</v>
      </c>
      <c r="D346" s="5"/>
      <c r="E346" s="6">
        <f t="shared" si="15"/>
        <v>0</v>
      </c>
      <c r="F346" s="6">
        <f t="shared" si="16"/>
        <v>0</v>
      </c>
      <c r="G346" s="62"/>
      <c r="H346" s="62"/>
      <c r="I346" s="60"/>
      <c r="J346" s="60"/>
      <c r="K346" s="64"/>
      <c r="L346" s="64"/>
      <c r="M346" s="25"/>
      <c r="N346" s="25"/>
    </row>
    <row r="347" spans="1:14">
      <c r="A347" s="3" t="s">
        <v>652</v>
      </c>
      <c r="B347" s="4" t="s">
        <v>653</v>
      </c>
      <c r="C347" s="5">
        <f t="shared" si="17"/>
        <v>0</v>
      </c>
      <c r="D347" s="5"/>
      <c r="E347" s="6">
        <f t="shared" si="15"/>
        <v>0</v>
      </c>
      <c r="F347" s="6">
        <f t="shared" si="16"/>
        <v>0</v>
      </c>
      <c r="G347" s="62"/>
      <c r="H347" s="62"/>
      <c r="I347" s="60"/>
      <c r="J347" s="60"/>
      <c r="K347" s="64"/>
      <c r="L347" s="64"/>
      <c r="M347" s="25"/>
      <c r="N347" s="25"/>
    </row>
    <row r="348" spans="1:14">
      <c r="A348" s="3" t="s">
        <v>654</v>
      </c>
      <c r="B348" s="4" t="s">
        <v>655</v>
      </c>
      <c r="C348" s="5">
        <f t="shared" si="17"/>
        <v>0</v>
      </c>
      <c r="D348" s="5"/>
      <c r="E348" s="6">
        <f t="shared" si="15"/>
        <v>0</v>
      </c>
      <c r="F348" s="6">
        <f t="shared" si="16"/>
        <v>0</v>
      </c>
      <c r="G348" s="62"/>
      <c r="H348" s="62"/>
      <c r="I348" s="60"/>
      <c r="J348" s="60"/>
      <c r="K348" s="64"/>
      <c r="L348" s="64"/>
      <c r="M348" s="25"/>
      <c r="N348" s="25"/>
    </row>
    <row r="349" spans="1:14">
      <c r="A349" s="3" t="s">
        <v>656</v>
      </c>
      <c r="B349" s="4" t="s">
        <v>657</v>
      </c>
      <c r="C349" s="5">
        <f t="shared" si="17"/>
        <v>0</v>
      </c>
      <c r="D349" s="5"/>
      <c r="E349" s="6">
        <f t="shared" si="15"/>
        <v>0</v>
      </c>
      <c r="F349" s="6">
        <f t="shared" si="16"/>
        <v>0</v>
      </c>
      <c r="G349" s="62"/>
      <c r="H349" s="62"/>
      <c r="I349" s="60"/>
      <c r="J349" s="60"/>
      <c r="K349" s="64"/>
      <c r="L349" s="64"/>
      <c r="M349" s="25"/>
      <c r="N349" s="25"/>
    </row>
    <row r="350" spans="1:14">
      <c r="A350" s="3" t="s">
        <v>658</v>
      </c>
      <c r="B350" s="4" t="s">
        <v>659</v>
      </c>
      <c r="C350" s="5">
        <f t="shared" si="17"/>
        <v>0</v>
      </c>
      <c r="D350" s="5"/>
      <c r="E350" s="6">
        <f t="shared" si="15"/>
        <v>0</v>
      </c>
      <c r="F350" s="6">
        <f t="shared" si="16"/>
        <v>0</v>
      </c>
      <c r="G350" s="62"/>
      <c r="H350" s="62"/>
      <c r="I350" s="60"/>
      <c r="J350" s="60"/>
      <c r="K350" s="64"/>
      <c r="L350" s="64"/>
      <c r="M350" s="25"/>
      <c r="N350" s="25"/>
    </row>
    <row r="351" spans="1:14">
      <c r="A351" s="3" t="s">
        <v>660</v>
      </c>
      <c r="B351" s="4" t="s">
        <v>661</v>
      </c>
      <c r="C351" s="5">
        <f t="shared" si="17"/>
        <v>0</v>
      </c>
      <c r="D351" s="5"/>
      <c r="E351" s="6">
        <f t="shared" si="15"/>
        <v>0</v>
      </c>
      <c r="F351" s="6">
        <f t="shared" si="16"/>
        <v>0</v>
      </c>
      <c r="G351" s="62"/>
      <c r="H351" s="62"/>
      <c r="I351" s="60"/>
      <c r="J351" s="60"/>
      <c r="K351" s="64"/>
      <c r="L351" s="64"/>
      <c r="M351" s="25"/>
      <c r="N351" s="25"/>
    </row>
    <row r="352" spans="1:14">
      <c r="A352" s="3" t="s">
        <v>662</v>
      </c>
      <c r="B352" s="4" t="s">
        <v>663</v>
      </c>
      <c r="C352" s="5">
        <f t="shared" si="17"/>
        <v>0</v>
      </c>
      <c r="D352" s="5"/>
      <c r="E352" s="6">
        <f t="shared" si="15"/>
        <v>0</v>
      </c>
      <c r="F352" s="6">
        <f t="shared" si="16"/>
        <v>0</v>
      </c>
      <c r="G352" s="62"/>
      <c r="H352" s="62"/>
      <c r="I352" s="60"/>
      <c r="J352" s="60"/>
      <c r="K352" s="64"/>
      <c r="L352" s="64"/>
      <c r="M352" s="25"/>
      <c r="N352" s="25"/>
    </row>
    <row r="353" spans="1:14">
      <c r="A353" s="3" t="s">
        <v>664</v>
      </c>
      <c r="B353" s="4" t="s">
        <v>665</v>
      </c>
      <c r="C353" s="5">
        <f t="shared" si="17"/>
        <v>0</v>
      </c>
      <c r="D353" s="5"/>
      <c r="E353" s="6">
        <f t="shared" si="15"/>
        <v>0</v>
      </c>
      <c r="F353" s="6">
        <f t="shared" si="16"/>
        <v>0</v>
      </c>
      <c r="G353" s="62"/>
      <c r="H353" s="62"/>
      <c r="I353" s="60"/>
      <c r="J353" s="60"/>
      <c r="K353" s="64"/>
      <c r="L353" s="64"/>
      <c r="M353" s="25"/>
      <c r="N353" s="25"/>
    </row>
    <row r="354" spans="1:14">
      <c r="A354" s="3" t="s">
        <v>666</v>
      </c>
      <c r="B354" s="4" t="s">
        <v>667</v>
      </c>
      <c r="C354" s="5">
        <f t="shared" si="17"/>
        <v>0</v>
      </c>
      <c r="D354" s="5"/>
      <c r="E354" s="6">
        <f t="shared" si="15"/>
        <v>0</v>
      </c>
      <c r="F354" s="6">
        <f t="shared" si="16"/>
        <v>0</v>
      </c>
      <c r="G354" s="62"/>
      <c r="H354" s="62"/>
      <c r="I354" s="60"/>
      <c r="J354" s="60"/>
      <c r="K354" s="64"/>
      <c r="L354" s="64"/>
      <c r="M354" s="25"/>
      <c r="N354" s="25"/>
    </row>
    <row r="355" spans="1:14">
      <c r="A355" s="3" t="s">
        <v>668</v>
      </c>
      <c r="B355" s="4" t="s">
        <v>669</v>
      </c>
      <c r="C355" s="5">
        <f t="shared" si="17"/>
        <v>0</v>
      </c>
      <c r="D355" s="5"/>
      <c r="E355" s="6">
        <f t="shared" si="15"/>
        <v>0</v>
      </c>
      <c r="F355" s="6">
        <f t="shared" si="16"/>
        <v>0</v>
      </c>
      <c r="G355" s="62"/>
      <c r="H355" s="62"/>
      <c r="I355" s="60"/>
      <c r="J355" s="60"/>
      <c r="K355" s="64"/>
      <c r="L355" s="64"/>
      <c r="M355" s="25"/>
      <c r="N355" s="25"/>
    </row>
    <row r="356" spans="1:14">
      <c r="A356" s="3" t="s">
        <v>670</v>
      </c>
      <c r="B356" s="4" t="s">
        <v>671</v>
      </c>
      <c r="C356" s="5">
        <f t="shared" si="17"/>
        <v>0</v>
      </c>
      <c r="D356" s="5"/>
      <c r="E356" s="6">
        <f t="shared" si="15"/>
        <v>0</v>
      </c>
      <c r="F356" s="6">
        <f t="shared" si="16"/>
        <v>0</v>
      </c>
      <c r="G356" s="62"/>
      <c r="H356" s="62"/>
      <c r="I356" s="60"/>
      <c r="J356" s="60"/>
      <c r="K356" s="64"/>
      <c r="L356" s="64"/>
      <c r="M356" s="25"/>
      <c r="N356" s="25"/>
    </row>
    <row r="357" spans="1:14">
      <c r="A357" s="3" t="s">
        <v>672</v>
      </c>
      <c r="B357" s="4" t="s">
        <v>673</v>
      </c>
      <c r="C357" s="5">
        <f t="shared" si="17"/>
        <v>0</v>
      </c>
      <c r="D357" s="5"/>
      <c r="E357" s="6">
        <f t="shared" si="15"/>
        <v>0</v>
      </c>
      <c r="F357" s="6">
        <f t="shared" si="16"/>
        <v>0</v>
      </c>
      <c r="G357" s="62"/>
      <c r="H357" s="62"/>
      <c r="I357" s="60"/>
      <c r="J357" s="60"/>
      <c r="K357" s="64"/>
      <c r="L357" s="64"/>
      <c r="M357" s="25"/>
      <c r="N357" s="25"/>
    </row>
    <row r="358" spans="1:14">
      <c r="A358" s="3" t="s">
        <v>674</v>
      </c>
      <c r="B358" s="4" t="s">
        <v>675</v>
      </c>
      <c r="C358" s="5">
        <f t="shared" si="17"/>
        <v>0</v>
      </c>
      <c r="D358" s="5"/>
      <c r="E358" s="6">
        <f t="shared" si="15"/>
        <v>0</v>
      </c>
      <c r="F358" s="6">
        <f t="shared" si="16"/>
        <v>0</v>
      </c>
      <c r="G358" s="62"/>
      <c r="H358" s="62"/>
      <c r="I358" s="60"/>
      <c r="J358" s="60"/>
      <c r="K358" s="64"/>
      <c r="L358" s="64"/>
      <c r="M358" s="25"/>
      <c r="N358" s="25"/>
    </row>
    <row r="359" spans="1:14">
      <c r="A359" s="3" t="s">
        <v>676</v>
      </c>
      <c r="B359" s="4" t="s">
        <v>677</v>
      </c>
      <c r="C359" s="5">
        <f t="shared" si="17"/>
        <v>0</v>
      </c>
      <c r="D359" s="5"/>
      <c r="E359" s="6">
        <f t="shared" si="15"/>
        <v>0</v>
      </c>
      <c r="F359" s="6">
        <f t="shared" si="16"/>
        <v>0</v>
      </c>
      <c r="G359" s="62"/>
      <c r="H359" s="62"/>
      <c r="I359" s="60"/>
      <c r="J359" s="60"/>
      <c r="K359" s="64"/>
      <c r="L359" s="64"/>
      <c r="M359" s="25"/>
      <c r="N359" s="25"/>
    </row>
    <row r="360" spans="1:14">
      <c r="A360" s="3" t="s">
        <v>678</v>
      </c>
      <c r="B360" s="4" t="s">
        <v>679</v>
      </c>
      <c r="C360" s="5">
        <f t="shared" si="17"/>
        <v>0</v>
      </c>
      <c r="D360" s="5"/>
      <c r="E360" s="6">
        <f t="shared" si="15"/>
        <v>0</v>
      </c>
      <c r="F360" s="6">
        <f t="shared" si="16"/>
        <v>0</v>
      </c>
      <c r="G360" s="62"/>
      <c r="H360" s="62"/>
      <c r="I360" s="60"/>
      <c r="J360" s="60"/>
      <c r="K360" s="64"/>
      <c r="L360" s="64"/>
      <c r="M360" s="25"/>
      <c r="N360" s="25"/>
    </row>
    <row r="361" spans="1:14">
      <c r="A361" s="3" t="s">
        <v>680</v>
      </c>
      <c r="B361" s="4" t="s">
        <v>681</v>
      </c>
      <c r="C361" s="5">
        <f t="shared" si="17"/>
        <v>0</v>
      </c>
      <c r="D361" s="5"/>
      <c r="E361" s="6">
        <f t="shared" si="15"/>
        <v>0</v>
      </c>
      <c r="F361" s="6">
        <f t="shared" si="16"/>
        <v>0</v>
      </c>
      <c r="G361" s="62"/>
      <c r="H361" s="62"/>
      <c r="I361" s="60"/>
      <c r="J361" s="60"/>
      <c r="K361" s="64"/>
      <c r="L361" s="64"/>
      <c r="M361" s="25"/>
      <c r="N361" s="25"/>
    </row>
    <row r="362" spans="1:14">
      <c r="A362" s="3" t="s">
        <v>682</v>
      </c>
      <c r="B362" s="4" t="s">
        <v>683</v>
      </c>
      <c r="C362" s="5">
        <f t="shared" si="17"/>
        <v>0</v>
      </c>
      <c r="D362" s="5"/>
      <c r="E362" s="6">
        <f t="shared" si="15"/>
        <v>0</v>
      </c>
      <c r="F362" s="6">
        <f t="shared" si="16"/>
        <v>0</v>
      </c>
      <c r="G362" s="62"/>
      <c r="H362" s="62"/>
      <c r="I362" s="60"/>
      <c r="J362" s="60"/>
      <c r="K362" s="64"/>
      <c r="L362" s="64"/>
      <c r="M362" s="25"/>
      <c r="N362" s="25"/>
    </row>
    <row r="363" spans="1:14">
      <c r="A363" s="3" t="s">
        <v>684</v>
      </c>
      <c r="B363" s="4" t="s">
        <v>685</v>
      </c>
      <c r="C363" s="5">
        <f t="shared" si="17"/>
        <v>0</v>
      </c>
      <c r="D363" s="5"/>
      <c r="E363" s="6">
        <f t="shared" si="15"/>
        <v>0</v>
      </c>
      <c r="F363" s="6">
        <f t="shared" si="16"/>
        <v>0</v>
      </c>
      <c r="G363" s="62"/>
      <c r="H363" s="62"/>
      <c r="I363" s="60"/>
      <c r="J363" s="60"/>
      <c r="K363" s="64"/>
      <c r="L363" s="64"/>
      <c r="M363" s="25"/>
      <c r="N363" s="25"/>
    </row>
    <row r="364" spans="1:14">
      <c r="A364" s="3" t="s">
        <v>686</v>
      </c>
      <c r="B364" s="4" t="s">
        <v>687</v>
      </c>
      <c r="C364" s="5">
        <f t="shared" si="17"/>
        <v>0</v>
      </c>
      <c r="D364" s="5"/>
      <c r="E364" s="6">
        <f t="shared" si="15"/>
        <v>0</v>
      </c>
      <c r="F364" s="6">
        <f t="shared" si="16"/>
        <v>0</v>
      </c>
      <c r="G364" s="62"/>
      <c r="H364" s="62"/>
      <c r="I364" s="60"/>
      <c r="J364" s="60"/>
      <c r="K364" s="64"/>
      <c r="L364" s="64"/>
      <c r="M364" s="25"/>
      <c r="N364" s="25"/>
    </row>
    <row r="365" spans="1:14">
      <c r="A365" s="3" t="s">
        <v>688</v>
      </c>
      <c r="B365" s="4" t="s">
        <v>689</v>
      </c>
      <c r="C365" s="5">
        <f t="shared" si="17"/>
        <v>0</v>
      </c>
      <c r="D365" s="5"/>
      <c r="E365" s="6">
        <f t="shared" si="15"/>
        <v>0</v>
      </c>
      <c r="F365" s="6">
        <f t="shared" si="16"/>
        <v>0</v>
      </c>
      <c r="G365" s="62"/>
      <c r="H365" s="62"/>
      <c r="I365" s="60"/>
      <c r="J365" s="60"/>
      <c r="K365" s="64"/>
      <c r="L365" s="64"/>
      <c r="M365" s="25"/>
      <c r="N365" s="25"/>
    </row>
    <row r="366" spans="1:14">
      <c r="A366" s="3" t="s">
        <v>690</v>
      </c>
      <c r="B366" s="4" t="s">
        <v>691</v>
      </c>
      <c r="C366" s="5">
        <f t="shared" si="17"/>
        <v>0</v>
      </c>
      <c r="D366" s="5"/>
      <c r="E366" s="6">
        <f t="shared" si="15"/>
        <v>0</v>
      </c>
      <c r="F366" s="6">
        <f t="shared" si="16"/>
        <v>0</v>
      </c>
      <c r="G366" s="62"/>
      <c r="H366" s="62"/>
      <c r="I366" s="60"/>
      <c r="J366" s="60"/>
      <c r="K366" s="64"/>
      <c r="L366" s="64"/>
      <c r="M366" s="25"/>
      <c r="N366" s="25"/>
    </row>
    <row r="367" spans="1:14">
      <c r="A367" s="3" t="s">
        <v>692</v>
      </c>
      <c r="B367" s="4" t="s">
        <v>693</v>
      </c>
      <c r="C367" s="5">
        <f t="shared" si="17"/>
        <v>0</v>
      </c>
      <c r="D367" s="5"/>
      <c r="E367" s="6">
        <f t="shared" si="15"/>
        <v>0</v>
      </c>
      <c r="F367" s="6">
        <f t="shared" si="16"/>
        <v>0</v>
      </c>
      <c r="G367" s="62"/>
      <c r="H367" s="62"/>
      <c r="I367" s="60"/>
      <c r="J367" s="60"/>
      <c r="K367" s="64"/>
      <c r="L367" s="64"/>
      <c r="M367" s="25"/>
      <c r="N367" s="25"/>
    </row>
    <row r="368" spans="1:14">
      <c r="A368" s="3" t="s">
        <v>694</v>
      </c>
      <c r="B368" s="4" t="s">
        <v>695</v>
      </c>
      <c r="C368" s="5">
        <f t="shared" si="17"/>
        <v>0</v>
      </c>
      <c r="D368" s="5"/>
      <c r="E368" s="6">
        <f t="shared" si="15"/>
        <v>0</v>
      </c>
      <c r="F368" s="6">
        <f t="shared" si="16"/>
        <v>0</v>
      </c>
      <c r="G368" s="62"/>
      <c r="H368" s="62"/>
      <c r="I368" s="60"/>
      <c r="J368" s="60"/>
      <c r="K368" s="64"/>
      <c r="L368" s="64"/>
      <c r="M368" s="25"/>
      <c r="N368" s="25"/>
    </row>
    <row r="369" spans="1:14">
      <c r="A369" s="3" t="s">
        <v>696</v>
      </c>
      <c r="B369" s="4" t="s">
        <v>697</v>
      </c>
      <c r="C369" s="5">
        <f t="shared" si="17"/>
        <v>0</v>
      </c>
      <c r="D369" s="5"/>
      <c r="E369" s="6">
        <f t="shared" si="15"/>
        <v>0</v>
      </c>
      <c r="F369" s="6">
        <f t="shared" si="16"/>
        <v>0</v>
      </c>
      <c r="G369" s="62"/>
      <c r="H369" s="62"/>
      <c r="I369" s="60"/>
      <c r="J369" s="60"/>
      <c r="K369" s="64"/>
      <c r="L369" s="64"/>
      <c r="M369" s="25"/>
      <c r="N369" s="25"/>
    </row>
    <row r="370" spans="1:14">
      <c r="A370" s="3" t="s">
        <v>698</v>
      </c>
      <c r="B370" s="4" t="s">
        <v>699</v>
      </c>
      <c r="C370" s="5">
        <f t="shared" si="17"/>
        <v>0</v>
      </c>
      <c r="D370" s="5"/>
      <c r="E370" s="6">
        <f t="shared" si="15"/>
        <v>0</v>
      </c>
      <c r="F370" s="6">
        <f t="shared" si="16"/>
        <v>0</v>
      </c>
      <c r="G370" s="62"/>
      <c r="H370" s="62"/>
      <c r="I370" s="60"/>
      <c r="J370" s="60"/>
      <c r="K370" s="64"/>
      <c r="L370" s="64"/>
      <c r="M370" s="25"/>
      <c r="N370" s="25"/>
    </row>
    <row r="371" spans="1:14">
      <c r="A371" s="3" t="s">
        <v>700</v>
      </c>
      <c r="B371" s="4" t="s">
        <v>701</v>
      </c>
      <c r="C371" s="5">
        <f t="shared" si="17"/>
        <v>0</v>
      </c>
      <c r="D371" s="5"/>
      <c r="E371" s="6">
        <f t="shared" si="15"/>
        <v>0</v>
      </c>
      <c r="F371" s="6">
        <f t="shared" si="16"/>
        <v>0</v>
      </c>
      <c r="G371" s="62"/>
      <c r="H371" s="62"/>
      <c r="I371" s="60"/>
      <c r="J371" s="60"/>
      <c r="K371" s="64"/>
      <c r="L371" s="64"/>
      <c r="M371" s="25"/>
      <c r="N371" s="25"/>
    </row>
    <row r="372" spans="1:14">
      <c r="A372" s="3" t="s">
        <v>702</v>
      </c>
      <c r="B372" s="4" t="s">
        <v>703</v>
      </c>
      <c r="C372" s="5">
        <f t="shared" si="17"/>
        <v>0</v>
      </c>
      <c r="D372" s="5"/>
      <c r="E372" s="6">
        <f t="shared" si="15"/>
        <v>0</v>
      </c>
      <c r="F372" s="6">
        <f t="shared" si="16"/>
        <v>0</v>
      </c>
      <c r="G372" s="62"/>
      <c r="H372" s="62"/>
      <c r="I372" s="60"/>
      <c r="J372" s="60"/>
      <c r="K372" s="64"/>
      <c r="L372" s="64"/>
      <c r="M372" s="25"/>
      <c r="N372" s="25"/>
    </row>
    <row r="373" spans="1:14">
      <c r="A373" s="3" t="s">
        <v>704</v>
      </c>
      <c r="B373" s="4" t="s">
        <v>705</v>
      </c>
      <c r="C373" s="5">
        <f t="shared" si="17"/>
        <v>0</v>
      </c>
      <c r="D373" s="5"/>
      <c r="E373" s="6">
        <f t="shared" si="15"/>
        <v>0</v>
      </c>
      <c r="F373" s="6">
        <f t="shared" si="16"/>
        <v>0</v>
      </c>
      <c r="G373" s="62"/>
      <c r="H373" s="62"/>
      <c r="I373" s="60"/>
      <c r="J373" s="60"/>
      <c r="K373" s="64"/>
      <c r="L373" s="64"/>
      <c r="M373" s="25"/>
      <c r="N373" s="25"/>
    </row>
    <row r="374" spans="1:14">
      <c r="A374" s="3" t="s">
        <v>706</v>
      </c>
      <c r="B374" s="4" t="s">
        <v>707</v>
      </c>
      <c r="C374" s="5">
        <f t="shared" si="17"/>
        <v>0</v>
      </c>
      <c r="D374" s="5"/>
      <c r="E374" s="6">
        <f t="shared" si="15"/>
        <v>0</v>
      </c>
      <c r="F374" s="6">
        <f t="shared" si="16"/>
        <v>0</v>
      </c>
      <c r="G374" s="62"/>
      <c r="H374" s="62"/>
      <c r="I374" s="60"/>
      <c r="J374" s="60"/>
      <c r="K374" s="64"/>
      <c r="L374" s="64"/>
      <c r="M374" s="25"/>
      <c r="N374" s="25"/>
    </row>
    <row r="375" spans="1:14">
      <c r="A375" s="3" t="s">
        <v>708</v>
      </c>
      <c r="B375" s="4" t="s">
        <v>709</v>
      </c>
      <c r="C375" s="5">
        <f t="shared" si="17"/>
        <v>0</v>
      </c>
      <c r="D375" s="5"/>
      <c r="E375" s="6">
        <f t="shared" si="15"/>
        <v>0</v>
      </c>
      <c r="F375" s="6">
        <f t="shared" si="16"/>
        <v>0</v>
      </c>
      <c r="G375" s="62"/>
      <c r="H375" s="62"/>
      <c r="I375" s="60"/>
      <c r="J375" s="60"/>
      <c r="K375" s="64"/>
      <c r="L375" s="64"/>
      <c r="M375" s="25"/>
      <c r="N375" s="25"/>
    </row>
    <row r="376" spans="1:14">
      <c r="A376" s="3" t="s">
        <v>710</v>
      </c>
      <c r="B376" s="4" t="s">
        <v>711</v>
      </c>
      <c r="C376" s="5">
        <f t="shared" si="17"/>
        <v>0</v>
      </c>
      <c r="D376" s="5"/>
      <c r="E376" s="6">
        <f t="shared" si="15"/>
        <v>0</v>
      </c>
      <c r="F376" s="6">
        <f t="shared" si="16"/>
        <v>0</v>
      </c>
      <c r="G376" s="62"/>
      <c r="H376" s="62"/>
      <c r="I376" s="60"/>
      <c r="J376" s="60"/>
      <c r="K376" s="64"/>
      <c r="L376" s="64"/>
      <c r="M376" s="25"/>
      <c r="N376" s="25"/>
    </row>
    <row r="377" spans="1:14">
      <c r="A377" s="3" t="s">
        <v>712</v>
      </c>
      <c r="B377" s="4" t="s">
        <v>713</v>
      </c>
      <c r="C377" s="5">
        <f t="shared" si="17"/>
        <v>0</v>
      </c>
      <c r="D377" s="5"/>
      <c r="E377" s="6">
        <f t="shared" si="15"/>
        <v>0</v>
      </c>
      <c r="F377" s="6">
        <f t="shared" si="16"/>
        <v>0</v>
      </c>
      <c r="G377" s="62"/>
      <c r="H377" s="62"/>
      <c r="I377" s="60"/>
      <c r="J377" s="60"/>
      <c r="K377" s="64"/>
      <c r="L377" s="64"/>
      <c r="M377" s="25"/>
      <c r="N377" s="25"/>
    </row>
    <row r="378" spans="1:14">
      <c r="A378" s="3" t="s">
        <v>714</v>
      </c>
      <c r="B378" s="4" t="s">
        <v>715</v>
      </c>
      <c r="C378" s="5">
        <f t="shared" si="17"/>
        <v>0</v>
      </c>
      <c r="D378" s="5"/>
      <c r="E378" s="6">
        <f t="shared" si="15"/>
        <v>0</v>
      </c>
      <c r="F378" s="6">
        <f t="shared" si="16"/>
        <v>0</v>
      </c>
      <c r="G378" s="62"/>
      <c r="H378" s="62"/>
      <c r="I378" s="60"/>
      <c r="J378" s="60"/>
      <c r="K378" s="64"/>
      <c r="L378" s="64"/>
      <c r="M378" s="25"/>
      <c r="N378" s="25"/>
    </row>
    <row r="379" spans="1:14">
      <c r="A379" s="3" t="s">
        <v>716</v>
      </c>
      <c r="B379" s="4" t="s">
        <v>717</v>
      </c>
      <c r="C379" s="5">
        <f t="shared" si="17"/>
        <v>0</v>
      </c>
      <c r="D379" s="5"/>
      <c r="E379" s="6">
        <f t="shared" si="15"/>
        <v>0</v>
      </c>
      <c r="F379" s="6">
        <f t="shared" si="16"/>
        <v>0</v>
      </c>
      <c r="G379" s="62"/>
      <c r="H379" s="62"/>
      <c r="I379" s="60"/>
      <c r="J379" s="60"/>
      <c r="K379" s="64"/>
      <c r="L379" s="64"/>
      <c r="M379" s="25"/>
      <c r="N379" s="25"/>
    </row>
    <row r="380" spans="1:14">
      <c r="A380" s="3" t="s">
        <v>718</v>
      </c>
      <c r="B380" s="4" t="s">
        <v>719</v>
      </c>
      <c r="C380" s="5">
        <f t="shared" si="17"/>
        <v>0</v>
      </c>
      <c r="D380" s="5"/>
      <c r="E380" s="6">
        <f t="shared" si="15"/>
        <v>0</v>
      </c>
      <c r="F380" s="6">
        <f t="shared" si="16"/>
        <v>0</v>
      </c>
      <c r="G380" s="62"/>
      <c r="H380" s="62"/>
      <c r="I380" s="60"/>
      <c r="J380" s="60"/>
      <c r="K380" s="64"/>
      <c r="L380" s="64"/>
      <c r="M380" s="25"/>
      <c r="N380" s="25"/>
    </row>
    <row r="381" spans="1:14">
      <c r="A381" s="3" t="s">
        <v>720</v>
      </c>
      <c r="B381" s="4" t="s">
        <v>721</v>
      </c>
      <c r="C381" s="5">
        <f t="shared" si="17"/>
        <v>0</v>
      </c>
      <c r="D381" s="5"/>
      <c r="E381" s="6">
        <f t="shared" si="15"/>
        <v>0</v>
      </c>
      <c r="F381" s="6">
        <f t="shared" si="16"/>
        <v>0</v>
      </c>
      <c r="G381" s="62"/>
      <c r="H381" s="62"/>
      <c r="I381" s="60"/>
      <c r="J381" s="60"/>
      <c r="K381" s="64"/>
      <c r="L381" s="64"/>
      <c r="M381" s="25"/>
      <c r="N381" s="25"/>
    </row>
    <row r="382" spans="1:14">
      <c r="A382" s="3" t="s">
        <v>722</v>
      </c>
      <c r="B382" s="4" t="s">
        <v>723</v>
      </c>
      <c r="C382" s="5">
        <f t="shared" si="17"/>
        <v>0</v>
      </c>
      <c r="D382" s="5"/>
      <c r="E382" s="6">
        <f t="shared" si="15"/>
        <v>0</v>
      </c>
      <c r="F382" s="6">
        <f t="shared" si="16"/>
        <v>0</v>
      </c>
      <c r="G382" s="62"/>
      <c r="H382" s="62"/>
      <c r="I382" s="60"/>
      <c r="J382" s="60"/>
      <c r="K382" s="64"/>
      <c r="L382" s="64"/>
      <c r="M382" s="25"/>
      <c r="N382" s="25"/>
    </row>
    <row r="383" spans="1:14">
      <c r="A383" s="3" t="s">
        <v>724</v>
      </c>
      <c r="B383" s="4" t="s">
        <v>725</v>
      </c>
      <c r="C383" s="5">
        <f t="shared" si="17"/>
        <v>0</v>
      </c>
      <c r="D383" s="5"/>
      <c r="E383" s="6">
        <f t="shared" si="15"/>
        <v>0</v>
      </c>
      <c r="F383" s="6">
        <f t="shared" si="16"/>
        <v>0</v>
      </c>
      <c r="G383" s="62"/>
      <c r="H383" s="62"/>
      <c r="I383" s="60"/>
      <c r="J383" s="60"/>
      <c r="K383" s="64"/>
      <c r="L383" s="64"/>
      <c r="M383" s="25"/>
      <c r="N383" s="25"/>
    </row>
    <row r="384" spans="1:14">
      <c r="A384" s="3" t="s">
        <v>726</v>
      </c>
      <c r="B384" s="4" t="s">
        <v>727</v>
      </c>
      <c r="C384" s="5">
        <f t="shared" si="17"/>
        <v>0</v>
      </c>
      <c r="D384" s="5"/>
      <c r="E384" s="6">
        <f t="shared" si="15"/>
        <v>0</v>
      </c>
      <c r="F384" s="6">
        <f t="shared" si="16"/>
        <v>0</v>
      </c>
      <c r="G384" s="62"/>
      <c r="H384" s="62"/>
      <c r="I384" s="60"/>
      <c r="J384" s="60"/>
      <c r="K384" s="64"/>
      <c r="L384" s="64"/>
      <c r="M384" s="25"/>
      <c r="N384" s="25"/>
    </row>
    <row r="385" spans="1:14">
      <c r="A385" s="3" t="s">
        <v>728</v>
      </c>
      <c r="B385" s="4" t="s">
        <v>729</v>
      </c>
      <c r="C385" s="5">
        <f t="shared" si="17"/>
        <v>0</v>
      </c>
      <c r="D385" s="5"/>
      <c r="E385" s="6">
        <f t="shared" si="15"/>
        <v>0</v>
      </c>
      <c r="F385" s="6">
        <f t="shared" si="16"/>
        <v>0</v>
      </c>
      <c r="G385" s="62"/>
      <c r="H385" s="62"/>
      <c r="I385" s="60"/>
      <c r="J385" s="60"/>
      <c r="K385" s="64"/>
      <c r="L385" s="64"/>
      <c r="M385" s="25"/>
      <c r="N385" s="25"/>
    </row>
    <row r="386" spans="1:14">
      <c r="A386" s="3" t="s">
        <v>730</v>
      </c>
      <c r="B386" s="4" t="s">
        <v>731</v>
      </c>
      <c r="C386" s="5">
        <f t="shared" si="17"/>
        <v>0</v>
      </c>
      <c r="D386" s="5"/>
      <c r="E386" s="6">
        <f t="shared" si="15"/>
        <v>0</v>
      </c>
      <c r="F386" s="6">
        <f t="shared" si="16"/>
        <v>0</v>
      </c>
      <c r="G386" s="62"/>
      <c r="H386" s="62"/>
      <c r="I386" s="60"/>
      <c r="J386" s="60"/>
      <c r="K386" s="64"/>
      <c r="L386" s="64"/>
      <c r="M386" s="25"/>
      <c r="N386" s="25"/>
    </row>
    <row r="387" spans="1:14">
      <c r="A387" s="3" t="s">
        <v>732</v>
      </c>
      <c r="B387" s="4" t="s">
        <v>733</v>
      </c>
      <c r="C387" s="5">
        <f t="shared" si="17"/>
        <v>0</v>
      </c>
      <c r="D387" s="5"/>
      <c r="E387" s="6">
        <f t="shared" si="15"/>
        <v>0</v>
      </c>
      <c r="F387" s="6">
        <f t="shared" si="16"/>
        <v>0</v>
      </c>
      <c r="G387" s="62"/>
      <c r="H387" s="62"/>
      <c r="I387" s="60"/>
      <c r="J387" s="60"/>
      <c r="K387" s="64"/>
      <c r="L387" s="64"/>
      <c r="M387" s="25"/>
      <c r="N387" s="25"/>
    </row>
    <row r="388" spans="1:14">
      <c r="A388" s="3" t="s">
        <v>734</v>
      </c>
      <c r="B388" s="4" t="s">
        <v>735</v>
      </c>
      <c r="C388" s="5">
        <f t="shared" si="17"/>
        <v>0</v>
      </c>
      <c r="D388" s="5"/>
      <c r="E388" s="6">
        <f t="shared" si="15"/>
        <v>0</v>
      </c>
      <c r="F388" s="6">
        <f t="shared" si="16"/>
        <v>0</v>
      </c>
      <c r="G388" s="62"/>
      <c r="H388" s="62"/>
      <c r="I388" s="60"/>
      <c r="J388" s="60"/>
      <c r="K388" s="64"/>
      <c r="L388" s="64"/>
      <c r="M388" s="25"/>
      <c r="N388" s="25"/>
    </row>
    <row r="389" spans="1:14">
      <c r="A389" s="3" t="s">
        <v>736</v>
      </c>
      <c r="B389" s="4" t="s">
        <v>737</v>
      </c>
      <c r="C389" s="5">
        <f t="shared" si="17"/>
        <v>0</v>
      </c>
      <c r="D389" s="5"/>
      <c r="E389" s="6">
        <f t="shared" si="15"/>
        <v>0</v>
      </c>
      <c r="F389" s="6">
        <f t="shared" si="16"/>
        <v>0</v>
      </c>
      <c r="G389" s="62"/>
      <c r="H389" s="62"/>
      <c r="I389" s="60"/>
      <c r="J389" s="60"/>
      <c r="K389" s="64"/>
      <c r="L389" s="64"/>
      <c r="M389" s="25"/>
      <c r="N389" s="25"/>
    </row>
    <row r="390" spans="1:14">
      <c r="A390" s="3" t="s">
        <v>738</v>
      </c>
      <c r="B390" s="4" t="s">
        <v>739</v>
      </c>
      <c r="C390" s="5">
        <f t="shared" si="17"/>
        <v>0</v>
      </c>
      <c r="D390" s="5"/>
      <c r="E390" s="6">
        <f t="shared" si="15"/>
        <v>0</v>
      </c>
      <c r="F390" s="6">
        <f t="shared" si="16"/>
        <v>0</v>
      </c>
      <c r="G390" s="62"/>
      <c r="H390" s="62"/>
      <c r="I390" s="60"/>
      <c r="J390" s="60"/>
      <c r="K390" s="64"/>
      <c r="L390" s="64"/>
      <c r="M390" s="25"/>
      <c r="N390" s="25"/>
    </row>
    <row r="391" spans="1:14">
      <c r="A391" s="3" t="s">
        <v>740</v>
      </c>
      <c r="B391" s="4" t="s">
        <v>741</v>
      </c>
      <c r="C391" s="5">
        <f t="shared" si="17"/>
        <v>0</v>
      </c>
      <c r="D391" s="5"/>
      <c r="E391" s="6">
        <f t="shared" si="15"/>
        <v>0</v>
      </c>
      <c r="F391" s="6">
        <f t="shared" si="16"/>
        <v>0</v>
      </c>
      <c r="G391" s="62"/>
      <c r="H391" s="62"/>
      <c r="I391" s="60"/>
      <c r="J391" s="60"/>
      <c r="K391" s="64"/>
      <c r="L391" s="64"/>
      <c r="M391" s="25"/>
      <c r="N391" s="25"/>
    </row>
    <row r="392" spans="1:14">
      <c r="A392" s="3" t="s">
        <v>742</v>
      </c>
      <c r="B392" s="4" t="s">
        <v>743</v>
      </c>
      <c r="C392" s="5">
        <f t="shared" si="17"/>
        <v>0</v>
      </c>
      <c r="D392" s="5"/>
      <c r="E392" s="6">
        <f t="shared" si="15"/>
        <v>0</v>
      </c>
      <c r="F392" s="6">
        <f t="shared" si="16"/>
        <v>0</v>
      </c>
      <c r="G392" s="62"/>
      <c r="H392" s="62"/>
      <c r="I392" s="60"/>
      <c r="J392" s="60"/>
      <c r="K392" s="64"/>
      <c r="L392" s="64"/>
      <c r="M392" s="25"/>
      <c r="N392" s="25"/>
    </row>
    <row r="393" spans="1:14">
      <c r="A393" s="3" t="s">
        <v>744</v>
      </c>
      <c r="B393" s="4" t="s">
        <v>745</v>
      </c>
      <c r="C393" s="5">
        <f t="shared" si="17"/>
        <v>0</v>
      </c>
      <c r="D393" s="5"/>
      <c r="E393" s="6">
        <f t="shared" si="15"/>
        <v>0</v>
      </c>
      <c r="F393" s="6">
        <f t="shared" si="16"/>
        <v>0</v>
      </c>
      <c r="G393" s="62"/>
      <c r="H393" s="62"/>
      <c r="I393" s="60"/>
      <c r="J393" s="60"/>
      <c r="K393" s="64"/>
      <c r="L393" s="64"/>
      <c r="M393" s="25"/>
      <c r="N393" s="25"/>
    </row>
    <row r="394" spans="1:14">
      <c r="A394" s="3" t="s">
        <v>746</v>
      </c>
      <c r="B394" s="4" t="s">
        <v>747</v>
      </c>
      <c r="C394" s="5">
        <f t="shared" si="17"/>
        <v>0</v>
      </c>
      <c r="D394" s="5"/>
      <c r="E394" s="6">
        <f t="shared" si="15"/>
        <v>0</v>
      </c>
      <c r="F394" s="6">
        <f t="shared" si="16"/>
        <v>0</v>
      </c>
      <c r="G394" s="62"/>
      <c r="H394" s="62"/>
      <c r="I394" s="60"/>
      <c r="J394" s="60"/>
      <c r="K394" s="64"/>
      <c r="L394" s="64"/>
      <c r="M394" s="25"/>
      <c r="N394" s="25"/>
    </row>
    <row r="395" spans="1:14">
      <c r="A395" s="3" t="s">
        <v>748</v>
      </c>
      <c r="B395" s="4" t="s">
        <v>749</v>
      </c>
      <c r="C395" s="5">
        <f t="shared" si="17"/>
        <v>0</v>
      </c>
      <c r="D395" s="5"/>
      <c r="E395" s="6">
        <f t="shared" si="15"/>
        <v>0</v>
      </c>
      <c r="F395" s="6">
        <f t="shared" si="16"/>
        <v>0</v>
      </c>
      <c r="G395" s="62"/>
      <c r="H395" s="62"/>
      <c r="I395" s="60"/>
      <c r="J395" s="60"/>
      <c r="K395" s="64"/>
      <c r="L395" s="64"/>
      <c r="M395" s="25"/>
      <c r="N395" s="25"/>
    </row>
    <row r="396" spans="1:14">
      <c r="A396" s="3" t="s">
        <v>750</v>
      </c>
      <c r="B396" s="4" t="s">
        <v>751</v>
      </c>
      <c r="C396" s="5">
        <f t="shared" si="17"/>
        <v>0</v>
      </c>
      <c r="D396" s="5"/>
      <c r="E396" s="6">
        <f t="shared" si="15"/>
        <v>0</v>
      </c>
      <c r="F396" s="6">
        <f t="shared" si="16"/>
        <v>0</v>
      </c>
      <c r="G396" s="62"/>
      <c r="H396" s="62"/>
      <c r="I396" s="60"/>
      <c r="J396" s="60"/>
      <c r="K396" s="64"/>
      <c r="L396" s="64"/>
      <c r="M396" s="25"/>
      <c r="N396" s="25"/>
    </row>
    <row r="397" spans="1:14">
      <c r="A397" s="3" t="s">
        <v>752</v>
      </c>
      <c r="B397" s="4" t="s">
        <v>753</v>
      </c>
      <c r="C397" s="5">
        <f t="shared" si="17"/>
        <v>0</v>
      </c>
      <c r="D397" s="5"/>
      <c r="E397" s="6">
        <f t="shared" si="15"/>
        <v>0</v>
      </c>
      <c r="F397" s="6">
        <f t="shared" si="16"/>
        <v>0</v>
      </c>
      <c r="G397" s="62"/>
      <c r="H397" s="62"/>
      <c r="I397" s="60"/>
      <c r="J397" s="60"/>
      <c r="K397" s="64"/>
      <c r="L397" s="64"/>
      <c r="M397" s="25"/>
      <c r="N397" s="25"/>
    </row>
    <row r="398" spans="1:14">
      <c r="A398" s="3" t="s">
        <v>754</v>
      </c>
      <c r="B398" s="4" t="s">
        <v>755</v>
      </c>
      <c r="C398" s="5">
        <f t="shared" si="17"/>
        <v>0</v>
      </c>
      <c r="D398" s="5"/>
      <c r="E398" s="6">
        <f t="shared" ref="E398:E461" si="18">SUM(G398,I398,K398,M398)</f>
        <v>0</v>
      </c>
      <c r="F398" s="6">
        <f t="shared" ref="F398:F461" si="19">SUM(H398,J398,L398,N398)</f>
        <v>0</v>
      </c>
      <c r="G398" s="62"/>
      <c r="H398" s="62"/>
      <c r="I398" s="60"/>
      <c r="J398" s="60"/>
      <c r="K398" s="64"/>
      <c r="L398" s="64"/>
      <c r="M398" s="25"/>
      <c r="N398" s="25"/>
    </row>
    <row r="399" spans="1:14">
      <c r="A399" s="3" t="s">
        <v>756</v>
      </c>
      <c r="B399" s="4" t="s">
        <v>757</v>
      </c>
      <c r="C399" s="5">
        <f t="shared" si="17"/>
        <v>0</v>
      </c>
      <c r="D399" s="5"/>
      <c r="E399" s="6">
        <f t="shared" si="18"/>
        <v>0</v>
      </c>
      <c r="F399" s="6">
        <f t="shared" si="19"/>
        <v>0</v>
      </c>
      <c r="G399" s="62"/>
      <c r="H399" s="62"/>
      <c r="I399" s="60"/>
      <c r="J399" s="60"/>
      <c r="K399" s="64"/>
      <c r="L399" s="64"/>
      <c r="M399" s="25"/>
      <c r="N399" s="25"/>
    </row>
    <row r="400" spans="1:14">
      <c r="A400" s="3" t="s">
        <v>758</v>
      </c>
      <c r="B400" s="4" t="s">
        <v>759</v>
      </c>
      <c r="C400" s="5">
        <f t="shared" si="17"/>
        <v>0</v>
      </c>
      <c r="D400" s="5"/>
      <c r="E400" s="6">
        <f t="shared" si="18"/>
        <v>0</v>
      </c>
      <c r="F400" s="6">
        <f t="shared" si="19"/>
        <v>0</v>
      </c>
      <c r="G400" s="62"/>
      <c r="H400" s="62"/>
      <c r="I400" s="60"/>
      <c r="J400" s="60"/>
      <c r="K400" s="64"/>
      <c r="L400" s="64"/>
      <c r="M400" s="25"/>
      <c r="N400" s="25"/>
    </row>
    <row r="401" spans="1:14">
      <c r="A401" s="3" t="s">
        <v>760</v>
      </c>
      <c r="B401" s="4" t="s">
        <v>761</v>
      </c>
      <c r="C401" s="5">
        <f t="shared" si="17"/>
        <v>0</v>
      </c>
      <c r="D401" s="5"/>
      <c r="E401" s="6">
        <f t="shared" si="18"/>
        <v>0</v>
      </c>
      <c r="F401" s="6">
        <f t="shared" si="19"/>
        <v>0</v>
      </c>
      <c r="G401" s="62"/>
      <c r="H401" s="62"/>
      <c r="I401" s="60"/>
      <c r="J401" s="60"/>
      <c r="K401" s="64"/>
      <c r="L401" s="64"/>
      <c r="M401" s="25"/>
      <c r="N401" s="25"/>
    </row>
    <row r="402" spans="1:14">
      <c r="A402" s="3" t="s">
        <v>762</v>
      </c>
      <c r="B402" s="4" t="s">
        <v>763</v>
      </c>
      <c r="C402" s="5">
        <f t="shared" si="17"/>
        <v>0</v>
      </c>
      <c r="D402" s="5"/>
      <c r="E402" s="6">
        <f t="shared" si="18"/>
        <v>0</v>
      </c>
      <c r="F402" s="6">
        <f t="shared" si="19"/>
        <v>0</v>
      </c>
      <c r="G402" s="62"/>
      <c r="H402" s="62"/>
      <c r="I402" s="60"/>
      <c r="J402" s="60"/>
      <c r="K402" s="64"/>
      <c r="L402" s="64"/>
      <c r="M402" s="25"/>
      <c r="N402" s="25"/>
    </row>
    <row r="403" spans="1:14">
      <c r="A403" s="3" t="s">
        <v>764</v>
      </c>
      <c r="B403" s="4" t="s">
        <v>765</v>
      </c>
      <c r="C403" s="5">
        <f t="shared" si="17"/>
        <v>0</v>
      </c>
      <c r="D403" s="5"/>
      <c r="E403" s="6">
        <f t="shared" si="18"/>
        <v>0</v>
      </c>
      <c r="F403" s="6">
        <f t="shared" si="19"/>
        <v>0</v>
      </c>
      <c r="G403" s="62"/>
      <c r="H403" s="62"/>
      <c r="I403" s="60"/>
      <c r="J403" s="60"/>
      <c r="K403" s="64"/>
      <c r="L403" s="64"/>
      <c r="M403" s="25"/>
      <c r="N403" s="25"/>
    </row>
    <row r="404" spans="1:14">
      <c r="A404" s="3" t="s">
        <v>766</v>
      </c>
      <c r="B404" s="4" t="s">
        <v>767</v>
      </c>
      <c r="C404" s="5">
        <f t="shared" si="17"/>
        <v>0</v>
      </c>
      <c r="D404" s="5"/>
      <c r="E404" s="6">
        <f t="shared" si="18"/>
        <v>0</v>
      </c>
      <c r="F404" s="6">
        <f t="shared" si="19"/>
        <v>0</v>
      </c>
      <c r="G404" s="62"/>
      <c r="H404" s="62"/>
      <c r="I404" s="60"/>
      <c r="J404" s="60"/>
      <c r="K404" s="64"/>
      <c r="L404" s="64"/>
      <c r="M404" s="25"/>
      <c r="N404" s="25"/>
    </row>
    <row r="405" spans="1:14">
      <c r="A405" s="3" t="s">
        <v>768</v>
      </c>
      <c r="B405" s="4" t="s">
        <v>769</v>
      </c>
      <c r="C405" s="5">
        <f t="shared" si="17"/>
        <v>0</v>
      </c>
      <c r="D405" s="5"/>
      <c r="E405" s="6">
        <f t="shared" si="18"/>
        <v>0</v>
      </c>
      <c r="F405" s="6">
        <f t="shared" si="19"/>
        <v>0</v>
      </c>
      <c r="G405" s="62"/>
      <c r="H405" s="62"/>
      <c r="I405" s="60"/>
      <c r="J405" s="60"/>
      <c r="K405" s="64"/>
      <c r="L405" s="64"/>
      <c r="M405" s="25"/>
      <c r="N405" s="25"/>
    </row>
    <row r="406" spans="1:14">
      <c r="A406" s="3" t="s">
        <v>770</v>
      </c>
      <c r="B406" s="4" t="s">
        <v>771</v>
      </c>
      <c r="C406" s="5">
        <f t="shared" si="17"/>
        <v>0</v>
      </c>
      <c r="D406" s="5"/>
      <c r="E406" s="6">
        <f t="shared" si="18"/>
        <v>0</v>
      </c>
      <c r="F406" s="6">
        <f t="shared" si="19"/>
        <v>0</v>
      </c>
      <c r="G406" s="62"/>
      <c r="H406" s="62"/>
      <c r="I406" s="60"/>
      <c r="J406" s="60"/>
      <c r="K406" s="64"/>
      <c r="L406" s="64"/>
      <c r="M406" s="25"/>
      <c r="N406" s="25"/>
    </row>
    <row r="407" spans="1:14">
      <c r="A407" s="3" t="s">
        <v>772</v>
      </c>
      <c r="B407" s="4" t="s">
        <v>773</v>
      </c>
      <c r="C407" s="5">
        <f t="shared" si="17"/>
        <v>0</v>
      </c>
      <c r="D407" s="5"/>
      <c r="E407" s="6">
        <f t="shared" si="18"/>
        <v>0</v>
      </c>
      <c r="F407" s="6">
        <f t="shared" si="19"/>
        <v>0</v>
      </c>
      <c r="G407" s="62"/>
      <c r="H407" s="62"/>
      <c r="I407" s="60"/>
      <c r="J407" s="60"/>
      <c r="K407" s="64"/>
      <c r="L407" s="64"/>
      <c r="M407" s="25"/>
      <c r="N407" s="25"/>
    </row>
    <row r="408" spans="1:14">
      <c r="A408" s="3" t="s">
        <v>774</v>
      </c>
      <c r="B408" s="4" t="s">
        <v>775</v>
      </c>
      <c r="C408" s="5">
        <f t="shared" si="17"/>
        <v>0</v>
      </c>
      <c r="D408" s="5"/>
      <c r="E408" s="6">
        <f t="shared" si="18"/>
        <v>0</v>
      </c>
      <c r="F408" s="6">
        <f t="shared" si="19"/>
        <v>0</v>
      </c>
      <c r="G408" s="62"/>
      <c r="H408" s="62"/>
      <c r="I408" s="60"/>
      <c r="J408" s="60"/>
      <c r="K408" s="64"/>
      <c r="L408" s="64"/>
      <c r="M408" s="25"/>
      <c r="N408" s="25"/>
    </row>
    <row r="409" spans="1:14">
      <c r="A409" s="3" t="s">
        <v>776</v>
      </c>
      <c r="B409" s="4" t="s">
        <v>777</v>
      </c>
      <c r="C409" s="5">
        <f t="shared" ref="C409:C461" si="20">E409-F409</f>
        <v>0</v>
      </c>
      <c r="D409" s="5"/>
      <c r="E409" s="6">
        <f t="shared" si="18"/>
        <v>0</v>
      </c>
      <c r="F409" s="6">
        <f t="shared" si="19"/>
        <v>0</v>
      </c>
      <c r="G409" s="62"/>
      <c r="H409" s="62"/>
      <c r="I409" s="60"/>
      <c r="J409" s="60"/>
      <c r="K409" s="64"/>
      <c r="L409" s="64"/>
      <c r="M409" s="25"/>
      <c r="N409" s="25"/>
    </row>
    <row r="410" spans="1:14">
      <c r="A410" s="3" t="s">
        <v>778</v>
      </c>
      <c r="B410" s="4" t="s">
        <v>779</v>
      </c>
      <c r="C410" s="5">
        <f t="shared" si="20"/>
        <v>0</v>
      </c>
      <c r="D410" s="5"/>
      <c r="E410" s="6">
        <f t="shared" si="18"/>
        <v>0</v>
      </c>
      <c r="F410" s="6">
        <f t="shared" si="19"/>
        <v>0</v>
      </c>
      <c r="G410" s="62"/>
      <c r="H410" s="62"/>
      <c r="I410" s="60"/>
      <c r="J410" s="60"/>
      <c r="K410" s="64"/>
      <c r="L410" s="64"/>
      <c r="M410" s="25"/>
      <c r="N410" s="25"/>
    </row>
    <row r="411" spans="1:14">
      <c r="A411" s="3" t="s">
        <v>780</v>
      </c>
      <c r="B411" s="4" t="s">
        <v>781</v>
      </c>
      <c r="C411" s="5">
        <f t="shared" si="20"/>
        <v>0</v>
      </c>
      <c r="D411" s="5"/>
      <c r="E411" s="6">
        <f t="shared" si="18"/>
        <v>0</v>
      </c>
      <c r="F411" s="6">
        <f t="shared" si="19"/>
        <v>0</v>
      </c>
      <c r="G411" s="62"/>
      <c r="H411" s="62"/>
      <c r="I411" s="60"/>
      <c r="J411" s="60"/>
      <c r="K411" s="64"/>
      <c r="L411" s="64"/>
      <c r="M411" s="25"/>
      <c r="N411" s="25"/>
    </row>
    <row r="412" spans="1:14">
      <c r="A412" s="3" t="s">
        <v>782</v>
      </c>
      <c r="B412" s="4" t="s">
        <v>783</v>
      </c>
      <c r="C412" s="5">
        <f t="shared" si="20"/>
        <v>0</v>
      </c>
      <c r="D412" s="5"/>
      <c r="E412" s="6">
        <f t="shared" si="18"/>
        <v>0</v>
      </c>
      <c r="F412" s="6">
        <f t="shared" si="19"/>
        <v>0</v>
      </c>
      <c r="G412" s="62"/>
      <c r="H412" s="62"/>
      <c r="I412" s="60"/>
      <c r="J412" s="60"/>
      <c r="K412" s="64"/>
      <c r="L412" s="64"/>
      <c r="M412" s="25"/>
      <c r="N412" s="25"/>
    </row>
    <row r="413" spans="1:14">
      <c r="A413" s="3" t="s">
        <v>784</v>
      </c>
      <c r="B413" s="4" t="s">
        <v>785</v>
      </c>
      <c r="C413" s="5">
        <f t="shared" si="20"/>
        <v>0</v>
      </c>
      <c r="D413" s="5"/>
      <c r="E413" s="6">
        <f t="shared" si="18"/>
        <v>0</v>
      </c>
      <c r="F413" s="6">
        <f t="shared" si="19"/>
        <v>0</v>
      </c>
      <c r="G413" s="62"/>
      <c r="H413" s="62"/>
      <c r="I413" s="60"/>
      <c r="J413" s="60"/>
      <c r="K413" s="64"/>
      <c r="L413" s="64"/>
      <c r="M413" s="25"/>
      <c r="N413" s="25"/>
    </row>
    <row r="414" spans="1:14">
      <c r="A414" s="3" t="s">
        <v>786</v>
      </c>
      <c r="B414" s="4" t="s">
        <v>787</v>
      </c>
      <c r="C414" s="5">
        <f t="shared" si="20"/>
        <v>0</v>
      </c>
      <c r="D414" s="5"/>
      <c r="E414" s="6">
        <f t="shared" si="18"/>
        <v>0</v>
      </c>
      <c r="F414" s="6">
        <f t="shared" si="19"/>
        <v>0</v>
      </c>
      <c r="G414" s="62"/>
      <c r="H414" s="62"/>
      <c r="I414" s="60"/>
      <c r="J414" s="60"/>
      <c r="K414" s="64"/>
      <c r="L414" s="64"/>
      <c r="M414" s="25"/>
      <c r="N414" s="25"/>
    </row>
    <row r="415" spans="1:14">
      <c r="A415" s="3" t="s">
        <v>788</v>
      </c>
      <c r="B415" s="4" t="s">
        <v>789</v>
      </c>
      <c r="C415" s="5">
        <f t="shared" si="20"/>
        <v>0</v>
      </c>
      <c r="D415" s="5"/>
      <c r="E415" s="6">
        <f t="shared" si="18"/>
        <v>0</v>
      </c>
      <c r="F415" s="6">
        <f t="shared" si="19"/>
        <v>0</v>
      </c>
      <c r="G415" s="62"/>
      <c r="H415" s="62"/>
      <c r="I415" s="60"/>
      <c r="J415" s="60"/>
      <c r="K415" s="64"/>
      <c r="L415" s="64"/>
      <c r="M415" s="25"/>
      <c r="N415" s="25"/>
    </row>
    <row r="416" spans="1:14">
      <c r="A416" s="3" t="s">
        <v>790</v>
      </c>
      <c r="B416" s="4" t="s">
        <v>791</v>
      </c>
      <c r="C416" s="5">
        <f t="shared" si="20"/>
        <v>0</v>
      </c>
      <c r="D416" s="5"/>
      <c r="E416" s="6">
        <f t="shared" si="18"/>
        <v>0</v>
      </c>
      <c r="F416" s="6">
        <f t="shared" si="19"/>
        <v>0</v>
      </c>
      <c r="G416" s="62"/>
      <c r="H416" s="62"/>
      <c r="I416" s="60"/>
      <c r="J416" s="60"/>
      <c r="K416" s="64"/>
      <c r="L416" s="64"/>
      <c r="M416" s="25"/>
      <c r="N416" s="25"/>
    </row>
    <row r="417" spans="1:14">
      <c r="A417" s="3" t="s">
        <v>792</v>
      </c>
      <c r="B417" s="4" t="s">
        <v>793</v>
      </c>
      <c r="C417" s="5">
        <f t="shared" si="20"/>
        <v>0</v>
      </c>
      <c r="D417" s="5"/>
      <c r="E417" s="6">
        <f t="shared" si="18"/>
        <v>0</v>
      </c>
      <c r="F417" s="6">
        <f t="shared" si="19"/>
        <v>0</v>
      </c>
      <c r="G417" s="62"/>
      <c r="H417" s="62"/>
      <c r="I417" s="60"/>
      <c r="J417" s="60"/>
      <c r="K417" s="64"/>
      <c r="L417" s="64"/>
      <c r="M417" s="25"/>
      <c r="N417" s="25"/>
    </row>
    <row r="418" spans="1:14">
      <c r="A418" s="3" t="s">
        <v>794</v>
      </c>
      <c r="B418" s="4" t="s">
        <v>795</v>
      </c>
      <c r="C418" s="5">
        <f t="shared" si="20"/>
        <v>0</v>
      </c>
      <c r="D418" s="5"/>
      <c r="E418" s="6">
        <f t="shared" si="18"/>
        <v>0</v>
      </c>
      <c r="F418" s="6">
        <f t="shared" si="19"/>
        <v>0</v>
      </c>
      <c r="G418" s="62"/>
      <c r="H418" s="62"/>
      <c r="I418" s="60"/>
      <c r="J418" s="60"/>
      <c r="K418" s="64"/>
      <c r="L418" s="64"/>
      <c r="M418" s="25"/>
      <c r="N418" s="25"/>
    </row>
    <row r="419" spans="1:14">
      <c r="A419" s="3" t="s">
        <v>796</v>
      </c>
      <c r="B419" s="4" t="s">
        <v>797</v>
      </c>
      <c r="C419" s="5">
        <f t="shared" si="20"/>
        <v>0</v>
      </c>
      <c r="D419" s="5"/>
      <c r="E419" s="6">
        <f t="shared" si="18"/>
        <v>0</v>
      </c>
      <c r="F419" s="6">
        <f t="shared" si="19"/>
        <v>0</v>
      </c>
      <c r="G419" s="62"/>
      <c r="H419" s="62"/>
      <c r="I419" s="60"/>
      <c r="J419" s="60"/>
      <c r="K419" s="64"/>
      <c r="L419" s="64"/>
      <c r="M419" s="25"/>
      <c r="N419" s="25"/>
    </row>
    <row r="420" spans="1:14">
      <c r="A420" s="3" t="s">
        <v>798</v>
      </c>
      <c r="B420" s="4" t="s">
        <v>799</v>
      </c>
      <c r="C420" s="5">
        <f t="shared" si="20"/>
        <v>0</v>
      </c>
      <c r="D420" s="5"/>
      <c r="E420" s="6">
        <f t="shared" si="18"/>
        <v>0</v>
      </c>
      <c r="F420" s="6">
        <f t="shared" si="19"/>
        <v>0</v>
      </c>
      <c r="G420" s="62"/>
      <c r="H420" s="62"/>
      <c r="I420" s="60"/>
      <c r="J420" s="60"/>
      <c r="K420" s="64"/>
      <c r="L420" s="64"/>
      <c r="M420" s="25"/>
      <c r="N420" s="25"/>
    </row>
    <row r="421" spans="1:14">
      <c r="A421" s="3" t="s">
        <v>800</v>
      </c>
      <c r="B421" s="4" t="s">
        <v>801</v>
      </c>
      <c r="C421" s="5">
        <f t="shared" si="20"/>
        <v>0</v>
      </c>
      <c r="D421" s="5"/>
      <c r="E421" s="6">
        <f t="shared" si="18"/>
        <v>0</v>
      </c>
      <c r="F421" s="6">
        <f t="shared" si="19"/>
        <v>0</v>
      </c>
      <c r="G421" s="62"/>
      <c r="H421" s="62"/>
      <c r="I421" s="60"/>
      <c r="J421" s="60"/>
      <c r="K421" s="64"/>
      <c r="L421" s="64"/>
      <c r="M421" s="25"/>
      <c r="N421" s="25"/>
    </row>
    <row r="422" spans="1:14">
      <c r="A422" s="3" t="s">
        <v>802</v>
      </c>
      <c r="B422" s="4" t="s">
        <v>803</v>
      </c>
      <c r="C422" s="5">
        <f t="shared" si="20"/>
        <v>0</v>
      </c>
      <c r="D422" s="5"/>
      <c r="E422" s="6">
        <f t="shared" si="18"/>
        <v>0</v>
      </c>
      <c r="F422" s="6">
        <f t="shared" si="19"/>
        <v>0</v>
      </c>
      <c r="G422" s="62"/>
      <c r="H422" s="62"/>
      <c r="I422" s="60"/>
      <c r="J422" s="60"/>
      <c r="K422" s="64"/>
      <c r="L422" s="64"/>
      <c r="M422" s="25"/>
      <c r="N422" s="25"/>
    </row>
    <row r="423" spans="1:14">
      <c r="A423" s="3" t="s">
        <v>804</v>
      </c>
      <c r="B423" s="4" t="s">
        <v>805</v>
      </c>
      <c r="C423" s="5">
        <f t="shared" si="20"/>
        <v>0</v>
      </c>
      <c r="D423" s="5"/>
      <c r="E423" s="6">
        <f t="shared" si="18"/>
        <v>0</v>
      </c>
      <c r="F423" s="6">
        <f t="shared" si="19"/>
        <v>0</v>
      </c>
      <c r="G423" s="62"/>
      <c r="H423" s="62"/>
      <c r="I423" s="60"/>
      <c r="J423" s="60"/>
      <c r="K423" s="64"/>
      <c r="L423" s="64"/>
      <c r="M423" s="25"/>
      <c r="N423" s="25"/>
    </row>
    <row r="424" spans="1:14">
      <c r="A424" s="3" t="s">
        <v>806</v>
      </c>
      <c r="B424" s="4" t="s">
        <v>807</v>
      </c>
      <c r="C424" s="5">
        <f t="shared" si="20"/>
        <v>0</v>
      </c>
      <c r="D424" s="5"/>
      <c r="E424" s="6">
        <f t="shared" si="18"/>
        <v>0</v>
      </c>
      <c r="F424" s="6">
        <f t="shared" si="19"/>
        <v>0</v>
      </c>
      <c r="G424" s="62"/>
      <c r="H424" s="62"/>
      <c r="I424" s="60"/>
      <c r="J424" s="60"/>
      <c r="K424" s="64"/>
      <c r="L424" s="64"/>
      <c r="M424" s="25"/>
      <c r="N424" s="25"/>
    </row>
    <row r="425" spans="1:14">
      <c r="A425" s="3" t="s">
        <v>808</v>
      </c>
      <c r="B425" s="4" t="s">
        <v>809</v>
      </c>
      <c r="C425" s="5">
        <f t="shared" si="20"/>
        <v>0</v>
      </c>
      <c r="D425" s="5"/>
      <c r="E425" s="6">
        <f t="shared" si="18"/>
        <v>0</v>
      </c>
      <c r="F425" s="6">
        <f t="shared" si="19"/>
        <v>0</v>
      </c>
      <c r="G425" s="62"/>
      <c r="H425" s="62"/>
      <c r="I425" s="60"/>
      <c r="J425" s="60"/>
      <c r="K425" s="64"/>
      <c r="L425" s="64"/>
      <c r="M425" s="25"/>
      <c r="N425" s="25"/>
    </row>
    <row r="426" spans="1:14">
      <c r="A426" s="3" t="s">
        <v>810</v>
      </c>
      <c r="B426" s="4" t="s">
        <v>811</v>
      </c>
      <c r="C426" s="5">
        <f t="shared" si="20"/>
        <v>0</v>
      </c>
      <c r="D426" s="5"/>
      <c r="E426" s="6">
        <f t="shared" si="18"/>
        <v>0</v>
      </c>
      <c r="F426" s="6">
        <f t="shared" si="19"/>
        <v>0</v>
      </c>
      <c r="G426" s="62"/>
      <c r="H426" s="62"/>
      <c r="I426" s="60"/>
      <c r="J426" s="60"/>
      <c r="K426" s="64"/>
      <c r="L426" s="64"/>
      <c r="M426" s="25"/>
      <c r="N426" s="25"/>
    </row>
    <row r="427" spans="1:14">
      <c r="A427" s="3" t="s">
        <v>812</v>
      </c>
      <c r="B427" s="4" t="s">
        <v>813</v>
      </c>
      <c r="C427" s="5">
        <f t="shared" si="20"/>
        <v>0</v>
      </c>
      <c r="D427" s="5"/>
      <c r="E427" s="6">
        <f t="shared" si="18"/>
        <v>0</v>
      </c>
      <c r="F427" s="6">
        <f t="shared" si="19"/>
        <v>0</v>
      </c>
      <c r="G427" s="62"/>
      <c r="H427" s="62"/>
      <c r="I427" s="60"/>
      <c r="J427" s="60"/>
      <c r="K427" s="64"/>
      <c r="L427" s="64"/>
      <c r="M427" s="25"/>
      <c r="N427" s="25"/>
    </row>
    <row r="428" spans="1:14">
      <c r="A428" s="3" t="s">
        <v>814</v>
      </c>
      <c r="B428" s="4" t="s">
        <v>815</v>
      </c>
      <c r="C428" s="5">
        <f t="shared" si="20"/>
        <v>0</v>
      </c>
      <c r="D428" s="5"/>
      <c r="E428" s="6">
        <f t="shared" si="18"/>
        <v>0</v>
      </c>
      <c r="F428" s="6">
        <f t="shared" si="19"/>
        <v>0</v>
      </c>
      <c r="G428" s="62"/>
      <c r="H428" s="62"/>
      <c r="I428" s="60"/>
      <c r="J428" s="60"/>
      <c r="K428" s="64"/>
      <c r="L428" s="64"/>
      <c r="M428" s="25"/>
      <c r="N428" s="25"/>
    </row>
    <row r="429" spans="1:14">
      <c r="A429" s="3" t="s">
        <v>816</v>
      </c>
      <c r="B429" s="4" t="s">
        <v>817</v>
      </c>
      <c r="C429" s="5">
        <f t="shared" si="20"/>
        <v>0</v>
      </c>
      <c r="D429" s="5"/>
      <c r="E429" s="6">
        <f t="shared" si="18"/>
        <v>0</v>
      </c>
      <c r="F429" s="6">
        <f t="shared" si="19"/>
        <v>0</v>
      </c>
      <c r="G429" s="62"/>
      <c r="H429" s="62"/>
      <c r="I429" s="60"/>
      <c r="J429" s="60"/>
      <c r="K429" s="64"/>
      <c r="L429" s="64"/>
      <c r="M429" s="25"/>
      <c r="N429" s="25"/>
    </row>
    <row r="430" spans="1:14">
      <c r="A430" s="3" t="s">
        <v>818</v>
      </c>
      <c r="B430" s="4" t="s">
        <v>819</v>
      </c>
      <c r="C430" s="5">
        <f t="shared" si="20"/>
        <v>0</v>
      </c>
      <c r="D430" s="5"/>
      <c r="E430" s="6">
        <f t="shared" si="18"/>
        <v>0</v>
      </c>
      <c r="F430" s="6">
        <f t="shared" si="19"/>
        <v>0</v>
      </c>
      <c r="G430" s="62"/>
      <c r="H430" s="62"/>
      <c r="I430" s="60"/>
      <c r="J430" s="60"/>
      <c r="K430" s="64"/>
      <c r="L430" s="64"/>
      <c r="M430" s="25"/>
      <c r="N430" s="25"/>
    </row>
    <row r="431" spans="1:14">
      <c r="A431" s="3" t="s">
        <v>820</v>
      </c>
      <c r="B431" s="4" t="s">
        <v>821</v>
      </c>
      <c r="C431" s="5">
        <f t="shared" si="20"/>
        <v>0</v>
      </c>
      <c r="D431" s="5"/>
      <c r="E431" s="6">
        <f t="shared" si="18"/>
        <v>0</v>
      </c>
      <c r="F431" s="6">
        <f t="shared" si="19"/>
        <v>0</v>
      </c>
      <c r="G431" s="62"/>
      <c r="H431" s="62"/>
      <c r="I431" s="60"/>
      <c r="J431" s="60"/>
      <c r="K431" s="64"/>
      <c r="L431" s="64"/>
      <c r="M431" s="25"/>
      <c r="N431" s="25"/>
    </row>
    <row r="432" spans="1:14">
      <c r="A432" s="3" t="s">
        <v>822</v>
      </c>
      <c r="B432" s="4" t="s">
        <v>823</v>
      </c>
      <c r="C432" s="5">
        <f t="shared" si="20"/>
        <v>0</v>
      </c>
      <c r="D432" s="5"/>
      <c r="E432" s="6">
        <f t="shared" si="18"/>
        <v>0</v>
      </c>
      <c r="F432" s="6">
        <f t="shared" si="19"/>
        <v>0</v>
      </c>
      <c r="G432" s="62"/>
      <c r="H432" s="62"/>
      <c r="I432" s="60"/>
      <c r="J432" s="60"/>
      <c r="K432" s="64"/>
      <c r="L432" s="64"/>
      <c r="M432" s="25"/>
      <c r="N432" s="25"/>
    </row>
    <row r="433" spans="1:14">
      <c r="A433" s="3" t="s">
        <v>824</v>
      </c>
      <c r="B433" s="4" t="s">
        <v>825</v>
      </c>
      <c r="C433" s="5">
        <f t="shared" si="20"/>
        <v>0</v>
      </c>
      <c r="D433" s="5"/>
      <c r="E433" s="6">
        <f t="shared" si="18"/>
        <v>0</v>
      </c>
      <c r="F433" s="6">
        <f t="shared" si="19"/>
        <v>0</v>
      </c>
      <c r="G433" s="62"/>
      <c r="H433" s="62"/>
      <c r="I433" s="60"/>
      <c r="J433" s="60"/>
      <c r="K433" s="64"/>
      <c r="L433" s="64"/>
      <c r="M433" s="25"/>
      <c r="N433" s="25"/>
    </row>
    <row r="434" spans="1:14">
      <c r="A434" s="3" t="s">
        <v>826</v>
      </c>
      <c r="B434" s="4" t="s">
        <v>827</v>
      </c>
      <c r="C434" s="5">
        <f t="shared" si="20"/>
        <v>0</v>
      </c>
      <c r="D434" s="5"/>
      <c r="E434" s="6">
        <f t="shared" si="18"/>
        <v>0</v>
      </c>
      <c r="F434" s="6">
        <f t="shared" si="19"/>
        <v>0</v>
      </c>
      <c r="G434" s="62"/>
      <c r="H434" s="62"/>
      <c r="I434" s="60"/>
      <c r="J434" s="60"/>
      <c r="K434" s="64"/>
      <c r="L434" s="64"/>
      <c r="M434" s="25"/>
      <c r="N434" s="25"/>
    </row>
    <row r="435" spans="1:14">
      <c r="A435" s="3" t="s">
        <v>828</v>
      </c>
      <c r="B435" s="4" t="s">
        <v>829</v>
      </c>
      <c r="C435" s="5">
        <f t="shared" si="20"/>
        <v>0</v>
      </c>
      <c r="D435" s="5"/>
      <c r="E435" s="6">
        <f t="shared" si="18"/>
        <v>0</v>
      </c>
      <c r="F435" s="6">
        <f t="shared" si="19"/>
        <v>0</v>
      </c>
      <c r="G435" s="62"/>
      <c r="H435" s="62"/>
      <c r="I435" s="60"/>
      <c r="J435" s="60"/>
      <c r="K435" s="64"/>
      <c r="L435" s="64"/>
      <c r="M435" s="25"/>
      <c r="N435" s="25"/>
    </row>
    <row r="436" spans="1:14">
      <c r="A436" s="3" t="s">
        <v>830</v>
      </c>
      <c r="B436" s="4" t="s">
        <v>831</v>
      </c>
      <c r="C436" s="5">
        <f t="shared" si="20"/>
        <v>0</v>
      </c>
      <c r="D436" s="5"/>
      <c r="E436" s="6">
        <f t="shared" si="18"/>
        <v>0</v>
      </c>
      <c r="F436" s="6">
        <f t="shared" si="19"/>
        <v>0</v>
      </c>
      <c r="G436" s="62"/>
      <c r="H436" s="62"/>
      <c r="I436" s="60"/>
      <c r="J436" s="60"/>
      <c r="K436" s="64"/>
      <c r="L436" s="64"/>
      <c r="M436" s="25"/>
      <c r="N436" s="25"/>
    </row>
    <row r="437" spans="1:14">
      <c r="A437" s="3" t="s">
        <v>832</v>
      </c>
      <c r="B437" s="4" t="s">
        <v>833</v>
      </c>
      <c r="C437" s="5">
        <f t="shared" si="20"/>
        <v>0</v>
      </c>
      <c r="D437" s="5"/>
      <c r="E437" s="6">
        <f t="shared" si="18"/>
        <v>0</v>
      </c>
      <c r="F437" s="6">
        <f t="shared" si="19"/>
        <v>0</v>
      </c>
      <c r="G437" s="62"/>
      <c r="H437" s="62"/>
      <c r="I437" s="60"/>
      <c r="J437" s="60"/>
      <c r="K437" s="64"/>
      <c r="L437" s="64"/>
      <c r="M437" s="25"/>
      <c r="N437" s="25"/>
    </row>
    <row r="438" spans="1:14">
      <c r="A438" s="3" t="s">
        <v>834</v>
      </c>
      <c r="B438" s="4" t="s">
        <v>835</v>
      </c>
      <c r="C438" s="5">
        <f t="shared" si="20"/>
        <v>0</v>
      </c>
      <c r="D438" s="5"/>
      <c r="E438" s="6">
        <f t="shared" si="18"/>
        <v>0</v>
      </c>
      <c r="F438" s="6">
        <f t="shared" si="19"/>
        <v>0</v>
      </c>
      <c r="G438" s="62"/>
      <c r="H438" s="62"/>
      <c r="I438" s="60"/>
      <c r="J438" s="60"/>
      <c r="K438" s="64"/>
      <c r="L438" s="64"/>
      <c r="M438" s="25"/>
      <c r="N438" s="25"/>
    </row>
    <row r="439" spans="1:14">
      <c r="A439" s="3" t="s">
        <v>836</v>
      </c>
      <c r="B439" s="4" t="s">
        <v>837</v>
      </c>
      <c r="C439" s="5">
        <f t="shared" si="20"/>
        <v>0</v>
      </c>
      <c r="D439" s="5"/>
      <c r="E439" s="6">
        <f t="shared" si="18"/>
        <v>0</v>
      </c>
      <c r="F439" s="6">
        <f t="shared" si="19"/>
        <v>0</v>
      </c>
      <c r="G439" s="62"/>
      <c r="H439" s="62"/>
      <c r="I439" s="60"/>
      <c r="J439" s="60"/>
      <c r="K439" s="64"/>
      <c r="L439" s="64"/>
      <c r="M439" s="25"/>
      <c r="N439" s="25"/>
    </row>
    <row r="440" spans="1:14">
      <c r="A440" s="3" t="s">
        <v>838</v>
      </c>
      <c r="B440" s="4" t="s">
        <v>839</v>
      </c>
      <c r="C440" s="5">
        <f t="shared" si="20"/>
        <v>0</v>
      </c>
      <c r="D440" s="5"/>
      <c r="E440" s="6">
        <f t="shared" si="18"/>
        <v>0</v>
      </c>
      <c r="F440" s="6">
        <f t="shared" si="19"/>
        <v>0</v>
      </c>
      <c r="G440" s="62"/>
      <c r="H440" s="62"/>
      <c r="I440" s="60"/>
      <c r="J440" s="60"/>
      <c r="K440" s="64"/>
      <c r="L440" s="64"/>
      <c r="M440" s="25"/>
      <c r="N440" s="25"/>
    </row>
    <row r="441" spans="1:14">
      <c r="A441" s="3" t="s">
        <v>840</v>
      </c>
      <c r="B441" s="4" t="s">
        <v>841</v>
      </c>
      <c r="C441" s="5">
        <f t="shared" si="20"/>
        <v>0</v>
      </c>
      <c r="D441" s="5"/>
      <c r="E441" s="6">
        <f t="shared" si="18"/>
        <v>0</v>
      </c>
      <c r="F441" s="6">
        <f t="shared" si="19"/>
        <v>0</v>
      </c>
      <c r="G441" s="62"/>
      <c r="H441" s="62"/>
      <c r="I441" s="60"/>
      <c r="J441" s="60"/>
      <c r="K441" s="64"/>
      <c r="L441" s="64"/>
      <c r="M441" s="25"/>
      <c r="N441" s="25"/>
    </row>
    <row r="442" spans="1:14">
      <c r="A442" s="3" t="s">
        <v>842</v>
      </c>
      <c r="B442" s="4" t="s">
        <v>843</v>
      </c>
      <c r="C442" s="5">
        <f t="shared" si="20"/>
        <v>0</v>
      </c>
      <c r="D442" s="5"/>
      <c r="E442" s="6">
        <f t="shared" si="18"/>
        <v>0</v>
      </c>
      <c r="F442" s="6">
        <f t="shared" si="19"/>
        <v>0</v>
      </c>
      <c r="G442" s="62"/>
      <c r="H442" s="62"/>
      <c r="I442" s="60"/>
      <c r="J442" s="60"/>
      <c r="K442" s="64"/>
      <c r="L442" s="64"/>
      <c r="M442" s="25"/>
      <c r="N442" s="25"/>
    </row>
    <row r="443" spans="1:14">
      <c r="A443" s="3" t="s">
        <v>844</v>
      </c>
      <c r="B443" s="4" t="s">
        <v>845</v>
      </c>
      <c r="C443" s="5">
        <f t="shared" si="20"/>
        <v>0</v>
      </c>
      <c r="D443" s="5"/>
      <c r="E443" s="6">
        <f t="shared" si="18"/>
        <v>0</v>
      </c>
      <c r="F443" s="6">
        <f t="shared" si="19"/>
        <v>0</v>
      </c>
      <c r="G443" s="62"/>
      <c r="H443" s="62"/>
      <c r="I443" s="60"/>
      <c r="J443" s="60"/>
      <c r="K443" s="64"/>
      <c r="L443" s="64"/>
      <c r="M443" s="25"/>
      <c r="N443" s="25"/>
    </row>
    <row r="444" spans="1:14">
      <c r="A444" s="3" t="s">
        <v>846</v>
      </c>
      <c r="B444" s="4" t="s">
        <v>847</v>
      </c>
      <c r="C444" s="5">
        <f t="shared" si="20"/>
        <v>0</v>
      </c>
      <c r="D444" s="5"/>
      <c r="E444" s="6">
        <f t="shared" si="18"/>
        <v>0</v>
      </c>
      <c r="F444" s="6">
        <f t="shared" si="19"/>
        <v>0</v>
      </c>
      <c r="G444" s="62"/>
      <c r="H444" s="62"/>
      <c r="I444" s="60"/>
      <c r="J444" s="60"/>
      <c r="K444" s="64"/>
      <c r="L444" s="64"/>
      <c r="M444" s="25"/>
      <c r="N444" s="25"/>
    </row>
    <row r="445" spans="1:14">
      <c r="A445" s="3" t="s">
        <v>848</v>
      </c>
      <c r="B445" s="4" t="s">
        <v>849</v>
      </c>
      <c r="C445" s="5">
        <f t="shared" si="20"/>
        <v>0</v>
      </c>
      <c r="D445" s="5"/>
      <c r="E445" s="6">
        <f t="shared" si="18"/>
        <v>0</v>
      </c>
      <c r="F445" s="6">
        <f t="shared" si="19"/>
        <v>0</v>
      </c>
      <c r="G445" s="62"/>
      <c r="H445" s="62"/>
      <c r="I445" s="60"/>
      <c r="J445" s="60"/>
      <c r="K445" s="64"/>
      <c r="L445" s="64"/>
      <c r="M445" s="25"/>
      <c r="N445" s="25"/>
    </row>
    <row r="446" spans="1:14">
      <c r="A446" s="3" t="s">
        <v>850</v>
      </c>
      <c r="B446" s="4" t="s">
        <v>851</v>
      </c>
      <c r="C446" s="5">
        <f t="shared" si="20"/>
        <v>0</v>
      </c>
      <c r="D446" s="5"/>
      <c r="E446" s="6">
        <f t="shared" si="18"/>
        <v>0</v>
      </c>
      <c r="F446" s="6">
        <f t="shared" si="19"/>
        <v>0</v>
      </c>
      <c r="G446" s="62"/>
      <c r="H446" s="62"/>
      <c r="I446" s="60"/>
      <c r="J446" s="60"/>
      <c r="K446" s="64"/>
      <c r="L446" s="64"/>
      <c r="M446" s="25"/>
      <c r="N446" s="25"/>
    </row>
    <row r="447" spans="1:14">
      <c r="A447" s="3" t="s">
        <v>852</v>
      </c>
      <c r="B447" s="4" t="s">
        <v>853</v>
      </c>
      <c r="C447" s="5">
        <f t="shared" si="20"/>
        <v>0</v>
      </c>
      <c r="D447" s="5"/>
      <c r="E447" s="6">
        <f t="shared" si="18"/>
        <v>0</v>
      </c>
      <c r="F447" s="6">
        <f t="shared" si="19"/>
        <v>0</v>
      </c>
      <c r="G447" s="62"/>
      <c r="H447" s="62"/>
      <c r="I447" s="60"/>
      <c r="J447" s="60"/>
      <c r="K447" s="64"/>
      <c r="L447" s="64"/>
      <c r="M447" s="25"/>
      <c r="N447" s="25"/>
    </row>
    <row r="448" spans="1:14">
      <c r="A448" s="3" t="s">
        <v>854</v>
      </c>
      <c r="B448" s="4">
        <v>954</v>
      </c>
      <c r="C448" s="5">
        <f t="shared" si="20"/>
        <v>0</v>
      </c>
      <c r="D448" s="5"/>
      <c r="E448" s="6">
        <f t="shared" si="18"/>
        <v>0</v>
      </c>
      <c r="F448" s="6">
        <f t="shared" si="19"/>
        <v>0</v>
      </c>
      <c r="G448" s="62"/>
      <c r="H448" s="62"/>
      <c r="I448" s="60"/>
      <c r="J448" s="60"/>
      <c r="K448" s="64"/>
      <c r="L448" s="64"/>
      <c r="M448" s="25"/>
      <c r="N448" s="25"/>
    </row>
    <row r="449" spans="1:14">
      <c r="A449" s="3" t="s">
        <v>855</v>
      </c>
      <c r="B449" s="4">
        <v>955</v>
      </c>
      <c r="C449" s="5">
        <f t="shared" si="20"/>
        <v>0</v>
      </c>
      <c r="D449" s="5"/>
      <c r="E449" s="6">
        <f t="shared" si="18"/>
        <v>0</v>
      </c>
      <c r="F449" s="6">
        <f t="shared" si="19"/>
        <v>0</v>
      </c>
      <c r="G449" s="62"/>
      <c r="H449" s="62"/>
      <c r="I449" s="60"/>
      <c r="J449" s="60"/>
      <c r="K449" s="64"/>
      <c r="L449" s="64"/>
      <c r="M449" s="25"/>
      <c r="N449" s="25"/>
    </row>
    <row r="450" spans="1:14">
      <c r="A450" s="3" t="s">
        <v>856</v>
      </c>
      <c r="B450" s="4" t="s">
        <v>857</v>
      </c>
      <c r="C450" s="5">
        <f t="shared" si="20"/>
        <v>0</v>
      </c>
      <c r="D450" s="5"/>
      <c r="E450" s="6">
        <f t="shared" si="18"/>
        <v>0</v>
      </c>
      <c r="F450" s="6">
        <f t="shared" si="19"/>
        <v>0</v>
      </c>
      <c r="G450" s="62"/>
      <c r="H450" s="62"/>
      <c r="I450" s="60"/>
      <c r="J450" s="60"/>
      <c r="K450" s="64"/>
      <c r="L450" s="64"/>
      <c r="M450" s="25"/>
      <c r="N450" s="25"/>
    </row>
    <row r="451" spans="1:14">
      <c r="A451" s="3" t="s">
        <v>858</v>
      </c>
      <c r="B451" s="4" t="s">
        <v>859</v>
      </c>
      <c r="C451" s="5">
        <f t="shared" si="20"/>
        <v>0</v>
      </c>
      <c r="D451" s="5"/>
      <c r="E451" s="6">
        <f t="shared" si="18"/>
        <v>0</v>
      </c>
      <c r="F451" s="6">
        <f t="shared" si="19"/>
        <v>0</v>
      </c>
      <c r="G451" s="62"/>
      <c r="H451" s="62"/>
      <c r="I451" s="60"/>
      <c r="J451" s="60"/>
      <c r="K451" s="64"/>
      <c r="L451" s="64"/>
      <c r="M451" s="25"/>
      <c r="N451" s="25"/>
    </row>
    <row r="452" spans="1:14">
      <c r="A452" s="3" t="s">
        <v>860</v>
      </c>
      <c r="B452" s="4" t="s">
        <v>861</v>
      </c>
      <c r="C452" s="5">
        <f t="shared" si="20"/>
        <v>0</v>
      </c>
      <c r="D452" s="5"/>
      <c r="E452" s="6">
        <f t="shared" si="18"/>
        <v>0</v>
      </c>
      <c r="F452" s="6">
        <f t="shared" si="19"/>
        <v>0</v>
      </c>
      <c r="G452" s="62"/>
      <c r="H452" s="62"/>
      <c r="I452" s="60"/>
      <c r="J452" s="60"/>
      <c r="K452" s="64"/>
      <c r="L452" s="64"/>
      <c r="M452" s="25"/>
      <c r="N452" s="25"/>
    </row>
    <row r="453" spans="1:14">
      <c r="A453" s="3" t="s">
        <v>862</v>
      </c>
      <c r="B453" s="4" t="s">
        <v>863</v>
      </c>
      <c r="C453" s="5">
        <f t="shared" si="20"/>
        <v>0</v>
      </c>
      <c r="D453" s="5"/>
      <c r="E453" s="6">
        <f t="shared" si="18"/>
        <v>0</v>
      </c>
      <c r="F453" s="6">
        <f t="shared" si="19"/>
        <v>0</v>
      </c>
      <c r="G453" s="62"/>
      <c r="H453" s="62"/>
      <c r="I453" s="60"/>
      <c r="J453" s="60"/>
      <c r="K453" s="64"/>
      <c r="L453" s="64"/>
      <c r="M453" s="25"/>
      <c r="N453" s="25"/>
    </row>
    <row r="454" spans="1:14">
      <c r="A454" s="3" t="s">
        <v>864</v>
      </c>
      <c r="B454" s="4" t="s">
        <v>865</v>
      </c>
      <c r="C454" s="5">
        <f t="shared" si="20"/>
        <v>0</v>
      </c>
      <c r="D454" s="5"/>
      <c r="E454" s="6">
        <f t="shared" si="18"/>
        <v>0</v>
      </c>
      <c r="F454" s="6">
        <f t="shared" si="19"/>
        <v>0</v>
      </c>
      <c r="G454" s="62"/>
      <c r="H454" s="62"/>
      <c r="I454" s="60"/>
      <c r="J454" s="60"/>
      <c r="K454" s="64"/>
      <c r="L454" s="64"/>
      <c r="M454" s="25"/>
      <c r="N454" s="25"/>
    </row>
    <row r="455" spans="1:14">
      <c r="A455" s="3" t="s">
        <v>866</v>
      </c>
      <c r="B455" s="4" t="s">
        <v>867</v>
      </c>
      <c r="C455" s="5">
        <f t="shared" si="20"/>
        <v>0</v>
      </c>
      <c r="D455" s="5"/>
      <c r="E455" s="6">
        <f t="shared" si="18"/>
        <v>0</v>
      </c>
      <c r="F455" s="6">
        <f t="shared" si="19"/>
        <v>0</v>
      </c>
      <c r="G455" s="62"/>
      <c r="H455" s="62"/>
      <c r="I455" s="60"/>
      <c r="J455" s="60"/>
      <c r="K455" s="64"/>
      <c r="L455" s="64"/>
      <c r="M455" s="25"/>
      <c r="N455" s="25"/>
    </row>
    <row r="456" spans="1:14">
      <c r="A456" s="3" t="s">
        <v>868</v>
      </c>
      <c r="B456" s="4" t="s">
        <v>869</v>
      </c>
      <c r="C456" s="5">
        <f t="shared" si="20"/>
        <v>0</v>
      </c>
      <c r="D456" s="5"/>
      <c r="E456" s="6">
        <f t="shared" si="18"/>
        <v>0</v>
      </c>
      <c r="F456" s="6">
        <f t="shared" si="19"/>
        <v>0</v>
      </c>
      <c r="G456" s="62"/>
      <c r="H456" s="62"/>
      <c r="I456" s="60"/>
      <c r="J456" s="60"/>
      <c r="K456" s="64"/>
      <c r="L456" s="64"/>
      <c r="M456" s="25"/>
      <c r="N456" s="25"/>
    </row>
    <row r="457" spans="1:14">
      <c r="A457" s="3" t="s">
        <v>870</v>
      </c>
      <c r="B457" s="4" t="s">
        <v>871</v>
      </c>
      <c r="C457" s="5">
        <f t="shared" si="20"/>
        <v>0</v>
      </c>
      <c r="D457" s="5"/>
      <c r="E457" s="6">
        <f t="shared" si="18"/>
        <v>0</v>
      </c>
      <c r="F457" s="6">
        <f t="shared" si="19"/>
        <v>0</v>
      </c>
      <c r="G457" s="62"/>
      <c r="H457" s="62"/>
      <c r="I457" s="60"/>
      <c r="J457" s="60"/>
      <c r="K457" s="64"/>
      <c r="L457" s="64"/>
      <c r="M457" s="25"/>
      <c r="N457" s="25"/>
    </row>
    <row r="458" spans="1:14">
      <c r="A458" s="3" t="s">
        <v>872</v>
      </c>
      <c r="B458" s="4" t="s">
        <v>873</v>
      </c>
      <c r="C458" s="5">
        <f t="shared" si="20"/>
        <v>0</v>
      </c>
      <c r="D458" s="5"/>
      <c r="E458" s="6">
        <f t="shared" si="18"/>
        <v>0</v>
      </c>
      <c r="F458" s="6">
        <f t="shared" si="19"/>
        <v>0</v>
      </c>
      <c r="G458" s="62"/>
      <c r="H458" s="62"/>
      <c r="I458" s="60"/>
      <c r="J458" s="60"/>
      <c r="K458" s="64"/>
      <c r="L458" s="64"/>
      <c r="M458" s="25"/>
      <c r="N458" s="25"/>
    </row>
    <row r="459" spans="1:14" s="67" customFormat="1" ht="15">
      <c r="A459" s="3" t="s">
        <v>874</v>
      </c>
      <c r="B459" s="4" t="s">
        <v>875</v>
      </c>
      <c r="C459" s="5">
        <f t="shared" si="20"/>
        <v>0</v>
      </c>
      <c r="D459" s="5"/>
      <c r="E459" s="6">
        <f t="shared" si="18"/>
        <v>0</v>
      </c>
      <c r="F459" s="6">
        <f t="shared" si="19"/>
        <v>0</v>
      </c>
      <c r="G459" s="62"/>
      <c r="H459" s="62"/>
      <c r="I459" s="60"/>
      <c r="J459" s="60"/>
      <c r="K459" s="64"/>
      <c r="L459" s="64"/>
      <c r="M459" s="25"/>
      <c r="N459" s="25"/>
    </row>
    <row r="460" spans="1:14">
      <c r="A460" s="3" t="s">
        <v>876</v>
      </c>
      <c r="B460" s="4" t="s">
        <v>877</v>
      </c>
      <c r="C460" s="5">
        <f t="shared" si="20"/>
        <v>0</v>
      </c>
      <c r="D460" s="5"/>
      <c r="E460" s="6">
        <f t="shared" si="18"/>
        <v>0</v>
      </c>
      <c r="F460" s="6">
        <f t="shared" si="19"/>
        <v>0</v>
      </c>
      <c r="G460" s="62"/>
      <c r="H460" s="62"/>
      <c r="I460" s="60"/>
      <c r="J460" s="60"/>
      <c r="K460" s="64"/>
      <c r="L460" s="64"/>
      <c r="M460" s="25"/>
      <c r="N460" s="25"/>
    </row>
    <row r="461" spans="1:14" s="1" customFormat="1">
      <c r="A461" s="3" t="s">
        <v>878</v>
      </c>
      <c r="B461" s="4" t="s">
        <v>879</v>
      </c>
      <c r="C461" s="5">
        <f t="shared" si="20"/>
        <v>0</v>
      </c>
      <c r="D461" s="5"/>
      <c r="E461" s="6">
        <f t="shared" si="18"/>
        <v>0</v>
      </c>
      <c r="F461" s="6">
        <f t="shared" si="19"/>
        <v>0</v>
      </c>
      <c r="G461" s="62"/>
      <c r="H461" s="62"/>
      <c r="I461" s="60"/>
      <c r="J461" s="60"/>
      <c r="K461" s="64"/>
      <c r="L461" s="64"/>
      <c r="M461" s="25"/>
      <c r="N461" s="25"/>
    </row>
    <row r="462" spans="1:14" ht="17.25">
      <c r="A462" s="13" t="s">
        <v>880</v>
      </c>
      <c r="B462" s="14"/>
      <c r="C462" s="15">
        <f>SUM(C13:C461)</f>
        <v>1680198.2000000011</v>
      </c>
      <c r="D462" s="15">
        <f>SUM(D13:D461)</f>
        <v>1680198.1999999993</v>
      </c>
      <c r="E462" s="16">
        <f>SUM(E13:E461)</f>
        <v>26114673.329999998</v>
      </c>
      <c r="F462" s="16">
        <f>SUM(F13:F461)</f>
        <v>26114673.330000002</v>
      </c>
      <c r="G462" s="71">
        <f>SUM(G13:G461)</f>
        <v>8855533.3599999994</v>
      </c>
      <c r="H462" s="71">
        <f t="shared" ref="H462:N462" si="21">SUM(H13:H461)</f>
        <v>8855533.3599999994</v>
      </c>
      <c r="I462" s="72">
        <f t="shared" si="21"/>
        <v>793935.27</v>
      </c>
      <c r="J462" s="72">
        <f t="shared" si="21"/>
        <v>793935.27</v>
      </c>
      <c r="K462" s="73">
        <f t="shared" si="21"/>
        <v>14356304.35</v>
      </c>
      <c r="L462" s="73">
        <f t="shared" si="21"/>
        <v>14356304.350000001</v>
      </c>
      <c r="M462" s="74">
        <f t="shared" si="21"/>
        <v>2108900.35</v>
      </c>
      <c r="N462" s="74">
        <f t="shared" si="21"/>
        <v>2108900.35</v>
      </c>
    </row>
    <row r="463" spans="1:14" hidden="1">
      <c r="A463" s="17" t="s">
        <v>881</v>
      </c>
      <c r="B463" s="18"/>
    </row>
    <row r="464" spans="1:14" hidden="1">
      <c r="A464" s="20" t="s">
        <v>882</v>
      </c>
      <c r="B464" s="21"/>
    </row>
    <row r="465" spans="1:14" hidden="1">
      <c r="A465" s="20" t="s">
        <v>883</v>
      </c>
      <c r="B465" s="21"/>
    </row>
    <row r="466" spans="1:14" hidden="1">
      <c r="A466" s="22" t="s">
        <v>884</v>
      </c>
      <c r="B466" s="21"/>
    </row>
    <row r="467" spans="1:14" hidden="1">
      <c r="A467" s="22" t="s">
        <v>885</v>
      </c>
      <c r="B467" s="21"/>
    </row>
    <row r="468" spans="1:14" hidden="1">
      <c r="A468" s="20" t="s">
        <v>886</v>
      </c>
      <c r="B468" s="21"/>
    </row>
    <row r="469" spans="1:14" hidden="1">
      <c r="A469" s="20" t="s">
        <v>887</v>
      </c>
      <c r="B469" s="21"/>
    </row>
    <row r="470" spans="1:14" hidden="1">
      <c r="A470" s="20" t="s">
        <v>888</v>
      </c>
      <c r="B470" s="21"/>
    </row>
    <row r="471" spans="1:14" hidden="1">
      <c r="A471" s="22" t="s">
        <v>889</v>
      </c>
      <c r="B471" s="21"/>
    </row>
    <row r="472" spans="1:14" hidden="1">
      <c r="A472" s="22" t="s">
        <v>890</v>
      </c>
      <c r="B472" s="21"/>
    </row>
    <row r="473" spans="1:14" hidden="1">
      <c r="A473" s="20" t="s">
        <v>891</v>
      </c>
      <c r="B473" s="21"/>
    </row>
    <row r="474" spans="1:14" hidden="1">
      <c r="A474" s="20" t="s">
        <v>892</v>
      </c>
      <c r="B474" s="21"/>
    </row>
    <row r="475" spans="1:14">
      <c r="A475" s="23"/>
      <c r="B475" s="24"/>
      <c r="D475" s="19">
        <f>D462-C462</f>
        <v>-1.862645149230957E-9</v>
      </c>
      <c r="F475" s="19">
        <f>F462-E462</f>
        <v>0</v>
      </c>
      <c r="H475" s="19">
        <f>H462-G462</f>
        <v>0</v>
      </c>
      <c r="J475" s="19">
        <f>J462-I462</f>
        <v>0</v>
      </c>
      <c r="L475" s="19">
        <f>L462-K462</f>
        <v>0</v>
      </c>
      <c r="N475" s="19">
        <f>N462-M462</f>
        <v>0</v>
      </c>
    </row>
    <row r="476" spans="1:14">
      <c r="A476" s="23"/>
      <c r="B476" s="24"/>
    </row>
    <row r="477" spans="1:14">
      <c r="A477" s="23"/>
      <c r="B477" s="24"/>
    </row>
    <row r="478" spans="1:14">
      <c r="A478" s="23"/>
      <c r="B478" s="75" t="s">
        <v>893</v>
      </c>
    </row>
    <row r="479" spans="1:14">
      <c r="A479" s="23"/>
      <c r="B479" s="24"/>
    </row>
    <row r="480" spans="1:14">
      <c r="A480" s="23"/>
      <c r="B480" s="24"/>
    </row>
    <row r="481" spans="1:2">
      <c r="A481" s="23"/>
      <c r="B481" s="24"/>
    </row>
    <row r="482" spans="1:2">
      <c r="A482" s="23"/>
      <c r="B482" s="24"/>
    </row>
    <row r="483" spans="1:2">
      <c r="A483" s="23"/>
      <c r="B483" s="24"/>
    </row>
  </sheetData>
  <mergeCells count="28">
    <mergeCell ref="M9:N10"/>
    <mergeCell ref="N11:N12"/>
    <mergeCell ref="M11:M12"/>
    <mergeCell ref="E9:F10"/>
    <mergeCell ref="I9:J10"/>
    <mergeCell ref="I11:I12"/>
    <mergeCell ref="J11:J12"/>
    <mergeCell ref="K9:L10"/>
    <mergeCell ref="L11:L12"/>
    <mergeCell ref="K11:K12"/>
    <mergeCell ref="G9:H10"/>
    <mergeCell ref="G11:G12"/>
    <mergeCell ref="H11:H12"/>
    <mergeCell ref="F11:F12"/>
    <mergeCell ref="A11:A12"/>
    <mergeCell ref="B11:B12"/>
    <mergeCell ref="C11:C12"/>
    <mergeCell ref="D11:D12"/>
    <mergeCell ref="E11:E12"/>
    <mergeCell ref="A7:D7"/>
    <mergeCell ref="A8:D8"/>
    <mergeCell ref="C10:D10"/>
    <mergeCell ref="A1:D1"/>
    <mergeCell ref="A2:D2"/>
    <mergeCell ref="A3:D3"/>
    <mergeCell ref="A4:D4"/>
    <mergeCell ref="A5:D5"/>
    <mergeCell ref="A6:D6"/>
  </mergeCells>
  <printOptions horizontalCentered="1"/>
  <pageMargins left="1" right="1" top="1" bottom="1" header="0.5" footer="0.5"/>
  <pageSetup paperSize="149" scale="85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B050"/>
  </sheetPr>
  <dimension ref="A1:N483"/>
  <sheetViews>
    <sheetView workbookViewId="0">
      <selection sqref="A1:D1"/>
    </sheetView>
  </sheetViews>
  <sheetFormatPr defaultRowHeight="14.25"/>
  <cols>
    <col min="1" max="1" width="49.7109375" style="19" customWidth="1"/>
    <col min="2" max="2" width="9.7109375" style="69" customWidth="1"/>
    <col min="3" max="6" width="18.7109375" style="19" customWidth="1"/>
    <col min="7" max="7" width="20" style="19" customWidth="1"/>
    <col min="8" max="8" width="18.7109375" style="19" customWidth="1"/>
    <col min="9" max="9" width="20.28515625" style="19" bestFit="1" customWidth="1"/>
    <col min="10" max="10" width="18.7109375" style="19" customWidth="1"/>
    <col min="11" max="11" width="20" style="19" customWidth="1"/>
    <col min="12" max="12" width="18.7109375" style="19" customWidth="1"/>
    <col min="13" max="13" width="20.28515625" style="19" bestFit="1" customWidth="1"/>
    <col min="14" max="14" width="18.7109375" style="19" customWidth="1"/>
    <col min="15" max="16384" width="9.140625" style="19"/>
  </cols>
  <sheetData>
    <row r="1" spans="1:14">
      <c r="A1" s="238" t="s">
        <v>0</v>
      </c>
      <c r="B1" s="238"/>
      <c r="C1" s="238"/>
      <c r="D1" s="238"/>
    </row>
    <row r="2" spans="1:14">
      <c r="A2" s="238" t="s">
        <v>1</v>
      </c>
      <c r="B2" s="238"/>
      <c r="C2" s="238"/>
      <c r="D2" s="238"/>
    </row>
    <row r="3" spans="1:14">
      <c r="A3" s="238" t="s">
        <v>2</v>
      </c>
      <c r="B3" s="238"/>
      <c r="C3" s="238"/>
      <c r="D3" s="238"/>
    </row>
    <row r="4" spans="1:14">
      <c r="A4" s="238"/>
      <c r="B4" s="238"/>
      <c r="C4" s="238"/>
      <c r="D4" s="238"/>
    </row>
    <row r="5" spans="1:14" ht="15">
      <c r="A5" s="238" t="s">
        <v>3</v>
      </c>
      <c r="B5" s="239"/>
      <c r="C5" s="238"/>
      <c r="D5" s="238"/>
    </row>
    <row r="6" spans="1:14" ht="15">
      <c r="A6" s="238" t="s">
        <v>4</v>
      </c>
      <c r="B6" s="239"/>
      <c r="C6" s="238"/>
      <c r="D6" s="238"/>
    </row>
    <row r="7" spans="1:14">
      <c r="A7" s="238" t="s">
        <v>1008</v>
      </c>
      <c r="B7" s="240"/>
      <c r="C7" s="238"/>
      <c r="D7" s="238"/>
    </row>
    <row r="8" spans="1:14">
      <c r="A8" s="238"/>
      <c r="B8" s="240"/>
      <c r="C8" s="238"/>
      <c r="D8" s="238"/>
    </row>
    <row r="9" spans="1:14" s="67" customFormat="1" ht="15">
      <c r="A9" s="66"/>
      <c r="B9" s="66"/>
      <c r="E9" s="250" t="str">
        <f>A7</f>
        <v>As of July 31, 2011</v>
      </c>
      <c r="F9" s="251"/>
      <c r="G9" s="261" t="s">
        <v>10</v>
      </c>
      <c r="H9" s="262"/>
      <c r="I9" s="254" t="s">
        <v>1009</v>
      </c>
      <c r="J9" s="255"/>
      <c r="K9" s="265" t="s">
        <v>1010</v>
      </c>
      <c r="L9" s="265"/>
      <c r="M9" s="267" t="s">
        <v>11</v>
      </c>
      <c r="N9" s="267"/>
    </row>
    <row r="10" spans="1:14" ht="14.25" customHeight="1">
      <c r="A10" s="68"/>
      <c r="C10" s="241"/>
      <c r="D10" s="242"/>
      <c r="E10" s="252"/>
      <c r="F10" s="253"/>
      <c r="G10" s="263"/>
      <c r="H10" s="264"/>
      <c r="I10" s="256"/>
      <c r="J10" s="257"/>
      <c r="K10" s="265"/>
      <c r="L10" s="265"/>
      <c r="M10" s="267"/>
      <c r="N10" s="267"/>
    </row>
    <row r="11" spans="1:14" ht="15" customHeight="1">
      <c r="A11" s="243" t="s">
        <v>6</v>
      </c>
      <c r="B11" s="245" t="s">
        <v>7</v>
      </c>
      <c r="C11" s="243" t="s">
        <v>8</v>
      </c>
      <c r="D11" s="243" t="s">
        <v>9</v>
      </c>
      <c r="E11" s="247" t="s">
        <v>8</v>
      </c>
      <c r="F11" s="259" t="s">
        <v>9</v>
      </c>
      <c r="G11" s="249" t="s">
        <v>8</v>
      </c>
      <c r="H11" s="249" t="s">
        <v>9</v>
      </c>
      <c r="I11" s="258" t="s">
        <v>8</v>
      </c>
      <c r="J11" s="258" t="s">
        <v>9</v>
      </c>
      <c r="K11" s="266" t="s">
        <v>8</v>
      </c>
      <c r="L11" s="266" t="s">
        <v>9</v>
      </c>
      <c r="M11" s="268" t="s">
        <v>8</v>
      </c>
      <c r="N11" s="268" t="s">
        <v>9</v>
      </c>
    </row>
    <row r="12" spans="1:14">
      <c r="A12" s="244"/>
      <c r="B12" s="246"/>
      <c r="C12" s="244"/>
      <c r="D12" s="244"/>
      <c r="E12" s="248"/>
      <c r="F12" s="260"/>
      <c r="G12" s="249"/>
      <c r="H12" s="249"/>
      <c r="I12" s="258"/>
      <c r="J12" s="258"/>
      <c r="K12" s="266"/>
      <c r="L12" s="266"/>
      <c r="M12" s="268"/>
      <c r="N12" s="268"/>
    </row>
    <row r="13" spans="1:14">
      <c r="A13" s="3" t="s">
        <v>12</v>
      </c>
      <c r="B13" s="4">
        <v>101</v>
      </c>
      <c r="C13" s="5">
        <f>E13-F13</f>
        <v>0</v>
      </c>
      <c r="D13" s="5"/>
      <c r="E13" s="6">
        <f>SUM(G13,I13,K13,M13)</f>
        <v>5645314.4500000002</v>
      </c>
      <c r="F13" s="6">
        <f>SUM(H13,J13,L13,N13)</f>
        <v>5645314.4500000002</v>
      </c>
      <c r="G13" s="62"/>
      <c r="H13" s="62"/>
      <c r="I13" s="60"/>
      <c r="J13" s="60"/>
      <c r="K13" s="64">
        <v>5645314.4500000002</v>
      </c>
      <c r="L13" s="64">
        <v>5645314.4500000002</v>
      </c>
      <c r="M13" s="25"/>
      <c r="N13" s="25"/>
    </row>
    <row r="14" spans="1:14">
      <c r="A14" s="3" t="s">
        <v>13</v>
      </c>
      <c r="B14" s="4" t="s">
        <v>14</v>
      </c>
      <c r="C14" s="5">
        <f>E14-F14</f>
        <v>0</v>
      </c>
      <c r="D14" s="5"/>
      <c r="E14" s="6">
        <f t="shared" ref="E14:E77" si="0">SUM(G14,I14,K14,M14)</f>
        <v>0</v>
      </c>
      <c r="F14" s="6">
        <f t="shared" ref="F14:F77" si="1">SUM(H14,J14,L14,N14)</f>
        <v>0</v>
      </c>
      <c r="G14" s="62"/>
      <c r="H14" s="62"/>
      <c r="I14" s="60"/>
      <c r="J14" s="60"/>
      <c r="K14" s="64"/>
      <c r="L14" s="64"/>
      <c r="M14" s="25"/>
      <c r="N14" s="25"/>
    </row>
    <row r="15" spans="1:14">
      <c r="A15" s="3" t="s">
        <v>15</v>
      </c>
      <c r="B15" s="4" t="s">
        <v>16</v>
      </c>
      <c r="C15" s="5">
        <f>E15-F15</f>
        <v>0</v>
      </c>
      <c r="D15" s="5"/>
      <c r="E15" s="6">
        <f t="shared" si="0"/>
        <v>0</v>
      </c>
      <c r="F15" s="6">
        <f t="shared" si="1"/>
        <v>0</v>
      </c>
      <c r="G15" s="63"/>
      <c r="H15" s="63"/>
      <c r="I15" s="61"/>
      <c r="J15" s="61"/>
      <c r="K15" s="65"/>
      <c r="L15" s="65"/>
      <c r="M15" s="26"/>
      <c r="N15" s="26"/>
    </row>
    <row r="16" spans="1:14">
      <c r="A16" s="3" t="s">
        <v>17</v>
      </c>
      <c r="B16" s="4" t="s">
        <v>18</v>
      </c>
      <c r="C16" s="5">
        <f>E16-F16</f>
        <v>0</v>
      </c>
      <c r="D16" s="5"/>
      <c r="E16" s="6">
        <f t="shared" si="0"/>
        <v>0</v>
      </c>
      <c r="F16" s="6">
        <f t="shared" si="1"/>
        <v>0</v>
      </c>
      <c r="G16" s="62"/>
      <c r="H16" s="62"/>
      <c r="I16" s="60"/>
      <c r="J16" s="60"/>
      <c r="K16" s="64"/>
      <c r="L16" s="64"/>
      <c r="M16" s="25"/>
      <c r="N16" s="25"/>
    </row>
    <row r="17" spans="1:14">
      <c r="A17" s="3" t="s">
        <v>19</v>
      </c>
      <c r="B17" s="4" t="s">
        <v>20</v>
      </c>
      <c r="C17" s="7">
        <f>E17-F17</f>
        <v>843.29999999981374</v>
      </c>
      <c r="D17" s="7"/>
      <c r="E17" s="6">
        <f t="shared" si="0"/>
        <v>2662222.36</v>
      </c>
      <c r="F17" s="6">
        <f t="shared" si="1"/>
        <v>2661379.06</v>
      </c>
      <c r="G17" s="62">
        <v>2662222.06</v>
      </c>
      <c r="H17" s="62"/>
      <c r="I17" s="60"/>
      <c r="J17" s="60">
        <v>2661379.06</v>
      </c>
      <c r="K17" s="64"/>
      <c r="L17" s="64"/>
      <c r="M17" s="25">
        <v>0.3</v>
      </c>
      <c r="N17" s="25"/>
    </row>
    <row r="18" spans="1:14">
      <c r="A18" s="3" t="s">
        <v>21</v>
      </c>
      <c r="B18" s="4">
        <v>110</v>
      </c>
      <c r="C18" s="7">
        <f t="shared" ref="C18:C80" si="2">E18-F18</f>
        <v>0</v>
      </c>
      <c r="D18" s="7"/>
      <c r="E18" s="6">
        <f t="shared" si="0"/>
        <v>0</v>
      </c>
      <c r="F18" s="6">
        <f t="shared" si="1"/>
        <v>0</v>
      </c>
      <c r="G18" s="62"/>
      <c r="H18" s="62"/>
      <c r="I18" s="60"/>
      <c r="J18" s="60"/>
      <c r="K18" s="64"/>
      <c r="L18" s="64"/>
      <c r="M18" s="25"/>
      <c r="N18" s="25"/>
    </row>
    <row r="19" spans="1:14">
      <c r="A19" s="8" t="s">
        <v>22</v>
      </c>
      <c r="B19" s="4">
        <v>111</v>
      </c>
      <c r="C19" s="7">
        <f t="shared" si="2"/>
        <v>-5459228.5999999987</v>
      </c>
      <c r="D19" s="7"/>
      <c r="E19" s="6">
        <f t="shared" si="0"/>
        <v>5911904.6000000006</v>
      </c>
      <c r="F19" s="6">
        <f t="shared" si="1"/>
        <v>11371133.199999999</v>
      </c>
      <c r="G19" s="62"/>
      <c r="H19" s="62">
        <v>11337172.75</v>
      </c>
      <c r="I19" s="60"/>
      <c r="J19" s="60"/>
      <c r="K19" s="64">
        <v>5678280.4500000002</v>
      </c>
      <c r="L19" s="64"/>
      <c r="M19" s="25">
        <v>233624.15</v>
      </c>
      <c r="N19" s="25">
        <v>33960.449999999997</v>
      </c>
    </row>
    <row r="20" spans="1:14">
      <c r="A20" s="8" t="s">
        <v>23</v>
      </c>
      <c r="B20" s="4">
        <v>112</v>
      </c>
      <c r="C20" s="7">
        <f t="shared" si="2"/>
        <v>0</v>
      </c>
      <c r="D20" s="7"/>
      <c r="E20" s="6">
        <f t="shared" si="0"/>
        <v>0</v>
      </c>
      <c r="F20" s="6">
        <f t="shared" si="1"/>
        <v>0</v>
      </c>
      <c r="G20" s="62"/>
      <c r="H20" s="62"/>
      <c r="I20" s="60"/>
      <c r="J20" s="60"/>
      <c r="K20" s="64"/>
      <c r="L20" s="64"/>
      <c r="M20" s="25"/>
      <c r="N20" s="25"/>
    </row>
    <row r="21" spans="1:14">
      <c r="A21" s="3" t="s">
        <v>24</v>
      </c>
      <c r="B21" s="4">
        <v>113</v>
      </c>
      <c r="C21" s="7">
        <f t="shared" si="2"/>
        <v>0</v>
      </c>
      <c r="D21" s="7"/>
      <c r="E21" s="6">
        <f t="shared" si="0"/>
        <v>0</v>
      </c>
      <c r="F21" s="6">
        <f t="shared" si="1"/>
        <v>0</v>
      </c>
      <c r="G21" s="62"/>
      <c r="H21" s="62"/>
      <c r="I21" s="60"/>
      <c r="J21" s="60"/>
      <c r="K21" s="64"/>
      <c r="L21" s="64"/>
      <c r="M21" s="25"/>
      <c r="N21" s="25"/>
    </row>
    <row r="22" spans="1:14">
      <c r="A22" s="3" t="s">
        <v>21</v>
      </c>
      <c r="B22" s="4">
        <v>114</v>
      </c>
      <c r="C22" s="7">
        <f t="shared" si="2"/>
        <v>0</v>
      </c>
      <c r="D22" s="7"/>
      <c r="E22" s="6">
        <f t="shared" si="0"/>
        <v>0</v>
      </c>
      <c r="F22" s="6">
        <f t="shared" si="1"/>
        <v>0</v>
      </c>
      <c r="G22" s="62"/>
      <c r="H22" s="62"/>
      <c r="I22" s="60"/>
      <c r="J22" s="60"/>
      <c r="K22" s="64"/>
      <c r="L22" s="64"/>
      <c r="M22" s="25"/>
      <c r="N22" s="25"/>
    </row>
    <row r="23" spans="1:14">
      <c r="A23" s="3" t="s">
        <v>25</v>
      </c>
      <c r="B23" s="4">
        <v>115</v>
      </c>
      <c r="C23" s="7">
        <f t="shared" si="2"/>
        <v>0</v>
      </c>
      <c r="D23" s="7"/>
      <c r="E23" s="6">
        <f t="shared" si="0"/>
        <v>0</v>
      </c>
      <c r="F23" s="6">
        <f t="shared" si="1"/>
        <v>0</v>
      </c>
      <c r="G23" s="62"/>
      <c r="H23" s="62"/>
      <c r="I23" s="60"/>
      <c r="J23" s="60"/>
      <c r="K23" s="64"/>
      <c r="L23" s="64"/>
      <c r="M23" s="25"/>
      <c r="N23" s="25"/>
    </row>
    <row r="24" spans="1:14">
      <c r="A24" s="3" t="s">
        <v>26</v>
      </c>
      <c r="B24" s="4" t="s">
        <v>27</v>
      </c>
      <c r="C24" s="7">
        <f t="shared" si="2"/>
        <v>0</v>
      </c>
      <c r="D24" s="7"/>
      <c r="E24" s="6">
        <f t="shared" si="0"/>
        <v>0</v>
      </c>
      <c r="F24" s="6">
        <f t="shared" si="1"/>
        <v>0</v>
      </c>
      <c r="G24" s="62"/>
      <c r="H24" s="62"/>
      <c r="I24" s="60"/>
      <c r="J24" s="60"/>
      <c r="K24" s="64"/>
      <c r="L24" s="64"/>
      <c r="M24" s="25"/>
      <c r="N24" s="25"/>
    </row>
    <row r="25" spans="1:14">
      <c r="A25" s="3" t="s">
        <v>28</v>
      </c>
      <c r="B25" s="4" t="s">
        <v>29</v>
      </c>
      <c r="C25" s="7">
        <f t="shared" si="2"/>
        <v>0</v>
      </c>
      <c r="D25" s="7"/>
      <c r="E25" s="6">
        <f t="shared" si="0"/>
        <v>0</v>
      </c>
      <c r="F25" s="6">
        <f t="shared" si="1"/>
        <v>0</v>
      </c>
      <c r="G25" s="62"/>
      <c r="H25" s="62"/>
      <c r="I25" s="60"/>
      <c r="J25" s="60"/>
      <c r="K25" s="64"/>
      <c r="L25" s="64"/>
      <c r="M25" s="25"/>
      <c r="N25" s="25"/>
    </row>
    <row r="26" spans="1:14">
      <c r="A26" s="3" t="s">
        <v>30</v>
      </c>
      <c r="B26" s="4" t="s">
        <v>31</v>
      </c>
      <c r="C26" s="7">
        <f t="shared" si="2"/>
        <v>0</v>
      </c>
      <c r="D26" s="7"/>
      <c r="E26" s="6">
        <f t="shared" si="0"/>
        <v>0</v>
      </c>
      <c r="F26" s="6">
        <f t="shared" si="1"/>
        <v>0</v>
      </c>
      <c r="G26" s="62"/>
      <c r="H26" s="62"/>
      <c r="I26" s="60"/>
      <c r="J26" s="60"/>
      <c r="K26" s="64"/>
      <c r="L26" s="64"/>
      <c r="M26" s="25"/>
      <c r="N26" s="25"/>
    </row>
    <row r="27" spans="1:14">
      <c r="A27" s="3" t="s">
        <v>32</v>
      </c>
      <c r="B27" s="4" t="s">
        <v>33</v>
      </c>
      <c r="C27" s="7">
        <f t="shared" si="2"/>
        <v>0</v>
      </c>
      <c r="D27" s="7"/>
      <c r="E27" s="6">
        <f t="shared" si="0"/>
        <v>0</v>
      </c>
      <c r="F27" s="6">
        <f t="shared" si="1"/>
        <v>0</v>
      </c>
      <c r="G27" s="62"/>
      <c r="H27" s="62"/>
      <c r="I27" s="60"/>
      <c r="J27" s="60"/>
      <c r="K27" s="64"/>
      <c r="L27" s="64"/>
      <c r="M27" s="25"/>
      <c r="N27" s="25"/>
    </row>
    <row r="28" spans="1:14">
      <c r="A28" s="3" t="s">
        <v>34</v>
      </c>
      <c r="B28" s="4" t="s">
        <v>35</v>
      </c>
      <c r="C28" s="7">
        <f t="shared" si="2"/>
        <v>0</v>
      </c>
      <c r="D28" s="7"/>
      <c r="E28" s="6">
        <f t="shared" si="0"/>
        <v>0</v>
      </c>
      <c r="F28" s="6">
        <f t="shared" si="1"/>
        <v>0</v>
      </c>
      <c r="G28" s="62"/>
      <c r="H28" s="62"/>
      <c r="I28" s="60"/>
      <c r="J28" s="60"/>
      <c r="K28" s="64"/>
      <c r="L28" s="64"/>
      <c r="M28" s="25"/>
      <c r="N28" s="25"/>
    </row>
    <row r="29" spans="1:14">
      <c r="A29" s="3" t="s">
        <v>36</v>
      </c>
      <c r="B29" s="4" t="s">
        <v>37</v>
      </c>
      <c r="C29" s="7">
        <f t="shared" si="2"/>
        <v>0</v>
      </c>
      <c r="D29" s="7"/>
      <c r="E29" s="6">
        <f t="shared" si="0"/>
        <v>0</v>
      </c>
      <c r="F29" s="6">
        <f t="shared" si="1"/>
        <v>0</v>
      </c>
      <c r="G29" s="62"/>
      <c r="H29" s="62"/>
      <c r="I29" s="60"/>
      <c r="J29" s="60"/>
      <c r="K29" s="64"/>
      <c r="L29" s="64"/>
      <c r="M29" s="25"/>
      <c r="N29" s="25"/>
    </row>
    <row r="30" spans="1:14">
      <c r="A30" s="3" t="s">
        <v>38</v>
      </c>
      <c r="B30" s="4" t="s">
        <v>39</v>
      </c>
      <c r="C30" s="7">
        <f t="shared" si="2"/>
        <v>0</v>
      </c>
      <c r="D30" s="7"/>
      <c r="E30" s="6">
        <f t="shared" si="0"/>
        <v>0</v>
      </c>
      <c r="F30" s="6">
        <f t="shared" si="1"/>
        <v>0</v>
      </c>
      <c r="G30" s="62"/>
      <c r="H30" s="62"/>
      <c r="I30" s="60"/>
      <c r="J30" s="60"/>
      <c r="K30" s="64"/>
      <c r="L30" s="64"/>
      <c r="M30" s="25"/>
      <c r="N30" s="25"/>
    </row>
    <row r="31" spans="1:14">
      <c r="A31" s="3" t="s">
        <v>40</v>
      </c>
      <c r="B31" s="4" t="s">
        <v>41</v>
      </c>
      <c r="C31" s="7">
        <f t="shared" si="2"/>
        <v>0</v>
      </c>
      <c r="D31" s="7"/>
      <c r="E31" s="6">
        <f t="shared" si="0"/>
        <v>0</v>
      </c>
      <c r="F31" s="6">
        <f t="shared" si="1"/>
        <v>0</v>
      </c>
      <c r="G31" s="62"/>
      <c r="H31" s="62"/>
      <c r="I31" s="60"/>
      <c r="J31" s="60"/>
      <c r="K31" s="64"/>
      <c r="L31" s="64"/>
      <c r="M31" s="25"/>
      <c r="N31" s="25"/>
    </row>
    <row r="32" spans="1:14">
      <c r="A32" s="3" t="s">
        <v>42</v>
      </c>
      <c r="B32" s="4" t="s">
        <v>43</v>
      </c>
      <c r="C32" s="7">
        <f t="shared" si="2"/>
        <v>0</v>
      </c>
      <c r="D32" s="7"/>
      <c r="E32" s="6">
        <f t="shared" si="0"/>
        <v>0</v>
      </c>
      <c r="F32" s="6">
        <f t="shared" si="1"/>
        <v>0</v>
      </c>
      <c r="G32" s="62"/>
      <c r="H32" s="62"/>
      <c r="I32" s="60"/>
      <c r="J32" s="60"/>
      <c r="K32" s="64"/>
      <c r="L32" s="64"/>
      <c r="M32" s="25"/>
      <c r="N32" s="25"/>
    </row>
    <row r="33" spans="1:14">
      <c r="A33" s="3" t="s">
        <v>44</v>
      </c>
      <c r="B33" s="4" t="s">
        <v>45</v>
      </c>
      <c r="C33" s="7">
        <f t="shared" si="2"/>
        <v>0</v>
      </c>
      <c r="D33" s="7"/>
      <c r="E33" s="6">
        <f t="shared" si="0"/>
        <v>0</v>
      </c>
      <c r="F33" s="6">
        <f t="shared" si="1"/>
        <v>0</v>
      </c>
      <c r="G33" s="62"/>
      <c r="H33" s="62"/>
      <c r="I33" s="60"/>
      <c r="J33" s="60"/>
      <c r="K33" s="64"/>
      <c r="L33" s="64"/>
      <c r="M33" s="25"/>
      <c r="N33" s="25"/>
    </row>
    <row r="34" spans="1:14">
      <c r="A34" s="3" t="s">
        <v>46</v>
      </c>
      <c r="B34" s="4" t="s">
        <v>47</v>
      </c>
      <c r="C34" s="7">
        <f t="shared" si="2"/>
        <v>0</v>
      </c>
      <c r="D34" s="7"/>
      <c r="E34" s="6">
        <f t="shared" si="0"/>
        <v>0</v>
      </c>
      <c r="F34" s="6">
        <f t="shared" si="1"/>
        <v>0</v>
      </c>
      <c r="G34" s="62"/>
      <c r="H34" s="62"/>
      <c r="I34" s="60"/>
      <c r="J34" s="60"/>
      <c r="K34" s="64"/>
      <c r="L34" s="64"/>
      <c r="M34" s="25"/>
      <c r="N34" s="25"/>
    </row>
    <row r="35" spans="1:14">
      <c r="A35" s="3" t="s">
        <v>48</v>
      </c>
      <c r="B35" s="4" t="s">
        <v>49</v>
      </c>
      <c r="C35" s="7">
        <f t="shared" si="2"/>
        <v>0</v>
      </c>
      <c r="D35" s="7"/>
      <c r="E35" s="6">
        <f t="shared" si="0"/>
        <v>0</v>
      </c>
      <c r="F35" s="6">
        <f t="shared" si="1"/>
        <v>0</v>
      </c>
      <c r="G35" s="62"/>
      <c r="H35" s="62"/>
      <c r="I35" s="60"/>
      <c r="J35" s="60"/>
      <c r="K35" s="64"/>
      <c r="L35" s="64"/>
      <c r="M35" s="25"/>
      <c r="N35" s="25"/>
    </row>
    <row r="36" spans="1:14">
      <c r="A36" s="3" t="s">
        <v>50</v>
      </c>
      <c r="B36" s="4" t="s">
        <v>51</v>
      </c>
      <c r="C36" s="7">
        <f t="shared" si="2"/>
        <v>0</v>
      </c>
      <c r="D36" s="7"/>
      <c r="E36" s="6">
        <f t="shared" si="0"/>
        <v>0</v>
      </c>
      <c r="F36" s="6">
        <f t="shared" si="1"/>
        <v>0</v>
      </c>
      <c r="G36" s="62"/>
      <c r="H36" s="62"/>
      <c r="I36" s="60"/>
      <c r="J36" s="60"/>
      <c r="K36" s="64"/>
      <c r="L36" s="64"/>
      <c r="M36" s="25"/>
      <c r="N36" s="25"/>
    </row>
    <row r="37" spans="1:14">
      <c r="A37" s="3" t="s">
        <v>52</v>
      </c>
      <c r="B37" s="4" t="s">
        <v>53</v>
      </c>
      <c r="C37" s="7">
        <f t="shared" si="2"/>
        <v>0</v>
      </c>
      <c r="D37" s="7"/>
      <c r="E37" s="6">
        <f t="shared" si="0"/>
        <v>0</v>
      </c>
      <c r="F37" s="6">
        <f t="shared" si="1"/>
        <v>0</v>
      </c>
      <c r="G37" s="62"/>
      <c r="H37" s="62"/>
      <c r="I37" s="60"/>
      <c r="J37" s="60"/>
      <c r="K37" s="64"/>
      <c r="L37" s="64"/>
      <c r="M37" s="25"/>
      <c r="N37" s="25"/>
    </row>
    <row r="38" spans="1:14">
      <c r="A38" s="3" t="s">
        <v>54</v>
      </c>
      <c r="B38" s="9">
        <v>138</v>
      </c>
      <c r="C38" s="7">
        <f t="shared" si="2"/>
        <v>0</v>
      </c>
      <c r="D38" s="7"/>
      <c r="E38" s="6">
        <f t="shared" si="0"/>
        <v>0</v>
      </c>
      <c r="F38" s="6">
        <f t="shared" si="1"/>
        <v>0</v>
      </c>
      <c r="G38" s="62"/>
      <c r="H38" s="62"/>
      <c r="I38" s="60"/>
      <c r="J38" s="60"/>
      <c r="K38" s="64"/>
      <c r="L38" s="64"/>
      <c r="M38" s="25"/>
      <c r="N38" s="25"/>
    </row>
    <row r="39" spans="1:14">
      <c r="A39" s="3" t="s">
        <v>55</v>
      </c>
      <c r="B39" s="4" t="s">
        <v>56</v>
      </c>
      <c r="C39" s="7">
        <f t="shared" si="2"/>
        <v>0</v>
      </c>
      <c r="D39" s="7"/>
      <c r="E39" s="6">
        <f t="shared" si="0"/>
        <v>0</v>
      </c>
      <c r="F39" s="6">
        <f t="shared" si="1"/>
        <v>0</v>
      </c>
      <c r="G39" s="62"/>
      <c r="H39" s="62"/>
      <c r="I39" s="60"/>
      <c r="J39" s="60"/>
      <c r="K39" s="64"/>
      <c r="L39" s="64"/>
      <c r="M39" s="25"/>
      <c r="N39" s="25"/>
    </row>
    <row r="40" spans="1:14">
      <c r="A40" s="3" t="s">
        <v>57</v>
      </c>
      <c r="B40" s="9">
        <v>144</v>
      </c>
      <c r="C40" s="7">
        <f t="shared" si="2"/>
        <v>0</v>
      </c>
      <c r="D40" s="7"/>
      <c r="E40" s="6">
        <f t="shared" si="0"/>
        <v>0</v>
      </c>
      <c r="F40" s="6">
        <f t="shared" si="1"/>
        <v>0</v>
      </c>
      <c r="G40" s="62"/>
      <c r="H40" s="62"/>
      <c r="I40" s="60"/>
      <c r="J40" s="60"/>
      <c r="K40" s="64"/>
      <c r="L40" s="64"/>
      <c r="M40" s="25"/>
      <c r="N40" s="25"/>
    </row>
    <row r="41" spans="1:14">
      <c r="A41" s="3" t="s">
        <v>58</v>
      </c>
      <c r="B41" s="4" t="s">
        <v>59</v>
      </c>
      <c r="C41" s="7">
        <f t="shared" si="2"/>
        <v>0</v>
      </c>
      <c r="D41" s="7"/>
      <c r="E41" s="6">
        <f t="shared" si="0"/>
        <v>0</v>
      </c>
      <c r="F41" s="6">
        <f t="shared" si="1"/>
        <v>0</v>
      </c>
      <c r="G41" s="62"/>
      <c r="H41" s="62"/>
      <c r="I41" s="60"/>
      <c r="J41" s="60"/>
      <c r="K41" s="64"/>
      <c r="L41" s="64"/>
      <c r="M41" s="25"/>
      <c r="N41" s="25"/>
    </row>
    <row r="42" spans="1:14">
      <c r="A42" s="3" t="s">
        <v>60</v>
      </c>
      <c r="B42" s="4" t="s">
        <v>61</v>
      </c>
      <c r="C42" s="7">
        <f t="shared" si="2"/>
        <v>22500</v>
      </c>
      <c r="D42" s="7"/>
      <c r="E42" s="6">
        <f t="shared" si="0"/>
        <v>22500</v>
      </c>
      <c r="F42" s="6">
        <f t="shared" si="1"/>
        <v>0</v>
      </c>
      <c r="G42" s="62">
        <v>22500</v>
      </c>
      <c r="H42" s="62"/>
      <c r="I42" s="60"/>
      <c r="J42" s="60"/>
      <c r="K42" s="64"/>
      <c r="L42" s="64"/>
      <c r="M42" s="25"/>
      <c r="N42" s="25"/>
    </row>
    <row r="43" spans="1:14">
      <c r="A43" s="3" t="s">
        <v>62</v>
      </c>
      <c r="B43" s="4" t="s">
        <v>63</v>
      </c>
      <c r="C43" s="7">
        <f t="shared" si="2"/>
        <v>0</v>
      </c>
      <c r="D43" s="7"/>
      <c r="E43" s="6">
        <f t="shared" si="0"/>
        <v>0</v>
      </c>
      <c r="F43" s="6">
        <f t="shared" si="1"/>
        <v>0</v>
      </c>
      <c r="G43" s="62"/>
      <c r="H43" s="62"/>
      <c r="I43" s="60"/>
      <c r="J43" s="60"/>
      <c r="K43" s="64"/>
      <c r="L43" s="64"/>
      <c r="M43" s="25"/>
      <c r="N43" s="25"/>
    </row>
    <row r="44" spans="1:14">
      <c r="A44" s="3" t="s">
        <v>64</v>
      </c>
      <c r="B44" s="4" t="s">
        <v>65</v>
      </c>
      <c r="C44" s="7">
        <f t="shared" si="2"/>
        <v>0</v>
      </c>
      <c r="D44" s="7"/>
      <c r="E44" s="6">
        <f t="shared" si="0"/>
        <v>0</v>
      </c>
      <c r="F44" s="6">
        <f t="shared" si="1"/>
        <v>0</v>
      </c>
      <c r="G44" s="62"/>
      <c r="H44" s="62"/>
      <c r="I44" s="60"/>
      <c r="J44" s="60"/>
      <c r="K44" s="64"/>
      <c r="L44" s="64"/>
      <c r="M44" s="25"/>
      <c r="N44" s="25"/>
    </row>
    <row r="45" spans="1:14">
      <c r="A45" s="3" t="s">
        <v>66</v>
      </c>
      <c r="B45" s="4" t="s">
        <v>67</v>
      </c>
      <c r="C45" s="7">
        <f t="shared" si="2"/>
        <v>0</v>
      </c>
      <c r="D45" s="7"/>
      <c r="E45" s="6">
        <f t="shared" si="0"/>
        <v>0</v>
      </c>
      <c r="F45" s="6">
        <f t="shared" si="1"/>
        <v>0</v>
      </c>
      <c r="G45" s="62"/>
      <c r="H45" s="62"/>
      <c r="I45" s="60"/>
      <c r="J45" s="60"/>
      <c r="K45" s="64"/>
      <c r="L45" s="64"/>
      <c r="M45" s="25"/>
      <c r="N45" s="25"/>
    </row>
    <row r="46" spans="1:14">
      <c r="A46" s="3" t="s">
        <v>68</v>
      </c>
      <c r="B46" s="4" t="s">
        <v>69</v>
      </c>
      <c r="C46" s="7">
        <f t="shared" si="2"/>
        <v>0</v>
      </c>
      <c r="D46" s="7"/>
      <c r="E46" s="6">
        <f t="shared" si="0"/>
        <v>0</v>
      </c>
      <c r="F46" s="6">
        <f t="shared" si="1"/>
        <v>0</v>
      </c>
      <c r="G46" s="62"/>
      <c r="H46" s="62"/>
      <c r="I46" s="60"/>
      <c r="J46" s="60"/>
      <c r="K46" s="64"/>
      <c r="L46" s="64"/>
      <c r="M46" s="25"/>
      <c r="N46" s="25"/>
    </row>
    <row r="47" spans="1:14">
      <c r="A47" s="3" t="s">
        <v>70</v>
      </c>
      <c r="B47" s="4" t="s">
        <v>71</v>
      </c>
      <c r="C47" s="7">
        <f t="shared" si="2"/>
        <v>0</v>
      </c>
      <c r="D47" s="7"/>
      <c r="E47" s="6">
        <f t="shared" si="0"/>
        <v>0</v>
      </c>
      <c r="F47" s="6">
        <f t="shared" si="1"/>
        <v>0</v>
      </c>
      <c r="G47" s="62"/>
      <c r="H47" s="62"/>
      <c r="I47" s="60"/>
      <c r="J47" s="60"/>
      <c r="K47" s="64"/>
      <c r="L47" s="64"/>
      <c r="M47" s="25"/>
      <c r="N47" s="25"/>
    </row>
    <row r="48" spans="1:14">
      <c r="A48" s="3" t="s">
        <v>72</v>
      </c>
      <c r="B48" s="4" t="s">
        <v>73</v>
      </c>
      <c r="C48" s="7">
        <f t="shared" si="2"/>
        <v>0</v>
      </c>
      <c r="D48" s="7"/>
      <c r="E48" s="6">
        <f t="shared" si="0"/>
        <v>0</v>
      </c>
      <c r="F48" s="6">
        <f t="shared" si="1"/>
        <v>0</v>
      </c>
      <c r="G48" s="62"/>
      <c r="H48" s="62"/>
      <c r="I48" s="60"/>
      <c r="J48" s="60"/>
      <c r="K48" s="64"/>
      <c r="L48" s="64"/>
      <c r="M48" s="25"/>
      <c r="N48" s="25"/>
    </row>
    <row r="49" spans="1:14">
      <c r="A49" s="3" t="s">
        <v>74</v>
      </c>
      <c r="B49" s="4" t="s">
        <v>75</v>
      </c>
      <c r="C49" s="7">
        <f t="shared" si="2"/>
        <v>0</v>
      </c>
      <c r="D49" s="7"/>
      <c r="E49" s="6">
        <f t="shared" si="0"/>
        <v>0</v>
      </c>
      <c r="F49" s="6">
        <f t="shared" si="1"/>
        <v>0</v>
      </c>
      <c r="G49" s="62"/>
      <c r="H49" s="62"/>
      <c r="I49" s="60"/>
      <c r="J49" s="60"/>
      <c r="K49" s="64"/>
      <c r="L49" s="64"/>
      <c r="M49" s="25"/>
      <c r="N49" s="25"/>
    </row>
    <row r="50" spans="1:14">
      <c r="A50" s="3" t="s">
        <v>76</v>
      </c>
      <c r="B50" s="4" t="s">
        <v>77</v>
      </c>
      <c r="C50" s="7">
        <f t="shared" si="2"/>
        <v>0</v>
      </c>
      <c r="D50" s="7"/>
      <c r="E50" s="6">
        <f t="shared" si="0"/>
        <v>0</v>
      </c>
      <c r="F50" s="6">
        <f t="shared" si="1"/>
        <v>0</v>
      </c>
      <c r="G50" s="62"/>
      <c r="H50" s="62"/>
      <c r="I50" s="60"/>
      <c r="J50" s="60"/>
      <c r="K50" s="64"/>
      <c r="L50" s="64"/>
      <c r="M50" s="25"/>
      <c r="N50" s="25"/>
    </row>
    <row r="51" spans="1:14">
      <c r="A51" s="3" t="s">
        <v>78</v>
      </c>
      <c r="B51" s="4" t="s">
        <v>79</v>
      </c>
      <c r="C51" s="7">
        <f t="shared" si="2"/>
        <v>0</v>
      </c>
      <c r="D51" s="7"/>
      <c r="E51" s="6">
        <f t="shared" si="0"/>
        <v>0</v>
      </c>
      <c r="F51" s="6">
        <f t="shared" si="1"/>
        <v>0</v>
      </c>
      <c r="G51" s="62"/>
      <c r="H51" s="62"/>
      <c r="I51" s="60"/>
      <c r="J51" s="60"/>
      <c r="K51" s="64"/>
      <c r="L51" s="64"/>
      <c r="M51" s="25"/>
      <c r="N51" s="25"/>
    </row>
    <row r="52" spans="1:14">
      <c r="A52" s="3" t="s">
        <v>80</v>
      </c>
      <c r="B52" s="4" t="s">
        <v>81</v>
      </c>
      <c r="C52" s="7">
        <f t="shared" si="2"/>
        <v>181699</v>
      </c>
      <c r="D52" s="7"/>
      <c r="E52" s="6">
        <f t="shared" si="0"/>
        <v>181699</v>
      </c>
      <c r="F52" s="6">
        <f t="shared" si="1"/>
        <v>0</v>
      </c>
      <c r="G52" s="62">
        <v>181699</v>
      </c>
      <c r="H52" s="62"/>
      <c r="I52" s="60"/>
      <c r="J52" s="60"/>
      <c r="K52" s="64"/>
      <c r="L52" s="64"/>
      <c r="M52" s="25"/>
      <c r="N52" s="25"/>
    </row>
    <row r="53" spans="1:14">
      <c r="A53" s="8" t="s">
        <v>82</v>
      </c>
      <c r="B53" s="4" t="s">
        <v>83</v>
      </c>
      <c r="C53" s="7">
        <f t="shared" si="2"/>
        <v>0</v>
      </c>
      <c r="D53" s="7"/>
      <c r="E53" s="6">
        <f t="shared" si="0"/>
        <v>0</v>
      </c>
      <c r="F53" s="6">
        <f t="shared" si="1"/>
        <v>0</v>
      </c>
      <c r="G53" s="62"/>
      <c r="H53" s="62"/>
      <c r="I53" s="60"/>
      <c r="J53" s="60"/>
      <c r="K53" s="64"/>
      <c r="L53" s="64"/>
      <c r="M53" s="25"/>
      <c r="N53" s="25"/>
    </row>
    <row r="54" spans="1:14">
      <c r="A54" s="3" t="s">
        <v>84</v>
      </c>
      <c r="B54" s="4" t="s">
        <v>85</v>
      </c>
      <c r="C54" s="7">
        <f t="shared" si="2"/>
        <v>1207040</v>
      </c>
      <c r="D54" s="7"/>
      <c r="E54" s="6">
        <f t="shared" si="0"/>
        <v>1207040</v>
      </c>
      <c r="F54" s="6">
        <f t="shared" si="1"/>
        <v>0</v>
      </c>
      <c r="G54" s="62">
        <v>1207040</v>
      </c>
      <c r="H54" s="62"/>
      <c r="I54" s="60"/>
      <c r="J54" s="60"/>
      <c r="K54" s="64"/>
      <c r="L54" s="64"/>
      <c r="M54" s="25"/>
      <c r="N54" s="25"/>
    </row>
    <row r="55" spans="1:14">
      <c r="A55" s="3" t="s">
        <v>86</v>
      </c>
      <c r="B55" s="4" t="s">
        <v>87</v>
      </c>
      <c r="C55" s="7">
        <f t="shared" si="2"/>
        <v>0</v>
      </c>
      <c r="D55" s="7"/>
      <c r="E55" s="6">
        <f t="shared" si="0"/>
        <v>0</v>
      </c>
      <c r="F55" s="6">
        <f t="shared" si="1"/>
        <v>0</v>
      </c>
      <c r="G55" s="62"/>
      <c r="H55" s="62"/>
      <c r="I55" s="60"/>
      <c r="J55" s="60"/>
      <c r="K55" s="64"/>
      <c r="L55" s="64"/>
      <c r="M55" s="25"/>
      <c r="N55" s="25"/>
    </row>
    <row r="56" spans="1:14">
      <c r="A56" s="8" t="s">
        <v>88</v>
      </c>
      <c r="B56" s="4" t="s">
        <v>89</v>
      </c>
      <c r="C56" s="7">
        <f t="shared" si="2"/>
        <v>0</v>
      </c>
      <c r="D56" s="7"/>
      <c r="E56" s="6">
        <f t="shared" si="0"/>
        <v>0</v>
      </c>
      <c r="F56" s="6">
        <f t="shared" si="1"/>
        <v>0</v>
      </c>
      <c r="G56" s="62"/>
      <c r="H56" s="62"/>
      <c r="I56" s="60"/>
      <c r="J56" s="60"/>
      <c r="K56" s="64"/>
      <c r="L56" s="64"/>
      <c r="M56" s="25"/>
      <c r="N56" s="25"/>
    </row>
    <row r="57" spans="1:14">
      <c r="A57" s="3" t="s">
        <v>90</v>
      </c>
      <c r="B57" s="4" t="s">
        <v>91</v>
      </c>
      <c r="C57" s="7">
        <f t="shared" si="2"/>
        <v>0</v>
      </c>
      <c r="D57" s="7"/>
      <c r="E57" s="6">
        <f t="shared" si="0"/>
        <v>0</v>
      </c>
      <c r="F57" s="6">
        <f t="shared" si="1"/>
        <v>0</v>
      </c>
      <c r="G57" s="62"/>
      <c r="H57" s="62"/>
      <c r="I57" s="60"/>
      <c r="J57" s="60"/>
      <c r="K57" s="64"/>
      <c r="L57" s="64"/>
      <c r="M57" s="25"/>
      <c r="N57" s="25"/>
    </row>
    <row r="58" spans="1:14">
      <c r="A58" s="3" t="s">
        <v>92</v>
      </c>
      <c r="B58" s="4">
        <v>165</v>
      </c>
      <c r="C58" s="7">
        <f t="shared" si="2"/>
        <v>0</v>
      </c>
      <c r="D58" s="7"/>
      <c r="E58" s="6">
        <f t="shared" si="0"/>
        <v>0</v>
      </c>
      <c r="F58" s="6">
        <f t="shared" si="1"/>
        <v>0</v>
      </c>
      <c r="G58" s="62"/>
      <c r="H58" s="62"/>
      <c r="I58" s="60"/>
      <c r="J58" s="60"/>
      <c r="K58" s="64"/>
      <c r="L58" s="64"/>
      <c r="M58" s="25"/>
      <c r="N58" s="25"/>
    </row>
    <row r="59" spans="1:14">
      <c r="A59" s="3" t="s">
        <v>93</v>
      </c>
      <c r="B59" s="4">
        <v>166</v>
      </c>
      <c r="C59" s="7">
        <f t="shared" si="2"/>
        <v>0</v>
      </c>
      <c r="D59" s="7"/>
      <c r="E59" s="6">
        <f t="shared" si="0"/>
        <v>0</v>
      </c>
      <c r="F59" s="6">
        <f t="shared" si="1"/>
        <v>0</v>
      </c>
      <c r="G59" s="62"/>
      <c r="H59" s="62"/>
      <c r="I59" s="60"/>
      <c r="J59" s="60"/>
      <c r="K59" s="64"/>
      <c r="L59" s="64"/>
      <c r="M59" s="25"/>
      <c r="N59" s="25"/>
    </row>
    <row r="60" spans="1:14">
      <c r="A60" s="3" t="s">
        <v>94</v>
      </c>
      <c r="B60" s="4">
        <v>167</v>
      </c>
      <c r="C60" s="7">
        <f t="shared" si="2"/>
        <v>0</v>
      </c>
      <c r="D60" s="7"/>
      <c r="E60" s="6">
        <f t="shared" si="0"/>
        <v>0</v>
      </c>
      <c r="F60" s="6">
        <f t="shared" si="1"/>
        <v>0</v>
      </c>
      <c r="G60" s="62"/>
      <c r="H60" s="62"/>
      <c r="I60" s="60"/>
      <c r="J60" s="60"/>
      <c r="K60" s="64"/>
      <c r="L60" s="64"/>
      <c r="M60" s="25"/>
      <c r="N60" s="25"/>
    </row>
    <row r="61" spans="1:14">
      <c r="A61" s="3" t="s">
        <v>95</v>
      </c>
      <c r="B61" s="4" t="s">
        <v>96</v>
      </c>
      <c r="C61" s="7">
        <f t="shared" si="2"/>
        <v>0</v>
      </c>
      <c r="D61" s="7"/>
      <c r="E61" s="6">
        <f t="shared" si="0"/>
        <v>0</v>
      </c>
      <c r="F61" s="6">
        <f t="shared" si="1"/>
        <v>0</v>
      </c>
      <c r="G61" s="62"/>
      <c r="H61" s="62"/>
      <c r="I61" s="60"/>
      <c r="J61" s="60"/>
      <c r="K61" s="64"/>
      <c r="L61" s="64"/>
      <c r="M61" s="25"/>
      <c r="N61" s="25"/>
    </row>
    <row r="62" spans="1:14">
      <c r="A62" s="3" t="s">
        <v>97</v>
      </c>
      <c r="B62" s="4" t="s">
        <v>98</v>
      </c>
      <c r="C62" s="7">
        <f t="shared" si="2"/>
        <v>0</v>
      </c>
      <c r="D62" s="7"/>
      <c r="E62" s="6">
        <f t="shared" si="0"/>
        <v>0</v>
      </c>
      <c r="F62" s="6">
        <f t="shared" si="1"/>
        <v>0</v>
      </c>
      <c r="G62" s="62"/>
      <c r="H62" s="62"/>
      <c r="I62" s="60"/>
      <c r="J62" s="60"/>
      <c r="K62" s="64"/>
      <c r="L62" s="64"/>
      <c r="M62" s="25"/>
      <c r="N62" s="25"/>
    </row>
    <row r="63" spans="1:14">
      <c r="A63" s="3" t="s">
        <v>99</v>
      </c>
      <c r="B63" s="4" t="s">
        <v>100</v>
      </c>
      <c r="C63" s="7">
        <f t="shared" si="2"/>
        <v>0</v>
      </c>
      <c r="D63" s="7"/>
      <c r="E63" s="6">
        <f t="shared" si="0"/>
        <v>0</v>
      </c>
      <c r="F63" s="6">
        <f t="shared" si="1"/>
        <v>0</v>
      </c>
      <c r="G63" s="62"/>
      <c r="H63" s="62"/>
      <c r="I63" s="60"/>
      <c r="J63" s="60"/>
      <c r="K63" s="64"/>
      <c r="L63" s="64"/>
      <c r="M63" s="25"/>
      <c r="N63" s="25"/>
    </row>
    <row r="64" spans="1:14">
      <c r="A64" s="3" t="s">
        <v>101</v>
      </c>
      <c r="B64" s="4" t="s">
        <v>102</v>
      </c>
      <c r="C64" s="7">
        <f t="shared" si="2"/>
        <v>0</v>
      </c>
      <c r="D64" s="7"/>
      <c r="E64" s="6">
        <f t="shared" si="0"/>
        <v>0</v>
      </c>
      <c r="F64" s="6">
        <f t="shared" si="1"/>
        <v>0</v>
      </c>
      <c r="G64" s="62"/>
      <c r="H64" s="62"/>
      <c r="I64" s="60"/>
      <c r="J64" s="60"/>
      <c r="K64" s="64"/>
      <c r="L64" s="64"/>
      <c r="M64" s="25"/>
      <c r="N64" s="25"/>
    </row>
    <row r="65" spans="1:14">
      <c r="A65" s="3" t="s">
        <v>103</v>
      </c>
      <c r="B65" s="4" t="s">
        <v>104</v>
      </c>
      <c r="C65" s="7">
        <f t="shared" si="2"/>
        <v>0</v>
      </c>
      <c r="D65" s="7"/>
      <c r="E65" s="6">
        <f t="shared" si="0"/>
        <v>0</v>
      </c>
      <c r="F65" s="6">
        <f t="shared" si="1"/>
        <v>0</v>
      </c>
      <c r="G65" s="62"/>
      <c r="H65" s="62"/>
      <c r="I65" s="60"/>
      <c r="J65" s="60"/>
      <c r="K65" s="64"/>
      <c r="L65" s="64"/>
      <c r="M65" s="25"/>
      <c r="N65" s="25"/>
    </row>
    <row r="66" spans="1:14">
      <c r="A66" s="3" t="s">
        <v>105</v>
      </c>
      <c r="B66" s="9">
        <v>178</v>
      </c>
      <c r="C66" s="7">
        <f t="shared" si="2"/>
        <v>0</v>
      </c>
      <c r="D66" s="7"/>
      <c r="E66" s="6">
        <f t="shared" si="0"/>
        <v>0</v>
      </c>
      <c r="F66" s="6">
        <f t="shared" si="1"/>
        <v>0</v>
      </c>
      <c r="G66" s="62"/>
      <c r="H66" s="62"/>
      <c r="I66" s="60"/>
      <c r="J66" s="60"/>
      <c r="K66" s="64"/>
      <c r="L66" s="64"/>
      <c r="M66" s="25"/>
      <c r="N66" s="25"/>
    </row>
    <row r="67" spans="1:14">
      <c r="A67" s="3" t="s">
        <v>106</v>
      </c>
      <c r="B67" s="4">
        <v>179</v>
      </c>
      <c r="C67" s="7">
        <f t="shared" si="2"/>
        <v>0</v>
      </c>
      <c r="D67" s="7"/>
      <c r="E67" s="6">
        <f t="shared" si="0"/>
        <v>0</v>
      </c>
      <c r="F67" s="6">
        <f t="shared" si="1"/>
        <v>0</v>
      </c>
      <c r="G67" s="62"/>
      <c r="H67" s="62"/>
      <c r="I67" s="60"/>
      <c r="J67" s="60"/>
      <c r="K67" s="64"/>
      <c r="L67" s="64"/>
      <c r="M67" s="25"/>
      <c r="N67" s="25"/>
    </row>
    <row r="68" spans="1:14">
      <c r="A68" s="3" t="s">
        <v>107</v>
      </c>
      <c r="B68" s="9">
        <v>180</v>
      </c>
      <c r="C68" s="7">
        <f t="shared" si="2"/>
        <v>0</v>
      </c>
      <c r="D68" s="7"/>
      <c r="E68" s="6">
        <f t="shared" si="0"/>
        <v>0</v>
      </c>
      <c r="F68" s="6">
        <f t="shared" si="1"/>
        <v>0</v>
      </c>
      <c r="G68" s="62"/>
      <c r="H68" s="62"/>
      <c r="I68" s="60"/>
      <c r="J68" s="60"/>
      <c r="K68" s="64"/>
      <c r="L68" s="64"/>
      <c r="M68" s="25"/>
      <c r="N68" s="25"/>
    </row>
    <row r="69" spans="1:14">
      <c r="A69" s="3" t="s">
        <v>108</v>
      </c>
      <c r="B69" s="9">
        <v>181</v>
      </c>
      <c r="C69" s="7">
        <f t="shared" si="2"/>
        <v>-170754.75</v>
      </c>
      <c r="D69" s="7"/>
      <c r="E69" s="6">
        <f t="shared" si="0"/>
        <v>0</v>
      </c>
      <c r="F69" s="6">
        <f t="shared" si="1"/>
        <v>170754.75</v>
      </c>
      <c r="G69" s="62"/>
      <c r="H69" s="62">
        <v>170754.75</v>
      </c>
      <c r="I69" s="60"/>
      <c r="J69" s="60"/>
      <c r="K69" s="64"/>
      <c r="L69" s="64"/>
      <c r="M69" s="25"/>
      <c r="N69" s="25"/>
    </row>
    <row r="70" spans="1:14">
      <c r="A70" s="3" t="s">
        <v>109</v>
      </c>
      <c r="B70" s="9">
        <v>182</v>
      </c>
      <c r="C70" s="7">
        <f t="shared" si="2"/>
        <v>0</v>
      </c>
      <c r="D70" s="7"/>
      <c r="E70" s="6">
        <f t="shared" si="0"/>
        <v>0</v>
      </c>
      <c r="F70" s="6">
        <f t="shared" si="1"/>
        <v>0</v>
      </c>
      <c r="G70" s="62"/>
      <c r="H70" s="62"/>
      <c r="I70" s="60"/>
      <c r="J70" s="60"/>
      <c r="K70" s="64"/>
      <c r="L70" s="64"/>
      <c r="M70" s="25"/>
      <c r="N70" s="25"/>
    </row>
    <row r="71" spans="1:14">
      <c r="A71" s="3" t="s">
        <v>110</v>
      </c>
      <c r="B71" s="9">
        <v>185</v>
      </c>
      <c r="C71" s="7">
        <f t="shared" si="2"/>
        <v>0</v>
      </c>
      <c r="D71" s="7"/>
      <c r="E71" s="6">
        <f t="shared" si="0"/>
        <v>0</v>
      </c>
      <c r="F71" s="6">
        <f t="shared" si="1"/>
        <v>0</v>
      </c>
      <c r="G71" s="62"/>
      <c r="H71" s="62"/>
      <c r="I71" s="60"/>
      <c r="J71" s="60"/>
      <c r="K71" s="64"/>
      <c r="L71" s="64"/>
      <c r="M71" s="25"/>
      <c r="N71" s="25"/>
    </row>
    <row r="72" spans="1:14">
      <c r="A72" s="3" t="s">
        <v>111</v>
      </c>
      <c r="B72" s="4" t="s">
        <v>112</v>
      </c>
      <c r="C72" s="7">
        <f t="shared" si="2"/>
        <v>0</v>
      </c>
      <c r="D72" s="7"/>
      <c r="E72" s="6">
        <f t="shared" si="0"/>
        <v>0</v>
      </c>
      <c r="F72" s="6">
        <f t="shared" si="1"/>
        <v>0</v>
      </c>
      <c r="G72" s="62"/>
      <c r="H72" s="62"/>
      <c r="I72" s="60"/>
      <c r="J72" s="60"/>
      <c r="K72" s="64"/>
      <c r="L72" s="64"/>
      <c r="M72" s="25"/>
      <c r="N72" s="25"/>
    </row>
    <row r="73" spans="1:14">
      <c r="A73" s="3" t="s">
        <v>113</v>
      </c>
      <c r="B73" s="4" t="s">
        <v>114</v>
      </c>
      <c r="C73" s="7">
        <f t="shared" si="2"/>
        <v>0</v>
      </c>
      <c r="D73" s="7"/>
      <c r="E73" s="6">
        <f t="shared" si="0"/>
        <v>0</v>
      </c>
      <c r="F73" s="6">
        <f t="shared" si="1"/>
        <v>0</v>
      </c>
      <c r="G73" s="62"/>
      <c r="H73" s="62"/>
      <c r="I73" s="60"/>
      <c r="J73" s="60"/>
      <c r="K73" s="64"/>
      <c r="L73" s="64"/>
      <c r="M73" s="25"/>
      <c r="N73" s="25"/>
    </row>
    <row r="74" spans="1:14">
      <c r="A74" s="3" t="s">
        <v>115</v>
      </c>
      <c r="B74" s="4" t="s">
        <v>116</v>
      </c>
      <c r="C74" s="7">
        <f t="shared" si="2"/>
        <v>0</v>
      </c>
      <c r="D74" s="7"/>
      <c r="E74" s="6">
        <f t="shared" si="0"/>
        <v>0</v>
      </c>
      <c r="F74" s="6">
        <f t="shared" si="1"/>
        <v>0</v>
      </c>
      <c r="G74" s="62"/>
      <c r="H74" s="62"/>
      <c r="I74" s="60"/>
      <c r="J74" s="60"/>
      <c r="K74" s="64"/>
      <c r="L74" s="64"/>
      <c r="M74" s="25"/>
      <c r="N74" s="25"/>
    </row>
    <row r="75" spans="1:14">
      <c r="A75" s="3" t="s">
        <v>117</v>
      </c>
      <c r="B75" s="4" t="s">
        <v>118</v>
      </c>
      <c r="C75" s="7">
        <f t="shared" si="2"/>
        <v>0</v>
      </c>
      <c r="D75" s="7"/>
      <c r="E75" s="6">
        <f t="shared" si="0"/>
        <v>0</v>
      </c>
      <c r="F75" s="6">
        <f t="shared" si="1"/>
        <v>0</v>
      </c>
      <c r="G75" s="62"/>
      <c r="H75" s="62"/>
      <c r="I75" s="60"/>
      <c r="J75" s="60"/>
      <c r="K75" s="64"/>
      <c r="L75" s="64"/>
      <c r="M75" s="25"/>
      <c r="N75" s="25"/>
    </row>
    <row r="76" spans="1:14">
      <c r="A76" s="3" t="s">
        <v>119</v>
      </c>
      <c r="B76" s="4" t="s">
        <v>120</v>
      </c>
      <c r="C76" s="7">
        <f t="shared" si="2"/>
        <v>0</v>
      </c>
      <c r="D76" s="7"/>
      <c r="E76" s="6">
        <f t="shared" si="0"/>
        <v>0</v>
      </c>
      <c r="F76" s="6">
        <f t="shared" si="1"/>
        <v>0</v>
      </c>
      <c r="G76" s="62"/>
      <c r="H76" s="62"/>
      <c r="I76" s="60"/>
      <c r="J76" s="60"/>
      <c r="K76" s="64"/>
      <c r="L76" s="64"/>
      <c r="M76" s="25"/>
      <c r="N76" s="25"/>
    </row>
    <row r="77" spans="1:14">
      <c r="A77" s="3" t="s">
        <v>121</v>
      </c>
      <c r="B77" s="4" t="s">
        <v>122</v>
      </c>
      <c r="C77" s="7">
        <f t="shared" si="2"/>
        <v>0</v>
      </c>
      <c r="D77" s="7"/>
      <c r="E77" s="6">
        <f t="shared" si="0"/>
        <v>0</v>
      </c>
      <c r="F77" s="6">
        <f t="shared" si="1"/>
        <v>0</v>
      </c>
      <c r="G77" s="62"/>
      <c r="H77" s="62"/>
      <c r="I77" s="60"/>
      <c r="J77" s="60"/>
      <c r="K77" s="64"/>
      <c r="L77" s="64"/>
      <c r="M77" s="25"/>
      <c r="N77" s="25"/>
    </row>
    <row r="78" spans="1:14">
      <c r="A78" s="3" t="s">
        <v>123</v>
      </c>
      <c r="B78" s="4" t="s">
        <v>124</v>
      </c>
      <c r="C78" s="7">
        <f t="shared" si="2"/>
        <v>0</v>
      </c>
      <c r="D78" s="7"/>
      <c r="E78" s="6">
        <f t="shared" ref="E78:E141" si="3">SUM(G78,I78,K78,M78)</f>
        <v>0</v>
      </c>
      <c r="F78" s="6">
        <f t="shared" ref="F78:F141" si="4">SUM(H78,J78,L78,N78)</f>
        <v>0</v>
      </c>
      <c r="G78" s="62"/>
      <c r="H78" s="62"/>
      <c r="I78" s="60"/>
      <c r="J78" s="60"/>
      <c r="K78" s="64"/>
      <c r="L78" s="64"/>
      <c r="M78" s="25"/>
      <c r="N78" s="25"/>
    </row>
    <row r="79" spans="1:14">
      <c r="A79" s="3" t="s">
        <v>125</v>
      </c>
      <c r="B79" s="4">
        <v>201</v>
      </c>
      <c r="C79" s="7">
        <f t="shared" si="2"/>
        <v>0</v>
      </c>
      <c r="D79" s="7"/>
      <c r="E79" s="6">
        <f t="shared" si="3"/>
        <v>0</v>
      </c>
      <c r="F79" s="6">
        <f t="shared" si="4"/>
        <v>0</v>
      </c>
      <c r="G79" s="62"/>
      <c r="H79" s="62"/>
      <c r="I79" s="60"/>
      <c r="J79" s="60"/>
      <c r="K79" s="64"/>
      <c r="L79" s="64"/>
      <c r="M79" s="25"/>
      <c r="N79" s="25"/>
    </row>
    <row r="80" spans="1:14">
      <c r="A80" s="3" t="s">
        <v>126</v>
      </c>
      <c r="B80" s="4">
        <v>202</v>
      </c>
      <c r="C80" s="7">
        <f t="shared" si="2"/>
        <v>0</v>
      </c>
      <c r="D80" s="7"/>
      <c r="E80" s="6">
        <f t="shared" si="3"/>
        <v>0</v>
      </c>
      <c r="F80" s="6">
        <f t="shared" si="4"/>
        <v>0</v>
      </c>
      <c r="G80" s="62"/>
      <c r="H80" s="62"/>
      <c r="I80" s="60"/>
      <c r="J80" s="60"/>
      <c r="K80" s="64"/>
      <c r="L80" s="64"/>
      <c r="M80" s="25"/>
      <c r="N80" s="25"/>
    </row>
    <row r="81" spans="1:14">
      <c r="A81" s="8" t="s">
        <v>127</v>
      </c>
      <c r="B81" s="4">
        <v>302</v>
      </c>
      <c r="C81" s="7"/>
      <c r="D81" s="7">
        <f>F81-E81</f>
        <v>0</v>
      </c>
      <c r="E81" s="6">
        <f t="shared" si="3"/>
        <v>0</v>
      </c>
      <c r="F81" s="6">
        <f t="shared" si="4"/>
        <v>0</v>
      </c>
      <c r="G81" s="62"/>
      <c r="H81" s="62"/>
      <c r="I81" s="60"/>
      <c r="J81" s="60"/>
      <c r="K81" s="64"/>
      <c r="L81" s="64"/>
      <c r="M81" s="25"/>
      <c r="N81" s="25"/>
    </row>
    <row r="82" spans="1:14">
      <c r="A82" s="3" t="s">
        <v>128</v>
      </c>
      <c r="B82" s="4">
        <v>203</v>
      </c>
      <c r="C82" s="7">
        <f>E82-F82</f>
        <v>0</v>
      </c>
      <c r="D82" s="7"/>
      <c r="E82" s="6">
        <f t="shared" si="3"/>
        <v>0</v>
      </c>
      <c r="F82" s="6">
        <f t="shared" si="4"/>
        <v>0</v>
      </c>
      <c r="G82" s="62"/>
      <c r="H82" s="62"/>
      <c r="I82" s="60"/>
      <c r="J82" s="60"/>
      <c r="K82" s="64"/>
      <c r="L82" s="64"/>
      <c r="M82" s="25"/>
      <c r="N82" s="25"/>
    </row>
    <row r="83" spans="1:14">
      <c r="A83" s="3" t="s">
        <v>129</v>
      </c>
      <c r="B83" s="4">
        <v>303</v>
      </c>
      <c r="C83" s="7"/>
      <c r="D83" s="7">
        <f>F83-E83</f>
        <v>0</v>
      </c>
      <c r="E83" s="6">
        <f t="shared" si="3"/>
        <v>0</v>
      </c>
      <c r="F83" s="6">
        <f t="shared" si="4"/>
        <v>0</v>
      </c>
      <c r="G83" s="62"/>
      <c r="H83" s="62"/>
      <c r="I83" s="60"/>
      <c r="J83" s="60"/>
      <c r="K83" s="64"/>
      <c r="L83" s="64"/>
      <c r="M83" s="25"/>
      <c r="N83" s="25"/>
    </row>
    <row r="84" spans="1:14">
      <c r="A84" s="3" t="s">
        <v>130</v>
      </c>
      <c r="B84" s="4">
        <v>204</v>
      </c>
      <c r="C84" s="7">
        <f>E84-F84</f>
        <v>0</v>
      </c>
      <c r="D84" s="7"/>
      <c r="E84" s="6">
        <f t="shared" si="3"/>
        <v>0</v>
      </c>
      <c r="F84" s="6">
        <f t="shared" si="4"/>
        <v>0</v>
      </c>
      <c r="G84" s="62"/>
      <c r="H84" s="62"/>
      <c r="I84" s="60"/>
      <c r="J84" s="60"/>
      <c r="K84" s="64"/>
      <c r="L84" s="64"/>
      <c r="M84" s="25"/>
      <c r="N84" s="25"/>
    </row>
    <row r="85" spans="1:14">
      <c r="A85" s="3" t="s">
        <v>131</v>
      </c>
      <c r="B85" s="4">
        <v>304</v>
      </c>
      <c r="C85" s="7"/>
      <c r="D85" s="7">
        <f>F85-E85</f>
        <v>0</v>
      </c>
      <c r="E85" s="6">
        <f t="shared" si="3"/>
        <v>0</v>
      </c>
      <c r="F85" s="6">
        <f t="shared" si="4"/>
        <v>0</v>
      </c>
      <c r="G85" s="62"/>
      <c r="H85" s="62"/>
      <c r="I85" s="60"/>
      <c r="J85" s="60"/>
      <c r="K85" s="64"/>
      <c r="L85" s="64"/>
      <c r="M85" s="25"/>
      <c r="N85" s="25"/>
    </row>
    <row r="86" spans="1:14">
      <c r="A86" s="3" t="s">
        <v>132</v>
      </c>
      <c r="B86" s="4">
        <v>205</v>
      </c>
      <c r="C86" s="7">
        <f>E86-F86</f>
        <v>0</v>
      </c>
      <c r="D86" s="7"/>
      <c r="E86" s="6">
        <f t="shared" si="3"/>
        <v>0</v>
      </c>
      <c r="F86" s="6">
        <f t="shared" si="4"/>
        <v>0</v>
      </c>
      <c r="G86" s="62"/>
      <c r="H86" s="62"/>
      <c r="I86" s="60"/>
      <c r="J86" s="60"/>
      <c r="K86" s="64"/>
      <c r="L86" s="64"/>
      <c r="M86" s="25"/>
      <c r="N86" s="25"/>
    </row>
    <row r="87" spans="1:14" ht="28.5">
      <c r="A87" s="8" t="s">
        <v>133</v>
      </c>
      <c r="B87" s="4">
        <v>305</v>
      </c>
      <c r="C87" s="7"/>
      <c r="D87" s="7">
        <f>F87-E87</f>
        <v>0</v>
      </c>
      <c r="E87" s="6">
        <f t="shared" si="3"/>
        <v>0</v>
      </c>
      <c r="F87" s="6">
        <f t="shared" si="4"/>
        <v>0</v>
      </c>
      <c r="G87" s="62"/>
      <c r="H87" s="62"/>
      <c r="I87" s="60"/>
      <c r="J87" s="60"/>
      <c r="K87" s="64"/>
      <c r="L87" s="64"/>
      <c r="M87" s="25"/>
      <c r="N87" s="25"/>
    </row>
    <row r="88" spans="1:14">
      <c r="A88" s="8" t="s">
        <v>134</v>
      </c>
      <c r="B88" s="4" t="s">
        <v>135</v>
      </c>
      <c r="C88" s="7">
        <f>E88-F88</f>
        <v>0</v>
      </c>
      <c r="D88" s="7"/>
      <c r="E88" s="6">
        <f t="shared" si="3"/>
        <v>0</v>
      </c>
      <c r="F88" s="6">
        <f t="shared" si="4"/>
        <v>0</v>
      </c>
      <c r="G88" s="62"/>
      <c r="H88" s="62"/>
      <c r="I88" s="60"/>
      <c r="J88" s="60"/>
      <c r="K88" s="64"/>
      <c r="L88" s="64"/>
      <c r="M88" s="25"/>
      <c r="N88" s="25"/>
    </row>
    <row r="89" spans="1:14">
      <c r="A89" s="8" t="s">
        <v>136</v>
      </c>
      <c r="B89" s="4" t="s">
        <v>137</v>
      </c>
      <c r="C89" s="7"/>
      <c r="D89" s="7">
        <f>F89-E89</f>
        <v>0</v>
      </c>
      <c r="E89" s="6">
        <f t="shared" si="3"/>
        <v>0</v>
      </c>
      <c r="F89" s="6">
        <f t="shared" si="4"/>
        <v>0</v>
      </c>
      <c r="G89" s="62"/>
      <c r="H89" s="62"/>
      <c r="I89" s="60"/>
      <c r="J89" s="60"/>
      <c r="K89" s="64"/>
      <c r="L89" s="64"/>
      <c r="M89" s="25"/>
      <c r="N89" s="25"/>
    </row>
    <row r="90" spans="1:14">
      <c r="A90" s="8" t="s">
        <v>138</v>
      </c>
      <c r="B90" s="4" t="s">
        <v>139</v>
      </c>
      <c r="C90" s="7">
        <f>E90-F90</f>
        <v>0</v>
      </c>
      <c r="D90" s="7"/>
      <c r="E90" s="6">
        <f t="shared" si="3"/>
        <v>0</v>
      </c>
      <c r="F90" s="6">
        <f t="shared" si="4"/>
        <v>0</v>
      </c>
      <c r="G90" s="62"/>
      <c r="H90" s="62"/>
      <c r="I90" s="60"/>
      <c r="J90" s="60"/>
      <c r="K90" s="64"/>
      <c r="L90" s="64"/>
      <c r="M90" s="25"/>
      <c r="N90" s="25"/>
    </row>
    <row r="91" spans="1:14">
      <c r="A91" s="8" t="s">
        <v>140</v>
      </c>
      <c r="B91" s="4" t="s">
        <v>141</v>
      </c>
      <c r="C91" s="7"/>
      <c r="D91" s="7">
        <f>F91-E91</f>
        <v>0</v>
      </c>
      <c r="E91" s="6">
        <f t="shared" si="3"/>
        <v>0</v>
      </c>
      <c r="F91" s="6">
        <f t="shared" si="4"/>
        <v>0</v>
      </c>
      <c r="G91" s="62"/>
      <c r="H91" s="62"/>
      <c r="I91" s="60"/>
      <c r="J91" s="60"/>
      <c r="K91" s="64"/>
      <c r="L91" s="64"/>
      <c r="M91" s="25"/>
      <c r="N91" s="25"/>
    </row>
    <row r="92" spans="1:14">
      <c r="A92" s="8" t="s">
        <v>142</v>
      </c>
      <c r="B92" s="4" t="s">
        <v>143</v>
      </c>
      <c r="C92" s="7">
        <f>E92-F92</f>
        <v>0</v>
      </c>
      <c r="D92" s="7"/>
      <c r="E92" s="6">
        <f t="shared" si="3"/>
        <v>0</v>
      </c>
      <c r="F92" s="6">
        <f t="shared" si="4"/>
        <v>0</v>
      </c>
      <c r="G92" s="62"/>
      <c r="H92" s="62"/>
      <c r="I92" s="60"/>
      <c r="J92" s="60"/>
      <c r="K92" s="64"/>
      <c r="L92" s="64"/>
      <c r="M92" s="25"/>
      <c r="N92" s="25"/>
    </row>
    <row r="93" spans="1:14" ht="28.5">
      <c r="A93" s="8" t="s">
        <v>144</v>
      </c>
      <c r="B93" s="4" t="s">
        <v>145</v>
      </c>
      <c r="C93" s="7"/>
      <c r="D93" s="7">
        <f>F93-E93</f>
        <v>0</v>
      </c>
      <c r="E93" s="6">
        <f t="shared" si="3"/>
        <v>0</v>
      </c>
      <c r="F93" s="6">
        <f t="shared" si="4"/>
        <v>0</v>
      </c>
      <c r="G93" s="62"/>
      <c r="H93" s="62"/>
      <c r="I93" s="60"/>
      <c r="J93" s="60"/>
      <c r="K93" s="64"/>
      <c r="L93" s="64"/>
      <c r="M93" s="25"/>
      <c r="N93" s="25"/>
    </row>
    <row r="94" spans="1:14">
      <c r="A94" s="8" t="s">
        <v>146</v>
      </c>
      <c r="B94" s="4" t="s">
        <v>147</v>
      </c>
      <c r="C94" s="7">
        <f>E94-F94</f>
        <v>0</v>
      </c>
      <c r="D94" s="7"/>
      <c r="E94" s="6">
        <f t="shared" si="3"/>
        <v>0</v>
      </c>
      <c r="F94" s="6">
        <f t="shared" si="4"/>
        <v>0</v>
      </c>
      <c r="G94" s="62"/>
      <c r="H94" s="62"/>
      <c r="I94" s="60"/>
      <c r="J94" s="60"/>
      <c r="K94" s="64"/>
      <c r="L94" s="64"/>
      <c r="M94" s="25"/>
      <c r="N94" s="25"/>
    </row>
    <row r="95" spans="1:14" ht="28.5">
      <c r="A95" s="8" t="s">
        <v>148</v>
      </c>
      <c r="B95" s="4" t="s">
        <v>149</v>
      </c>
      <c r="C95" s="7"/>
      <c r="D95" s="7">
        <f>F95-E95</f>
        <v>0</v>
      </c>
      <c r="E95" s="6">
        <f t="shared" si="3"/>
        <v>0</v>
      </c>
      <c r="F95" s="6">
        <f t="shared" si="4"/>
        <v>0</v>
      </c>
      <c r="G95" s="62"/>
      <c r="H95" s="62"/>
      <c r="I95" s="60"/>
      <c r="J95" s="60"/>
      <c r="K95" s="64"/>
      <c r="L95" s="64"/>
      <c r="M95" s="25"/>
      <c r="N95" s="25"/>
    </row>
    <row r="96" spans="1:14">
      <c r="A96" s="8" t="s">
        <v>150</v>
      </c>
      <c r="B96" s="4" t="s">
        <v>151</v>
      </c>
      <c r="C96" s="7">
        <f>E96-F96</f>
        <v>0</v>
      </c>
      <c r="D96" s="7"/>
      <c r="E96" s="6">
        <f t="shared" si="3"/>
        <v>0</v>
      </c>
      <c r="F96" s="6">
        <f t="shared" si="4"/>
        <v>0</v>
      </c>
      <c r="G96" s="62"/>
      <c r="H96" s="62"/>
      <c r="I96" s="60"/>
      <c r="J96" s="60"/>
      <c r="K96" s="64"/>
      <c r="L96" s="64"/>
      <c r="M96" s="25"/>
      <c r="N96" s="25"/>
    </row>
    <row r="97" spans="1:14">
      <c r="A97" s="8" t="s">
        <v>152</v>
      </c>
      <c r="B97" s="4" t="s">
        <v>153</v>
      </c>
      <c r="C97" s="7"/>
      <c r="D97" s="7">
        <f>F97-E97</f>
        <v>0</v>
      </c>
      <c r="E97" s="6">
        <f t="shared" si="3"/>
        <v>0</v>
      </c>
      <c r="F97" s="6">
        <f t="shared" si="4"/>
        <v>0</v>
      </c>
      <c r="G97" s="62"/>
      <c r="H97" s="62"/>
      <c r="I97" s="60"/>
      <c r="J97" s="60"/>
      <c r="K97" s="64"/>
      <c r="L97" s="64"/>
      <c r="M97" s="25"/>
      <c r="N97" s="25"/>
    </row>
    <row r="98" spans="1:14">
      <c r="A98" s="8" t="s">
        <v>154</v>
      </c>
      <c r="B98" s="4" t="s">
        <v>155</v>
      </c>
      <c r="C98" s="7">
        <f>E98-F98</f>
        <v>0</v>
      </c>
      <c r="D98" s="7"/>
      <c r="E98" s="6">
        <f t="shared" si="3"/>
        <v>0</v>
      </c>
      <c r="F98" s="6">
        <f t="shared" si="4"/>
        <v>0</v>
      </c>
      <c r="G98" s="62"/>
      <c r="H98" s="62"/>
      <c r="I98" s="60"/>
      <c r="J98" s="60"/>
      <c r="K98" s="64"/>
      <c r="L98" s="64"/>
      <c r="M98" s="25"/>
      <c r="N98" s="25"/>
    </row>
    <row r="99" spans="1:14" ht="28.5">
      <c r="A99" s="8" t="s">
        <v>156</v>
      </c>
      <c r="B99" s="4" t="s">
        <v>157</v>
      </c>
      <c r="C99" s="7"/>
      <c r="D99" s="7">
        <f>F99-E99</f>
        <v>0</v>
      </c>
      <c r="E99" s="6">
        <f t="shared" si="3"/>
        <v>0</v>
      </c>
      <c r="F99" s="6">
        <f t="shared" si="4"/>
        <v>0</v>
      </c>
      <c r="G99" s="62"/>
      <c r="H99" s="62"/>
      <c r="I99" s="60"/>
      <c r="J99" s="60"/>
      <c r="K99" s="64"/>
      <c r="L99" s="64"/>
      <c r="M99" s="25"/>
      <c r="N99" s="25"/>
    </row>
    <row r="100" spans="1:14">
      <c r="A100" s="8" t="s">
        <v>158</v>
      </c>
      <c r="B100" s="4" t="s">
        <v>159</v>
      </c>
      <c r="C100" s="7">
        <f>E100-F100</f>
        <v>0</v>
      </c>
      <c r="D100" s="7"/>
      <c r="E100" s="6">
        <f t="shared" si="3"/>
        <v>0</v>
      </c>
      <c r="F100" s="6">
        <f t="shared" si="4"/>
        <v>0</v>
      </c>
      <c r="G100" s="62"/>
      <c r="H100" s="62"/>
      <c r="I100" s="60"/>
      <c r="J100" s="60"/>
      <c r="K100" s="64"/>
      <c r="L100" s="64"/>
      <c r="M100" s="25"/>
      <c r="N100" s="25"/>
    </row>
    <row r="101" spans="1:14" ht="28.5">
      <c r="A101" s="8" t="s">
        <v>160</v>
      </c>
      <c r="B101" s="4" t="s">
        <v>161</v>
      </c>
      <c r="C101" s="7"/>
      <c r="D101" s="7">
        <f>F101-E101</f>
        <v>0</v>
      </c>
      <c r="E101" s="6">
        <f t="shared" si="3"/>
        <v>0</v>
      </c>
      <c r="F101" s="6">
        <f t="shared" si="4"/>
        <v>0</v>
      </c>
      <c r="G101" s="62"/>
      <c r="H101" s="62"/>
      <c r="I101" s="60"/>
      <c r="J101" s="60"/>
      <c r="K101" s="64"/>
      <c r="L101" s="64"/>
      <c r="M101" s="25"/>
      <c r="N101" s="25"/>
    </row>
    <row r="102" spans="1:14">
      <c r="A102" s="8" t="s">
        <v>162</v>
      </c>
      <c r="B102" s="4" t="s">
        <v>163</v>
      </c>
      <c r="C102" s="7">
        <f>E102-F102</f>
        <v>0</v>
      </c>
      <c r="D102" s="7"/>
      <c r="E102" s="6">
        <f t="shared" si="3"/>
        <v>0</v>
      </c>
      <c r="F102" s="6">
        <f t="shared" si="4"/>
        <v>0</v>
      </c>
      <c r="G102" s="62"/>
      <c r="H102" s="62"/>
      <c r="I102" s="60"/>
      <c r="J102" s="60"/>
      <c r="K102" s="64"/>
      <c r="L102" s="64"/>
      <c r="M102" s="25"/>
      <c r="N102" s="25"/>
    </row>
    <row r="103" spans="1:14" ht="28.5">
      <c r="A103" s="8" t="s">
        <v>164</v>
      </c>
      <c r="B103" s="4" t="s">
        <v>165</v>
      </c>
      <c r="C103" s="7"/>
      <c r="D103" s="7">
        <f>F103-E103</f>
        <v>0</v>
      </c>
      <c r="E103" s="6">
        <f t="shared" si="3"/>
        <v>0</v>
      </c>
      <c r="F103" s="6">
        <f t="shared" si="4"/>
        <v>0</v>
      </c>
      <c r="G103" s="62"/>
      <c r="H103" s="62"/>
      <c r="I103" s="60"/>
      <c r="J103" s="60"/>
      <c r="K103" s="64"/>
      <c r="L103" s="64"/>
      <c r="M103" s="25"/>
      <c r="N103" s="25"/>
    </row>
    <row r="104" spans="1:14">
      <c r="A104" s="8" t="s">
        <v>166</v>
      </c>
      <c r="B104" s="4" t="s">
        <v>167</v>
      </c>
      <c r="C104" s="7">
        <f>E104-F104</f>
        <v>0</v>
      </c>
      <c r="D104" s="7"/>
      <c r="E104" s="6">
        <f t="shared" si="3"/>
        <v>0</v>
      </c>
      <c r="F104" s="6">
        <f t="shared" si="4"/>
        <v>0</v>
      </c>
      <c r="G104" s="62"/>
      <c r="H104" s="62"/>
      <c r="I104" s="60"/>
      <c r="J104" s="60"/>
      <c r="K104" s="64"/>
      <c r="L104" s="64"/>
      <c r="M104" s="25"/>
      <c r="N104" s="25"/>
    </row>
    <row r="105" spans="1:14">
      <c r="A105" s="8" t="s">
        <v>168</v>
      </c>
      <c r="B105" s="4" t="s">
        <v>169</v>
      </c>
      <c r="C105" s="7"/>
      <c r="D105" s="7">
        <f>F105-E105</f>
        <v>0</v>
      </c>
      <c r="E105" s="6">
        <f t="shared" si="3"/>
        <v>0</v>
      </c>
      <c r="F105" s="6">
        <f t="shared" si="4"/>
        <v>0</v>
      </c>
      <c r="G105" s="62"/>
      <c r="H105" s="62"/>
      <c r="I105" s="60"/>
      <c r="J105" s="60"/>
      <c r="K105" s="64"/>
      <c r="L105" s="64"/>
      <c r="M105" s="25"/>
      <c r="N105" s="25"/>
    </row>
    <row r="106" spans="1:14">
      <c r="A106" s="8" t="s">
        <v>170</v>
      </c>
      <c r="B106" s="4" t="s">
        <v>171</v>
      </c>
      <c r="C106" s="7">
        <f>E106-F106</f>
        <v>0</v>
      </c>
      <c r="D106" s="7"/>
      <c r="E106" s="6">
        <f t="shared" si="3"/>
        <v>0</v>
      </c>
      <c r="F106" s="6">
        <f t="shared" si="4"/>
        <v>0</v>
      </c>
      <c r="G106" s="62"/>
      <c r="H106" s="62"/>
      <c r="I106" s="60"/>
      <c r="J106" s="60"/>
      <c r="K106" s="64"/>
      <c r="L106" s="64"/>
      <c r="M106" s="25"/>
      <c r="N106" s="25"/>
    </row>
    <row r="107" spans="1:14" ht="28.5">
      <c r="A107" s="8" t="s">
        <v>172</v>
      </c>
      <c r="B107" s="4" t="s">
        <v>173</v>
      </c>
      <c r="C107" s="7"/>
      <c r="D107" s="7">
        <f>F107-E107</f>
        <v>0</v>
      </c>
      <c r="E107" s="6">
        <f t="shared" si="3"/>
        <v>0</v>
      </c>
      <c r="F107" s="6">
        <f t="shared" si="4"/>
        <v>0</v>
      </c>
      <c r="G107" s="62"/>
      <c r="H107" s="62"/>
      <c r="I107" s="60"/>
      <c r="J107" s="60"/>
      <c r="K107" s="64"/>
      <c r="L107" s="64"/>
      <c r="M107" s="25"/>
      <c r="N107" s="25"/>
    </row>
    <row r="108" spans="1:14">
      <c r="A108" s="8" t="s">
        <v>174</v>
      </c>
      <c r="B108" s="4" t="s">
        <v>175</v>
      </c>
      <c r="C108" s="7">
        <f>E108-F108</f>
        <v>0</v>
      </c>
      <c r="D108" s="7"/>
      <c r="E108" s="6">
        <f t="shared" si="3"/>
        <v>0</v>
      </c>
      <c r="F108" s="6">
        <f t="shared" si="4"/>
        <v>0</v>
      </c>
      <c r="G108" s="62"/>
      <c r="H108" s="62"/>
      <c r="I108" s="60"/>
      <c r="J108" s="60"/>
      <c r="K108" s="64"/>
      <c r="L108" s="64"/>
      <c r="M108" s="25"/>
      <c r="N108" s="25"/>
    </row>
    <row r="109" spans="1:14">
      <c r="A109" s="8" t="s">
        <v>176</v>
      </c>
      <c r="B109" s="4" t="s">
        <v>177</v>
      </c>
      <c r="C109" s="7"/>
      <c r="D109" s="7">
        <f>F109-E109</f>
        <v>0</v>
      </c>
      <c r="E109" s="6">
        <f t="shared" si="3"/>
        <v>0</v>
      </c>
      <c r="F109" s="6">
        <f t="shared" si="4"/>
        <v>0</v>
      </c>
      <c r="G109" s="62"/>
      <c r="H109" s="62"/>
      <c r="I109" s="60"/>
      <c r="J109" s="60"/>
      <c r="K109" s="64"/>
      <c r="L109" s="64"/>
      <c r="M109" s="25"/>
      <c r="N109" s="25"/>
    </row>
    <row r="110" spans="1:14">
      <c r="A110" s="8" t="s">
        <v>178</v>
      </c>
      <c r="B110" s="4" t="s">
        <v>179</v>
      </c>
      <c r="C110" s="7">
        <f>E110-F110</f>
        <v>0</v>
      </c>
      <c r="D110" s="7"/>
      <c r="E110" s="6">
        <f t="shared" si="3"/>
        <v>0</v>
      </c>
      <c r="F110" s="6">
        <f t="shared" si="4"/>
        <v>0</v>
      </c>
      <c r="G110" s="62"/>
      <c r="H110" s="62"/>
      <c r="I110" s="60"/>
      <c r="J110" s="60"/>
      <c r="K110" s="64"/>
      <c r="L110" s="64"/>
      <c r="M110" s="25"/>
      <c r="N110" s="25"/>
    </row>
    <row r="111" spans="1:14">
      <c r="A111" s="8" t="s">
        <v>180</v>
      </c>
      <c r="B111" s="4" t="s">
        <v>181</v>
      </c>
      <c r="C111" s="7"/>
      <c r="D111" s="7">
        <f>F111-E111</f>
        <v>0</v>
      </c>
      <c r="E111" s="6">
        <f t="shared" si="3"/>
        <v>0</v>
      </c>
      <c r="F111" s="6">
        <f t="shared" si="4"/>
        <v>0</v>
      </c>
      <c r="G111" s="62"/>
      <c r="H111" s="62"/>
      <c r="I111" s="60"/>
      <c r="J111" s="60"/>
      <c r="K111" s="64"/>
      <c r="L111" s="64"/>
      <c r="M111" s="25"/>
      <c r="N111" s="25"/>
    </row>
    <row r="112" spans="1:14">
      <c r="A112" s="8" t="s">
        <v>182</v>
      </c>
      <c r="B112" s="4" t="s">
        <v>183</v>
      </c>
      <c r="C112" s="7">
        <f>E112-F112</f>
        <v>0</v>
      </c>
      <c r="D112" s="7"/>
      <c r="E112" s="6">
        <f t="shared" si="3"/>
        <v>0</v>
      </c>
      <c r="F112" s="6">
        <f t="shared" si="4"/>
        <v>0</v>
      </c>
      <c r="G112" s="62"/>
      <c r="H112" s="62"/>
      <c r="I112" s="60"/>
      <c r="J112" s="60"/>
      <c r="K112" s="64"/>
      <c r="L112" s="64"/>
      <c r="M112" s="25"/>
      <c r="N112" s="25"/>
    </row>
    <row r="113" spans="1:14">
      <c r="A113" s="8" t="s">
        <v>184</v>
      </c>
      <c r="B113" s="4" t="s">
        <v>185</v>
      </c>
      <c r="C113" s="7"/>
      <c r="D113" s="7">
        <f>F113-E113</f>
        <v>0</v>
      </c>
      <c r="E113" s="6">
        <f t="shared" si="3"/>
        <v>0</v>
      </c>
      <c r="F113" s="6">
        <f t="shared" si="4"/>
        <v>0</v>
      </c>
      <c r="G113" s="62"/>
      <c r="H113" s="62"/>
      <c r="I113" s="60"/>
      <c r="J113" s="60"/>
      <c r="K113" s="64"/>
      <c r="L113" s="64"/>
      <c r="M113" s="25"/>
      <c r="N113" s="25"/>
    </row>
    <row r="114" spans="1:14">
      <c r="A114" s="8" t="s">
        <v>186</v>
      </c>
      <c r="B114" s="4" t="s">
        <v>187</v>
      </c>
      <c r="C114" s="7">
        <f>E114-F114</f>
        <v>0</v>
      </c>
      <c r="D114" s="7"/>
      <c r="E114" s="6">
        <f t="shared" si="3"/>
        <v>0</v>
      </c>
      <c r="F114" s="6">
        <f t="shared" si="4"/>
        <v>0</v>
      </c>
      <c r="G114" s="62"/>
      <c r="H114" s="62"/>
      <c r="I114" s="60"/>
      <c r="J114" s="60"/>
      <c r="K114" s="64"/>
      <c r="L114" s="64"/>
      <c r="M114" s="25"/>
      <c r="N114" s="25"/>
    </row>
    <row r="115" spans="1:14" ht="28.5">
      <c r="A115" s="8" t="s">
        <v>188</v>
      </c>
      <c r="B115" s="4" t="s">
        <v>189</v>
      </c>
      <c r="C115" s="7"/>
      <c r="D115" s="7">
        <f>F115-E115</f>
        <v>0</v>
      </c>
      <c r="E115" s="6">
        <f t="shared" si="3"/>
        <v>0</v>
      </c>
      <c r="F115" s="6">
        <f t="shared" si="4"/>
        <v>0</v>
      </c>
      <c r="G115" s="62"/>
      <c r="H115" s="62"/>
      <c r="I115" s="60"/>
      <c r="J115" s="60"/>
      <c r="K115" s="64"/>
      <c r="L115" s="64"/>
      <c r="M115" s="25"/>
      <c r="N115" s="25"/>
    </row>
    <row r="116" spans="1:14">
      <c r="A116" s="8" t="s">
        <v>190</v>
      </c>
      <c r="B116" s="4" t="s">
        <v>191</v>
      </c>
      <c r="C116" s="7">
        <f>E116-F116</f>
        <v>0</v>
      </c>
      <c r="D116" s="7"/>
      <c r="E116" s="6">
        <f t="shared" si="3"/>
        <v>0</v>
      </c>
      <c r="F116" s="6">
        <f t="shared" si="4"/>
        <v>0</v>
      </c>
      <c r="G116" s="62"/>
      <c r="H116" s="62"/>
      <c r="I116" s="60"/>
      <c r="J116" s="60"/>
      <c r="K116" s="64"/>
      <c r="L116" s="64"/>
      <c r="M116" s="25"/>
      <c r="N116" s="25"/>
    </row>
    <row r="117" spans="1:14">
      <c r="A117" s="8" t="s">
        <v>192</v>
      </c>
      <c r="B117" s="4" t="s">
        <v>193</v>
      </c>
      <c r="C117" s="7"/>
      <c r="D117" s="7">
        <f>F117-E117</f>
        <v>0</v>
      </c>
      <c r="E117" s="6">
        <f t="shared" si="3"/>
        <v>0</v>
      </c>
      <c r="F117" s="6">
        <f t="shared" si="4"/>
        <v>0</v>
      </c>
      <c r="G117" s="62"/>
      <c r="H117" s="62"/>
      <c r="I117" s="60"/>
      <c r="J117" s="60"/>
      <c r="K117" s="64"/>
      <c r="L117" s="64"/>
      <c r="M117" s="25"/>
      <c r="N117" s="25"/>
    </row>
    <row r="118" spans="1:14">
      <c r="A118" s="8" t="s">
        <v>194</v>
      </c>
      <c r="B118" s="4" t="s">
        <v>195</v>
      </c>
      <c r="C118" s="7">
        <f>E118-F118</f>
        <v>0</v>
      </c>
      <c r="D118" s="7"/>
      <c r="E118" s="6">
        <f t="shared" si="3"/>
        <v>0</v>
      </c>
      <c r="F118" s="6">
        <f t="shared" si="4"/>
        <v>0</v>
      </c>
      <c r="G118" s="62"/>
      <c r="H118" s="62"/>
      <c r="I118" s="60"/>
      <c r="J118" s="60"/>
      <c r="K118" s="64"/>
      <c r="L118" s="64"/>
      <c r="M118" s="25"/>
      <c r="N118" s="25"/>
    </row>
    <row r="119" spans="1:14" ht="28.5">
      <c r="A119" s="8" t="s">
        <v>196</v>
      </c>
      <c r="B119" s="4" t="s">
        <v>197</v>
      </c>
      <c r="C119" s="7"/>
      <c r="D119" s="7">
        <f>F119-E119</f>
        <v>0</v>
      </c>
      <c r="E119" s="6">
        <f t="shared" si="3"/>
        <v>0</v>
      </c>
      <c r="F119" s="6">
        <f t="shared" si="4"/>
        <v>0</v>
      </c>
      <c r="G119" s="62"/>
      <c r="H119" s="62"/>
      <c r="I119" s="60"/>
      <c r="J119" s="60"/>
      <c r="K119" s="64"/>
      <c r="L119" s="64"/>
      <c r="M119" s="25"/>
      <c r="N119" s="25"/>
    </row>
    <row r="120" spans="1:14">
      <c r="A120" s="8" t="s">
        <v>198</v>
      </c>
      <c r="B120" s="4" t="s">
        <v>199</v>
      </c>
      <c r="C120" s="7">
        <f>E120-F120</f>
        <v>0</v>
      </c>
      <c r="D120" s="7"/>
      <c r="E120" s="6">
        <f t="shared" si="3"/>
        <v>0</v>
      </c>
      <c r="F120" s="6">
        <f t="shared" si="4"/>
        <v>0</v>
      </c>
      <c r="G120" s="62"/>
      <c r="H120" s="62"/>
      <c r="I120" s="60"/>
      <c r="J120" s="60"/>
      <c r="K120" s="64"/>
      <c r="L120" s="64"/>
      <c r="M120" s="25"/>
      <c r="N120" s="25"/>
    </row>
    <row r="121" spans="1:14" ht="28.5">
      <c r="A121" s="8" t="s">
        <v>200</v>
      </c>
      <c r="B121" s="4" t="s">
        <v>201</v>
      </c>
      <c r="C121" s="7"/>
      <c r="D121" s="7">
        <f>F121-E121</f>
        <v>0</v>
      </c>
      <c r="E121" s="6">
        <f t="shared" si="3"/>
        <v>0</v>
      </c>
      <c r="F121" s="6">
        <f t="shared" si="4"/>
        <v>0</v>
      </c>
      <c r="G121" s="62"/>
      <c r="H121" s="62"/>
      <c r="I121" s="60"/>
      <c r="J121" s="60"/>
      <c r="K121" s="64"/>
      <c r="L121" s="64"/>
      <c r="M121" s="25"/>
      <c r="N121" s="25"/>
    </row>
    <row r="122" spans="1:14">
      <c r="A122" s="8" t="s">
        <v>202</v>
      </c>
      <c r="B122" s="4" t="s">
        <v>203</v>
      </c>
      <c r="C122" s="7">
        <f>E122-F122</f>
        <v>0</v>
      </c>
      <c r="D122" s="7"/>
      <c r="E122" s="6">
        <f t="shared" si="3"/>
        <v>0</v>
      </c>
      <c r="F122" s="6">
        <f t="shared" si="4"/>
        <v>0</v>
      </c>
      <c r="G122" s="62"/>
      <c r="H122" s="62"/>
      <c r="I122" s="60"/>
      <c r="J122" s="60"/>
      <c r="K122" s="64"/>
      <c r="L122" s="64"/>
      <c r="M122" s="25"/>
      <c r="N122" s="25"/>
    </row>
    <row r="123" spans="1:14" ht="28.5">
      <c r="A123" s="8" t="s">
        <v>204</v>
      </c>
      <c r="B123" s="4" t="s">
        <v>205</v>
      </c>
      <c r="C123" s="7"/>
      <c r="D123" s="7">
        <f>F123-E123</f>
        <v>0</v>
      </c>
      <c r="E123" s="6">
        <f t="shared" si="3"/>
        <v>0</v>
      </c>
      <c r="F123" s="6">
        <f t="shared" si="4"/>
        <v>0</v>
      </c>
      <c r="G123" s="62"/>
      <c r="H123" s="62"/>
      <c r="I123" s="60"/>
      <c r="J123" s="60"/>
      <c r="K123" s="64"/>
      <c r="L123" s="64"/>
      <c r="M123" s="25"/>
      <c r="N123" s="25"/>
    </row>
    <row r="124" spans="1:14">
      <c r="A124" s="8" t="s">
        <v>206</v>
      </c>
      <c r="B124" s="4" t="s">
        <v>207</v>
      </c>
      <c r="C124" s="7">
        <f>E124-F124</f>
        <v>0</v>
      </c>
      <c r="D124" s="7"/>
      <c r="E124" s="6">
        <f t="shared" si="3"/>
        <v>0</v>
      </c>
      <c r="F124" s="6">
        <f t="shared" si="4"/>
        <v>0</v>
      </c>
      <c r="G124" s="62"/>
      <c r="H124" s="62"/>
      <c r="I124" s="60"/>
      <c r="J124" s="60"/>
      <c r="K124" s="64"/>
      <c r="L124" s="64"/>
      <c r="M124" s="25"/>
      <c r="N124" s="25"/>
    </row>
    <row r="125" spans="1:14">
      <c r="A125" s="8" t="s">
        <v>208</v>
      </c>
      <c r="B125" s="4" t="s">
        <v>209</v>
      </c>
      <c r="C125" s="7"/>
      <c r="D125" s="7">
        <f>F125-E125</f>
        <v>0</v>
      </c>
      <c r="E125" s="6">
        <f t="shared" si="3"/>
        <v>0</v>
      </c>
      <c r="F125" s="6">
        <f t="shared" si="4"/>
        <v>0</v>
      </c>
      <c r="G125" s="62"/>
      <c r="H125" s="62"/>
      <c r="I125" s="60"/>
      <c r="J125" s="60"/>
      <c r="K125" s="64"/>
      <c r="L125" s="64"/>
      <c r="M125" s="25"/>
      <c r="N125" s="25"/>
    </row>
    <row r="126" spans="1:14">
      <c r="A126" s="8" t="s">
        <v>210</v>
      </c>
      <c r="B126" s="4" t="s">
        <v>211</v>
      </c>
      <c r="C126" s="7">
        <f>E126-F126</f>
        <v>0</v>
      </c>
      <c r="D126" s="7"/>
      <c r="E126" s="6">
        <f t="shared" si="3"/>
        <v>0</v>
      </c>
      <c r="F126" s="6">
        <f t="shared" si="4"/>
        <v>0</v>
      </c>
      <c r="G126" s="62"/>
      <c r="H126" s="62"/>
      <c r="I126" s="60"/>
      <c r="J126" s="60"/>
      <c r="K126" s="64"/>
      <c r="L126" s="64"/>
      <c r="M126" s="25"/>
      <c r="N126" s="25"/>
    </row>
    <row r="127" spans="1:14" ht="28.5">
      <c r="A127" s="8" t="s">
        <v>212</v>
      </c>
      <c r="B127" s="4" t="s">
        <v>213</v>
      </c>
      <c r="C127" s="7"/>
      <c r="D127" s="7">
        <f>F127-E127</f>
        <v>0</v>
      </c>
      <c r="E127" s="6">
        <f t="shared" si="3"/>
        <v>0</v>
      </c>
      <c r="F127" s="6">
        <f t="shared" si="4"/>
        <v>0</v>
      </c>
      <c r="G127" s="62"/>
      <c r="H127" s="62"/>
      <c r="I127" s="60"/>
      <c r="J127" s="60"/>
      <c r="K127" s="64"/>
      <c r="L127" s="64"/>
      <c r="M127" s="25"/>
      <c r="N127" s="25"/>
    </row>
    <row r="128" spans="1:14">
      <c r="A128" s="8" t="s">
        <v>214</v>
      </c>
      <c r="B128" s="4" t="s">
        <v>215</v>
      </c>
      <c r="C128" s="7">
        <f>E128-F128</f>
        <v>0</v>
      </c>
      <c r="D128" s="7"/>
      <c r="E128" s="6">
        <f t="shared" si="3"/>
        <v>0</v>
      </c>
      <c r="F128" s="6">
        <f t="shared" si="4"/>
        <v>0</v>
      </c>
      <c r="G128" s="62"/>
      <c r="H128" s="62"/>
      <c r="I128" s="60"/>
      <c r="J128" s="60"/>
      <c r="K128" s="64"/>
      <c r="L128" s="64"/>
      <c r="M128" s="25"/>
      <c r="N128" s="25"/>
    </row>
    <row r="129" spans="1:14" ht="28.5">
      <c r="A129" s="8" t="s">
        <v>216</v>
      </c>
      <c r="B129" s="4" t="s">
        <v>217</v>
      </c>
      <c r="C129" s="7"/>
      <c r="D129" s="7">
        <f>F129-E129</f>
        <v>0</v>
      </c>
      <c r="E129" s="6">
        <f t="shared" si="3"/>
        <v>0</v>
      </c>
      <c r="F129" s="6">
        <f t="shared" si="4"/>
        <v>0</v>
      </c>
      <c r="G129" s="62"/>
      <c r="H129" s="62"/>
      <c r="I129" s="60"/>
      <c r="J129" s="60"/>
      <c r="K129" s="64"/>
      <c r="L129" s="64"/>
      <c r="M129" s="25"/>
      <c r="N129" s="25"/>
    </row>
    <row r="130" spans="1:14">
      <c r="A130" s="8" t="s">
        <v>218</v>
      </c>
      <c r="B130" s="4" t="s">
        <v>219</v>
      </c>
      <c r="C130" s="7">
        <f>E130-F130</f>
        <v>0</v>
      </c>
      <c r="D130" s="7"/>
      <c r="E130" s="6">
        <f t="shared" si="3"/>
        <v>0</v>
      </c>
      <c r="F130" s="6">
        <f t="shared" si="4"/>
        <v>0</v>
      </c>
      <c r="G130" s="62"/>
      <c r="H130" s="62"/>
      <c r="I130" s="60"/>
      <c r="J130" s="60"/>
      <c r="K130" s="64"/>
      <c r="L130" s="64"/>
      <c r="M130" s="25"/>
      <c r="N130" s="25"/>
    </row>
    <row r="131" spans="1:14">
      <c r="A131" s="8" t="s">
        <v>220</v>
      </c>
      <c r="B131" s="4" t="s">
        <v>221</v>
      </c>
      <c r="C131" s="7"/>
      <c r="D131" s="7">
        <f>F131-E131</f>
        <v>0</v>
      </c>
      <c r="E131" s="6">
        <f t="shared" si="3"/>
        <v>0</v>
      </c>
      <c r="F131" s="6">
        <f t="shared" si="4"/>
        <v>0</v>
      </c>
      <c r="G131" s="62"/>
      <c r="H131" s="62"/>
      <c r="I131" s="60"/>
      <c r="J131" s="60"/>
      <c r="K131" s="64"/>
      <c r="L131" s="64"/>
      <c r="M131" s="25"/>
      <c r="N131" s="25"/>
    </row>
    <row r="132" spans="1:14">
      <c r="A132" s="8" t="s">
        <v>222</v>
      </c>
      <c r="B132" s="4" t="s">
        <v>223</v>
      </c>
      <c r="C132" s="7">
        <f>E132-F132</f>
        <v>0</v>
      </c>
      <c r="D132" s="7"/>
      <c r="E132" s="6">
        <f t="shared" si="3"/>
        <v>0</v>
      </c>
      <c r="F132" s="6">
        <f t="shared" si="4"/>
        <v>0</v>
      </c>
      <c r="G132" s="62"/>
      <c r="H132" s="62"/>
      <c r="I132" s="60"/>
      <c r="J132" s="60"/>
      <c r="K132" s="64"/>
      <c r="L132" s="64"/>
      <c r="M132" s="25"/>
      <c r="N132" s="25"/>
    </row>
    <row r="133" spans="1:14" ht="28.5">
      <c r="A133" s="8" t="s">
        <v>224</v>
      </c>
      <c r="B133" s="4" t="s">
        <v>225</v>
      </c>
      <c r="C133" s="7"/>
      <c r="D133" s="7">
        <f>F133-E133</f>
        <v>0</v>
      </c>
      <c r="E133" s="6">
        <f t="shared" si="3"/>
        <v>0</v>
      </c>
      <c r="F133" s="6">
        <f t="shared" si="4"/>
        <v>0</v>
      </c>
      <c r="G133" s="62"/>
      <c r="H133" s="62"/>
      <c r="I133" s="60"/>
      <c r="J133" s="60"/>
      <c r="K133" s="64"/>
      <c r="L133" s="64"/>
      <c r="M133" s="25"/>
      <c r="N133" s="25"/>
    </row>
    <row r="134" spans="1:14">
      <c r="A134" s="8" t="s">
        <v>226</v>
      </c>
      <c r="B134" s="4" t="s">
        <v>227</v>
      </c>
      <c r="C134" s="7">
        <f>E134-F134</f>
        <v>0</v>
      </c>
      <c r="D134" s="7"/>
      <c r="E134" s="6">
        <f t="shared" si="3"/>
        <v>0</v>
      </c>
      <c r="F134" s="6">
        <f t="shared" si="4"/>
        <v>0</v>
      </c>
      <c r="G134" s="62"/>
      <c r="H134" s="62"/>
      <c r="I134" s="60"/>
      <c r="J134" s="60"/>
      <c r="K134" s="64"/>
      <c r="L134" s="64"/>
      <c r="M134" s="25"/>
      <c r="N134" s="25"/>
    </row>
    <row r="135" spans="1:14" ht="28.5">
      <c r="A135" s="8" t="s">
        <v>228</v>
      </c>
      <c r="B135" s="4" t="s">
        <v>229</v>
      </c>
      <c r="C135" s="7"/>
      <c r="D135" s="7">
        <f>F135-E135</f>
        <v>0</v>
      </c>
      <c r="E135" s="6">
        <f t="shared" si="3"/>
        <v>0</v>
      </c>
      <c r="F135" s="6">
        <f t="shared" si="4"/>
        <v>0</v>
      </c>
      <c r="G135" s="62"/>
      <c r="H135" s="62"/>
      <c r="I135" s="60"/>
      <c r="J135" s="60"/>
      <c r="K135" s="64"/>
      <c r="L135" s="64"/>
      <c r="M135" s="25"/>
      <c r="N135" s="25"/>
    </row>
    <row r="136" spans="1:14">
      <c r="A136" s="8" t="s">
        <v>230</v>
      </c>
      <c r="B136" s="4" t="s">
        <v>231</v>
      </c>
      <c r="C136" s="7">
        <f>E136-F136</f>
        <v>0</v>
      </c>
      <c r="D136" s="7"/>
      <c r="E136" s="6">
        <f t="shared" si="3"/>
        <v>0</v>
      </c>
      <c r="F136" s="6">
        <f t="shared" si="4"/>
        <v>0</v>
      </c>
      <c r="G136" s="62"/>
      <c r="H136" s="62"/>
      <c r="I136" s="60"/>
      <c r="J136" s="60"/>
      <c r="K136" s="64"/>
      <c r="L136" s="64"/>
      <c r="M136" s="25"/>
      <c r="N136" s="25"/>
    </row>
    <row r="137" spans="1:14">
      <c r="A137" s="8" t="s">
        <v>232</v>
      </c>
      <c r="B137" s="4" t="s">
        <v>233</v>
      </c>
      <c r="C137" s="7"/>
      <c r="D137" s="7">
        <f>F137-E137</f>
        <v>0</v>
      </c>
      <c r="E137" s="6">
        <f t="shared" si="3"/>
        <v>0</v>
      </c>
      <c r="F137" s="6">
        <f t="shared" si="4"/>
        <v>0</v>
      </c>
      <c r="G137" s="62"/>
      <c r="H137" s="62"/>
      <c r="I137" s="60"/>
      <c r="J137" s="60"/>
      <c r="K137" s="64"/>
      <c r="L137" s="64"/>
      <c r="M137" s="25"/>
      <c r="N137" s="25"/>
    </row>
    <row r="138" spans="1:14">
      <c r="A138" s="8" t="s">
        <v>234</v>
      </c>
      <c r="B138" s="4" t="s">
        <v>235</v>
      </c>
      <c r="C138" s="7">
        <f>E138-F138</f>
        <v>0</v>
      </c>
      <c r="D138" s="7"/>
      <c r="E138" s="6">
        <f t="shared" si="3"/>
        <v>0</v>
      </c>
      <c r="F138" s="6">
        <f t="shared" si="4"/>
        <v>0</v>
      </c>
      <c r="G138" s="62"/>
      <c r="H138" s="62"/>
      <c r="I138" s="60"/>
      <c r="J138" s="60"/>
      <c r="K138" s="64"/>
      <c r="L138" s="64"/>
      <c r="M138" s="25"/>
      <c r="N138" s="25"/>
    </row>
    <row r="139" spans="1:14">
      <c r="A139" s="8" t="s">
        <v>236</v>
      </c>
      <c r="B139" s="4" t="s">
        <v>237</v>
      </c>
      <c r="C139" s="7"/>
      <c r="D139" s="7">
        <f>F139-E139</f>
        <v>0</v>
      </c>
      <c r="E139" s="6">
        <f t="shared" si="3"/>
        <v>0</v>
      </c>
      <c r="F139" s="6">
        <f t="shared" si="4"/>
        <v>0</v>
      </c>
      <c r="G139" s="62"/>
      <c r="H139" s="62"/>
      <c r="I139" s="60"/>
      <c r="J139" s="60"/>
      <c r="K139" s="64"/>
      <c r="L139" s="64"/>
      <c r="M139" s="25"/>
      <c r="N139" s="25"/>
    </row>
    <row r="140" spans="1:14">
      <c r="A140" s="8" t="s">
        <v>238</v>
      </c>
      <c r="B140" s="4" t="s">
        <v>239</v>
      </c>
      <c r="C140" s="7">
        <f>E140-F140</f>
        <v>0</v>
      </c>
      <c r="D140" s="7"/>
      <c r="E140" s="6">
        <f t="shared" si="3"/>
        <v>0</v>
      </c>
      <c r="F140" s="6">
        <f t="shared" si="4"/>
        <v>0</v>
      </c>
      <c r="G140" s="62"/>
      <c r="H140" s="62"/>
      <c r="I140" s="60"/>
      <c r="J140" s="60"/>
      <c r="K140" s="64"/>
      <c r="L140" s="64"/>
      <c r="M140" s="25"/>
      <c r="N140" s="25"/>
    </row>
    <row r="141" spans="1:14" ht="28.5">
      <c r="A141" s="8" t="s">
        <v>240</v>
      </c>
      <c r="B141" s="4" t="s">
        <v>241</v>
      </c>
      <c r="C141" s="7"/>
      <c r="D141" s="7">
        <f>F141-E141</f>
        <v>0</v>
      </c>
      <c r="E141" s="6">
        <f t="shared" si="3"/>
        <v>0</v>
      </c>
      <c r="F141" s="6">
        <f t="shared" si="4"/>
        <v>0</v>
      </c>
      <c r="G141" s="62"/>
      <c r="H141" s="62"/>
      <c r="I141" s="60"/>
      <c r="J141" s="60"/>
      <c r="K141" s="64"/>
      <c r="L141" s="64"/>
      <c r="M141" s="25"/>
      <c r="N141" s="25"/>
    </row>
    <row r="142" spans="1:14">
      <c r="A142" s="8" t="s">
        <v>242</v>
      </c>
      <c r="B142" s="4" t="s">
        <v>243</v>
      </c>
      <c r="C142" s="7">
        <f>E142-F142</f>
        <v>0</v>
      </c>
      <c r="D142" s="7"/>
      <c r="E142" s="6">
        <f t="shared" ref="E142:E205" si="5">SUM(G142,I142,K142,M142)</f>
        <v>0</v>
      </c>
      <c r="F142" s="6">
        <f t="shared" ref="F142:F205" si="6">SUM(H142,J142,L142,N142)</f>
        <v>0</v>
      </c>
      <c r="G142" s="62"/>
      <c r="H142" s="62"/>
      <c r="I142" s="60"/>
      <c r="J142" s="60"/>
      <c r="K142" s="64"/>
      <c r="L142" s="64"/>
      <c r="M142" s="25"/>
      <c r="N142" s="25"/>
    </row>
    <row r="143" spans="1:14">
      <c r="A143" s="8" t="s">
        <v>244</v>
      </c>
      <c r="B143" s="4" t="s">
        <v>245</v>
      </c>
      <c r="C143" s="7"/>
      <c r="D143" s="7">
        <f>F143-E143</f>
        <v>0</v>
      </c>
      <c r="E143" s="6">
        <f t="shared" si="5"/>
        <v>0</v>
      </c>
      <c r="F143" s="6">
        <f t="shared" si="6"/>
        <v>0</v>
      </c>
      <c r="G143" s="62"/>
      <c r="H143" s="62"/>
      <c r="I143" s="60"/>
      <c r="J143" s="60"/>
      <c r="K143" s="64"/>
      <c r="L143" s="64"/>
      <c r="M143" s="25"/>
      <c r="N143" s="25"/>
    </row>
    <row r="144" spans="1:14">
      <c r="A144" s="8" t="s">
        <v>246</v>
      </c>
      <c r="B144" s="4" t="s">
        <v>247</v>
      </c>
      <c r="C144" s="7">
        <f>E144-F144</f>
        <v>0</v>
      </c>
      <c r="D144" s="7"/>
      <c r="E144" s="6">
        <f t="shared" si="5"/>
        <v>0</v>
      </c>
      <c r="F144" s="6">
        <f t="shared" si="6"/>
        <v>0</v>
      </c>
      <c r="G144" s="62"/>
      <c r="H144" s="62"/>
      <c r="I144" s="60"/>
      <c r="J144" s="60"/>
      <c r="K144" s="64"/>
      <c r="L144" s="64"/>
      <c r="M144" s="25"/>
      <c r="N144" s="25"/>
    </row>
    <row r="145" spans="1:14" ht="28.5">
      <c r="A145" s="8" t="s">
        <v>248</v>
      </c>
      <c r="B145" s="4" t="s">
        <v>249</v>
      </c>
      <c r="C145" s="7"/>
      <c r="D145" s="7">
        <f>F145-E145</f>
        <v>0</v>
      </c>
      <c r="E145" s="6">
        <f t="shared" si="5"/>
        <v>0</v>
      </c>
      <c r="F145" s="6">
        <f t="shared" si="6"/>
        <v>0</v>
      </c>
      <c r="G145" s="62"/>
      <c r="H145" s="62"/>
      <c r="I145" s="60"/>
      <c r="J145" s="60"/>
      <c r="K145" s="64"/>
      <c r="L145" s="64"/>
      <c r="M145" s="25"/>
      <c r="N145" s="25"/>
    </row>
    <row r="146" spans="1:14">
      <c r="A146" s="8" t="s">
        <v>250</v>
      </c>
      <c r="B146" s="4" t="s">
        <v>251</v>
      </c>
      <c r="C146" s="7">
        <f>E146-F146</f>
        <v>0</v>
      </c>
      <c r="D146" s="7"/>
      <c r="E146" s="6">
        <f t="shared" si="5"/>
        <v>0</v>
      </c>
      <c r="F146" s="6">
        <f t="shared" si="6"/>
        <v>0</v>
      </c>
      <c r="G146" s="62"/>
      <c r="H146" s="62"/>
      <c r="I146" s="60"/>
      <c r="J146" s="60"/>
      <c r="K146" s="64"/>
      <c r="L146" s="64"/>
      <c r="M146" s="25"/>
      <c r="N146" s="25"/>
    </row>
    <row r="147" spans="1:14" ht="28.5">
      <c r="A147" s="8" t="s">
        <v>252</v>
      </c>
      <c r="B147" s="4" t="s">
        <v>253</v>
      </c>
      <c r="C147" s="7"/>
      <c r="D147" s="7">
        <f>F147-E147</f>
        <v>0</v>
      </c>
      <c r="E147" s="6">
        <f t="shared" si="5"/>
        <v>0</v>
      </c>
      <c r="F147" s="6">
        <f t="shared" si="6"/>
        <v>0</v>
      </c>
      <c r="G147" s="62"/>
      <c r="H147" s="62"/>
      <c r="I147" s="60"/>
      <c r="J147" s="60"/>
      <c r="K147" s="64"/>
      <c r="L147" s="64"/>
      <c r="M147" s="25"/>
      <c r="N147" s="25"/>
    </row>
    <row r="148" spans="1:14">
      <c r="A148" s="8" t="s">
        <v>254</v>
      </c>
      <c r="B148" s="4" t="s">
        <v>255</v>
      </c>
      <c r="C148" s="7">
        <f t="shared" ref="C148:C173" si="7">E148-F148</f>
        <v>0</v>
      </c>
      <c r="D148" s="7"/>
      <c r="E148" s="6">
        <f t="shared" si="5"/>
        <v>0</v>
      </c>
      <c r="F148" s="6">
        <f t="shared" si="6"/>
        <v>0</v>
      </c>
      <c r="G148" s="62"/>
      <c r="H148" s="62"/>
      <c r="I148" s="60"/>
      <c r="J148" s="60"/>
      <c r="K148" s="64"/>
      <c r="L148" s="64"/>
      <c r="M148" s="25"/>
      <c r="N148" s="25"/>
    </row>
    <row r="149" spans="1:14">
      <c r="A149" s="8" t="s">
        <v>256</v>
      </c>
      <c r="B149" s="4" t="s">
        <v>257</v>
      </c>
      <c r="C149" s="7">
        <f t="shared" si="7"/>
        <v>0</v>
      </c>
      <c r="D149" s="7"/>
      <c r="E149" s="6">
        <f t="shared" si="5"/>
        <v>0</v>
      </c>
      <c r="F149" s="6">
        <f t="shared" si="6"/>
        <v>0</v>
      </c>
      <c r="G149" s="62"/>
      <c r="H149" s="62"/>
      <c r="I149" s="60"/>
      <c r="J149" s="60"/>
      <c r="K149" s="64"/>
      <c r="L149" s="64"/>
      <c r="M149" s="25"/>
      <c r="N149" s="25"/>
    </row>
    <row r="150" spans="1:14">
      <c r="A150" s="8" t="s">
        <v>258</v>
      </c>
      <c r="B150" s="4" t="s">
        <v>259</v>
      </c>
      <c r="C150" s="7">
        <f t="shared" si="7"/>
        <v>0</v>
      </c>
      <c r="D150" s="7"/>
      <c r="E150" s="6">
        <f t="shared" si="5"/>
        <v>0</v>
      </c>
      <c r="F150" s="6">
        <f t="shared" si="6"/>
        <v>0</v>
      </c>
      <c r="G150" s="62"/>
      <c r="H150" s="62"/>
      <c r="I150" s="60"/>
      <c r="J150" s="60"/>
      <c r="K150" s="64"/>
      <c r="L150" s="64"/>
      <c r="M150" s="25"/>
      <c r="N150" s="25"/>
    </row>
    <row r="151" spans="1:14" ht="28.5">
      <c r="A151" s="8" t="s">
        <v>260</v>
      </c>
      <c r="B151" s="4" t="s">
        <v>261</v>
      </c>
      <c r="C151" s="7">
        <f t="shared" si="7"/>
        <v>0</v>
      </c>
      <c r="D151" s="7"/>
      <c r="E151" s="6">
        <f t="shared" si="5"/>
        <v>0</v>
      </c>
      <c r="F151" s="6">
        <f t="shared" si="6"/>
        <v>0</v>
      </c>
      <c r="G151" s="62"/>
      <c r="H151" s="62"/>
      <c r="I151" s="60"/>
      <c r="J151" s="60"/>
      <c r="K151" s="64"/>
      <c r="L151" s="64"/>
      <c r="M151" s="25"/>
      <c r="N151" s="25"/>
    </row>
    <row r="152" spans="1:14">
      <c r="A152" s="8" t="s">
        <v>262</v>
      </c>
      <c r="B152" s="4" t="s">
        <v>263</v>
      </c>
      <c r="C152" s="7">
        <f t="shared" si="7"/>
        <v>0</v>
      </c>
      <c r="D152" s="7"/>
      <c r="E152" s="6">
        <f t="shared" si="5"/>
        <v>0</v>
      </c>
      <c r="F152" s="6">
        <f t="shared" si="6"/>
        <v>0</v>
      </c>
      <c r="G152" s="62"/>
      <c r="H152" s="62"/>
      <c r="I152" s="60"/>
      <c r="J152" s="60"/>
      <c r="K152" s="64"/>
      <c r="L152" s="64"/>
      <c r="M152" s="25"/>
      <c r="N152" s="25"/>
    </row>
    <row r="153" spans="1:14">
      <c r="A153" s="8" t="s">
        <v>264</v>
      </c>
      <c r="B153" s="4" t="s">
        <v>265</v>
      </c>
      <c r="C153" s="7">
        <f t="shared" si="7"/>
        <v>0</v>
      </c>
      <c r="D153" s="7"/>
      <c r="E153" s="6">
        <f t="shared" si="5"/>
        <v>0</v>
      </c>
      <c r="F153" s="6">
        <f t="shared" si="6"/>
        <v>0</v>
      </c>
      <c r="G153" s="62"/>
      <c r="H153" s="62"/>
      <c r="I153" s="60"/>
      <c r="J153" s="60"/>
      <c r="K153" s="64"/>
      <c r="L153" s="64"/>
      <c r="M153" s="25"/>
      <c r="N153" s="25"/>
    </row>
    <row r="154" spans="1:14" ht="28.5">
      <c r="A154" s="8" t="s">
        <v>266</v>
      </c>
      <c r="B154" s="4" t="s">
        <v>267</v>
      </c>
      <c r="C154" s="7">
        <f t="shared" si="7"/>
        <v>0</v>
      </c>
      <c r="D154" s="7"/>
      <c r="E154" s="6">
        <f t="shared" si="5"/>
        <v>0</v>
      </c>
      <c r="F154" s="6">
        <f t="shared" si="6"/>
        <v>0</v>
      </c>
      <c r="G154" s="62"/>
      <c r="H154" s="62"/>
      <c r="I154" s="60"/>
      <c r="J154" s="60"/>
      <c r="K154" s="64"/>
      <c r="L154" s="64"/>
      <c r="M154" s="25"/>
      <c r="N154" s="25"/>
    </row>
    <row r="155" spans="1:14">
      <c r="A155" s="8" t="s">
        <v>268</v>
      </c>
      <c r="B155" s="4" t="s">
        <v>269</v>
      </c>
      <c r="C155" s="7">
        <f t="shared" si="7"/>
        <v>0</v>
      </c>
      <c r="D155" s="7"/>
      <c r="E155" s="6">
        <f t="shared" si="5"/>
        <v>0</v>
      </c>
      <c r="F155" s="6">
        <f t="shared" si="6"/>
        <v>0</v>
      </c>
      <c r="G155" s="62"/>
      <c r="H155" s="62"/>
      <c r="I155" s="60"/>
      <c r="J155" s="60"/>
      <c r="K155" s="64"/>
      <c r="L155" s="64"/>
      <c r="M155" s="25"/>
      <c r="N155" s="25"/>
    </row>
    <row r="156" spans="1:14">
      <c r="A156" s="8" t="s">
        <v>270</v>
      </c>
      <c r="B156" s="4" t="s">
        <v>271</v>
      </c>
      <c r="C156" s="7">
        <f t="shared" si="7"/>
        <v>0</v>
      </c>
      <c r="D156" s="7"/>
      <c r="E156" s="6">
        <f t="shared" si="5"/>
        <v>0</v>
      </c>
      <c r="F156" s="6">
        <f t="shared" si="6"/>
        <v>0</v>
      </c>
      <c r="G156" s="62"/>
      <c r="H156" s="62"/>
      <c r="I156" s="60"/>
      <c r="J156" s="60"/>
      <c r="K156" s="64"/>
      <c r="L156" s="64"/>
      <c r="M156" s="25"/>
      <c r="N156" s="25"/>
    </row>
    <row r="157" spans="1:14">
      <c r="A157" s="8" t="s">
        <v>272</v>
      </c>
      <c r="B157" s="4" t="s">
        <v>273</v>
      </c>
      <c r="C157" s="7">
        <f t="shared" si="7"/>
        <v>0</v>
      </c>
      <c r="D157" s="7"/>
      <c r="E157" s="6">
        <f t="shared" si="5"/>
        <v>0</v>
      </c>
      <c r="F157" s="6">
        <f t="shared" si="6"/>
        <v>0</v>
      </c>
      <c r="G157" s="62"/>
      <c r="H157" s="62"/>
      <c r="I157" s="60"/>
      <c r="J157" s="60"/>
      <c r="K157" s="64"/>
      <c r="L157" s="64"/>
      <c r="M157" s="25"/>
      <c r="N157" s="25"/>
    </row>
    <row r="158" spans="1:14">
      <c r="A158" s="8" t="s">
        <v>274</v>
      </c>
      <c r="B158" s="4" t="s">
        <v>275</v>
      </c>
      <c r="C158" s="7">
        <f t="shared" si="7"/>
        <v>0</v>
      </c>
      <c r="D158" s="7"/>
      <c r="E158" s="6">
        <f t="shared" si="5"/>
        <v>0</v>
      </c>
      <c r="F158" s="6">
        <f t="shared" si="6"/>
        <v>0</v>
      </c>
      <c r="G158" s="62"/>
      <c r="H158" s="62"/>
      <c r="I158" s="60"/>
      <c r="J158" s="60"/>
      <c r="K158" s="64"/>
      <c r="L158" s="64"/>
      <c r="M158" s="25"/>
      <c r="N158" s="25"/>
    </row>
    <row r="159" spans="1:14" ht="28.5">
      <c r="A159" s="8" t="s">
        <v>276</v>
      </c>
      <c r="B159" s="4" t="s">
        <v>277</v>
      </c>
      <c r="C159" s="7">
        <f t="shared" si="7"/>
        <v>0</v>
      </c>
      <c r="D159" s="7"/>
      <c r="E159" s="6">
        <f t="shared" si="5"/>
        <v>0</v>
      </c>
      <c r="F159" s="6">
        <f t="shared" si="6"/>
        <v>0</v>
      </c>
      <c r="G159" s="62"/>
      <c r="H159" s="62"/>
      <c r="I159" s="60"/>
      <c r="J159" s="60"/>
      <c r="K159" s="64"/>
      <c r="L159" s="64"/>
      <c r="M159" s="25"/>
      <c r="N159" s="25"/>
    </row>
    <row r="160" spans="1:14" ht="28.5">
      <c r="A160" s="8" t="s">
        <v>278</v>
      </c>
      <c r="B160" s="4" t="s">
        <v>279</v>
      </c>
      <c r="C160" s="7">
        <f t="shared" si="7"/>
        <v>0</v>
      </c>
      <c r="D160" s="7"/>
      <c r="E160" s="6">
        <f t="shared" si="5"/>
        <v>0</v>
      </c>
      <c r="F160" s="6">
        <f t="shared" si="6"/>
        <v>0</v>
      </c>
      <c r="G160" s="62"/>
      <c r="H160" s="62"/>
      <c r="I160" s="60"/>
      <c r="J160" s="60"/>
      <c r="K160" s="64"/>
      <c r="L160" s="64"/>
      <c r="M160" s="25"/>
      <c r="N160" s="25"/>
    </row>
    <row r="161" spans="1:14" ht="28.5">
      <c r="A161" s="8" t="s">
        <v>280</v>
      </c>
      <c r="B161" s="4" t="s">
        <v>281</v>
      </c>
      <c r="C161" s="7">
        <f t="shared" si="7"/>
        <v>0</v>
      </c>
      <c r="D161" s="7"/>
      <c r="E161" s="6">
        <f t="shared" si="5"/>
        <v>0</v>
      </c>
      <c r="F161" s="6">
        <f t="shared" si="6"/>
        <v>0</v>
      </c>
      <c r="G161" s="62"/>
      <c r="H161" s="62"/>
      <c r="I161" s="60"/>
      <c r="J161" s="60"/>
      <c r="K161" s="64"/>
      <c r="L161" s="64"/>
      <c r="M161" s="25"/>
      <c r="N161" s="25"/>
    </row>
    <row r="162" spans="1:14" ht="28.5">
      <c r="A162" s="8" t="s">
        <v>282</v>
      </c>
      <c r="B162" s="4" t="s">
        <v>283</v>
      </c>
      <c r="C162" s="7">
        <f t="shared" si="7"/>
        <v>0</v>
      </c>
      <c r="D162" s="7"/>
      <c r="E162" s="6">
        <f t="shared" si="5"/>
        <v>0</v>
      </c>
      <c r="F162" s="6">
        <f t="shared" si="6"/>
        <v>0</v>
      </c>
      <c r="G162" s="62"/>
      <c r="H162" s="62"/>
      <c r="I162" s="60"/>
      <c r="J162" s="60"/>
      <c r="K162" s="64"/>
      <c r="L162" s="64"/>
      <c r="M162" s="25"/>
      <c r="N162" s="25"/>
    </row>
    <row r="163" spans="1:14" ht="28.5">
      <c r="A163" s="8" t="s">
        <v>284</v>
      </c>
      <c r="B163" s="4" t="s">
        <v>285</v>
      </c>
      <c r="C163" s="7">
        <f t="shared" si="7"/>
        <v>0</v>
      </c>
      <c r="D163" s="7"/>
      <c r="E163" s="6">
        <f t="shared" si="5"/>
        <v>0</v>
      </c>
      <c r="F163" s="6">
        <f t="shared" si="6"/>
        <v>0</v>
      </c>
      <c r="G163" s="62"/>
      <c r="H163" s="62"/>
      <c r="I163" s="60"/>
      <c r="J163" s="60"/>
      <c r="K163" s="64"/>
      <c r="L163" s="64"/>
      <c r="M163" s="25"/>
      <c r="N163" s="25"/>
    </row>
    <row r="164" spans="1:14">
      <c r="A164" s="8" t="s">
        <v>286</v>
      </c>
      <c r="B164" s="4" t="s">
        <v>287</v>
      </c>
      <c r="C164" s="7">
        <f t="shared" si="7"/>
        <v>0</v>
      </c>
      <c r="D164" s="7"/>
      <c r="E164" s="6">
        <f t="shared" si="5"/>
        <v>0</v>
      </c>
      <c r="F164" s="6">
        <f t="shared" si="6"/>
        <v>0</v>
      </c>
      <c r="G164" s="62"/>
      <c r="H164" s="62"/>
      <c r="I164" s="60"/>
      <c r="J164" s="60"/>
      <c r="K164" s="64"/>
      <c r="L164" s="64"/>
      <c r="M164" s="25"/>
      <c r="N164" s="25"/>
    </row>
    <row r="165" spans="1:14" ht="28.5">
      <c r="A165" s="8" t="s">
        <v>288</v>
      </c>
      <c r="B165" s="4" t="s">
        <v>289</v>
      </c>
      <c r="C165" s="7">
        <f t="shared" si="7"/>
        <v>0</v>
      </c>
      <c r="D165" s="7"/>
      <c r="E165" s="6">
        <f t="shared" si="5"/>
        <v>0</v>
      </c>
      <c r="F165" s="6">
        <f t="shared" si="6"/>
        <v>0</v>
      </c>
      <c r="G165" s="62"/>
      <c r="H165" s="62"/>
      <c r="I165" s="60"/>
      <c r="J165" s="60"/>
      <c r="K165" s="64"/>
      <c r="L165" s="64"/>
      <c r="M165" s="25"/>
      <c r="N165" s="25"/>
    </row>
    <row r="166" spans="1:14" ht="28.5">
      <c r="A166" s="8" t="s">
        <v>290</v>
      </c>
      <c r="B166" s="4" t="s">
        <v>291</v>
      </c>
      <c r="C166" s="7">
        <f t="shared" si="7"/>
        <v>0</v>
      </c>
      <c r="D166" s="7"/>
      <c r="E166" s="6">
        <f t="shared" si="5"/>
        <v>0</v>
      </c>
      <c r="F166" s="6">
        <f t="shared" si="6"/>
        <v>0</v>
      </c>
      <c r="G166" s="62"/>
      <c r="H166" s="62"/>
      <c r="I166" s="60"/>
      <c r="J166" s="60"/>
      <c r="K166" s="64"/>
      <c r="L166" s="64"/>
      <c r="M166" s="25"/>
      <c r="N166" s="25"/>
    </row>
    <row r="167" spans="1:14">
      <c r="A167" s="3" t="s">
        <v>292</v>
      </c>
      <c r="B167" s="4" t="s">
        <v>293</v>
      </c>
      <c r="C167" s="7">
        <f t="shared" si="7"/>
        <v>0</v>
      </c>
      <c r="D167" s="7"/>
      <c r="E167" s="6">
        <f t="shared" si="5"/>
        <v>0</v>
      </c>
      <c r="F167" s="6">
        <f t="shared" si="6"/>
        <v>0</v>
      </c>
      <c r="G167" s="62"/>
      <c r="H167" s="62"/>
      <c r="I167" s="60"/>
      <c r="J167" s="60"/>
      <c r="K167" s="64"/>
      <c r="L167" s="64"/>
      <c r="M167" s="25"/>
      <c r="N167" s="25"/>
    </row>
    <row r="168" spans="1:14">
      <c r="A168" s="3" t="s">
        <v>294</v>
      </c>
      <c r="B168" s="4" t="s">
        <v>295</v>
      </c>
      <c r="C168" s="7">
        <f t="shared" si="7"/>
        <v>0</v>
      </c>
      <c r="D168" s="7"/>
      <c r="E168" s="6">
        <f t="shared" si="5"/>
        <v>0</v>
      </c>
      <c r="F168" s="6">
        <f t="shared" si="6"/>
        <v>0</v>
      </c>
      <c r="G168" s="62"/>
      <c r="H168" s="62"/>
      <c r="I168" s="60"/>
      <c r="J168" s="60"/>
      <c r="K168" s="64"/>
      <c r="L168" s="64"/>
      <c r="M168" s="25"/>
      <c r="N168" s="25"/>
    </row>
    <row r="169" spans="1:14">
      <c r="A169" s="3" t="s">
        <v>296</v>
      </c>
      <c r="B169" s="10" t="s">
        <v>297</v>
      </c>
      <c r="C169" s="7">
        <f t="shared" si="7"/>
        <v>0</v>
      </c>
      <c r="D169" s="7"/>
      <c r="E169" s="6">
        <f t="shared" si="5"/>
        <v>0</v>
      </c>
      <c r="F169" s="6">
        <f t="shared" si="6"/>
        <v>0</v>
      </c>
      <c r="G169" s="62"/>
      <c r="H169" s="62"/>
      <c r="I169" s="60"/>
      <c r="J169" s="60"/>
      <c r="K169" s="64"/>
      <c r="L169" s="64"/>
      <c r="M169" s="25"/>
      <c r="N169" s="25"/>
    </row>
    <row r="170" spans="1:14">
      <c r="A170" s="3" t="s">
        <v>298</v>
      </c>
      <c r="B170" s="10" t="s">
        <v>299</v>
      </c>
      <c r="C170" s="7">
        <f t="shared" si="7"/>
        <v>0</v>
      </c>
      <c r="D170" s="7"/>
      <c r="E170" s="6">
        <f t="shared" si="5"/>
        <v>0</v>
      </c>
      <c r="F170" s="6">
        <f t="shared" si="6"/>
        <v>0</v>
      </c>
      <c r="G170" s="62"/>
      <c r="H170" s="62"/>
      <c r="I170" s="60"/>
      <c r="J170" s="60"/>
      <c r="K170" s="64"/>
      <c r="L170" s="64"/>
      <c r="M170" s="25"/>
      <c r="N170" s="25"/>
    </row>
    <row r="171" spans="1:14">
      <c r="A171" s="3" t="s">
        <v>300</v>
      </c>
      <c r="B171" s="10" t="s">
        <v>301</v>
      </c>
      <c r="C171" s="7">
        <f t="shared" si="7"/>
        <v>0</v>
      </c>
      <c r="D171" s="7"/>
      <c r="E171" s="6">
        <f t="shared" si="5"/>
        <v>0</v>
      </c>
      <c r="F171" s="6">
        <f t="shared" si="6"/>
        <v>0</v>
      </c>
      <c r="G171" s="62"/>
      <c r="H171" s="62"/>
      <c r="I171" s="60"/>
      <c r="J171" s="60"/>
      <c r="K171" s="64"/>
      <c r="L171" s="64"/>
      <c r="M171" s="25"/>
      <c r="N171" s="25"/>
    </row>
    <row r="172" spans="1:14">
      <c r="A172" s="3" t="s">
        <v>302</v>
      </c>
      <c r="B172" s="10" t="s">
        <v>303</v>
      </c>
      <c r="C172" s="7">
        <f t="shared" si="7"/>
        <v>0</v>
      </c>
      <c r="D172" s="7"/>
      <c r="E172" s="6">
        <f t="shared" si="5"/>
        <v>0</v>
      </c>
      <c r="F172" s="6">
        <f t="shared" si="6"/>
        <v>0</v>
      </c>
      <c r="G172" s="62"/>
      <c r="H172" s="62"/>
      <c r="I172" s="60"/>
      <c r="J172" s="60"/>
      <c r="K172" s="64"/>
      <c r="L172" s="64"/>
      <c r="M172" s="25"/>
      <c r="N172" s="25"/>
    </row>
    <row r="173" spans="1:14">
      <c r="A173" s="3" t="s">
        <v>304</v>
      </c>
      <c r="B173" s="10" t="s">
        <v>305</v>
      </c>
      <c r="C173" s="7">
        <f t="shared" si="7"/>
        <v>0</v>
      </c>
      <c r="D173" s="7"/>
      <c r="E173" s="6">
        <f t="shared" si="5"/>
        <v>0</v>
      </c>
      <c r="F173" s="6">
        <f t="shared" si="6"/>
        <v>0</v>
      </c>
      <c r="G173" s="62"/>
      <c r="H173" s="62"/>
      <c r="I173" s="60"/>
      <c r="J173" s="60"/>
      <c r="K173" s="64"/>
      <c r="L173" s="64"/>
      <c r="M173" s="25"/>
      <c r="N173" s="25"/>
    </row>
    <row r="174" spans="1:14">
      <c r="A174" s="3" t="s">
        <v>306</v>
      </c>
      <c r="B174" s="10" t="s">
        <v>307</v>
      </c>
      <c r="C174" s="7"/>
      <c r="D174" s="7">
        <f t="shared" ref="D174:D237" si="8">F174-E174</f>
        <v>0</v>
      </c>
      <c r="E174" s="6">
        <f t="shared" si="5"/>
        <v>0</v>
      </c>
      <c r="F174" s="6">
        <f t="shared" si="6"/>
        <v>0</v>
      </c>
      <c r="G174" s="62"/>
      <c r="H174" s="62"/>
      <c r="I174" s="60"/>
      <c r="J174" s="60"/>
      <c r="K174" s="64"/>
      <c r="L174" s="64"/>
      <c r="M174" s="25"/>
      <c r="N174" s="25"/>
    </row>
    <row r="175" spans="1:14">
      <c r="A175" s="3" t="s">
        <v>308</v>
      </c>
      <c r="B175" s="10" t="s">
        <v>309</v>
      </c>
      <c r="C175" s="7"/>
      <c r="D175" s="7">
        <f t="shared" si="8"/>
        <v>0</v>
      </c>
      <c r="E175" s="6">
        <f t="shared" si="5"/>
        <v>0</v>
      </c>
      <c r="F175" s="6">
        <f t="shared" si="6"/>
        <v>0</v>
      </c>
      <c r="G175" s="62"/>
      <c r="H175" s="62"/>
      <c r="I175" s="60"/>
      <c r="J175" s="60"/>
      <c r="K175" s="64"/>
      <c r="L175" s="64"/>
      <c r="M175" s="25"/>
      <c r="N175" s="25"/>
    </row>
    <row r="176" spans="1:14">
      <c r="A176" s="3" t="s">
        <v>310</v>
      </c>
      <c r="B176" s="10" t="s">
        <v>311</v>
      </c>
      <c r="C176" s="7"/>
      <c r="D176" s="7">
        <f t="shared" si="8"/>
        <v>0</v>
      </c>
      <c r="E176" s="6">
        <f t="shared" si="5"/>
        <v>0</v>
      </c>
      <c r="F176" s="6">
        <f t="shared" si="6"/>
        <v>0</v>
      </c>
      <c r="G176" s="62"/>
      <c r="H176" s="62"/>
      <c r="I176" s="60"/>
      <c r="J176" s="60"/>
      <c r="K176" s="64"/>
      <c r="L176" s="64"/>
      <c r="M176" s="25"/>
      <c r="N176" s="25"/>
    </row>
    <row r="177" spans="1:14">
      <c r="A177" s="3" t="s">
        <v>312</v>
      </c>
      <c r="B177" s="10" t="s">
        <v>313</v>
      </c>
      <c r="C177" s="7"/>
      <c r="D177" s="7">
        <f t="shared" si="8"/>
        <v>0</v>
      </c>
      <c r="E177" s="6">
        <f t="shared" si="5"/>
        <v>0</v>
      </c>
      <c r="F177" s="6">
        <f t="shared" si="6"/>
        <v>0</v>
      </c>
      <c r="G177" s="62"/>
      <c r="H177" s="62"/>
      <c r="I177" s="60"/>
      <c r="J177" s="60"/>
      <c r="K177" s="64"/>
      <c r="L177" s="64"/>
      <c r="M177" s="25"/>
      <c r="N177" s="25"/>
    </row>
    <row r="178" spans="1:14">
      <c r="A178" s="3" t="s">
        <v>314</v>
      </c>
      <c r="B178" s="10" t="s">
        <v>315</v>
      </c>
      <c r="C178" s="7"/>
      <c r="D178" s="7">
        <f t="shared" si="8"/>
        <v>-318741.66000000003</v>
      </c>
      <c r="E178" s="6">
        <f t="shared" si="5"/>
        <v>1085698.17</v>
      </c>
      <c r="F178" s="6">
        <f t="shared" si="6"/>
        <v>766956.50999999989</v>
      </c>
      <c r="G178" s="62">
        <v>1085698.17</v>
      </c>
      <c r="H178" s="62">
        <v>211766.81999999998</v>
      </c>
      <c r="I178" s="60"/>
      <c r="J178" s="60">
        <v>555189.68999999994</v>
      </c>
      <c r="K178" s="64"/>
      <c r="L178" s="64"/>
      <c r="M178" s="25"/>
      <c r="N178" s="25"/>
    </row>
    <row r="179" spans="1:14">
      <c r="A179" s="3" t="s">
        <v>316</v>
      </c>
      <c r="B179" s="10" t="s">
        <v>317</v>
      </c>
      <c r="C179" s="7"/>
      <c r="D179" s="7">
        <f t="shared" si="8"/>
        <v>-6293.7</v>
      </c>
      <c r="E179" s="6">
        <f t="shared" si="5"/>
        <v>6293.7</v>
      </c>
      <c r="F179" s="6">
        <f t="shared" si="6"/>
        <v>0</v>
      </c>
      <c r="G179" s="62">
        <v>6293.7</v>
      </c>
      <c r="H179" s="62"/>
      <c r="I179" s="60"/>
      <c r="J179" s="60"/>
      <c r="K179" s="64"/>
      <c r="L179" s="64"/>
      <c r="M179" s="25"/>
      <c r="N179" s="25"/>
    </row>
    <row r="180" spans="1:14">
      <c r="A180" s="3" t="s">
        <v>318</v>
      </c>
      <c r="B180" s="10" t="s">
        <v>319</v>
      </c>
      <c r="C180" s="7"/>
      <c r="D180" s="7">
        <f t="shared" si="8"/>
        <v>-8423.4700000000012</v>
      </c>
      <c r="E180" s="6">
        <f t="shared" si="5"/>
        <v>13375</v>
      </c>
      <c r="F180" s="6">
        <f t="shared" si="6"/>
        <v>4951.53</v>
      </c>
      <c r="G180" s="62">
        <v>13375</v>
      </c>
      <c r="H180" s="62"/>
      <c r="I180" s="60"/>
      <c r="J180" s="60">
        <v>4951.53</v>
      </c>
      <c r="K180" s="64"/>
      <c r="L180" s="64"/>
      <c r="M180" s="25"/>
      <c r="N180" s="25"/>
    </row>
    <row r="181" spans="1:14">
      <c r="A181" s="3" t="s">
        <v>320</v>
      </c>
      <c r="B181" s="10" t="s">
        <v>321</v>
      </c>
      <c r="C181" s="7"/>
      <c r="D181" s="7">
        <f t="shared" si="8"/>
        <v>-4275</v>
      </c>
      <c r="E181" s="6">
        <f t="shared" si="5"/>
        <v>4275</v>
      </c>
      <c r="F181" s="6">
        <f t="shared" si="6"/>
        <v>0</v>
      </c>
      <c r="G181" s="62">
        <v>4275</v>
      </c>
      <c r="H181" s="62"/>
      <c r="I181" s="60"/>
      <c r="J181" s="60"/>
      <c r="K181" s="64"/>
      <c r="L181" s="64"/>
      <c r="M181" s="25"/>
      <c r="N181" s="25"/>
    </row>
    <row r="182" spans="1:14">
      <c r="A182" s="3" t="s">
        <v>322</v>
      </c>
      <c r="B182" s="10" t="s">
        <v>323</v>
      </c>
      <c r="C182" s="7"/>
      <c r="D182" s="7">
        <f t="shared" si="8"/>
        <v>-3336864.5</v>
      </c>
      <c r="E182" s="6">
        <f t="shared" si="5"/>
        <v>4537188.5</v>
      </c>
      <c r="F182" s="6">
        <f t="shared" si="6"/>
        <v>1200324</v>
      </c>
      <c r="G182" s="62">
        <v>4476156.3</v>
      </c>
      <c r="H182" s="62"/>
      <c r="I182" s="60">
        <v>61032.2</v>
      </c>
      <c r="J182" s="60"/>
      <c r="K182" s="64"/>
      <c r="L182" s="64">
        <v>1000000</v>
      </c>
      <c r="M182" s="25"/>
      <c r="N182" s="25">
        <v>200324</v>
      </c>
    </row>
    <row r="183" spans="1:14">
      <c r="A183" s="3" t="s">
        <v>324</v>
      </c>
      <c r="B183" s="10" t="s">
        <v>325</v>
      </c>
      <c r="C183" s="7"/>
      <c r="D183" s="7">
        <f t="shared" si="8"/>
        <v>0</v>
      </c>
      <c r="E183" s="6">
        <f t="shared" si="5"/>
        <v>0</v>
      </c>
      <c r="F183" s="6">
        <f t="shared" si="6"/>
        <v>0</v>
      </c>
      <c r="G183" s="62"/>
      <c r="H183" s="62"/>
      <c r="I183" s="60"/>
      <c r="J183" s="60"/>
      <c r="K183" s="64"/>
      <c r="L183" s="64"/>
      <c r="M183" s="25"/>
      <c r="N183" s="25"/>
    </row>
    <row r="184" spans="1:14">
      <c r="A184" s="3" t="s">
        <v>326</v>
      </c>
      <c r="B184" s="10" t="s">
        <v>327</v>
      </c>
      <c r="C184" s="7"/>
      <c r="D184" s="7">
        <f t="shared" si="8"/>
        <v>-39889.450000000012</v>
      </c>
      <c r="E184" s="6">
        <f t="shared" si="5"/>
        <v>289889.45</v>
      </c>
      <c r="F184" s="6">
        <f t="shared" si="6"/>
        <v>250000</v>
      </c>
      <c r="G184" s="62">
        <v>289889.45</v>
      </c>
      <c r="H184" s="62"/>
      <c r="I184" s="60"/>
      <c r="J184" s="60"/>
      <c r="K184" s="64"/>
      <c r="L184" s="64">
        <v>250000</v>
      </c>
      <c r="M184" s="25"/>
      <c r="N184" s="25"/>
    </row>
    <row r="185" spans="1:14">
      <c r="A185" s="3" t="s">
        <v>328</v>
      </c>
      <c r="B185" s="10" t="s">
        <v>329</v>
      </c>
      <c r="C185" s="7"/>
      <c r="D185" s="7">
        <f t="shared" si="8"/>
        <v>0</v>
      </c>
      <c r="E185" s="6">
        <f t="shared" si="5"/>
        <v>33300.15</v>
      </c>
      <c r="F185" s="6">
        <f t="shared" si="6"/>
        <v>33300.15</v>
      </c>
      <c r="G185" s="62"/>
      <c r="H185" s="62"/>
      <c r="I185" s="60"/>
      <c r="J185" s="60"/>
      <c r="K185" s="64"/>
      <c r="L185" s="64"/>
      <c r="M185" s="25">
        <v>33300.15</v>
      </c>
      <c r="N185" s="25">
        <v>33300.15</v>
      </c>
    </row>
    <row r="186" spans="1:14">
      <c r="A186" s="3" t="s">
        <v>330</v>
      </c>
      <c r="B186" s="10" t="s">
        <v>331</v>
      </c>
      <c r="C186" s="7"/>
      <c r="D186" s="7">
        <f t="shared" si="8"/>
        <v>13587.010000000009</v>
      </c>
      <c r="E186" s="6">
        <f t="shared" si="5"/>
        <v>376417.56</v>
      </c>
      <c r="F186" s="6">
        <f t="shared" si="6"/>
        <v>390004.57</v>
      </c>
      <c r="G186" s="62">
        <v>376417.56</v>
      </c>
      <c r="H186" s="62">
        <v>390004.57</v>
      </c>
      <c r="I186" s="60"/>
      <c r="J186" s="60"/>
      <c r="K186" s="64"/>
      <c r="L186" s="64"/>
      <c r="M186" s="25"/>
      <c r="N186" s="25"/>
    </row>
    <row r="187" spans="1:14">
      <c r="A187" s="3" t="s">
        <v>332</v>
      </c>
      <c r="B187" s="10" t="s">
        <v>333</v>
      </c>
      <c r="C187" s="5"/>
      <c r="D187" s="5">
        <f t="shared" si="8"/>
        <v>31857.11</v>
      </c>
      <c r="E187" s="6">
        <f t="shared" si="5"/>
        <v>23457.89</v>
      </c>
      <c r="F187" s="6">
        <f t="shared" si="6"/>
        <v>55315</v>
      </c>
      <c r="G187" s="62">
        <v>23457.89</v>
      </c>
      <c r="H187" s="62"/>
      <c r="I187" s="60"/>
      <c r="J187" s="60"/>
      <c r="K187" s="64"/>
      <c r="L187" s="64">
        <v>55315</v>
      </c>
      <c r="M187" s="25"/>
      <c r="N187" s="25"/>
    </row>
    <row r="188" spans="1:14">
      <c r="A188" s="3" t="s">
        <v>334</v>
      </c>
      <c r="B188" s="10" t="s">
        <v>335</v>
      </c>
      <c r="C188" s="5"/>
      <c r="D188" s="5">
        <f t="shared" si="8"/>
        <v>0</v>
      </c>
      <c r="E188" s="6">
        <f t="shared" si="5"/>
        <v>0</v>
      </c>
      <c r="F188" s="6">
        <f t="shared" si="6"/>
        <v>0</v>
      </c>
      <c r="G188" s="62"/>
      <c r="H188" s="62"/>
      <c r="I188" s="60"/>
      <c r="J188" s="60"/>
      <c r="K188" s="64"/>
      <c r="L188" s="64"/>
      <c r="M188" s="25"/>
      <c r="N188" s="25"/>
    </row>
    <row r="189" spans="1:14">
      <c r="A189" s="3" t="s">
        <v>336</v>
      </c>
      <c r="B189" s="10" t="s">
        <v>337</v>
      </c>
      <c r="C189" s="5"/>
      <c r="D189" s="5">
        <f t="shared" si="8"/>
        <v>43520.58</v>
      </c>
      <c r="E189" s="6">
        <f t="shared" si="5"/>
        <v>0</v>
      </c>
      <c r="F189" s="6">
        <f t="shared" si="6"/>
        <v>43520.58</v>
      </c>
      <c r="G189" s="62"/>
      <c r="H189" s="62">
        <v>43520.58</v>
      </c>
      <c r="I189" s="60"/>
      <c r="J189" s="60"/>
      <c r="K189" s="64"/>
      <c r="L189" s="64"/>
      <c r="M189" s="25"/>
      <c r="N189" s="25"/>
    </row>
    <row r="190" spans="1:14">
      <c r="A190" s="3" t="s">
        <v>338</v>
      </c>
      <c r="B190" s="10" t="s">
        <v>339</v>
      </c>
      <c r="C190" s="5"/>
      <c r="D190" s="5">
        <f t="shared" si="8"/>
        <v>-592377.96999999974</v>
      </c>
      <c r="E190" s="6">
        <f t="shared" si="5"/>
        <v>4966098.42</v>
      </c>
      <c r="F190" s="6">
        <f t="shared" si="6"/>
        <v>4373720.45</v>
      </c>
      <c r="G190" s="62">
        <v>1804195.34</v>
      </c>
      <c r="H190" s="62"/>
      <c r="I190" s="60">
        <v>3161243.08</v>
      </c>
      <c r="J190" s="60">
        <v>755</v>
      </c>
      <c r="K190" s="64"/>
      <c r="L190" s="64">
        <v>4372965.45</v>
      </c>
      <c r="M190" s="25">
        <v>660</v>
      </c>
      <c r="N190" s="25"/>
    </row>
    <row r="191" spans="1:14">
      <c r="A191" s="3" t="s">
        <v>340</v>
      </c>
      <c r="B191" s="10" t="s">
        <v>341</v>
      </c>
      <c r="C191" s="5"/>
      <c r="D191" s="5">
        <f t="shared" si="8"/>
        <v>0</v>
      </c>
      <c r="E191" s="6">
        <f t="shared" si="5"/>
        <v>0</v>
      </c>
      <c r="F191" s="6">
        <f t="shared" si="6"/>
        <v>0</v>
      </c>
      <c r="G191" s="62"/>
      <c r="H191" s="62"/>
      <c r="I191" s="60"/>
      <c r="J191" s="60"/>
      <c r="K191" s="64"/>
      <c r="L191" s="64"/>
      <c r="M191" s="25"/>
      <c r="N191" s="25"/>
    </row>
    <row r="192" spans="1:14">
      <c r="A192" s="3" t="s">
        <v>342</v>
      </c>
      <c r="B192" s="10" t="s">
        <v>343</v>
      </c>
      <c r="C192" s="5"/>
      <c r="D192" s="5">
        <f t="shared" si="8"/>
        <v>0</v>
      </c>
      <c r="E192" s="6">
        <f t="shared" si="5"/>
        <v>0</v>
      </c>
      <c r="F192" s="6">
        <f t="shared" si="6"/>
        <v>0</v>
      </c>
      <c r="G192" s="62"/>
      <c r="H192" s="62"/>
      <c r="I192" s="60"/>
      <c r="J192" s="60"/>
      <c r="K192" s="64"/>
      <c r="L192" s="64"/>
      <c r="M192" s="25"/>
      <c r="N192" s="25"/>
    </row>
    <row r="193" spans="1:14">
      <c r="A193" s="3" t="s">
        <v>344</v>
      </c>
      <c r="B193" s="10" t="s">
        <v>345</v>
      </c>
      <c r="C193" s="5"/>
      <c r="D193" s="5">
        <f t="shared" si="8"/>
        <v>0</v>
      </c>
      <c r="E193" s="6">
        <f t="shared" si="5"/>
        <v>0</v>
      </c>
      <c r="F193" s="6">
        <f t="shared" si="6"/>
        <v>0</v>
      </c>
      <c r="G193" s="62"/>
      <c r="H193" s="62"/>
      <c r="I193" s="60"/>
      <c r="J193" s="60"/>
      <c r="K193" s="64"/>
      <c r="L193" s="64"/>
      <c r="M193" s="25"/>
      <c r="N193" s="25"/>
    </row>
    <row r="194" spans="1:14">
      <c r="A194" s="3" t="s">
        <v>346</v>
      </c>
      <c r="B194" s="10" t="s">
        <v>347</v>
      </c>
      <c r="C194" s="5"/>
      <c r="D194" s="5">
        <f t="shared" si="8"/>
        <v>0</v>
      </c>
      <c r="E194" s="6">
        <f t="shared" si="5"/>
        <v>0</v>
      </c>
      <c r="F194" s="6">
        <f t="shared" si="6"/>
        <v>0</v>
      </c>
      <c r="G194" s="62"/>
      <c r="H194" s="62"/>
      <c r="I194" s="60"/>
      <c r="J194" s="60"/>
      <c r="K194" s="64"/>
      <c r="L194" s="64"/>
      <c r="M194" s="25"/>
      <c r="N194" s="25"/>
    </row>
    <row r="195" spans="1:14">
      <c r="A195" s="3" t="s">
        <v>348</v>
      </c>
      <c r="B195" s="10" t="s">
        <v>349</v>
      </c>
      <c r="C195" s="5"/>
      <c r="D195" s="5">
        <f t="shared" si="8"/>
        <v>0</v>
      </c>
      <c r="E195" s="6">
        <f t="shared" si="5"/>
        <v>0</v>
      </c>
      <c r="F195" s="6">
        <f t="shared" si="6"/>
        <v>0</v>
      </c>
      <c r="G195" s="62"/>
      <c r="H195" s="62"/>
      <c r="I195" s="60"/>
      <c r="J195" s="60"/>
      <c r="K195" s="64"/>
      <c r="L195" s="64"/>
      <c r="M195" s="25"/>
      <c r="N195" s="25"/>
    </row>
    <row r="196" spans="1:14">
      <c r="A196" s="3" t="s">
        <v>350</v>
      </c>
      <c r="B196" s="10" t="s">
        <v>351</v>
      </c>
      <c r="C196" s="5"/>
      <c r="D196" s="5">
        <f t="shared" si="8"/>
        <v>0</v>
      </c>
      <c r="E196" s="6">
        <f t="shared" si="5"/>
        <v>0</v>
      </c>
      <c r="F196" s="6">
        <f t="shared" si="6"/>
        <v>0</v>
      </c>
      <c r="G196" s="62"/>
      <c r="H196" s="62"/>
      <c r="I196" s="60"/>
      <c r="J196" s="60"/>
      <c r="K196" s="64"/>
      <c r="L196" s="64"/>
      <c r="M196" s="25"/>
      <c r="N196" s="25"/>
    </row>
    <row r="197" spans="1:14">
      <c r="A197" s="3" t="s">
        <v>352</v>
      </c>
      <c r="B197" s="10" t="s">
        <v>353</v>
      </c>
      <c r="C197" s="5"/>
      <c r="D197" s="5">
        <f t="shared" si="8"/>
        <v>0</v>
      </c>
      <c r="E197" s="6">
        <f t="shared" si="5"/>
        <v>0</v>
      </c>
      <c r="F197" s="6">
        <f t="shared" si="6"/>
        <v>0</v>
      </c>
      <c r="G197" s="62"/>
      <c r="H197" s="62"/>
      <c r="I197" s="60"/>
      <c r="J197" s="60"/>
      <c r="K197" s="64"/>
      <c r="L197" s="64"/>
      <c r="M197" s="25"/>
      <c r="N197" s="25"/>
    </row>
    <row r="198" spans="1:14">
      <c r="A198" s="3" t="s">
        <v>354</v>
      </c>
      <c r="B198" s="10" t="s">
        <v>355</v>
      </c>
      <c r="C198" s="5"/>
      <c r="D198" s="5">
        <f t="shared" si="8"/>
        <v>0</v>
      </c>
      <c r="E198" s="6">
        <f t="shared" si="5"/>
        <v>0</v>
      </c>
      <c r="F198" s="6">
        <f t="shared" si="6"/>
        <v>0</v>
      </c>
      <c r="G198" s="62"/>
      <c r="H198" s="62"/>
      <c r="I198" s="60"/>
      <c r="J198" s="60"/>
      <c r="K198" s="64"/>
      <c r="L198" s="64"/>
      <c r="M198" s="25"/>
      <c r="N198" s="25"/>
    </row>
    <row r="199" spans="1:14">
      <c r="A199" s="3" t="s">
        <v>356</v>
      </c>
      <c r="B199" s="10" t="s">
        <v>357</v>
      </c>
      <c r="C199" s="5"/>
      <c r="D199" s="5">
        <f t="shared" si="8"/>
        <v>0</v>
      </c>
      <c r="E199" s="6">
        <f t="shared" si="5"/>
        <v>0</v>
      </c>
      <c r="F199" s="6">
        <f t="shared" si="6"/>
        <v>0</v>
      </c>
      <c r="G199" s="62"/>
      <c r="H199" s="62"/>
      <c r="I199" s="60"/>
      <c r="J199" s="60"/>
      <c r="K199" s="64"/>
      <c r="L199" s="64"/>
      <c r="M199" s="25"/>
      <c r="N199" s="25"/>
    </row>
    <row r="200" spans="1:14">
      <c r="A200" s="3" t="s">
        <v>358</v>
      </c>
      <c r="B200" s="10" t="s">
        <v>359</v>
      </c>
      <c r="C200" s="5"/>
      <c r="D200" s="5">
        <f t="shared" si="8"/>
        <v>0</v>
      </c>
      <c r="E200" s="6">
        <f t="shared" si="5"/>
        <v>0</v>
      </c>
      <c r="F200" s="6">
        <f t="shared" si="6"/>
        <v>0</v>
      </c>
      <c r="G200" s="62"/>
      <c r="H200" s="62"/>
      <c r="I200" s="60"/>
      <c r="J200" s="60"/>
      <c r="K200" s="64"/>
      <c r="L200" s="64"/>
      <c r="M200" s="25"/>
      <c r="N200" s="25"/>
    </row>
    <row r="201" spans="1:14">
      <c r="A201" s="3" t="s">
        <v>360</v>
      </c>
      <c r="B201" s="10" t="s">
        <v>361</v>
      </c>
      <c r="C201" s="5"/>
      <c r="D201" s="5">
        <f t="shared" si="8"/>
        <v>0</v>
      </c>
      <c r="E201" s="6">
        <f t="shared" si="5"/>
        <v>0</v>
      </c>
      <c r="F201" s="6">
        <f t="shared" si="6"/>
        <v>0</v>
      </c>
      <c r="G201" s="62"/>
      <c r="H201" s="62"/>
      <c r="I201" s="60"/>
      <c r="J201" s="60"/>
      <c r="K201" s="64"/>
      <c r="L201" s="64"/>
      <c r="M201" s="25"/>
      <c r="N201" s="25"/>
    </row>
    <row r="202" spans="1:14">
      <c r="A202" s="3" t="s">
        <v>362</v>
      </c>
      <c r="B202" s="10" t="s">
        <v>363</v>
      </c>
      <c r="C202" s="5"/>
      <c r="D202" s="5">
        <f t="shared" si="8"/>
        <v>0</v>
      </c>
      <c r="E202" s="6">
        <f t="shared" si="5"/>
        <v>0</v>
      </c>
      <c r="F202" s="6">
        <f t="shared" si="6"/>
        <v>0</v>
      </c>
      <c r="G202" s="62"/>
      <c r="H202" s="62"/>
      <c r="I202" s="60"/>
      <c r="J202" s="60"/>
      <c r="K202" s="64"/>
      <c r="L202" s="64"/>
      <c r="M202" s="25"/>
      <c r="N202" s="25"/>
    </row>
    <row r="203" spans="1:14">
      <c r="A203" s="3" t="s">
        <v>364</v>
      </c>
      <c r="B203" s="10" t="s">
        <v>365</v>
      </c>
      <c r="C203" s="5"/>
      <c r="D203" s="5">
        <f t="shared" si="8"/>
        <v>0</v>
      </c>
      <c r="E203" s="6">
        <f t="shared" si="5"/>
        <v>0</v>
      </c>
      <c r="F203" s="6">
        <f t="shared" si="6"/>
        <v>0</v>
      </c>
      <c r="G203" s="62"/>
      <c r="H203" s="62"/>
      <c r="I203" s="60"/>
      <c r="J203" s="60"/>
      <c r="K203" s="64"/>
      <c r="L203" s="64"/>
      <c r="M203" s="25"/>
      <c r="N203" s="25"/>
    </row>
    <row r="204" spans="1:14">
      <c r="A204" s="3" t="s">
        <v>366</v>
      </c>
      <c r="B204" s="10" t="s">
        <v>367</v>
      </c>
      <c r="C204" s="5"/>
      <c r="D204" s="5">
        <f t="shared" si="8"/>
        <v>0</v>
      </c>
      <c r="E204" s="6">
        <f t="shared" si="5"/>
        <v>0</v>
      </c>
      <c r="F204" s="6">
        <f t="shared" si="6"/>
        <v>0</v>
      </c>
      <c r="G204" s="62"/>
      <c r="H204" s="62"/>
      <c r="I204" s="60"/>
      <c r="J204" s="60"/>
      <c r="K204" s="64"/>
      <c r="L204" s="64"/>
      <c r="M204" s="25"/>
      <c r="N204" s="25"/>
    </row>
    <row r="205" spans="1:14">
      <c r="A205" s="3" t="s">
        <v>368</v>
      </c>
      <c r="B205" s="10" t="s">
        <v>369</v>
      </c>
      <c r="C205" s="5"/>
      <c r="D205" s="5">
        <f t="shared" si="8"/>
        <v>0</v>
      </c>
      <c r="E205" s="6">
        <f t="shared" si="5"/>
        <v>0</v>
      </c>
      <c r="F205" s="6">
        <f t="shared" si="6"/>
        <v>0</v>
      </c>
      <c r="G205" s="62"/>
      <c r="H205" s="62"/>
      <c r="I205" s="60"/>
      <c r="J205" s="60"/>
      <c r="K205" s="64"/>
      <c r="L205" s="64"/>
      <c r="M205" s="25"/>
      <c r="N205" s="25"/>
    </row>
    <row r="206" spans="1:14">
      <c r="A206" s="3" t="s">
        <v>370</v>
      </c>
      <c r="B206" s="10" t="s">
        <v>371</v>
      </c>
      <c r="C206" s="5"/>
      <c r="D206" s="5">
        <f t="shared" si="8"/>
        <v>0</v>
      </c>
      <c r="E206" s="6">
        <f t="shared" ref="E206:E269" si="9">SUM(G206,I206,K206,M206)</f>
        <v>0</v>
      </c>
      <c r="F206" s="6">
        <f t="shared" ref="F206:F269" si="10">SUM(H206,J206,L206,N206)</f>
        <v>0</v>
      </c>
      <c r="G206" s="62"/>
      <c r="H206" s="62"/>
      <c r="I206" s="60"/>
      <c r="J206" s="60"/>
      <c r="K206" s="64"/>
      <c r="L206" s="64"/>
      <c r="M206" s="25"/>
      <c r="N206" s="25"/>
    </row>
    <row r="207" spans="1:14">
      <c r="A207" s="3" t="s">
        <v>372</v>
      </c>
      <c r="B207" s="10" t="s">
        <v>373</v>
      </c>
      <c r="C207" s="5"/>
      <c r="D207" s="5">
        <f t="shared" si="8"/>
        <v>0</v>
      </c>
      <c r="E207" s="6">
        <f t="shared" si="9"/>
        <v>0</v>
      </c>
      <c r="F207" s="6">
        <f t="shared" si="10"/>
        <v>0</v>
      </c>
      <c r="G207" s="62"/>
      <c r="H207" s="62"/>
      <c r="I207" s="60"/>
      <c r="J207" s="60"/>
      <c r="K207" s="64"/>
      <c r="L207" s="64"/>
      <c r="M207" s="25"/>
      <c r="N207" s="25"/>
    </row>
    <row r="208" spans="1:14">
      <c r="A208" s="3" t="s">
        <v>374</v>
      </c>
      <c r="B208" s="10" t="s">
        <v>375</v>
      </c>
      <c r="C208" s="5"/>
      <c r="D208" s="5">
        <f t="shared" si="8"/>
        <v>0</v>
      </c>
      <c r="E208" s="6">
        <f t="shared" si="9"/>
        <v>0</v>
      </c>
      <c r="F208" s="6">
        <f t="shared" si="10"/>
        <v>0</v>
      </c>
      <c r="G208" s="62"/>
      <c r="H208" s="62"/>
      <c r="I208" s="60"/>
      <c r="J208" s="60"/>
      <c r="K208" s="64"/>
      <c r="L208" s="64"/>
      <c r="M208" s="25"/>
      <c r="N208" s="25"/>
    </row>
    <row r="209" spans="1:14">
      <c r="A209" s="3" t="s">
        <v>376</v>
      </c>
      <c r="B209" s="10" t="s">
        <v>377</v>
      </c>
      <c r="C209" s="5"/>
      <c r="D209" s="5">
        <f t="shared" si="8"/>
        <v>0</v>
      </c>
      <c r="E209" s="6">
        <f t="shared" si="9"/>
        <v>0</v>
      </c>
      <c r="F209" s="6">
        <f t="shared" si="10"/>
        <v>0</v>
      </c>
      <c r="G209" s="62"/>
      <c r="H209" s="62"/>
      <c r="I209" s="60"/>
      <c r="J209" s="60"/>
      <c r="K209" s="64"/>
      <c r="L209" s="64"/>
      <c r="M209" s="25"/>
      <c r="N209" s="25"/>
    </row>
    <row r="210" spans="1:14">
      <c r="A210" s="3" t="s">
        <v>378</v>
      </c>
      <c r="B210" s="10" t="s">
        <v>379</v>
      </c>
      <c r="C210" s="5"/>
      <c r="D210" s="5">
        <f t="shared" si="8"/>
        <v>0</v>
      </c>
      <c r="E210" s="6">
        <f t="shared" si="9"/>
        <v>0</v>
      </c>
      <c r="F210" s="6">
        <f t="shared" si="10"/>
        <v>0</v>
      </c>
      <c r="G210" s="62"/>
      <c r="H210" s="62"/>
      <c r="I210" s="60"/>
      <c r="J210" s="60"/>
      <c r="K210" s="64"/>
      <c r="L210" s="64"/>
      <c r="M210" s="25"/>
      <c r="N210" s="25"/>
    </row>
    <row r="211" spans="1:14">
      <c r="A211" s="3" t="s">
        <v>380</v>
      </c>
      <c r="B211" s="10" t="s">
        <v>381</v>
      </c>
      <c r="C211" s="5"/>
      <c r="D211" s="5">
        <f t="shared" si="8"/>
        <v>0</v>
      </c>
      <c r="E211" s="6">
        <f t="shared" si="9"/>
        <v>0</v>
      </c>
      <c r="F211" s="6">
        <f t="shared" si="10"/>
        <v>0</v>
      </c>
      <c r="G211" s="62"/>
      <c r="H211" s="62"/>
      <c r="I211" s="60"/>
      <c r="J211" s="60"/>
      <c r="K211" s="64"/>
      <c r="L211" s="64"/>
      <c r="M211" s="25"/>
      <c r="N211" s="25"/>
    </row>
    <row r="212" spans="1:14">
      <c r="A212" s="3" t="s">
        <v>382</v>
      </c>
      <c r="B212" s="10" t="s">
        <v>383</v>
      </c>
      <c r="C212" s="5"/>
      <c r="D212" s="5">
        <f t="shared" si="8"/>
        <v>0</v>
      </c>
      <c r="E212" s="6">
        <f t="shared" si="9"/>
        <v>0</v>
      </c>
      <c r="F212" s="6">
        <f t="shared" si="10"/>
        <v>0</v>
      </c>
      <c r="G212" s="62"/>
      <c r="H212" s="62"/>
      <c r="I212" s="60"/>
      <c r="J212" s="60"/>
      <c r="K212" s="64"/>
      <c r="L212" s="64"/>
      <c r="M212" s="25"/>
      <c r="N212" s="25"/>
    </row>
    <row r="213" spans="1:14">
      <c r="A213" s="3" t="s">
        <v>384</v>
      </c>
      <c r="B213" s="10" t="s">
        <v>385</v>
      </c>
      <c r="C213" s="5"/>
      <c r="D213" s="5">
        <f t="shared" si="8"/>
        <v>0</v>
      </c>
      <c r="E213" s="6">
        <f t="shared" si="9"/>
        <v>0</v>
      </c>
      <c r="F213" s="6">
        <f t="shared" si="10"/>
        <v>0</v>
      </c>
      <c r="G213" s="62"/>
      <c r="H213" s="62"/>
      <c r="I213" s="60"/>
      <c r="J213" s="60"/>
      <c r="K213" s="64"/>
      <c r="L213" s="64"/>
      <c r="M213" s="25"/>
      <c r="N213" s="25"/>
    </row>
    <row r="214" spans="1:14">
      <c r="A214" s="3" t="s">
        <v>386</v>
      </c>
      <c r="B214" s="10" t="s">
        <v>387</v>
      </c>
      <c r="C214" s="5"/>
      <c r="D214" s="5">
        <f t="shared" si="8"/>
        <v>0</v>
      </c>
      <c r="E214" s="6">
        <f t="shared" si="9"/>
        <v>0</v>
      </c>
      <c r="F214" s="6">
        <f t="shared" si="10"/>
        <v>0</v>
      </c>
      <c r="G214" s="62"/>
      <c r="H214" s="62"/>
      <c r="I214" s="60"/>
      <c r="J214" s="60"/>
      <c r="K214" s="64"/>
      <c r="L214" s="64"/>
      <c r="M214" s="25"/>
      <c r="N214" s="25"/>
    </row>
    <row r="215" spans="1:14">
      <c r="A215" s="3" t="s">
        <v>388</v>
      </c>
      <c r="B215" s="10" t="s">
        <v>389</v>
      </c>
      <c r="C215" s="5"/>
      <c r="D215" s="5">
        <f t="shared" si="8"/>
        <v>0</v>
      </c>
      <c r="E215" s="6">
        <f t="shared" si="9"/>
        <v>0</v>
      </c>
      <c r="F215" s="6">
        <f t="shared" si="10"/>
        <v>0</v>
      </c>
      <c r="G215" s="62"/>
      <c r="H215" s="62"/>
      <c r="I215" s="60"/>
      <c r="J215" s="60"/>
      <c r="K215" s="64"/>
      <c r="L215" s="64"/>
      <c r="M215" s="25"/>
      <c r="N215" s="25"/>
    </row>
    <row r="216" spans="1:14">
      <c r="A216" s="3" t="s">
        <v>390</v>
      </c>
      <c r="B216" s="10" t="s">
        <v>391</v>
      </c>
      <c r="C216" s="5"/>
      <c r="D216" s="5">
        <f t="shared" si="8"/>
        <v>0</v>
      </c>
      <c r="E216" s="6">
        <f t="shared" si="9"/>
        <v>0</v>
      </c>
      <c r="F216" s="6">
        <f t="shared" si="10"/>
        <v>0</v>
      </c>
      <c r="G216" s="62"/>
      <c r="H216" s="62"/>
      <c r="I216" s="60"/>
      <c r="J216" s="60"/>
      <c r="K216" s="64"/>
      <c r="L216" s="64"/>
      <c r="M216" s="25"/>
      <c r="N216" s="25"/>
    </row>
    <row r="217" spans="1:14">
      <c r="A217" s="3" t="s">
        <v>392</v>
      </c>
      <c r="B217" s="10" t="s">
        <v>393</v>
      </c>
      <c r="C217" s="5"/>
      <c r="D217" s="5">
        <f t="shared" si="8"/>
        <v>0</v>
      </c>
      <c r="E217" s="6">
        <f t="shared" si="9"/>
        <v>0</v>
      </c>
      <c r="F217" s="6">
        <f t="shared" si="10"/>
        <v>0</v>
      </c>
      <c r="G217" s="62"/>
      <c r="H217" s="62"/>
      <c r="I217" s="60"/>
      <c r="J217" s="60"/>
      <c r="K217" s="64"/>
      <c r="L217" s="64"/>
      <c r="M217" s="25"/>
      <c r="N217" s="25"/>
    </row>
    <row r="218" spans="1:14">
      <c r="A218" s="3" t="s">
        <v>394</v>
      </c>
      <c r="B218" s="10" t="s">
        <v>395</v>
      </c>
      <c r="C218" s="5"/>
      <c r="D218" s="5">
        <f t="shared" si="8"/>
        <v>0</v>
      </c>
      <c r="E218" s="6">
        <f t="shared" si="9"/>
        <v>0</v>
      </c>
      <c r="F218" s="6">
        <f t="shared" si="10"/>
        <v>0</v>
      </c>
      <c r="G218" s="62"/>
      <c r="H218" s="62"/>
      <c r="I218" s="60"/>
      <c r="J218" s="60"/>
      <c r="K218" s="64"/>
      <c r="L218" s="64"/>
      <c r="M218" s="25"/>
      <c r="N218" s="25"/>
    </row>
    <row r="219" spans="1:14">
      <c r="A219" s="3" t="s">
        <v>396</v>
      </c>
      <c r="B219" s="10" t="s">
        <v>397</v>
      </c>
      <c r="C219" s="5"/>
      <c r="D219" s="5">
        <f t="shared" si="8"/>
        <v>0</v>
      </c>
      <c r="E219" s="6">
        <f t="shared" si="9"/>
        <v>0</v>
      </c>
      <c r="F219" s="6">
        <f t="shared" si="10"/>
        <v>0</v>
      </c>
      <c r="G219" s="62"/>
      <c r="H219" s="62"/>
      <c r="I219" s="60"/>
      <c r="J219" s="60"/>
      <c r="K219" s="64"/>
      <c r="L219" s="64"/>
      <c r="M219" s="25"/>
      <c r="N219" s="25"/>
    </row>
    <row r="220" spans="1:14">
      <c r="A220" s="3" t="s">
        <v>398</v>
      </c>
      <c r="B220" s="10" t="s">
        <v>399</v>
      </c>
      <c r="C220" s="5"/>
      <c r="D220" s="5">
        <f t="shared" si="8"/>
        <v>0</v>
      </c>
      <c r="E220" s="6">
        <f t="shared" si="9"/>
        <v>0</v>
      </c>
      <c r="F220" s="6">
        <f t="shared" si="10"/>
        <v>0</v>
      </c>
      <c r="G220" s="62"/>
      <c r="H220" s="62"/>
      <c r="I220" s="60"/>
      <c r="J220" s="60"/>
      <c r="K220" s="64"/>
      <c r="L220" s="64"/>
      <c r="M220" s="25"/>
      <c r="N220" s="25"/>
    </row>
    <row r="221" spans="1:14">
      <c r="A221" s="3" t="s">
        <v>400</v>
      </c>
      <c r="B221" s="10" t="s">
        <v>401</v>
      </c>
      <c r="C221" s="5"/>
      <c r="D221" s="5">
        <f t="shared" si="8"/>
        <v>0</v>
      </c>
      <c r="E221" s="6">
        <f t="shared" si="9"/>
        <v>0</v>
      </c>
      <c r="F221" s="6">
        <f t="shared" si="10"/>
        <v>0</v>
      </c>
      <c r="G221" s="62"/>
      <c r="H221" s="62"/>
      <c r="I221" s="60"/>
      <c r="J221" s="60"/>
      <c r="K221" s="64"/>
      <c r="L221" s="64"/>
      <c r="M221" s="25"/>
      <c r="N221" s="25"/>
    </row>
    <row r="222" spans="1:14">
      <c r="A222" s="3" t="s">
        <v>402</v>
      </c>
      <c r="B222" s="10" t="s">
        <v>403</v>
      </c>
      <c r="C222" s="5"/>
      <c r="D222" s="5">
        <f t="shared" si="8"/>
        <v>0</v>
      </c>
      <c r="E222" s="6">
        <f t="shared" si="9"/>
        <v>0</v>
      </c>
      <c r="F222" s="6">
        <f t="shared" si="10"/>
        <v>0</v>
      </c>
      <c r="G222" s="62"/>
      <c r="H222" s="62"/>
      <c r="I222" s="60"/>
      <c r="J222" s="60"/>
      <c r="K222" s="64"/>
      <c r="L222" s="64"/>
      <c r="M222" s="25"/>
      <c r="N222" s="25"/>
    </row>
    <row r="223" spans="1:14">
      <c r="A223" s="3" t="s">
        <v>404</v>
      </c>
      <c r="B223" s="10" t="s">
        <v>405</v>
      </c>
      <c r="C223" s="5"/>
      <c r="D223" s="5">
        <f t="shared" si="8"/>
        <v>0</v>
      </c>
      <c r="E223" s="6">
        <f t="shared" si="9"/>
        <v>0</v>
      </c>
      <c r="F223" s="6">
        <f t="shared" si="10"/>
        <v>0</v>
      </c>
      <c r="G223" s="62"/>
      <c r="H223" s="62"/>
      <c r="I223" s="60"/>
      <c r="J223" s="60"/>
      <c r="K223" s="64"/>
      <c r="L223" s="64"/>
      <c r="M223" s="25"/>
      <c r="N223" s="25"/>
    </row>
    <row r="224" spans="1:14">
      <c r="A224" s="3" t="s">
        <v>406</v>
      </c>
      <c r="B224" s="10" t="s">
        <v>407</v>
      </c>
      <c r="C224" s="5"/>
      <c r="D224" s="5">
        <f t="shared" si="8"/>
        <v>0</v>
      </c>
      <c r="E224" s="6">
        <f t="shared" si="9"/>
        <v>0</v>
      </c>
      <c r="F224" s="6">
        <f t="shared" si="10"/>
        <v>0</v>
      </c>
      <c r="G224" s="62"/>
      <c r="H224" s="62"/>
      <c r="I224" s="60"/>
      <c r="J224" s="60"/>
      <c r="K224" s="64"/>
      <c r="L224" s="64"/>
      <c r="M224" s="25"/>
      <c r="N224" s="25"/>
    </row>
    <row r="225" spans="1:14">
      <c r="A225" s="3" t="s">
        <v>408</v>
      </c>
      <c r="B225" s="10" t="s">
        <v>409</v>
      </c>
      <c r="C225" s="5"/>
      <c r="D225" s="5">
        <f t="shared" si="8"/>
        <v>0</v>
      </c>
      <c r="E225" s="6">
        <f t="shared" si="9"/>
        <v>0</v>
      </c>
      <c r="F225" s="6">
        <f t="shared" si="10"/>
        <v>0</v>
      </c>
      <c r="G225" s="62"/>
      <c r="H225" s="62"/>
      <c r="I225" s="60"/>
      <c r="J225" s="60"/>
      <c r="K225" s="64"/>
      <c r="L225" s="64"/>
      <c r="M225" s="25"/>
      <c r="N225" s="25"/>
    </row>
    <row r="226" spans="1:14">
      <c r="A226" s="3" t="s">
        <v>410</v>
      </c>
      <c r="B226" s="10" t="s">
        <v>411</v>
      </c>
      <c r="C226" s="5"/>
      <c r="D226" s="5">
        <f t="shared" si="8"/>
        <v>0</v>
      </c>
      <c r="E226" s="6">
        <f t="shared" si="9"/>
        <v>0</v>
      </c>
      <c r="F226" s="6">
        <f t="shared" si="10"/>
        <v>0</v>
      </c>
      <c r="G226" s="62"/>
      <c r="H226" s="62"/>
      <c r="I226" s="60"/>
      <c r="J226" s="60"/>
      <c r="K226" s="64"/>
      <c r="L226" s="64"/>
      <c r="M226" s="25"/>
      <c r="N226" s="25"/>
    </row>
    <row r="227" spans="1:14">
      <c r="A227" s="3" t="s">
        <v>412</v>
      </c>
      <c r="B227" s="10" t="s">
        <v>413</v>
      </c>
      <c r="C227" s="5"/>
      <c r="D227" s="5">
        <f t="shared" si="8"/>
        <v>0</v>
      </c>
      <c r="E227" s="6">
        <f t="shared" si="9"/>
        <v>0</v>
      </c>
      <c r="F227" s="6">
        <f t="shared" si="10"/>
        <v>0</v>
      </c>
      <c r="G227" s="62"/>
      <c r="H227" s="62"/>
      <c r="I227" s="60"/>
      <c r="J227" s="60"/>
      <c r="K227" s="64"/>
      <c r="L227" s="64"/>
      <c r="M227" s="25"/>
      <c r="N227" s="25"/>
    </row>
    <row r="228" spans="1:14">
      <c r="A228" s="3" t="s">
        <v>414</v>
      </c>
      <c r="B228" s="10" t="s">
        <v>415</v>
      </c>
      <c r="C228" s="5"/>
      <c r="D228" s="5">
        <f t="shared" si="8"/>
        <v>0</v>
      </c>
      <c r="E228" s="6">
        <f t="shared" si="9"/>
        <v>0</v>
      </c>
      <c r="F228" s="6">
        <f t="shared" si="10"/>
        <v>0</v>
      </c>
      <c r="G228" s="62"/>
      <c r="H228" s="62"/>
      <c r="I228" s="60"/>
      <c r="J228" s="60"/>
      <c r="K228" s="64"/>
      <c r="L228" s="64"/>
      <c r="M228" s="25"/>
      <c r="N228" s="25"/>
    </row>
    <row r="229" spans="1:14">
      <c r="A229" s="3" t="s">
        <v>416</v>
      </c>
      <c r="B229" s="10" t="s">
        <v>417</v>
      </c>
      <c r="C229" s="5"/>
      <c r="D229" s="5">
        <f t="shared" si="8"/>
        <v>0</v>
      </c>
      <c r="E229" s="6">
        <f t="shared" si="9"/>
        <v>0</v>
      </c>
      <c r="F229" s="6">
        <f t="shared" si="10"/>
        <v>0</v>
      </c>
      <c r="G229" s="62"/>
      <c r="H229" s="62"/>
      <c r="I229" s="60"/>
      <c r="J229" s="60"/>
      <c r="K229" s="64"/>
      <c r="L229" s="64"/>
      <c r="M229" s="25"/>
      <c r="N229" s="25"/>
    </row>
    <row r="230" spans="1:14">
      <c r="A230" s="3" t="s">
        <v>418</v>
      </c>
      <c r="B230" s="10" t="s">
        <v>419</v>
      </c>
      <c r="C230" s="5"/>
      <c r="D230" s="5">
        <f t="shared" si="8"/>
        <v>0</v>
      </c>
      <c r="E230" s="6">
        <f t="shared" si="9"/>
        <v>0</v>
      </c>
      <c r="F230" s="6">
        <f t="shared" si="10"/>
        <v>0</v>
      </c>
      <c r="G230" s="62"/>
      <c r="H230" s="62"/>
      <c r="I230" s="60"/>
      <c r="J230" s="60"/>
      <c r="K230" s="64"/>
      <c r="L230" s="64"/>
      <c r="M230" s="25"/>
      <c r="N230" s="25"/>
    </row>
    <row r="231" spans="1:14">
      <c r="A231" s="3" t="s">
        <v>420</v>
      </c>
      <c r="B231" s="10" t="s">
        <v>421</v>
      </c>
      <c r="C231" s="5"/>
      <c r="D231" s="5">
        <f t="shared" si="8"/>
        <v>0</v>
      </c>
      <c r="E231" s="6">
        <f t="shared" si="9"/>
        <v>0</v>
      </c>
      <c r="F231" s="6">
        <f t="shared" si="10"/>
        <v>0</v>
      </c>
      <c r="G231" s="62"/>
      <c r="H231" s="62"/>
      <c r="I231" s="60"/>
      <c r="J231" s="60"/>
      <c r="K231" s="64"/>
      <c r="L231" s="64"/>
      <c r="M231" s="25"/>
      <c r="N231" s="25"/>
    </row>
    <row r="232" spans="1:14">
      <c r="A232" s="3" t="s">
        <v>422</v>
      </c>
      <c r="B232" s="10" t="s">
        <v>423</v>
      </c>
      <c r="C232" s="5"/>
      <c r="D232" s="5">
        <f t="shared" si="8"/>
        <v>0</v>
      </c>
      <c r="E232" s="6">
        <f t="shared" si="9"/>
        <v>0</v>
      </c>
      <c r="F232" s="6">
        <f t="shared" si="10"/>
        <v>0</v>
      </c>
      <c r="G232" s="62"/>
      <c r="H232" s="62"/>
      <c r="I232" s="60"/>
      <c r="J232" s="60"/>
      <c r="K232" s="64"/>
      <c r="L232" s="64"/>
      <c r="M232" s="25"/>
      <c r="N232" s="25"/>
    </row>
    <row r="233" spans="1:14">
      <c r="A233" s="3" t="s">
        <v>424</v>
      </c>
      <c r="B233" s="10" t="s">
        <v>425</v>
      </c>
      <c r="C233" s="5"/>
      <c r="D233" s="5">
        <f t="shared" si="8"/>
        <v>0</v>
      </c>
      <c r="E233" s="6">
        <f t="shared" si="9"/>
        <v>0</v>
      </c>
      <c r="F233" s="6">
        <f t="shared" si="10"/>
        <v>0</v>
      </c>
      <c r="G233" s="62"/>
      <c r="H233" s="62"/>
      <c r="I233" s="60"/>
      <c r="J233" s="60"/>
      <c r="K233" s="64"/>
      <c r="L233" s="64"/>
      <c r="M233" s="25"/>
      <c r="N233" s="25"/>
    </row>
    <row r="234" spans="1:14">
      <c r="A234" s="3" t="s">
        <v>426</v>
      </c>
      <c r="B234" s="10" t="s">
        <v>427</v>
      </c>
      <c r="C234" s="5"/>
      <c r="D234" s="5">
        <f t="shared" si="8"/>
        <v>0</v>
      </c>
      <c r="E234" s="6">
        <f t="shared" si="9"/>
        <v>0</v>
      </c>
      <c r="F234" s="6">
        <f t="shared" si="10"/>
        <v>0</v>
      </c>
      <c r="G234" s="62"/>
      <c r="H234" s="62"/>
      <c r="I234" s="60"/>
      <c r="J234" s="60"/>
      <c r="K234" s="64"/>
      <c r="L234" s="64"/>
      <c r="M234" s="25"/>
      <c r="N234" s="25"/>
    </row>
    <row r="235" spans="1:14">
      <c r="A235" s="3" t="s">
        <v>428</v>
      </c>
      <c r="B235" s="10" t="s">
        <v>429</v>
      </c>
      <c r="C235" s="5"/>
      <c r="D235" s="5">
        <f t="shared" si="8"/>
        <v>0</v>
      </c>
      <c r="E235" s="6">
        <f t="shared" si="9"/>
        <v>0</v>
      </c>
      <c r="F235" s="6">
        <f t="shared" si="10"/>
        <v>0</v>
      </c>
      <c r="G235" s="62"/>
      <c r="H235" s="62"/>
      <c r="I235" s="60"/>
      <c r="J235" s="60"/>
      <c r="K235" s="64"/>
      <c r="L235" s="64"/>
      <c r="M235" s="25"/>
      <c r="N235" s="25"/>
    </row>
    <row r="236" spans="1:14">
      <c r="A236" s="3" t="s">
        <v>430</v>
      </c>
      <c r="B236" s="10" t="s">
        <v>431</v>
      </c>
      <c r="C236" s="5"/>
      <c r="D236" s="5">
        <f t="shared" si="8"/>
        <v>0</v>
      </c>
      <c r="E236" s="6">
        <f t="shared" si="9"/>
        <v>0</v>
      </c>
      <c r="F236" s="6">
        <f t="shared" si="10"/>
        <v>0</v>
      </c>
      <c r="G236" s="62"/>
      <c r="H236" s="62"/>
      <c r="I236" s="60"/>
      <c r="J236" s="60"/>
      <c r="K236" s="64"/>
      <c r="L236" s="64"/>
      <c r="M236" s="25"/>
      <c r="N236" s="25"/>
    </row>
    <row r="237" spans="1:14">
      <c r="A237" s="3" t="s">
        <v>432</v>
      </c>
      <c r="B237" s="10" t="s">
        <v>433</v>
      </c>
      <c r="C237" s="5"/>
      <c r="D237" s="5">
        <f t="shared" si="8"/>
        <v>0</v>
      </c>
      <c r="E237" s="6">
        <f t="shared" si="9"/>
        <v>0</v>
      </c>
      <c r="F237" s="6">
        <f t="shared" si="10"/>
        <v>0</v>
      </c>
      <c r="G237" s="62"/>
      <c r="H237" s="62"/>
      <c r="I237" s="60"/>
      <c r="J237" s="60"/>
      <c r="K237" s="64"/>
      <c r="L237" s="64"/>
      <c r="M237" s="25"/>
      <c r="N237" s="25"/>
    </row>
    <row r="238" spans="1:14">
      <c r="A238" s="3" t="s">
        <v>434</v>
      </c>
      <c r="B238" s="10" t="s">
        <v>435</v>
      </c>
      <c r="C238" s="5"/>
      <c r="D238" s="5">
        <f t="shared" ref="D238:D280" si="11">F238-E238</f>
        <v>0</v>
      </c>
      <c r="E238" s="6">
        <f t="shared" si="9"/>
        <v>0</v>
      </c>
      <c r="F238" s="6">
        <f t="shared" si="10"/>
        <v>0</v>
      </c>
      <c r="G238" s="62"/>
      <c r="H238" s="62"/>
      <c r="I238" s="60"/>
      <c r="J238" s="60"/>
      <c r="K238" s="64"/>
      <c r="L238" s="64"/>
      <c r="M238" s="25"/>
      <c r="N238" s="25"/>
    </row>
    <row r="239" spans="1:14">
      <c r="A239" s="3" t="s">
        <v>436</v>
      </c>
      <c r="B239" s="10" t="s">
        <v>437</v>
      </c>
      <c r="C239" s="5"/>
      <c r="D239" s="5">
        <f t="shared" si="11"/>
        <v>0</v>
      </c>
      <c r="E239" s="6">
        <f t="shared" si="9"/>
        <v>0</v>
      </c>
      <c r="F239" s="6">
        <f t="shared" si="10"/>
        <v>0</v>
      </c>
      <c r="G239" s="62"/>
      <c r="H239" s="62"/>
      <c r="I239" s="60"/>
      <c r="J239" s="60"/>
      <c r="K239" s="64"/>
      <c r="L239" s="64"/>
      <c r="M239" s="25"/>
      <c r="N239" s="25"/>
    </row>
    <row r="240" spans="1:14">
      <c r="A240" s="3" t="s">
        <v>438</v>
      </c>
      <c r="B240" s="10" t="s">
        <v>439</v>
      </c>
      <c r="C240" s="5"/>
      <c r="D240" s="5">
        <f t="shared" si="11"/>
        <v>0</v>
      </c>
      <c r="E240" s="6">
        <f t="shared" si="9"/>
        <v>0</v>
      </c>
      <c r="F240" s="6">
        <f t="shared" si="10"/>
        <v>0</v>
      </c>
      <c r="G240" s="62"/>
      <c r="H240" s="62"/>
      <c r="I240" s="60"/>
      <c r="J240" s="60"/>
      <c r="K240" s="64"/>
      <c r="L240" s="64"/>
      <c r="M240" s="25"/>
      <c r="N240" s="25"/>
    </row>
    <row r="241" spans="1:14">
      <c r="A241" s="3" t="s">
        <v>440</v>
      </c>
      <c r="B241" s="10" t="s">
        <v>441</v>
      </c>
      <c r="C241" s="5"/>
      <c r="D241" s="5">
        <f t="shared" si="11"/>
        <v>0</v>
      </c>
      <c r="E241" s="6">
        <f t="shared" si="9"/>
        <v>0</v>
      </c>
      <c r="F241" s="6">
        <f t="shared" si="10"/>
        <v>0</v>
      </c>
      <c r="G241" s="62"/>
      <c r="H241" s="62"/>
      <c r="I241" s="60"/>
      <c r="J241" s="60"/>
      <c r="K241" s="64"/>
      <c r="L241" s="64"/>
      <c r="M241" s="25"/>
      <c r="N241" s="25"/>
    </row>
    <row r="242" spans="1:14">
      <c r="A242" s="3" t="s">
        <v>442</v>
      </c>
      <c r="B242" s="10" t="s">
        <v>443</v>
      </c>
      <c r="C242" s="5"/>
      <c r="D242" s="5">
        <f t="shared" si="11"/>
        <v>0</v>
      </c>
      <c r="E242" s="6">
        <f t="shared" si="9"/>
        <v>0</v>
      </c>
      <c r="F242" s="6">
        <f t="shared" si="10"/>
        <v>0</v>
      </c>
      <c r="G242" s="62"/>
      <c r="H242" s="62"/>
      <c r="I242" s="60"/>
      <c r="J242" s="60"/>
      <c r="K242" s="64"/>
      <c r="L242" s="64"/>
      <c r="M242" s="25"/>
      <c r="N242" s="25"/>
    </row>
    <row r="243" spans="1:14">
      <c r="A243" s="3" t="s">
        <v>444</v>
      </c>
      <c r="B243" s="10" t="s">
        <v>445</v>
      </c>
      <c r="C243" s="5"/>
      <c r="D243" s="5">
        <f t="shared" si="11"/>
        <v>0</v>
      </c>
      <c r="E243" s="6">
        <f t="shared" si="9"/>
        <v>0</v>
      </c>
      <c r="F243" s="6">
        <f t="shared" si="10"/>
        <v>0</v>
      </c>
      <c r="G243" s="62"/>
      <c r="H243" s="62"/>
      <c r="I243" s="60"/>
      <c r="J243" s="60"/>
      <c r="K243" s="64"/>
      <c r="L243" s="64"/>
      <c r="M243" s="25"/>
      <c r="N243" s="25"/>
    </row>
    <row r="244" spans="1:14">
      <c r="A244" s="3" t="s">
        <v>446</v>
      </c>
      <c r="B244" s="10" t="s">
        <v>447</v>
      </c>
      <c r="C244" s="5"/>
      <c r="D244" s="5">
        <f t="shared" si="11"/>
        <v>0</v>
      </c>
      <c r="E244" s="6">
        <f t="shared" si="9"/>
        <v>0</v>
      </c>
      <c r="F244" s="6">
        <f t="shared" si="10"/>
        <v>0</v>
      </c>
      <c r="G244" s="62"/>
      <c r="H244" s="62"/>
      <c r="I244" s="60"/>
      <c r="J244" s="60"/>
      <c r="K244" s="64"/>
      <c r="L244" s="64"/>
      <c r="M244" s="25"/>
      <c r="N244" s="25"/>
    </row>
    <row r="245" spans="1:14">
      <c r="A245" s="3" t="s">
        <v>448</v>
      </c>
      <c r="B245" s="10" t="s">
        <v>449</v>
      </c>
      <c r="C245" s="5"/>
      <c r="D245" s="5">
        <f t="shared" si="11"/>
        <v>0</v>
      </c>
      <c r="E245" s="6">
        <f t="shared" si="9"/>
        <v>0</v>
      </c>
      <c r="F245" s="6">
        <f t="shared" si="10"/>
        <v>0</v>
      </c>
      <c r="G245" s="62"/>
      <c r="H245" s="62"/>
      <c r="I245" s="60"/>
      <c r="J245" s="60"/>
      <c r="K245" s="64"/>
      <c r="L245" s="64"/>
      <c r="M245" s="25"/>
      <c r="N245" s="25"/>
    </row>
    <row r="246" spans="1:14">
      <c r="A246" s="3" t="s">
        <v>450</v>
      </c>
      <c r="B246" s="10" t="s">
        <v>451</v>
      </c>
      <c r="C246" s="5"/>
      <c r="D246" s="5">
        <f t="shared" si="11"/>
        <v>0</v>
      </c>
      <c r="E246" s="6">
        <f t="shared" si="9"/>
        <v>0</v>
      </c>
      <c r="F246" s="6">
        <f t="shared" si="10"/>
        <v>0</v>
      </c>
      <c r="G246" s="62"/>
      <c r="H246" s="62"/>
      <c r="I246" s="60"/>
      <c r="J246" s="60"/>
      <c r="K246" s="64"/>
      <c r="L246" s="64"/>
      <c r="M246" s="25"/>
      <c r="N246" s="25"/>
    </row>
    <row r="247" spans="1:14">
      <c r="A247" s="3" t="s">
        <v>452</v>
      </c>
      <c r="B247" s="10" t="s">
        <v>453</v>
      </c>
      <c r="C247" s="5"/>
      <c r="D247" s="5">
        <f t="shared" si="11"/>
        <v>0</v>
      </c>
      <c r="E247" s="6">
        <f t="shared" si="9"/>
        <v>0</v>
      </c>
      <c r="F247" s="6">
        <f t="shared" si="10"/>
        <v>0</v>
      </c>
      <c r="G247" s="62"/>
      <c r="H247" s="62"/>
      <c r="I247" s="60"/>
      <c r="J247" s="60"/>
      <c r="K247" s="64"/>
      <c r="L247" s="64"/>
      <c r="M247" s="25"/>
      <c r="N247" s="25"/>
    </row>
    <row r="248" spans="1:14">
      <c r="A248" s="3" t="s">
        <v>454</v>
      </c>
      <c r="B248" s="10" t="s">
        <v>455</v>
      </c>
      <c r="C248" s="5"/>
      <c r="D248" s="5">
        <f t="shared" si="11"/>
        <v>0</v>
      </c>
      <c r="E248" s="6">
        <f t="shared" si="9"/>
        <v>0</v>
      </c>
      <c r="F248" s="6">
        <f t="shared" si="10"/>
        <v>0</v>
      </c>
      <c r="G248" s="62"/>
      <c r="H248" s="62"/>
      <c r="I248" s="60"/>
      <c r="J248" s="60"/>
      <c r="K248" s="64"/>
      <c r="L248" s="64"/>
      <c r="M248" s="25"/>
      <c r="N248" s="25"/>
    </row>
    <row r="249" spans="1:14">
      <c r="A249" s="3" t="s">
        <v>456</v>
      </c>
      <c r="B249" s="10" t="s">
        <v>457</v>
      </c>
      <c r="C249" s="5"/>
      <c r="D249" s="5">
        <f t="shared" si="11"/>
        <v>0</v>
      </c>
      <c r="E249" s="6">
        <f t="shared" si="9"/>
        <v>0</v>
      </c>
      <c r="F249" s="6">
        <f t="shared" si="10"/>
        <v>0</v>
      </c>
      <c r="G249" s="62"/>
      <c r="H249" s="62"/>
      <c r="I249" s="60"/>
      <c r="J249" s="60"/>
      <c r="K249" s="64"/>
      <c r="L249" s="64"/>
      <c r="M249" s="25"/>
      <c r="N249" s="25"/>
    </row>
    <row r="250" spans="1:14">
      <c r="A250" s="3" t="s">
        <v>458</v>
      </c>
      <c r="B250" s="10" t="s">
        <v>459</v>
      </c>
      <c r="C250" s="5"/>
      <c r="D250" s="5">
        <f t="shared" si="11"/>
        <v>0</v>
      </c>
      <c r="E250" s="6">
        <f t="shared" si="9"/>
        <v>0</v>
      </c>
      <c r="F250" s="6">
        <f t="shared" si="10"/>
        <v>0</v>
      </c>
      <c r="G250" s="62"/>
      <c r="H250" s="62"/>
      <c r="I250" s="60"/>
      <c r="J250" s="60"/>
      <c r="K250" s="64"/>
      <c r="L250" s="64"/>
      <c r="M250" s="25"/>
      <c r="N250" s="25"/>
    </row>
    <row r="251" spans="1:14">
      <c r="A251" s="3" t="s">
        <v>460</v>
      </c>
      <c r="B251" s="10" t="s">
        <v>461</v>
      </c>
      <c r="C251" s="5"/>
      <c r="D251" s="5">
        <f t="shared" si="11"/>
        <v>0</v>
      </c>
      <c r="E251" s="6">
        <f t="shared" si="9"/>
        <v>0</v>
      </c>
      <c r="F251" s="6">
        <f t="shared" si="10"/>
        <v>0</v>
      </c>
      <c r="G251" s="62"/>
      <c r="H251" s="62"/>
      <c r="I251" s="60"/>
      <c r="J251" s="60"/>
      <c r="K251" s="64"/>
      <c r="L251" s="64"/>
      <c r="M251" s="25"/>
      <c r="N251" s="25"/>
    </row>
    <row r="252" spans="1:14">
      <c r="A252" s="3" t="s">
        <v>462</v>
      </c>
      <c r="B252" s="10" t="s">
        <v>463</v>
      </c>
      <c r="C252" s="5"/>
      <c r="D252" s="5">
        <f t="shared" si="11"/>
        <v>0</v>
      </c>
      <c r="E252" s="6">
        <f t="shared" si="9"/>
        <v>0</v>
      </c>
      <c r="F252" s="6">
        <f t="shared" si="10"/>
        <v>0</v>
      </c>
      <c r="G252" s="62"/>
      <c r="H252" s="62"/>
      <c r="I252" s="60"/>
      <c r="J252" s="60"/>
      <c r="K252" s="64"/>
      <c r="L252" s="64"/>
      <c r="M252" s="25"/>
      <c r="N252" s="25"/>
    </row>
    <row r="253" spans="1:14">
      <c r="A253" s="3" t="s">
        <v>464</v>
      </c>
      <c r="B253" s="10" t="s">
        <v>465</v>
      </c>
      <c r="C253" s="5"/>
      <c r="D253" s="5">
        <f t="shared" si="11"/>
        <v>0</v>
      </c>
      <c r="E253" s="6">
        <f t="shared" si="9"/>
        <v>0</v>
      </c>
      <c r="F253" s="6">
        <f t="shared" si="10"/>
        <v>0</v>
      </c>
      <c r="G253" s="62"/>
      <c r="H253" s="62"/>
      <c r="I253" s="60"/>
      <c r="J253" s="60"/>
      <c r="K253" s="64"/>
      <c r="L253" s="64"/>
      <c r="M253" s="25"/>
      <c r="N253" s="25"/>
    </row>
    <row r="254" spans="1:14">
      <c r="A254" s="3" t="s">
        <v>466</v>
      </c>
      <c r="B254" s="10" t="s">
        <v>467</v>
      </c>
      <c r="C254" s="5"/>
      <c r="D254" s="5">
        <f t="shared" si="11"/>
        <v>0</v>
      </c>
      <c r="E254" s="6">
        <f t="shared" si="9"/>
        <v>0</v>
      </c>
      <c r="F254" s="6">
        <f t="shared" si="10"/>
        <v>0</v>
      </c>
      <c r="G254" s="62"/>
      <c r="H254" s="62"/>
      <c r="I254" s="60"/>
      <c r="J254" s="60"/>
      <c r="K254" s="64"/>
      <c r="L254" s="64"/>
      <c r="M254" s="25"/>
      <c r="N254" s="25"/>
    </row>
    <row r="255" spans="1:14">
      <c r="A255" s="3" t="s">
        <v>468</v>
      </c>
      <c r="B255" s="10" t="s">
        <v>469</v>
      </c>
      <c r="C255" s="5"/>
      <c r="D255" s="5">
        <f t="shared" si="11"/>
        <v>0</v>
      </c>
      <c r="E255" s="6">
        <f t="shared" si="9"/>
        <v>0</v>
      </c>
      <c r="F255" s="6">
        <f t="shared" si="10"/>
        <v>0</v>
      </c>
      <c r="G255" s="62"/>
      <c r="H255" s="62"/>
      <c r="I255" s="60"/>
      <c r="J255" s="60"/>
      <c r="K255" s="64"/>
      <c r="L255" s="64"/>
      <c r="M255" s="25"/>
      <c r="N255" s="25"/>
    </row>
    <row r="256" spans="1:14">
      <c r="A256" s="3" t="s">
        <v>470</v>
      </c>
      <c r="B256" s="10" t="s">
        <v>471</v>
      </c>
      <c r="C256" s="5"/>
      <c r="D256" s="5">
        <f t="shared" si="11"/>
        <v>0</v>
      </c>
      <c r="E256" s="6">
        <f t="shared" si="9"/>
        <v>0</v>
      </c>
      <c r="F256" s="6">
        <f t="shared" si="10"/>
        <v>0</v>
      </c>
      <c r="G256" s="62"/>
      <c r="H256" s="62"/>
      <c r="I256" s="60"/>
      <c r="J256" s="60"/>
      <c r="K256" s="64"/>
      <c r="L256" s="64"/>
      <c r="M256" s="25"/>
      <c r="N256" s="25"/>
    </row>
    <row r="257" spans="1:14">
      <c r="A257" s="3" t="s">
        <v>472</v>
      </c>
      <c r="B257" s="10" t="s">
        <v>473</v>
      </c>
      <c r="C257" s="5"/>
      <c r="D257" s="5">
        <f t="shared" si="11"/>
        <v>0</v>
      </c>
      <c r="E257" s="6">
        <f t="shared" si="9"/>
        <v>0</v>
      </c>
      <c r="F257" s="6">
        <f t="shared" si="10"/>
        <v>0</v>
      </c>
      <c r="G257" s="62"/>
      <c r="H257" s="62"/>
      <c r="I257" s="60"/>
      <c r="J257" s="60"/>
      <c r="K257" s="64"/>
      <c r="L257" s="64"/>
      <c r="M257" s="25"/>
      <c r="N257" s="25"/>
    </row>
    <row r="258" spans="1:14">
      <c r="A258" s="3" t="s">
        <v>474</v>
      </c>
      <c r="B258" s="10" t="s">
        <v>475</v>
      </c>
      <c r="C258" s="5"/>
      <c r="D258" s="5">
        <f t="shared" si="11"/>
        <v>0</v>
      </c>
      <c r="E258" s="6">
        <f t="shared" si="9"/>
        <v>0</v>
      </c>
      <c r="F258" s="6">
        <f t="shared" si="10"/>
        <v>0</v>
      </c>
      <c r="G258" s="62"/>
      <c r="H258" s="62"/>
      <c r="I258" s="60"/>
      <c r="J258" s="60"/>
      <c r="K258" s="64"/>
      <c r="L258" s="64"/>
      <c r="M258" s="25"/>
      <c r="N258" s="25"/>
    </row>
    <row r="259" spans="1:14">
      <c r="A259" s="3" t="s">
        <v>476</v>
      </c>
      <c r="B259" s="10" t="s">
        <v>477</v>
      </c>
      <c r="C259" s="5"/>
      <c r="D259" s="5">
        <f t="shared" si="11"/>
        <v>0</v>
      </c>
      <c r="E259" s="6">
        <f t="shared" si="9"/>
        <v>0</v>
      </c>
      <c r="F259" s="6">
        <f t="shared" si="10"/>
        <v>0</v>
      </c>
      <c r="G259" s="62"/>
      <c r="H259" s="62"/>
      <c r="I259" s="60"/>
      <c r="J259" s="60"/>
      <c r="K259" s="64"/>
      <c r="L259" s="64"/>
      <c r="M259" s="25"/>
      <c r="N259" s="25"/>
    </row>
    <row r="260" spans="1:14">
      <c r="A260" s="3" t="s">
        <v>478</v>
      </c>
      <c r="B260" s="10" t="s">
        <v>479</v>
      </c>
      <c r="C260" s="5"/>
      <c r="D260" s="5">
        <f t="shared" si="11"/>
        <v>0</v>
      </c>
      <c r="E260" s="6">
        <f t="shared" si="9"/>
        <v>0</v>
      </c>
      <c r="F260" s="6">
        <f t="shared" si="10"/>
        <v>0</v>
      </c>
      <c r="G260" s="62"/>
      <c r="H260" s="62"/>
      <c r="I260" s="60"/>
      <c r="J260" s="60"/>
      <c r="K260" s="64"/>
      <c r="L260" s="64"/>
      <c r="M260" s="25"/>
      <c r="N260" s="25"/>
    </row>
    <row r="261" spans="1:14">
      <c r="A261" s="3" t="s">
        <v>480</v>
      </c>
      <c r="B261" s="10" t="s">
        <v>481</v>
      </c>
      <c r="C261" s="5"/>
      <c r="D261" s="5">
        <f t="shared" si="11"/>
        <v>0</v>
      </c>
      <c r="E261" s="6">
        <f t="shared" si="9"/>
        <v>0</v>
      </c>
      <c r="F261" s="6">
        <f t="shared" si="10"/>
        <v>0</v>
      </c>
      <c r="G261" s="62"/>
      <c r="H261" s="62"/>
      <c r="I261" s="60"/>
      <c r="J261" s="60"/>
      <c r="K261" s="64"/>
      <c r="L261" s="64"/>
      <c r="M261" s="25"/>
      <c r="N261" s="25"/>
    </row>
    <row r="262" spans="1:14">
      <c r="A262" s="3" t="s">
        <v>482</v>
      </c>
      <c r="B262" s="10" t="s">
        <v>483</v>
      </c>
      <c r="C262" s="5"/>
      <c r="D262" s="5">
        <f t="shared" si="11"/>
        <v>0</v>
      </c>
      <c r="E262" s="6">
        <f t="shared" si="9"/>
        <v>0</v>
      </c>
      <c r="F262" s="6">
        <f t="shared" si="10"/>
        <v>0</v>
      </c>
      <c r="G262" s="62"/>
      <c r="H262" s="62"/>
      <c r="I262" s="60"/>
      <c r="J262" s="60"/>
      <c r="K262" s="64"/>
      <c r="L262" s="64"/>
      <c r="M262" s="25"/>
      <c r="N262" s="25"/>
    </row>
    <row r="263" spans="1:14">
      <c r="A263" s="3" t="s">
        <v>484</v>
      </c>
      <c r="B263" s="10" t="s">
        <v>485</v>
      </c>
      <c r="C263" s="5"/>
      <c r="D263" s="5">
        <f t="shared" si="11"/>
        <v>0</v>
      </c>
      <c r="E263" s="6">
        <f t="shared" si="9"/>
        <v>0</v>
      </c>
      <c r="F263" s="6">
        <f t="shared" si="10"/>
        <v>0</v>
      </c>
      <c r="G263" s="62"/>
      <c r="H263" s="62"/>
      <c r="I263" s="60"/>
      <c r="J263" s="60"/>
      <c r="K263" s="64"/>
      <c r="L263" s="64"/>
      <c r="M263" s="25"/>
      <c r="N263" s="25"/>
    </row>
    <row r="264" spans="1:14">
      <c r="A264" s="3" t="s">
        <v>486</v>
      </c>
      <c r="B264" s="10" t="s">
        <v>487</v>
      </c>
      <c r="C264" s="5"/>
      <c r="D264" s="5">
        <f t="shared" si="11"/>
        <v>0</v>
      </c>
      <c r="E264" s="6">
        <f t="shared" si="9"/>
        <v>0</v>
      </c>
      <c r="F264" s="6">
        <f t="shared" si="10"/>
        <v>0</v>
      </c>
      <c r="G264" s="62"/>
      <c r="H264" s="62"/>
      <c r="I264" s="60"/>
      <c r="J264" s="60"/>
      <c r="K264" s="64"/>
      <c r="L264" s="64"/>
      <c r="M264" s="25"/>
      <c r="N264" s="25"/>
    </row>
    <row r="265" spans="1:14">
      <c r="A265" s="3" t="s">
        <v>488</v>
      </c>
      <c r="B265" s="10" t="s">
        <v>489</v>
      </c>
      <c r="C265" s="5"/>
      <c r="D265" s="5">
        <f t="shared" si="11"/>
        <v>0</v>
      </c>
      <c r="E265" s="6">
        <f t="shared" si="9"/>
        <v>0</v>
      </c>
      <c r="F265" s="6">
        <f t="shared" si="10"/>
        <v>0</v>
      </c>
      <c r="G265" s="62"/>
      <c r="H265" s="62"/>
      <c r="I265" s="60"/>
      <c r="J265" s="60"/>
      <c r="K265" s="64"/>
      <c r="L265" s="64"/>
      <c r="M265" s="25"/>
      <c r="N265" s="25"/>
    </row>
    <row r="266" spans="1:14">
      <c r="A266" s="3" t="s">
        <v>490</v>
      </c>
      <c r="B266" s="10" t="s">
        <v>491</v>
      </c>
      <c r="C266" s="5"/>
      <c r="D266" s="5">
        <f t="shared" si="11"/>
        <v>0</v>
      </c>
      <c r="E266" s="6">
        <f t="shared" si="9"/>
        <v>0</v>
      </c>
      <c r="F266" s="6">
        <f t="shared" si="10"/>
        <v>0</v>
      </c>
      <c r="G266" s="62"/>
      <c r="H266" s="62"/>
      <c r="I266" s="60"/>
      <c r="J266" s="60"/>
      <c r="K266" s="64"/>
      <c r="L266" s="64"/>
      <c r="M266" s="25"/>
      <c r="N266" s="25"/>
    </row>
    <row r="267" spans="1:14">
      <c r="A267" s="3" t="s">
        <v>492</v>
      </c>
      <c r="B267" s="10" t="s">
        <v>493</v>
      </c>
      <c r="C267" s="5"/>
      <c r="D267" s="5">
        <f t="shared" si="11"/>
        <v>0</v>
      </c>
      <c r="E267" s="6">
        <f t="shared" si="9"/>
        <v>0</v>
      </c>
      <c r="F267" s="6">
        <f t="shared" si="10"/>
        <v>0</v>
      </c>
      <c r="G267" s="62"/>
      <c r="H267" s="62"/>
      <c r="I267" s="60"/>
      <c r="J267" s="60"/>
      <c r="K267" s="64"/>
      <c r="L267" s="64"/>
      <c r="M267" s="25"/>
      <c r="N267" s="25"/>
    </row>
    <row r="268" spans="1:14">
      <c r="A268" s="3" t="s">
        <v>494</v>
      </c>
      <c r="B268" s="10" t="s">
        <v>495</v>
      </c>
      <c r="C268" s="5"/>
      <c r="D268" s="5">
        <f t="shared" si="11"/>
        <v>0</v>
      </c>
      <c r="E268" s="6">
        <f t="shared" si="9"/>
        <v>0</v>
      </c>
      <c r="F268" s="6">
        <f t="shared" si="10"/>
        <v>0</v>
      </c>
      <c r="G268" s="62"/>
      <c r="H268" s="62"/>
      <c r="I268" s="60"/>
      <c r="J268" s="60"/>
      <c r="K268" s="64"/>
      <c r="L268" s="64"/>
      <c r="M268" s="25"/>
      <c r="N268" s="25"/>
    </row>
    <row r="269" spans="1:14">
      <c r="A269" s="3" t="s">
        <v>496</v>
      </c>
      <c r="B269" s="10" t="s">
        <v>497</v>
      </c>
      <c r="C269" s="5"/>
      <c r="D269" s="5">
        <f t="shared" si="11"/>
        <v>0</v>
      </c>
      <c r="E269" s="6">
        <f t="shared" si="9"/>
        <v>0</v>
      </c>
      <c r="F269" s="6">
        <f t="shared" si="10"/>
        <v>0</v>
      </c>
      <c r="G269" s="62"/>
      <c r="H269" s="62"/>
      <c r="I269" s="60"/>
      <c r="J269" s="60"/>
      <c r="K269" s="64"/>
      <c r="L269" s="64"/>
      <c r="M269" s="25"/>
      <c r="N269" s="25"/>
    </row>
    <row r="270" spans="1:14">
      <c r="A270" s="3" t="s">
        <v>498</v>
      </c>
      <c r="B270" s="10" t="s">
        <v>499</v>
      </c>
      <c r="C270" s="5"/>
      <c r="D270" s="5">
        <f t="shared" si="11"/>
        <v>0</v>
      </c>
      <c r="E270" s="6">
        <f t="shared" ref="E270:E333" si="12">SUM(G270,I270,K270,M270)</f>
        <v>0</v>
      </c>
      <c r="F270" s="6">
        <f t="shared" ref="F270:F333" si="13">SUM(H270,J270,L270,N270)</f>
        <v>0</v>
      </c>
      <c r="G270" s="62"/>
      <c r="H270" s="62"/>
      <c r="I270" s="60"/>
      <c r="J270" s="60"/>
      <c r="K270" s="64"/>
      <c r="L270" s="64"/>
      <c r="M270" s="25"/>
      <c r="N270" s="25"/>
    </row>
    <row r="271" spans="1:14">
      <c r="A271" s="3" t="s">
        <v>500</v>
      </c>
      <c r="B271" s="10" t="s">
        <v>501</v>
      </c>
      <c r="C271" s="5"/>
      <c r="D271" s="5">
        <f t="shared" si="11"/>
        <v>0</v>
      </c>
      <c r="E271" s="6">
        <f t="shared" si="12"/>
        <v>0</v>
      </c>
      <c r="F271" s="6">
        <f t="shared" si="13"/>
        <v>0</v>
      </c>
      <c r="G271" s="62"/>
      <c r="H271" s="62"/>
      <c r="I271" s="60"/>
      <c r="J271" s="60"/>
      <c r="K271" s="64"/>
      <c r="L271" s="64"/>
      <c r="M271" s="25"/>
      <c r="N271" s="25"/>
    </row>
    <row r="272" spans="1:14">
      <c r="A272" s="3" t="s">
        <v>502</v>
      </c>
      <c r="B272" s="10" t="s">
        <v>503</v>
      </c>
      <c r="C272" s="5"/>
      <c r="D272" s="5">
        <f t="shared" si="11"/>
        <v>0</v>
      </c>
      <c r="E272" s="6">
        <f t="shared" si="12"/>
        <v>0</v>
      </c>
      <c r="F272" s="6">
        <f t="shared" si="13"/>
        <v>0</v>
      </c>
      <c r="G272" s="62"/>
      <c r="H272" s="62"/>
      <c r="I272" s="60"/>
      <c r="J272" s="60"/>
      <c r="K272" s="64"/>
      <c r="L272" s="64"/>
      <c r="M272" s="25"/>
      <c r="N272" s="25"/>
    </row>
    <row r="273" spans="1:14">
      <c r="A273" s="3" t="s">
        <v>504</v>
      </c>
      <c r="B273" s="10" t="s">
        <v>505</v>
      </c>
      <c r="C273" s="5"/>
      <c r="D273" s="5">
        <f t="shared" si="11"/>
        <v>0</v>
      </c>
      <c r="E273" s="6">
        <f t="shared" si="12"/>
        <v>0</v>
      </c>
      <c r="F273" s="6">
        <f t="shared" si="13"/>
        <v>0</v>
      </c>
      <c r="G273" s="62"/>
      <c r="H273" s="62"/>
      <c r="I273" s="60"/>
      <c r="J273" s="60"/>
      <c r="K273" s="64"/>
      <c r="L273" s="64"/>
      <c r="M273" s="25"/>
      <c r="N273" s="25"/>
    </row>
    <row r="274" spans="1:14">
      <c r="A274" s="3" t="s">
        <v>506</v>
      </c>
      <c r="B274" s="10" t="s">
        <v>507</v>
      </c>
      <c r="C274" s="5"/>
      <c r="D274" s="5">
        <f t="shared" si="11"/>
        <v>0</v>
      </c>
      <c r="E274" s="6">
        <f t="shared" si="12"/>
        <v>0</v>
      </c>
      <c r="F274" s="6">
        <f t="shared" si="13"/>
        <v>0</v>
      </c>
      <c r="G274" s="62"/>
      <c r="H274" s="62"/>
      <c r="I274" s="60"/>
      <c r="J274" s="60"/>
      <c r="K274" s="64"/>
      <c r="L274" s="64"/>
      <c r="M274" s="25"/>
      <c r="N274" s="25"/>
    </row>
    <row r="275" spans="1:14">
      <c r="A275" s="3" t="s">
        <v>508</v>
      </c>
      <c r="B275" s="10" t="s">
        <v>509</v>
      </c>
      <c r="C275" s="5"/>
      <c r="D275" s="5">
        <f t="shared" si="11"/>
        <v>0</v>
      </c>
      <c r="E275" s="6">
        <f t="shared" si="12"/>
        <v>0</v>
      </c>
      <c r="F275" s="6">
        <f t="shared" si="13"/>
        <v>0</v>
      </c>
      <c r="G275" s="62"/>
      <c r="H275" s="62"/>
      <c r="I275" s="60"/>
      <c r="J275" s="60"/>
      <c r="K275" s="64"/>
      <c r="L275" s="64"/>
      <c r="M275" s="25"/>
      <c r="N275" s="25"/>
    </row>
    <row r="276" spans="1:14">
      <c r="A276" s="3" t="s">
        <v>510</v>
      </c>
      <c r="B276" s="10" t="s">
        <v>511</v>
      </c>
      <c r="C276" s="5"/>
      <c r="D276" s="5">
        <f t="shared" si="11"/>
        <v>0</v>
      </c>
      <c r="E276" s="6">
        <f t="shared" si="12"/>
        <v>0</v>
      </c>
      <c r="F276" s="6">
        <f t="shared" si="13"/>
        <v>0</v>
      </c>
      <c r="G276" s="62"/>
      <c r="H276" s="62"/>
      <c r="I276" s="60"/>
      <c r="J276" s="60"/>
      <c r="K276" s="64"/>
      <c r="L276" s="64"/>
      <c r="M276" s="25"/>
      <c r="N276" s="25"/>
    </row>
    <row r="277" spans="1:14">
      <c r="A277" s="3" t="s">
        <v>512</v>
      </c>
      <c r="B277" s="10" t="s">
        <v>513</v>
      </c>
      <c r="C277" s="5"/>
      <c r="D277" s="5">
        <f t="shared" si="11"/>
        <v>0</v>
      </c>
      <c r="E277" s="6">
        <f t="shared" si="12"/>
        <v>0</v>
      </c>
      <c r="F277" s="6">
        <f t="shared" si="13"/>
        <v>0</v>
      </c>
      <c r="G277" s="62"/>
      <c r="H277" s="62"/>
      <c r="I277" s="60"/>
      <c r="J277" s="60"/>
      <c r="K277" s="64"/>
      <c r="L277" s="64"/>
      <c r="M277" s="25"/>
      <c r="N277" s="25"/>
    </row>
    <row r="278" spans="1:14">
      <c r="A278" s="3" t="s">
        <v>514</v>
      </c>
      <c r="B278" s="10" t="s">
        <v>515</v>
      </c>
      <c r="C278" s="5"/>
      <c r="D278" s="5">
        <f t="shared" si="11"/>
        <v>0</v>
      </c>
      <c r="E278" s="6">
        <f t="shared" si="12"/>
        <v>0</v>
      </c>
      <c r="F278" s="6">
        <f t="shared" si="13"/>
        <v>0</v>
      </c>
      <c r="G278" s="62"/>
      <c r="H278" s="62"/>
      <c r="I278" s="60"/>
      <c r="J278" s="60"/>
      <c r="K278" s="64"/>
      <c r="L278" s="64"/>
      <c r="M278" s="25"/>
      <c r="N278" s="25"/>
    </row>
    <row r="279" spans="1:14">
      <c r="A279" s="3" t="s">
        <v>516</v>
      </c>
      <c r="B279" s="10" t="s">
        <v>517</v>
      </c>
      <c r="C279" s="5"/>
      <c r="D279" s="5">
        <f t="shared" si="11"/>
        <v>0</v>
      </c>
      <c r="E279" s="6">
        <f t="shared" si="12"/>
        <v>0</v>
      </c>
      <c r="F279" s="6">
        <f t="shared" si="13"/>
        <v>0</v>
      </c>
      <c r="G279" s="62"/>
      <c r="H279" s="62"/>
      <c r="I279" s="60"/>
      <c r="J279" s="60"/>
      <c r="K279" s="64"/>
      <c r="L279" s="64"/>
      <c r="M279" s="25"/>
      <c r="N279" s="25"/>
    </row>
    <row r="280" spans="1:14">
      <c r="A280" s="3" t="s">
        <v>518</v>
      </c>
      <c r="B280" s="10" t="s">
        <v>519</v>
      </c>
      <c r="C280" s="5"/>
      <c r="D280" s="5">
        <f t="shared" si="11"/>
        <v>0</v>
      </c>
      <c r="E280" s="6">
        <f t="shared" si="12"/>
        <v>0</v>
      </c>
      <c r="F280" s="6">
        <f t="shared" si="13"/>
        <v>0</v>
      </c>
      <c r="G280" s="62"/>
      <c r="H280" s="62"/>
      <c r="I280" s="60"/>
      <c r="J280" s="60"/>
      <c r="K280" s="64"/>
      <c r="L280" s="64"/>
      <c r="M280" s="25"/>
      <c r="N280" s="25"/>
    </row>
    <row r="281" spans="1:14">
      <c r="A281" s="3" t="s">
        <v>520</v>
      </c>
      <c r="B281" s="4" t="s">
        <v>521</v>
      </c>
      <c r="C281" s="5">
        <f t="shared" ref="C281:C344" si="14">E281-F281</f>
        <v>0</v>
      </c>
      <c r="D281" s="5"/>
      <c r="E281" s="6">
        <f t="shared" si="12"/>
        <v>0</v>
      </c>
      <c r="F281" s="6">
        <f t="shared" si="13"/>
        <v>0</v>
      </c>
      <c r="G281" s="62"/>
      <c r="H281" s="62"/>
      <c r="I281" s="60"/>
      <c r="J281" s="60"/>
      <c r="K281" s="64"/>
      <c r="L281" s="64"/>
      <c r="M281" s="25"/>
      <c r="N281" s="25"/>
    </row>
    <row r="282" spans="1:14">
      <c r="A282" s="3" t="s">
        <v>522</v>
      </c>
      <c r="B282" s="4" t="s">
        <v>523</v>
      </c>
      <c r="C282" s="5">
        <f t="shared" si="14"/>
        <v>0</v>
      </c>
      <c r="D282" s="5"/>
      <c r="E282" s="6">
        <f t="shared" si="12"/>
        <v>0</v>
      </c>
      <c r="F282" s="6">
        <f t="shared" si="13"/>
        <v>0</v>
      </c>
      <c r="G282" s="62"/>
      <c r="H282" s="62"/>
      <c r="I282" s="60"/>
      <c r="J282" s="60"/>
      <c r="K282" s="64"/>
      <c r="L282" s="64"/>
      <c r="M282" s="25"/>
      <c r="N282" s="25"/>
    </row>
    <row r="283" spans="1:14">
      <c r="A283" s="3" t="s">
        <v>524</v>
      </c>
      <c r="B283" s="4" t="s">
        <v>525</v>
      </c>
      <c r="C283" s="5">
        <f t="shared" si="14"/>
        <v>0</v>
      </c>
      <c r="D283" s="5"/>
      <c r="E283" s="6">
        <f t="shared" si="12"/>
        <v>0</v>
      </c>
      <c r="F283" s="6">
        <f t="shared" si="13"/>
        <v>0</v>
      </c>
      <c r="G283" s="62"/>
      <c r="H283" s="62"/>
      <c r="I283" s="60"/>
      <c r="J283" s="60"/>
      <c r="K283" s="64"/>
      <c r="L283" s="64"/>
      <c r="M283" s="25"/>
      <c r="N283" s="25"/>
    </row>
    <row r="284" spans="1:14">
      <c r="A284" s="3" t="s">
        <v>526</v>
      </c>
      <c r="B284" s="4" t="s">
        <v>527</v>
      </c>
      <c r="C284" s="5">
        <f t="shared" si="14"/>
        <v>0</v>
      </c>
      <c r="D284" s="5"/>
      <c r="E284" s="6">
        <f t="shared" si="12"/>
        <v>0</v>
      </c>
      <c r="F284" s="6">
        <f t="shared" si="13"/>
        <v>0</v>
      </c>
      <c r="G284" s="62"/>
      <c r="H284" s="62"/>
      <c r="I284" s="60"/>
      <c r="J284" s="60"/>
      <c r="K284" s="64"/>
      <c r="L284" s="64"/>
      <c r="M284" s="25"/>
      <c r="N284" s="25"/>
    </row>
    <row r="285" spans="1:14">
      <c r="A285" s="3" t="s">
        <v>528</v>
      </c>
      <c r="B285" s="4" t="s">
        <v>529</v>
      </c>
      <c r="C285" s="5">
        <f t="shared" si="14"/>
        <v>0</v>
      </c>
      <c r="D285" s="5"/>
      <c r="E285" s="6">
        <f t="shared" si="12"/>
        <v>0</v>
      </c>
      <c r="F285" s="6">
        <f t="shared" si="13"/>
        <v>0</v>
      </c>
      <c r="G285" s="62"/>
      <c r="H285" s="62"/>
      <c r="I285" s="60"/>
      <c r="J285" s="60"/>
      <c r="K285" s="64"/>
      <c r="L285" s="64"/>
      <c r="M285" s="25"/>
      <c r="N285" s="25"/>
    </row>
    <row r="286" spans="1:14">
      <c r="A286" s="3" t="s">
        <v>530</v>
      </c>
      <c r="B286" s="4" t="s">
        <v>531</v>
      </c>
      <c r="C286" s="5">
        <f t="shared" si="14"/>
        <v>0</v>
      </c>
      <c r="D286" s="5"/>
      <c r="E286" s="6">
        <f t="shared" si="12"/>
        <v>0</v>
      </c>
      <c r="F286" s="6">
        <f t="shared" si="13"/>
        <v>0</v>
      </c>
      <c r="G286" s="62"/>
      <c r="H286" s="62"/>
      <c r="I286" s="60"/>
      <c r="J286" s="60"/>
      <c r="K286" s="64"/>
      <c r="L286" s="64"/>
      <c r="M286" s="25"/>
      <c r="N286" s="25"/>
    </row>
    <row r="287" spans="1:14">
      <c r="A287" s="3" t="s">
        <v>532</v>
      </c>
      <c r="B287" s="4" t="s">
        <v>533</v>
      </c>
      <c r="C287" s="5">
        <f t="shared" si="14"/>
        <v>0</v>
      </c>
      <c r="D287" s="5"/>
      <c r="E287" s="6">
        <f t="shared" si="12"/>
        <v>0</v>
      </c>
      <c r="F287" s="6">
        <f t="shared" si="13"/>
        <v>0</v>
      </c>
      <c r="G287" s="62"/>
      <c r="H287" s="62"/>
      <c r="I287" s="60"/>
      <c r="J287" s="60"/>
      <c r="K287" s="64"/>
      <c r="L287" s="64"/>
      <c r="M287" s="25"/>
      <c r="N287" s="25"/>
    </row>
    <row r="288" spans="1:14">
      <c r="A288" s="3" t="s">
        <v>534</v>
      </c>
      <c r="B288" s="4" t="s">
        <v>535</v>
      </c>
      <c r="C288" s="5">
        <f t="shared" si="14"/>
        <v>0</v>
      </c>
      <c r="D288" s="5"/>
      <c r="E288" s="6">
        <f t="shared" si="12"/>
        <v>0</v>
      </c>
      <c r="F288" s="6">
        <f t="shared" si="13"/>
        <v>0</v>
      </c>
      <c r="G288" s="62"/>
      <c r="H288" s="62"/>
      <c r="I288" s="60"/>
      <c r="J288" s="60"/>
      <c r="K288" s="64"/>
      <c r="L288" s="64"/>
      <c r="M288" s="25"/>
      <c r="N288" s="25"/>
    </row>
    <row r="289" spans="1:14">
      <c r="A289" s="3" t="s">
        <v>536</v>
      </c>
      <c r="B289" s="4" t="s">
        <v>537</v>
      </c>
      <c r="C289" s="5">
        <f t="shared" si="14"/>
        <v>0</v>
      </c>
      <c r="D289" s="5"/>
      <c r="E289" s="6">
        <f t="shared" si="12"/>
        <v>0</v>
      </c>
      <c r="F289" s="6">
        <f t="shared" si="13"/>
        <v>0</v>
      </c>
      <c r="G289" s="62"/>
      <c r="H289" s="62"/>
      <c r="I289" s="60"/>
      <c r="J289" s="60"/>
      <c r="K289" s="64"/>
      <c r="L289" s="64"/>
      <c r="M289" s="25"/>
      <c r="N289" s="25"/>
    </row>
    <row r="290" spans="1:14">
      <c r="A290" s="3" t="s">
        <v>538</v>
      </c>
      <c r="B290" s="4" t="s">
        <v>539</v>
      </c>
      <c r="C290" s="5">
        <f t="shared" si="14"/>
        <v>0</v>
      </c>
      <c r="D290" s="5"/>
      <c r="E290" s="6">
        <f t="shared" si="12"/>
        <v>0</v>
      </c>
      <c r="F290" s="6">
        <f t="shared" si="13"/>
        <v>0</v>
      </c>
      <c r="G290" s="62"/>
      <c r="H290" s="62"/>
      <c r="I290" s="60"/>
      <c r="J290" s="60"/>
      <c r="K290" s="64"/>
      <c r="L290" s="64"/>
      <c r="M290" s="25"/>
      <c r="N290" s="25"/>
    </row>
    <row r="291" spans="1:14">
      <c r="A291" s="3" t="s">
        <v>540</v>
      </c>
      <c r="B291" s="4" t="s">
        <v>541</v>
      </c>
      <c r="C291" s="5">
        <f t="shared" si="14"/>
        <v>0</v>
      </c>
      <c r="D291" s="5"/>
      <c r="E291" s="6">
        <f t="shared" si="12"/>
        <v>0</v>
      </c>
      <c r="F291" s="6">
        <f t="shared" si="13"/>
        <v>0</v>
      </c>
      <c r="G291" s="62"/>
      <c r="H291" s="62"/>
      <c r="I291" s="60"/>
      <c r="J291" s="60"/>
      <c r="K291" s="64"/>
      <c r="L291" s="64"/>
      <c r="M291" s="25"/>
      <c r="N291" s="25"/>
    </row>
    <row r="292" spans="1:14">
      <c r="A292" s="3" t="s">
        <v>542</v>
      </c>
      <c r="B292" s="4" t="s">
        <v>543</v>
      </c>
      <c r="C292" s="5">
        <f t="shared" si="14"/>
        <v>0</v>
      </c>
      <c r="D292" s="5"/>
      <c r="E292" s="6">
        <f t="shared" si="12"/>
        <v>0</v>
      </c>
      <c r="F292" s="6">
        <f t="shared" si="13"/>
        <v>0</v>
      </c>
      <c r="G292" s="62"/>
      <c r="H292" s="62"/>
      <c r="I292" s="60"/>
      <c r="J292" s="60"/>
      <c r="K292" s="64"/>
      <c r="L292" s="64"/>
      <c r="M292" s="25"/>
      <c r="N292" s="25"/>
    </row>
    <row r="293" spans="1:14">
      <c r="A293" s="3" t="s">
        <v>544</v>
      </c>
      <c r="B293" s="4" t="s">
        <v>545</v>
      </c>
      <c r="C293" s="5">
        <f t="shared" si="14"/>
        <v>0</v>
      </c>
      <c r="D293" s="5"/>
      <c r="E293" s="6">
        <f t="shared" si="12"/>
        <v>0</v>
      </c>
      <c r="F293" s="6">
        <f t="shared" si="13"/>
        <v>0</v>
      </c>
      <c r="G293" s="62"/>
      <c r="H293" s="62"/>
      <c r="I293" s="60"/>
      <c r="J293" s="60"/>
      <c r="K293" s="64"/>
      <c r="L293" s="64"/>
      <c r="M293" s="25"/>
      <c r="N293" s="25"/>
    </row>
    <row r="294" spans="1:14">
      <c r="A294" s="3" t="s">
        <v>546</v>
      </c>
      <c r="B294" s="4" t="s">
        <v>547</v>
      </c>
      <c r="C294" s="5">
        <f t="shared" si="14"/>
        <v>0</v>
      </c>
      <c r="D294" s="5"/>
      <c r="E294" s="6">
        <f t="shared" si="12"/>
        <v>0</v>
      </c>
      <c r="F294" s="6">
        <f t="shared" si="13"/>
        <v>0</v>
      </c>
      <c r="G294" s="62"/>
      <c r="H294" s="62"/>
      <c r="I294" s="60"/>
      <c r="J294" s="60"/>
      <c r="K294" s="64"/>
      <c r="L294" s="64"/>
      <c r="M294" s="25"/>
      <c r="N294" s="25"/>
    </row>
    <row r="295" spans="1:14">
      <c r="A295" s="3" t="s">
        <v>548</v>
      </c>
      <c r="B295" s="4" t="s">
        <v>549</v>
      </c>
      <c r="C295" s="5">
        <f t="shared" si="14"/>
        <v>0</v>
      </c>
      <c r="D295" s="5"/>
      <c r="E295" s="6">
        <f t="shared" si="12"/>
        <v>0</v>
      </c>
      <c r="F295" s="6">
        <f t="shared" si="13"/>
        <v>0</v>
      </c>
      <c r="G295" s="62"/>
      <c r="H295" s="62"/>
      <c r="I295" s="60"/>
      <c r="J295" s="60"/>
      <c r="K295" s="64"/>
      <c r="L295" s="64"/>
      <c r="M295" s="25"/>
      <c r="N295" s="25"/>
    </row>
    <row r="296" spans="1:14">
      <c r="A296" s="3" t="s">
        <v>550</v>
      </c>
      <c r="B296" s="4" t="s">
        <v>551</v>
      </c>
      <c r="C296" s="5">
        <f t="shared" si="14"/>
        <v>0</v>
      </c>
      <c r="D296" s="5"/>
      <c r="E296" s="6">
        <f t="shared" si="12"/>
        <v>0</v>
      </c>
      <c r="F296" s="6">
        <f t="shared" si="13"/>
        <v>0</v>
      </c>
      <c r="G296" s="62"/>
      <c r="H296" s="62"/>
      <c r="I296" s="60"/>
      <c r="J296" s="60"/>
      <c r="K296" s="64"/>
      <c r="L296" s="64"/>
      <c r="M296" s="25"/>
      <c r="N296" s="25"/>
    </row>
    <row r="297" spans="1:14">
      <c r="A297" s="3" t="s">
        <v>552</v>
      </c>
      <c r="B297" s="4" t="s">
        <v>553</v>
      </c>
      <c r="C297" s="5">
        <f t="shared" si="14"/>
        <v>0</v>
      </c>
      <c r="D297" s="5"/>
      <c r="E297" s="6">
        <f t="shared" si="12"/>
        <v>0</v>
      </c>
      <c r="F297" s="6">
        <f t="shared" si="13"/>
        <v>0</v>
      </c>
      <c r="G297" s="62"/>
      <c r="H297" s="62"/>
      <c r="I297" s="60"/>
      <c r="J297" s="60"/>
      <c r="K297" s="64"/>
      <c r="L297" s="64"/>
      <c r="M297" s="25"/>
      <c r="N297" s="25"/>
    </row>
    <row r="298" spans="1:14">
      <c r="A298" s="3" t="s">
        <v>554</v>
      </c>
      <c r="B298" s="4" t="s">
        <v>555</v>
      </c>
      <c r="C298" s="5">
        <f t="shared" si="14"/>
        <v>0</v>
      </c>
      <c r="D298" s="5"/>
      <c r="E298" s="6">
        <f t="shared" si="12"/>
        <v>0</v>
      </c>
      <c r="F298" s="6">
        <f t="shared" si="13"/>
        <v>0</v>
      </c>
      <c r="G298" s="62"/>
      <c r="H298" s="62"/>
      <c r="I298" s="60"/>
      <c r="J298" s="60"/>
      <c r="K298" s="64"/>
      <c r="L298" s="64"/>
      <c r="M298" s="25"/>
      <c r="N298" s="25"/>
    </row>
    <row r="299" spans="1:14">
      <c r="A299" s="3" t="s">
        <v>556</v>
      </c>
      <c r="B299" s="4" t="s">
        <v>557</v>
      </c>
      <c r="C299" s="5">
        <f t="shared" si="14"/>
        <v>0</v>
      </c>
      <c r="D299" s="5"/>
      <c r="E299" s="6">
        <f t="shared" si="12"/>
        <v>0</v>
      </c>
      <c r="F299" s="6">
        <f t="shared" si="13"/>
        <v>0</v>
      </c>
      <c r="G299" s="62"/>
      <c r="H299" s="62"/>
      <c r="I299" s="60"/>
      <c r="J299" s="60"/>
      <c r="K299" s="64"/>
      <c r="L299" s="64"/>
      <c r="M299" s="25"/>
      <c r="N299" s="25"/>
    </row>
    <row r="300" spans="1:14">
      <c r="A300" s="3" t="s">
        <v>558</v>
      </c>
      <c r="B300" s="4" t="s">
        <v>559</v>
      </c>
      <c r="C300" s="5">
        <f t="shared" si="14"/>
        <v>0</v>
      </c>
      <c r="D300" s="5"/>
      <c r="E300" s="6">
        <f t="shared" si="12"/>
        <v>0</v>
      </c>
      <c r="F300" s="6">
        <f t="shared" si="13"/>
        <v>0</v>
      </c>
      <c r="G300" s="62"/>
      <c r="H300" s="62"/>
      <c r="I300" s="60"/>
      <c r="J300" s="60"/>
      <c r="K300" s="64"/>
      <c r="L300" s="64"/>
      <c r="M300" s="25"/>
      <c r="N300" s="25"/>
    </row>
    <row r="301" spans="1:14">
      <c r="A301" s="3" t="s">
        <v>560</v>
      </c>
      <c r="B301" s="4" t="s">
        <v>561</v>
      </c>
      <c r="C301" s="5">
        <f t="shared" si="14"/>
        <v>0</v>
      </c>
      <c r="D301" s="5"/>
      <c r="E301" s="6">
        <f t="shared" si="12"/>
        <v>0</v>
      </c>
      <c r="F301" s="6">
        <f t="shared" si="13"/>
        <v>0</v>
      </c>
      <c r="G301" s="62"/>
      <c r="H301" s="62"/>
      <c r="I301" s="60"/>
      <c r="J301" s="60"/>
      <c r="K301" s="64"/>
      <c r="L301" s="64"/>
      <c r="M301" s="25"/>
      <c r="N301" s="25"/>
    </row>
    <row r="302" spans="1:14">
      <c r="A302" s="3" t="s">
        <v>562</v>
      </c>
      <c r="B302" s="4" t="s">
        <v>563</v>
      </c>
      <c r="C302" s="5">
        <f t="shared" si="14"/>
        <v>0</v>
      </c>
      <c r="D302" s="5"/>
      <c r="E302" s="6">
        <f t="shared" si="12"/>
        <v>0</v>
      </c>
      <c r="F302" s="6">
        <f t="shared" si="13"/>
        <v>0</v>
      </c>
      <c r="G302" s="62"/>
      <c r="H302" s="62"/>
      <c r="I302" s="60"/>
      <c r="J302" s="60"/>
      <c r="K302" s="64"/>
      <c r="L302" s="64"/>
      <c r="M302" s="25"/>
      <c r="N302" s="25"/>
    </row>
    <row r="303" spans="1:14">
      <c r="A303" s="3" t="s">
        <v>564</v>
      </c>
      <c r="B303" s="4" t="s">
        <v>565</v>
      </c>
      <c r="C303" s="5">
        <f t="shared" si="14"/>
        <v>0</v>
      </c>
      <c r="D303" s="5"/>
      <c r="E303" s="6">
        <f t="shared" si="12"/>
        <v>0</v>
      </c>
      <c r="F303" s="6">
        <f t="shared" si="13"/>
        <v>0</v>
      </c>
      <c r="G303" s="62"/>
      <c r="H303" s="62"/>
      <c r="I303" s="60"/>
      <c r="J303" s="60"/>
      <c r="K303" s="64"/>
      <c r="L303" s="64"/>
      <c r="M303" s="25"/>
      <c r="N303" s="25"/>
    </row>
    <row r="304" spans="1:14">
      <c r="A304" s="3" t="s">
        <v>566</v>
      </c>
      <c r="B304" s="4" t="s">
        <v>567</v>
      </c>
      <c r="C304" s="5">
        <f t="shared" si="14"/>
        <v>0</v>
      </c>
      <c r="D304" s="5"/>
      <c r="E304" s="6">
        <f t="shared" si="12"/>
        <v>0</v>
      </c>
      <c r="F304" s="6">
        <f t="shared" si="13"/>
        <v>0</v>
      </c>
      <c r="G304" s="62"/>
      <c r="H304" s="62"/>
      <c r="I304" s="60"/>
      <c r="J304" s="60"/>
      <c r="K304" s="64"/>
      <c r="L304" s="64"/>
      <c r="M304" s="25"/>
      <c r="N304" s="25"/>
    </row>
    <row r="305" spans="1:14">
      <c r="A305" s="3" t="s">
        <v>568</v>
      </c>
      <c r="B305" s="4" t="s">
        <v>569</v>
      </c>
      <c r="C305" s="5">
        <f t="shared" si="14"/>
        <v>0</v>
      </c>
      <c r="D305" s="5"/>
      <c r="E305" s="6">
        <f t="shared" si="12"/>
        <v>0</v>
      </c>
      <c r="F305" s="6">
        <f t="shared" si="13"/>
        <v>0</v>
      </c>
      <c r="G305" s="62"/>
      <c r="H305" s="62"/>
      <c r="I305" s="60"/>
      <c r="J305" s="60"/>
      <c r="K305" s="64"/>
      <c r="L305" s="64"/>
      <c r="M305" s="25"/>
      <c r="N305" s="25"/>
    </row>
    <row r="306" spans="1:14">
      <c r="A306" s="3" t="s">
        <v>570</v>
      </c>
      <c r="B306" s="4" t="s">
        <v>571</v>
      </c>
      <c r="C306" s="5">
        <f t="shared" si="14"/>
        <v>0</v>
      </c>
      <c r="D306" s="5"/>
      <c r="E306" s="6">
        <f t="shared" si="12"/>
        <v>0</v>
      </c>
      <c r="F306" s="6">
        <f t="shared" si="13"/>
        <v>0</v>
      </c>
      <c r="G306" s="62"/>
      <c r="H306" s="62"/>
      <c r="I306" s="60"/>
      <c r="J306" s="60"/>
      <c r="K306" s="64"/>
      <c r="L306" s="64"/>
      <c r="M306" s="25"/>
      <c r="N306" s="25"/>
    </row>
    <row r="307" spans="1:14">
      <c r="A307" s="3" t="s">
        <v>572</v>
      </c>
      <c r="B307" s="4" t="s">
        <v>573</v>
      </c>
      <c r="C307" s="5">
        <f t="shared" si="14"/>
        <v>0</v>
      </c>
      <c r="D307" s="5"/>
      <c r="E307" s="6">
        <f t="shared" si="12"/>
        <v>0</v>
      </c>
      <c r="F307" s="6">
        <f t="shared" si="13"/>
        <v>0</v>
      </c>
      <c r="G307" s="62"/>
      <c r="H307" s="62"/>
      <c r="I307" s="60"/>
      <c r="J307" s="60"/>
      <c r="K307" s="64"/>
      <c r="L307" s="64"/>
      <c r="M307" s="25"/>
      <c r="N307" s="25"/>
    </row>
    <row r="308" spans="1:14">
      <c r="A308" s="3" t="s">
        <v>574</v>
      </c>
      <c r="B308" s="4" t="s">
        <v>575</v>
      </c>
      <c r="C308" s="5">
        <f t="shared" si="14"/>
        <v>0</v>
      </c>
      <c r="D308" s="5"/>
      <c r="E308" s="6">
        <f t="shared" si="12"/>
        <v>0</v>
      </c>
      <c r="F308" s="6">
        <f t="shared" si="13"/>
        <v>0</v>
      </c>
      <c r="G308" s="62"/>
      <c r="H308" s="62"/>
      <c r="I308" s="60"/>
      <c r="J308" s="60"/>
      <c r="K308" s="64"/>
      <c r="L308" s="64"/>
      <c r="M308" s="25"/>
      <c r="N308" s="25"/>
    </row>
    <row r="309" spans="1:14">
      <c r="A309" s="3" t="s">
        <v>576</v>
      </c>
      <c r="B309" s="4" t="s">
        <v>577</v>
      </c>
      <c r="C309" s="5">
        <f t="shared" si="14"/>
        <v>0</v>
      </c>
      <c r="D309" s="5"/>
      <c r="E309" s="6">
        <f t="shared" si="12"/>
        <v>0</v>
      </c>
      <c r="F309" s="6">
        <f t="shared" si="13"/>
        <v>0</v>
      </c>
      <c r="G309" s="62"/>
      <c r="H309" s="62"/>
      <c r="I309" s="60"/>
      <c r="J309" s="60"/>
      <c r="K309" s="64"/>
      <c r="L309" s="64"/>
      <c r="M309" s="25"/>
      <c r="N309" s="25"/>
    </row>
    <row r="310" spans="1:14">
      <c r="A310" s="3" t="s">
        <v>578</v>
      </c>
      <c r="B310" s="4" t="s">
        <v>579</v>
      </c>
      <c r="C310" s="5">
        <f t="shared" si="14"/>
        <v>0</v>
      </c>
      <c r="D310" s="5"/>
      <c r="E310" s="6">
        <f t="shared" si="12"/>
        <v>0</v>
      </c>
      <c r="F310" s="6">
        <f t="shared" si="13"/>
        <v>0</v>
      </c>
      <c r="G310" s="62"/>
      <c r="H310" s="62"/>
      <c r="I310" s="60"/>
      <c r="J310" s="60"/>
      <c r="K310" s="64"/>
      <c r="L310" s="64"/>
      <c r="M310" s="25"/>
      <c r="N310" s="25"/>
    </row>
    <row r="311" spans="1:14">
      <c r="A311" s="3" t="s">
        <v>580</v>
      </c>
      <c r="B311" s="4" t="s">
        <v>581</v>
      </c>
      <c r="C311" s="5">
        <f t="shared" si="14"/>
        <v>0</v>
      </c>
      <c r="D311" s="5"/>
      <c r="E311" s="6">
        <f t="shared" si="12"/>
        <v>0</v>
      </c>
      <c r="F311" s="6">
        <f t="shared" si="13"/>
        <v>0</v>
      </c>
      <c r="G311" s="62"/>
      <c r="H311" s="62"/>
      <c r="I311" s="60"/>
      <c r="J311" s="60"/>
      <c r="K311" s="64"/>
      <c r="L311" s="64"/>
      <c r="M311" s="25"/>
      <c r="N311" s="25"/>
    </row>
    <row r="312" spans="1:14">
      <c r="A312" s="3" t="s">
        <v>582</v>
      </c>
      <c r="B312" s="4" t="s">
        <v>583</v>
      </c>
      <c r="C312" s="5">
        <f t="shared" si="14"/>
        <v>0</v>
      </c>
      <c r="D312" s="5"/>
      <c r="E312" s="6">
        <f t="shared" si="12"/>
        <v>0</v>
      </c>
      <c r="F312" s="6">
        <f t="shared" si="13"/>
        <v>0</v>
      </c>
      <c r="G312" s="62"/>
      <c r="H312" s="62"/>
      <c r="I312" s="60"/>
      <c r="J312" s="60"/>
      <c r="K312" s="64"/>
      <c r="L312" s="64"/>
      <c r="M312" s="25"/>
      <c r="N312" s="25"/>
    </row>
    <row r="313" spans="1:14">
      <c r="A313" s="3" t="s">
        <v>584</v>
      </c>
      <c r="B313" s="4" t="s">
        <v>585</v>
      </c>
      <c r="C313" s="5">
        <f t="shared" si="14"/>
        <v>0</v>
      </c>
      <c r="D313" s="5"/>
      <c r="E313" s="6">
        <f t="shared" si="12"/>
        <v>0</v>
      </c>
      <c r="F313" s="6">
        <f t="shared" si="13"/>
        <v>0</v>
      </c>
      <c r="G313" s="62"/>
      <c r="H313" s="62"/>
      <c r="I313" s="60"/>
      <c r="J313" s="60"/>
      <c r="K313" s="64"/>
      <c r="L313" s="64"/>
      <c r="M313" s="25"/>
      <c r="N313" s="25"/>
    </row>
    <row r="314" spans="1:14">
      <c r="A314" s="3" t="s">
        <v>586</v>
      </c>
      <c r="B314" s="4" t="s">
        <v>587</v>
      </c>
      <c r="C314" s="5">
        <f t="shared" si="14"/>
        <v>0</v>
      </c>
      <c r="D314" s="5"/>
      <c r="E314" s="6">
        <f t="shared" si="12"/>
        <v>0</v>
      </c>
      <c r="F314" s="6">
        <f t="shared" si="13"/>
        <v>0</v>
      </c>
      <c r="G314" s="62"/>
      <c r="H314" s="62"/>
      <c r="I314" s="60"/>
      <c r="J314" s="60"/>
      <c r="K314" s="64"/>
      <c r="L314" s="64"/>
      <c r="M314" s="25"/>
      <c r="N314" s="25"/>
    </row>
    <row r="315" spans="1:14">
      <c r="A315" s="3" t="s">
        <v>588</v>
      </c>
      <c r="B315" s="4" t="s">
        <v>589</v>
      </c>
      <c r="C315" s="5">
        <f t="shared" si="14"/>
        <v>0</v>
      </c>
      <c r="D315" s="5"/>
      <c r="E315" s="6">
        <f t="shared" si="12"/>
        <v>0</v>
      </c>
      <c r="F315" s="6">
        <f t="shared" si="13"/>
        <v>0</v>
      </c>
      <c r="G315" s="62"/>
      <c r="H315" s="62"/>
      <c r="I315" s="60"/>
      <c r="J315" s="60"/>
      <c r="K315" s="64"/>
      <c r="L315" s="64"/>
      <c r="M315" s="25"/>
      <c r="N315" s="25"/>
    </row>
    <row r="316" spans="1:14">
      <c r="A316" s="3" t="s">
        <v>590</v>
      </c>
      <c r="B316" s="4" t="s">
        <v>591</v>
      </c>
      <c r="C316" s="5">
        <f t="shared" si="14"/>
        <v>0</v>
      </c>
      <c r="D316" s="5"/>
      <c r="E316" s="6">
        <f t="shared" si="12"/>
        <v>0</v>
      </c>
      <c r="F316" s="6">
        <f t="shared" si="13"/>
        <v>0</v>
      </c>
      <c r="G316" s="62"/>
      <c r="H316" s="62"/>
      <c r="I316" s="60"/>
      <c r="J316" s="60"/>
      <c r="K316" s="64"/>
      <c r="L316" s="64"/>
      <c r="M316" s="25"/>
      <c r="N316" s="25"/>
    </row>
    <row r="317" spans="1:14">
      <c r="A317" s="3" t="s">
        <v>592</v>
      </c>
      <c r="B317" s="4" t="s">
        <v>593</v>
      </c>
      <c r="C317" s="5">
        <f t="shared" si="14"/>
        <v>0</v>
      </c>
      <c r="D317" s="5"/>
      <c r="E317" s="6">
        <f t="shared" si="12"/>
        <v>0</v>
      </c>
      <c r="F317" s="6">
        <f t="shared" si="13"/>
        <v>0</v>
      </c>
      <c r="G317" s="62"/>
      <c r="H317" s="62"/>
      <c r="I317" s="60"/>
      <c r="J317" s="60"/>
      <c r="K317" s="64"/>
      <c r="L317" s="64"/>
      <c r="M317" s="25"/>
      <c r="N317" s="25"/>
    </row>
    <row r="318" spans="1:14">
      <c r="A318" s="3" t="s">
        <v>594</v>
      </c>
      <c r="B318" s="4" t="s">
        <v>595</v>
      </c>
      <c r="C318" s="5">
        <f t="shared" si="14"/>
        <v>0</v>
      </c>
      <c r="D318" s="5"/>
      <c r="E318" s="6">
        <f t="shared" si="12"/>
        <v>0</v>
      </c>
      <c r="F318" s="6">
        <f t="shared" si="13"/>
        <v>0</v>
      </c>
      <c r="G318" s="62"/>
      <c r="H318" s="62"/>
      <c r="I318" s="60"/>
      <c r="J318" s="60"/>
      <c r="K318" s="64"/>
      <c r="L318" s="64"/>
      <c r="M318" s="25"/>
      <c r="N318" s="25"/>
    </row>
    <row r="319" spans="1:14">
      <c r="A319" s="3" t="s">
        <v>596</v>
      </c>
      <c r="B319" s="4" t="s">
        <v>597</v>
      </c>
      <c r="C319" s="5">
        <f t="shared" si="14"/>
        <v>0</v>
      </c>
      <c r="D319" s="5"/>
      <c r="E319" s="6">
        <f t="shared" si="12"/>
        <v>0</v>
      </c>
      <c r="F319" s="6">
        <f t="shared" si="13"/>
        <v>0</v>
      </c>
      <c r="G319" s="62"/>
      <c r="H319" s="62"/>
      <c r="I319" s="60"/>
      <c r="J319" s="60"/>
      <c r="K319" s="64"/>
      <c r="L319" s="64"/>
      <c r="M319" s="25"/>
      <c r="N319" s="25"/>
    </row>
    <row r="320" spans="1:14">
      <c r="A320" s="3" t="s">
        <v>598</v>
      </c>
      <c r="B320" s="4" t="s">
        <v>599</v>
      </c>
      <c r="C320" s="5">
        <f t="shared" si="14"/>
        <v>0</v>
      </c>
      <c r="D320" s="5"/>
      <c r="E320" s="6">
        <f t="shared" si="12"/>
        <v>0</v>
      </c>
      <c r="F320" s="6">
        <f t="shared" si="13"/>
        <v>0</v>
      </c>
      <c r="G320" s="62"/>
      <c r="H320" s="62"/>
      <c r="I320" s="60"/>
      <c r="J320" s="60"/>
      <c r="K320" s="64"/>
      <c r="L320" s="64"/>
      <c r="M320" s="25"/>
      <c r="N320" s="25"/>
    </row>
    <row r="321" spans="1:14">
      <c r="A321" s="3" t="s">
        <v>600</v>
      </c>
      <c r="B321" s="4" t="s">
        <v>601</v>
      </c>
      <c r="C321" s="5">
        <f t="shared" si="14"/>
        <v>0</v>
      </c>
      <c r="D321" s="5"/>
      <c r="E321" s="6">
        <f t="shared" si="12"/>
        <v>0</v>
      </c>
      <c r="F321" s="6">
        <f t="shared" si="13"/>
        <v>0</v>
      </c>
      <c r="G321" s="62"/>
      <c r="H321" s="62"/>
      <c r="I321" s="60"/>
      <c r="J321" s="60"/>
      <c r="K321" s="64"/>
      <c r="L321" s="64"/>
      <c r="M321" s="25"/>
      <c r="N321" s="25"/>
    </row>
    <row r="322" spans="1:14">
      <c r="A322" s="3" t="s">
        <v>602</v>
      </c>
      <c r="B322" s="4" t="s">
        <v>603</v>
      </c>
      <c r="C322" s="5">
        <f t="shared" si="14"/>
        <v>0</v>
      </c>
      <c r="D322" s="5"/>
      <c r="E322" s="6">
        <f t="shared" si="12"/>
        <v>0</v>
      </c>
      <c r="F322" s="6">
        <f t="shared" si="13"/>
        <v>0</v>
      </c>
      <c r="G322" s="62"/>
      <c r="H322" s="62"/>
      <c r="I322" s="60"/>
      <c r="J322" s="60"/>
      <c r="K322" s="64"/>
      <c r="L322" s="64"/>
      <c r="M322" s="25"/>
      <c r="N322" s="25"/>
    </row>
    <row r="323" spans="1:14">
      <c r="A323" s="3" t="s">
        <v>604</v>
      </c>
      <c r="B323" s="4" t="s">
        <v>605</v>
      </c>
      <c r="C323" s="5">
        <f t="shared" si="14"/>
        <v>0</v>
      </c>
      <c r="D323" s="5"/>
      <c r="E323" s="6">
        <f t="shared" si="12"/>
        <v>0</v>
      </c>
      <c r="F323" s="6">
        <f t="shared" si="13"/>
        <v>0</v>
      </c>
      <c r="G323" s="62"/>
      <c r="H323" s="62"/>
      <c r="I323" s="60"/>
      <c r="J323" s="60"/>
      <c r="K323" s="64"/>
      <c r="L323" s="64"/>
      <c r="M323" s="25"/>
      <c r="N323" s="25"/>
    </row>
    <row r="324" spans="1:14" s="70" customFormat="1">
      <c r="A324" s="3" t="s">
        <v>606</v>
      </c>
      <c r="B324" s="4" t="s">
        <v>607</v>
      </c>
      <c r="C324" s="5">
        <f t="shared" si="14"/>
        <v>0</v>
      </c>
      <c r="D324" s="5"/>
      <c r="E324" s="6">
        <f t="shared" si="12"/>
        <v>0</v>
      </c>
      <c r="F324" s="6">
        <f t="shared" si="13"/>
        <v>0</v>
      </c>
      <c r="G324" s="62"/>
      <c r="H324" s="62"/>
      <c r="I324" s="60"/>
      <c r="J324" s="60"/>
      <c r="K324" s="64"/>
      <c r="L324" s="64"/>
      <c r="M324" s="25"/>
      <c r="N324" s="25"/>
    </row>
    <row r="325" spans="1:14" s="70" customFormat="1">
      <c r="A325" s="3" t="s">
        <v>608</v>
      </c>
      <c r="B325" s="4" t="s">
        <v>609</v>
      </c>
      <c r="C325" s="5">
        <f t="shared" si="14"/>
        <v>0</v>
      </c>
      <c r="D325" s="5"/>
      <c r="E325" s="6">
        <f t="shared" si="12"/>
        <v>0</v>
      </c>
      <c r="F325" s="6">
        <f t="shared" si="13"/>
        <v>0</v>
      </c>
      <c r="G325" s="62"/>
      <c r="H325" s="62"/>
      <c r="I325" s="60"/>
      <c r="J325" s="60"/>
      <c r="K325" s="64"/>
      <c r="L325" s="64"/>
      <c r="M325" s="25"/>
      <c r="N325" s="25"/>
    </row>
    <row r="326" spans="1:14" s="70" customFormat="1">
      <c r="A326" s="3" t="s">
        <v>610</v>
      </c>
      <c r="B326" s="4" t="s">
        <v>611</v>
      </c>
      <c r="C326" s="5">
        <f t="shared" si="14"/>
        <v>0</v>
      </c>
      <c r="D326" s="5"/>
      <c r="E326" s="6">
        <f t="shared" si="12"/>
        <v>0</v>
      </c>
      <c r="F326" s="6">
        <f t="shared" si="13"/>
        <v>0</v>
      </c>
      <c r="G326" s="62"/>
      <c r="H326" s="62"/>
      <c r="I326" s="60"/>
      <c r="J326" s="60"/>
      <c r="K326" s="64"/>
      <c r="L326" s="64"/>
      <c r="M326" s="25"/>
      <c r="N326" s="25"/>
    </row>
    <row r="327" spans="1:14" s="70" customFormat="1">
      <c r="A327" s="3" t="s">
        <v>612</v>
      </c>
      <c r="B327" s="4" t="s">
        <v>613</v>
      </c>
      <c r="C327" s="5">
        <f t="shared" si="14"/>
        <v>0</v>
      </c>
      <c r="D327" s="5"/>
      <c r="E327" s="6">
        <f t="shared" si="12"/>
        <v>0</v>
      </c>
      <c r="F327" s="6">
        <f t="shared" si="13"/>
        <v>0</v>
      </c>
      <c r="G327" s="62"/>
      <c r="H327" s="62"/>
      <c r="I327" s="60"/>
      <c r="J327" s="60"/>
      <c r="K327" s="64"/>
      <c r="L327" s="64"/>
      <c r="M327" s="25"/>
      <c r="N327" s="25"/>
    </row>
    <row r="328" spans="1:14" s="1" customFormat="1">
      <c r="A328" s="3" t="s">
        <v>614</v>
      </c>
      <c r="B328" s="4" t="s">
        <v>615</v>
      </c>
      <c r="C328" s="5">
        <f t="shared" si="14"/>
        <v>0</v>
      </c>
      <c r="D328" s="5"/>
      <c r="E328" s="6">
        <f t="shared" si="12"/>
        <v>0</v>
      </c>
      <c r="F328" s="6">
        <f t="shared" si="13"/>
        <v>0</v>
      </c>
      <c r="G328" s="62"/>
      <c r="H328" s="62"/>
      <c r="I328" s="60"/>
      <c r="J328" s="60"/>
      <c r="K328" s="64"/>
      <c r="L328" s="64"/>
      <c r="M328" s="25"/>
      <c r="N328" s="25"/>
    </row>
    <row r="329" spans="1:14" s="70" customFormat="1">
      <c r="A329" s="3" t="s">
        <v>616</v>
      </c>
      <c r="B329" s="4" t="s">
        <v>617</v>
      </c>
      <c r="C329" s="5">
        <f t="shared" si="14"/>
        <v>0</v>
      </c>
      <c r="D329" s="5"/>
      <c r="E329" s="6">
        <f t="shared" si="12"/>
        <v>0</v>
      </c>
      <c r="F329" s="6">
        <f t="shared" si="13"/>
        <v>0</v>
      </c>
      <c r="G329" s="62"/>
      <c r="H329" s="62"/>
      <c r="I329" s="60"/>
      <c r="J329" s="60"/>
      <c r="K329" s="64"/>
      <c r="L329" s="64"/>
      <c r="M329" s="25"/>
      <c r="N329" s="25"/>
    </row>
    <row r="330" spans="1:14" s="70" customFormat="1">
      <c r="A330" s="3" t="s">
        <v>618</v>
      </c>
      <c r="B330" s="4" t="s">
        <v>619</v>
      </c>
      <c r="C330" s="5">
        <f t="shared" si="14"/>
        <v>0</v>
      </c>
      <c r="D330" s="5"/>
      <c r="E330" s="6">
        <f t="shared" si="12"/>
        <v>0</v>
      </c>
      <c r="F330" s="6">
        <f t="shared" si="13"/>
        <v>0</v>
      </c>
      <c r="G330" s="62"/>
      <c r="H330" s="62"/>
      <c r="I330" s="60"/>
      <c r="J330" s="60"/>
      <c r="K330" s="64"/>
      <c r="L330" s="64"/>
      <c r="M330" s="25"/>
      <c r="N330" s="25"/>
    </row>
    <row r="331" spans="1:14" s="70" customFormat="1">
      <c r="A331" s="11" t="s">
        <v>620</v>
      </c>
      <c r="B331" s="12" t="s">
        <v>621</v>
      </c>
      <c r="C331" s="5">
        <f t="shared" si="14"/>
        <v>0</v>
      </c>
      <c r="D331" s="5"/>
      <c r="E331" s="6">
        <f t="shared" si="12"/>
        <v>0</v>
      </c>
      <c r="F331" s="6">
        <f t="shared" si="13"/>
        <v>0</v>
      </c>
      <c r="G331" s="62"/>
      <c r="H331" s="62"/>
      <c r="I331" s="60"/>
      <c r="J331" s="60"/>
      <c r="K331" s="64"/>
      <c r="L331" s="64"/>
      <c r="M331" s="25"/>
      <c r="N331" s="25"/>
    </row>
    <row r="332" spans="1:14" s="70" customFormat="1">
      <c r="A332" s="3" t="s">
        <v>622</v>
      </c>
      <c r="B332" s="4" t="s">
        <v>623</v>
      </c>
      <c r="C332" s="5">
        <f t="shared" si="14"/>
        <v>0</v>
      </c>
      <c r="D332" s="5"/>
      <c r="E332" s="6">
        <f t="shared" si="12"/>
        <v>0</v>
      </c>
      <c r="F332" s="6">
        <f t="shared" si="13"/>
        <v>0</v>
      </c>
      <c r="G332" s="62"/>
      <c r="H332" s="62"/>
      <c r="I332" s="60"/>
      <c r="J332" s="60"/>
      <c r="K332" s="64"/>
      <c r="L332" s="64"/>
      <c r="M332" s="25"/>
      <c r="N332" s="25"/>
    </row>
    <row r="333" spans="1:14" s="70" customFormat="1">
      <c r="A333" s="3" t="s">
        <v>624</v>
      </c>
      <c r="B333" s="4" t="s">
        <v>625</v>
      </c>
      <c r="C333" s="5">
        <f t="shared" si="14"/>
        <v>0</v>
      </c>
      <c r="D333" s="5"/>
      <c r="E333" s="6">
        <f t="shared" si="12"/>
        <v>0</v>
      </c>
      <c r="F333" s="6">
        <f t="shared" si="13"/>
        <v>0</v>
      </c>
      <c r="G333" s="62"/>
      <c r="H333" s="62"/>
      <c r="I333" s="60"/>
      <c r="J333" s="60"/>
      <c r="K333" s="64"/>
      <c r="L333" s="64"/>
      <c r="M333" s="25"/>
      <c r="N333" s="25"/>
    </row>
    <row r="334" spans="1:14">
      <c r="A334" s="3" t="s">
        <v>626</v>
      </c>
      <c r="B334" s="4" t="s">
        <v>627</v>
      </c>
      <c r="C334" s="5">
        <f t="shared" si="14"/>
        <v>0</v>
      </c>
      <c r="D334" s="5"/>
      <c r="E334" s="6">
        <f t="shared" ref="E334:E397" si="15">SUM(G334,I334,K334,M334)</f>
        <v>0</v>
      </c>
      <c r="F334" s="6">
        <f t="shared" ref="F334:F397" si="16">SUM(H334,J334,L334,N334)</f>
        <v>0</v>
      </c>
      <c r="G334" s="62"/>
      <c r="H334" s="62"/>
      <c r="I334" s="60"/>
      <c r="J334" s="60"/>
      <c r="K334" s="64"/>
      <c r="L334" s="64"/>
      <c r="M334" s="25"/>
      <c r="N334" s="25"/>
    </row>
    <row r="335" spans="1:14">
      <c r="A335" s="3" t="s">
        <v>628</v>
      </c>
      <c r="B335" s="4" t="s">
        <v>629</v>
      </c>
      <c r="C335" s="5">
        <f t="shared" si="14"/>
        <v>0</v>
      </c>
      <c r="D335" s="5"/>
      <c r="E335" s="6">
        <f t="shared" si="15"/>
        <v>0</v>
      </c>
      <c r="F335" s="6">
        <f t="shared" si="16"/>
        <v>0</v>
      </c>
      <c r="G335" s="62"/>
      <c r="H335" s="62"/>
      <c r="I335" s="60"/>
      <c r="J335" s="60"/>
      <c r="K335" s="64"/>
      <c r="L335" s="64"/>
      <c r="M335" s="25"/>
      <c r="N335" s="25"/>
    </row>
    <row r="336" spans="1:14">
      <c r="A336" s="3" t="s">
        <v>630</v>
      </c>
      <c r="B336" s="4" t="s">
        <v>631</v>
      </c>
      <c r="C336" s="5">
        <f t="shared" si="14"/>
        <v>0</v>
      </c>
      <c r="D336" s="5"/>
      <c r="E336" s="6">
        <f t="shared" si="15"/>
        <v>0</v>
      </c>
      <c r="F336" s="6">
        <f t="shared" si="16"/>
        <v>0</v>
      </c>
      <c r="G336" s="62"/>
      <c r="H336" s="62"/>
      <c r="I336" s="60"/>
      <c r="J336" s="60"/>
      <c r="K336" s="64"/>
      <c r="L336" s="64"/>
      <c r="M336" s="25"/>
      <c r="N336" s="25"/>
    </row>
    <row r="337" spans="1:14">
      <c r="A337" s="3" t="s">
        <v>632</v>
      </c>
      <c r="B337" s="4" t="s">
        <v>633</v>
      </c>
      <c r="C337" s="5">
        <f t="shared" si="14"/>
        <v>0</v>
      </c>
      <c r="D337" s="5"/>
      <c r="E337" s="6">
        <f t="shared" si="15"/>
        <v>0</v>
      </c>
      <c r="F337" s="6">
        <f t="shared" si="16"/>
        <v>0</v>
      </c>
      <c r="G337" s="62"/>
      <c r="H337" s="62"/>
      <c r="I337" s="60"/>
      <c r="J337" s="60"/>
      <c r="K337" s="64"/>
      <c r="L337" s="64"/>
      <c r="M337" s="25"/>
      <c r="N337" s="25"/>
    </row>
    <row r="338" spans="1:14">
      <c r="A338" s="3" t="s">
        <v>634</v>
      </c>
      <c r="B338" s="4" t="s">
        <v>635</v>
      </c>
      <c r="C338" s="5">
        <f t="shared" si="14"/>
        <v>0</v>
      </c>
      <c r="D338" s="5"/>
      <c r="E338" s="6">
        <f t="shared" si="15"/>
        <v>0</v>
      </c>
      <c r="F338" s="6">
        <f t="shared" si="16"/>
        <v>0</v>
      </c>
      <c r="G338" s="62"/>
      <c r="H338" s="62"/>
      <c r="I338" s="60"/>
      <c r="J338" s="60"/>
      <c r="K338" s="64"/>
      <c r="L338" s="64"/>
      <c r="M338" s="25"/>
      <c r="N338" s="25"/>
    </row>
    <row r="339" spans="1:14">
      <c r="A339" s="3" t="s">
        <v>636</v>
      </c>
      <c r="B339" s="4" t="s">
        <v>637</v>
      </c>
      <c r="C339" s="5">
        <f t="shared" si="14"/>
        <v>0</v>
      </c>
      <c r="D339" s="5"/>
      <c r="E339" s="6">
        <f t="shared" si="15"/>
        <v>0</v>
      </c>
      <c r="F339" s="6">
        <f t="shared" si="16"/>
        <v>0</v>
      </c>
      <c r="G339" s="62"/>
      <c r="H339" s="62"/>
      <c r="I339" s="60"/>
      <c r="J339" s="60"/>
      <c r="K339" s="64"/>
      <c r="L339" s="64"/>
      <c r="M339" s="25"/>
      <c r="N339" s="25"/>
    </row>
    <row r="340" spans="1:14">
      <c r="A340" s="3" t="s">
        <v>638</v>
      </c>
      <c r="B340" s="4" t="s">
        <v>639</v>
      </c>
      <c r="C340" s="5">
        <f t="shared" si="14"/>
        <v>0</v>
      </c>
      <c r="D340" s="5"/>
      <c r="E340" s="6">
        <f t="shared" si="15"/>
        <v>0</v>
      </c>
      <c r="F340" s="6">
        <f t="shared" si="16"/>
        <v>0</v>
      </c>
      <c r="G340" s="62"/>
      <c r="H340" s="62"/>
      <c r="I340" s="60"/>
      <c r="J340" s="60"/>
      <c r="K340" s="64"/>
      <c r="L340" s="64"/>
      <c r="M340" s="25"/>
      <c r="N340" s="25"/>
    </row>
    <row r="341" spans="1:14">
      <c r="A341" s="3" t="s">
        <v>640</v>
      </c>
      <c r="B341" s="4" t="s">
        <v>641</v>
      </c>
      <c r="C341" s="5">
        <f t="shared" si="14"/>
        <v>0</v>
      </c>
      <c r="D341" s="5"/>
      <c r="E341" s="6">
        <f t="shared" si="15"/>
        <v>0</v>
      </c>
      <c r="F341" s="6">
        <f t="shared" si="16"/>
        <v>0</v>
      </c>
      <c r="G341" s="62"/>
      <c r="H341" s="62"/>
      <c r="I341" s="60"/>
      <c r="J341" s="60"/>
      <c r="K341" s="64"/>
      <c r="L341" s="64"/>
      <c r="M341" s="25"/>
      <c r="N341" s="25"/>
    </row>
    <row r="342" spans="1:14">
      <c r="A342" s="3" t="s">
        <v>642</v>
      </c>
      <c r="B342" s="4" t="s">
        <v>643</v>
      </c>
      <c r="C342" s="5">
        <f t="shared" si="14"/>
        <v>0</v>
      </c>
      <c r="D342" s="5"/>
      <c r="E342" s="6">
        <f t="shared" si="15"/>
        <v>0</v>
      </c>
      <c r="F342" s="6">
        <f t="shared" si="16"/>
        <v>0</v>
      </c>
      <c r="G342" s="62"/>
      <c r="H342" s="62"/>
      <c r="I342" s="60"/>
      <c r="J342" s="60"/>
      <c r="K342" s="64"/>
      <c r="L342" s="64"/>
      <c r="M342" s="25"/>
      <c r="N342" s="25"/>
    </row>
    <row r="343" spans="1:14">
      <c r="A343" s="3" t="s">
        <v>644</v>
      </c>
      <c r="B343" s="4" t="s">
        <v>645</v>
      </c>
      <c r="C343" s="5">
        <f t="shared" si="14"/>
        <v>0</v>
      </c>
      <c r="D343" s="5"/>
      <c r="E343" s="6">
        <f t="shared" si="15"/>
        <v>0</v>
      </c>
      <c r="F343" s="6">
        <f t="shared" si="16"/>
        <v>0</v>
      </c>
      <c r="G343" s="62"/>
      <c r="H343" s="62"/>
      <c r="I343" s="60"/>
      <c r="J343" s="60"/>
      <c r="K343" s="64"/>
      <c r="L343" s="64"/>
      <c r="M343" s="25"/>
      <c r="N343" s="25"/>
    </row>
    <row r="344" spans="1:14">
      <c r="A344" s="3" t="s">
        <v>646</v>
      </c>
      <c r="B344" s="4" t="s">
        <v>647</v>
      </c>
      <c r="C344" s="5">
        <f t="shared" si="14"/>
        <v>0</v>
      </c>
      <c r="D344" s="5"/>
      <c r="E344" s="6">
        <f t="shared" si="15"/>
        <v>0</v>
      </c>
      <c r="F344" s="6">
        <f t="shared" si="16"/>
        <v>0</v>
      </c>
      <c r="G344" s="62"/>
      <c r="H344" s="62"/>
      <c r="I344" s="60"/>
      <c r="J344" s="60"/>
      <c r="K344" s="64"/>
      <c r="L344" s="64"/>
      <c r="M344" s="25"/>
      <c r="N344" s="25"/>
    </row>
    <row r="345" spans="1:14">
      <c r="A345" s="3" t="s">
        <v>648</v>
      </c>
      <c r="B345" s="4" t="s">
        <v>649</v>
      </c>
      <c r="C345" s="5">
        <f t="shared" ref="C345:C408" si="17">E345-F345</f>
        <v>0</v>
      </c>
      <c r="D345" s="5"/>
      <c r="E345" s="6">
        <f t="shared" si="15"/>
        <v>0</v>
      </c>
      <c r="F345" s="6">
        <f t="shared" si="16"/>
        <v>0</v>
      </c>
      <c r="G345" s="62"/>
      <c r="H345" s="62"/>
      <c r="I345" s="60"/>
      <c r="J345" s="60"/>
      <c r="K345" s="64"/>
      <c r="L345" s="64"/>
      <c r="M345" s="25"/>
      <c r="N345" s="25"/>
    </row>
    <row r="346" spans="1:14">
      <c r="A346" s="3" t="s">
        <v>650</v>
      </c>
      <c r="B346" s="4" t="s">
        <v>651</v>
      </c>
      <c r="C346" s="5">
        <f t="shared" si="17"/>
        <v>0</v>
      </c>
      <c r="D346" s="5"/>
      <c r="E346" s="6">
        <f t="shared" si="15"/>
        <v>0</v>
      </c>
      <c r="F346" s="6">
        <f t="shared" si="16"/>
        <v>0</v>
      </c>
      <c r="G346" s="62"/>
      <c r="H346" s="62"/>
      <c r="I346" s="60"/>
      <c r="J346" s="60"/>
      <c r="K346" s="64"/>
      <c r="L346" s="64"/>
      <c r="M346" s="25"/>
      <c r="N346" s="25"/>
    </row>
    <row r="347" spans="1:14">
      <c r="A347" s="3" t="s">
        <v>652</v>
      </c>
      <c r="B347" s="4" t="s">
        <v>653</v>
      </c>
      <c r="C347" s="5">
        <f t="shared" si="17"/>
        <v>0</v>
      </c>
      <c r="D347" s="5"/>
      <c r="E347" s="6">
        <f t="shared" si="15"/>
        <v>0</v>
      </c>
      <c r="F347" s="6">
        <f t="shared" si="16"/>
        <v>0</v>
      </c>
      <c r="G347" s="62"/>
      <c r="H347" s="62"/>
      <c r="I347" s="60"/>
      <c r="J347" s="60"/>
      <c r="K347" s="64"/>
      <c r="L347" s="64"/>
      <c r="M347" s="25"/>
      <c r="N347" s="25"/>
    </row>
    <row r="348" spans="1:14">
      <c r="A348" s="3" t="s">
        <v>654</v>
      </c>
      <c r="B348" s="4" t="s">
        <v>655</v>
      </c>
      <c r="C348" s="5">
        <f t="shared" si="17"/>
        <v>0</v>
      </c>
      <c r="D348" s="5"/>
      <c r="E348" s="6">
        <f t="shared" si="15"/>
        <v>0</v>
      </c>
      <c r="F348" s="6">
        <f t="shared" si="16"/>
        <v>0</v>
      </c>
      <c r="G348" s="62"/>
      <c r="H348" s="62"/>
      <c r="I348" s="60"/>
      <c r="J348" s="60"/>
      <c r="K348" s="64"/>
      <c r="L348" s="64"/>
      <c r="M348" s="25"/>
      <c r="N348" s="25"/>
    </row>
    <row r="349" spans="1:14">
      <c r="A349" s="3" t="s">
        <v>656</v>
      </c>
      <c r="B349" s="4" t="s">
        <v>657</v>
      </c>
      <c r="C349" s="5">
        <f t="shared" si="17"/>
        <v>0</v>
      </c>
      <c r="D349" s="5"/>
      <c r="E349" s="6">
        <f t="shared" si="15"/>
        <v>0</v>
      </c>
      <c r="F349" s="6">
        <f t="shared" si="16"/>
        <v>0</v>
      </c>
      <c r="G349" s="62"/>
      <c r="H349" s="62"/>
      <c r="I349" s="60"/>
      <c r="J349" s="60"/>
      <c r="K349" s="64"/>
      <c r="L349" s="64"/>
      <c r="M349" s="25"/>
      <c r="N349" s="25"/>
    </row>
    <row r="350" spans="1:14">
      <c r="A350" s="3" t="s">
        <v>658</v>
      </c>
      <c r="B350" s="4" t="s">
        <v>659</v>
      </c>
      <c r="C350" s="5">
        <f t="shared" si="17"/>
        <v>0</v>
      </c>
      <c r="D350" s="5"/>
      <c r="E350" s="6">
        <f t="shared" si="15"/>
        <v>0</v>
      </c>
      <c r="F350" s="6">
        <f t="shared" si="16"/>
        <v>0</v>
      </c>
      <c r="G350" s="62"/>
      <c r="H350" s="62"/>
      <c r="I350" s="60"/>
      <c r="J350" s="60"/>
      <c r="K350" s="64"/>
      <c r="L350" s="64"/>
      <c r="M350" s="25"/>
      <c r="N350" s="25"/>
    </row>
    <row r="351" spans="1:14">
      <c r="A351" s="3" t="s">
        <v>660</v>
      </c>
      <c r="B351" s="4" t="s">
        <v>661</v>
      </c>
      <c r="C351" s="5">
        <f t="shared" si="17"/>
        <v>0</v>
      </c>
      <c r="D351" s="5"/>
      <c r="E351" s="6">
        <f t="shared" si="15"/>
        <v>0</v>
      </c>
      <c r="F351" s="6">
        <f t="shared" si="16"/>
        <v>0</v>
      </c>
      <c r="G351" s="62"/>
      <c r="H351" s="62"/>
      <c r="I351" s="60"/>
      <c r="J351" s="60"/>
      <c r="K351" s="64"/>
      <c r="L351" s="64"/>
      <c r="M351" s="25"/>
      <c r="N351" s="25"/>
    </row>
    <row r="352" spans="1:14">
      <c r="A352" s="3" t="s">
        <v>662</v>
      </c>
      <c r="B352" s="4" t="s">
        <v>663</v>
      </c>
      <c r="C352" s="5">
        <f t="shared" si="17"/>
        <v>0</v>
      </c>
      <c r="D352" s="5"/>
      <c r="E352" s="6">
        <f t="shared" si="15"/>
        <v>0</v>
      </c>
      <c r="F352" s="6">
        <f t="shared" si="16"/>
        <v>0</v>
      </c>
      <c r="G352" s="62"/>
      <c r="H352" s="62"/>
      <c r="I352" s="60"/>
      <c r="J352" s="60"/>
      <c r="K352" s="64"/>
      <c r="L352" s="64"/>
      <c r="M352" s="25"/>
      <c r="N352" s="25"/>
    </row>
    <row r="353" spans="1:14">
      <c r="A353" s="3" t="s">
        <v>664</v>
      </c>
      <c r="B353" s="4" t="s">
        <v>665</v>
      </c>
      <c r="C353" s="5">
        <f t="shared" si="17"/>
        <v>0</v>
      </c>
      <c r="D353" s="5"/>
      <c r="E353" s="6">
        <f t="shared" si="15"/>
        <v>0</v>
      </c>
      <c r="F353" s="6">
        <f t="shared" si="16"/>
        <v>0</v>
      </c>
      <c r="G353" s="62"/>
      <c r="H353" s="62"/>
      <c r="I353" s="60"/>
      <c r="J353" s="60"/>
      <c r="K353" s="64"/>
      <c r="L353" s="64"/>
      <c r="M353" s="25"/>
      <c r="N353" s="25"/>
    </row>
    <row r="354" spans="1:14">
      <c r="A354" s="3" t="s">
        <v>666</v>
      </c>
      <c r="B354" s="4" t="s">
        <v>667</v>
      </c>
      <c r="C354" s="5">
        <f t="shared" si="17"/>
        <v>0</v>
      </c>
      <c r="D354" s="5"/>
      <c r="E354" s="6">
        <f t="shared" si="15"/>
        <v>0</v>
      </c>
      <c r="F354" s="6">
        <f t="shared" si="16"/>
        <v>0</v>
      </c>
      <c r="G354" s="62"/>
      <c r="H354" s="62"/>
      <c r="I354" s="60"/>
      <c r="J354" s="60"/>
      <c r="K354" s="64"/>
      <c r="L354" s="64"/>
      <c r="M354" s="25"/>
      <c r="N354" s="25"/>
    </row>
    <row r="355" spans="1:14">
      <c r="A355" s="3" t="s">
        <v>668</v>
      </c>
      <c r="B355" s="4" t="s">
        <v>669</v>
      </c>
      <c r="C355" s="5">
        <f t="shared" si="17"/>
        <v>0</v>
      </c>
      <c r="D355" s="5"/>
      <c r="E355" s="6">
        <f t="shared" si="15"/>
        <v>0</v>
      </c>
      <c r="F355" s="6">
        <f t="shared" si="16"/>
        <v>0</v>
      </c>
      <c r="G355" s="62"/>
      <c r="H355" s="62"/>
      <c r="I355" s="60"/>
      <c r="J355" s="60"/>
      <c r="K355" s="64"/>
      <c r="L355" s="64"/>
      <c r="M355" s="25"/>
      <c r="N355" s="25"/>
    </row>
    <row r="356" spans="1:14">
      <c r="A356" s="3" t="s">
        <v>670</v>
      </c>
      <c r="B356" s="4" t="s">
        <v>671</v>
      </c>
      <c r="C356" s="5">
        <f t="shared" si="17"/>
        <v>0</v>
      </c>
      <c r="D356" s="5"/>
      <c r="E356" s="6">
        <f t="shared" si="15"/>
        <v>0</v>
      </c>
      <c r="F356" s="6">
        <f t="shared" si="16"/>
        <v>0</v>
      </c>
      <c r="G356" s="62"/>
      <c r="H356" s="62"/>
      <c r="I356" s="60"/>
      <c r="J356" s="60"/>
      <c r="K356" s="64"/>
      <c r="L356" s="64"/>
      <c r="M356" s="25"/>
      <c r="N356" s="25"/>
    </row>
    <row r="357" spans="1:14">
      <c r="A357" s="3" t="s">
        <v>672</v>
      </c>
      <c r="B357" s="4" t="s">
        <v>673</v>
      </c>
      <c r="C357" s="5">
        <f t="shared" si="17"/>
        <v>0</v>
      </c>
      <c r="D357" s="5"/>
      <c r="E357" s="6">
        <f t="shared" si="15"/>
        <v>0</v>
      </c>
      <c r="F357" s="6">
        <f t="shared" si="16"/>
        <v>0</v>
      </c>
      <c r="G357" s="62"/>
      <c r="H357" s="62"/>
      <c r="I357" s="60"/>
      <c r="J357" s="60"/>
      <c r="K357" s="64"/>
      <c r="L357" s="64"/>
      <c r="M357" s="25"/>
      <c r="N357" s="25"/>
    </row>
    <row r="358" spans="1:14">
      <c r="A358" s="3" t="s">
        <v>674</v>
      </c>
      <c r="B358" s="4" t="s">
        <v>675</v>
      </c>
      <c r="C358" s="5">
        <f t="shared" si="17"/>
        <v>0</v>
      </c>
      <c r="D358" s="5"/>
      <c r="E358" s="6">
        <f t="shared" si="15"/>
        <v>0</v>
      </c>
      <c r="F358" s="6">
        <f t="shared" si="16"/>
        <v>0</v>
      </c>
      <c r="G358" s="62"/>
      <c r="H358" s="62"/>
      <c r="I358" s="60"/>
      <c r="J358" s="60"/>
      <c r="K358" s="64"/>
      <c r="L358" s="64"/>
      <c r="M358" s="25"/>
      <c r="N358" s="25"/>
    </row>
    <row r="359" spans="1:14">
      <c r="A359" s="3" t="s">
        <v>676</v>
      </c>
      <c r="B359" s="4" t="s">
        <v>677</v>
      </c>
      <c r="C359" s="5">
        <f t="shared" si="17"/>
        <v>0</v>
      </c>
      <c r="D359" s="5"/>
      <c r="E359" s="6">
        <f t="shared" si="15"/>
        <v>0</v>
      </c>
      <c r="F359" s="6">
        <f t="shared" si="16"/>
        <v>0</v>
      </c>
      <c r="G359" s="62"/>
      <c r="H359" s="62"/>
      <c r="I359" s="60"/>
      <c r="J359" s="60"/>
      <c r="K359" s="64"/>
      <c r="L359" s="64"/>
      <c r="M359" s="25"/>
      <c r="N359" s="25"/>
    </row>
    <row r="360" spans="1:14">
      <c r="A360" s="3" t="s">
        <v>678</v>
      </c>
      <c r="B360" s="4" t="s">
        <v>679</v>
      </c>
      <c r="C360" s="5">
        <f t="shared" si="17"/>
        <v>0</v>
      </c>
      <c r="D360" s="5"/>
      <c r="E360" s="6">
        <f t="shared" si="15"/>
        <v>0</v>
      </c>
      <c r="F360" s="6">
        <f t="shared" si="16"/>
        <v>0</v>
      </c>
      <c r="G360" s="62"/>
      <c r="H360" s="62"/>
      <c r="I360" s="60"/>
      <c r="J360" s="60"/>
      <c r="K360" s="64"/>
      <c r="L360" s="64"/>
      <c r="M360" s="25"/>
      <c r="N360" s="25"/>
    </row>
    <row r="361" spans="1:14">
      <c r="A361" s="3" t="s">
        <v>680</v>
      </c>
      <c r="B361" s="4" t="s">
        <v>681</v>
      </c>
      <c r="C361" s="5">
        <f t="shared" si="17"/>
        <v>0</v>
      </c>
      <c r="D361" s="5"/>
      <c r="E361" s="6">
        <f t="shared" si="15"/>
        <v>0</v>
      </c>
      <c r="F361" s="6">
        <f t="shared" si="16"/>
        <v>0</v>
      </c>
      <c r="G361" s="62"/>
      <c r="H361" s="62"/>
      <c r="I361" s="60"/>
      <c r="J361" s="60"/>
      <c r="K361" s="64"/>
      <c r="L361" s="64"/>
      <c r="M361" s="25"/>
      <c r="N361" s="25"/>
    </row>
    <row r="362" spans="1:14">
      <c r="A362" s="3" t="s">
        <v>682</v>
      </c>
      <c r="B362" s="4" t="s">
        <v>683</v>
      </c>
      <c r="C362" s="5">
        <f t="shared" si="17"/>
        <v>0</v>
      </c>
      <c r="D362" s="5"/>
      <c r="E362" s="6">
        <f t="shared" si="15"/>
        <v>0</v>
      </c>
      <c r="F362" s="6">
        <f t="shared" si="16"/>
        <v>0</v>
      </c>
      <c r="G362" s="62"/>
      <c r="H362" s="62"/>
      <c r="I362" s="60"/>
      <c r="J362" s="60"/>
      <c r="K362" s="64"/>
      <c r="L362" s="64"/>
      <c r="M362" s="25"/>
      <c r="N362" s="25"/>
    </row>
    <row r="363" spans="1:14">
      <c r="A363" s="3" t="s">
        <v>684</v>
      </c>
      <c r="B363" s="4" t="s">
        <v>685</v>
      </c>
      <c r="C363" s="5">
        <f t="shared" si="17"/>
        <v>0</v>
      </c>
      <c r="D363" s="5"/>
      <c r="E363" s="6">
        <f t="shared" si="15"/>
        <v>0</v>
      </c>
      <c r="F363" s="6">
        <f t="shared" si="16"/>
        <v>0</v>
      </c>
      <c r="G363" s="62"/>
      <c r="H363" s="62"/>
      <c r="I363" s="60"/>
      <c r="J363" s="60"/>
      <c r="K363" s="64"/>
      <c r="L363" s="64"/>
      <c r="M363" s="25"/>
      <c r="N363" s="25"/>
    </row>
    <row r="364" spans="1:14">
      <c r="A364" s="3" t="s">
        <v>686</v>
      </c>
      <c r="B364" s="4" t="s">
        <v>687</v>
      </c>
      <c r="C364" s="5">
        <f t="shared" si="17"/>
        <v>0</v>
      </c>
      <c r="D364" s="5"/>
      <c r="E364" s="6">
        <f t="shared" si="15"/>
        <v>0</v>
      </c>
      <c r="F364" s="6">
        <f t="shared" si="16"/>
        <v>0</v>
      </c>
      <c r="G364" s="62"/>
      <c r="H364" s="62"/>
      <c r="I364" s="60"/>
      <c r="J364" s="60"/>
      <c r="K364" s="64"/>
      <c r="L364" s="64"/>
      <c r="M364" s="25"/>
      <c r="N364" s="25"/>
    </row>
    <row r="365" spans="1:14">
      <c r="A365" s="3" t="s">
        <v>688</v>
      </c>
      <c r="B365" s="4" t="s">
        <v>689</v>
      </c>
      <c r="C365" s="5">
        <f t="shared" si="17"/>
        <v>0</v>
      </c>
      <c r="D365" s="5"/>
      <c r="E365" s="6">
        <f t="shared" si="15"/>
        <v>0</v>
      </c>
      <c r="F365" s="6">
        <f t="shared" si="16"/>
        <v>0</v>
      </c>
      <c r="G365" s="62"/>
      <c r="H365" s="62"/>
      <c r="I365" s="60"/>
      <c r="J365" s="60"/>
      <c r="K365" s="64"/>
      <c r="L365" s="64"/>
      <c r="M365" s="25"/>
      <c r="N365" s="25"/>
    </row>
    <row r="366" spans="1:14">
      <c r="A366" s="3" t="s">
        <v>690</v>
      </c>
      <c r="B366" s="4" t="s">
        <v>691</v>
      </c>
      <c r="C366" s="5">
        <f t="shared" si="17"/>
        <v>0</v>
      </c>
      <c r="D366" s="5"/>
      <c r="E366" s="6">
        <f t="shared" si="15"/>
        <v>0</v>
      </c>
      <c r="F366" s="6">
        <f t="shared" si="16"/>
        <v>0</v>
      </c>
      <c r="G366" s="62"/>
      <c r="H366" s="62"/>
      <c r="I366" s="60"/>
      <c r="J366" s="60"/>
      <c r="K366" s="64"/>
      <c r="L366" s="64"/>
      <c r="M366" s="25"/>
      <c r="N366" s="25"/>
    </row>
    <row r="367" spans="1:14">
      <c r="A367" s="3" t="s">
        <v>692</v>
      </c>
      <c r="B367" s="4" t="s">
        <v>693</v>
      </c>
      <c r="C367" s="5">
        <f t="shared" si="17"/>
        <v>0</v>
      </c>
      <c r="D367" s="5"/>
      <c r="E367" s="6">
        <f t="shared" si="15"/>
        <v>0</v>
      </c>
      <c r="F367" s="6">
        <f t="shared" si="16"/>
        <v>0</v>
      </c>
      <c r="G367" s="62"/>
      <c r="H367" s="62"/>
      <c r="I367" s="60"/>
      <c r="J367" s="60"/>
      <c r="K367" s="64"/>
      <c r="L367" s="64"/>
      <c r="M367" s="25"/>
      <c r="N367" s="25"/>
    </row>
    <row r="368" spans="1:14">
      <c r="A368" s="3" t="s">
        <v>694</v>
      </c>
      <c r="B368" s="4" t="s">
        <v>695</v>
      </c>
      <c r="C368" s="5">
        <f t="shared" si="17"/>
        <v>0</v>
      </c>
      <c r="D368" s="5"/>
      <c r="E368" s="6">
        <f t="shared" si="15"/>
        <v>0</v>
      </c>
      <c r="F368" s="6">
        <f t="shared" si="16"/>
        <v>0</v>
      </c>
      <c r="G368" s="62"/>
      <c r="H368" s="62"/>
      <c r="I368" s="60"/>
      <c r="J368" s="60"/>
      <c r="K368" s="64"/>
      <c r="L368" s="64"/>
      <c r="M368" s="25"/>
      <c r="N368" s="25"/>
    </row>
    <row r="369" spans="1:14">
      <c r="A369" s="3" t="s">
        <v>696</v>
      </c>
      <c r="B369" s="4" t="s">
        <v>697</v>
      </c>
      <c r="C369" s="5">
        <f t="shared" si="17"/>
        <v>0</v>
      </c>
      <c r="D369" s="5"/>
      <c r="E369" s="6">
        <f t="shared" si="15"/>
        <v>0</v>
      </c>
      <c r="F369" s="6">
        <f t="shared" si="16"/>
        <v>0</v>
      </c>
      <c r="G369" s="62"/>
      <c r="H369" s="62"/>
      <c r="I369" s="60"/>
      <c r="J369" s="60"/>
      <c r="K369" s="64"/>
      <c r="L369" s="64"/>
      <c r="M369" s="25"/>
      <c r="N369" s="25"/>
    </row>
    <row r="370" spans="1:14">
      <c r="A370" s="3" t="s">
        <v>698</v>
      </c>
      <c r="B370" s="4" t="s">
        <v>699</v>
      </c>
      <c r="C370" s="5">
        <f t="shared" si="17"/>
        <v>0</v>
      </c>
      <c r="D370" s="5"/>
      <c r="E370" s="6">
        <f t="shared" si="15"/>
        <v>0</v>
      </c>
      <c r="F370" s="6">
        <f t="shared" si="16"/>
        <v>0</v>
      </c>
      <c r="G370" s="62"/>
      <c r="H370" s="62"/>
      <c r="I370" s="60"/>
      <c r="J370" s="60"/>
      <c r="K370" s="64"/>
      <c r="L370" s="64"/>
      <c r="M370" s="25"/>
      <c r="N370" s="25"/>
    </row>
    <row r="371" spans="1:14">
      <c r="A371" s="3" t="s">
        <v>700</v>
      </c>
      <c r="B371" s="4" t="s">
        <v>701</v>
      </c>
      <c r="C371" s="5">
        <f t="shared" si="17"/>
        <v>0</v>
      </c>
      <c r="D371" s="5"/>
      <c r="E371" s="6">
        <f t="shared" si="15"/>
        <v>0</v>
      </c>
      <c r="F371" s="6">
        <f t="shared" si="16"/>
        <v>0</v>
      </c>
      <c r="G371" s="62"/>
      <c r="H371" s="62"/>
      <c r="I371" s="60"/>
      <c r="J371" s="60"/>
      <c r="K371" s="64"/>
      <c r="L371" s="64"/>
      <c r="M371" s="25"/>
      <c r="N371" s="25"/>
    </row>
    <row r="372" spans="1:14">
      <c r="A372" s="3" t="s">
        <v>702</v>
      </c>
      <c r="B372" s="4" t="s">
        <v>703</v>
      </c>
      <c r="C372" s="5">
        <f t="shared" si="17"/>
        <v>0</v>
      </c>
      <c r="D372" s="5"/>
      <c r="E372" s="6">
        <f t="shared" si="15"/>
        <v>0</v>
      </c>
      <c r="F372" s="6">
        <f t="shared" si="16"/>
        <v>0</v>
      </c>
      <c r="G372" s="62"/>
      <c r="H372" s="62"/>
      <c r="I372" s="60"/>
      <c r="J372" s="60"/>
      <c r="K372" s="64"/>
      <c r="L372" s="64"/>
      <c r="M372" s="25"/>
      <c r="N372" s="25"/>
    </row>
    <row r="373" spans="1:14">
      <c r="A373" s="3" t="s">
        <v>704</v>
      </c>
      <c r="B373" s="4" t="s">
        <v>705</v>
      </c>
      <c r="C373" s="5">
        <f t="shared" si="17"/>
        <v>0</v>
      </c>
      <c r="D373" s="5"/>
      <c r="E373" s="6">
        <f t="shared" si="15"/>
        <v>0</v>
      </c>
      <c r="F373" s="6">
        <f t="shared" si="16"/>
        <v>0</v>
      </c>
      <c r="G373" s="62"/>
      <c r="H373" s="62"/>
      <c r="I373" s="60"/>
      <c r="J373" s="60"/>
      <c r="K373" s="64"/>
      <c r="L373" s="64"/>
      <c r="M373" s="25"/>
      <c r="N373" s="25"/>
    </row>
    <row r="374" spans="1:14">
      <c r="A374" s="3" t="s">
        <v>706</v>
      </c>
      <c r="B374" s="4" t="s">
        <v>707</v>
      </c>
      <c r="C374" s="5">
        <f t="shared" si="17"/>
        <v>0</v>
      </c>
      <c r="D374" s="5"/>
      <c r="E374" s="6">
        <f t="shared" si="15"/>
        <v>0</v>
      </c>
      <c r="F374" s="6">
        <f t="shared" si="16"/>
        <v>0</v>
      </c>
      <c r="G374" s="62"/>
      <c r="H374" s="62"/>
      <c r="I374" s="60"/>
      <c r="J374" s="60"/>
      <c r="K374" s="64"/>
      <c r="L374" s="64"/>
      <c r="M374" s="25"/>
      <c r="N374" s="25"/>
    </row>
    <row r="375" spans="1:14">
      <c r="A375" s="3" t="s">
        <v>708</v>
      </c>
      <c r="B375" s="4" t="s">
        <v>709</v>
      </c>
      <c r="C375" s="5">
        <f t="shared" si="17"/>
        <v>0</v>
      </c>
      <c r="D375" s="5"/>
      <c r="E375" s="6">
        <f t="shared" si="15"/>
        <v>0</v>
      </c>
      <c r="F375" s="6">
        <f t="shared" si="16"/>
        <v>0</v>
      </c>
      <c r="G375" s="62"/>
      <c r="H375" s="62"/>
      <c r="I375" s="60"/>
      <c r="J375" s="60"/>
      <c r="K375" s="64"/>
      <c r="L375" s="64"/>
      <c r="M375" s="25"/>
      <c r="N375" s="25"/>
    </row>
    <row r="376" spans="1:14">
      <c r="A376" s="3" t="s">
        <v>710</v>
      </c>
      <c r="B376" s="4" t="s">
        <v>711</v>
      </c>
      <c r="C376" s="5">
        <f t="shared" si="17"/>
        <v>0</v>
      </c>
      <c r="D376" s="5"/>
      <c r="E376" s="6">
        <f t="shared" si="15"/>
        <v>0</v>
      </c>
      <c r="F376" s="6">
        <f t="shared" si="16"/>
        <v>0</v>
      </c>
      <c r="G376" s="62"/>
      <c r="H376" s="62"/>
      <c r="I376" s="60"/>
      <c r="J376" s="60"/>
      <c r="K376" s="64"/>
      <c r="L376" s="64"/>
      <c r="M376" s="25"/>
      <c r="N376" s="25"/>
    </row>
    <row r="377" spans="1:14">
      <c r="A377" s="3" t="s">
        <v>712</v>
      </c>
      <c r="B377" s="4" t="s">
        <v>713</v>
      </c>
      <c r="C377" s="5">
        <f t="shared" si="17"/>
        <v>0</v>
      </c>
      <c r="D377" s="5"/>
      <c r="E377" s="6">
        <f t="shared" si="15"/>
        <v>0</v>
      </c>
      <c r="F377" s="6">
        <f t="shared" si="16"/>
        <v>0</v>
      </c>
      <c r="G377" s="62"/>
      <c r="H377" s="62"/>
      <c r="I377" s="60"/>
      <c r="J377" s="60"/>
      <c r="K377" s="64"/>
      <c r="L377" s="64"/>
      <c r="M377" s="25"/>
      <c r="N377" s="25"/>
    </row>
    <row r="378" spans="1:14">
      <c r="A378" s="3" t="s">
        <v>714</v>
      </c>
      <c r="B378" s="4" t="s">
        <v>715</v>
      </c>
      <c r="C378" s="5">
        <f t="shared" si="17"/>
        <v>0</v>
      </c>
      <c r="D378" s="5"/>
      <c r="E378" s="6">
        <f t="shared" si="15"/>
        <v>0</v>
      </c>
      <c r="F378" s="6">
        <f t="shared" si="16"/>
        <v>0</v>
      </c>
      <c r="G378" s="62"/>
      <c r="H378" s="62"/>
      <c r="I378" s="60"/>
      <c r="J378" s="60"/>
      <c r="K378" s="64"/>
      <c r="L378" s="64"/>
      <c r="M378" s="25"/>
      <c r="N378" s="25"/>
    </row>
    <row r="379" spans="1:14">
      <c r="A379" s="3" t="s">
        <v>716</v>
      </c>
      <c r="B379" s="4" t="s">
        <v>717</v>
      </c>
      <c r="C379" s="5">
        <f t="shared" si="17"/>
        <v>0</v>
      </c>
      <c r="D379" s="5"/>
      <c r="E379" s="6">
        <f t="shared" si="15"/>
        <v>0</v>
      </c>
      <c r="F379" s="6">
        <f t="shared" si="16"/>
        <v>0</v>
      </c>
      <c r="G379" s="62"/>
      <c r="H379" s="62"/>
      <c r="I379" s="60"/>
      <c r="J379" s="60"/>
      <c r="K379" s="64"/>
      <c r="L379" s="64"/>
      <c r="M379" s="25"/>
      <c r="N379" s="25"/>
    </row>
    <row r="380" spans="1:14">
      <c r="A380" s="3" t="s">
        <v>718</v>
      </c>
      <c r="B380" s="4" t="s">
        <v>719</v>
      </c>
      <c r="C380" s="5">
        <f t="shared" si="17"/>
        <v>0</v>
      </c>
      <c r="D380" s="5"/>
      <c r="E380" s="6">
        <f t="shared" si="15"/>
        <v>0</v>
      </c>
      <c r="F380" s="6">
        <f t="shared" si="16"/>
        <v>0</v>
      </c>
      <c r="G380" s="62"/>
      <c r="H380" s="62"/>
      <c r="I380" s="60"/>
      <c r="J380" s="60"/>
      <c r="K380" s="64"/>
      <c r="L380" s="64"/>
      <c r="M380" s="25"/>
      <c r="N380" s="25"/>
    </row>
    <row r="381" spans="1:14">
      <c r="A381" s="3" t="s">
        <v>720</v>
      </c>
      <c r="B381" s="4" t="s">
        <v>721</v>
      </c>
      <c r="C381" s="5">
        <f t="shared" si="17"/>
        <v>0</v>
      </c>
      <c r="D381" s="5"/>
      <c r="E381" s="6">
        <f t="shared" si="15"/>
        <v>0</v>
      </c>
      <c r="F381" s="6">
        <f t="shared" si="16"/>
        <v>0</v>
      </c>
      <c r="G381" s="62"/>
      <c r="H381" s="62"/>
      <c r="I381" s="60"/>
      <c r="J381" s="60"/>
      <c r="K381" s="64"/>
      <c r="L381" s="64"/>
      <c r="M381" s="25"/>
      <c r="N381" s="25"/>
    </row>
    <row r="382" spans="1:14">
      <c r="A382" s="3" t="s">
        <v>722</v>
      </c>
      <c r="B382" s="4" t="s">
        <v>723</v>
      </c>
      <c r="C382" s="5">
        <f t="shared" si="17"/>
        <v>0</v>
      </c>
      <c r="D382" s="5"/>
      <c r="E382" s="6">
        <f t="shared" si="15"/>
        <v>0</v>
      </c>
      <c r="F382" s="6">
        <f t="shared" si="16"/>
        <v>0</v>
      </c>
      <c r="G382" s="62"/>
      <c r="H382" s="62"/>
      <c r="I382" s="60"/>
      <c r="J382" s="60"/>
      <c r="K382" s="64"/>
      <c r="L382" s="64"/>
      <c r="M382" s="25"/>
      <c r="N382" s="25"/>
    </row>
    <row r="383" spans="1:14">
      <c r="A383" s="3" t="s">
        <v>724</v>
      </c>
      <c r="B383" s="4" t="s">
        <v>725</v>
      </c>
      <c r="C383" s="5">
        <f t="shared" si="17"/>
        <v>0</v>
      </c>
      <c r="D383" s="5"/>
      <c r="E383" s="6">
        <f t="shared" si="15"/>
        <v>0</v>
      </c>
      <c r="F383" s="6">
        <f t="shared" si="16"/>
        <v>0</v>
      </c>
      <c r="G383" s="62"/>
      <c r="H383" s="62"/>
      <c r="I383" s="60"/>
      <c r="J383" s="60"/>
      <c r="K383" s="64"/>
      <c r="L383" s="64"/>
      <c r="M383" s="25"/>
      <c r="N383" s="25"/>
    </row>
    <row r="384" spans="1:14">
      <c r="A384" s="3" t="s">
        <v>726</v>
      </c>
      <c r="B384" s="4" t="s">
        <v>727</v>
      </c>
      <c r="C384" s="5">
        <f t="shared" si="17"/>
        <v>0</v>
      </c>
      <c r="D384" s="5"/>
      <c r="E384" s="6">
        <f t="shared" si="15"/>
        <v>0</v>
      </c>
      <c r="F384" s="6">
        <f t="shared" si="16"/>
        <v>0</v>
      </c>
      <c r="G384" s="62"/>
      <c r="H384" s="62"/>
      <c r="I384" s="60"/>
      <c r="J384" s="60"/>
      <c r="K384" s="64"/>
      <c r="L384" s="64"/>
      <c r="M384" s="25"/>
      <c r="N384" s="25"/>
    </row>
    <row r="385" spans="1:14">
      <c r="A385" s="3" t="s">
        <v>728</v>
      </c>
      <c r="B385" s="4" t="s">
        <v>729</v>
      </c>
      <c r="C385" s="5">
        <f t="shared" si="17"/>
        <v>0</v>
      </c>
      <c r="D385" s="5"/>
      <c r="E385" s="6">
        <f t="shared" si="15"/>
        <v>0</v>
      </c>
      <c r="F385" s="6">
        <f t="shared" si="16"/>
        <v>0</v>
      </c>
      <c r="G385" s="62"/>
      <c r="H385" s="62"/>
      <c r="I385" s="60"/>
      <c r="J385" s="60"/>
      <c r="K385" s="64"/>
      <c r="L385" s="64"/>
      <c r="M385" s="25"/>
      <c r="N385" s="25"/>
    </row>
    <row r="386" spans="1:14">
      <c r="A386" s="3" t="s">
        <v>730</v>
      </c>
      <c r="B386" s="4" t="s">
        <v>731</v>
      </c>
      <c r="C386" s="5">
        <f t="shared" si="17"/>
        <v>0</v>
      </c>
      <c r="D386" s="5"/>
      <c r="E386" s="6">
        <f t="shared" si="15"/>
        <v>0</v>
      </c>
      <c r="F386" s="6">
        <f t="shared" si="16"/>
        <v>0</v>
      </c>
      <c r="G386" s="62"/>
      <c r="H386" s="62"/>
      <c r="I386" s="60"/>
      <c r="J386" s="60"/>
      <c r="K386" s="64"/>
      <c r="L386" s="64"/>
      <c r="M386" s="25"/>
      <c r="N386" s="25"/>
    </row>
    <row r="387" spans="1:14">
      <c r="A387" s="3" t="s">
        <v>732</v>
      </c>
      <c r="B387" s="4" t="s">
        <v>733</v>
      </c>
      <c r="C387" s="5">
        <f t="shared" si="17"/>
        <v>0</v>
      </c>
      <c r="D387" s="5"/>
      <c r="E387" s="6">
        <f t="shared" si="15"/>
        <v>0</v>
      </c>
      <c r="F387" s="6">
        <f t="shared" si="16"/>
        <v>0</v>
      </c>
      <c r="G387" s="62"/>
      <c r="H387" s="62"/>
      <c r="I387" s="60"/>
      <c r="J387" s="60"/>
      <c r="K387" s="64"/>
      <c r="L387" s="64"/>
      <c r="M387" s="25"/>
      <c r="N387" s="25"/>
    </row>
    <row r="388" spans="1:14">
      <c r="A388" s="3" t="s">
        <v>734</v>
      </c>
      <c r="B388" s="4" t="s">
        <v>735</v>
      </c>
      <c r="C388" s="5">
        <f t="shared" si="17"/>
        <v>0</v>
      </c>
      <c r="D388" s="5"/>
      <c r="E388" s="6">
        <f t="shared" si="15"/>
        <v>0</v>
      </c>
      <c r="F388" s="6">
        <f t="shared" si="16"/>
        <v>0</v>
      </c>
      <c r="G388" s="62"/>
      <c r="H388" s="62"/>
      <c r="I388" s="60"/>
      <c r="J388" s="60"/>
      <c r="K388" s="64"/>
      <c r="L388" s="64"/>
      <c r="M388" s="25"/>
      <c r="N388" s="25"/>
    </row>
    <row r="389" spans="1:14">
      <c r="A389" s="3" t="s">
        <v>736</v>
      </c>
      <c r="B389" s="4" t="s">
        <v>737</v>
      </c>
      <c r="C389" s="5">
        <f t="shared" si="17"/>
        <v>0</v>
      </c>
      <c r="D389" s="5"/>
      <c r="E389" s="6">
        <f t="shared" si="15"/>
        <v>0</v>
      </c>
      <c r="F389" s="6">
        <f t="shared" si="16"/>
        <v>0</v>
      </c>
      <c r="G389" s="62"/>
      <c r="H389" s="62"/>
      <c r="I389" s="60"/>
      <c r="J389" s="60"/>
      <c r="K389" s="64"/>
      <c r="L389" s="64"/>
      <c r="M389" s="25"/>
      <c r="N389" s="25"/>
    </row>
    <row r="390" spans="1:14">
      <c r="A390" s="3" t="s">
        <v>738</v>
      </c>
      <c r="B390" s="4" t="s">
        <v>739</v>
      </c>
      <c r="C390" s="5">
        <f t="shared" si="17"/>
        <v>0</v>
      </c>
      <c r="D390" s="5"/>
      <c r="E390" s="6">
        <f t="shared" si="15"/>
        <v>0</v>
      </c>
      <c r="F390" s="6">
        <f t="shared" si="16"/>
        <v>0</v>
      </c>
      <c r="G390" s="62"/>
      <c r="H390" s="62"/>
      <c r="I390" s="60"/>
      <c r="J390" s="60"/>
      <c r="K390" s="64"/>
      <c r="L390" s="64"/>
      <c r="M390" s="25"/>
      <c r="N390" s="25"/>
    </row>
    <row r="391" spans="1:14">
      <c r="A391" s="3" t="s">
        <v>740</v>
      </c>
      <c r="B391" s="4" t="s">
        <v>741</v>
      </c>
      <c r="C391" s="5">
        <f t="shared" si="17"/>
        <v>0</v>
      </c>
      <c r="D391" s="5"/>
      <c r="E391" s="6">
        <f t="shared" si="15"/>
        <v>0</v>
      </c>
      <c r="F391" s="6">
        <f t="shared" si="16"/>
        <v>0</v>
      </c>
      <c r="G391" s="62"/>
      <c r="H391" s="62"/>
      <c r="I391" s="60"/>
      <c r="J391" s="60"/>
      <c r="K391" s="64"/>
      <c r="L391" s="64"/>
      <c r="M391" s="25"/>
      <c r="N391" s="25"/>
    </row>
    <row r="392" spans="1:14">
      <c r="A392" s="3" t="s">
        <v>742</v>
      </c>
      <c r="B392" s="4" t="s">
        <v>743</v>
      </c>
      <c r="C392" s="5">
        <f t="shared" si="17"/>
        <v>0</v>
      </c>
      <c r="D392" s="5"/>
      <c r="E392" s="6">
        <f t="shared" si="15"/>
        <v>0</v>
      </c>
      <c r="F392" s="6">
        <f t="shared" si="16"/>
        <v>0</v>
      </c>
      <c r="G392" s="62"/>
      <c r="H392" s="62"/>
      <c r="I392" s="60"/>
      <c r="J392" s="60"/>
      <c r="K392" s="64"/>
      <c r="L392" s="64"/>
      <c r="M392" s="25"/>
      <c r="N392" s="25"/>
    </row>
    <row r="393" spans="1:14">
      <c r="A393" s="3" t="s">
        <v>744</v>
      </c>
      <c r="B393" s="4" t="s">
        <v>745</v>
      </c>
      <c r="C393" s="5">
        <f t="shared" si="17"/>
        <v>0</v>
      </c>
      <c r="D393" s="5"/>
      <c r="E393" s="6">
        <f t="shared" si="15"/>
        <v>0</v>
      </c>
      <c r="F393" s="6">
        <f t="shared" si="16"/>
        <v>0</v>
      </c>
      <c r="G393" s="62"/>
      <c r="H393" s="62"/>
      <c r="I393" s="60"/>
      <c r="J393" s="60"/>
      <c r="K393" s="64"/>
      <c r="L393" s="64"/>
      <c r="M393" s="25"/>
      <c r="N393" s="25"/>
    </row>
    <row r="394" spans="1:14">
      <c r="A394" s="3" t="s">
        <v>746</v>
      </c>
      <c r="B394" s="4" t="s">
        <v>747</v>
      </c>
      <c r="C394" s="5">
        <f t="shared" si="17"/>
        <v>0</v>
      </c>
      <c r="D394" s="5"/>
      <c r="E394" s="6">
        <f t="shared" si="15"/>
        <v>0</v>
      </c>
      <c r="F394" s="6">
        <f t="shared" si="16"/>
        <v>0</v>
      </c>
      <c r="G394" s="62"/>
      <c r="H394" s="62"/>
      <c r="I394" s="60"/>
      <c r="J394" s="60"/>
      <c r="K394" s="64"/>
      <c r="L394" s="64"/>
      <c r="M394" s="25"/>
      <c r="N394" s="25"/>
    </row>
    <row r="395" spans="1:14">
      <c r="A395" s="3" t="s">
        <v>748</v>
      </c>
      <c r="B395" s="4" t="s">
        <v>749</v>
      </c>
      <c r="C395" s="5">
        <f t="shared" si="17"/>
        <v>0</v>
      </c>
      <c r="D395" s="5"/>
      <c r="E395" s="6">
        <f t="shared" si="15"/>
        <v>0</v>
      </c>
      <c r="F395" s="6">
        <f t="shared" si="16"/>
        <v>0</v>
      </c>
      <c r="G395" s="62"/>
      <c r="H395" s="62"/>
      <c r="I395" s="60"/>
      <c r="J395" s="60"/>
      <c r="K395" s="64"/>
      <c r="L395" s="64"/>
      <c r="M395" s="25"/>
      <c r="N395" s="25"/>
    </row>
    <row r="396" spans="1:14">
      <c r="A396" s="3" t="s">
        <v>750</v>
      </c>
      <c r="B396" s="4" t="s">
        <v>751</v>
      </c>
      <c r="C396" s="5">
        <f t="shared" si="17"/>
        <v>0</v>
      </c>
      <c r="D396" s="5"/>
      <c r="E396" s="6">
        <f t="shared" si="15"/>
        <v>0</v>
      </c>
      <c r="F396" s="6">
        <f t="shared" si="16"/>
        <v>0</v>
      </c>
      <c r="G396" s="62"/>
      <c r="H396" s="62"/>
      <c r="I396" s="60"/>
      <c r="J396" s="60"/>
      <c r="K396" s="64"/>
      <c r="L396" s="64"/>
      <c r="M396" s="25"/>
      <c r="N396" s="25"/>
    </row>
    <row r="397" spans="1:14">
      <c r="A397" s="3" t="s">
        <v>752</v>
      </c>
      <c r="B397" s="4" t="s">
        <v>753</v>
      </c>
      <c r="C397" s="5">
        <f t="shared" si="17"/>
        <v>0</v>
      </c>
      <c r="D397" s="5"/>
      <c r="E397" s="6">
        <f t="shared" si="15"/>
        <v>0</v>
      </c>
      <c r="F397" s="6">
        <f t="shared" si="16"/>
        <v>0</v>
      </c>
      <c r="G397" s="62"/>
      <c r="H397" s="62"/>
      <c r="I397" s="60"/>
      <c r="J397" s="60"/>
      <c r="K397" s="64"/>
      <c r="L397" s="64"/>
      <c r="M397" s="25"/>
      <c r="N397" s="25"/>
    </row>
    <row r="398" spans="1:14">
      <c r="A398" s="3" t="s">
        <v>754</v>
      </c>
      <c r="B398" s="4" t="s">
        <v>755</v>
      </c>
      <c r="C398" s="5">
        <f t="shared" si="17"/>
        <v>0</v>
      </c>
      <c r="D398" s="5"/>
      <c r="E398" s="6">
        <f t="shared" ref="E398:E461" si="18">SUM(G398,I398,K398,M398)</f>
        <v>0</v>
      </c>
      <c r="F398" s="6">
        <f t="shared" ref="F398:F461" si="19">SUM(H398,J398,L398,N398)</f>
        <v>0</v>
      </c>
      <c r="G398" s="62"/>
      <c r="H398" s="62"/>
      <c r="I398" s="60"/>
      <c r="J398" s="60"/>
      <c r="K398" s="64"/>
      <c r="L398" s="64"/>
      <c r="M398" s="25"/>
      <c r="N398" s="25"/>
    </row>
    <row r="399" spans="1:14">
      <c r="A399" s="3" t="s">
        <v>756</v>
      </c>
      <c r="B399" s="4" t="s">
        <v>757</v>
      </c>
      <c r="C399" s="5">
        <f t="shared" si="17"/>
        <v>0</v>
      </c>
      <c r="D399" s="5"/>
      <c r="E399" s="6">
        <f t="shared" si="18"/>
        <v>0</v>
      </c>
      <c r="F399" s="6">
        <f t="shared" si="19"/>
        <v>0</v>
      </c>
      <c r="G399" s="62"/>
      <c r="H399" s="62"/>
      <c r="I399" s="60"/>
      <c r="J399" s="60"/>
      <c r="K399" s="64"/>
      <c r="L399" s="64"/>
      <c r="M399" s="25"/>
      <c r="N399" s="25"/>
    </row>
    <row r="400" spans="1:14">
      <c r="A400" s="3" t="s">
        <v>758</v>
      </c>
      <c r="B400" s="4" t="s">
        <v>759</v>
      </c>
      <c r="C400" s="5">
        <f t="shared" si="17"/>
        <v>0</v>
      </c>
      <c r="D400" s="5"/>
      <c r="E400" s="6">
        <f t="shared" si="18"/>
        <v>0</v>
      </c>
      <c r="F400" s="6">
        <f t="shared" si="19"/>
        <v>0</v>
      </c>
      <c r="G400" s="62"/>
      <c r="H400" s="62"/>
      <c r="I400" s="60"/>
      <c r="J400" s="60"/>
      <c r="K400" s="64"/>
      <c r="L400" s="64"/>
      <c r="M400" s="25"/>
      <c r="N400" s="25"/>
    </row>
    <row r="401" spans="1:14">
      <c r="A401" s="3" t="s">
        <v>760</v>
      </c>
      <c r="B401" s="4" t="s">
        <v>761</v>
      </c>
      <c r="C401" s="5">
        <f t="shared" si="17"/>
        <v>0</v>
      </c>
      <c r="D401" s="5"/>
      <c r="E401" s="6">
        <f t="shared" si="18"/>
        <v>0</v>
      </c>
      <c r="F401" s="6">
        <f t="shared" si="19"/>
        <v>0</v>
      </c>
      <c r="G401" s="62"/>
      <c r="H401" s="62"/>
      <c r="I401" s="60"/>
      <c r="J401" s="60"/>
      <c r="K401" s="64"/>
      <c r="L401" s="64"/>
      <c r="M401" s="25"/>
      <c r="N401" s="25"/>
    </row>
    <row r="402" spans="1:14">
      <c r="A402" s="3" t="s">
        <v>762</v>
      </c>
      <c r="B402" s="4" t="s">
        <v>763</v>
      </c>
      <c r="C402" s="5">
        <f t="shared" si="17"/>
        <v>0</v>
      </c>
      <c r="D402" s="5"/>
      <c r="E402" s="6">
        <f t="shared" si="18"/>
        <v>0</v>
      </c>
      <c r="F402" s="6">
        <f t="shared" si="19"/>
        <v>0</v>
      </c>
      <c r="G402" s="62"/>
      <c r="H402" s="62"/>
      <c r="I402" s="60"/>
      <c r="J402" s="60"/>
      <c r="K402" s="64"/>
      <c r="L402" s="64"/>
      <c r="M402" s="25"/>
      <c r="N402" s="25"/>
    </row>
    <row r="403" spans="1:14">
      <c r="A403" s="3" t="s">
        <v>764</v>
      </c>
      <c r="B403" s="4" t="s">
        <v>765</v>
      </c>
      <c r="C403" s="5">
        <f t="shared" si="17"/>
        <v>0</v>
      </c>
      <c r="D403" s="5"/>
      <c r="E403" s="6">
        <f t="shared" si="18"/>
        <v>0</v>
      </c>
      <c r="F403" s="6">
        <f t="shared" si="19"/>
        <v>0</v>
      </c>
      <c r="G403" s="62"/>
      <c r="H403" s="62"/>
      <c r="I403" s="60"/>
      <c r="J403" s="60"/>
      <c r="K403" s="64"/>
      <c r="L403" s="64"/>
      <c r="M403" s="25"/>
      <c r="N403" s="25"/>
    </row>
    <row r="404" spans="1:14">
      <c r="A404" s="3" t="s">
        <v>766</v>
      </c>
      <c r="B404" s="4" t="s">
        <v>767</v>
      </c>
      <c r="C404" s="5">
        <f t="shared" si="17"/>
        <v>0</v>
      </c>
      <c r="D404" s="5"/>
      <c r="E404" s="6">
        <f t="shared" si="18"/>
        <v>0</v>
      </c>
      <c r="F404" s="6">
        <f t="shared" si="19"/>
        <v>0</v>
      </c>
      <c r="G404" s="62"/>
      <c r="H404" s="62"/>
      <c r="I404" s="60"/>
      <c r="J404" s="60"/>
      <c r="K404" s="64"/>
      <c r="L404" s="64"/>
      <c r="M404" s="25"/>
      <c r="N404" s="25"/>
    </row>
    <row r="405" spans="1:14">
      <c r="A405" s="3" t="s">
        <v>768</v>
      </c>
      <c r="B405" s="4" t="s">
        <v>769</v>
      </c>
      <c r="C405" s="5">
        <f t="shared" si="17"/>
        <v>0</v>
      </c>
      <c r="D405" s="5"/>
      <c r="E405" s="6">
        <f t="shared" si="18"/>
        <v>0</v>
      </c>
      <c r="F405" s="6">
        <f t="shared" si="19"/>
        <v>0</v>
      </c>
      <c r="G405" s="62"/>
      <c r="H405" s="62"/>
      <c r="I405" s="60"/>
      <c r="J405" s="60"/>
      <c r="K405" s="64"/>
      <c r="L405" s="64"/>
      <c r="M405" s="25"/>
      <c r="N405" s="25"/>
    </row>
    <row r="406" spans="1:14">
      <c r="A406" s="3" t="s">
        <v>770</v>
      </c>
      <c r="B406" s="4" t="s">
        <v>771</v>
      </c>
      <c r="C406" s="5">
        <f t="shared" si="17"/>
        <v>0</v>
      </c>
      <c r="D406" s="5"/>
      <c r="E406" s="6">
        <f t="shared" si="18"/>
        <v>0</v>
      </c>
      <c r="F406" s="6">
        <f t="shared" si="19"/>
        <v>0</v>
      </c>
      <c r="G406" s="62"/>
      <c r="H406" s="62"/>
      <c r="I406" s="60"/>
      <c r="J406" s="60"/>
      <c r="K406" s="64"/>
      <c r="L406" s="64"/>
      <c r="M406" s="25"/>
      <c r="N406" s="25"/>
    </row>
    <row r="407" spans="1:14">
      <c r="A407" s="3" t="s">
        <v>772</v>
      </c>
      <c r="B407" s="4" t="s">
        <v>773</v>
      </c>
      <c r="C407" s="5">
        <f t="shared" si="17"/>
        <v>0</v>
      </c>
      <c r="D407" s="5"/>
      <c r="E407" s="6">
        <f t="shared" si="18"/>
        <v>0</v>
      </c>
      <c r="F407" s="6">
        <f t="shared" si="19"/>
        <v>0</v>
      </c>
      <c r="G407" s="62"/>
      <c r="H407" s="62"/>
      <c r="I407" s="60"/>
      <c r="J407" s="60"/>
      <c r="K407" s="64"/>
      <c r="L407" s="64"/>
      <c r="M407" s="25"/>
      <c r="N407" s="25"/>
    </row>
    <row r="408" spans="1:14">
      <c r="A408" s="3" t="s">
        <v>774</v>
      </c>
      <c r="B408" s="4" t="s">
        <v>775</v>
      </c>
      <c r="C408" s="5">
        <f t="shared" si="17"/>
        <v>0</v>
      </c>
      <c r="D408" s="5"/>
      <c r="E408" s="6">
        <f t="shared" si="18"/>
        <v>0</v>
      </c>
      <c r="F408" s="6">
        <f t="shared" si="19"/>
        <v>0</v>
      </c>
      <c r="G408" s="62"/>
      <c r="H408" s="62"/>
      <c r="I408" s="60"/>
      <c r="J408" s="60"/>
      <c r="K408" s="64"/>
      <c r="L408" s="64"/>
      <c r="M408" s="25"/>
      <c r="N408" s="25"/>
    </row>
    <row r="409" spans="1:14">
      <c r="A409" s="3" t="s">
        <v>776</v>
      </c>
      <c r="B409" s="4" t="s">
        <v>777</v>
      </c>
      <c r="C409" s="5">
        <f t="shared" ref="C409:C461" si="20">E409-F409</f>
        <v>0</v>
      </c>
      <c r="D409" s="5"/>
      <c r="E409" s="6">
        <f t="shared" si="18"/>
        <v>0</v>
      </c>
      <c r="F409" s="6">
        <f t="shared" si="19"/>
        <v>0</v>
      </c>
      <c r="G409" s="62"/>
      <c r="H409" s="62"/>
      <c r="I409" s="60"/>
      <c r="J409" s="60"/>
      <c r="K409" s="64"/>
      <c r="L409" s="64"/>
      <c r="M409" s="25"/>
      <c r="N409" s="25"/>
    </row>
    <row r="410" spans="1:14">
      <c r="A410" s="3" t="s">
        <v>778</v>
      </c>
      <c r="B410" s="4" t="s">
        <v>779</v>
      </c>
      <c r="C410" s="5">
        <f t="shared" si="20"/>
        <v>0</v>
      </c>
      <c r="D410" s="5"/>
      <c r="E410" s="6">
        <f t="shared" si="18"/>
        <v>0</v>
      </c>
      <c r="F410" s="6">
        <f t="shared" si="19"/>
        <v>0</v>
      </c>
      <c r="G410" s="62"/>
      <c r="H410" s="62"/>
      <c r="I410" s="60"/>
      <c r="J410" s="60"/>
      <c r="K410" s="64"/>
      <c r="L410" s="64"/>
      <c r="M410" s="25"/>
      <c r="N410" s="25"/>
    </row>
    <row r="411" spans="1:14">
      <c r="A411" s="3" t="s">
        <v>780</v>
      </c>
      <c r="B411" s="4" t="s">
        <v>781</v>
      </c>
      <c r="C411" s="5">
        <f t="shared" si="20"/>
        <v>0</v>
      </c>
      <c r="D411" s="5"/>
      <c r="E411" s="6">
        <f t="shared" si="18"/>
        <v>0</v>
      </c>
      <c r="F411" s="6">
        <f t="shared" si="19"/>
        <v>0</v>
      </c>
      <c r="G411" s="62"/>
      <c r="H411" s="62"/>
      <c r="I411" s="60"/>
      <c r="J411" s="60"/>
      <c r="K411" s="64"/>
      <c r="L411" s="64"/>
      <c r="M411" s="25"/>
      <c r="N411" s="25"/>
    </row>
    <row r="412" spans="1:14">
      <c r="A412" s="3" t="s">
        <v>782</v>
      </c>
      <c r="B412" s="4" t="s">
        <v>783</v>
      </c>
      <c r="C412" s="5">
        <f t="shared" si="20"/>
        <v>0</v>
      </c>
      <c r="D412" s="5"/>
      <c r="E412" s="6">
        <f t="shared" si="18"/>
        <v>0</v>
      </c>
      <c r="F412" s="6">
        <f t="shared" si="19"/>
        <v>0</v>
      </c>
      <c r="G412" s="62"/>
      <c r="H412" s="62"/>
      <c r="I412" s="60"/>
      <c r="J412" s="60"/>
      <c r="K412" s="64"/>
      <c r="L412" s="64"/>
      <c r="M412" s="25"/>
      <c r="N412" s="25"/>
    </row>
    <row r="413" spans="1:14">
      <c r="A413" s="3" t="s">
        <v>784</v>
      </c>
      <c r="B413" s="4" t="s">
        <v>785</v>
      </c>
      <c r="C413" s="5">
        <f t="shared" si="20"/>
        <v>0</v>
      </c>
      <c r="D413" s="5"/>
      <c r="E413" s="6">
        <f t="shared" si="18"/>
        <v>0</v>
      </c>
      <c r="F413" s="6">
        <f t="shared" si="19"/>
        <v>0</v>
      </c>
      <c r="G413" s="62"/>
      <c r="H413" s="62"/>
      <c r="I413" s="60"/>
      <c r="J413" s="60"/>
      <c r="K413" s="64"/>
      <c r="L413" s="64"/>
      <c r="M413" s="25"/>
      <c r="N413" s="25"/>
    </row>
    <row r="414" spans="1:14">
      <c r="A414" s="3" t="s">
        <v>786</v>
      </c>
      <c r="B414" s="4" t="s">
        <v>787</v>
      </c>
      <c r="C414" s="5">
        <f t="shared" si="20"/>
        <v>0</v>
      </c>
      <c r="D414" s="5"/>
      <c r="E414" s="6">
        <f t="shared" si="18"/>
        <v>0</v>
      </c>
      <c r="F414" s="6">
        <f t="shared" si="19"/>
        <v>0</v>
      </c>
      <c r="G414" s="62"/>
      <c r="H414" s="62"/>
      <c r="I414" s="60"/>
      <c r="J414" s="60"/>
      <c r="K414" s="64"/>
      <c r="L414" s="64"/>
      <c r="M414" s="25"/>
      <c r="N414" s="25"/>
    </row>
    <row r="415" spans="1:14">
      <c r="A415" s="3" t="s">
        <v>788</v>
      </c>
      <c r="B415" s="4" t="s">
        <v>789</v>
      </c>
      <c r="C415" s="5">
        <f t="shared" si="20"/>
        <v>0</v>
      </c>
      <c r="D415" s="5"/>
      <c r="E415" s="6">
        <f t="shared" si="18"/>
        <v>0</v>
      </c>
      <c r="F415" s="6">
        <f t="shared" si="19"/>
        <v>0</v>
      </c>
      <c r="G415" s="62"/>
      <c r="H415" s="62"/>
      <c r="I415" s="60"/>
      <c r="J415" s="60"/>
      <c r="K415" s="64"/>
      <c r="L415" s="64"/>
      <c r="M415" s="25"/>
      <c r="N415" s="25"/>
    </row>
    <row r="416" spans="1:14">
      <c r="A416" s="3" t="s">
        <v>790</v>
      </c>
      <c r="B416" s="4" t="s">
        <v>791</v>
      </c>
      <c r="C416" s="5">
        <f t="shared" si="20"/>
        <v>0</v>
      </c>
      <c r="D416" s="5"/>
      <c r="E416" s="6">
        <f t="shared" si="18"/>
        <v>0</v>
      </c>
      <c r="F416" s="6">
        <f t="shared" si="19"/>
        <v>0</v>
      </c>
      <c r="G416" s="62"/>
      <c r="H416" s="62"/>
      <c r="I416" s="60"/>
      <c r="J416" s="60"/>
      <c r="K416" s="64"/>
      <c r="L416" s="64"/>
      <c r="M416" s="25"/>
      <c r="N416" s="25"/>
    </row>
    <row r="417" spans="1:14">
      <c r="A417" s="3" t="s">
        <v>792</v>
      </c>
      <c r="B417" s="4" t="s">
        <v>793</v>
      </c>
      <c r="C417" s="5">
        <f t="shared" si="20"/>
        <v>0</v>
      </c>
      <c r="D417" s="5"/>
      <c r="E417" s="6">
        <f t="shared" si="18"/>
        <v>0</v>
      </c>
      <c r="F417" s="6">
        <f t="shared" si="19"/>
        <v>0</v>
      </c>
      <c r="G417" s="62"/>
      <c r="H417" s="62"/>
      <c r="I417" s="60"/>
      <c r="J417" s="60"/>
      <c r="K417" s="64"/>
      <c r="L417" s="64"/>
      <c r="M417" s="25"/>
      <c r="N417" s="25"/>
    </row>
    <row r="418" spans="1:14">
      <c r="A418" s="3" t="s">
        <v>794</v>
      </c>
      <c r="B418" s="4" t="s">
        <v>795</v>
      </c>
      <c r="C418" s="5">
        <f t="shared" si="20"/>
        <v>0</v>
      </c>
      <c r="D418" s="5"/>
      <c r="E418" s="6">
        <f t="shared" si="18"/>
        <v>0</v>
      </c>
      <c r="F418" s="6">
        <f t="shared" si="19"/>
        <v>0</v>
      </c>
      <c r="G418" s="62"/>
      <c r="H418" s="62"/>
      <c r="I418" s="60"/>
      <c r="J418" s="60"/>
      <c r="K418" s="64"/>
      <c r="L418" s="64"/>
      <c r="M418" s="25"/>
      <c r="N418" s="25"/>
    </row>
    <row r="419" spans="1:14">
      <c r="A419" s="3" t="s">
        <v>796</v>
      </c>
      <c r="B419" s="4" t="s">
        <v>797</v>
      </c>
      <c r="C419" s="5">
        <f t="shared" si="20"/>
        <v>0</v>
      </c>
      <c r="D419" s="5"/>
      <c r="E419" s="6">
        <f t="shared" si="18"/>
        <v>0</v>
      </c>
      <c r="F419" s="6">
        <f t="shared" si="19"/>
        <v>0</v>
      </c>
      <c r="G419" s="62"/>
      <c r="H419" s="62"/>
      <c r="I419" s="60"/>
      <c r="J419" s="60"/>
      <c r="K419" s="64"/>
      <c r="L419" s="64"/>
      <c r="M419" s="25"/>
      <c r="N419" s="25"/>
    </row>
    <row r="420" spans="1:14">
      <c r="A420" s="3" t="s">
        <v>798</v>
      </c>
      <c r="B420" s="4" t="s">
        <v>799</v>
      </c>
      <c r="C420" s="5">
        <f t="shared" si="20"/>
        <v>0</v>
      </c>
      <c r="D420" s="5"/>
      <c r="E420" s="6">
        <f t="shared" si="18"/>
        <v>0</v>
      </c>
      <c r="F420" s="6">
        <f t="shared" si="19"/>
        <v>0</v>
      </c>
      <c r="G420" s="62"/>
      <c r="H420" s="62"/>
      <c r="I420" s="60"/>
      <c r="J420" s="60"/>
      <c r="K420" s="64"/>
      <c r="L420" s="64"/>
      <c r="M420" s="25"/>
      <c r="N420" s="25"/>
    </row>
    <row r="421" spans="1:14">
      <c r="A421" s="3" t="s">
        <v>800</v>
      </c>
      <c r="B421" s="4" t="s">
        <v>801</v>
      </c>
      <c r="C421" s="5">
        <f t="shared" si="20"/>
        <v>0</v>
      </c>
      <c r="D421" s="5"/>
      <c r="E421" s="6">
        <f t="shared" si="18"/>
        <v>0</v>
      </c>
      <c r="F421" s="6">
        <f t="shared" si="19"/>
        <v>0</v>
      </c>
      <c r="G421" s="62"/>
      <c r="H421" s="62"/>
      <c r="I421" s="60"/>
      <c r="J421" s="60"/>
      <c r="K421" s="64"/>
      <c r="L421" s="64"/>
      <c r="M421" s="25"/>
      <c r="N421" s="25"/>
    </row>
    <row r="422" spans="1:14">
      <c r="A422" s="3" t="s">
        <v>802</v>
      </c>
      <c r="B422" s="4" t="s">
        <v>803</v>
      </c>
      <c r="C422" s="5">
        <f t="shared" si="20"/>
        <v>0</v>
      </c>
      <c r="D422" s="5"/>
      <c r="E422" s="6">
        <f t="shared" si="18"/>
        <v>0</v>
      </c>
      <c r="F422" s="6">
        <f t="shared" si="19"/>
        <v>0</v>
      </c>
      <c r="G422" s="62"/>
      <c r="H422" s="62"/>
      <c r="I422" s="60"/>
      <c r="J422" s="60"/>
      <c r="K422" s="64"/>
      <c r="L422" s="64"/>
      <c r="M422" s="25"/>
      <c r="N422" s="25"/>
    </row>
    <row r="423" spans="1:14">
      <c r="A423" s="3" t="s">
        <v>804</v>
      </c>
      <c r="B423" s="4" t="s">
        <v>805</v>
      </c>
      <c r="C423" s="5">
        <f t="shared" si="20"/>
        <v>0</v>
      </c>
      <c r="D423" s="5"/>
      <c r="E423" s="6">
        <f t="shared" si="18"/>
        <v>0</v>
      </c>
      <c r="F423" s="6">
        <f t="shared" si="19"/>
        <v>0</v>
      </c>
      <c r="G423" s="62"/>
      <c r="H423" s="62"/>
      <c r="I423" s="60"/>
      <c r="J423" s="60"/>
      <c r="K423" s="64"/>
      <c r="L423" s="64"/>
      <c r="M423" s="25"/>
      <c r="N423" s="25"/>
    </row>
    <row r="424" spans="1:14">
      <c r="A424" s="3" t="s">
        <v>806</v>
      </c>
      <c r="B424" s="4" t="s">
        <v>807</v>
      </c>
      <c r="C424" s="5">
        <f t="shared" si="20"/>
        <v>0</v>
      </c>
      <c r="D424" s="5"/>
      <c r="E424" s="6">
        <f t="shared" si="18"/>
        <v>0</v>
      </c>
      <c r="F424" s="6">
        <f t="shared" si="19"/>
        <v>0</v>
      </c>
      <c r="G424" s="62"/>
      <c r="H424" s="62"/>
      <c r="I424" s="60"/>
      <c r="J424" s="60"/>
      <c r="K424" s="64"/>
      <c r="L424" s="64"/>
      <c r="M424" s="25"/>
      <c r="N424" s="25"/>
    </row>
    <row r="425" spans="1:14">
      <c r="A425" s="3" t="s">
        <v>808</v>
      </c>
      <c r="B425" s="4" t="s">
        <v>809</v>
      </c>
      <c r="C425" s="5">
        <f t="shared" si="20"/>
        <v>0</v>
      </c>
      <c r="D425" s="5"/>
      <c r="E425" s="6">
        <f t="shared" si="18"/>
        <v>0</v>
      </c>
      <c r="F425" s="6">
        <f t="shared" si="19"/>
        <v>0</v>
      </c>
      <c r="G425" s="62"/>
      <c r="H425" s="62"/>
      <c r="I425" s="60"/>
      <c r="J425" s="60"/>
      <c r="K425" s="64"/>
      <c r="L425" s="64"/>
      <c r="M425" s="25"/>
      <c r="N425" s="25"/>
    </row>
    <row r="426" spans="1:14">
      <c r="A426" s="3" t="s">
        <v>810</v>
      </c>
      <c r="B426" s="4" t="s">
        <v>811</v>
      </c>
      <c r="C426" s="5">
        <f t="shared" si="20"/>
        <v>0</v>
      </c>
      <c r="D426" s="5"/>
      <c r="E426" s="6">
        <f t="shared" si="18"/>
        <v>0</v>
      </c>
      <c r="F426" s="6">
        <f t="shared" si="19"/>
        <v>0</v>
      </c>
      <c r="G426" s="62"/>
      <c r="H426" s="62"/>
      <c r="I426" s="60"/>
      <c r="J426" s="60"/>
      <c r="K426" s="64"/>
      <c r="L426" s="64"/>
      <c r="M426" s="25"/>
      <c r="N426" s="25"/>
    </row>
    <row r="427" spans="1:14">
      <c r="A427" s="3" t="s">
        <v>812</v>
      </c>
      <c r="B427" s="4" t="s">
        <v>813</v>
      </c>
      <c r="C427" s="5">
        <f t="shared" si="20"/>
        <v>0</v>
      </c>
      <c r="D427" s="5"/>
      <c r="E427" s="6">
        <f t="shared" si="18"/>
        <v>0</v>
      </c>
      <c r="F427" s="6">
        <f t="shared" si="19"/>
        <v>0</v>
      </c>
      <c r="G427" s="62"/>
      <c r="H427" s="62"/>
      <c r="I427" s="60"/>
      <c r="J427" s="60"/>
      <c r="K427" s="64"/>
      <c r="L427" s="64"/>
      <c r="M427" s="25"/>
      <c r="N427" s="25"/>
    </row>
    <row r="428" spans="1:14">
      <c r="A428" s="3" t="s">
        <v>814</v>
      </c>
      <c r="B428" s="4" t="s">
        <v>815</v>
      </c>
      <c r="C428" s="5">
        <f t="shared" si="20"/>
        <v>0</v>
      </c>
      <c r="D428" s="5"/>
      <c r="E428" s="6">
        <f t="shared" si="18"/>
        <v>0</v>
      </c>
      <c r="F428" s="6">
        <f t="shared" si="19"/>
        <v>0</v>
      </c>
      <c r="G428" s="62"/>
      <c r="H428" s="62"/>
      <c r="I428" s="60"/>
      <c r="J428" s="60"/>
      <c r="K428" s="64"/>
      <c r="L428" s="64"/>
      <c r="M428" s="25"/>
      <c r="N428" s="25"/>
    </row>
    <row r="429" spans="1:14">
      <c r="A429" s="3" t="s">
        <v>816</v>
      </c>
      <c r="B429" s="4" t="s">
        <v>817</v>
      </c>
      <c r="C429" s="5">
        <f t="shared" si="20"/>
        <v>0</v>
      </c>
      <c r="D429" s="5"/>
      <c r="E429" s="6">
        <f t="shared" si="18"/>
        <v>0</v>
      </c>
      <c r="F429" s="6">
        <f t="shared" si="19"/>
        <v>0</v>
      </c>
      <c r="G429" s="62"/>
      <c r="H429" s="62"/>
      <c r="I429" s="60"/>
      <c r="J429" s="60"/>
      <c r="K429" s="64"/>
      <c r="L429" s="64"/>
      <c r="M429" s="25"/>
      <c r="N429" s="25"/>
    </row>
    <row r="430" spans="1:14">
      <c r="A430" s="3" t="s">
        <v>818</v>
      </c>
      <c r="B430" s="4" t="s">
        <v>819</v>
      </c>
      <c r="C430" s="5">
        <f t="shared" si="20"/>
        <v>0</v>
      </c>
      <c r="D430" s="5"/>
      <c r="E430" s="6">
        <f t="shared" si="18"/>
        <v>0</v>
      </c>
      <c r="F430" s="6">
        <f t="shared" si="19"/>
        <v>0</v>
      </c>
      <c r="G430" s="62"/>
      <c r="H430" s="62"/>
      <c r="I430" s="60"/>
      <c r="J430" s="60"/>
      <c r="K430" s="64"/>
      <c r="L430" s="64"/>
      <c r="M430" s="25"/>
      <c r="N430" s="25"/>
    </row>
    <row r="431" spans="1:14">
      <c r="A431" s="3" t="s">
        <v>820</v>
      </c>
      <c r="B431" s="4" t="s">
        <v>821</v>
      </c>
      <c r="C431" s="5">
        <f t="shared" si="20"/>
        <v>0</v>
      </c>
      <c r="D431" s="5"/>
      <c r="E431" s="6">
        <f t="shared" si="18"/>
        <v>0</v>
      </c>
      <c r="F431" s="6">
        <f t="shared" si="19"/>
        <v>0</v>
      </c>
      <c r="G431" s="62"/>
      <c r="H431" s="62"/>
      <c r="I431" s="60"/>
      <c r="J431" s="60"/>
      <c r="K431" s="64"/>
      <c r="L431" s="64"/>
      <c r="M431" s="25"/>
      <c r="N431" s="25"/>
    </row>
    <row r="432" spans="1:14">
      <c r="A432" s="3" t="s">
        <v>822</v>
      </c>
      <c r="B432" s="4" t="s">
        <v>823</v>
      </c>
      <c r="C432" s="5">
        <f t="shared" si="20"/>
        <v>0</v>
      </c>
      <c r="D432" s="5"/>
      <c r="E432" s="6">
        <f t="shared" si="18"/>
        <v>0</v>
      </c>
      <c r="F432" s="6">
        <f t="shared" si="19"/>
        <v>0</v>
      </c>
      <c r="G432" s="62"/>
      <c r="H432" s="62"/>
      <c r="I432" s="60"/>
      <c r="J432" s="60"/>
      <c r="K432" s="64"/>
      <c r="L432" s="64"/>
      <c r="M432" s="25"/>
      <c r="N432" s="25"/>
    </row>
    <row r="433" spans="1:14">
      <c r="A433" s="3" t="s">
        <v>824</v>
      </c>
      <c r="B433" s="4" t="s">
        <v>825</v>
      </c>
      <c r="C433" s="5">
        <f t="shared" si="20"/>
        <v>0</v>
      </c>
      <c r="D433" s="5"/>
      <c r="E433" s="6">
        <f t="shared" si="18"/>
        <v>0</v>
      </c>
      <c r="F433" s="6">
        <f t="shared" si="19"/>
        <v>0</v>
      </c>
      <c r="G433" s="62"/>
      <c r="H433" s="62"/>
      <c r="I433" s="60"/>
      <c r="J433" s="60"/>
      <c r="K433" s="64"/>
      <c r="L433" s="64"/>
      <c r="M433" s="25"/>
      <c r="N433" s="25"/>
    </row>
    <row r="434" spans="1:14">
      <c r="A434" s="3" t="s">
        <v>826</v>
      </c>
      <c r="B434" s="4" t="s">
        <v>827</v>
      </c>
      <c r="C434" s="5">
        <f t="shared" si="20"/>
        <v>0</v>
      </c>
      <c r="D434" s="5"/>
      <c r="E434" s="6">
        <f t="shared" si="18"/>
        <v>0</v>
      </c>
      <c r="F434" s="6">
        <f t="shared" si="19"/>
        <v>0</v>
      </c>
      <c r="G434" s="62"/>
      <c r="H434" s="62"/>
      <c r="I434" s="60"/>
      <c r="J434" s="60"/>
      <c r="K434" s="64"/>
      <c r="L434" s="64"/>
      <c r="M434" s="25"/>
      <c r="N434" s="25"/>
    </row>
    <row r="435" spans="1:14">
      <c r="A435" s="3" t="s">
        <v>828</v>
      </c>
      <c r="B435" s="4" t="s">
        <v>829</v>
      </c>
      <c r="C435" s="5">
        <f t="shared" si="20"/>
        <v>0</v>
      </c>
      <c r="D435" s="5"/>
      <c r="E435" s="6">
        <f t="shared" si="18"/>
        <v>0</v>
      </c>
      <c r="F435" s="6">
        <f t="shared" si="19"/>
        <v>0</v>
      </c>
      <c r="G435" s="62"/>
      <c r="H435" s="62"/>
      <c r="I435" s="60"/>
      <c r="J435" s="60"/>
      <c r="K435" s="64"/>
      <c r="L435" s="64"/>
      <c r="M435" s="25"/>
      <c r="N435" s="25"/>
    </row>
    <row r="436" spans="1:14">
      <c r="A436" s="3" t="s">
        <v>830</v>
      </c>
      <c r="B436" s="4" t="s">
        <v>831</v>
      </c>
      <c r="C436" s="5">
        <f t="shared" si="20"/>
        <v>0</v>
      </c>
      <c r="D436" s="5"/>
      <c r="E436" s="6">
        <f t="shared" si="18"/>
        <v>0</v>
      </c>
      <c r="F436" s="6">
        <f t="shared" si="19"/>
        <v>0</v>
      </c>
      <c r="G436" s="62"/>
      <c r="H436" s="62"/>
      <c r="I436" s="60"/>
      <c r="J436" s="60"/>
      <c r="K436" s="64"/>
      <c r="L436" s="64"/>
      <c r="M436" s="25"/>
      <c r="N436" s="25"/>
    </row>
    <row r="437" spans="1:14">
      <c r="A437" s="3" t="s">
        <v>832</v>
      </c>
      <c r="B437" s="4" t="s">
        <v>833</v>
      </c>
      <c r="C437" s="5">
        <f t="shared" si="20"/>
        <v>0</v>
      </c>
      <c r="D437" s="5"/>
      <c r="E437" s="6">
        <f t="shared" si="18"/>
        <v>0</v>
      </c>
      <c r="F437" s="6">
        <f t="shared" si="19"/>
        <v>0</v>
      </c>
      <c r="G437" s="62"/>
      <c r="H437" s="62"/>
      <c r="I437" s="60"/>
      <c r="J437" s="60"/>
      <c r="K437" s="64"/>
      <c r="L437" s="64"/>
      <c r="M437" s="25"/>
      <c r="N437" s="25"/>
    </row>
    <row r="438" spans="1:14">
      <c r="A438" s="3" t="s">
        <v>834</v>
      </c>
      <c r="B438" s="4" t="s">
        <v>835</v>
      </c>
      <c r="C438" s="5">
        <f t="shared" si="20"/>
        <v>0</v>
      </c>
      <c r="D438" s="5"/>
      <c r="E438" s="6">
        <f t="shared" si="18"/>
        <v>0</v>
      </c>
      <c r="F438" s="6">
        <f t="shared" si="19"/>
        <v>0</v>
      </c>
      <c r="G438" s="62"/>
      <c r="H438" s="62"/>
      <c r="I438" s="60"/>
      <c r="J438" s="60"/>
      <c r="K438" s="64"/>
      <c r="L438" s="64"/>
      <c r="M438" s="25"/>
      <c r="N438" s="25"/>
    </row>
    <row r="439" spans="1:14">
      <c r="A439" s="3" t="s">
        <v>836</v>
      </c>
      <c r="B439" s="4" t="s">
        <v>837</v>
      </c>
      <c r="C439" s="5">
        <f t="shared" si="20"/>
        <v>0</v>
      </c>
      <c r="D439" s="5"/>
      <c r="E439" s="6">
        <f t="shared" si="18"/>
        <v>0</v>
      </c>
      <c r="F439" s="6">
        <f t="shared" si="19"/>
        <v>0</v>
      </c>
      <c r="G439" s="62"/>
      <c r="H439" s="62"/>
      <c r="I439" s="60"/>
      <c r="J439" s="60"/>
      <c r="K439" s="64"/>
      <c r="L439" s="64"/>
      <c r="M439" s="25"/>
      <c r="N439" s="25"/>
    </row>
    <row r="440" spans="1:14">
      <c r="A440" s="3" t="s">
        <v>838</v>
      </c>
      <c r="B440" s="4" t="s">
        <v>839</v>
      </c>
      <c r="C440" s="5">
        <f t="shared" si="20"/>
        <v>0</v>
      </c>
      <c r="D440" s="5"/>
      <c r="E440" s="6">
        <f t="shared" si="18"/>
        <v>0</v>
      </c>
      <c r="F440" s="6">
        <f t="shared" si="19"/>
        <v>0</v>
      </c>
      <c r="G440" s="62"/>
      <c r="H440" s="62"/>
      <c r="I440" s="60"/>
      <c r="J440" s="60"/>
      <c r="K440" s="64"/>
      <c r="L440" s="64"/>
      <c r="M440" s="25"/>
      <c r="N440" s="25"/>
    </row>
    <row r="441" spans="1:14">
      <c r="A441" s="3" t="s">
        <v>840</v>
      </c>
      <c r="B441" s="4" t="s">
        <v>841</v>
      </c>
      <c r="C441" s="5">
        <f t="shared" si="20"/>
        <v>0</v>
      </c>
      <c r="D441" s="5"/>
      <c r="E441" s="6">
        <f t="shared" si="18"/>
        <v>0</v>
      </c>
      <c r="F441" s="6">
        <f t="shared" si="19"/>
        <v>0</v>
      </c>
      <c r="G441" s="62"/>
      <c r="H441" s="62"/>
      <c r="I441" s="60"/>
      <c r="J441" s="60"/>
      <c r="K441" s="64"/>
      <c r="L441" s="64"/>
      <c r="M441" s="25"/>
      <c r="N441" s="25"/>
    </row>
    <row r="442" spans="1:14">
      <c r="A442" s="3" t="s">
        <v>842</v>
      </c>
      <c r="B442" s="4" t="s">
        <v>843</v>
      </c>
      <c r="C442" s="5">
        <f t="shared" si="20"/>
        <v>0</v>
      </c>
      <c r="D442" s="5"/>
      <c r="E442" s="6">
        <f t="shared" si="18"/>
        <v>0</v>
      </c>
      <c r="F442" s="6">
        <f t="shared" si="19"/>
        <v>0</v>
      </c>
      <c r="G442" s="62"/>
      <c r="H442" s="62"/>
      <c r="I442" s="60"/>
      <c r="J442" s="60"/>
      <c r="K442" s="64"/>
      <c r="L442" s="64"/>
      <c r="M442" s="25"/>
      <c r="N442" s="25"/>
    </row>
    <row r="443" spans="1:14">
      <c r="A443" s="3" t="s">
        <v>844</v>
      </c>
      <c r="B443" s="4" t="s">
        <v>845</v>
      </c>
      <c r="C443" s="5">
        <f t="shared" si="20"/>
        <v>0</v>
      </c>
      <c r="D443" s="5"/>
      <c r="E443" s="6">
        <f t="shared" si="18"/>
        <v>0</v>
      </c>
      <c r="F443" s="6">
        <f t="shared" si="19"/>
        <v>0</v>
      </c>
      <c r="G443" s="62"/>
      <c r="H443" s="62"/>
      <c r="I443" s="60"/>
      <c r="J443" s="60"/>
      <c r="K443" s="64"/>
      <c r="L443" s="64"/>
      <c r="M443" s="25"/>
      <c r="N443" s="25"/>
    </row>
    <row r="444" spans="1:14">
      <c r="A444" s="3" t="s">
        <v>846</v>
      </c>
      <c r="B444" s="4" t="s">
        <v>847</v>
      </c>
      <c r="C444" s="5">
        <f t="shared" si="20"/>
        <v>0</v>
      </c>
      <c r="D444" s="5"/>
      <c r="E444" s="6">
        <f t="shared" si="18"/>
        <v>0</v>
      </c>
      <c r="F444" s="6">
        <f t="shared" si="19"/>
        <v>0</v>
      </c>
      <c r="G444" s="62"/>
      <c r="H444" s="62"/>
      <c r="I444" s="60"/>
      <c r="J444" s="60"/>
      <c r="K444" s="64"/>
      <c r="L444" s="64"/>
      <c r="M444" s="25"/>
      <c r="N444" s="25"/>
    </row>
    <row r="445" spans="1:14">
      <c r="A445" s="3" t="s">
        <v>848</v>
      </c>
      <c r="B445" s="4" t="s">
        <v>849</v>
      </c>
      <c r="C445" s="5">
        <f t="shared" si="20"/>
        <v>0</v>
      </c>
      <c r="D445" s="5"/>
      <c r="E445" s="6">
        <f t="shared" si="18"/>
        <v>0</v>
      </c>
      <c r="F445" s="6">
        <f t="shared" si="19"/>
        <v>0</v>
      </c>
      <c r="G445" s="62"/>
      <c r="H445" s="62"/>
      <c r="I445" s="60"/>
      <c r="J445" s="60"/>
      <c r="K445" s="64"/>
      <c r="L445" s="64"/>
      <c r="M445" s="25"/>
      <c r="N445" s="25"/>
    </row>
    <row r="446" spans="1:14">
      <c r="A446" s="3" t="s">
        <v>850</v>
      </c>
      <c r="B446" s="4" t="s">
        <v>851</v>
      </c>
      <c r="C446" s="5">
        <f t="shared" si="20"/>
        <v>0</v>
      </c>
      <c r="D446" s="5"/>
      <c r="E446" s="6">
        <f t="shared" si="18"/>
        <v>0</v>
      </c>
      <c r="F446" s="6">
        <f t="shared" si="19"/>
        <v>0</v>
      </c>
      <c r="G446" s="62"/>
      <c r="H446" s="62"/>
      <c r="I446" s="60"/>
      <c r="J446" s="60"/>
      <c r="K446" s="64"/>
      <c r="L446" s="64"/>
      <c r="M446" s="25"/>
      <c r="N446" s="25"/>
    </row>
    <row r="447" spans="1:14">
      <c r="A447" s="3" t="s">
        <v>852</v>
      </c>
      <c r="B447" s="4" t="s">
        <v>853</v>
      </c>
      <c r="C447" s="5">
        <f t="shared" si="20"/>
        <v>0</v>
      </c>
      <c r="D447" s="5"/>
      <c r="E447" s="6">
        <f t="shared" si="18"/>
        <v>0</v>
      </c>
      <c r="F447" s="6">
        <f t="shared" si="19"/>
        <v>0</v>
      </c>
      <c r="G447" s="62"/>
      <c r="H447" s="62"/>
      <c r="I447" s="60"/>
      <c r="J447" s="60"/>
      <c r="K447" s="64"/>
      <c r="L447" s="64"/>
      <c r="M447" s="25"/>
      <c r="N447" s="25"/>
    </row>
    <row r="448" spans="1:14">
      <c r="A448" s="3" t="s">
        <v>854</v>
      </c>
      <c r="B448" s="4">
        <v>954</v>
      </c>
      <c r="C448" s="5">
        <f t="shared" si="20"/>
        <v>0</v>
      </c>
      <c r="D448" s="5"/>
      <c r="E448" s="6">
        <f t="shared" si="18"/>
        <v>0</v>
      </c>
      <c r="F448" s="6">
        <f t="shared" si="19"/>
        <v>0</v>
      </c>
      <c r="G448" s="62"/>
      <c r="H448" s="62"/>
      <c r="I448" s="60"/>
      <c r="J448" s="60"/>
      <c r="K448" s="64"/>
      <c r="L448" s="64"/>
      <c r="M448" s="25"/>
      <c r="N448" s="25"/>
    </row>
    <row r="449" spans="1:14">
      <c r="A449" s="3" t="s">
        <v>855</v>
      </c>
      <c r="B449" s="4">
        <v>955</v>
      </c>
      <c r="C449" s="5">
        <f t="shared" si="20"/>
        <v>0</v>
      </c>
      <c r="D449" s="5"/>
      <c r="E449" s="6">
        <f t="shared" si="18"/>
        <v>0</v>
      </c>
      <c r="F449" s="6">
        <f t="shared" si="19"/>
        <v>0</v>
      </c>
      <c r="G449" s="62"/>
      <c r="H449" s="62"/>
      <c r="I449" s="60"/>
      <c r="J449" s="60"/>
      <c r="K449" s="64"/>
      <c r="L449" s="64"/>
      <c r="M449" s="25"/>
      <c r="N449" s="25"/>
    </row>
    <row r="450" spans="1:14">
      <c r="A450" s="3" t="s">
        <v>856</v>
      </c>
      <c r="B450" s="4" t="s">
        <v>857</v>
      </c>
      <c r="C450" s="5">
        <f t="shared" si="20"/>
        <v>0</v>
      </c>
      <c r="D450" s="5"/>
      <c r="E450" s="6">
        <f t="shared" si="18"/>
        <v>0</v>
      </c>
      <c r="F450" s="6">
        <f t="shared" si="19"/>
        <v>0</v>
      </c>
      <c r="G450" s="62"/>
      <c r="H450" s="62"/>
      <c r="I450" s="60"/>
      <c r="J450" s="60"/>
      <c r="K450" s="64"/>
      <c r="L450" s="64"/>
      <c r="M450" s="25"/>
      <c r="N450" s="25"/>
    </row>
    <row r="451" spans="1:14">
      <c r="A451" s="3" t="s">
        <v>858</v>
      </c>
      <c r="B451" s="4" t="s">
        <v>859</v>
      </c>
      <c r="C451" s="5">
        <f t="shared" si="20"/>
        <v>0</v>
      </c>
      <c r="D451" s="5"/>
      <c r="E451" s="6">
        <f t="shared" si="18"/>
        <v>0</v>
      </c>
      <c r="F451" s="6">
        <f t="shared" si="19"/>
        <v>0</v>
      </c>
      <c r="G451" s="62"/>
      <c r="H451" s="62"/>
      <c r="I451" s="60"/>
      <c r="J451" s="60"/>
      <c r="K451" s="64"/>
      <c r="L451" s="64"/>
      <c r="M451" s="25"/>
      <c r="N451" s="25"/>
    </row>
    <row r="452" spans="1:14">
      <c r="A452" s="3" t="s">
        <v>860</v>
      </c>
      <c r="B452" s="4" t="s">
        <v>861</v>
      </c>
      <c r="C452" s="5">
        <f t="shared" si="20"/>
        <v>0</v>
      </c>
      <c r="D452" s="5"/>
      <c r="E452" s="6">
        <f t="shared" si="18"/>
        <v>0</v>
      </c>
      <c r="F452" s="6">
        <f t="shared" si="19"/>
        <v>0</v>
      </c>
      <c r="G452" s="62"/>
      <c r="H452" s="62"/>
      <c r="I452" s="60"/>
      <c r="J452" s="60"/>
      <c r="K452" s="64"/>
      <c r="L452" s="64"/>
      <c r="M452" s="25"/>
      <c r="N452" s="25"/>
    </row>
    <row r="453" spans="1:14">
      <c r="A453" s="3" t="s">
        <v>862</v>
      </c>
      <c r="B453" s="4" t="s">
        <v>863</v>
      </c>
      <c r="C453" s="5">
        <f t="shared" si="20"/>
        <v>0</v>
      </c>
      <c r="D453" s="5"/>
      <c r="E453" s="6">
        <f t="shared" si="18"/>
        <v>0</v>
      </c>
      <c r="F453" s="6">
        <f t="shared" si="19"/>
        <v>0</v>
      </c>
      <c r="G453" s="62"/>
      <c r="H453" s="62"/>
      <c r="I453" s="60"/>
      <c r="J453" s="60"/>
      <c r="K453" s="64"/>
      <c r="L453" s="64"/>
      <c r="M453" s="25"/>
      <c r="N453" s="25"/>
    </row>
    <row r="454" spans="1:14">
      <c r="A454" s="3" t="s">
        <v>864</v>
      </c>
      <c r="B454" s="4" t="s">
        <v>865</v>
      </c>
      <c r="C454" s="5">
        <f t="shared" si="20"/>
        <v>0</v>
      </c>
      <c r="D454" s="5"/>
      <c r="E454" s="6">
        <f t="shared" si="18"/>
        <v>0</v>
      </c>
      <c r="F454" s="6">
        <f t="shared" si="19"/>
        <v>0</v>
      </c>
      <c r="G454" s="62"/>
      <c r="H454" s="62"/>
      <c r="I454" s="60"/>
      <c r="J454" s="60"/>
      <c r="K454" s="64"/>
      <c r="L454" s="64"/>
      <c r="M454" s="25"/>
      <c r="N454" s="25"/>
    </row>
    <row r="455" spans="1:14">
      <c r="A455" s="3" t="s">
        <v>866</v>
      </c>
      <c r="B455" s="4" t="s">
        <v>867</v>
      </c>
      <c r="C455" s="5">
        <f t="shared" si="20"/>
        <v>0</v>
      </c>
      <c r="D455" s="5"/>
      <c r="E455" s="6">
        <f t="shared" si="18"/>
        <v>0</v>
      </c>
      <c r="F455" s="6">
        <f t="shared" si="19"/>
        <v>0</v>
      </c>
      <c r="G455" s="62"/>
      <c r="H455" s="62"/>
      <c r="I455" s="60"/>
      <c r="J455" s="60"/>
      <c r="K455" s="64"/>
      <c r="L455" s="64"/>
      <c r="M455" s="25"/>
      <c r="N455" s="25"/>
    </row>
    <row r="456" spans="1:14">
      <c r="A456" s="3" t="s">
        <v>868</v>
      </c>
      <c r="B456" s="4" t="s">
        <v>869</v>
      </c>
      <c r="C456" s="5">
        <f t="shared" si="20"/>
        <v>0</v>
      </c>
      <c r="D456" s="5"/>
      <c r="E456" s="6">
        <f t="shared" si="18"/>
        <v>0</v>
      </c>
      <c r="F456" s="6">
        <f t="shared" si="19"/>
        <v>0</v>
      </c>
      <c r="G456" s="62"/>
      <c r="H456" s="62"/>
      <c r="I456" s="60"/>
      <c r="J456" s="60"/>
      <c r="K456" s="64"/>
      <c r="L456" s="64"/>
      <c r="M456" s="25"/>
      <c r="N456" s="25"/>
    </row>
    <row r="457" spans="1:14">
      <c r="A457" s="3" t="s">
        <v>870</v>
      </c>
      <c r="B457" s="4" t="s">
        <v>871</v>
      </c>
      <c r="C457" s="5">
        <f t="shared" si="20"/>
        <v>0</v>
      </c>
      <c r="D457" s="5"/>
      <c r="E457" s="6">
        <f t="shared" si="18"/>
        <v>0</v>
      </c>
      <c r="F457" s="6">
        <f t="shared" si="19"/>
        <v>0</v>
      </c>
      <c r="G457" s="62"/>
      <c r="H457" s="62"/>
      <c r="I457" s="60"/>
      <c r="J457" s="60"/>
      <c r="K457" s="64"/>
      <c r="L457" s="64"/>
      <c r="M457" s="25"/>
      <c r="N457" s="25"/>
    </row>
    <row r="458" spans="1:14">
      <c r="A458" s="3" t="s">
        <v>872</v>
      </c>
      <c r="B458" s="4" t="s">
        <v>873</v>
      </c>
      <c r="C458" s="5">
        <f t="shared" si="20"/>
        <v>0</v>
      </c>
      <c r="D458" s="5"/>
      <c r="E458" s="6">
        <f t="shared" si="18"/>
        <v>0</v>
      </c>
      <c r="F458" s="6">
        <f t="shared" si="19"/>
        <v>0</v>
      </c>
      <c r="G458" s="62"/>
      <c r="H458" s="62"/>
      <c r="I458" s="60"/>
      <c r="J458" s="60"/>
      <c r="K458" s="64"/>
      <c r="L458" s="64"/>
      <c r="M458" s="25"/>
      <c r="N458" s="25"/>
    </row>
    <row r="459" spans="1:14" s="67" customFormat="1" ht="15">
      <c r="A459" s="3" t="s">
        <v>874</v>
      </c>
      <c r="B459" s="4" t="s">
        <v>875</v>
      </c>
      <c r="C459" s="5">
        <f t="shared" si="20"/>
        <v>0</v>
      </c>
      <c r="D459" s="5"/>
      <c r="E459" s="6">
        <f t="shared" si="18"/>
        <v>0</v>
      </c>
      <c r="F459" s="6">
        <f t="shared" si="19"/>
        <v>0</v>
      </c>
      <c r="G459" s="62"/>
      <c r="H459" s="62"/>
      <c r="I459" s="60"/>
      <c r="J459" s="60"/>
      <c r="K459" s="64"/>
      <c r="L459" s="64"/>
      <c r="M459" s="25"/>
      <c r="N459" s="25"/>
    </row>
    <row r="460" spans="1:14">
      <c r="A460" s="3" t="s">
        <v>876</v>
      </c>
      <c r="B460" s="4" t="s">
        <v>877</v>
      </c>
      <c r="C460" s="5">
        <f t="shared" si="20"/>
        <v>0</v>
      </c>
      <c r="D460" s="5"/>
      <c r="E460" s="6">
        <f t="shared" si="18"/>
        <v>0</v>
      </c>
      <c r="F460" s="6">
        <f t="shared" si="19"/>
        <v>0</v>
      </c>
      <c r="G460" s="62"/>
      <c r="H460" s="62"/>
      <c r="I460" s="60"/>
      <c r="J460" s="60"/>
      <c r="K460" s="64"/>
      <c r="L460" s="64"/>
      <c r="M460" s="25"/>
      <c r="N460" s="25"/>
    </row>
    <row r="461" spans="1:14" s="1" customFormat="1">
      <c r="A461" s="3" t="s">
        <v>878</v>
      </c>
      <c r="B461" s="4" t="s">
        <v>879</v>
      </c>
      <c r="C461" s="5">
        <f t="shared" si="20"/>
        <v>0</v>
      </c>
      <c r="D461" s="5"/>
      <c r="E461" s="6">
        <f t="shared" si="18"/>
        <v>0</v>
      </c>
      <c r="F461" s="6">
        <f t="shared" si="19"/>
        <v>0</v>
      </c>
      <c r="G461" s="62"/>
      <c r="H461" s="62"/>
      <c r="I461" s="60"/>
      <c r="J461" s="60"/>
      <c r="K461" s="64"/>
      <c r="L461" s="64"/>
      <c r="M461" s="25"/>
      <c r="N461" s="25"/>
    </row>
    <row r="462" spans="1:14" ht="17.25">
      <c r="A462" s="13" t="s">
        <v>880</v>
      </c>
      <c r="B462" s="14"/>
      <c r="C462" s="15">
        <f>SUM(C13:C461)</f>
        <v>-4217901.0499999989</v>
      </c>
      <c r="D462" s="15">
        <f>SUM(D13:D461)</f>
        <v>-4217901.0500000007</v>
      </c>
      <c r="E462" s="16">
        <f>SUM(E13:E461)</f>
        <v>26966674.25</v>
      </c>
      <c r="F462" s="16">
        <f>SUM(F13:F461)</f>
        <v>26966674.25</v>
      </c>
      <c r="G462" s="71">
        <f>SUM(G13:G461)</f>
        <v>12153219.470000001</v>
      </c>
      <c r="H462" s="71">
        <f t="shared" ref="H462:N462" si="21">SUM(H13:H461)</f>
        <v>12153219.470000001</v>
      </c>
      <c r="I462" s="72">
        <f t="shared" si="21"/>
        <v>3222275.2800000003</v>
      </c>
      <c r="J462" s="72">
        <f t="shared" si="21"/>
        <v>3222275.28</v>
      </c>
      <c r="K462" s="73">
        <f t="shared" si="21"/>
        <v>11323594.9</v>
      </c>
      <c r="L462" s="73">
        <f t="shared" si="21"/>
        <v>11323594.9</v>
      </c>
      <c r="M462" s="74">
        <f t="shared" si="21"/>
        <v>267584.59999999998</v>
      </c>
      <c r="N462" s="74">
        <f t="shared" si="21"/>
        <v>267584.60000000003</v>
      </c>
    </row>
    <row r="463" spans="1:14" hidden="1">
      <c r="A463" s="17" t="s">
        <v>881</v>
      </c>
      <c r="B463" s="18"/>
    </row>
    <row r="464" spans="1:14" hidden="1">
      <c r="A464" s="20" t="s">
        <v>882</v>
      </c>
      <c r="B464" s="21"/>
    </row>
    <row r="465" spans="1:14" hidden="1">
      <c r="A465" s="20" t="s">
        <v>883</v>
      </c>
      <c r="B465" s="21"/>
    </row>
    <row r="466" spans="1:14" hidden="1">
      <c r="A466" s="22" t="s">
        <v>884</v>
      </c>
      <c r="B466" s="21"/>
    </row>
    <row r="467" spans="1:14" hidden="1">
      <c r="A467" s="22" t="s">
        <v>885</v>
      </c>
      <c r="B467" s="21"/>
    </row>
    <row r="468" spans="1:14" hidden="1">
      <c r="A468" s="20" t="s">
        <v>886</v>
      </c>
      <c r="B468" s="21"/>
    </row>
    <row r="469" spans="1:14" hidden="1">
      <c r="A469" s="20" t="s">
        <v>887</v>
      </c>
      <c r="B469" s="21"/>
    </row>
    <row r="470" spans="1:14" hidden="1">
      <c r="A470" s="20" t="s">
        <v>888</v>
      </c>
      <c r="B470" s="21"/>
    </row>
    <row r="471" spans="1:14" hidden="1">
      <c r="A471" s="22" t="s">
        <v>889</v>
      </c>
      <c r="B471" s="21"/>
    </row>
    <row r="472" spans="1:14" hidden="1">
      <c r="A472" s="22" t="s">
        <v>890</v>
      </c>
      <c r="B472" s="21"/>
    </row>
    <row r="473" spans="1:14" hidden="1">
      <c r="A473" s="20" t="s">
        <v>891</v>
      </c>
      <c r="B473" s="21"/>
    </row>
    <row r="474" spans="1:14" hidden="1">
      <c r="A474" s="20" t="s">
        <v>892</v>
      </c>
      <c r="B474" s="21"/>
    </row>
    <row r="475" spans="1:14">
      <c r="A475" s="23"/>
      <c r="B475" s="24"/>
      <c r="D475" s="19">
        <f>D462-C462</f>
        <v>0</v>
      </c>
      <c r="F475" s="19">
        <f>F462-E462</f>
        <v>0</v>
      </c>
      <c r="H475" s="19">
        <f>H462-G462</f>
        <v>0</v>
      </c>
      <c r="J475" s="19">
        <f>J462-I462</f>
        <v>0</v>
      </c>
      <c r="L475" s="19">
        <f>L462-K462</f>
        <v>0</v>
      </c>
      <c r="N475" s="19">
        <f>N462-M462</f>
        <v>0</v>
      </c>
    </row>
    <row r="476" spans="1:14">
      <c r="A476" s="23"/>
      <c r="B476" s="24"/>
    </row>
    <row r="477" spans="1:14">
      <c r="A477" s="23"/>
      <c r="B477" s="24"/>
    </row>
    <row r="478" spans="1:14">
      <c r="A478" s="23"/>
      <c r="B478" s="75" t="s">
        <v>893</v>
      </c>
    </row>
    <row r="479" spans="1:14">
      <c r="A479" s="23"/>
      <c r="B479" s="24"/>
    </row>
    <row r="480" spans="1:14">
      <c r="A480" s="23"/>
      <c r="B480" s="24"/>
    </row>
    <row r="481" spans="1:2">
      <c r="A481" s="23"/>
      <c r="B481" s="24"/>
    </row>
    <row r="482" spans="1:2">
      <c r="A482" s="23"/>
      <c r="B482" s="24"/>
    </row>
    <row r="483" spans="1:2">
      <c r="A483" s="23"/>
      <c r="B483" s="24"/>
    </row>
  </sheetData>
  <mergeCells count="28">
    <mergeCell ref="M9:N10"/>
    <mergeCell ref="N11:N12"/>
    <mergeCell ref="M11:M12"/>
    <mergeCell ref="E9:F10"/>
    <mergeCell ref="I9:J10"/>
    <mergeCell ref="I11:I12"/>
    <mergeCell ref="J11:J12"/>
    <mergeCell ref="K9:L10"/>
    <mergeCell ref="L11:L12"/>
    <mergeCell ref="K11:K12"/>
    <mergeCell ref="G9:H10"/>
    <mergeCell ref="G11:G12"/>
    <mergeCell ref="H11:H12"/>
    <mergeCell ref="F11:F12"/>
    <mergeCell ref="A11:A12"/>
    <mergeCell ref="B11:B12"/>
    <mergeCell ref="C11:C12"/>
    <mergeCell ref="D11:D12"/>
    <mergeCell ref="E11:E12"/>
    <mergeCell ref="A7:D7"/>
    <mergeCell ref="A8:D8"/>
    <mergeCell ref="C10:D10"/>
    <mergeCell ref="A1:D1"/>
    <mergeCell ref="A2:D2"/>
    <mergeCell ref="A3:D3"/>
    <mergeCell ref="A4:D4"/>
    <mergeCell ref="A5:D5"/>
    <mergeCell ref="A6:D6"/>
  </mergeCells>
  <printOptions horizontalCentered="1"/>
  <pageMargins left="1" right="1" top="1" bottom="1" header="0.5" footer="0.5"/>
  <pageSetup paperSize="149" scale="8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B050"/>
  </sheetPr>
  <dimension ref="A1:N483"/>
  <sheetViews>
    <sheetView topLeftCell="A4" workbookViewId="0">
      <selection activeCell="M20" sqref="M20"/>
    </sheetView>
  </sheetViews>
  <sheetFormatPr defaultRowHeight="14.25"/>
  <cols>
    <col min="1" max="1" width="49.7109375" style="19" customWidth="1"/>
    <col min="2" max="2" width="9.7109375" style="69" customWidth="1"/>
    <col min="3" max="6" width="18.7109375" style="19" customWidth="1"/>
    <col min="7" max="7" width="20" style="19" customWidth="1"/>
    <col min="8" max="8" width="18.7109375" style="19" customWidth="1"/>
    <col min="9" max="9" width="20.28515625" style="19" bestFit="1" customWidth="1"/>
    <col min="10" max="10" width="18.7109375" style="19" customWidth="1"/>
    <col min="11" max="11" width="20" style="19" customWidth="1"/>
    <col min="12" max="12" width="18.7109375" style="19" customWidth="1"/>
    <col min="13" max="13" width="20.28515625" style="19" bestFit="1" customWidth="1"/>
    <col min="14" max="14" width="18.7109375" style="19" customWidth="1"/>
    <col min="15" max="16384" width="9.140625" style="19"/>
  </cols>
  <sheetData>
    <row r="1" spans="1:14">
      <c r="A1" s="238" t="s">
        <v>0</v>
      </c>
      <c r="B1" s="238"/>
      <c r="C1" s="238"/>
      <c r="D1" s="238"/>
    </row>
    <row r="2" spans="1:14">
      <c r="A2" s="238" t="s">
        <v>1</v>
      </c>
      <c r="B2" s="238"/>
      <c r="C2" s="238"/>
      <c r="D2" s="238"/>
    </row>
    <row r="3" spans="1:14">
      <c r="A3" s="238" t="s">
        <v>2</v>
      </c>
      <c r="B3" s="238"/>
      <c r="C3" s="238"/>
      <c r="D3" s="238"/>
    </row>
    <row r="4" spans="1:14">
      <c r="A4" s="238"/>
      <c r="B4" s="238"/>
      <c r="C4" s="238"/>
      <c r="D4" s="238"/>
    </row>
    <row r="5" spans="1:14" ht="15">
      <c r="A5" s="238" t="s">
        <v>3</v>
      </c>
      <c r="B5" s="239"/>
      <c r="C5" s="238"/>
      <c r="D5" s="238"/>
    </row>
    <row r="6" spans="1:14" ht="15">
      <c r="A6" s="238" t="s">
        <v>4</v>
      </c>
      <c r="B6" s="239"/>
      <c r="C6" s="238"/>
      <c r="D6" s="238"/>
    </row>
    <row r="7" spans="1:14">
      <c r="A7" s="238" t="s">
        <v>1011</v>
      </c>
      <c r="B7" s="240"/>
      <c r="C7" s="238"/>
      <c r="D7" s="238"/>
    </row>
    <row r="8" spans="1:14">
      <c r="A8" s="238"/>
      <c r="B8" s="240"/>
      <c r="C8" s="238"/>
      <c r="D8" s="238"/>
    </row>
    <row r="9" spans="1:14" s="67" customFormat="1" ht="15">
      <c r="A9" s="66"/>
      <c r="B9" s="66"/>
      <c r="E9" s="250" t="str">
        <f>A7</f>
        <v>As of August 31, 2011</v>
      </c>
      <c r="F9" s="251"/>
      <c r="G9" s="261" t="s">
        <v>10</v>
      </c>
      <c r="H9" s="262"/>
      <c r="I9" s="254" t="s">
        <v>1009</v>
      </c>
      <c r="J9" s="255"/>
      <c r="K9" s="265" t="s">
        <v>1010</v>
      </c>
      <c r="L9" s="265"/>
      <c r="M9" s="267" t="s">
        <v>11</v>
      </c>
      <c r="N9" s="267"/>
    </row>
    <row r="10" spans="1:14" ht="14.25" customHeight="1">
      <c r="A10" s="68"/>
      <c r="C10" s="241"/>
      <c r="D10" s="242"/>
      <c r="E10" s="252"/>
      <c r="F10" s="253"/>
      <c r="G10" s="263"/>
      <c r="H10" s="264"/>
      <c r="I10" s="256"/>
      <c r="J10" s="257"/>
      <c r="K10" s="265"/>
      <c r="L10" s="265"/>
      <c r="M10" s="267"/>
      <c r="N10" s="267"/>
    </row>
    <row r="11" spans="1:14" ht="15" customHeight="1">
      <c r="A11" s="243" t="s">
        <v>6</v>
      </c>
      <c r="B11" s="245" t="s">
        <v>7</v>
      </c>
      <c r="C11" s="243" t="s">
        <v>8</v>
      </c>
      <c r="D11" s="243" t="s">
        <v>9</v>
      </c>
      <c r="E11" s="247" t="s">
        <v>8</v>
      </c>
      <c r="F11" s="259" t="s">
        <v>9</v>
      </c>
      <c r="G11" s="249" t="s">
        <v>8</v>
      </c>
      <c r="H11" s="249" t="s">
        <v>9</v>
      </c>
      <c r="I11" s="258" t="s">
        <v>8</v>
      </c>
      <c r="J11" s="258" t="s">
        <v>9</v>
      </c>
      <c r="K11" s="266" t="s">
        <v>8</v>
      </c>
      <c r="L11" s="266" t="s">
        <v>9</v>
      </c>
      <c r="M11" s="268" t="s">
        <v>8</v>
      </c>
      <c r="N11" s="268" t="s">
        <v>9</v>
      </c>
    </row>
    <row r="12" spans="1:14">
      <c r="A12" s="244"/>
      <c r="B12" s="246"/>
      <c r="C12" s="244"/>
      <c r="D12" s="244"/>
      <c r="E12" s="248"/>
      <c r="F12" s="260"/>
      <c r="G12" s="249"/>
      <c r="H12" s="249"/>
      <c r="I12" s="258"/>
      <c r="J12" s="258"/>
      <c r="K12" s="266"/>
      <c r="L12" s="266"/>
      <c r="M12" s="268"/>
      <c r="N12" s="268"/>
    </row>
    <row r="13" spans="1:14">
      <c r="A13" s="3" t="s">
        <v>12</v>
      </c>
      <c r="B13" s="4">
        <v>101</v>
      </c>
      <c r="C13" s="5">
        <f>E13-F13</f>
        <v>0</v>
      </c>
      <c r="D13" s="5"/>
      <c r="E13" s="6">
        <f>SUM(G13,I13,K13,M13)</f>
        <v>25269349.920000009</v>
      </c>
      <c r="F13" s="6">
        <f>SUM(H13,J13,L13,N13)</f>
        <v>25269349.920000009</v>
      </c>
      <c r="G13" s="62"/>
      <c r="H13" s="62"/>
      <c r="I13" s="60"/>
      <c r="J13" s="60"/>
      <c r="K13" s="64">
        <v>25269349.920000009</v>
      </c>
      <c r="L13" s="64">
        <v>25269349.920000009</v>
      </c>
      <c r="M13" s="25"/>
      <c r="N13" s="25"/>
    </row>
    <row r="14" spans="1:14">
      <c r="A14" s="3" t="s">
        <v>13</v>
      </c>
      <c r="B14" s="4" t="s">
        <v>14</v>
      </c>
      <c r="C14" s="5">
        <f>E14-F14</f>
        <v>0</v>
      </c>
      <c r="D14" s="5"/>
      <c r="E14" s="6">
        <f t="shared" ref="E14:F77" si="0">SUM(G14,I14,K14,M14)</f>
        <v>0</v>
      </c>
      <c r="F14" s="6">
        <f t="shared" si="0"/>
        <v>0</v>
      </c>
      <c r="G14" s="62"/>
      <c r="H14" s="62"/>
      <c r="I14" s="60"/>
      <c r="J14" s="60"/>
      <c r="K14" s="64"/>
      <c r="L14" s="64"/>
      <c r="M14" s="25"/>
      <c r="N14" s="25"/>
    </row>
    <row r="15" spans="1:14">
      <c r="A15" s="3" t="s">
        <v>15</v>
      </c>
      <c r="B15" s="4" t="s">
        <v>16</v>
      </c>
      <c r="C15" s="5">
        <f>E15-F15</f>
        <v>0</v>
      </c>
      <c r="D15" s="5"/>
      <c r="E15" s="6">
        <f t="shared" si="0"/>
        <v>0</v>
      </c>
      <c r="F15" s="6">
        <f t="shared" si="0"/>
        <v>0</v>
      </c>
      <c r="G15" s="63"/>
      <c r="H15" s="63"/>
      <c r="I15" s="61"/>
      <c r="J15" s="61"/>
      <c r="K15" s="65"/>
      <c r="L15" s="65"/>
      <c r="M15" s="26"/>
      <c r="N15" s="26"/>
    </row>
    <row r="16" spans="1:14">
      <c r="A16" s="3" t="s">
        <v>17</v>
      </c>
      <c r="B16" s="4" t="s">
        <v>18</v>
      </c>
      <c r="C16" s="5">
        <f>E16-F16</f>
        <v>0</v>
      </c>
      <c r="D16" s="5"/>
      <c r="E16" s="6">
        <f t="shared" si="0"/>
        <v>0</v>
      </c>
      <c r="F16" s="6">
        <f t="shared" si="0"/>
        <v>0</v>
      </c>
      <c r="G16" s="62"/>
      <c r="H16" s="62"/>
      <c r="I16" s="60"/>
      <c r="J16" s="60"/>
      <c r="K16" s="64"/>
      <c r="L16" s="64"/>
      <c r="M16" s="25"/>
      <c r="N16" s="25"/>
    </row>
    <row r="17" spans="1:14">
      <c r="A17" s="3" t="s">
        <v>19</v>
      </c>
      <c r="B17" s="4" t="s">
        <v>20</v>
      </c>
      <c r="C17" s="7">
        <f>E17-F17</f>
        <v>-0.29999999998835847</v>
      </c>
      <c r="D17" s="7"/>
      <c r="E17" s="6">
        <f t="shared" si="0"/>
        <v>408632.85</v>
      </c>
      <c r="F17" s="6">
        <f t="shared" si="0"/>
        <v>408633.14999999997</v>
      </c>
      <c r="G17" s="62">
        <v>408632.85</v>
      </c>
      <c r="H17" s="62"/>
      <c r="I17" s="60"/>
      <c r="J17" s="60">
        <v>408632.85</v>
      </c>
      <c r="K17" s="64"/>
      <c r="L17" s="64"/>
      <c r="M17" s="25"/>
      <c r="N17" s="25">
        <v>0.3</v>
      </c>
    </row>
    <row r="18" spans="1:14">
      <c r="A18" s="3" t="s">
        <v>21</v>
      </c>
      <c r="B18" s="4">
        <v>110</v>
      </c>
      <c r="C18" s="7">
        <f t="shared" ref="C18:C80" si="1">E18-F18</f>
        <v>0</v>
      </c>
      <c r="D18" s="7"/>
      <c r="E18" s="6">
        <f t="shared" si="0"/>
        <v>0</v>
      </c>
      <c r="F18" s="6">
        <f t="shared" si="0"/>
        <v>0</v>
      </c>
      <c r="G18" s="62"/>
      <c r="H18" s="62"/>
      <c r="I18" s="60"/>
      <c r="J18" s="60"/>
      <c r="K18" s="64"/>
      <c r="L18" s="64"/>
      <c r="M18" s="25"/>
      <c r="N18" s="25"/>
    </row>
    <row r="19" spans="1:14">
      <c r="A19" s="8" t="s">
        <v>22</v>
      </c>
      <c r="B19" s="4">
        <v>111</v>
      </c>
      <c r="C19" s="7">
        <f t="shared" si="1"/>
        <v>33125168.010000005</v>
      </c>
      <c r="D19" s="7"/>
      <c r="E19" s="6">
        <f t="shared" si="0"/>
        <v>41795058.200000003</v>
      </c>
      <c r="F19" s="6">
        <f t="shared" si="0"/>
        <v>8669890.1899999995</v>
      </c>
      <c r="G19" s="62"/>
      <c r="H19" s="62">
        <v>8669890.1899999995</v>
      </c>
      <c r="I19" s="60"/>
      <c r="J19" s="60"/>
      <c r="K19" s="64">
        <v>25269349.920000002</v>
      </c>
      <c r="L19" s="64"/>
      <c r="M19" s="25">
        <f>16525707.98+0.3</f>
        <v>16525708.280000001</v>
      </c>
      <c r="N19" s="25"/>
    </row>
    <row r="20" spans="1:14">
      <c r="A20" s="8" t="s">
        <v>23</v>
      </c>
      <c r="B20" s="4">
        <v>112</v>
      </c>
      <c r="C20" s="7">
        <f t="shared" si="1"/>
        <v>0</v>
      </c>
      <c r="D20" s="7"/>
      <c r="E20" s="6">
        <f t="shared" si="0"/>
        <v>0</v>
      </c>
      <c r="F20" s="6">
        <f t="shared" si="0"/>
        <v>0</v>
      </c>
      <c r="G20" s="62"/>
      <c r="H20" s="62"/>
      <c r="I20" s="60"/>
      <c r="J20" s="60"/>
      <c r="K20" s="64"/>
      <c r="L20" s="64"/>
      <c r="M20" s="25"/>
      <c r="N20" s="25"/>
    </row>
    <row r="21" spans="1:14">
      <c r="A21" s="3" t="s">
        <v>24</v>
      </c>
      <c r="B21" s="4">
        <v>113</v>
      </c>
      <c r="C21" s="7">
        <f t="shared" si="1"/>
        <v>0</v>
      </c>
      <c r="D21" s="7"/>
      <c r="E21" s="6">
        <f t="shared" si="0"/>
        <v>0</v>
      </c>
      <c r="F21" s="6">
        <f t="shared" si="0"/>
        <v>0</v>
      </c>
      <c r="G21" s="62"/>
      <c r="H21" s="62"/>
      <c r="I21" s="60"/>
      <c r="J21" s="60"/>
      <c r="K21" s="64"/>
      <c r="L21" s="64"/>
      <c r="M21" s="25"/>
      <c r="N21" s="25"/>
    </row>
    <row r="22" spans="1:14">
      <c r="A22" s="3" t="s">
        <v>21</v>
      </c>
      <c r="B22" s="4">
        <v>114</v>
      </c>
      <c r="C22" s="7">
        <f t="shared" si="1"/>
        <v>0</v>
      </c>
      <c r="D22" s="7"/>
      <c r="E22" s="6">
        <f t="shared" si="0"/>
        <v>0</v>
      </c>
      <c r="F22" s="6">
        <f t="shared" si="0"/>
        <v>0</v>
      </c>
      <c r="G22" s="62"/>
      <c r="H22" s="62"/>
      <c r="I22" s="60"/>
      <c r="J22" s="60"/>
      <c r="K22" s="64"/>
      <c r="L22" s="64"/>
      <c r="M22" s="25"/>
      <c r="N22" s="25"/>
    </row>
    <row r="23" spans="1:14">
      <c r="A23" s="3" t="s">
        <v>25</v>
      </c>
      <c r="B23" s="4">
        <v>115</v>
      </c>
      <c r="C23" s="7">
        <f t="shared" si="1"/>
        <v>0</v>
      </c>
      <c r="D23" s="7"/>
      <c r="E23" s="6">
        <f t="shared" si="0"/>
        <v>0</v>
      </c>
      <c r="F23" s="6">
        <f t="shared" si="0"/>
        <v>0</v>
      </c>
      <c r="G23" s="62"/>
      <c r="H23" s="62"/>
      <c r="I23" s="60"/>
      <c r="J23" s="60"/>
      <c r="K23" s="64"/>
      <c r="L23" s="64"/>
      <c r="M23" s="25"/>
      <c r="N23" s="25"/>
    </row>
    <row r="24" spans="1:14">
      <c r="A24" s="3" t="s">
        <v>26</v>
      </c>
      <c r="B24" s="4" t="s">
        <v>27</v>
      </c>
      <c r="C24" s="7">
        <f t="shared" si="1"/>
        <v>0</v>
      </c>
      <c r="D24" s="7"/>
      <c r="E24" s="6">
        <f t="shared" si="0"/>
        <v>0</v>
      </c>
      <c r="F24" s="6">
        <f t="shared" si="0"/>
        <v>0</v>
      </c>
      <c r="G24" s="62"/>
      <c r="H24" s="62"/>
      <c r="I24" s="60"/>
      <c r="J24" s="60"/>
      <c r="K24" s="64"/>
      <c r="L24" s="64"/>
      <c r="M24" s="25"/>
      <c r="N24" s="25"/>
    </row>
    <row r="25" spans="1:14">
      <c r="A25" s="3" t="s">
        <v>28</v>
      </c>
      <c r="B25" s="4" t="s">
        <v>29</v>
      </c>
      <c r="C25" s="7">
        <f t="shared" si="1"/>
        <v>0</v>
      </c>
      <c r="D25" s="7"/>
      <c r="E25" s="6">
        <f t="shared" si="0"/>
        <v>0</v>
      </c>
      <c r="F25" s="6">
        <f t="shared" si="0"/>
        <v>0</v>
      </c>
      <c r="G25" s="62"/>
      <c r="H25" s="62"/>
      <c r="I25" s="60"/>
      <c r="J25" s="60"/>
      <c r="K25" s="64"/>
      <c r="L25" s="64"/>
      <c r="M25" s="25"/>
      <c r="N25" s="25"/>
    </row>
    <row r="26" spans="1:14">
      <c r="A26" s="3" t="s">
        <v>30</v>
      </c>
      <c r="B26" s="4" t="s">
        <v>31</v>
      </c>
      <c r="C26" s="7">
        <f t="shared" si="1"/>
        <v>0</v>
      </c>
      <c r="D26" s="7"/>
      <c r="E26" s="6">
        <f t="shared" si="0"/>
        <v>0</v>
      </c>
      <c r="F26" s="6">
        <f t="shared" si="0"/>
        <v>0</v>
      </c>
      <c r="G26" s="62"/>
      <c r="H26" s="62"/>
      <c r="I26" s="60"/>
      <c r="J26" s="60"/>
      <c r="K26" s="64"/>
      <c r="L26" s="64"/>
      <c r="M26" s="25"/>
      <c r="N26" s="25"/>
    </row>
    <row r="27" spans="1:14">
      <c r="A27" s="3" t="s">
        <v>32</v>
      </c>
      <c r="B27" s="4" t="s">
        <v>33</v>
      </c>
      <c r="C27" s="7">
        <f t="shared" si="1"/>
        <v>0</v>
      </c>
      <c r="D27" s="7"/>
      <c r="E27" s="6">
        <f t="shared" si="0"/>
        <v>0</v>
      </c>
      <c r="F27" s="6">
        <f t="shared" si="0"/>
        <v>0</v>
      </c>
      <c r="G27" s="62"/>
      <c r="H27" s="62"/>
      <c r="I27" s="60"/>
      <c r="J27" s="60"/>
      <c r="K27" s="64"/>
      <c r="L27" s="64"/>
      <c r="M27" s="25"/>
      <c r="N27" s="25"/>
    </row>
    <row r="28" spans="1:14">
      <c r="A28" s="3" t="s">
        <v>34</v>
      </c>
      <c r="B28" s="4" t="s">
        <v>35</v>
      </c>
      <c r="C28" s="7">
        <f t="shared" si="1"/>
        <v>0</v>
      </c>
      <c r="D28" s="7"/>
      <c r="E28" s="6">
        <f t="shared" si="0"/>
        <v>0</v>
      </c>
      <c r="F28" s="6">
        <f t="shared" si="0"/>
        <v>0</v>
      </c>
      <c r="G28" s="62"/>
      <c r="H28" s="62"/>
      <c r="I28" s="60"/>
      <c r="J28" s="60"/>
      <c r="K28" s="64"/>
      <c r="L28" s="64"/>
      <c r="M28" s="25"/>
      <c r="N28" s="25"/>
    </row>
    <row r="29" spans="1:14">
      <c r="A29" s="3" t="s">
        <v>36</v>
      </c>
      <c r="B29" s="4" t="s">
        <v>37</v>
      </c>
      <c r="C29" s="7">
        <f t="shared" si="1"/>
        <v>0</v>
      </c>
      <c r="D29" s="7"/>
      <c r="E29" s="6">
        <f t="shared" si="0"/>
        <v>0</v>
      </c>
      <c r="F29" s="6">
        <f t="shared" si="0"/>
        <v>0</v>
      </c>
      <c r="G29" s="62"/>
      <c r="H29" s="62"/>
      <c r="I29" s="60"/>
      <c r="J29" s="60"/>
      <c r="K29" s="64"/>
      <c r="L29" s="64"/>
      <c r="M29" s="25"/>
      <c r="N29" s="25"/>
    </row>
    <row r="30" spans="1:14">
      <c r="A30" s="3" t="s">
        <v>38</v>
      </c>
      <c r="B30" s="4" t="s">
        <v>39</v>
      </c>
      <c r="C30" s="7">
        <f t="shared" si="1"/>
        <v>0</v>
      </c>
      <c r="D30" s="7"/>
      <c r="E30" s="6">
        <f t="shared" si="0"/>
        <v>0</v>
      </c>
      <c r="F30" s="6">
        <f t="shared" si="0"/>
        <v>0</v>
      </c>
      <c r="G30" s="62"/>
      <c r="H30" s="62"/>
      <c r="I30" s="60"/>
      <c r="J30" s="60"/>
      <c r="K30" s="64"/>
      <c r="L30" s="64"/>
      <c r="M30" s="25"/>
      <c r="N30" s="25"/>
    </row>
    <row r="31" spans="1:14">
      <c r="A31" s="3" t="s">
        <v>40</v>
      </c>
      <c r="B31" s="4" t="s">
        <v>41</v>
      </c>
      <c r="C31" s="7">
        <f t="shared" si="1"/>
        <v>0</v>
      </c>
      <c r="D31" s="7"/>
      <c r="E31" s="6">
        <f t="shared" si="0"/>
        <v>0</v>
      </c>
      <c r="F31" s="6">
        <f t="shared" si="0"/>
        <v>0</v>
      </c>
      <c r="G31" s="62"/>
      <c r="H31" s="62"/>
      <c r="I31" s="60"/>
      <c r="J31" s="60"/>
      <c r="K31" s="64"/>
      <c r="L31" s="64"/>
      <c r="M31" s="25"/>
      <c r="N31" s="25"/>
    </row>
    <row r="32" spans="1:14">
      <c r="A32" s="3" t="s">
        <v>42</v>
      </c>
      <c r="B32" s="4" t="s">
        <v>43</v>
      </c>
      <c r="C32" s="7">
        <f t="shared" si="1"/>
        <v>0</v>
      </c>
      <c r="D32" s="7"/>
      <c r="E32" s="6">
        <f t="shared" si="0"/>
        <v>0</v>
      </c>
      <c r="F32" s="6">
        <f t="shared" si="0"/>
        <v>0</v>
      </c>
      <c r="G32" s="62"/>
      <c r="H32" s="62"/>
      <c r="I32" s="60"/>
      <c r="J32" s="60"/>
      <c r="K32" s="64"/>
      <c r="L32" s="64"/>
      <c r="M32" s="25"/>
      <c r="N32" s="25"/>
    </row>
    <row r="33" spans="1:14">
      <c r="A33" s="3" t="s">
        <v>44</v>
      </c>
      <c r="B33" s="4" t="s">
        <v>45</v>
      </c>
      <c r="C33" s="7">
        <f t="shared" si="1"/>
        <v>0</v>
      </c>
      <c r="D33" s="7"/>
      <c r="E33" s="6">
        <f t="shared" si="0"/>
        <v>0</v>
      </c>
      <c r="F33" s="6">
        <f t="shared" si="0"/>
        <v>0</v>
      </c>
      <c r="G33" s="62"/>
      <c r="H33" s="62"/>
      <c r="I33" s="60"/>
      <c r="J33" s="60"/>
      <c r="K33" s="64"/>
      <c r="L33" s="64"/>
      <c r="M33" s="25"/>
      <c r="N33" s="25"/>
    </row>
    <row r="34" spans="1:14">
      <c r="A34" s="3" t="s">
        <v>46</v>
      </c>
      <c r="B34" s="4" t="s">
        <v>47</v>
      </c>
      <c r="C34" s="7">
        <f t="shared" si="1"/>
        <v>0</v>
      </c>
      <c r="D34" s="7"/>
      <c r="E34" s="6">
        <f t="shared" si="0"/>
        <v>0</v>
      </c>
      <c r="F34" s="6">
        <f t="shared" si="0"/>
        <v>0</v>
      </c>
      <c r="G34" s="62"/>
      <c r="H34" s="62"/>
      <c r="I34" s="60"/>
      <c r="J34" s="60"/>
      <c r="K34" s="64"/>
      <c r="L34" s="64"/>
      <c r="M34" s="25"/>
      <c r="N34" s="25"/>
    </row>
    <row r="35" spans="1:14">
      <c r="A35" s="3" t="s">
        <v>48</v>
      </c>
      <c r="B35" s="4" t="s">
        <v>49</v>
      </c>
      <c r="C35" s="7">
        <f t="shared" si="1"/>
        <v>0</v>
      </c>
      <c r="D35" s="7"/>
      <c r="E35" s="6">
        <f t="shared" si="0"/>
        <v>0</v>
      </c>
      <c r="F35" s="6">
        <f t="shared" si="0"/>
        <v>0</v>
      </c>
      <c r="G35" s="62"/>
      <c r="H35" s="62"/>
      <c r="I35" s="60"/>
      <c r="J35" s="60"/>
      <c r="K35" s="64"/>
      <c r="L35" s="64"/>
      <c r="M35" s="25"/>
      <c r="N35" s="25"/>
    </row>
    <row r="36" spans="1:14">
      <c r="A36" s="3" t="s">
        <v>50</v>
      </c>
      <c r="B36" s="4" t="s">
        <v>51</v>
      </c>
      <c r="C36" s="7">
        <f t="shared" si="1"/>
        <v>0</v>
      </c>
      <c r="D36" s="7"/>
      <c r="E36" s="6">
        <f t="shared" si="0"/>
        <v>0</v>
      </c>
      <c r="F36" s="6">
        <f t="shared" si="0"/>
        <v>0</v>
      </c>
      <c r="G36" s="62"/>
      <c r="H36" s="62"/>
      <c r="I36" s="60"/>
      <c r="J36" s="60"/>
      <c r="K36" s="64"/>
      <c r="L36" s="64"/>
      <c r="M36" s="25"/>
      <c r="N36" s="25"/>
    </row>
    <row r="37" spans="1:14">
      <c r="A37" s="3" t="s">
        <v>52</v>
      </c>
      <c r="B37" s="4" t="s">
        <v>53</v>
      </c>
      <c r="C37" s="7">
        <f t="shared" si="1"/>
        <v>0</v>
      </c>
      <c r="D37" s="7"/>
      <c r="E37" s="6">
        <f t="shared" si="0"/>
        <v>0</v>
      </c>
      <c r="F37" s="6">
        <f t="shared" si="0"/>
        <v>0</v>
      </c>
      <c r="G37" s="62"/>
      <c r="H37" s="62"/>
      <c r="I37" s="60"/>
      <c r="J37" s="60"/>
      <c r="K37" s="64"/>
      <c r="L37" s="64"/>
      <c r="M37" s="25"/>
      <c r="N37" s="25"/>
    </row>
    <row r="38" spans="1:14">
      <c r="A38" s="3" t="s">
        <v>54</v>
      </c>
      <c r="B38" s="9">
        <v>138</v>
      </c>
      <c r="C38" s="7">
        <f t="shared" si="1"/>
        <v>0</v>
      </c>
      <c r="D38" s="7"/>
      <c r="E38" s="6">
        <f t="shared" si="0"/>
        <v>0</v>
      </c>
      <c r="F38" s="6">
        <f t="shared" si="0"/>
        <v>0</v>
      </c>
      <c r="G38" s="62"/>
      <c r="H38" s="62"/>
      <c r="I38" s="60"/>
      <c r="J38" s="60"/>
      <c r="K38" s="64"/>
      <c r="L38" s="64"/>
      <c r="M38" s="25"/>
      <c r="N38" s="25"/>
    </row>
    <row r="39" spans="1:14">
      <c r="A39" s="3" t="s">
        <v>55</v>
      </c>
      <c r="B39" s="4" t="s">
        <v>56</v>
      </c>
      <c r="C39" s="7">
        <f t="shared" si="1"/>
        <v>0</v>
      </c>
      <c r="D39" s="7"/>
      <c r="E39" s="6">
        <f t="shared" si="0"/>
        <v>0</v>
      </c>
      <c r="F39" s="6">
        <f t="shared" si="0"/>
        <v>0</v>
      </c>
      <c r="G39" s="62"/>
      <c r="H39" s="62"/>
      <c r="I39" s="60"/>
      <c r="J39" s="60"/>
      <c r="K39" s="64"/>
      <c r="L39" s="64"/>
      <c r="M39" s="25"/>
      <c r="N39" s="25"/>
    </row>
    <row r="40" spans="1:14">
      <c r="A40" s="3" t="s">
        <v>57</v>
      </c>
      <c r="B40" s="9">
        <v>144</v>
      </c>
      <c r="C40" s="7">
        <f t="shared" si="1"/>
        <v>0</v>
      </c>
      <c r="D40" s="7"/>
      <c r="E40" s="6">
        <f t="shared" si="0"/>
        <v>0</v>
      </c>
      <c r="F40" s="6">
        <f t="shared" si="0"/>
        <v>0</v>
      </c>
      <c r="G40" s="62"/>
      <c r="H40" s="62"/>
      <c r="I40" s="60"/>
      <c r="J40" s="60"/>
      <c r="K40" s="64"/>
      <c r="L40" s="64"/>
      <c r="M40" s="25"/>
      <c r="N40" s="25"/>
    </row>
    <row r="41" spans="1:14">
      <c r="A41" s="3" t="s">
        <v>58</v>
      </c>
      <c r="B41" s="4" t="s">
        <v>59</v>
      </c>
      <c r="C41" s="7">
        <f t="shared" si="1"/>
        <v>0</v>
      </c>
      <c r="D41" s="7"/>
      <c r="E41" s="6">
        <f t="shared" si="0"/>
        <v>0</v>
      </c>
      <c r="F41" s="6">
        <f t="shared" si="0"/>
        <v>0</v>
      </c>
      <c r="G41" s="62"/>
      <c r="H41" s="62"/>
      <c r="I41" s="60"/>
      <c r="J41" s="60"/>
      <c r="K41" s="64"/>
      <c r="L41" s="64"/>
      <c r="M41" s="25"/>
      <c r="N41" s="25"/>
    </row>
    <row r="42" spans="1:14">
      <c r="A42" s="3" t="s">
        <v>60</v>
      </c>
      <c r="B42" s="4" t="s">
        <v>61</v>
      </c>
      <c r="C42" s="7">
        <f t="shared" si="1"/>
        <v>50000</v>
      </c>
      <c r="D42" s="7"/>
      <c r="E42" s="6">
        <f t="shared" si="0"/>
        <v>50000</v>
      </c>
      <c r="F42" s="6">
        <f t="shared" si="0"/>
        <v>0</v>
      </c>
      <c r="G42" s="62">
        <v>50000</v>
      </c>
      <c r="H42" s="62"/>
      <c r="I42" s="60"/>
      <c r="J42" s="60"/>
      <c r="K42" s="64"/>
      <c r="L42" s="64"/>
      <c r="M42" s="25"/>
      <c r="N42" s="25"/>
    </row>
    <row r="43" spans="1:14">
      <c r="A43" s="3" t="s">
        <v>62</v>
      </c>
      <c r="B43" s="4" t="s">
        <v>63</v>
      </c>
      <c r="C43" s="7">
        <f t="shared" si="1"/>
        <v>35000</v>
      </c>
      <c r="D43" s="7"/>
      <c r="E43" s="6">
        <f t="shared" si="0"/>
        <v>35000</v>
      </c>
      <c r="F43" s="6">
        <f t="shared" si="0"/>
        <v>0</v>
      </c>
      <c r="G43" s="62">
        <v>35000</v>
      </c>
      <c r="H43" s="62"/>
      <c r="I43" s="60"/>
      <c r="J43" s="60"/>
      <c r="K43" s="64"/>
      <c r="L43" s="64"/>
      <c r="M43" s="25"/>
      <c r="N43" s="25"/>
    </row>
    <row r="44" spans="1:14">
      <c r="A44" s="3" t="s">
        <v>64</v>
      </c>
      <c r="B44" s="4" t="s">
        <v>65</v>
      </c>
      <c r="C44" s="7">
        <f t="shared" si="1"/>
        <v>0</v>
      </c>
      <c r="D44" s="7"/>
      <c r="E44" s="6">
        <f t="shared" si="0"/>
        <v>0</v>
      </c>
      <c r="F44" s="6">
        <f t="shared" si="0"/>
        <v>0</v>
      </c>
      <c r="G44" s="62"/>
      <c r="H44" s="62"/>
      <c r="I44" s="60"/>
      <c r="J44" s="60"/>
      <c r="K44" s="64"/>
      <c r="L44" s="64"/>
      <c r="M44" s="25"/>
      <c r="N44" s="25"/>
    </row>
    <row r="45" spans="1:14">
      <c r="A45" s="3" t="s">
        <v>66</v>
      </c>
      <c r="B45" s="4" t="s">
        <v>67</v>
      </c>
      <c r="C45" s="7">
        <f t="shared" si="1"/>
        <v>0</v>
      </c>
      <c r="D45" s="7"/>
      <c r="E45" s="6">
        <f t="shared" si="0"/>
        <v>0</v>
      </c>
      <c r="F45" s="6">
        <f t="shared" si="0"/>
        <v>0</v>
      </c>
      <c r="G45" s="62"/>
      <c r="H45" s="62"/>
      <c r="I45" s="60"/>
      <c r="J45" s="60"/>
      <c r="K45" s="64"/>
      <c r="L45" s="64"/>
      <c r="M45" s="25"/>
      <c r="N45" s="25"/>
    </row>
    <row r="46" spans="1:14">
      <c r="A46" s="3" t="s">
        <v>68</v>
      </c>
      <c r="B46" s="4" t="s">
        <v>69</v>
      </c>
      <c r="C46" s="7">
        <f t="shared" si="1"/>
        <v>0</v>
      </c>
      <c r="D46" s="7"/>
      <c r="E46" s="6">
        <f t="shared" si="0"/>
        <v>0</v>
      </c>
      <c r="F46" s="6">
        <f t="shared" si="0"/>
        <v>0</v>
      </c>
      <c r="G46" s="62"/>
      <c r="H46" s="62"/>
      <c r="I46" s="60"/>
      <c r="J46" s="60"/>
      <c r="K46" s="64"/>
      <c r="L46" s="64"/>
      <c r="M46" s="25"/>
      <c r="N46" s="25"/>
    </row>
    <row r="47" spans="1:14">
      <c r="A47" s="3" t="s">
        <v>70</v>
      </c>
      <c r="B47" s="4" t="s">
        <v>71</v>
      </c>
      <c r="C47" s="7">
        <f t="shared" si="1"/>
        <v>0</v>
      </c>
      <c r="D47" s="7"/>
      <c r="E47" s="6">
        <f t="shared" si="0"/>
        <v>0</v>
      </c>
      <c r="F47" s="6">
        <f t="shared" si="0"/>
        <v>0</v>
      </c>
      <c r="G47" s="62"/>
      <c r="H47" s="62"/>
      <c r="I47" s="60"/>
      <c r="J47" s="60"/>
      <c r="K47" s="64"/>
      <c r="L47" s="64"/>
      <c r="M47" s="25"/>
      <c r="N47" s="25"/>
    </row>
    <row r="48" spans="1:14">
      <c r="A48" s="3" t="s">
        <v>72</v>
      </c>
      <c r="B48" s="4" t="s">
        <v>73</v>
      </c>
      <c r="C48" s="7">
        <f t="shared" si="1"/>
        <v>0</v>
      </c>
      <c r="D48" s="7"/>
      <c r="E48" s="6">
        <f t="shared" si="0"/>
        <v>0</v>
      </c>
      <c r="F48" s="6">
        <f t="shared" si="0"/>
        <v>0</v>
      </c>
      <c r="G48" s="62"/>
      <c r="H48" s="62"/>
      <c r="I48" s="60"/>
      <c r="J48" s="60"/>
      <c r="K48" s="64"/>
      <c r="L48" s="64"/>
      <c r="M48" s="25"/>
      <c r="N48" s="25"/>
    </row>
    <row r="49" spans="1:14">
      <c r="A49" s="3" t="s">
        <v>74</v>
      </c>
      <c r="B49" s="4" t="s">
        <v>75</v>
      </c>
      <c r="C49" s="7">
        <f t="shared" si="1"/>
        <v>0</v>
      </c>
      <c r="D49" s="7"/>
      <c r="E49" s="6">
        <f t="shared" si="0"/>
        <v>0</v>
      </c>
      <c r="F49" s="6">
        <f t="shared" si="0"/>
        <v>0</v>
      </c>
      <c r="G49" s="62"/>
      <c r="H49" s="62"/>
      <c r="I49" s="60"/>
      <c r="J49" s="60"/>
      <c r="K49" s="64"/>
      <c r="L49" s="64"/>
      <c r="M49" s="25"/>
      <c r="N49" s="25"/>
    </row>
    <row r="50" spans="1:14">
      <c r="A50" s="3" t="s">
        <v>76</v>
      </c>
      <c r="B50" s="4" t="s">
        <v>77</v>
      </c>
      <c r="C50" s="7">
        <f t="shared" si="1"/>
        <v>0</v>
      </c>
      <c r="D50" s="7"/>
      <c r="E50" s="6">
        <f t="shared" si="0"/>
        <v>0</v>
      </c>
      <c r="F50" s="6">
        <f t="shared" si="0"/>
        <v>0</v>
      </c>
      <c r="G50" s="62"/>
      <c r="H50" s="62"/>
      <c r="I50" s="60"/>
      <c r="J50" s="60"/>
      <c r="K50" s="64"/>
      <c r="L50" s="64"/>
      <c r="M50" s="25"/>
      <c r="N50" s="25"/>
    </row>
    <row r="51" spans="1:14">
      <c r="A51" s="3" t="s">
        <v>78</v>
      </c>
      <c r="B51" s="4" t="s">
        <v>79</v>
      </c>
      <c r="C51" s="7">
        <f t="shared" si="1"/>
        <v>0</v>
      </c>
      <c r="D51" s="7"/>
      <c r="E51" s="6">
        <f t="shared" si="0"/>
        <v>0</v>
      </c>
      <c r="F51" s="6">
        <f t="shared" si="0"/>
        <v>0</v>
      </c>
      <c r="G51" s="62"/>
      <c r="H51" s="62"/>
      <c r="I51" s="60"/>
      <c r="J51" s="60"/>
      <c r="K51" s="64"/>
      <c r="L51" s="64"/>
      <c r="M51" s="25"/>
      <c r="N51" s="25"/>
    </row>
    <row r="52" spans="1:14">
      <c r="A52" s="3" t="s">
        <v>80</v>
      </c>
      <c r="B52" s="4" t="s">
        <v>81</v>
      </c>
      <c r="C52" s="7">
        <f t="shared" si="1"/>
        <v>313051</v>
      </c>
      <c r="D52" s="7"/>
      <c r="E52" s="6">
        <f t="shared" si="0"/>
        <v>313051</v>
      </c>
      <c r="F52" s="6">
        <f t="shared" si="0"/>
        <v>0</v>
      </c>
      <c r="G52" s="62">
        <v>313051</v>
      </c>
      <c r="H52" s="62"/>
      <c r="I52" s="60"/>
      <c r="J52" s="60"/>
      <c r="K52" s="64"/>
      <c r="L52" s="64"/>
      <c r="M52" s="25"/>
      <c r="N52" s="25"/>
    </row>
    <row r="53" spans="1:14">
      <c r="A53" s="8" t="s">
        <v>82</v>
      </c>
      <c r="B53" s="4" t="s">
        <v>83</v>
      </c>
      <c r="C53" s="7">
        <f t="shared" si="1"/>
        <v>0</v>
      </c>
      <c r="D53" s="7"/>
      <c r="E53" s="6">
        <f t="shared" si="0"/>
        <v>0</v>
      </c>
      <c r="F53" s="6">
        <f t="shared" si="0"/>
        <v>0</v>
      </c>
      <c r="G53" s="62"/>
      <c r="H53" s="62"/>
      <c r="I53" s="60"/>
      <c r="J53" s="60"/>
      <c r="K53" s="64"/>
      <c r="L53" s="64"/>
      <c r="M53" s="25"/>
      <c r="N53" s="25"/>
    </row>
    <row r="54" spans="1:14">
      <c r="A54" s="3" t="s">
        <v>84</v>
      </c>
      <c r="B54" s="4" t="s">
        <v>85</v>
      </c>
      <c r="C54" s="7">
        <f t="shared" si="1"/>
        <v>1255775.8500000001</v>
      </c>
      <c r="D54" s="7"/>
      <c r="E54" s="6">
        <f t="shared" si="0"/>
        <v>1255775.8500000001</v>
      </c>
      <c r="F54" s="6">
        <f t="shared" si="0"/>
        <v>0</v>
      </c>
      <c r="G54" s="62">
        <v>1255775.8500000001</v>
      </c>
      <c r="H54" s="62"/>
      <c r="I54" s="60"/>
      <c r="J54" s="60"/>
      <c r="K54" s="64"/>
      <c r="L54" s="64"/>
      <c r="M54" s="25"/>
      <c r="N54" s="25"/>
    </row>
    <row r="55" spans="1:14">
      <c r="A55" s="3" t="s">
        <v>86</v>
      </c>
      <c r="B55" s="4" t="s">
        <v>87</v>
      </c>
      <c r="C55" s="7">
        <f t="shared" si="1"/>
        <v>0</v>
      </c>
      <c r="D55" s="7"/>
      <c r="E55" s="6">
        <f t="shared" si="0"/>
        <v>0</v>
      </c>
      <c r="F55" s="6">
        <f t="shared" si="0"/>
        <v>0</v>
      </c>
      <c r="G55" s="62"/>
      <c r="H55" s="62"/>
      <c r="I55" s="60"/>
      <c r="J55" s="60"/>
      <c r="K55" s="64"/>
      <c r="L55" s="64"/>
      <c r="M55" s="25"/>
      <c r="N55" s="25"/>
    </row>
    <row r="56" spans="1:14">
      <c r="A56" s="8" t="s">
        <v>88</v>
      </c>
      <c r="B56" s="4" t="s">
        <v>89</v>
      </c>
      <c r="C56" s="7">
        <f t="shared" si="1"/>
        <v>0</v>
      </c>
      <c r="D56" s="7"/>
      <c r="E56" s="6">
        <f t="shared" si="0"/>
        <v>0</v>
      </c>
      <c r="F56" s="6">
        <f t="shared" si="0"/>
        <v>0</v>
      </c>
      <c r="G56" s="62"/>
      <c r="H56" s="62"/>
      <c r="I56" s="60"/>
      <c r="J56" s="60"/>
      <c r="K56" s="64"/>
      <c r="L56" s="64"/>
      <c r="M56" s="25"/>
      <c r="N56" s="25"/>
    </row>
    <row r="57" spans="1:14">
      <c r="A57" s="3" t="s">
        <v>90</v>
      </c>
      <c r="B57" s="4" t="s">
        <v>91</v>
      </c>
      <c r="C57" s="7">
        <f t="shared" si="1"/>
        <v>0</v>
      </c>
      <c r="D57" s="7"/>
      <c r="E57" s="6">
        <f t="shared" si="0"/>
        <v>0</v>
      </c>
      <c r="F57" s="6">
        <f t="shared" si="0"/>
        <v>0</v>
      </c>
      <c r="G57" s="62"/>
      <c r="H57" s="62"/>
      <c r="I57" s="60"/>
      <c r="J57" s="60"/>
      <c r="K57" s="64"/>
      <c r="L57" s="64"/>
      <c r="M57" s="25"/>
      <c r="N57" s="25"/>
    </row>
    <row r="58" spans="1:14">
      <c r="A58" s="3" t="s">
        <v>92</v>
      </c>
      <c r="B58" s="4">
        <v>165</v>
      </c>
      <c r="C58" s="7">
        <f t="shared" si="1"/>
        <v>0</v>
      </c>
      <c r="D58" s="7"/>
      <c r="E58" s="6">
        <f t="shared" si="0"/>
        <v>0</v>
      </c>
      <c r="F58" s="6">
        <f t="shared" si="0"/>
        <v>0</v>
      </c>
      <c r="G58" s="62"/>
      <c r="H58" s="62"/>
      <c r="I58" s="60"/>
      <c r="J58" s="60"/>
      <c r="K58" s="64"/>
      <c r="L58" s="64"/>
      <c r="M58" s="25"/>
      <c r="N58" s="25"/>
    </row>
    <row r="59" spans="1:14">
      <c r="A59" s="3" t="s">
        <v>93</v>
      </c>
      <c r="B59" s="4">
        <v>166</v>
      </c>
      <c r="C59" s="7">
        <f t="shared" si="1"/>
        <v>0</v>
      </c>
      <c r="D59" s="7"/>
      <c r="E59" s="6">
        <f t="shared" si="0"/>
        <v>0</v>
      </c>
      <c r="F59" s="6">
        <f t="shared" si="0"/>
        <v>0</v>
      </c>
      <c r="G59" s="62"/>
      <c r="H59" s="62"/>
      <c r="I59" s="60"/>
      <c r="J59" s="60"/>
      <c r="K59" s="64"/>
      <c r="L59" s="64"/>
      <c r="M59" s="25"/>
      <c r="N59" s="25"/>
    </row>
    <row r="60" spans="1:14">
      <c r="A60" s="3" t="s">
        <v>94</v>
      </c>
      <c r="B60" s="4">
        <v>167</v>
      </c>
      <c r="C60" s="7">
        <f t="shared" si="1"/>
        <v>0</v>
      </c>
      <c r="D60" s="7"/>
      <c r="E60" s="6">
        <f t="shared" si="0"/>
        <v>0</v>
      </c>
      <c r="F60" s="6">
        <f t="shared" si="0"/>
        <v>0</v>
      </c>
      <c r="G60" s="62"/>
      <c r="H60" s="62"/>
      <c r="I60" s="60"/>
      <c r="J60" s="60"/>
      <c r="K60" s="64"/>
      <c r="L60" s="64"/>
      <c r="M60" s="25"/>
      <c r="N60" s="25"/>
    </row>
    <row r="61" spans="1:14">
      <c r="A61" s="3" t="s">
        <v>95</v>
      </c>
      <c r="B61" s="4" t="s">
        <v>96</v>
      </c>
      <c r="C61" s="7">
        <f t="shared" si="1"/>
        <v>0</v>
      </c>
      <c r="D61" s="7"/>
      <c r="E61" s="6">
        <f t="shared" si="0"/>
        <v>0</v>
      </c>
      <c r="F61" s="6">
        <f t="shared" si="0"/>
        <v>0</v>
      </c>
      <c r="G61" s="62"/>
      <c r="H61" s="62"/>
      <c r="I61" s="60"/>
      <c r="J61" s="60"/>
      <c r="K61" s="64"/>
      <c r="L61" s="64"/>
      <c r="M61" s="25"/>
      <c r="N61" s="25"/>
    </row>
    <row r="62" spans="1:14">
      <c r="A62" s="3" t="s">
        <v>97</v>
      </c>
      <c r="B62" s="4" t="s">
        <v>98</v>
      </c>
      <c r="C62" s="7">
        <f t="shared" si="1"/>
        <v>0</v>
      </c>
      <c r="D62" s="7"/>
      <c r="E62" s="6">
        <f t="shared" si="0"/>
        <v>0</v>
      </c>
      <c r="F62" s="6">
        <f t="shared" si="0"/>
        <v>0</v>
      </c>
      <c r="G62" s="62"/>
      <c r="H62" s="62"/>
      <c r="I62" s="60"/>
      <c r="J62" s="60"/>
      <c r="K62" s="64"/>
      <c r="L62" s="64"/>
      <c r="M62" s="25"/>
      <c r="N62" s="25"/>
    </row>
    <row r="63" spans="1:14">
      <c r="A63" s="3" t="s">
        <v>99</v>
      </c>
      <c r="B63" s="4" t="s">
        <v>100</v>
      </c>
      <c r="C63" s="7">
        <f t="shared" si="1"/>
        <v>0</v>
      </c>
      <c r="D63" s="7"/>
      <c r="E63" s="6">
        <f t="shared" si="0"/>
        <v>0</v>
      </c>
      <c r="F63" s="6">
        <f t="shared" si="0"/>
        <v>0</v>
      </c>
      <c r="G63" s="62"/>
      <c r="H63" s="62"/>
      <c r="I63" s="60"/>
      <c r="J63" s="60"/>
      <c r="K63" s="64"/>
      <c r="L63" s="64"/>
      <c r="M63" s="25"/>
      <c r="N63" s="25"/>
    </row>
    <row r="64" spans="1:14">
      <c r="A64" s="3" t="s">
        <v>101</v>
      </c>
      <c r="B64" s="4" t="s">
        <v>102</v>
      </c>
      <c r="C64" s="7">
        <f t="shared" si="1"/>
        <v>0</v>
      </c>
      <c r="D64" s="7"/>
      <c r="E64" s="6">
        <f t="shared" si="0"/>
        <v>0</v>
      </c>
      <c r="F64" s="6">
        <f t="shared" si="0"/>
        <v>0</v>
      </c>
      <c r="G64" s="62"/>
      <c r="H64" s="62"/>
      <c r="I64" s="60"/>
      <c r="J64" s="60"/>
      <c r="K64" s="64"/>
      <c r="L64" s="64"/>
      <c r="M64" s="25"/>
      <c r="N64" s="25"/>
    </row>
    <row r="65" spans="1:14">
      <c r="A65" s="3" t="s">
        <v>103</v>
      </c>
      <c r="B65" s="4" t="s">
        <v>104</v>
      </c>
      <c r="C65" s="7">
        <f t="shared" si="1"/>
        <v>0</v>
      </c>
      <c r="D65" s="7"/>
      <c r="E65" s="6">
        <f t="shared" si="0"/>
        <v>0</v>
      </c>
      <c r="F65" s="6">
        <f t="shared" si="0"/>
        <v>0</v>
      </c>
      <c r="G65" s="62"/>
      <c r="H65" s="62"/>
      <c r="I65" s="60"/>
      <c r="J65" s="60"/>
      <c r="K65" s="64"/>
      <c r="L65" s="64"/>
      <c r="M65" s="25"/>
      <c r="N65" s="25"/>
    </row>
    <row r="66" spans="1:14">
      <c r="A66" s="3" t="s">
        <v>105</v>
      </c>
      <c r="B66" s="9">
        <v>178</v>
      </c>
      <c r="C66" s="7">
        <f t="shared" si="1"/>
        <v>0</v>
      </c>
      <c r="D66" s="7"/>
      <c r="E66" s="6">
        <f t="shared" si="0"/>
        <v>0</v>
      </c>
      <c r="F66" s="6">
        <f t="shared" si="0"/>
        <v>0</v>
      </c>
      <c r="G66" s="62"/>
      <c r="H66" s="62"/>
      <c r="I66" s="60"/>
      <c r="J66" s="60"/>
      <c r="K66" s="64"/>
      <c r="L66" s="64"/>
      <c r="M66" s="25"/>
      <c r="N66" s="25"/>
    </row>
    <row r="67" spans="1:14">
      <c r="A67" s="3" t="s">
        <v>106</v>
      </c>
      <c r="B67" s="4">
        <v>179</v>
      </c>
      <c r="C67" s="7">
        <f t="shared" si="1"/>
        <v>0</v>
      </c>
      <c r="D67" s="7"/>
      <c r="E67" s="6">
        <f t="shared" si="0"/>
        <v>0</v>
      </c>
      <c r="F67" s="6">
        <f t="shared" si="0"/>
        <v>0</v>
      </c>
      <c r="G67" s="62"/>
      <c r="H67" s="62"/>
      <c r="I67" s="60"/>
      <c r="J67" s="60"/>
      <c r="K67" s="64"/>
      <c r="L67" s="64"/>
      <c r="M67" s="25"/>
      <c r="N67" s="25"/>
    </row>
    <row r="68" spans="1:14">
      <c r="A68" s="3" t="s">
        <v>107</v>
      </c>
      <c r="B68" s="9">
        <v>180</v>
      </c>
      <c r="C68" s="7">
        <f t="shared" si="1"/>
        <v>0</v>
      </c>
      <c r="D68" s="7"/>
      <c r="E68" s="6">
        <f t="shared" si="0"/>
        <v>0</v>
      </c>
      <c r="F68" s="6">
        <f t="shared" si="0"/>
        <v>0</v>
      </c>
      <c r="G68" s="62"/>
      <c r="H68" s="62"/>
      <c r="I68" s="60"/>
      <c r="J68" s="60"/>
      <c r="K68" s="64"/>
      <c r="L68" s="64"/>
      <c r="M68" s="25"/>
      <c r="N68" s="25"/>
    </row>
    <row r="69" spans="1:14">
      <c r="A69" s="3" t="s">
        <v>108</v>
      </c>
      <c r="B69" s="9">
        <v>181</v>
      </c>
      <c r="C69" s="7">
        <f t="shared" si="1"/>
        <v>0</v>
      </c>
      <c r="D69" s="7"/>
      <c r="E69" s="6">
        <f t="shared" si="0"/>
        <v>0</v>
      </c>
      <c r="F69" s="6">
        <f t="shared" si="0"/>
        <v>0</v>
      </c>
      <c r="G69" s="62"/>
      <c r="H69" s="62"/>
      <c r="I69" s="60"/>
      <c r="J69" s="60"/>
      <c r="K69" s="64"/>
      <c r="L69" s="64"/>
      <c r="M69" s="25"/>
      <c r="N69" s="25"/>
    </row>
    <row r="70" spans="1:14">
      <c r="A70" s="3" t="s">
        <v>109</v>
      </c>
      <c r="B70" s="9">
        <v>182</v>
      </c>
      <c r="C70" s="7">
        <f t="shared" si="1"/>
        <v>0</v>
      </c>
      <c r="D70" s="7"/>
      <c r="E70" s="6">
        <f t="shared" si="0"/>
        <v>0</v>
      </c>
      <c r="F70" s="6">
        <f t="shared" si="0"/>
        <v>0</v>
      </c>
      <c r="G70" s="62"/>
      <c r="H70" s="62"/>
      <c r="I70" s="60"/>
      <c r="J70" s="60"/>
      <c r="K70" s="64"/>
      <c r="L70" s="64"/>
      <c r="M70" s="25"/>
      <c r="N70" s="25"/>
    </row>
    <row r="71" spans="1:14">
      <c r="A71" s="3" t="s">
        <v>110</v>
      </c>
      <c r="B71" s="9">
        <v>185</v>
      </c>
      <c r="C71" s="7">
        <f t="shared" si="1"/>
        <v>0</v>
      </c>
      <c r="D71" s="7"/>
      <c r="E71" s="6">
        <f t="shared" si="0"/>
        <v>0</v>
      </c>
      <c r="F71" s="6">
        <f t="shared" si="0"/>
        <v>0</v>
      </c>
      <c r="G71" s="62"/>
      <c r="H71" s="62"/>
      <c r="I71" s="60"/>
      <c r="J71" s="60"/>
      <c r="K71" s="64"/>
      <c r="L71" s="64"/>
      <c r="M71" s="25"/>
      <c r="N71" s="25"/>
    </row>
    <row r="72" spans="1:14">
      <c r="A72" s="3" t="s">
        <v>111</v>
      </c>
      <c r="B72" s="4" t="s">
        <v>112</v>
      </c>
      <c r="C72" s="7">
        <f t="shared" si="1"/>
        <v>0</v>
      </c>
      <c r="D72" s="7"/>
      <c r="E72" s="6">
        <f t="shared" si="0"/>
        <v>0</v>
      </c>
      <c r="F72" s="6">
        <f t="shared" si="0"/>
        <v>0</v>
      </c>
      <c r="G72" s="62"/>
      <c r="H72" s="62"/>
      <c r="I72" s="60"/>
      <c r="J72" s="60"/>
      <c r="K72" s="64"/>
      <c r="L72" s="64"/>
      <c r="M72" s="25"/>
      <c r="N72" s="25"/>
    </row>
    <row r="73" spans="1:14">
      <c r="A73" s="3" t="s">
        <v>113</v>
      </c>
      <c r="B73" s="4" t="s">
        <v>114</v>
      </c>
      <c r="C73" s="7">
        <f t="shared" si="1"/>
        <v>0</v>
      </c>
      <c r="D73" s="7"/>
      <c r="E73" s="6">
        <f t="shared" si="0"/>
        <v>0</v>
      </c>
      <c r="F73" s="6">
        <f t="shared" si="0"/>
        <v>0</v>
      </c>
      <c r="G73" s="62"/>
      <c r="H73" s="62"/>
      <c r="I73" s="60"/>
      <c r="J73" s="60"/>
      <c r="K73" s="64"/>
      <c r="L73" s="64"/>
      <c r="M73" s="25"/>
      <c r="N73" s="25"/>
    </row>
    <row r="74" spans="1:14">
      <c r="A74" s="3" t="s">
        <v>115</v>
      </c>
      <c r="B74" s="4" t="s">
        <v>116</v>
      </c>
      <c r="C74" s="7">
        <f t="shared" si="1"/>
        <v>0</v>
      </c>
      <c r="D74" s="7"/>
      <c r="E74" s="6">
        <f t="shared" si="0"/>
        <v>0</v>
      </c>
      <c r="F74" s="6">
        <f t="shared" si="0"/>
        <v>0</v>
      </c>
      <c r="G74" s="62"/>
      <c r="H74" s="62"/>
      <c r="I74" s="60"/>
      <c r="J74" s="60"/>
      <c r="K74" s="64"/>
      <c r="L74" s="64"/>
      <c r="M74" s="25"/>
      <c r="N74" s="25"/>
    </row>
    <row r="75" spans="1:14">
      <c r="A75" s="3" t="s">
        <v>117</v>
      </c>
      <c r="B75" s="4" t="s">
        <v>118</v>
      </c>
      <c r="C75" s="7">
        <f t="shared" si="1"/>
        <v>0</v>
      </c>
      <c r="D75" s="7"/>
      <c r="E75" s="6">
        <f t="shared" si="0"/>
        <v>0</v>
      </c>
      <c r="F75" s="6">
        <f t="shared" si="0"/>
        <v>0</v>
      </c>
      <c r="G75" s="62"/>
      <c r="H75" s="62"/>
      <c r="I75" s="60"/>
      <c r="J75" s="60"/>
      <c r="K75" s="64"/>
      <c r="L75" s="64"/>
      <c r="M75" s="25"/>
      <c r="N75" s="25"/>
    </row>
    <row r="76" spans="1:14">
      <c r="A76" s="3" t="s">
        <v>119</v>
      </c>
      <c r="B76" s="4" t="s">
        <v>120</v>
      </c>
      <c r="C76" s="7">
        <f t="shared" si="1"/>
        <v>0</v>
      </c>
      <c r="D76" s="7"/>
      <c r="E76" s="6">
        <f t="shared" si="0"/>
        <v>0</v>
      </c>
      <c r="F76" s="6">
        <f t="shared" si="0"/>
        <v>0</v>
      </c>
      <c r="G76" s="62"/>
      <c r="H76" s="62"/>
      <c r="I76" s="60"/>
      <c r="J76" s="60"/>
      <c r="K76" s="64"/>
      <c r="L76" s="64"/>
      <c r="M76" s="25"/>
      <c r="N76" s="25"/>
    </row>
    <row r="77" spans="1:14">
      <c r="A77" s="3" t="s">
        <v>121</v>
      </c>
      <c r="B77" s="4" t="s">
        <v>122</v>
      </c>
      <c r="C77" s="7">
        <f t="shared" si="1"/>
        <v>0</v>
      </c>
      <c r="D77" s="7"/>
      <c r="E77" s="6">
        <f t="shared" si="0"/>
        <v>0</v>
      </c>
      <c r="F77" s="6">
        <f t="shared" si="0"/>
        <v>0</v>
      </c>
      <c r="G77" s="62"/>
      <c r="H77" s="62"/>
      <c r="I77" s="60"/>
      <c r="J77" s="60"/>
      <c r="K77" s="64"/>
      <c r="L77" s="64"/>
      <c r="M77" s="25"/>
      <c r="N77" s="25"/>
    </row>
    <row r="78" spans="1:14">
      <c r="A78" s="3" t="s">
        <v>123</v>
      </c>
      <c r="B78" s="4" t="s">
        <v>124</v>
      </c>
      <c r="C78" s="7">
        <f t="shared" si="1"/>
        <v>0</v>
      </c>
      <c r="D78" s="7"/>
      <c r="E78" s="6">
        <f t="shared" ref="E78:F141" si="2">SUM(G78,I78,K78,M78)</f>
        <v>0</v>
      </c>
      <c r="F78" s="6">
        <f t="shared" si="2"/>
        <v>0</v>
      </c>
      <c r="G78" s="62"/>
      <c r="H78" s="62"/>
      <c r="I78" s="60"/>
      <c r="J78" s="60"/>
      <c r="K78" s="64"/>
      <c r="L78" s="64"/>
      <c r="M78" s="25"/>
      <c r="N78" s="25"/>
    </row>
    <row r="79" spans="1:14">
      <c r="A79" s="3" t="s">
        <v>125</v>
      </c>
      <c r="B79" s="4">
        <v>201</v>
      </c>
      <c r="C79" s="7">
        <f t="shared" si="1"/>
        <v>0</v>
      </c>
      <c r="D79" s="7"/>
      <c r="E79" s="6">
        <f t="shared" si="2"/>
        <v>0</v>
      </c>
      <c r="F79" s="6">
        <f t="shared" si="2"/>
        <v>0</v>
      </c>
      <c r="G79" s="62"/>
      <c r="H79" s="62"/>
      <c r="I79" s="60"/>
      <c r="J79" s="60"/>
      <c r="K79" s="64"/>
      <c r="L79" s="64"/>
      <c r="M79" s="25"/>
      <c r="N79" s="25"/>
    </row>
    <row r="80" spans="1:14">
      <c r="A80" s="3" t="s">
        <v>126</v>
      </c>
      <c r="B80" s="4">
        <v>202</v>
      </c>
      <c r="C80" s="7">
        <f t="shared" si="1"/>
        <v>0</v>
      </c>
      <c r="D80" s="7"/>
      <c r="E80" s="6">
        <f t="shared" si="2"/>
        <v>0</v>
      </c>
      <c r="F80" s="6">
        <f t="shared" si="2"/>
        <v>0</v>
      </c>
      <c r="G80" s="62"/>
      <c r="H80" s="62"/>
      <c r="I80" s="60"/>
      <c r="J80" s="60"/>
      <c r="K80" s="64"/>
      <c r="L80" s="64"/>
      <c r="M80" s="25"/>
      <c r="N80" s="25"/>
    </row>
    <row r="81" spans="1:14">
      <c r="A81" s="8" t="s">
        <v>127</v>
      </c>
      <c r="B81" s="4">
        <v>302</v>
      </c>
      <c r="C81" s="7"/>
      <c r="D81" s="7">
        <f>F81-E81</f>
        <v>0</v>
      </c>
      <c r="E81" s="6">
        <f t="shared" si="2"/>
        <v>0</v>
      </c>
      <c r="F81" s="6">
        <f t="shared" si="2"/>
        <v>0</v>
      </c>
      <c r="G81" s="62"/>
      <c r="H81" s="62"/>
      <c r="I81" s="60"/>
      <c r="J81" s="60"/>
      <c r="K81" s="64"/>
      <c r="L81" s="64"/>
      <c r="M81" s="25"/>
      <c r="N81" s="25"/>
    </row>
    <row r="82" spans="1:14">
      <c r="A82" s="3" t="s">
        <v>128</v>
      </c>
      <c r="B82" s="4">
        <v>203</v>
      </c>
      <c r="C82" s="7">
        <f>E82-F82</f>
        <v>0</v>
      </c>
      <c r="D82" s="7"/>
      <c r="E82" s="6">
        <f t="shared" si="2"/>
        <v>0</v>
      </c>
      <c r="F82" s="6">
        <f t="shared" si="2"/>
        <v>0</v>
      </c>
      <c r="G82" s="62"/>
      <c r="H82" s="62"/>
      <c r="I82" s="60"/>
      <c r="J82" s="60"/>
      <c r="K82" s="64"/>
      <c r="L82" s="64"/>
      <c r="M82" s="25"/>
      <c r="N82" s="25"/>
    </row>
    <row r="83" spans="1:14">
      <c r="A83" s="3" t="s">
        <v>129</v>
      </c>
      <c r="B83" s="4">
        <v>303</v>
      </c>
      <c r="C83" s="7"/>
      <c r="D83" s="7">
        <f>F83-E83</f>
        <v>0</v>
      </c>
      <c r="E83" s="6">
        <f t="shared" si="2"/>
        <v>0</v>
      </c>
      <c r="F83" s="6">
        <f t="shared" si="2"/>
        <v>0</v>
      </c>
      <c r="G83" s="62"/>
      <c r="H83" s="62"/>
      <c r="I83" s="60"/>
      <c r="J83" s="60"/>
      <c r="K83" s="64"/>
      <c r="L83" s="64"/>
      <c r="M83" s="25"/>
      <c r="N83" s="25"/>
    </row>
    <row r="84" spans="1:14">
      <c r="A84" s="3" t="s">
        <v>130</v>
      </c>
      <c r="B84" s="4">
        <v>204</v>
      </c>
      <c r="C84" s="7">
        <f>E84-F84</f>
        <v>0</v>
      </c>
      <c r="D84" s="7"/>
      <c r="E84" s="6">
        <f t="shared" si="2"/>
        <v>0</v>
      </c>
      <c r="F84" s="6">
        <f t="shared" si="2"/>
        <v>0</v>
      </c>
      <c r="G84" s="62"/>
      <c r="H84" s="62"/>
      <c r="I84" s="60"/>
      <c r="J84" s="60"/>
      <c r="K84" s="64"/>
      <c r="L84" s="64"/>
      <c r="M84" s="25"/>
      <c r="N84" s="25"/>
    </row>
    <row r="85" spans="1:14">
      <c r="A85" s="3" t="s">
        <v>131</v>
      </c>
      <c r="B85" s="4">
        <v>304</v>
      </c>
      <c r="C85" s="7"/>
      <c r="D85" s="7">
        <f>F85-E85</f>
        <v>0</v>
      </c>
      <c r="E85" s="6">
        <f t="shared" si="2"/>
        <v>0</v>
      </c>
      <c r="F85" s="6">
        <f t="shared" si="2"/>
        <v>0</v>
      </c>
      <c r="G85" s="62"/>
      <c r="H85" s="62"/>
      <c r="I85" s="60"/>
      <c r="J85" s="60"/>
      <c r="K85" s="64"/>
      <c r="L85" s="64"/>
      <c r="M85" s="25"/>
      <c r="N85" s="25"/>
    </row>
    <row r="86" spans="1:14">
      <c r="A86" s="3" t="s">
        <v>132</v>
      </c>
      <c r="B86" s="4">
        <v>205</v>
      </c>
      <c r="C86" s="7">
        <f>E86-F86</f>
        <v>0</v>
      </c>
      <c r="D86" s="7"/>
      <c r="E86" s="6">
        <f t="shared" si="2"/>
        <v>0</v>
      </c>
      <c r="F86" s="6">
        <f t="shared" si="2"/>
        <v>0</v>
      </c>
      <c r="G86" s="62"/>
      <c r="H86" s="62"/>
      <c r="I86" s="60"/>
      <c r="J86" s="60"/>
      <c r="K86" s="64"/>
      <c r="L86" s="64"/>
      <c r="M86" s="25"/>
      <c r="N86" s="25"/>
    </row>
    <row r="87" spans="1:14" ht="28.5">
      <c r="A87" s="8" t="s">
        <v>133</v>
      </c>
      <c r="B87" s="4">
        <v>305</v>
      </c>
      <c r="C87" s="7"/>
      <c r="D87" s="7">
        <f>F87-E87</f>
        <v>0</v>
      </c>
      <c r="E87" s="6">
        <f t="shared" si="2"/>
        <v>0</v>
      </c>
      <c r="F87" s="6">
        <f t="shared" si="2"/>
        <v>0</v>
      </c>
      <c r="G87" s="62"/>
      <c r="H87" s="62"/>
      <c r="I87" s="60"/>
      <c r="J87" s="60"/>
      <c r="K87" s="64"/>
      <c r="L87" s="64"/>
      <c r="M87" s="25"/>
      <c r="N87" s="25"/>
    </row>
    <row r="88" spans="1:14">
      <c r="A88" s="8" t="s">
        <v>134</v>
      </c>
      <c r="B88" s="4" t="s">
        <v>135</v>
      </c>
      <c r="C88" s="7">
        <f>E88-F88</f>
        <v>0</v>
      </c>
      <c r="D88" s="7"/>
      <c r="E88" s="6">
        <f t="shared" si="2"/>
        <v>0</v>
      </c>
      <c r="F88" s="6">
        <f t="shared" si="2"/>
        <v>0</v>
      </c>
      <c r="G88" s="62"/>
      <c r="H88" s="62"/>
      <c r="I88" s="60"/>
      <c r="J88" s="60"/>
      <c r="K88" s="64"/>
      <c r="L88" s="64"/>
      <c r="M88" s="25"/>
      <c r="N88" s="25"/>
    </row>
    <row r="89" spans="1:14">
      <c r="A89" s="8" t="s">
        <v>136</v>
      </c>
      <c r="B89" s="4" t="s">
        <v>137</v>
      </c>
      <c r="C89" s="7"/>
      <c r="D89" s="7">
        <f>F89-E89</f>
        <v>0</v>
      </c>
      <c r="E89" s="6">
        <f t="shared" si="2"/>
        <v>0</v>
      </c>
      <c r="F89" s="6">
        <f t="shared" si="2"/>
        <v>0</v>
      </c>
      <c r="G89" s="62"/>
      <c r="H89" s="62"/>
      <c r="I89" s="60"/>
      <c r="J89" s="60"/>
      <c r="K89" s="64"/>
      <c r="L89" s="64"/>
      <c r="M89" s="25"/>
      <c r="N89" s="25"/>
    </row>
    <row r="90" spans="1:14">
      <c r="A90" s="8" t="s">
        <v>138</v>
      </c>
      <c r="B90" s="4" t="s">
        <v>139</v>
      </c>
      <c r="C90" s="7">
        <f>E90-F90</f>
        <v>0</v>
      </c>
      <c r="D90" s="7"/>
      <c r="E90" s="6">
        <f t="shared" si="2"/>
        <v>0</v>
      </c>
      <c r="F90" s="6">
        <f t="shared" si="2"/>
        <v>0</v>
      </c>
      <c r="G90" s="62"/>
      <c r="H90" s="62"/>
      <c r="I90" s="60"/>
      <c r="J90" s="60"/>
      <c r="K90" s="64"/>
      <c r="L90" s="64"/>
      <c r="M90" s="25"/>
      <c r="N90" s="25"/>
    </row>
    <row r="91" spans="1:14">
      <c r="A91" s="8" t="s">
        <v>140</v>
      </c>
      <c r="B91" s="4" t="s">
        <v>141</v>
      </c>
      <c r="C91" s="7"/>
      <c r="D91" s="7">
        <f>F91-E91</f>
        <v>0</v>
      </c>
      <c r="E91" s="6">
        <f t="shared" si="2"/>
        <v>0</v>
      </c>
      <c r="F91" s="6">
        <f t="shared" si="2"/>
        <v>0</v>
      </c>
      <c r="G91" s="62"/>
      <c r="H91" s="62"/>
      <c r="I91" s="60"/>
      <c r="J91" s="60"/>
      <c r="K91" s="64"/>
      <c r="L91" s="64"/>
      <c r="M91" s="25"/>
      <c r="N91" s="25"/>
    </row>
    <row r="92" spans="1:14">
      <c r="A92" s="8" t="s">
        <v>142</v>
      </c>
      <c r="B92" s="4" t="s">
        <v>143</v>
      </c>
      <c r="C92" s="7">
        <f>E92-F92</f>
        <v>0</v>
      </c>
      <c r="D92" s="7"/>
      <c r="E92" s="6">
        <f t="shared" si="2"/>
        <v>0</v>
      </c>
      <c r="F92" s="6">
        <f t="shared" si="2"/>
        <v>0</v>
      </c>
      <c r="G92" s="62"/>
      <c r="H92" s="62"/>
      <c r="I92" s="60"/>
      <c r="J92" s="60"/>
      <c r="K92" s="64"/>
      <c r="L92" s="64"/>
      <c r="M92" s="25"/>
      <c r="N92" s="25"/>
    </row>
    <row r="93" spans="1:14" ht="28.5">
      <c r="A93" s="8" t="s">
        <v>144</v>
      </c>
      <c r="B93" s="4" t="s">
        <v>145</v>
      </c>
      <c r="C93" s="7"/>
      <c r="D93" s="7">
        <f>F93-E93</f>
        <v>0</v>
      </c>
      <c r="E93" s="6">
        <f t="shared" si="2"/>
        <v>0</v>
      </c>
      <c r="F93" s="6">
        <f t="shared" si="2"/>
        <v>0</v>
      </c>
      <c r="G93" s="62"/>
      <c r="H93" s="62"/>
      <c r="I93" s="60"/>
      <c r="J93" s="60"/>
      <c r="K93" s="64"/>
      <c r="L93" s="64"/>
      <c r="M93" s="25"/>
      <c r="N93" s="25"/>
    </row>
    <row r="94" spans="1:14">
      <c r="A94" s="8" t="s">
        <v>146</v>
      </c>
      <c r="B94" s="4" t="s">
        <v>147</v>
      </c>
      <c r="C94" s="7">
        <f>E94-F94</f>
        <v>0</v>
      </c>
      <c r="D94" s="7"/>
      <c r="E94" s="6">
        <f t="shared" si="2"/>
        <v>0</v>
      </c>
      <c r="F94" s="6">
        <f t="shared" si="2"/>
        <v>0</v>
      </c>
      <c r="G94" s="62"/>
      <c r="H94" s="62"/>
      <c r="I94" s="60"/>
      <c r="J94" s="60"/>
      <c r="K94" s="64"/>
      <c r="L94" s="64"/>
      <c r="M94" s="25"/>
      <c r="N94" s="25"/>
    </row>
    <row r="95" spans="1:14" ht="28.5">
      <c r="A95" s="8" t="s">
        <v>148</v>
      </c>
      <c r="B95" s="4" t="s">
        <v>149</v>
      </c>
      <c r="C95" s="7"/>
      <c r="D95" s="7">
        <f>F95-E95</f>
        <v>0</v>
      </c>
      <c r="E95" s="6">
        <f t="shared" si="2"/>
        <v>0</v>
      </c>
      <c r="F95" s="6">
        <f t="shared" si="2"/>
        <v>0</v>
      </c>
      <c r="G95" s="62"/>
      <c r="H95" s="62"/>
      <c r="I95" s="60"/>
      <c r="J95" s="60"/>
      <c r="K95" s="64"/>
      <c r="L95" s="64"/>
      <c r="M95" s="25"/>
      <c r="N95" s="25"/>
    </row>
    <row r="96" spans="1:14">
      <c r="A96" s="8" t="s">
        <v>150</v>
      </c>
      <c r="B96" s="4" t="s">
        <v>151</v>
      </c>
      <c r="C96" s="7">
        <f>E96-F96</f>
        <v>0</v>
      </c>
      <c r="D96" s="7"/>
      <c r="E96" s="6">
        <f t="shared" si="2"/>
        <v>0</v>
      </c>
      <c r="F96" s="6">
        <f t="shared" si="2"/>
        <v>0</v>
      </c>
      <c r="G96" s="62"/>
      <c r="H96" s="62"/>
      <c r="I96" s="60"/>
      <c r="J96" s="60"/>
      <c r="K96" s="64"/>
      <c r="L96" s="64"/>
      <c r="M96" s="25"/>
      <c r="N96" s="25"/>
    </row>
    <row r="97" spans="1:14">
      <c r="A97" s="8" t="s">
        <v>152</v>
      </c>
      <c r="B97" s="4" t="s">
        <v>153</v>
      </c>
      <c r="C97" s="7"/>
      <c r="D97" s="7">
        <f>F97-E97</f>
        <v>0</v>
      </c>
      <c r="E97" s="6">
        <f t="shared" si="2"/>
        <v>0</v>
      </c>
      <c r="F97" s="6">
        <f t="shared" si="2"/>
        <v>0</v>
      </c>
      <c r="G97" s="62"/>
      <c r="H97" s="62"/>
      <c r="I97" s="60"/>
      <c r="J97" s="60"/>
      <c r="K97" s="64"/>
      <c r="L97" s="64"/>
      <c r="M97" s="25"/>
      <c r="N97" s="25"/>
    </row>
    <row r="98" spans="1:14">
      <c r="A98" s="8" t="s">
        <v>154</v>
      </c>
      <c r="B98" s="4" t="s">
        <v>155</v>
      </c>
      <c r="C98" s="7">
        <f>E98-F98</f>
        <v>0</v>
      </c>
      <c r="D98" s="7"/>
      <c r="E98" s="6">
        <f t="shared" si="2"/>
        <v>0</v>
      </c>
      <c r="F98" s="6">
        <f t="shared" si="2"/>
        <v>0</v>
      </c>
      <c r="G98" s="62"/>
      <c r="H98" s="62"/>
      <c r="I98" s="60"/>
      <c r="J98" s="60"/>
      <c r="K98" s="64"/>
      <c r="L98" s="64"/>
      <c r="M98" s="25"/>
      <c r="N98" s="25"/>
    </row>
    <row r="99" spans="1:14" ht="28.5">
      <c r="A99" s="8" t="s">
        <v>156</v>
      </c>
      <c r="B99" s="4" t="s">
        <v>157</v>
      </c>
      <c r="C99" s="7"/>
      <c r="D99" s="7">
        <f>F99-E99</f>
        <v>0</v>
      </c>
      <c r="E99" s="6">
        <f t="shared" si="2"/>
        <v>0</v>
      </c>
      <c r="F99" s="6">
        <f t="shared" si="2"/>
        <v>0</v>
      </c>
      <c r="G99" s="62"/>
      <c r="H99" s="62"/>
      <c r="I99" s="60"/>
      <c r="J99" s="60"/>
      <c r="K99" s="64"/>
      <c r="L99" s="64"/>
      <c r="M99" s="25"/>
      <c r="N99" s="25"/>
    </row>
    <row r="100" spans="1:14">
      <c r="A100" s="8" t="s">
        <v>158</v>
      </c>
      <c r="B100" s="4" t="s">
        <v>159</v>
      </c>
      <c r="C100" s="7">
        <f>E100-F100</f>
        <v>0</v>
      </c>
      <c r="D100" s="7"/>
      <c r="E100" s="6">
        <f t="shared" si="2"/>
        <v>0</v>
      </c>
      <c r="F100" s="6">
        <f t="shared" si="2"/>
        <v>0</v>
      </c>
      <c r="G100" s="62"/>
      <c r="H100" s="62"/>
      <c r="I100" s="60"/>
      <c r="J100" s="60"/>
      <c r="K100" s="64"/>
      <c r="L100" s="64"/>
      <c r="M100" s="25"/>
      <c r="N100" s="25"/>
    </row>
    <row r="101" spans="1:14" ht="28.5">
      <c r="A101" s="8" t="s">
        <v>160</v>
      </c>
      <c r="B101" s="4" t="s">
        <v>161</v>
      </c>
      <c r="C101" s="7"/>
      <c r="D101" s="7">
        <f>F101-E101</f>
        <v>0</v>
      </c>
      <c r="E101" s="6">
        <f t="shared" si="2"/>
        <v>0</v>
      </c>
      <c r="F101" s="6">
        <f t="shared" si="2"/>
        <v>0</v>
      </c>
      <c r="G101" s="62"/>
      <c r="H101" s="62"/>
      <c r="I101" s="60"/>
      <c r="J101" s="60"/>
      <c r="K101" s="64"/>
      <c r="L101" s="64"/>
      <c r="M101" s="25"/>
      <c r="N101" s="25"/>
    </row>
    <row r="102" spans="1:14">
      <c r="A102" s="8" t="s">
        <v>162</v>
      </c>
      <c r="B102" s="4" t="s">
        <v>163</v>
      </c>
      <c r="C102" s="7">
        <f>E102-F102</f>
        <v>0</v>
      </c>
      <c r="D102" s="7"/>
      <c r="E102" s="6">
        <f t="shared" si="2"/>
        <v>0</v>
      </c>
      <c r="F102" s="6">
        <f t="shared" si="2"/>
        <v>0</v>
      </c>
      <c r="G102" s="62"/>
      <c r="H102" s="62"/>
      <c r="I102" s="60"/>
      <c r="J102" s="60"/>
      <c r="K102" s="64"/>
      <c r="L102" s="64"/>
      <c r="M102" s="25"/>
      <c r="N102" s="25"/>
    </row>
    <row r="103" spans="1:14" ht="28.5">
      <c r="A103" s="8" t="s">
        <v>164</v>
      </c>
      <c r="B103" s="4" t="s">
        <v>165</v>
      </c>
      <c r="C103" s="7"/>
      <c r="D103" s="7">
        <f>F103-E103</f>
        <v>0</v>
      </c>
      <c r="E103" s="6">
        <f t="shared" si="2"/>
        <v>0</v>
      </c>
      <c r="F103" s="6">
        <f t="shared" si="2"/>
        <v>0</v>
      </c>
      <c r="G103" s="62"/>
      <c r="H103" s="62"/>
      <c r="I103" s="60"/>
      <c r="J103" s="60"/>
      <c r="K103" s="64"/>
      <c r="L103" s="64"/>
      <c r="M103" s="25"/>
      <c r="N103" s="25"/>
    </row>
    <row r="104" spans="1:14">
      <c r="A104" s="8" t="s">
        <v>166</v>
      </c>
      <c r="B104" s="4" t="s">
        <v>167</v>
      </c>
      <c r="C104" s="7">
        <f>E104-F104</f>
        <v>0</v>
      </c>
      <c r="D104" s="7"/>
      <c r="E104" s="6">
        <f t="shared" si="2"/>
        <v>0</v>
      </c>
      <c r="F104" s="6">
        <f t="shared" si="2"/>
        <v>0</v>
      </c>
      <c r="G104" s="62"/>
      <c r="H104" s="62"/>
      <c r="I104" s="60"/>
      <c r="J104" s="60"/>
      <c r="K104" s="64"/>
      <c r="L104" s="64"/>
      <c r="M104" s="25"/>
      <c r="N104" s="25"/>
    </row>
    <row r="105" spans="1:14">
      <c r="A105" s="8" t="s">
        <v>168</v>
      </c>
      <c r="B105" s="4" t="s">
        <v>169</v>
      </c>
      <c r="C105" s="7"/>
      <c r="D105" s="7">
        <f>F105-E105</f>
        <v>0</v>
      </c>
      <c r="E105" s="6">
        <f t="shared" si="2"/>
        <v>0</v>
      </c>
      <c r="F105" s="6">
        <f t="shared" si="2"/>
        <v>0</v>
      </c>
      <c r="G105" s="62"/>
      <c r="H105" s="62"/>
      <c r="I105" s="60"/>
      <c r="J105" s="60"/>
      <c r="K105" s="64"/>
      <c r="L105" s="64"/>
      <c r="M105" s="25"/>
      <c r="N105" s="25"/>
    </row>
    <row r="106" spans="1:14">
      <c r="A106" s="8" t="s">
        <v>170</v>
      </c>
      <c r="B106" s="4" t="s">
        <v>171</v>
      </c>
      <c r="C106" s="7">
        <f>E106-F106</f>
        <v>0</v>
      </c>
      <c r="D106" s="7"/>
      <c r="E106" s="6">
        <f t="shared" si="2"/>
        <v>0</v>
      </c>
      <c r="F106" s="6">
        <f t="shared" si="2"/>
        <v>0</v>
      </c>
      <c r="G106" s="62"/>
      <c r="H106" s="62"/>
      <c r="I106" s="60"/>
      <c r="J106" s="60"/>
      <c r="K106" s="64"/>
      <c r="L106" s="64"/>
      <c r="M106" s="25"/>
      <c r="N106" s="25"/>
    </row>
    <row r="107" spans="1:14" ht="28.5">
      <c r="A107" s="8" t="s">
        <v>172</v>
      </c>
      <c r="B107" s="4" t="s">
        <v>173</v>
      </c>
      <c r="C107" s="7"/>
      <c r="D107" s="7">
        <f>F107-E107</f>
        <v>0</v>
      </c>
      <c r="E107" s="6">
        <f t="shared" si="2"/>
        <v>0</v>
      </c>
      <c r="F107" s="6">
        <f t="shared" si="2"/>
        <v>0</v>
      </c>
      <c r="G107" s="62"/>
      <c r="H107" s="62"/>
      <c r="I107" s="60"/>
      <c r="J107" s="60"/>
      <c r="K107" s="64"/>
      <c r="L107" s="64"/>
      <c r="M107" s="25"/>
      <c r="N107" s="25"/>
    </row>
    <row r="108" spans="1:14">
      <c r="A108" s="8" t="s">
        <v>174</v>
      </c>
      <c r="B108" s="4" t="s">
        <v>175</v>
      </c>
      <c r="C108" s="7">
        <f>E108-F108</f>
        <v>0</v>
      </c>
      <c r="D108" s="7"/>
      <c r="E108" s="6">
        <f t="shared" si="2"/>
        <v>0</v>
      </c>
      <c r="F108" s="6">
        <f t="shared" si="2"/>
        <v>0</v>
      </c>
      <c r="G108" s="62"/>
      <c r="H108" s="62"/>
      <c r="I108" s="60"/>
      <c r="J108" s="60"/>
      <c r="K108" s="64"/>
      <c r="L108" s="64"/>
      <c r="M108" s="25"/>
      <c r="N108" s="25"/>
    </row>
    <row r="109" spans="1:14">
      <c r="A109" s="8" t="s">
        <v>176</v>
      </c>
      <c r="B109" s="4" t="s">
        <v>177</v>
      </c>
      <c r="C109" s="7"/>
      <c r="D109" s="7">
        <f>F109-E109</f>
        <v>0</v>
      </c>
      <c r="E109" s="6">
        <f t="shared" si="2"/>
        <v>0</v>
      </c>
      <c r="F109" s="6">
        <f t="shared" si="2"/>
        <v>0</v>
      </c>
      <c r="G109" s="62"/>
      <c r="H109" s="62"/>
      <c r="I109" s="60"/>
      <c r="J109" s="60"/>
      <c r="K109" s="64"/>
      <c r="L109" s="64"/>
      <c r="M109" s="25"/>
      <c r="N109" s="25"/>
    </row>
    <row r="110" spans="1:14">
      <c r="A110" s="8" t="s">
        <v>178</v>
      </c>
      <c r="B110" s="4" t="s">
        <v>179</v>
      </c>
      <c r="C110" s="7">
        <f>E110-F110</f>
        <v>0</v>
      </c>
      <c r="D110" s="7"/>
      <c r="E110" s="6">
        <f t="shared" si="2"/>
        <v>0</v>
      </c>
      <c r="F110" s="6">
        <f t="shared" si="2"/>
        <v>0</v>
      </c>
      <c r="G110" s="62"/>
      <c r="H110" s="62"/>
      <c r="I110" s="60"/>
      <c r="J110" s="60"/>
      <c r="K110" s="64"/>
      <c r="L110" s="64"/>
      <c r="M110" s="25"/>
      <c r="N110" s="25"/>
    </row>
    <row r="111" spans="1:14">
      <c r="A111" s="8" t="s">
        <v>180</v>
      </c>
      <c r="B111" s="4" t="s">
        <v>181</v>
      </c>
      <c r="C111" s="7"/>
      <c r="D111" s="7">
        <f>F111-E111</f>
        <v>0</v>
      </c>
      <c r="E111" s="6">
        <f t="shared" si="2"/>
        <v>0</v>
      </c>
      <c r="F111" s="6">
        <f t="shared" si="2"/>
        <v>0</v>
      </c>
      <c r="G111" s="62"/>
      <c r="H111" s="62"/>
      <c r="I111" s="60"/>
      <c r="J111" s="60"/>
      <c r="K111" s="64"/>
      <c r="L111" s="64"/>
      <c r="M111" s="25"/>
      <c r="N111" s="25"/>
    </row>
    <row r="112" spans="1:14">
      <c r="A112" s="8" t="s">
        <v>182</v>
      </c>
      <c r="B112" s="4" t="s">
        <v>183</v>
      </c>
      <c r="C112" s="7">
        <f>E112-F112</f>
        <v>0</v>
      </c>
      <c r="D112" s="7"/>
      <c r="E112" s="6">
        <f t="shared" si="2"/>
        <v>0</v>
      </c>
      <c r="F112" s="6">
        <f t="shared" si="2"/>
        <v>0</v>
      </c>
      <c r="G112" s="62"/>
      <c r="H112" s="62"/>
      <c r="I112" s="60"/>
      <c r="J112" s="60"/>
      <c r="K112" s="64"/>
      <c r="L112" s="64"/>
      <c r="M112" s="25"/>
      <c r="N112" s="25"/>
    </row>
    <row r="113" spans="1:14">
      <c r="A113" s="8" t="s">
        <v>184</v>
      </c>
      <c r="B113" s="4" t="s">
        <v>185</v>
      </c>
      <c r="C113" s="7"/>
      <c r="D113" s="7">
        <f>F113-E113</f>
        <v>0</v>
      </c>
      <c r="E113" s="6">
        <f t="shared" si="2"/>
        <v>0</v>
      </c>
      <c r="F113" s="6">
        <f t="shared" si="2"/>
        <v>0</v>
      </c>
      <c r="G113" s="62"/>
      <c r="H113" s="62"/>
      <c r="I113" s="60"/>
      <c r="J113" s="60"/>
      <c r="K113" s="64"/>
      <c r="L113" s="64"/>
      <c r="M113" s="25"/>
      <c r="N113" s="25"/>
    </row>
    <row r="114" spans="1:14">
      <c r="A114" s="8" t="s">
        <v>186</v>
      </c>
      <c r="B114" s="4" t="s">
        <v>187</v>
      </c>
      <c r="C114" s="7">
        <f>E114-F114</f>
        <v>1000000</v>
      </c>
      <c r="D114" s="7"/>
      <c r="E114" s="6">
        <f t="shared" si="2"/>
        <v>1000000</v>
      </c>
      <c r="F114" s="6">
        <f t="shared" si="2"/>
        <v>0</v>
      </c>
      <c r="G114" s="62">
        <v>1000000</v>
      </c>
      <c r="H114" s="62"/>
      <c r="I114" s="60"/>
      <c r="J114" s="60"/>
      <c r="K114" s="64"/>
      <c r="L114" s="64"/>
      <c r="M114" s="25"/>
      <c r="N114" s="25"/>
    </row>
    <row r="115" spans="1:14" ht="28.5">
      <c r="A115" s="8" t="s">
        <v>188</v>
      </c>
      <c r="B115" s="4" t="s">
        <v>189</v>
      </c>
      <c r="C115" s="7"/>
      <c r="D115" s="7">
        <f>F115-E115</f>
        <v>0</v>
      </c>
      <c r="E115" s="6">
        <f t="shared" si="2"/>
        <v>0</v>
      </c>
      <c r="F115" s="6">
        <f t="shared" si="2"/>
        <v>0</v>
      </c>
      <c r="G115" s="62"/>
      <c r="H115" s="62"/>
      <c r="I115" s="60"/>
      <c r="J115" s="60"/>
      <c r="K115" s="64"/>
      <c r="L115" s="64"/>
      <c r="M115" s="25"/>
      <c r="N115" s="25"/>
    </row>
    <row r="116" spans="1:14">
      <c r="A116" s="8" t="s">
        <v>190</v>
      </c>
      <c r="B116" s="4" t="s">
        <v>191</v>
      </c>
      <c r="C116" s="7">
        <f>E116-F116</f>
        <v>0</v>
      </c>
      <c r="D116" s="7"/>
      <c r="E116" s="6">
        <f t="shared" si="2"/>
        <v>0</v>
      </c>
      <c r="F116" s="6">
        <f t="shared" si="2"/>
        <v>0</v>
      </c>
      <c r="G116" s="62"/>
      <c r="H116" s="62"/>
      <c r="I116" s="60"/>
      <c r="J116" s="60"/>
      <c r="K116" s="64"/>
      <c r="L116" s="64"/>
      <c r="M116" s="25"/>
      <c r="N116" s="25"/>
    </row>
    <row r="117" spans="1:14">
      <c r="A117" s="8" t="s">
        <v>192</v>
      </c>
      <c r="B117" s="4" t="s">
        <v>193</v>
      </c>
      <c r="C117" s="7"/>
      <c r="D117" s="7">
        <f>F117-E117</f>
        <v>0</v>
      </c>
      <c r="E117" s="6">
        <f t="shared" si="2"/>
        <v>0</v>
      </c>
      <c r="F117" s="6">
        <f t="shared" si="2"/>
        <v>0</v>
      </c>
      <c r="G117" s="62"/>
      <c r="H117" s="62"/>
      <c r="I117" s="60"/>
      <c r="J117" s="60"/>
      <c r="K117" s="64"/>
      <c r="L117" s="64"/>
      <c r="M117" s="25"/>
      <c r="N117" s="25"/>
    </row>
    <row r="118" spans="1:14">
      <c r="A118" s="8" t="s">
        <v>194</v>
      </c>
      <c r="B118" s="4" t="s">
        <v>195</v>
      </c>
      <c r="C118" s="7">
        <f>E118-F118</f>
        <v>0</v>
      </c>
      <c r="D118" s="7"/>
      <c r="E118" s="6">
        <f t="shared" si="2"/>
        <v>0</v>
      </c>
      <c r="F118" s="6">
        <f t="shared" si="2"/>
        <v>0</v>
      </c>
      <c r="G118" s="62"/>
      <c r="H118" s="62"/>
      <c r="I118" s="60"/>
      <c r="J118" s="60"/>
      <c r="K118" s="64"/>
      <c r="L118" s="64"/>
      <c r="M118" s="25"/>
      <c r="N118" s="25"/>
    </row>
    <row r="119" spans="1:14" ht="28.5">
      <c r="A119" s="8" t="s">
        <v>196</v>
      </c>
      <c r="B119" s="4" t="s">
        <v>197</v>
      </c>
      <c r="C119" s="7"/>
      <c r="D119" s="7">
        <f>F119-E119</f>
        <v>0</v>
      </c>
      <c r="E119" s="6">
        <f t="shared" si="2"/>
        <v>0</v>
      </c>
      <c r="F119" s="6">
        <f t="shared" si="2"/>
        <v>0</v>
      </c>
      <c r="G119" s="62"/>
      <c r="H119" s="62"/>
      <c r="I119" s="60"/>
      <c r="J119" s="60"/>
      <c r="K119" s="64"/>
      <c r="L119" s="64"/>
      <c r="M119" s="25"/>
      <c r="N119" s="25"/>
    </row>
    <row r="120" spans="1:14">
      <c r="A120" s="8" t="s">
        <v>198</v>
      </c>
      <c r="B120" s="4" t="s">
        <v>199</v>
      </c>
      <c r="C120" s="7">
        <f>E120-F120</f>
        <v>0</v>
      </c>
      <c r="D120" s="7"/>
      <c r="E120" s="6">
        <f t="shared" si="2"/>
        <v>0</v>
      </c>
      <c r="F120" s="6">
        <f t="shared" si="2"/>
        <v>0</v>
      </c>
      <c r="G120" s="62"/>
      <c r="H120" s="62"/>
      <c r="I120" s="60"/>
      <c r="J120" s="60"/>
      <c r="K120" s="64"/>
      <c r="L120" s="64"/>
      <c r="M120" s="25"/>
      <c r="N120" s="25"/>
    </row>
    <row r="121" spans="1:14" ht="28.5">
      <c r="A121" s="8" t="s">
        <v>200</v>
      </c>
      <c r="B121" s="4" t="s">
        <v>201</v>
      </c>
      <c r="C121" s="7"/>
      <c r="D121" s="7">
        <f>F121-E121</f>
        <v>0</v>
      </c>
      <c r="E121" s="6">
        <f t="shared" si="2"/>
        <v>0</v>
      </c>
      <c r="F121" s="6">
        <f t="shared" si="2"/>
        <v>0</v>
      </c>
      <c r="G121" s="62"/>
      <c r="H121" s="62"/>
      <c r="I121" s="60"/>
      <c r="J121" s="60"/>
      <c r="K121" s="64"/>
      <c r="L121" s="64"/>
      <c r="M121" s="25"/>
      <c r="N121" s="25"/>
    </row>
    <row r="122" spans="1:14">
      <c r="A122" s="8" t="s">
        <v>202</v>
      </c>
      <c r="B122" s="4" t="s">
        <v>203</v>
      </c>
      <c r="C122" s="7">
        <f>E122-F122</f>
        <v>0</v>
      </c>
      <c r="D122" s="7"/>
      <c r="E122" s="6">
        <f t="shared" si="2"/>
        <v>0</v>
      </c>
      <c r="F122" s="6">
        <f t="shared" si="2"/>
        <v>0</v>
      </c>
      <c r="G122" s="62"/>
      <c r="H122" s="62"/>
      <c r="I122" s="60"/>
      <c r="J122" s="60"/>
      <c r="K122" s="64"/>
      <c r="L122" s="64"/>
      <c r="M122" s="25"/>
      <c r="N122" s="25"/>
    </row>
    <row r="123" spans="1:14" ht="28.5">
      <c r="A123" s="8" t="s">
        <v>204</v>
      </c>
      <c r="B123" s="4" t="s">
        <v>205</v>
      </c>
      <c r="C123" s="7"/>
      <c r="D123" s="7">
        <f>F123-E123</f>
        <v>0</v>
      </c>
      <c r="E123" s="6">
        <f t="shared" si="2"/>
        <v>0</v>
      </c>
      <c r="F123" s="6">
        <f t="shared" si="2"/>
        <v>0</v>
      </c>
      <c r="G123" s="62"/>
      <c r="H123" s="62"/>
      <c r="I123" s="60"/>
      <c r="J123" s="60"/>
      <c r="K123" s="64"/>
      <c r="L123" s="64"/>
      <c r="M123" s="25"/>
      <c r="N123" s="25"/>
    </row>
    <row r="124" spans="1:14">
      <c r="A124" s="8" t="s">
        <v>206</v>
      </c>
      <c r="B124" s="4" t="s">
        <v>207</v>
      </c>
      <c r="C124" s="7">
        <f>E124-F124</f>
        <v>0</v>
      </c>
      <c r="D124" s="7"/>
      <c r="E124" s="6">
        <f t="shared" si="2"/>
        <v>0</v>
      </c>
      <c r="F124" s="6">
        <f t="shared" si="2"/>
        <v>0</v>
      </c>
      <c r="G124" s="62"/>
      <c r="H124" s="62"/>
      <c r="I124" s="60"/>
      <c r="J124" s="60"/>
      <c r="K124" s="64"/>
      <c r="L124" s="64"/>
      <c r="M124" s="25"/>
      <c r="N124" s="25"/>
    </row>
    <row r="125" spans="1:14">
      <c r="A125" s="8" t="s">
        <v>208</v>
      </c>
      <c r="B125" s="4" t="s">
        <v>209</v>
      </c>
      <c r="C125" s="7"/>
      <c r="D125" s="7">
        <f>F125-E125</f>
        <v>0</v>
      </c>
      <c r="E125" s="6">
        <f t="shared" si="2"/>
        <v>0</v>
      </c>
      <c r="F125" s="6">
        <f t="shared" si="2"/>
        <v>0</v>
      </c>
      <c r="G125" s="62"/>
      <c r="H125" s="62"/>
      <c r="I125" s="60"/>
      <c r="J125" s="60"/>
      <c r="K125" s="64"/>
      <c r="L125" s="64"/>
      <c r="M125" s="25"/>
      <c r="N125" s="25"/>
    </row>
    <row r="126" spans="1:14">
      <c r="A126" s="8" t="s">
        <v>210</v>
      </c>
      <c r="B126" s="4" t="s">
        <v>211</v>
      </c>
      <c r="C126" s="7">
        <f>E126-F126</f>
        <v>0</v>
      </c>
      <c r="D126" s="7"/>
      <c r="E126" s="6">
        <f t="shared" si="2"/>
        <v>0</v>
      </c>
      <c r="F126" s="6">
        <f t="shared" si="2"/>
        <v>0</v>
      </c>
      <c r="G126" s="62"/>
      <c r="H126" s="62"/>
      <c r="I126" s="60"/>
      <c r="J126" s="60"/>
      <c r="K126" s="64"/>
      <c r="L126" s="64"/>
      <c r="M126" s="25"/>
      <c r="N126" s="25"/>
    </row>
    <row r="127" spans="1:14" ht="28.5">
      <c r="A127" s="8" t="s">
        <v>212</v>
      </c>
      <c r="B127" s="4" t="s">
        <v>213</v>
      </c>
      <c r="C127" s="7"/>
      <c r="D127" s="7">
        <f>F127-E127</f>
        <v>0</v>
      </c>
      <c r="E127" s="6">
        <f t="shared" si="2"/>
        <v>0</v>
      </c>
      <c r="F127" s="6">
        <f t="shared" si="2"/>
        <v>0</v>
      </c>
      <c r="G127" s="62"/>
      <c r="H127" s="62"/>
      <c r="I127" s="60"/>
      <c r="J127" s="60"/>
      <c r="K127" s="64"/>
      <c r="L127" s="64"/>
      <c r="M127" s="25"/>
      <c r="N127" s="25"/>
    </row>
    <row r="128" spans="1:14">
      <c r="A128" s="8" t="s">
        <v>214</v>
      </c>
      <c r="B128" s="4" t="s">
        <v>215</v>
      </c>
      <c r="C128" s="7">
        <f>E128-F128</f>
        <v>0</v>
      </c>
      <c r="D128" s="7"/>
      <c r="E128" s="6">
        <f t="shared" si="2"/>
        <v>0</v>
      </c>
      <c r="F128" s="6">
        <f t="shared" si="2"/>
        <v>0</v>
      </c>
      <c r="G128" s="62"/>
      <c r="H128" s="62"/>
      <c r="I128" s="60"/>
      <c r="J128" s="60"/>
      <c r="K128" s="64"/>
      <c r="L128" s="64"/>
      <c r="M128" s="25"/>
      <c r="N128" s="25"/>
    </row>
    <row r="129" spans="1:14" ht="28.5">
      <c r="A129" s="8" t="s">
        <v>216</v>
      </c>
      <c r="B129" s="4" t="s">
        <v>217</v>
      </c>
      <c r="C129" s="7"/>
      <c r="D129" s="7">
        <f>F129-E129</f>
        <v>0</v>
      </c>
      <c r="E129" s="6">
        <f t="shared" si="2"/>
        <v>0</v>
      </c>
      <c r="F129" s="6">
        <f t="shared" si="2"/>
        <v>0</v>
      </c>
      <c r="G129" s="62"/>
      <c r="H129" s="62"/>
      <c r="I129" s="60"/>
      <c r="J129" s="60"/>
      <c r="K129" s="64"/>
      <c r="L129" s="64"/>
      <c r="M129" s="25"/>
      <c r="N129" s="25"/>
    </row>
    <row r="130" spans="1:14">
      <c r="A130" s="8" t="s">
        <v>218</v>
      </c>
      <c r="B130" s="4" t="s">
        <v>219</v>
      </c>
      <c r="C130" s="7">
        <f>E130-F130</f>
        <v>0</v>
      </c>
      <c r="D130" s="7"/>
      <c r="E130" s="6">
        <f t="shared" si="2"/>
        <v>0</v>
      </c>
      <c r="F130" s="6">
        <f t="shared" si="2"/>
        <v>0</v>
      </c>
      <c r="G130" s="62"/>
      <c r="H130" s="62"/>
      <c r="I130" s="60"/>
      <c r="J130" s="60"/>
      <c r="K130" s="64"/>
      <c r="L130" s="64"/>
      <c r="M130" s="25"/>
      <c r="N130" s="25"/>
    </row>
    <row r="131" spans="1:14">
      <c r="A131" s="8" t="s">
        <v>220</v>
      </c>
      <c r="B131" s="4" t="s">
        <v>221</v>
      </c>
      <c r="C131" s="7"/>
      <c r="D131" s="7">
        <f>F131-E131</f>
        <v>0</v>
      </c>
      <c r="E131" s="6">
        <f t="shared" si="2"/>
        <v>0</v>
      </c>
      <c r="F131" s="6">
        <f t="shared" si="2"/>
        <v>0</v>
      </c>
      <c r="G131" s="62"/>
      <c r="H131" s="62"/>
      <c r="I131" s="60"/>
      <c r="J131" s="60"/>
      <c r="K131" s="64"/>
      <c r="L131" s="64"/>
      <c r="M131" s="25"/>
      <c r="N131" s="25"/>
    </row>
    <row r="132" spans="1:14">
      <c r="A132" s="8" t="s">
        <v>222</v>
      </c>
      <c r="B132" s="4" t="s">
        <v>223</v>
      </c>
      <c r="C132" s="7">
        <f>E132-F132</f>
        <v>0</v>
      </c>
      <c r="D132" s="7"/>
      <c r="E132" s="6">
        <f t="shared" si="2"/>
        <v>0</v>
      </c>
      <c r="F132" s="6">
        <f t="shared" si="2"/>
        <v>0</v>
      </c>
      <c r="G132" s="62"/>
      <c r="H132" s="62"/>
      <c r="I132" s="60"/>
      <c r="J132" s="60"/>
      <c r="K132" s="64"/>
      <c r="L132" s="64"/>
      <c r="M132" s="25"/>
      <c r="N132" s="25"/>
    </row>
    <row r="133" spans="1:14" ht="28.5">
      <c r="A133" s="8" t="s">
        <v>224</v>
      </c>
      <c r="B133" s="4" t="s">
        <v>225</v>
      </c>
      <c r="C133" s="7"/>
      <c r="D133" s="7">
        <f>F133-E133</f>
        <v>0</v>
      </c>
      <c r="E133" s="6">
        <f t="shared" si="2"/>
        <v>0</v>
      </c>
      <c r="F133" s="6">
        <f t="shared" si="2"/>
        <v>0</v>
      </c>
      <c r="G133" s="62"/>
      <c r="H133" s="62"/>
      <c r="I133" s="60"/>
      <c r="J133" s="60"/>
      <c r="K133" s="64"/>
      <c r="L133" s="64"/>
      <c r="M133" s="25"/>
      <c r="N133" s="25"/>
    </row>
    <row r="134" spans="1:14">
      <c r="A134" s="8" t="s">
        <v>226</v>
      </c>
      <c r="B134" s="4" t="s">
        <v>227</v>
      </c>
      <c r="C134" s="7">
        <f>E134-F134</f>
        <v>0</v>
      </c>
      <c r="D134" s="7"/>
      <c r="E134" s="6">
        <f t="shared" si="2"/>
        <v>0</v>
      </c>
      <c r="F134" s="6">
        <f t="shared" si="2"/>
        <v>0</v>
      </c>
      <c r="G134" s="62"/>
      <c r="H134" s="62"/>
      <c r="I134" s="60"/>
      <c r="J134" s="60"/>
      <c r="K134" s="64"/>
      <c r="L134" s="64"/>
      <c r="M134" s="25"/>
      <c r="N134" s="25"/>
    </row>
    <row r="135" spans="1:14" ht="28.5">
      <c r="A135" s="8" t="s">
        <v>228</v>
      </c>
      <c r="B135" s="4" t="s">
        <v>229</v>
      </c>
      <c r="C135" s="7"/>
      <c r="D135" s="7">
        <f>F135-E135</f>
        <v>0</v>
      </c>
      <c r="E135" s="6">
        <f t="shared" si="2"/>
        <v>0</v>
      </c>
      <c r="F135" s="6">
        <f t="shared" si="2"/>
        <v>0</v>
      </c>
      <c r="G135" s="62"/>
      <c r="H135" s="62"/>
      <c r="I135" s="60"/>
      <c r="J135" s="60"/>
      <c r="K135" s="64"/>
      <c r="L135" s="64"/>
      <c r="M135" s="25"/>
      <c r="N135" s="25"/>
    </row>
    <row r="136" spans="1:14">
      <c r="A136" s="8" t="s">
        <v>230</v>
      </c>
      <c r="B136" s="4" t="s">
        <v>231</v>
      </c>
      <c r="C136" s="7">
        <f>E136-F136</f>
        <v>0</v>
      </c>
      <c r="D136" s="7"/>
      <c r="E136" s="6">
        <f t="shared" si="2"/>
        <v>0</v>
      </c>
      <c r="F136" s="6">
        <f t="shared" si="2"/>
        <v>0</v>
      </c>
      <c r="G136" s="62"/>
      <c r="H136" s="62"/>
      <c r="I136" s="60"/>
      <c r="J136" s="60"/>
      <c r="K136" s="64"/>
      <c r="L136" s="64"/>
      <c r="M136" s="25"/>
      <c r="N136" s="25"/>
    </row>
    <row r="137" spans="1:14">
      <c r="A137" s="8" t="s">
        <v>232</v>
      </c>
      <c r="B137" s="4" t="s">
        <v>233</v>
      </c>
      <c r="C137" s="7"/>
      <c r="D137" s="7">
        <f>F137-E137</f>
        <v>0</v>
      </c>
      <c r="E137" s="6">
        <f t="shared" si="2"/>
        <v>0</v>
      </c>
      <c r="F137" s="6">
        <f t="shared" si="2"/>
        <v>0</v>
      </c>
      <c r="G137" s="62"/>
      <c r="H137" s="62"/>
      <c r="I137" s="60"/>
      <c r="J137" s="60"/>
      <c r="K137" s="64"/>
      <c r="L137" s="64"/>
      <c r="M137" s="25"/>
      <c r="N137" s="25"/>
    </row>
    <row r="138" spans="1:14">
      <c r="A138" s="8" t="s">
        <v>234</v>
      </c>
      <c r="B138" s="4" t="s">
        <v>235</v>
      </c>
      <c r="C138" s="7">
        <f>E138-F138</f>
        <v>0</v>
      </c>
      <c r="D138" s="7"/>
      <c r="E138" s="6">
        <f t="shared" si="2"/>
        <v>0</v>
      </c>
      <c r="F138" s="6">
        <f t="shared" si="2"/>
        <v>0</v>
      </c>
      <c r="G138" s="62"/>
      <c r="H138" s="62"/>
      <c r="I138" s="60"/>
      <c r="J138" s="60"/>
      <c r="K138" s="64"/>
      <c r="L138" s="64"/>
      <c r="M138" s="25"/>
      <c r="N138" s="25"/>
    </row>
    <row r="139" spans="1:14">
      <c r="A139" s="8" t="s">
        <v>236</v>
      </c>
      <c r="B139" s="4" t="s">
        <v>237</v>
      </c>
      <c r="C139" s="7"/>
      <c r="D139" s="7">
        <f>F139-E139</f>
        <v>0</v>
      </c>
      <c r="E139" s="6">
        <f t="shared" si="2"/>
        <v>0</v>
      </c>
      <c r="F139" s="6">
        <f t="shared" si="2"/>
        <v>0</v>
      </c>
      <c r="G139" s="62"/>
      <c r="H139" s="62"/>
      <c r="I139" s="60"/>
      <c r="J139" s="60"/>
      <c r="K139" s="64"/>
      <c r="L139" s="64"/>
      <c r="M139" s="25"/>
      <c r="N139" s="25"/>
    </row>
    <row r="140" spans="1:14">
      <c r="A140" s="8" t="s">
        <v>238</v>
      </c>
      <c r="B140" s="4" t="s">
        <v>239</v>
      </c>
      <c r="C140" s="7">
        <f>E140-F140</f>
        <v>0</v>
      </c>
      <c r="D140" s="7"/>
      <c r="E140" s="6">
        <f t="shared" si="2"/>
        <v>0</v>
      </c>
      <c r="F140" s="6">
        <f t="shared" si="2"/>
        <v>0</v>
      </c>
      <c r="G140" s="62"/>
      <c r="H140" s="62"/>
      <c r="I140" s="60"/>
      <c r="J140" s="60"/>
      <c r="K140" s="64"/>
      <c r="L140" s="64"/>
      <c r="M140" s="25"/>
      <c r="N140" s="25"/>
    </row>
    <row r="141" spans="1:14" ht="28.5">
      <c r="A141" s="8" t="s">
        <v>240</v>
      </c>
      <c r="B141" s="4" t="s">
        <v>241</v>
      </c>
      <c r="C141" s="7"/>
      <c r="D141" s="7">
        <f>F141-E141</f>
        <v>0</v>
      </c>
      <c r="E141" s="6">
        <f t="shared" si="2"/>
        <v>0</v>
      </c>
      <c r="F141" s="6">
        <f t="shared" si="2"/>
        <v>0</v>
      </c>
      <c r="G141" s="62"/>
      <c r="H141" s="62"/>
      <c r="I141" s="60"/>
      <c r="J141" s="60"/>
      <c r="K141" s="64"/>
      <c r="L141" s="64"/>
      <c r="M141" s="25"/>
      <c r="N141" s="25"/>
    </row>
    <row r="142" spans="1:14">
      <c r="A142" s="8" t="s">
        <v>242</v>
      </c>
      <c r="B142" s="4" t="s">
        <v>243</v>
      </c>
      <c r="C142" s="7">
        <f>E142-F142</f>
        <v>0</v>
      </c>
      <c r="D142" s="7"/>
      <c r="E142" s="6">
        <f t="shared" ref="E142:F205" si="3">SUM(G142,I142,K142,M142)</f>
        <v>0</v>
      </c>
      <c r="F142" s="6">
        <f t="shared" si="3"/>
        <v>0</v>
      </c>
      <c r="G142" s="62"/>
      <c r="H142" s="62"/>
      <c r="I142" s="60"/>
      <c r="J142" s="60"/>
      <c r="K142" s="64"/>
      <c r="L142" s="64"/>
      <c r="M142" s="25"/>
      <c r="N142" s="25"/>
    </row>
    <row r="143" spans="1:14">
      <c r="A143" s="8" t="s">
        <v>244</v>
      </c>
      <c r="B143" s="4" t="s">
        <v>245</v>
      </c>
      <c r="C143" s="7"/>
      <c r="D143" s="7">
        <f>F143-E143</f>
        <v>0</v>
      </c>
      <c r="E143" s="6">
        <f t="shared" si="3"/>
        <v>0</v>
      </c>
      <c r="F143" s="6">
        <f t="shared" si="3"/>
        <v>0</v>
      </c>
      <c r="G143" s="62"/>
      <c r="H143" s="62"/>
      <c r="I143" s="60"/>
      <c r="J143" s="60"/>
      <c r="K143" s="64"/>
      <c r="L143" s="64"/>
      <c r="M143" s="25"/>
      <c r="N143" s="25"/>
    </row>
    <row r="144" spans="1:14">
      <c r="A144" s="8" t="s">
        <v>246</v>
      </c>
      <c r="B144" s="4" t="s">
        <v>247</v>
      </c>
      <c r="C144" s="7">
        <f>E144-F144</f>
        <v>0</v>
      </c>
      <c r="D144" s="7"/>
      <c r="E144" s="6">
        <f t="shared" si="3"/>
        <v>0</v>
      </c>
      <c r="F144" s="6">
        <f t="shared" si="3"/>
        <v>0</v>
      </c>
      <c r="G144" s="62"/>
      <c r="H144" s="62"/>
      <c r="I144" s="60"/>
      <c r="J144" s="60"/>
      <c r="K144" s="64"/>
      <c r="L144" s="64"/>
      <c r="M144" s="25"/>
      <c r="N144" s="25"/>
    </row>
    <row r="145" spans="1:14" ht="28.5">
      <c r="A145" s="8" t="s">
        <v>248</v>
      </c>
      <c r="B145" s="4" t="s">
        <v>249</v>
      </c>
      <c r="C145" s="7"/>
      <c r="D145" s="7">
        <f>F145-E145</f>
        <v>0</v>
      </c>
      <c r="E145" s="6">
        <f t="shared" si="3"/>
        <v>0</v>
      </c>
      <c r="F145" s="6">
        <f t="shared" si="3"/>
        <v>0</v>
      </c>
      <c r="G145" s="62"/>
      <c r="H145" s="62"/>
      <c r="I145" s="60"/>
      <c r="J145" s="60"/>
      <c r="K145" s="64"/>
      <c r="L145" s="64"/>
      <c r="M145" s="25"/>
      <c r="N145" s="25"/>
    </row>
    <row r="146" spans="1:14">
      <c r="A146" s="8" t="s">
        <v>250</v>
      </c>
      <c r="B146" s="4" t="s">
        <v>251</v>
      </c>
      <c r="C146" s="7">
        <f>E146-F146</f>
        <v>0</v>
      </c>
      <c r="D146" s="7"/>
      <c r="E146" s="6">
        <f t="shared" si="3"/>
        <v>0</v>
      </c>
      <c r="F146" s="6">
        <f t="shared" si="3"/>
        <v>0</v>
      </c>
      <c r="G146" s="62"/>
      <c r="H146" s="62"/>
      <c r="I146" s="60"/>
      <c r="J146" s="60"/>
      <c r="K146" s="64"/>
      <c r="L146" s="64"/>
      <c r="M146" s="25"/>
      <c r="N146" s="25"/>
    </row>
    <row r="147" spans="1:14" ht="28.5">
      <c r="A147" s="8" t="s">
        <v>252</v>
      </c>
      <c r="B147" s="4" t="s">
        <v>253</v>
      </c>
      <c r="C147" s="7"/>
      <c r="D147" s="7">
        <f>F147-E147</f>
        <v>0</v>
      </c>
      <c r="E147" s="6">
        <f t="shared" si="3"/>
        <v>0</v>
      </c>
      <c r="F147" s="6">
        <f t="shared" si="3"/>
        <v>0</v>
      </c>
      <c r="G147" s="62"/>
      <c r="H147" s="62"/>
      <c r="I147" s="60"/>
      <c r="J147" s="60"/>
      <c r="K147" s="64"/>
      <c r="L147" s="64"/>
      <c r="M147" s="25"/>
      <c r="N147" s="25"/>
    </row>
    <row r="148" spans="1:14">
      <c r="A148" s="8" t="s">
        <v>254</v>
      </c>
      <c r="B148" s="4" t="s">
        <v>255</v>
      </c>
      <c r="C148" s="7">
        <f t="shared" ref="C148:C173" si="4">E148-F148</f>
        <v>0</v>
      </c>
      <c r="D148" s="7"/>
      <c r="E148" s="6">
        <f t="shared" si="3"/>
        <v>0</v>
      </c>
      <c r="F148" s="6">
        <f t="shared" si="3"/>
        <v>0</v>
      </c>
      <c r="G148" s="62"/>
      <c r="H148" s="62"/>
      <c r="I148" s="60"/>
      <c r="J148" s="60"/>
      <c r="K148" s="64"/>
      <c r="L148" s="64"/>
      <c r="M148" s="25"/>
      <c r="N148" s="25"/>
    </row>
    <row r="149" spans="1:14">
      <c r="A149" s="8" t="s">
        <v>256</v>
      </c>
      <c r="B149" s="4" t="s">
        <v>257</v>
      </c>
      <c r="C149" s="7">
        <f t="shared" si="4"/>
        <v>0</v>
      </c>
      <c r="D149" s="7"/>
      <c r="E149" s="6">
        <f t="shared" si="3"/>
        <v>0</v>
      </c>
      <c r="F149" s="6">
        <f t="shared" si="3"/>
        <v>0</v>
      </c>
      <c r="G149" s="62"/>
      <c r="H149" s="62"/>
      <c r="I149" s="60"/>
      <c r="J149" s="60"/>
      <c r="K149" s="64"/>
      <c r="L149" s="64"/>
      <c r="M149" s="25"/>
      <c r="N149" s="25"/>
    </row>
    <row r="150" spans="1:14">
      <c r="A150" s="8" t="s">
        <v>258</v>
      </c>
      <c r="B150" s="4" t="s">
        <v>259</v>
      </c>
      <c r="C150" s="7">
        <f t="shared" si="4"/>
        <v>0</v>
      </c>
      <c r="D150" s="7"/>
      <c r="E150" s="6">
        <f t="shared" si="3"/>
        <v>0</v>
      </c>
      <c r="F150" s="6">
        <f t="shared" si="3"/>
        <v>0</v>
      </c>
      <c r="G150" s="62"/>
      <c r="H150" s="62"/>
      <c r="I150" s="60"/>
      <c r="J150" s="60"/>
      <c r="K150" s="64"/>
      <c r="L150" s="64"/>
      <c r="M150" s="25"/>
      <c r="N150" s="25"/>
    </row>
    <row r="151" spans="1:14" ht="28.5">
      <c r="A151" s="8" t="s">
        <v>260</v>
      </c>
      <c r="B151" s="4" t="s">
        <v>261</v>
      </c>
      <c r="C151" s="7">
        <f t="shared" si="4"/>
        <v>0</v>
      </c>
      <c r="D151" s="7"/>
      <c r="E151" s="6">
        <f t="shared" si="3"/>
        <v>0</v>
      </c>
      <c r="F151" s="6">
        <f t="shared" si="3"/>
        <v>0</v>
      </c>
      <c r="G151" s="62"/>
      <c r="H151" s="62"/>
      <c r="I151" s="60"/>
      <c r="J151" s="60"/>
      <c r="K151" s="64"/>
      <c r="L151" s="64"/>
      <c r="M151" s="25"/>
      <c r="N151" s="25"/>
    </row>
    <row r="152" spans="1:14">
      <c r="A152" s="8" t="s">
        <v>262</v>
      </c>
      <c r="B152" s="4" t="s">
        <v>263</v>
      </c>
      <c r="C152" s="7">
        <f t="shared" si="4"/>
        <v>0</v>
      </c>
      <c r="D152" s="7"/>
      <c r="E152" s="6">
        <f t="shared" si="3"/>
        <v>0</v>
      </c>
      <c r="F152" s="6">
        <f t="shared" si="3"/>
        <v>0</v>
      </c>
      <c r="G152" s="62"/>
      <c r="H152" s="62"/>
      <c r="I152" s="60"/>
      <c r="J152" s="60"/>
      <c r="K152" s="64"/>
      <c r="L152" s="64"/>
      <c r="M152" s="25"/>
      <c r="N152" s="25"/>
    </row>
    <row r="153" spans="1:14">
      <c r="A153" s="8" t="s">
        <v>264</v>
      </c>
      <c r="B153" s="4" t="s">
        <v>265</v>
      </c>
      <c r="C153" s="7">
        <f t="shared" si="4"/>
        <v>0</v>
      </c>
      <c r="D153" s="7"/>
      <c r="E153" s="6">
        <f t="shared" si="3"/>
        <v>0</v>
      </c>
      <c r="F153" s="6">
        <f t="shared" si="3"/>
        <v>0</v>
      </c>
      <c r="G153" s="62"/>
      <c r="H153" s="62"/>
      <c r="I153" s="60"/>
      <c r="J153" s="60"/>
      <c r="K153" s="64"/>
      <c r="L153" s="64"/>
      <c r="M153" s="25"/>
      <c r="N153" s="25"/>
    </row>
    <row r="154" spans="1:14" ht="28.5">
      <c r="A154" s="8" t="s">
        <v>266</v>
      </c>
      <c r="B154" s="4" t="s">
        <v>267</v>
      </c>
      <c r="C154" s="7">
        <f t="shared" si="4"/>
        <v>0</v>
      </c>
      <c r="D154" s="7"/>
      <c r="E154" s="6">
        <f t="shared" si="3"/>
        <v>0</v>
      </c>
      <c r="F154" s="6">
        <f t="shared" si="3"/>
        <v>0</v>
      </c>
      <c r="G154" s="62"/>
      <c r="H154" s="62"/>
      <c r="I154" s="60"/>
      <c r="J154" s="60"/>
      <c r="K154" s="64"/>
      <c r="L154" s="64"/>
      <c r="M154" s="25"/>
      <c r="N154" s="25"/>
    </row>
    <row r="155" spans="1:14">
      <c r="A155" s="8" t="s">
        <v>268</v>
      </c>
      <c r="B155" s="4" t="s">
        <v>269</v>
      </c>
      <c r="C155" s="7">
        <f t="shared" si="4"/>
        <v>0</v>
      </c>
      <c r="D155" s="7"/>
      <c r="E155" s="6">
        <f t="shared" si="3"/>
        <v>0</v>
      </c>
      <c r="F155" s="6">
        <f t="shared" si="3"/>
        <v>0</v>
      </c>
      <c r="G155" s="62"/>
      <c r="H155" s="62"/>
      <c r="I155" s="60"/>
      <c r="J155" s="60"/>
      <c r="K155" s="64"/>
      <c r="L155" s="64"/>
      <c r="M155" s="25"/>
      <c r="N155" s="25"/>
    </row>
    <row r="156" spans="1:14">
      <c r="A156" s="8" t="s">
        <v>270</v>
      </c>
      <c r="B156" s="4" t="s">
        <v>271</v>
      </c>
      <c r="C156" s="7">
        <f t="shared" si="4"/>
        <v>0</v>
      </c>
      <c r="D156" s="7"/>
      <c r="E156" s="6">
        <f t="shared" si="3"/>
        <v>0</v>
      </c>
      <c r="F156" s="6">
        <f t="shared" si="3"/>
        <v>0</v>
      </c>
      <c r="G156" s="62"/>
      <c r="H156" s="62"/>
      <c r="I156" s="60"/>
      <c r="J156" s="60"/>
      <c r="K156" s="64"/>
      <c r="L156" s="64"/>
      <c r="M156" s="25"/>
      <c r="N156" s="25"/>
    </row>
    <row r="157" spans="1:14">
      <c r="A157" s="8" t="s">
        <v>272</v>
      </c>
      <c r="B157" s="4" t="s">
        <v>273</v>
      </c>
      <c r="C157" s="7">
        <f t="shared" si="4"/>
        <v>0</v>
      </c>
      <c r="D157" s="7"/>
      <c r="E157" s="6">
        <f t="shared" si="3"/>
        <v>0</v>
      </c>
      <c r="F157" s="6">
        <f t="shared" si="3"/>
        <v>0</v>
      </c>
      <c r="G157" s="62"/>
      <c r="H157" s="62"/>
      <c r="I157" s="60"/>
      <c r="J157" s="60"/>
      <c r="K157" s="64"/>
      <c r="L157" s="64"/>
      <c r="M157" s="25"/>
      <c r="N157" s="25"/>
    </row>
    <row r="158" spans="1:14">
      <c r="A158" s="8" t="s">
        <v>274</v>
      </c>
      <c r="B158" s="4" t="s">
        <v>275</v>
      </c>
      <c r="C158" s="7">
        <f t="shared" si="4"/>
        <v>0</v>
      </c>
      <c r="D158" s="7"/>
      <c r="E158" s="6">
        <f t="shared" si="3"/>
        <v>0</v>
      </c>
      <c r="F158" s="6">
        <f t="shared" si="3"/>
        <v>0</v>
      </c>
      <c r="G158" s="62"/>
      <c r="H158" s="62"/>
      <c r="I158" s="60"/>
      <c r="J158" s="60"/>
      <c r="K158" s="64"/>
      <c r="L158" s="64"/>
      <c r="M158" s="25"/>
      <c r="N158" s="25"/>
    </row>
    <row r="159" spans="1:14" ht="28.5">
      <c r="A159" s="8" t="s">
        <v>276</v>
      </c>
      <c r="B159" s="4" t="s">
        <v>277</v>
      </c>
      <c r="C159" s="7">
        <f t="shared" si="4"/>
        <v>0</v>
      </c>
      <c r="D159" s="7"/>
      <c r="E159" s="6">
        <f t="shared" si="3"/>
        <v>0</v>
      </c>
      <c r="F159" s="6">
        <f t="shared" si="3"/>
        <v>0</v>
      </c>
      <c r="G159" s="62"/>
      <c r="H159" s="62"/>
      <c r="I159" s="60"/>
      <c r="J159" s="60"/>
      <c r="K159" s="64"/>
      <c r="L159" s="64"/>
      <c r="M159" s="25"/>
      <c r="N159" s="25"/>
    </row>
    <row r="160" spans="1:14" ht="28.5">
      <c r="A160" s="8" t="s">
        <v>278</v>
      </c>
      <c r="B160" s="4" t="s">
        <v>279</v>
      </c>
      <c r="C160" s="7">
        <f t="shared" si="4"/>
        <v>0</v>
      </c>
      <c r="D160" s="7"/>
      <c r="E160" s="6">
        <f t="shared" si="3"/>
        <v>0</v>
      </c>
      <c r="F160" s="6">
        <f t="shared" si="3"/>
        <v>0</v>
      </c>
      <c r="G160" s="62"/>
      <c r="H160" s="62"/>
      <c r="I160" s="60"/>
      <c r="J160" s="60"/>
      <c r="K160" s="64"/>
      <c r="L160" s="64"/>
      <c r="M160" s="25"/>
      <c r="N160" s="25"/>
    </row>
    <row r="161" spans="1:14" ht="28.5">
      <c r="A161" s="8" t="s">
        <v>280</v>
      </c>
      <c r="B161" s="4" t="s">
        <v>281</v>
      </c>
      <c r="C161" s="7">
        <f t="shared" si="4"/>
        <v>0</v>
      </c>
      <c r="D161" s="7"/>
      <c r="E161" s="6">
        <f t="shared" si="3"/>
        <v>0</v>
      </c>
      <c r="F161" s="6">
        <f t="shared" si="3"/>
        <v>0</v>
      </c>
      <c r="G161" s="62"/>
      <c r="H161" s="62"/>
      <c r="I161" s="60"/>
      <c r="J161" s="60"/>
      <c r="K161" s="64"/>
      <c r="L161" s="64"/>
      <c r="M161" s="25"/>
      <c r="N161" s="25"/>
    </row>
    <row r="162" spans="1:14" ht="28.5">
      <c r="A162" s="8" t="s">
        <v>282</v>
      </c>
      <c r="B162" s="4" t="s">
        <v>283</v>
      </c>
      <c r="C162" s="7">
        <f t="shared" si="4"/>
        <v>0</v>
      </c>
      <c r="D162" s="7"/>
      <c r="E162" s="6">
        <f t="shared" si="3"/>
        <v>0</v>
      </c>
      <c r="F162" s="6">
        <f t="shared" si="3"/>
        <v>0</v>
      </c>
      <c r="G162" s="62"/>
      <c r="H162" s="62"/>
      <c r="I162" s="60"/>
      <c r="J162" s="60"/>
      <c r="K162" s="64"/>
      <c r="L162" s="64"/>
      <c r="M162" s="25"/>
      <c r="N162" s="25"/>
    </row>
    <row r="163" spans="1:14" ht="28.5">
      <c r="A163" s="8" t="s">
        <v>284</v>
      </c>
      <c r="B163" s="4" t="s">
        <v>285</v>
      </c>
      <c r="C163" s="7">
        <f t="shared" si="4"/>
        <v>2850000</v>
      </c>
      <c r="D163" s="7"/>
      <c r="E163" s="6">
        <f t="shared" si="3"/>
        <v>2850000</v>
      </c>
      <c r="F163" s="6">
        <f t="shared" si="3"/>
        <v>0</v>
      </c>
      <c r="G163" s="62">
        <v>2850000</v>
      </c>
      <c r="H163" s="62"/>
      <c r="I163" s="60"/>
      <c r="J163" s="60"/>
      <c r="K163" s="64"/>
      <c r="L163" s="64"/>
      <c r="M163" s="25"/>
      <c r="N163" s="25"/>
    </row>
    <row r="164" spans="1:14">
      <c r="A164" s="8" t="s">
        <v>286</v>
      </c>
      <c r="B164" s="4" t="s">
        <v>287</v>
      </c>
      <c r="C164" s="7">
        <f t="shared" si="4"/>
        <v>0</v>
      </c>
      <c r="D164" s="7"/>
      <c r="E164" s="6">
        <f t="shared" si="3"/>
        <v>0</v>
      </c>
      <c r="F164" s="6">
        <f t="shared" si="3"/>
        <v>0</v>
      </c>
      <c r="G164" s="62"/>
      <c r="H164" s="62"/>
      <c r="I164" s="60"/>
      <c r="J164" s="60"/>
      <c r="K164" s="64"/>
      <c r="L164" s="64"/>
      <c r="M164" s="25"/>
      <c r="N164" s="25"/>
    </row>
    <row r="165" spans="1:14" ht="28.5">
      <c r="A165" s="8" t="s">
        <v>288</v>
      </c>
      <c r="B165" s="4" t="s">
        <v>289</v>
      </c>
      <c r="C165" s="7">
        <f t="shared" si="4"/>
        <v>0</v>
      </c>
      <c r="D165" s="7"/>
      <c r="E165" s="6">
        <f t="shared" si="3"/>
        <v>0</v>
      </c>
      <c r="F165" s="6">
        <f t="shared" si="3"/>
        <v>0</v>
      </c>
      <c r="G165" s="62"/>
      <c r="H165" s="62"/>
      <c r="I165" s="60"/>
      <c r="J165" s="60"/>
      <c r="K165" s="64"/>
      <c r="L165" s="64"/>
      <c r="M165" s="25"/>
      <c r="N165" s="25"/>
    </row>
    <row r="166" spans="1:14" ht="28.5">
      <c r="A166" s="8" t="s">
        <v>290</v>
      </c>
      <c r="B166" s="4" t="s">
        <v>291</v>
      </c>
      <c r="C166" s="7">
        <f t="shared" si="4"/>
        <v>0</v>
      </c>
      <c r="D166" s="7"/>
      <c r="E166" s="6">
        <f t="shared" si="3"/>
        <v>0</v>
      </c>
      <c r="F166" s="6">
        <f t="shared" si="3"/>
        <v>0</v>
      </c>
      <c r="G166" s="62"/>
      <c r="H166" s="62"/>
      <c r="I166" s="60"/>
      <c r="J166" s="60"/>
      <c r="K166" s="64"/>
      <c r="L166" s="64"/>
      <c r="M166" s="25"/>
      <c r="N166" s="25"/>
    </row>
    <row r="167" spans="1:14">
      <c r="A167" s="3" t="s">
        <v>292</v>
      </c>
      <c r="B167" s="4" t="s">
        <v>293</v>
      </c>
      <c r="C167" s="7">
        <f t="shared" si="4"/>
        <v>0</v>
      </c>
      <c r="D167" s="7"/>
      <c r="E167" s="6">
        <f t="shared" si="3"/>
        <v>0</v>
      </c>
      <c r="F167" s="6">
        <f t="shared" si="3"/>
        <v>0</v>
      </c>
      <c r="G167" s="62"/>
      <c r="H167" s="62"/>
      <c r="I167" s="60"/>
      <c r="J167" s="60"/>
      <c r="K167" s="64"/>
      <c r="L167" s="64"/>
      <c r="M167" s="25"/>
      <c r="N167" s="25"/>
    </row>
    <row r="168" spans="1:14">
      <c r="A168" s="3" t="s">
        <v>294</v>
      </c>
      <c r="B168" s="4" t="s">
        <v>295</v>
      </c>
      <c r="C168" s="7">
        <f t="shared" si="4"/>
        <v>0</v>
      </c>
      <c r="D168" s="7"/>
      <c r="E168" s="6">
        <f t="shared" si="3"/>
        <v>0</v>
      </c>
      <c r="F168" s="6">
        <f t="shared" si="3"/>
        <v>0</v>
      </c>
      <c r="G168" s="62"/>
      <c r="H168" s="62"/>
      <c r="I168" s="60"/>
      <c r="J168" s="60"/>
      <c r="K168" s="64"/>
      <c r="L168" s="64"/>
      <c r="M168" s="25"/>
      <c r="N168" s="25"/>
    </row>
    <row r="169" spans="1:14">
      <c r="A169" s="3" t="s">
        <v>296</v>
      </c>
      <c r="B169" s="10" t="s">
        <v>297</v>
      </c>
      <c r="C169" s="7">
        <f t="shared" si="4"/>
        <v>0</v>
      </c>
      <c r="D169" s="7"/>
      <c r="E169" s="6">
        <f t="shared" si="3"/>
        <v>0</v>
      </c>
      <c r="F169" s="6">
        <f t="shared" si="3"/>
        <v>0</v>
      </c>
      <c r="G169" s="62"/>
      <c r="H169" s="62"/>
      <c r="I169" s="60"/>
      <c r="J169" s="60"/>
      <c r="K169" s="64"/>
      <c r="L169" s="64"/>
      <c r="M169" s="25"/>
      <c r="N169" s="25"/>
    </row>
    <row r="170" spans="1:14">
      <c r="A170" s="3" t="s">
        <v>298</v>
      </c>
      <c r="B170" s="10" t="s">
        <v>299</v>
      </c>
      <c r="C170" s="7">
        <f t="shared" si="4"/>
        <v>0</v>
      </c>
      <c r="D170" s="7"/>
      <c r="E170" s="6">
        <f t="shared" si="3"/>
        <v>0</v>
      </c>
      <c r="F170" s="6">
        <f t="shared" si="3"/>
        <v>0</v>
      </c>
      <c r="G170" s="62"/>
      <c r="H170" s="62"/>
      <c r="I170" s="60"/>
      <c r="J170" s="60"/>
      <c r="K170" s="64"/>
      <c r="L170" s="64"/>
      <c r="M170" s="25"/>
      <c r="N170" s="25"/>
    </row>
    <row r="171" spans="1:14">
      <c r="A171" s="3" t="s">
        <v>300</v>
      </c>
      <c r="B171" s="10" t="s">
        <v>301</v>
      </c>
      <c r="C171" s="7">
        <f t="shared" si="4"/>
        <v>0</v>
      </c>
      <c r="D171" s="7"/>
      <c r="E171" s="6">
        <f t="shared" si="3"/>
        <v>0</v>
      </c>
      <c r="F171" s="6">
        <f t="shared" si="3"/>
        <v>0</v>
      </c>
      <c r="G171" s="62"/>
      <c r="H171" s="62"/>
      <c r="I171" s="60"/>
      <c r="J171" s="60"/>
      <c r="K171" s="64"/>
      <c r="L171" s="64"/>
      <c r="M171" s="25"/>
      <c r="N171" s="25"/>
    </row>
    <row r="172" spans="1:14">
      <c r="A172" s="3" t="s">
        <v>302</v>
      </c>
      <c r="B172" s="10" t="s">
        <v>303</v>
      </c>
      <c r="C172" s="7">
        <f t="shared" si="4"/>
        <v>0</v>
      </c>
      <c r="D172" s="7"/>
      <c r="E172" s="6">
        <f t="shared" si="3"/>
        <v>0</v>
      </c>
      <c r="F172" s="6">
        <f t="shared" si="3"/>
        <v>0</v>
      </c>
      <c r="G172" s="62"/>
      <c r="H172" s="62"/>
      <c r="I172" s="60"/>
      <c r="J172" s="60"/>
      <c r="K172" s="64"/>
      <c r="L172" s="64"/>
      <c r="M172" s="25"/>
      <c r="N172" s="25"/>
    </row>
    <row r="173" spans="1:14">
      <c r="A173" s="3" t="s">
        <v>304</v>
      </c>
      <c r="B173" s="10" t="s">
        <v>305</v>
      </c>
      <c r="C173" s="7">
        <f t="shared" si="4"/>
        <v>0</v>
      </c>
      <c r="D173" s="7"/>
      <c r="E173" s="6">
        <f t="shared" si="3"/>
        <v>0</v>
      </c>
      <c r="F173" s="6">
        <f t="shared" si="3"/>
        <v>0</v>
      </c>
      <c r="G173" s="62"/>
      <c r="H173" s="62"/>
      <c r="I173" s="60"/>
      <c r="J173" s="60"/>
      <c r="K173" s="64"/>
      <c r="L173" s="64"/>
      <c r="M173" s="25"/>
      <c r="N173" s="25"/>
    </row>
    <row r="174" spans="1:14">
      <c r="A174" s="3" t="s">
        <v>306</v>
      </c>
      <c r="B174" s="10" t="s">
        <v>307</v>
      </c>
      <c r="C174" s="7"/>
      <c r="D174" s="7">
        <f t="shared" ref="D174:D237" si="5">F174-E174</f>
        <v>0</v>
      </c>
      <c r="E174" s="6">
        <f t="shared" si="3"/>
        <v>0</v>
      </c>
      <c r="F174" s="6">
        <f t="shared" si="3"/>
        <v>0</v>
      </c>
      <c r="G174" s="62"/>
      <c r="H174" s="62"/>
      <c r="I174" s="60"/>
      <c r="J174" s="60"/>
      <c r="K174" s="64"/>
      <c r="L174" s="64"/>
      <c r="M174" s="25"/>
      <c r="N174" s="25"/>
    </row>
    <row r="175" spans="1:14">
      <c r="A175" s="3" t="s">
        <v>308</v>
      </c>
      <c r="B175" s="10" t="s">
        <v>309</v>
      </c>
      <c r="C175" s="7"/>
      <c r="D175" s="7">
        <f t="shared" si="5"/>
        <v>0</v>
      </c>
      <c r="E175" s="6">
        <f t="shared" si="3"/>
        <v>0</v>
      </c>
      <c r="F175" s="6">
        <f t="shared" si="3"/>
        <v>0</v>
      </c>
      <c r="G175" s="62"/>
      <c r="H175" s="62"/>
      <c r="I175" s="60"/>
      <c r="J175" s="60"/>
      <c r="K175" s="64"/>
      <c r="L175" s="64"/>
      <c r="M175" s="25"/>
      <c r="N175" s="25"/>
    </row>
    <row r="176" spans="1:14">
      <c r="A176" s="3" t="s">
        <v>310</v>
      </c>
      <c r="B176" s="10" t="s">
        <v>311</v>
      </c>
      <c r="C176" s="7"/>
      <c r="D176" s="7">
        <f t="shared" si="5"/>
        <v>0</v>
      </c>
      <c r="E176" s="6">
        <f t="shared" si="3"/>
        <v>0</v>
      </c>
      <c r="F176" s="6">
        <f t="shared" si="3"/>
        <v>0</v>
      </c>
      <c r="G176" s="62"/>
      <c r="H176" s="62"/>
      <c r="I176" s="60"/>
      <c r="J176" s="60"/>
      <c r="K176" s="64"/>
      <c r="L176" s="64"/>
      <c r="M176" s="25"/>
      <c r="N176" s="25"/>
    </row>
    <row r="177" spans="1:14">
      <c r="A177" s="3" t="s">
        <v>312</v>
      </c>
      <c r="B177" s="10" t="s">
        <v>313</v>
      </c>
      <c r="C177" s="7"/>
      <c r="D177" s="7">
        <f t="shared" si="5"/>
        <v>0</v>
      </c>
      <c r="E177" s="6">
        <f t="shared" si="3"/>
        <v>0</v>
      </c>
      <c r="F177" s="6">
        <f t="shared" si="3"/>
        <v>0</v>
      </c>
      <c r="G177" s="62"/>
      <c r="H177" s="62"/>
      <c r="I177" s="60"/>
      <c r="J177" s="60"/>
      <c r="K177" s="64"/>
      <c r="L177" s="64"/>
      <c r="M177" s="25"/>
      <c r="N177" s="25"/>
    </row>
    <row r="178" spans="1:14">
      <c r="A178" s="3" t="s">
        <v>314</v>
      </c>
      <c r="B178" s="10" t="s">
        <v>315</v>
      </c>
      <c r="C178" s="7"/>
      <c r="D178" s="7">
        <f t="shared" si="5"/>
        <v>-30079.070000000007</v>
      </c>
      <c r="E178" s="6">
        <f t="shared" si="3"/>
        <v>220178.08</v>
      </c>
      <c r="F178" s="6">
        <f t="shared" si="3"/>
        <v>190099.00999999998</v>
      </c>
      <c r="G178" s="62">
        <v>220178.08</v>
      </c>
      <c r="H178" s="62">
        <v>176886.53999999998</v>
      </c>
      <c r="I178" s="60"/>
      <c r="J178" s="60">
        <v>13212.47</v>
      </c>
      <c r="K178" s="64"/>
      <c r="L178" s="64"/>
      <c r="M178" s="25"/>
      <c r="N178" s="25"/>
    </row>
    <row r="179" spans="1:14">
      <c r="A179" s="3" t="s">
        <v>316</v>
      </c>
      <c r="B179" s="10" t="s">
        <v>317</v>
      </c>
      <c r="C179" s="7"/>
      <c r="D179" s="7">
        <f t="shared" si="5"/>
        <v>11687.26</v>
      </c>
      <c r="E179" s="6">
        <f t="shared" si="3"/>
        <v>0</v>
      </c>
      <c r="F179" s="6">
        <f t="shared" si="3"/>
        <v>11687.26</v>
      </c>
      <c r="G179" s="62"/>
      <c r="H179" s="62"/>
      <c r="I179" s="60"/>
      <c r="J179" s="60">
        <v>11687.16</v>
      </c>
      <c r="K179" s="64"/>
      <c r="L179" s="64"/>
      <c r="M179" s="25"/>
      <c r="N179" s="25">
        <v>0.1</v>
      </c>
    </row>
    <row r="180" spans="1:14">
      <c r="A180" s="3" t="s">
        <v>318</v>
      </c>
      <c r="B180" s="10" t="s">
        <v>319</v>
      </c>
      <c r="C180" s="7"/>
      <c r="D180" s="7">
        <f t="shared" si="5"/>
        <v>17224</v>
      </c>
      <c r="E180" s="6">
        <f t="shared" si="3"/>
        <v>0</v>
      </c>
      <c r="F180" s="6">
        <f t="shared" si="3"/>
        <v>17224</v>
      </c>
      <c r="G180" s="62"/>
      <c r="H180" s="62"/>
      <c r="I180" s="60"/>
      <c r="J180" s="60">
        <v>17224</v>
      </c>
      <c r="K180" s="64"/>
      <c r="L180" s="64"/>
      <c r="M180" s="25"/>
      <c r="N180" s="25"/>
    </row>
    <row r="181" spans="1:14">
      <c r="A181" s="3" t="s">
        <v>320</v>
      </c>
      <c r="B181" s="10" t="s">
        <v>321</v>
      </c>
      <c r="C181" s="7"/>
      <c r="D181" s="7">
        <f t="shared" si="5"/>
        <v>9100</v>
      </c>
      <c r="E181" s="6">
        <f t="shared" si="3"/>
        <v>0</v>
      </c>
      <c r="F181" s="6">
        <f t="shared" si="3"/>
        <v>9100</v>
      </c>
      <c r="G181" s="62"/>
      <c r="H181" s="62"/>
      <c r="I181" s="60"/>
      <c r="J181" s="60">
        <v>9100</v>
      </c>
      <c r="K181" s="64"/>
      <c r="L181" s="64"/>
      <c r="M181" s="25"/>
      <c r="N181" s="25"/>
    </row>
    <row r="182" spans="1:14">
      <c r="A182" s="3" t="s">
        <v>322</v>
      </c>
      <c r="B182" s="10" t="s">
        <v>323</v>
      </c>
      <c r="C182" s="7"/>
      <c r="D182" s="7">
        <f t="shared" si="5"/>
        <v>34427248.460000001</v>
      </c>
      <c r="E182" s="6">
        <f t="shared" si="3"/>
        <v>2170153.4300000002</v>
      </c>
      <c r="F182" s="6">
        <f t="shared" si="3"/>
        <v>36597401.890000001</v>
      </c>
      <c r="G182" s="62">
        <v>1961287</v>
      </c>
      <c r="H182" s="62"/>
      <c r="I182" s="60">
        <v>208866.43</v>
      </c>
      <c r="J182" s="60"/>
      <c r="K182" s="64"/>
      <c r="L182" s="64">
        <v>20089595.890000001</v>
      </c>
      <c r="M182" s="25"/>
      <c r="N182" s="25">
        <v>16507806</v>
      </c>
    </row>
    <row r="183" spans="1:14">
      <c r="A183" s="3" t="s">
        <v>324</v>
      </c>
      <c r="B183" s="10" t="s">
        <v>325</v>
      </c>
      <c r="C183" s="7"/>
      <c r="D183" s="7">
        <f t="shared" si="5"/>
        <v>0</v>
      </c>
      <c r="E183" s="6">
        <f t="shared" si="3"/>
        <v>0</v>
      </c>
      <c r="F183" s="6">
        <f t="shared" si="3"/>
        <v>0</v>
      </c>
      <c r="G183" s="62"/>
      <c r="H183" s="62"/>
      <c r="I183" s="60"/>
      <c r="J183" s="60"/>
      <c r="K183" s="64"/>
      <c r="L183" s="64"/>
      <c r="M183" s="25"/>
      <c r="N183" s="25"/>
    </row>
    <row r="184" spans="1:14">
      <c r="A184" s="3" t="s">
        <v>326</v>
      </c>
      <c r="B184" s="10" t="s">
        <v>327</v>
      </c>
      <c r="C184" s="7"/>
      <c r="D184" s="7">
        <f t="shared" si="5"/>
        <v>0</v>
      </c>
      <c r="E184" s="6">
        <f t="shared" si="3"/>
        <v>0</v>
      </c>
      <c r="F184" s="6">
        <f t="shared" si="3"/>
        <v>0</v>
      </c>
      <c r="G184" s="62"/>
      <c r="H184" s="62"/>
      <c r="I184" s="60"/>
      <c r="J184" s="60"/>
      <c r="K184" s="64"/>
      <c r="L184" s="64"/>
      <c r="M184" s="25"/>
      <c r="N184" s="25"/>
    </row>
    <row r="185" spans="1:14">
      <c r="A185" s="3" t="s">
        <v>328</v>
      </c>
      <c r="B185" s="10" t="s">
        <v>329</v>
      </c>
      <c r="C185" s="7"/>
      <c r="D185" s="7">
        <f t="shared" si="5"/>
        <v>0</v>
      </c>
      <c r="E185" s="6">
        <f t="shared" si="3"/>
        <v>0</v>
      </c>
      <c r="F185" s="6">
        <f t="shared" si="3"/>
        <v>0</v>
      </c>
      <c r="G185" s="62"/>
      <c r="H185" s="62"/>
      <c r="I185" s="60"/>
      <c r="J185" s="60"/>
      <c r="K185" s="64"/>
      <c r="L185" s="64"/>
      <c r="M185" s="25"/>
      <c r="N185" s="25"/>
    </row>
    <row r="186" spans="1:14">
      <c r="A186" s="3" t="s">
        <v>330</v>
      </c>
      <c r="B186" s="10" t="s">
        <v>331</v>
      </c>
      <c r="C186" s="7"/>
      <c r="D186" s="7">
        <f t="shared" si="5"/>
        <v>0</v>
      </c>
      <c r="E186" s="6">
        <f t="shared" si="3"/>
        <v>0</v>
      </c>
      <c r="F186" s="6">
        <f t="shared" si="3"/>
        <v>0</v>
      </c>
      <c r="G186" s="62"/>
      <c r="H186" s="62"/>
      <c r="I186" s="60"/>
      <c r="J186" s="60"/>
      <c r="K186" s="64"/>
      <c r="L186" s="64"/>
      <c r="M186" s="25"/>
      <c r="N186" s="25"/>
    </row>
    <row r="187" spans="1:14">
      <c r="A187" s="3" t="s">
        <v>332</v>
      </c>
      <c r="B187" s="10" t="s">
        <v>333</v>
      </c>
      <c r="C187" s="5"/>
      <c r="D187" s="5">
        <f t="shared" si="5"/>
        <v>74944</v>
      </c>
      <c r="E187" s="6">
        <f t="shared" si="3"/>
        <v>0</v>
      </c>
      <c r="F187" s="6">
        <f t="shared" si="3"/>
        <v>74944</v>
      </c>
      <c r="G187" s="62"/>
      <c r="H187" s="62"/>
      <c r="I187" s="60"/>
      <c r="J187" s="60"/>
      <c r="K187" s="64"/>
      <c r="L187" s="64">
        <v>74944</v>
      </c>
      <c r="M187" s="25"/>
      <c r="N187" s="25"/>
    </row>
    <row r="188" spans="1:14">
      <c r="A188" s="3" t="s">
        <v>334</v>
      </c>
      <c r="B188" s="10" t="s">
        <v>335</v>
      </c>
      <c r="C188" s="5"/>
      <c r="D188" s="5">
        <f t="shared" si="5"/>
        <v>0</v>
      </c>
      <c r="E188" s="6">
        <f t="shared" si="3"/>
        <v>0</v>
      </c>
      <c r="F188" s="6">
        <f t="shared" si="3"/>
        <v>0</v>
      </c>
      <c r="G188" s="62"/>
      <c r="H188" s="62"/>
      <c r="I188" s="60"/>
      <c r="J188" s="60"/>
      <c r="K188" s="64"/>
      <c r="L188" s="64"/>
      <c r="M188" s="25"/>
      <c r="N188" s="25"/>
    </row>
    <row r="189" spans="1:14">
      <c r="A189" s="3" t="s">
        <v>336</v>
      </c>
      <c r="B189" s="10" t="s">
        <v>337</v>
      </c>
      <c r="C189" s="5"/>
      <c r="D189" s="5">
        <f t="shared" si="5"/>
        <v>0</v>
      </c>
      <c r="E189" s="6">
        <f t="shared" si="3"/>
        <v>0</v>
      </c>
      <c r="F189" s="6">
        <f t="shared" si="3"/>
        <v>0</v>
      </c>
      <c r="G189" s="62"/>
      <c r="H189" s="62"/>
      <c r="I189" s="60"/>
      <c r="J189" s="60"/>
      <c r="K189" s="64"/>
      <c r="L189" s="64"/>
      <c r="M189" s="25"/>
      <c r="N189" s="25"/>
    </row>
    <row r="190" spans="1:14">
      <c r="A190" s="3" t="s">
        <v>338</v>
      </c>
      <c r="B190" s="10" t="s">
        <v>339</v>
      </c>
      <c r="C190" s="5"/>
      <c r="D190" s="5">
        <f t="shared" si="5"/>
        <v>4100968.0300000003</v>
      </c>
      <c r="E190" s="6">
        <f t="shared" si="3"/>
        <v>1009290</v>
      </c>
      <c r="F190" s="6">
        <f t="shared" si="3"/>
        <v>5110258.03</v>
      </c>
      <c r="G190" s="62">
        <v>752851.95</v>
      </c>
      <c r="H190" s="62"/>
      <c r="I190" s="60">
        <v>256438.05</v>
      </c>
      <c r="J190" s="60">
        <v>5448</v>
      </c>
      <c r="K190" s="64"/>
      <c r="L190" s="64">
        <v>5104810.03</v>
      </c>
      <c r="M190" s="25"/>
      <c r="N190" s="25"/>
    </row>
    <row r="191" spans="1:14">
      <c r="A191" s="3" t="s">
        <v>340</v>
      </c>
      <c r="B191" s="10" t="s">
        <v>341</v>
      </c>
      <c r="C191" s="5"/>
      <c r="D191" s="5">
        <f t="shared" si="5"/>
        <v>0</v>
      </c>
      <c r="E191" s="6">
        <f t="shared" si="3"/>
        <v>0</v>
      </c>
      <c r="F191" s="6">
        <f t="shared" si="3"/>
        <v>0</v>
      </c>
      <c r="G191" s="62"/>
      <c r="H191" s="62"/>
      <c r="I191" s="60"/>
      <c r="J191" s="60"/>
      <c r="K191" s="64"/>
      <c r="L191" s="64"/>
      <c r="M191" s="25"/>
      <c r="N191" s="25"/>
    </row>
    <row r="192" spans="1:14">
      <c r="A192" s="3" t="s">
        <v>342</v>
      </c>
      <c r="B192" s="10" t="s">
        <v>343</v>
      </c>
      <c r="C192" s="5"/>
      <c r="D192" s="5">
        <f t="shared" si="5"/>
        <v>0</v>
      </c>
      <c r="E192" s="6">
        <f t="shared" si="3"/>
        <v>0</v>
      </c>
      <c r="F192" s="6">
        <f t="shared" si="3"/>
        <v>0</v>
      </c>
      <c r="G192" s="62"/>
      <c r="H192" s="62"/>
      <c r="I192" s="60"/>
      <c r="J192" s="60"/>
      <c r="K192" s="64"/>
      <c r="L192" s="64"/>
      <c r="M192" s="25"/>
      <c r="N192" s="25"/>
    </row>
    <row r="193" spans="1:14">
      <c r="A193" s="3" t="s">
        <v>344</v>
      </c>
      <c r="B193" s="10" t="s">
        <v>345</v>
      </c>
      <c r="C193" s="5"/>
      <c r="D193" s="5">
        <f t="shared" si="5"/>
        <v>0</v>
      </c>
      <c r="E193" s="6">
        <f t="shared" si="3"/>
        <v>0</v>
      </c>
      <c r="F193" s="6">
        <f t="shared" si="3"/>
        <v>0</v>
      </c>
      <c r="G193" s="62"/>
      <c r="H193" s="62"/>
      <c r="I193" s="60"/>
      <c r="J193" s="60"/>
      <c r="K193" s="64"/>
      <c r="L193" s="64"/>
      <c r="M193" s="25"/>
      <c r="N193" s="25"/>
    </row>
    <row r="194" spans="1:14">
      <c r="A194" s="3" t="s">
        <v>346</v>
      </c>
      <c r="B194" s="10" t="s">
        <v>347</v>
      </c>
      <c r="C194" s="5"/>
      <c r="D194" s="5">
        <f t="shared" si="5"/>
        <v>0</v>
      </c>
      <c r="E194" s="6">
        <f t="shared" si="3"/>
        <v>0</v>
      </c>
      <c r="F194" s="6">
        <f t="shared" si="3"/>
        <v>0</v>
      </c>
      <c r="G194" s="62"/>
      <c r="H194" s="62"/>
      <c r="I194" s="60"/>
      <c r="J194" s="60"/>
      <c r="K194" s="64"/>
      <c r="L194" s="64"/>
      <c r="M194" s="25"/>
      <c r="N194" s="25"/>
    </row>
    <row r="195" spans="1:14">
      <c r="A195" s="3" t="s">
        <v>348</v>
      </c>
      <c r="B195" s="10" t="s">
        <v>349</v>
      </c>
      <c r="C195" s="5"/>
      <c r="D195" s="5">
        <f t="shared" si="5"/>
        <v>0</v>
      </c>
      <c r="E195" s="6">
        <f t="shared" si="3"/>
        <v>0</v>
      </c>
      <c r="F195" s="6">
        <f t="shared" si="3"/>
        <v>0</v>
      </c>
      <c r="G195" s="62"/>
      <c r="H195" s="62"/>
      <c r="I195" s="60"/>
      <c r="J195" s="60"/>
      <c r="K195" s="64"/>
      <c r="L195" s="64"/>
      <c r="M195" s="25"/>
      <c r="N195" s="25"/>
    </row>
    <row r="196" spans="1:14">
      <c r="A196" s="3" t="s">
        <v>350</v>
      </c>
      <c r="B196" s="10" t="s">
        <v>351</v>
      </c>
      <c r="C196" s="5"/>
      <c r="D196" s="5">
        <f t="shared" si="5"/>
        <v>0</v>
      </c>
      <c r="E196" s="6">
        <f t="shared" si="3"/>
        <v>0</v>
      </c>
      <c r="F196" s="6">
        <f t="shared" si="3"/>
        <v>0</v>
      </c>
      <c r="G196" s="62"/>
      <c r="H196" s="62"/>
      <c r="I196" s="60"/>
      <c r="J196" s="60"/>
      <c r="K196" s="64"/>
      <c r="L196" s="64"/>
      <c r="M196" s="25"/>
      <c r="N196" s="25"/>
    </row>
    <row r="197" spans="1:14">
      <c r="A197" s="3" t="s">
        <v>352</v>
      </c>
      <c r="B197" s="10" t="s">
        <v>353</v>
      </c>
      <c r="C197" s="5"/>
      <c r="D197" s="5">
        <f t="shared" si="5"/>
        <v>0</v>
      </c>
      <c r="E197" s="6">
        <f t="shared" si="3"/>
        <v>0</v>
      </c>
      <c r="F197" s="6">
        <f t="shared" si="3"/>
        <v>0</v>
      </c>
      <c r="G197" s="62"/>
      <c r="H197" s="62"/>
      <c r="I197" s="60"/>
      <c r="J197" s="60"/>
      <c r="K197" s="64"/>
      <c r="L197" s="64"/>
      <c r="M197" s="25"/>
      <c r="N197" s="25"/>
    </row>
    <row r="198" spans="1:14">
      <c r="A198" s="3" t="s">
        <v>354</v>
      </c>
      <c r="B198" s="10" t="s">
        <v>355</v>
      </c>
      <c r="C198" s="5"/>
      <c r="D198" s="5">
        <f t="shared" si="5"/>
        <v>0</v>
      </c>
      <c r="E198" s="6">
        <f t="shared" si="3"/>
        <v>0</v>
      </c>
      <c r="F198" s="6">
        <f t="shared" si="3"/>
        <v>0</v>
      </c>
      <c r="G198" s="62"/>
      <c r="H198" s="62"/>
      <c r="I198" s="60"/>
      <c r="J198" s="60"/>
      <c r="K198" s="64"/>
      <c r="L198" s="64"/>
      <c r="M198" s="25"/>
      <c r="N198" s="25"/>
    </row>
    <row r="199" spans="1:14">
      <c r="A199" s="3" t="s">
        <v>356</v>
      </c>
      <c r="B199" s="10" t="s">
        <v>357</v>
      </c>
      <c r="C199" s="5"/>
      <c r="D199" s="5">
        <f t="shared" si="5"/>
        <v>0</v>
      </c>
      <c r="E199" s="6">
        <f t="shared" si="3"/>
        <v>0</v>
      </c>
      <c r="F199" s="6">
        <f t="shared" si="3"/>
        <v>0</v>
      </c>
      <c r="G199" s="62"/>
      <c r="H199" s="62"/>
      <c r="I199" s="60"/>
      <c r="J199" s="60"/>
      <c r="K199" s="64"/>
      <c r="L199" s="64"/>
      <c r="M199" s="25"/>
      <c r="N199" s="25"/>
    </row>
    <row r="200" spans="1:14">
      <c r="A200" s="3" t="s">
        <v>358</v>
      </c>
      <c r="B200" s="10" t="s">
        <v>359</v>
      </c>
      <c r="C200" s="5"/>
      <c r="D200" s="5">
        <f t="shared" si="5"/>
        <v>0</v>
      </c>
      <c r="E200" s="6">
        <f t="shared" si="3"/>
        <v>0</v>
      </c>
      <c r="F200" s="6">
        <f t="shared" si="3"/>
        <v>0</v>
      </c>
      <c r="G200" s="62"/>
      <c r="H200" s="62"/>
      <c r="I200" s="60"/>
      <c r="J200" s="60"/>
      <c r="K200" s="64"/>
      <c r="L200" s="64"/>
      <c r="M200" s="25"/>
      <c r="N200" s="25"/>
    </row>
    <row r="201" spans="1:14">
      <c r="A201" s="3" t="s">
        <v>360</v>
      </c>
      <c r="B201" s="10" t="s">
        <v>361</v>
      </c>
      <c r="C201" s="5"/>
      <c r="D201" s="5">
        <f t="shared" si="5"/>
        <v>0</v>
      </c>
      <c r="E201" s="6">
        <f t="shared" si="3"/>
        <v>0</v>
      </c>
      <c r="F201" s="6">
        <f t="shared" si="3"/>
        <v>0</v>
      </c>
      <c r="G201" s="62"/>
      <c r="H201" s="62"/>
      <c r="I201" s="60"/>
      <c r="J201" s="60"/>
      <c r="K201" s="64"/>
      <c r="L201" s="64"/>
      <c r="M201" s="25"/>
      <c r="N201" s="25"/>
    </row>
    <row r="202" spans="1:14">
      <c r="A202" s="3" t="s">
        <v>362</v>
      </c>
      <c r="B202" s="10" t="s">
        <v>363</v>
      </c>
      <c r="C202" s="5"/>
      <c r="D202" s="5">
        <f t="shared" si="5"/>
        <v>0</v>
      </c>
      <c r="E202" s="6">
        <f t="shared" si="3"/>
        <v>0</v>
      </c>
      <c r="F202" s="6">
        <f t="shared" si="3"/>
        <v>0</v>
      </c>
      <c r="G202" s="62"/>
      <c r="H202" s="62"/>
      <c r="I202" s="60"/>
      <c r="J202" s="60"/>
      <c r="K202" s="64"/>
      <c r="L202" s="64"/>
      <c r="M202" s="25"/>
      <c r="N202" s="25"/>
    </row>
    <row r="203" spans="1:14">
      <c r="A203" s="3" t="s">
        <v>364</v>
      </c>
      <c r="B203" s="10" t="s">
        <v>365</v>
      </c>
      <c r="C203" s="5"/>
      <c r="D203" s="5">
        <f t="shared" si="5"/>
        <v>0</v>
      </c>
      <c r="E203" s="6">
        <f t="shared" si="3"/>
        <v>0</v>
      </c>
      <c r="F203" s="6">
        <f t="shared" si="3"/>
        <v>0</v>
      </c>
      <c r="G203" s="62"/>
      <c r="H203" s="62"/>
      <c r="I203" s="60"/>
      <c r="J203" s="60"/>
      <c r="K203" s="64"/>
      <c r="L203" s="64"/>
      <c r="M203" s="25"/>
      <c r="N203" s="25"/>
    </row>
    <row r="204" spans="1:14">
      <c r="A204" s="3" t="s">
        <v>366</v>
      </c>
      <c r="B204" s="10" t="s">
        <v>367</v>
      </c>
      <c r="C204" s="5"/>
      <c r="D204" s="5">
        <f t="shared" si="5"/>
        <v>0</v>
      </c>
      <c r="E204" s="6">
        <f t="shared" si="3"/>
        <v>0</v>
      </c>
      <c r="F204" s="6">
        <f t="shared" si="3"/>
        <v>0</v>
      </c>
      <c r="G204" s="62"/>
      <c r="H204" s="62"/>
      <c r="I204" s="60"/>
      <c r="J204" s="60"/>
      <c r="K204" s="64"/>
      <c r="L204" s="64"/>
      <c r="M204" s="25"/>
      <c r="N204" s="25"/>
    </row>
    <row r="205" spans="1:14">
      <c r="A205" s="3" t="s">
        <v>368</v>
      </c>
      <c r="B205" s="10" t="s">
        <v>369</v>
      </c>
      <c r="C205" s="5"/>
      <c r="D205" s="5">
        <f t="shared" si="5"/>
        <v>0</v>
      </c>
      <c r="E205" s="6">
        <f t="shared" si="3"/>
        <v>0</v>
      </c>
      <c r="F205" s="6">
        <f t="shared" si="3"/>
        <v>0</v>
      </c>
      <c r="G205" s="62"/>
      <c r="H205" s="62"/>
      <c r="I205" s="60"/>
      <c r="J205" s="60"/>
      <c r="K205" s="64"/>
      <c r="L205" s="64"/>
      <c r="M205" s="25"/>
      <c r="N205" s="25"/>
    </row>
    <row r="206" spans="1:14">
      <c r="A206" s="3" t="s">
        <v>370</v>
      </c>
      <c r="B206" s="10" t="s">
        <v>371</v>
      </c>
      <c r="C206" s="5"/>
      <c r="D206" s="5">
        <f t="shared" si="5"/>
        <v>0</v>
      </c>
      <c r="E206" s="6">
        <f t="shared" ref="E206:F269" si="6">SUM(G206,I206,K206,M206)</f>
        <v>0</v>
      </c>
      <c r="F206" s="6">
        <f t="shared" si="6"/>
        <v>0</v>
      </c>
      <c r="G206" s="62"/>
      <c r="H206" s="62"/>
      <c r="I206" s="60"/>
      <c r="J206" s="60"/>
      <c r="K206" s="64"/>
      <c r="L206" s="64"/>
      <c r="M206" s="25"/>
      <c r="N206" s="25"/>
    </row>
    <row r="207" spans="1:14">
      <c r="A207" s="3" t="s">
        <v>372</v>
      </c>
      <c r="B207" s="10" t="s">
        <v>373</v>
      </c>
      <c r="C207" s="5"/>
      <c r="D207" s="5">
        <f t="shared" si="5"/>
        <v>0</v>
      </c>
      <c r="E207" s="6">
        <f t="shared" si="6"/>
        <v>0</v>
      </c>
      <c r="F207" s="6">
        <f t="shared" si="6"/>
        <v>0</v>
      </c>
      <c r="G207" s="62"/>
      <c r="H207" s="62"/>
      <c r="I207" s="60"/>
      <c r="J207" s="60"/>
      <c r="K207" s="64"/>
      <c r="L207" s="64"/>
      <c r="M207" s="25"/>
      <c r="N207" s="25"/>
    </row>
    <row r="208" spans="1:14">
      <c r="A208" s="3" t="s">
        <v>374</v>
      </c>
      <c r="B208" s="10" t="s">
        <v>375</v>
      </c>
      <c r="C208" s="5"/>
      <c r="D208" s="5">
        <f t="shared" si="5"/>
        <v>0</v>
      </c>
      <c r="E208" s="6">
        <f t="shared" si="6"/>
        <v>0</v>
      </c>
      <c r="F208" s="6">
        <f t="shared" si="6"/>
        <v>0</v>
      </c>
      <c r="G208" s="62"/>
      <c r="H208" s="62"/>
      <c r="I208" s="60"/>
      <c r="J208" s="60"/>
      <c r="K208" s="64"/>
      <c r="L208" s="64"/>
      <c r="M208" s="25"/>
      <c r="N208" s="25"/>
    </row>
    <row r="209" spans="1:14">
      <c r="A209" s="3" t="s">
        <v>376</v>
      </c>
      <c r="B209" s="10" t="s">
        <v>377</v>
      </c>
      <c r="C209" s="5"/>
      <c r="D209" s="5">
        <f t="shared" si="5"/>
        <v>0</v>
      </c>
      <c r="E209" s="6">
        <f t="shared" si="6"/>
        <v>0</v>
      </c>
      <c r="F209" s="6">
        <f t="shared" si="6"/>
        <v>0</v>
      </c>
      <c r="G209" s="62"/>
      <c r="H209" s="62"/>
      <c r="I209" s="60"/>
      <c r="J209" s="60"/>
      <c r="K209" s="64"/>
      <c r="L209" s="64"/>
      <c r="M209" s="25"/>
      <c r="N209" s="25"/>
    </row>
    <row r="210" spans="1:14">
      <c r="A210" s="3" t="s">
        <v>378</v>
      </c>
      <c r="B210" s="10" t="s">
        <v>379</v>
      </c>
      <c r="C210" s="5"/>
      <c r="D210" s="5">
        <f t="shared" si="5"/>
        <v>0</v>
      </c>
      <c r="E210" s="6">
        <f t="shared" si="6"/>
        <v>0</v>
      </c>
      <c r="F210" s="6">
        <f t="shared" si="6"/>
        <v>0</v>
      </c>
      <c r="G210" s="62"/>
      <c r="H210" s="62"/>
      <c r="I210" s="60"/>
      <c r="J210" s="60"/>
      <c r="K210" s="64"/>
      <c r="L210" s="64"/>
      <c r="M210" s="25"/>
      <c r="N210" s="25"/>
    </row>
    <row r="211" spans="1:14">
      <c r="A211" s="3" t="s">
        <v>380</v>
      </c>
      <c r="B211" s="10" t="s">
        <v>381</v>
      </c>
      <c r="C211" s="5"/>
      <c r="D211" s="5">
        <f t="shared" si="5"/>
        <v>0</v>
      </c>
      <c r="E211" s="6">
        <f t="shared" si="6"/>
        <v>0</v>
      </c>
      <c r="F211" s="6">
        <f t="shared" si="6"/>
        <v>0</v>
      </c>
      <c r="G211" s="62"/>
      <c r="H211" s="62"/>
      <c r="I211" s="60"/>
      <c r="J211" s="60"/>
      <c r="K211" s="64"/>
      <c r="L211" s="64"/>
      <c r="M211" s="25"/>
      <c r="N211" s="25"/>
    </row>
    <row r="212" spans="1:14">
      <c r="A212" s="3" t="s">
        <v>382</v>
      </c>
      <c r="B212" s="10" t="s">
        <v>383</v>
      </c>
      <c r="C212" s="5"/>
      <c r="D212" s="5">
        <f t="shared" si="5"/>
        <v>0</v>
      </c>
      <c r="E212" s="6">
        <f t="shared" si="6"/>
        <v>0</v>
      </c>
      <c r="F212" s="6">
        <f t="shared" si="6"/>
        <v>0</v>
      </c>
      <c r="G212" s="62"/>
      <c r="H212" s="62"/>
      <c r="I212" s="60"/>
      <c r="J212" s="60"/>
      <c r="K212" s="64"/>
      <c r="L212" s="64"/>
      <c r="M212" s="25"/>
      <c r="N212" s="25"/>
    </row>
    <row r="213" spans="1:14">
      <c r="A213" s="3" t="s">
        <v>384</v>
      </c>
      <c r="B213" s="10" t="s">
        <v>385</v>
      </c>
      <c r="C213" s="5"/>
      <c r="D213" s="5">
        <f t="shared" si="5"/>
        <v>0</v>
      </c>
      <c r="E213" s="6">
        <f t="shared" si="6"/>
        <v>0</v>
      </c>
      <c r="F213" s="6">
        <f t="shared" si="6"/>
        <v>0</v>
      </c>
      <c r="G213" s="62"/>
      <c r="H213" s="62"/>
      <c r="I213" s="60"/>
      <c r="J213" s="60"/>
      <c r="K213" s="64"/>
      <c r="L213" s="64"/>
      <c r="M213" s="25"/>
      <c r="N213" s="25"/>
    </row>
    <row r="214" spans="1:14">
      <c r="A214" s="3" t="s">
        <v>386</v>
      </c>
      <c r="B214" s="10" t="s">
        <v>387</v>
      </c>
      <c r="C214" s="5"/>
      <c r="D214" s="5">
        <f t="shared" si="5"/>
        <v>0</v>
      </c>
      <c r="E214" s="6">
        <f t="shared" si="6"/>
        <v>0</v>
      </c>
      <c r="F214" s="6">
        <f t="shared" si="6"/>
        <v>0</v>
      </c>
      <c r="G214" s="62"/>
      <c r="H214" s="62"/>
      <c r="I214" s="60"/>
      <c r="J214" s="60"/>
      <c r="K214" s="64"/>
      <c r="L214" s="64"/>
      <c r="M214" s="25"/>
      <c r="N214" s="25"/>
    </row>
    <row r="215" spans="1:14">
      <c r="A215" s="3" t="s">
        <v>388</v>
      </c>
      <c r="B215" s="10" t="s">
        <v>389</v>
      </c>
      <c r="C215" s="5"/>
      <c r="D215" s="5">
        <f t="shared" si="5"/>
        <v>0</v>
      </c>
      <c r="E215" s="6">
        <f t="shared" si="6"/>
        <v>0</v>
      </c>
      <c r="F215" s="6">
        <f t="shared" si="6"/>
        <v>0</v>
      </c>
      <c r="G215" s="62"/>
      <c r="H215" s="62"/>
      <c r="I215" s="60"/>
      <c r="J215" s="60"/>
      <c r="K215" s="64"/>
      <c r="L215" s="64"/>
      <c r="M215" s="25"/>
      <c r="N215" s="25"/>
    </row>
    <row r="216" spans="1:14">
      <c r="A216" s="3" t="s">
        <v>390</v>
      </c>
      <c r="B216" s="10" t="s">
        <v>391</v>
      </c>
      <c r="C216" s="5"/>
      <c r="D216" s="5">
        <f t="shared" si="5"/>
        <v>0</v>
      </c>
      <c r="E216" s="6">
        <f t="shared" si="6"/>
        <v>0</v>
      </c>
      <c r="F216" s="6">
        <f t="shared" si="6"/>
        <v>0</v>
      </c>
      <c r="G216" s="62"/>
      <c r="H216" s="62"/>
      <c r="I216" s="60"/>
      <c r="J216" s="60"/>
      <c r="K216" s="64"/>
      <c r="L216" s="64"/>
      <c r="M216" s="25"/>
      <c r="N216" s="25"/>
    </row>
    <row r="217" spans="1:14">
      <c r="A217" s="3" t="s">
        <v>392</v>
      </c>
      <c r="B217" s="10" t="s">
        <v>393</v>
      </c>
      <c r="C217" s="5"/>
      <c r="D217" s="5">
        <f t="shared" si="5"/>
        <v>0</v>
      </c>
      <c r="E217" s="6">
        <f t="shared" si="6"/>
        <v>0</v>
      </c>
      <c r="F217" s="6">
        <f t="shared" si="6"/>
        <v>0</v>
      </c>
      <c r="G217" s="62"/>
      <c r="H217" s="62"/>
      <c r="I217" s="60"/>
      <c r="J217" s="60"/>
      <c r="K217" s="64"/>
      <c r="L217" s="64"/>
      <c r="M217" s="25"/>
      <c r="N217" s="25"/>
    </row>
    <row r="218" spans="1:14">
      <c r="A218" s="3" t="s">
        <v>394</v>
      </c>
      <c r="B218" s="10" t="s">
        <v>395</v>
      </c>
      <c r="C218" s="5"/>
      <c r="D218" s="5">
        <f t="shared" si="5"/>
        <v>0</v>
      </c>
      <c r="E218" s="6">
        <f t="shared" si="6"/>
        <v>0</v>
      </c>
      <c r="F218" s="6">
        <f t="shared" si="6"/>
        <v>0</v>
      </c>
      <c r="G218" s="62"/>
      <c r="H218" s="62"/>
      <c r="I218" s="60"/>
      <c r="J218" s="60"/>
      <c r="K218" s="64"/>
      <c r="L218" s="64"/>
      <c r="M218" s="25"/>
      <c r="N218" s="25"/>
    </row>
    <row r="219" spans="1:14">
      <c r="A219" s="3" t="s">
        <v>396</v>
      </c>
      <c r="B219" s="10" t="s">
        <v>397</v>
      </c>
      <c r="C219" s="5"/>
      <c r="D219" s="5">
        <f t="shared" si="5"/>
        <v>0</v>
      </c>
      <c r="E219" s="6">
        <f t="shared" si="6"/>
        <v>0</v>
      </c>
      <c r="F219" s="6">
        <f t="shared" si="6"/>
        <v>0</v>
      </c>
      <c r="G219" s="62"/>
      <c r="H219" s="62"/>
      <c r="I219" s="60"/>
      <c r="J219" s="60"/>
      <c r="K219" s="64"/>
      <c r="L219" s="64"/>
      <c r="M219" s="25"/>
      <c r="N219" s="25"/>
    </row>
    <row r="220" spans="1:14">
      <c r="A220" s="3" t="s">
        <v>398</v>
      </c>
      <c r="B220" s="10" t="s">
        <v>399</v>
      </c>
      <c r="C220" s="5"/>
      <c r="D220" s="5">
        <f t="shared" si="5"/>
        <v>0</v>
      </c>
      <c r="E220" s="6">
        <f t="shared" si="6"/>
        <v>0</v>
      </c>
      <c r="F220" s="6">
        <f t="shared" si="6"/>
        <v>0</v>
      </c>
      <c r="G220" s="62"/>
      <c r="H220" s="62"/>
      <c r="I220" s="60"/>
      <c r="J220" s="60"/>
      <c r="K220" s="64"/>
      <c r="L220" s="64"/>
      <c r="M220" s="25"/>
      <c r="N220" s="25"/>
    </row>
    <row r="221" spans="1:14">
      <c r="A221" s="3" t="s">
        <v>400</v>
      </c>
      <c r="B221" s="10" t="s">
        <v>401</v>
      </c>
      <c r="C221" s="5"/>
      <c r="D221" s="5">
        <f t="shared" si="5"/>
        <v>0</v>
      </c>
      <c r="E221" s="6">
        <f t="shared" si="6"/>
        <v>0</v>
      </c>
      <c r="F221" s="6">
        <f t="shared" si="6"/>
        <v>0</v>
      </c>
      <c r="G221" s="62"/>
      <c r="H221" s="62"/>
      <c r="I221" s="60"/>
      <c r="J221" s="60"/>
      <c r="K221" s="64"/>
      <c r="L221" s="64"/>
      <c r="M221" s="25"/>
      <c r="N221" s="25"/>
    </row>
    <row r="222" spans="1:14">
      <c r="A222" s="3" t="s">
        <v>402</v>
      </c>
      <c r="B222" s="10" t="s">
        <v>403</v>
      </c>
      <c r="C222" s="5"/>
      <c r="D222" s="5">
        <f t="shared" si="5"/>
        <v>0</v>
      </c>
      <c r="E222" s="6">
        <f t="shared" si="6"/>
        <v>0</v>
      </c>
      <c r="F222" s="6">
        <f t="shared" si="6"/>
        <v>0</v>
      </c>
      <c r="G222" s="62"/>
      <c r="H222" s="62"/>
      <c r="I222" s="60"/>
      <c r="J222" s="60"/>
      <c r="K222" s="64"/>
      <c r="L222" s="64"/>
      <c r="M222" s="25"/>
      <c r="N222" s="25"/>
    </row>
    <row r="223" spans="1:14">
      <c r="A223" s="3" t="s">
        <v>404</v>
      </c>
      <c r="B223" s="10" t="s">
        <v>405</v>
      </c>
      <c r="C223" s="5"/>
      <c r="D223" s="5">
        <f t="shared" si="5"/>
        <v>0</v>
      </c>
      <c r="E223" s="6">
        <f t="shared" si="6"/>
        <v>0</v>
      </c>
      <c r="F223" s="6">
        <f t="shared" si="6"/>
        <v>0</v>
      </c>
      <c r="G223" s="62"/>
      <c r="H223" s="62"/>
      <c r="I223" s="60"/>
      <c r="J223" s="60"/>
      <c r="K223" s="64"/>
      <c r="L223" s="64"/>
      <c r="M223" s="25"/>
      <c r="N223" s="25"/>
    </row>
    <row r="224" spans="1:14">
      <c r="A224" s="3" t="s">
        <v>406</v>
      </c>
      <c r="B224" s="10" t="s">
        <v>407</v>
      </c>
      <c r="C224" s="5"/>
      <c r="D224" s="5">
        <f t="shared" si="5"/>
        <v>0</v>
      </c>
      <c r="E224" s="6">
        <f t="shared" si="6"/>
        <v>0</v>
      </c>
      <c r="F224" s="6">
        <f t="shared" si="6"/>
        <v>0</v>
      </c>
      <c r="G224" s="62"/>
      <c r="H224" s="62"/>
      <c r="I224" s="60"/>
      <c r="J224" s="60"/>
      <c r="K224" s="64"/>
      <c r="L224" s="64"/>
      <c r="M224" s="25"/>
      <c r="N224" s="25"/>
    </row>
    <row r="225" spans="1:14">
      <c r="A225" s="3" t="s">
        <v>408</v>
      </c>
      <c r="B225" s="10" t="s">
        <v>409</v>
      </c>
      <c r="C225" s="5"/>
      <c r="D225" s="5">
        <f t="shared" si="5"/>
        <v>0</v>
      </c>
      <c r="E225" s="6">
        <f t="shared" si="6"/>
        <v>0</v>
      </c>
      <c r="F225" s="6">
        <f t="shared" si="6"/>
        <v>0</v>
      </c>
      <c r="G225" s="62"/>
      <c r="H225" s="62"/>
      <c r="I225" s="60"/>
      <c r="J225" s="60"/>
      <c r="K225" s="64"/>
      <c r="L225" s="64"/>
      <c r="M225" s="25"/>
      <c r="N225" s="25"/>
    </row>
    <row r="226" spans="1:14">
      <c r="A226" s="3" t="s">
        <v>410</v>
      </c>
      <c r="B226" s="10" t="s">
        <v>411</v>
      </c>
      <c r="C226" s="5"/>
      <c r="D226" s="5">
        <f t="shared" si="5"/>
        <v>0</v>
      </c>
      <c r="E226" s="6">
        <f t="shared" si="6"/>
        <v>0</v>
      </c>
      <c r="F226" s="6">
        <f t="shared" si="6"/>
        <v>0</v>
      </c>
      <c r="G226" s="62"/>
      <c r="H226" s="62"/>
      <c r="I226" s="60"/>
      <c r="J226" s="60"/>
      <c r="K226" s="64"/>
      <c r="L226" s="64"/>
      <c r="M226" s="25"/>
      <c r="N226" s="25"/>
    </row>
    <row r="227" spans="1:14">
      <c r="A227" s="3" t="s">
        <v>412</v>
      </c>
      <c r="B227" s="10" t="s">
        <v>413</v>
      </c>
      <c r="C227" s="5"/>
      <c r="D227" s="5">
        <f t="shared" si="5"/>
        <v>0</v>
      </c>
      <c r="E227" s="6">
        <f t="shared" si="6"/>
        <v>0</v>
      </c>
      <c r="F227" s="6">
        <f t="shared" si="6"/>
        <v>0</v>
      </c>
      <c r="G227" s="62"/>
      <c r="H227" s="62"/>
      <c r="I227" s="60"/>
      <c r="J227" s="60"/>
      <c r="K227" s="64"/>
      <c r="L227" s="64"/>
      <c r="M227" s="25"/>
      <c r="N227" s="25"/>
    </row>
    <row r="228" spans="1:14">
      <c r="A228" s="3" t="s">
        <v>414</v>
      </c>
      <c r="B228" s="10" t="s">
        <v>415</v>
      </c>
      <c r="C228" s="5"/>
      <c r="D228" s="5">
        <f t="shared" si="5"/>
        <v>0</v>
      </c>
      <c r="E228" s="6">
        <f t="shared" si="6"/>
        <v>0</v>
      </c>
      <c r="F228" s="6">
        <f t="shared" si="6"/>
        <v>0</v>
      </c>
      <c r="G228" s="62"/>
      <c r="H228" s="62"/>
      <c r="I228" s="60"/>
      <c r="J228" s="60"/>
      <c r="K228" s="64"/>
      <c r="L228" s="64"/>
      <c r="M228" s="25"/>
      <c r="N228" s="25"/>
    </row>
    <row r="229" spans="1:14">
      <c r="A229" s="3" t="s">
        <v>416</v>
      </c>
      <c r="B229" s="10" t="s">
        <v>417</v>
      </c>
      <c r="C229" s="5"/>
      <c r="D229" s="5">
        <f t="shared" si="5"/>
        <v>0</v>
      </c>
      <c r="E229" s="6">
        <f t="shared" si="6"/>
        <v>0</v>
      </c>
      <c r="F229" s="6">
        <f t="shared" si="6"/>
        <v>0</v>
      </c>
      <c r="G229" s="62"/>
      <c r="H229" s="62"/>
      <c r="I229" s="60"/>
      <c r="J229" s="60"/>
      <c r="K229" s="64"/>
      <c r="L229" s="64"/>
      <c r="M229" s="25"/>
      <c r="N229" s="25"/>
    </row>
    <row r="230" spans="1:14">
      <c r="A230" s="3" t="s">
        <v>418</v>
      </c>
      <c r="B230" s="10" t="s">
        <v>419</v>
      </c>
      <c r="C230" s="5"/>
      <c r="D230" s="5">
        <f t="shared" si="5"/>
        <v>0</v>
      </c>
      <c r="E230" s="6">
        <f t="shared" si="6"/>
        <v>0</v>
      </c>
      <c r="F230" s="6">
        <f t="shared" si="6"/>
        <v>0</v>
      </c>
      <c r="G230" s="62"/>
      <c r="H230" s="62"/>
      <c r="I230" s="60"/>
      <c r="J230" s="60"/>
      <c r="K230" s="64"/>
      <c r="L230" s="64"/>
      <c r="M230" s="25"/>
      <c r="N230" s="25"/>
    </row>
    <row r="231" spans="1:14">
      <c r="A231" s="3" t="s">
        <v>420</v>
      </c>
      <c r="B231" s="10" t="s">
        <v>421</v>
      </c>
      <c r="C231" s="5"/>
      <c r="D231" s="5">
        <f t="shared" si="5"/>
        <v>0</v>
      </c>
      <c r="E231" s="6">
        <f t="shared" si="6"/>
        <v>0</v>
      </c>
      <c r="F231" s="6">
        <f t="shared" si="6"/>
        <v>0</v>
      </c>
      <c r="G231" s="62"/>
      <c r="H231" s="62"/>
      <c r="I231" s="60"/>
      <c r="J231" s="60"/>
      <c r="K231" s="64"/>
      <c r="L231" s="64"/>
      <c r="M231" s="25"/>
      <c r="N231" s="25"/>
    </row>
    <row r="232" spans="1:14">
      <c r="A232" s="3" t="s">
        <v>422</v>
      </c>
      <c r="B232" s="10" t="s">
        <v>423</v>
      </c>
      <c r="C232" s="5"/>
      <c r="D232" s="5">
        <f t="shared" si="5"/>
        <v>0</v>
      </c>
      <c r="E232" s="6">
        <f t="shared" si="6"/>
        <v>0</v>
      </c>
      <c r="F232" s="6">
        <f t="shared" si="6"/>
        <v>0</v>
      </c>
      <c r="G232" s="62"/>
      <c r="H232" s="62"/>
      <c r="I232" s="60"/>
      <c r="J232" s="60"/>
      <c r="K232" s="64"/>
      <c r="L232" s="64"/>
      <c r="M232" s="25"/>
      <c r="N232" s="25"/>
    </row>
    <row r="233" spans="1:14">
      <c r="A233" s="3" t="s">
        <v>424</v>
      </c>
      <c r="B233" s="10" t="s">
        <v>425</v>
      </c>
      <c r="C233" s="5"/>
      <c r="D233" s="5">
        <f t="shared" si="5"/>
        <v>0</v>
      </c>
      <c r="E233" s="6">
        <f t="shared" si="6"/>
        <v>0</v>
      </c>
      <c r="F233" s="6">
        <f t="shared" si="6"/>
        <v>0</v>
      </c>
      <c r="G233" s="62"/>
      <c r="H233" s="62"/>
      <c r="I233" s="60"/>
      <c r="J233" s="60"/>
      <c r="K233" s="64"/>
      <c r="L233" s="64"/>
      <c r="M233" s="25"/>
      <c r="N233" s="25"/>
    </row>
    <row r="234" spans="1:14">
      <c r="A234" s="3" t="s">
        <v>426</v>
      </c>
      <c r="B234" s="10" t="s">
        <v>427</v>
      </c>
      <c r="C234" s="5"/>
      <c r="D234" s="5">
        <f t="shared" si="5"/>
        <v>0</v>
      </c>
      <c r="E234" s="6">
        <f t="shared" si="6"/>
        <v>0</v>
      </c>
      <c r="F234" s="6">
        <f t="shared" si="6"/>
        <v>0</v>
      </c>
      <c r="G234" s="62"/>
      <c r="H234" s="62"/>
      <c r="I234" s="60"/>
      <c r="J234" s="60"/>
      <c r="K234" s="64"/>
      <c r="L234" s="64"/>
      <c r="M234" s="25"/>
      <c r="N234" s="25"/>
    </row>
    <row r="235" spans="1:14">
      <c r="A235" s="3" t="s">
        <v>428</v>
      </c>
      <c r="B235" s="10" t="s">
        <v>429</v>
      </c>
      <c r="C235" s="5"/>
      <c r="D235" s="5">
        <f t="shared" si="5"/>
        <v>0</v>
      </c>
      <c r="E235" s="6">
        <f t="shared" si="6"/>
        <v>0</v>
      </c>
      <c r="F235" s="6">
        <f t="shared" si="6"/>
        <v>0</v>
      </c>
      <c r="G235" s="62"/>
      <c r="H235" s="62"/>
      <c r="I235" s="60"/>
      <c r="J235" s="60"/>
      <c r="K235" s="64"/>
      <c r="L235" s="64"/>
      <c r="M235" s="25"/>
      <c r="N235" s="25"/>
    </row>
    <row r="236" spans="1:14">
      <c r="A236" s="3" t="s">
        <v>430</v>
      </c>
      <c r="B236" s="10" t="s">
        <v>431</v>
      </c>
      <c r="C236" s="5"/>
      <c r="D236" s="5">
        <f t="shared" si="5"/>
        <v>0</v>
      </c>
      <c r="E236" s="6">
        <f t="shared" si="6"/>
        <v>0</v>
      </c>
      <c r="F236" s="6">
        <f t="shared" si="6"/>
        <v>0</v>
      </c>
      <c r="G236" s="62"/>
      <c r="H236" s="62"/>
      <c r="I236" s="60"/>
      <c r="J236" s="60"/>
      <c r="K236" s="64"/>
      <c r="L236" s="64"/>
      <c r="M236" s="25"/>
      <c r="N236" s="25"/>
    </row>
    <row r="237" spans="1:14">
      <c r="A237" s="3" t="s">
        <v>432</v>
      </c>
      <c r="B237" s="10" t="s">
        <v>433</v>
      </c>
      <c r="C237" s="5"/>
      <c r="D237" s="5">
        <f t="shared" si="5"/>
        <v>0</v>
      </c>
      <c r="E237" s="6">
        <f t="shared" si="6"/>
        <v>0</v>
      </c>
      <c r="F237" s="6">
        <f t="shared" si="6"/>
        <v>0</v>
      </c>
      <c r="G237" s="62"/>
      <c r="H237" s="62"/>
      <c r="I237" s="60"/>
      <c r="J237" s="60"/>
      <c r="K237" s="64"/>
      <c r="L237" s="64"/>
      <c r="M237" s="25"/>
      <c r="N237" s="25"/>
    </row>
    <row r="238" spans="1:14">
      <c r="A238" s="3" t="s">
        <v>434</v>
      </c>
      <c r="B238" s="10" t="s">
        <v>435</v>
      </c>
      <c r="C238" s="5"/>
      <c r="D238" s="5">
        <f t="shared" ref="D238:D280" si="7">F238-E238</f>
        <v>0</v>
      </c>
      <c r="E238" s="6">
        <f t="shared" si="6"/>
        <v>0</v>
      </c>
      <c r="F238" s="6">
        <f t="shared" si="6"/>
        <v>0</v>
      </c>
      <c r="G238" s="62"/>
      <c r="H238" s="62"/>
      <c r="I238" s="60"/>
      <c r="J238" s="60"/>
      <c r="K238" s="64"/>
      <c r="L238" s="64"/>
      <c r="M238" s="25"/>
      <c r="N238" s="25"/>
    </row>
    <row r="239" spans="1:14">
      <c r="A239" s="3" t="s">
        <v>436</v>
      </c>
      <c r="B239" s="10" t="s">
        <v>437</v>
      </c>
      <c r="C239" s="5"/>
      <c r="D239" s="5">
        <f t="shared" si="7"/>
        <v>0</v>
      </c>
      <c r="E239" s="6">
        <f t="shared" si="6"/>
        <v>0</v>
      </c>
      <c r="F239" s="6">
        <f t="shared" si="6"/>
        <v>0</v>
      </c>
      <c r="G239" s="62"/>
      <c r="H239" s="62"/>
      <c r="I239" s="60"/>
      <c r="J239" s="60"/>
      <c r="K239" s="64"/>
      <c r="L239" s="64"/>
      <c r="M239" s="25"/>
      <c r="N239" s="25"/>
    </row>
    <row r="240" spans="1:14">
      <c r="A240" s="3" t="s">
        <v>438</v>
      </c>
      <c r="B240" s="10" t="s">
        <v>439</v>
      </c>
      <c r="C240" s="5"/>
      <c r="D240" s="5">
        <f t="shared" si="7"/>
        <v>0</v>
      </c>
      <c r="E240" s="6">
        <f t="shared" si="6"/>
        <v>0</v>
      </c>
      <c r="F240" s="6">
        <f t="shared" si="6"/>
        <v>0</v>
      </c>
      <c r="G240" s="62"/>
      <c r="H240" s="62"/>
      <c r="I240" s="60"/>
      <c r="J240" s="60"/>
      <c r="K240" s="64"/>
      <c r="L240" s="64"/>
      <c r="M240" s="25"/>
      <c r="N240" s="25"/>
    </row>
    <row r="241" spans="1:14">
      <c r="A241" s="3" t="s">
        <v>440</v>
      </c>
      <c r="B241" s="10" t="s">
        <v>441</v>
      </c>
      <c r="C241" s="5"/>
      <c r="D241" s="5">
        <f t="shared" si="7"/>
        <v>0</v>
      </c>
      <c r="E241" s="6">
        <f t="shared" si="6"/>
        <v>0</v>
      </c>
      <c r="F241" s="6">
        <f t="shared" si="6"/>
        <v>0</v>
      </c>
      <c r="G241" s="62"/>
      <c r="H241" s="62"/>
      <c r="I241" s="60"/>
      <c r="J241" s="60"/>
      <c r="K241" s="64"/>
      <c r="L241" s="64"/>
      <c r="M241" s="25"/>
      <c r="N241" s="25"/>
    </row>
    <row r="242" spans="1:14">
      <c r="A242" s="3" t="s">
        <v>442</v>
      </c>
      <c r="B242" s="10" t="s">
        <v>443</v>
      </c>
      <c r="C242" s="5"/>
      <c r="D242" s="5">
        <f t="shared" si="7"/>
        <v>0</v>
      </c>
      <c r="E242" s="6">
        <f t="shared" si="6"/>
        <v>0</v>
      </c>
      <c r="F242" s="6">
        <f t="shared" si="6"/>
        <v>0</v>
      </c>
      <c r="G242" s="62"/>
      <c r="H242" s="62"/>
      <c r="I242" s="60"/>
      <c r="J242" s="60"/>
      <c r="K242" s="64"/>
      <c r="L242" s="64"/>
      <c r="M242" s="25"/>
      <c r="N242" s="25"/>
    </row>
    <row r="243" spans="1:14">
      <c r="A243" s="3" t="s">
        <v>444</v>
      </c>
      <c r="B243" s="10" t="s">
        <v>445</v>
      </c>
      <c r="C243" s="5"/>
      <c r="D243" s="5">
        <f t="shared" si="7"/>
        <v>0</v>
      </c>
      <c r="E243" s="6">
        <f t="shared" si="6"/>
        <v>0</v>
      </c>
      <c r="F243" s="6">
        <f t="shared" si="6"/>
        <v>0</v>
      </c>
      <c r="G243" s="62"/>
      <c r="H243" s="62"/>
      <c r="I243" s="60"/>
      <c r="J243" s="60"/>
      <c r="K243" s="64"/>
      <c r="L243" s="64"/>
      <c r="M243" s="25"/>
      <c r="N243" s="25"/>
    </row>
    <row r="244" spans="1:14">
      <c r="A244" s="3" t="s">
        <v>446</v>
      </c>
      <c r="B244" s="10" t="s">
        <v>447</v>
      </c>
      <c r="C244" s="5"/>
      <c r="D244" s="5">
        <f t="shared" si="7"/>
        <v>0</v>
      </c>
      <c r="E244" s="6">
        <f t="shared" si="6"/>
        <v>0</v>
      </c>
      <c r="F244" s="6">
        <f t="shared" si="6"/>
        <v>0</v>
      </c>
      <c r="G244" s="62"/>
      <c r="H244" s="62"/>
      <c r="I244" s="60"/>
      <c r="J244" s="60"/>
      <c r="K244" s="64"/>
      <c r="L244" s="64"/>
      <c r="M244" s="25"/>
      <c r="N244" s="25"/>
    </row>
    <row r="245" spans="1:14">
      <c r="A245" s="3" t="s">
        <v>448</v>
      </c>
      <c r="B245" s="10" t="s">
        <v>449</v>
      </c>
      <c r="C245" s="5"/>
      <c r="D245" s="5">
        <f t="shared" si="7"/>
        <v>0</v>
      </c>
      <c r="E245" s="6">
        <f t="shared" si="6"/>
        <v>0</v>
      </c>
      <c r="F245" s="6">
        <f t="shared" si="6"/>
        <v>0</v>
      </c>
      <c r="G245" s="62"/>
      <c r="H245" s="62"/>
      <c r="I245" s="60"/>
      <c r="J245" s="60"/>
      <c r="K245" s="64"/>
      <c r="L245" s="64"/>
      <c r="M245" s="25"/>
      <c r="N245" s="25"/>
    </row>
    <row r="246" spans="1:14">
      <c r="A246" s="3" t="s">
        <v>450</v>
      </c>
      <c r="B246" s="10" t="s">
        <v>451</v>
      </c>
      <c r="C246" s="5"/>
      <c r="D246" s="5">
        <f t="shared" si="7"/>
        <v>0</v>
      </c>
      <c r="E246" s="6">
        <f t="shared" si="6"/>
        <v>0</v>
      </c>
      <c r="F246" s="6">
        <f t="shared" si="6"/>
        <v>0</v>
      </c>
      <c r="G246" s="62"/>
      <c r="H246" s="62"/>
      <c r="I246" s="60"/>
      <c r="J246" s="60"/>
      <c r="K246" s="64"/>
      <c r="L246" s="64"/>
      <c r="M246" s="25"/>
      <c r="N246" s="25"/>
    </row>
    <row r="247" spans="1:14">
      <c r="A247" s="3" t="s">
        <v>452</v>
      </c>
      <c r="B247" s="10" t="s">
        <v>453</v>
      </c>
      <c r="C247" s="5"/>
      <c r="D247" s="5">
        <f t="shared" si="7"/>
        <v>0</v>
      </c>
      <c r="E247" s="6">
        <f t="shared" si="6"/>
        <v>0</v>
      </c>
      <c r="F247" s="6">
        <f t="shared" si="6"/>
        <v>0</v>
      </c>
      <c r="G247" s="62"/>
      <c r="H247" s="62"/>
      <c r="I247" s="60"/>
      <c r="J247" s="60"/>
      <c r="K247" s="64"/>
      <c r="L247" s="64"/>
      <c r="M247" s="25"/>
      <c r="N247" s="25"/>
    </row>
    <row r="248" spans="1:14">
      <c r="A248" s="3" t="s">
        <v>454</v>
      </c>
      <c r="B248" s="10" t="s">
        <v>455</v>
      </c>
      <c r="C248" s="5"/>
      <c r="D248" s="5">
        <f t="shared" si="7"/>
        <v>0</v>
      </c>
      <c r="E248" s="6">
        <f t="shared" si="6"/>
        <v>0</v>
      </c>
      <c r="F248" s="6">
        <f t="shared" si="6"/>
        <v>0</v>
      </c>
      <c r="G248" s="62"/>
      <c r="H248" s="62"/>
      <c r="I248" s="60"/>
      <c r="J248" s="60"/>
      <c r="K248" s="64"/>
      <c r="L248" s="64"/>
      <c r="M248" s="25"/>
      <c r="N248" s="25"/>
    </row>
    <row r="249" spans="1:14">
      <c r="A249" s="3" t="s">
        <v>456</v>
      </c>
      <c r="B249" s="10" t="s">
        <v>457</v>
      </c>
      <c r="C249" s="5"/>
      <c r="D249" s="5">
        <f t="shared" si="7"/>
        <v>0</v>
      </c>
      <c r="E249" s="6">
        <f t="shared" si="6"/>
        <v>0</v>
      </c>
      <c r="F249" s="6">
        <f t="shared" si="6"/>
        <v>0</v>
      </c>
      <c r="G249" s="62"/>
      <c r="H249" s="62"/>
      <c r="I249" s="60"/>
      <c r="J249" s="60"/>
      <c r="K249" s="64"/>
      <c r="L249" s="64"/>
      <c r="M249" s="25"/>
      <c r="N249" s="25"/>
    </row>
    <row r="250" spans="1:14">
      <c r="A250" s="3" t="s">
        <v>458</v>
      </c>
      <c r="B250" s="10" t="s">
        <v>459</v>
      </c>
      <c r="C250" s="5"/>
      <c r="D250" s="5">
        <f t="shared" si="7"/>
        <v>0</v>
      </c>
      <c r="E250" s="6">
        <f t="shared" si="6"/>
        <v>0</v>
      </c>
      <c r="F250" s="6">
        <f t="shared" si="6"/>
        <v>0</v>
      </c>
      <c r="G250" s="62"/>
      <c r="H250" s="62"/>
      <c r="I250" s="60"/>
      <c r="J250" s="60"/>
      <c r="K250" s="64"/>
      <c r="L250" s="64"/>
      <c r="M250" s="25"/>
      <c r="N250" s="25"/>
    </row>
    <row r="251" spans="1:14">
      <c r="A251" s="3" t="s">
        <v>460</v>
      </c>
      <c r="B251" s="10" t="s">
        <v>461</v>
      </c>
      <c r="C251" s="5"/>
      <c r="D251" s="5">
        <f t="shared" si="7"/>
        <v>0</v>
      </c>
      <c r="E251" s="6">
        <f t="shared" si="6"/>
        <v>0</v>
      </c>
      <c r="F251" s="6">
        <f t="shared" si="6"/>
        <v>0</v>
      </c>
      <c r="G251" s="62"/>
      <c r="H251" s="62"/>
      <c r="I251" s="60"/>
      <c r="J251" s="60"/>
      <c r="K251" s="64"/>
      <c r="L251" s="64"/>
      <c r="M251" s="25"/>
      <c r="N251" s="25"/>
    </row>
    <row r="252" spans="1:14">
      <c r="A252" s="3" t="s">
        <v>462</v>
      </c>
      <c r="B252" s="10" t="s">
        <v>463</v>
      </c>
      <c r="C252" s="5"/>
      <c r="D252" s="5">
        <f t="shared" si="7"/>
        <v>0</v>
      </c>
      <c r="E252" s="6">
        <f t="shared" si="6"/>
        <v>0</v>
      </c>
      <c r="F252" s="6">
        <f t="shared" si="6"/>
        <v>0</v>
      </c>
      <c r="G252" s="62"/>
      <c r="H252" s="62"/>
      <c r="I252" s="60"/>
      <c r="J252" s="60"/>
      <c r="K252" s="64"/>
      <c r="L252" s="64"/>
      <c r="M252" s="25"/>
      <c r="N252" s="25"/>
    </row>
    <row r="253" spans="1:14">
      <c r="A253" s="3" t="s">
        <v>464</v>
      </c>
      <c r="B253" s="10" t="s">
        <v>465</v>
      </c>
      <c r="C253" s="5"/>
      <c r="D253" s="5">
        <f t="shared" si="7"/>
        <v>0</v>
      </c>
      <c r="E253" s="6">
        <f t="shared" si="6"/>
        <v>0</v>
      </c>
      <c r="F253" s="6">
        <f t="shared" si="6"/>
        <v>0</v>
      </c>
      <c r="G253" s="62"/>
      <c r="H253" s="62"/>
      <c r="I253" s="60"/>
      <c r="J253" s="60"/>
      <c r="K253" s="64"/>
      <c r="L253" s="64"/>
      <c r="M253" s="25"/>
      <c r="N253" s="25"/>
    </row>
    <row r="254" spans="1:14">
      <c r="A254" s="3" t="s">
        <v>466</v>
      </c>
      <c r="B254" s="10" t="s">
        <v>467</v>
      </c>
      <c r="C254" s="5"/>
      <c r="D254" s="5">
        <f t="shared" si="7"/>
        <v>0</v>
      </c>
      <c r="E254" s="6">
        <f t="shared" si="6"/>
        <v>0</v>
      </c>
      <c r="F254" s="6">
        <f t="shared" si="6"/>
        <v>0</v>
      </c>
      <c r="G254" s="62"/>
      <c r="H254" s="62"/>
      <c r="I254" s="60"/>
      <c r="J254" s="60"/>
      <c r="K254" s="64"/>
      <c r="L254" s="64"/>
      <c r="M254" s="25"/>
      <c r="N254" s="25"/>
    </row>
    <row r="255" spans="1:14">
      <c r="A255" s="3" t="s">
        <v>468</v>
      </c>
      <c r="B255" s="10" t="s">
        <v>469</v>
      </c>
      <c r="C255" s="5"/>
      <c r="D255" s="5">
        <f t="shared" si="7"/>
        <v>0</v>
      </c>
      <c r="E255" s="6">
        <f t="shared" si="6"/>
        <v>0</v>
      </c>
      <c r="F255" s="6">
        <f t="shared" si="6"/>
        <v>0</v>
      </c>
      <c r="G255" s="62"/>
      <c r="H255" s="62"/>
      <c r="I255" s="60"/>
      <c r="J255" s="60"/>
      <c r="K255" s="64"/>
      <c r="L255" s="64"/>
      <c r="M255" s="25"/>
      <c r="N255" s="25"/>
    </row>
    <row r="256" spans="1:14">
      <c r="A256" s="3" t="s">
        <v>470</v>
      </c>
      <c r="B256" s="10" t="s">
        <v>471</v>
      </c>
      <c r="C256" s="5"/>
      <c r="D256" s="5">
        <f t="shared" si="7"/>
        <v>0</v>
      </c>
      <c r="E256" s="6">
        <f t="shared" si="6"/>
        <v>0</v>
      </c>
      <c r="F256" s="6">
        <f t="shared" si="6"/>
        <v>0</v>
      </c>
      <c r="G256" s="62"/>
      <c r="H256" s="62"/>
      <c r="I256" s="60"/>
      <c r="J256" s="60"/>
      <c r="K256" s="64"/>
      <c r="L256" s="64"/>
      <c r="M256" s="25"/>
      <c r="N256" s="25"/>
    </row>
    <row r="257" spans="1:14">
      <c r="A257" s="3" t="s">
        <v>472</v>
      </c>
      <c r="B257" s="10" t="s">
        <v>473</v>
      </c>
      <c r="C257" s="5"/>
      <c r="D257" s="5">
        <f t="shared" si="7"/>
        <v>0</v>
      </c>
      <c r="E257" s="6">
        <f t="shared" si="6"/>
        <v>0</v>
      </c>
      <c r="F257" s="6">
        <f t="shared" si="6"/>
        <v>0</v>
      </c>
      <c r="G257" s="62"/>
      <c r="H257" s="62"/>
      <c r="I257" s="60"/>
      <c r="J257" s="60"/>
      <c r="K257" s="64"/>
      <c r="L257" s="64"/>
      <c r="M257" s="25"/>
      <c r="N257" s="25"/>
    </row>
    <row r="258" spans="1:14">
      <c r="A258" s="3" t="s">
        <v>474</v>
      </c>
      <c r="B258" s="10" t="s">
        <v>475</v>
      </c>
      <c r="C258" s="5"/>
      <c r="D258" s="5">
        <f t="shared" si="7"/>
        <v>0</v>
      </c>
      <c r="E258" s="6">
        <f t="shared" si="6"/>
        <v>0</v>
      </c>
      <c r="F258" s="6">
        <f t="shared" si="6"/>
        <v>0</v>
      </c>
      <c r="G258" s="62"/>
      <c r="H258" s="62"/>
      <c r="I258" s="60"/>
      <c r="J258" s="60"/>
      <c r="K258" s="64"/>
      <c r="L258" s="64"/>
      <c r="M258" s="25"/>
      <c r="N258" s="25"/>
    </row>
    <row r="259" spans="1:14">
      <c r="A259" s="3" t="s">
        <v>476</v>
      </c>
      <c r="B259" s="10" t="s">
        <v>477</v>
      </c>
      <c r="C259" s="5"/>
      <c r="D259" s="5">
        <f t="shared" si="7"/>
        <v>0</v>
      </c>
      <c r="E259" s="6">
        <f t="shared" si="6"/>
        <v>0</v>
      </c>
      <c r="F259" s="6">
        <f t="shared" si="6"/>
        <v>0</v>
      </c>
      <c r="G259" s="62"/>
      <c r="H259" s="62"/>
      <c r="I259" s="60"/>
      <c r="J259" s="60"/>
      <c r="K259" s="64"/>
      <c r="L259" s="64"/>
      <c r="M259" s="25"/>
      <c r="N259" s="25"/>
    </row>
    <row r="260" spans="1:14">
      <c r="A260" s="3" t="s">
        <v>478</v>
      </c>
      <c r="B260" s="10" t="s">
        <v>479</v>
      </c>
      <c r="C260" s="5"/>
      <c r="D260" s="5">
        <f t="shared" si="7"/>
        <v>0</v>
      </c>
      <c r="E260" s="6">
        <f t="shared" si="6"/>
        <v>0</v>
      </c>
      <c r="F260" s="6">
        <f t="shared" si="6"/>
        <v>0</v>
      </c>
      <c r="G260" s="62"/>
      <c r="H260" s="62"/>
      <c r="I260" s="60"/>
      <c r="J260" s="60"/>
      <c r="K260" s="64"/>
      <c r="L260" s="64"/>
      <c r="M260" s="25"/>
      <c r="N260" s="25"/>
    </row>
    <row r="261" spans="1:14">
      <c r="A261" s="3" t="s">
        <v>480</v>
      </c>
      <c r="B261" s="10" t="s">
        <v>481</v>
      </c>
      <c r="C261" s="5"/>
      <c r="D261" s="5">
        <f t="shared" si="7"/>
        <v>0</v>
      </c>
      <c r="E261" s="6">
        <f t="shared" si="6"/>
        <v>0</v>
      </c>
      <c r="F261" s="6">
        <f t="shared" si="6"/>
        <v>0</v>
      </c>
      <c r="G261" s="62"/>
      <c r="H261" s="62"/>
      <c r="I261" s="60"/>
      <c r="J261" s="60"/>
      <c r="K261" s="64"/>
      <c r="L261" s="64"/>
      <c r="M261" s="25"/>
      <c r="N261" s="25"/>
    </row>
    <row r="262" spans="1:14">
      <c r="A262" s="3" t="s">
        <v>482</v>
      </c>
      <c r="B262" s="10" t="s">
        <v>483</v>
      </c>
      <c r="C262" s="5"/>
      <c r="D262" s="5">
        <f t="shared" si="7"/>
        <v>0</v>
      </c>
      <c r="E262" s="6">
        <f t="shared" si="6"/>
        <v>0</v>
      </c>
      <c r="F262" s="6">
        <f t="shared" si="6"/>
        <v>0</v>
      </c>
      <c r="G262" s="62"/>
      <c r="H262" s="62"/>
      <c r="I262" s="60"/>
      <c r="J262" s="60"/>
      <c r="K262" s="64"/>
      <c r="L262" s="64"/>
      <c r="M262" s="25"/>
      <c r="N262" s="25"/>
    </row>
    <row r="263" spans="1:14">
      <c r="A263" s="3" t="s">
        <v>484</v>
      </c>
      <c r="B263" s="10" t="s">
        <v>485</v>
      </c>
      <c r="C263" s="5"/>
      <c r="D263" s="5">
        <f t="shared" si="7"/>
        <v>0</v>
      </c>
      <c r="E263" s="6">
        <f t="shared" si="6"/>
        <v>0</v>
      </c>
      <c r="F263" s="6">
        <f t="shared" si="6"/>
        <v>0</v>
      </c>
      <c r="G263" s="62"/>
      <c r="H263" s="62"/>
      <c r="I263" s="60"/>
      <c r="J263" s="60"/>
      <c r="K263" s="64"/>
      <c r="L263" s="64"/>
      <c r="M263" s="25"/>
      <c r="N263" s="25"/>
    </row>
    <row r="264" spans="1:14">
      <c r="A264" s="3" t="s">
        <v>486</v>
      </c>
      <c r="B264" s="10" t="s">
        <v>487</v>
      </c>
      <c r="C264" s="5"/>
      <c r="D264" s="5">
        <f t="shared" si="7"/>
        <v>0</v>
      </c>
      <c r="E264" s="6">
        <f t="shared" si="6"/>
        <v>0</v>
      </c>
      <c r="F264" s="6">
        <f t="shared" si="6"/>
        <v>0</v>
      </c>
      <c r="G264" s="62"/>
      <c r="H264" s="62"/>
      <c r="I264" s="60"/>
      <c r="J264" s="60"/>
      <c r="K264" s="64"/>
      <c r="L264" s="64"/>
      <c r="M264" s="25"/>
      <c r="N264" s="25"/>
    </row>
    <row r="265" spans="1:14">
      <c r="A265" s="3" t="s">
        <v>488</v>
      </c>
      <c r="B265" s="10" t="s">
        <v>489</v>
      </c>
      <c r="C265" s="5"/>
      <c r="D265" s="5">
        <f t="shared" si="7"/>
        <v>0</v>
      </c>
      <c r="E265" s="6">
        <f t="shared" si="6"/>
        <v>0</v>
      </c>
      <c r="F265" s="6">
        <f t="shared" si="6"/>
        <v>0</v>
      </c>
      <c r="G265" s="62"/>
      <c r="H265" s="62"/>
      <c r="I265" s="60"/>
      <c r="J265" s="60"/>
      <c r="K265" s="64"/>
      <c r="L265" s="64"/>
      <c r="M265" s="25"/>
      <c r="N265" s="25"/>
    </row>
    <row r="266" spans="1:14">
      <c r="A266" s="3" t="s">
        <v>490</v>
      </c>
      <c r="B266" s="10" t="s">
        <v>491</v>
      </c>
      <c r="C266" s="5"/>
      <c r="D266" s="5">
        <f t="shared" si="7"/>
        <v>0</v>
      </c>
      <c r="E266" s="6">
        <f t="shared" si="6"/>
        <v>0</v>
      </c>
      <c r="F266" s="6">
        <f t="shared" si="6"/>
        <v>0</v>
      </c>
      <c r="G266" s="62"/>
      <c r="H266" s="62"/>
      <c r="I266" s="60"/>
      <c r="J266" s="60"/>
      <c r="K266" s="64"/>
      <c r="L266" s="64"/>
      <c r="M266" s="25"/>
      <c r="N266" s="25"/>
    </row>
    <row r="267" spans="1:14">
      <c r="A267" s="3" t="s">
        <v>492</v>
      </c>
      <c r="B267" s="10" t="s">
        <v>493</v>
      </c>
      <c r="C267" s="5"/>
      <c r="D267" s="5">
        <f t="shared" si="7"/>
        <v>17901.88</v>
      </c>
      <c r="E267" s="6">
        <f t="shared" si="6"/>
        <v>0</v>
      </c>
      <c r="F267" s="6">
        <f t="shared" si="6"/>
        <v>17901.88</v>
      </c>
      <c r="G267" s="62"/>
      <c r="H267" s="62"/>
      <c r="I267" s="60"/>
      <c r="J267" s="60"/>
      <c r="K267" s="64"/>
      <c r="L267" s="64"/>
      <c r="M267" s="25"/>
      <c r="N267" s="25">
        <v>17901.88</v>
      </c>
    </row>
    <row r="268" spans="1:14">
      <c r="A268" s="3" t="s">
        <v>494</v>
      </c>
      <c r="B268" s="10" t="s">
        <v>495</v>
      </c>
      <c r="C268" s="5"/>
      <c r="D268" s="5">
        <f t="shared" si="7"/>
        <v>0</v>
      </c>
      <c r="E268" s="6">
        <f t="shared" si="6"/>
        <v>0</v>
      </c>
      <c r="F268" s="6">
        <f t="shared" si="6"/>
        <v>0</v>
      </c>
      <c r="G268" s="62"/>
      <c r="H268" s="62"/>
      <c r="I268" s="60"/>
      <c r="J268" s="60"/>
      <c r="K268" s="64"/>
      <c r="L268" s="64"/>
      <c r="M268" s="25"/>
      <c r="N268" s="25"/>
    </row>
    <row r="269" spans="1:14">
      <c r="A269" s="3" t="s">
        <v>496</v>
      </c>
      <c r="B269" s="10" t="s">
        <v>497</v>
      </c>
      <c r="C269" s="5"/>
      <c r="D269" s="5">
        <f t="shared" si="7"/>
        <v>0</v>
      </c>
      <c r="E269" s="6">
        <f t="shared" si="6"/>
        <v>0</v>
      </c>
      <c r="F269" s="6">
        <f t="shared" si="6"/>
        <v>0</v>
      </c>
      <c r="G269" s="62"/>
      <c r="H269" s="62"/>
      <c r="I269" s="60"/>
      <c r="J269" s="60"/>
      <c r="K269" s="64"/>
      <c r="L269" s="64"/>
      <c r="M269" s="25"/>
      <c r="N269" s="25"/>
    </row>
    <row r="270" spans="1:14">
      <c r="A270" s="3" t="s">
        <v>498</v>
      </c>
      <c r="B270" s="10" t="s">
        <v>499</v>
      </c>
      <c r="C270" s="5"/>
      <c r="D270" s="5">
        <f t="shared" si="7"/>
        <v>0</v>
      </c>
      <c r="E270" s="6">
        <f t="shared" ref="E270:F333" si="8">SUM(G270,I270,K270,M270)</f>
        <v>0</v>
      </c>
      <c r="F270" s="6">
        <f t="shared" si="8"/>
        <v>0</v>
      </c>
      <c r="G270" s="62"/>
      <c r="H270" s="62"/>
      <c r="I270" s="60"/>
      <c r="J270" s="60"/>
      <c r="K270" s="64"/>
      <c r="L270" s="64"/>
      <c r="M270" s="25"/>
      <c r="N270" s="25"/>
    </row>
    <row r="271" spans="1:14">
      <c r="A271" s="3" t="s">
        <v>500</v>
      </c>
      <c r="B271" s="10" t="s">
        <v>501</v>
      </c>
      <c r="C271" s="5"/>
      <c r="D271" s="5">
        <f t="shared" si="7"/>
        <v>0</v>
      </c>
      <c r="E271" s="6">
        <f t="shared" si="8"/>
        <v>0</v>
      </c>
      <c r="F271" s="6">
        <f t="shared" si="8"/>
        <v>0</v>
      </c>
      <c r="G271" s="62"/>
      <c r="H271" s="62"/>
      <c r="I271" s="60"/>
      <c r="J271" s="60"/>
      <c r="K271" s="64"/>
      <c r="L271" s="64"/>
      <c r="M271" s="25"/>
      <c r="N271" s="25"/>
    </row>
    <row r="272" spans="1:14">
      <c r="A272" s="3" t="s">
        <v>502</v>
      </c>
      <c r="B272" s="10" t="s">
        <v>503</v>
      </c>
      <c r="C272" s="5"/>
      <c r="D272" s="5">
        <f t="shared" si="7"/>
        <v>0</v>
      </c>
      <c r="E272" s="6">
        <f t="shared" si="8"/>
        <v>0</v>
      </c>
      <c r="F272" s="6">
        <f t="shared" si="8"/>
        <v>0</v>
      </c>
      <c r="G272" s="62"/>
      <c r="H272" s="62"/>
      <c r="I272" s="60"/>
      <c r="J272" s="60"/>
      <c r="K272" s="64"/>
      <c r="L272" s="64"/>
      <c r="M272" s="25"/>
      <c r="N272" s="25"/>
    </row>
    <row r="273" spans="1:14">
      <c r="A273" s="3" t="s">
        <v>504</v>
      </c>
      <c r="B273" s="10" t="s">
        <v>505</v>
      </c>
      <c r="C273" s="5"/>
      <c r="D273" s="5">
        <f t="shared" si="7"/>
        <v>0</v>
      </c>
      <c r="E273" s="6">
        <f t="shared" si="8"/>
        <v>0</v>
      </c>
      <c r="F273" s="6">
        <f t="shared" si="8"/>
        <v>0</v>
      </c>
      <c r="G273" s="62"/>
      <c r="H273" s="62"/>
      <c r="I273" s="60"/>
      <c r="J273" s="60"/>
      <c r="K273" s="64"/>
      <c r="L273" s="64"/>
      <c r="M273" s="25"/>
      <c r="N273" s="25"/>
    </row>
    <row r="274" spans="1:14">
      <c r="A274" s="3" t="s">
        <v>506</v>
      </c>
      <c r="B274" s="10" t="s">
        <v>507</v>
      </c>
      <c r="C274" s="5"/>
      <c r="D274" s="5">
        <f t="shared" si="7"/>
        <v>0</v>
      </c>
      <c r="E274" s="6">
        <f t="shared" si="8"/>
        <v>0</v>
      </c>
      <c r="F274" s="6">
        <f t="shared" si="8"/>
        <v>0</v>
      </c>
      <c r="G274" s="62"/>
      <c r="H274" s="62"/>
      <c r="I274" s="60"/>
      <c r="J274" s="60"/>
      <c r="K274" s="64"/>
      <c r="L274" s="64"/>
      <c r="M274" s="25"/>
      <c r="N274" s="25"/>
    </row>
    <row r="275" spans="1:14">
      <c r="A275" s="3" t="s">
        <v>508</v>
      </c>
      <c r="B275" s="10" t="s">
        <v>509</v>
      </c>
      <c r="C275" s="5"/>
      <c r="D275" s="5">
        <f t="shared" si="7"/>
        <v>0</v>
      </c>
      <c r="E275" s="6">
        <f t="shared" si="8"/>
        <v>0</v>
      </c>
      <c r="F275" s="6">
        <f t="shared" si="8"/>
        <v>0</v>
      </c>
      <c r="G275" s="62"/>
      <c r="H275" s="62"/>
      <c r="I275" s="60"/>
      <c r="J275" s="60"/>
      <c r="K275" s="64"/>
      <c r="L275" s="64"/>
      <c r="M275" s="25"/>
      <c r="N275" s="25"/>
    </row>
    <row r="276" spans="1:14">
      <c r="A276" s="3" t="s">
        <v>510</v>
      </c>
      <c r="B276" s="10" t="s">
        <v>511</v>
      </c>
      <c r="C276" s="5"/>
      <c r="D276" s="5">
        <f t="shared" si="7"/>
        <v>0</v>
      </c>
      <c r="E276" s="6">
        <f t="shared" si="8"/>
        <v>0</v>
      </c>
      <c r="F276" s="6">
        <f t="shared" si="8"/>
        <v>0</v>
      </c>
      <c r="G276" s="62"/>
      <c r="H276" s="62"/>
      <c r="I276" s="60"/>
      <c r="J276" s="60"/>
      <c r="K276" s="64"/>
      <c r="L276" s="64"/>
      <c r="M276" s="25"/>
      <c r="N276" s="25"/>
    </row>
    <row r="277" spans="1:14">
      <c r="A277" s="3" t="s">
        <v>512</v>
      </c>
      <c r="B277" s="10" t="s">
        <v>513</v>
      </c>
      <c r="C277" s="5"/>
      <c r="D277" s="5">
        <f t="shared" si="7"/>
        <v>0</v>
      </c>
      <c r="E277" s="6">
        <f t="shared" si="8"/>
        <v>0</v>
      </c>
      <c r="F277" s="6">
        <f t="shared" si="8"/>
        <v>0</v>
      </c>
      <c r="G277" s="62"/>
      <c r="H277" s="62"/>
      <c r="I277" s="60"/>
      <c r="J277" s="60"/>
      <c r="K277" s="64"/>
      <c r="L277" s="64"/>
      <c r="M277" s="25"/>
      <c r="N277" s="25"/>
    </row>
    <row r="278" spans="1:14">
      <c r="A278" s="3" t="s">
        <v>514</v>
      </c>
      <c r="B278" s="10" t="s">
        <v>515</v>
      </c>
      <c r="C278" s="5"/>
      <c r="D278" s="5">
        <f t="shared" si="7"/>
        <v>0</v>
      </c>
      <c r="E278" s="6">
        <f t="shared" si="8"/>
        <v>0</v>
      </c>
      <c r="F278" s="6">
        <f t="shared" si="8"/>
        <v>0</v>
      </c>
      <c r="G278" s="62"/>
      <c r="H278" s="62"/>
      <c r="I278" s="60"/>
      <c r="J278" s="60"/>
      <c r="K278" s="64"/>
      <c r="L278" s="64"/>
      <c r="M278" s="25"/>
      <c r="N278" s="25"/>
    </row>
    <row r="279" spans="1:14">
      <c r="A279" s="3" t="s">
        <v>516</v>
      </c>
      <c r="B279" s="10" t="s">
        <v>517</v>
      </c>
      <c r="C279" s="5"/>
      <c r="D279" s="5">
        <f t="shared" si="7"/>
        <v>0</v>
      </c>
      <c r="E279" s="6">
        <f t="shared" si="8"/>
        <v>0</v>
      </c>
      <c r="F279" s="6">
        <f t="shared" si="8"/>
        <v>0</v>
      </c>
      <c r="G279" s="62"/>
      <c r="H279" s="62"/>
      <c r="I279" s="60"/>
      <c r="J279" s="60"/>
      <c r="K279" s="64"/>
      <c r="L279" s="64"/>
      <c r="M279" s="25"/>
      <c r="N279" s="25"/>
    </row>
    <row r="280" spans="1:14">
      <c r="A280" s="3" t="s">
        <v>518</v>
      </c>
      <c r="B280" s="10" t="s">
        <v>519</v>
      </c>
      <c r="C280" s="5"/>
      <c r="D280" s="5">
        <f t="shared" si="7"/>
        <v>0</v>
      </c>
      <c r="E280" s="6">
        <f t="shared" si="8"/>
        <v>0</v>
      </c>
      <c r="F280" s="6">
        <f t="shared" si="8"/>
        <v>0</v>
      </c>
      <c r="G280" s="62"/>
      <c r="H280" s="62"/>
      <c r="I280" s="60"/>
      <c r="J280" s="60"/>
      <c r="K280" s="64"/>
      <c r="L280" s="64"/>
      <c r="M280" s="25"/>
      <c r="N280" s="25"/>
    </row>
    <row r="281" spans="1:14">
      <c r="A281" s="3" t="s">
        <v>520</v>
      </c>
      <c r="B281" s="4" t="s">
        <v>521</v>
      </c>
      <c r="C281" s="5">
        <f t="shared" ref="C281:C344" si="9">E281-F281</f>
        <v>0</v>
      </c>
      <c r="D281" s="5"/>
      <c r="E281" s="6">
        <f t="shared" si="8"/>
        <v>0</v>
      </c>
      <c r="F281" s="6">
        <f t="shared" si="8"/>
        <v>0</v>
      </c>
      <c r="G281" s="62"/>
      <c r="H281" s="62"/>
      <c r="I281" s="60"/>
      <c r="J281" s="60"/>
      <c r="K281" s="64"/>
      <c r="L281" s="64"/>
      <c r="M281" s="25"/>
      <c r="N281" s="25"/>
    </row>
    <row r="282" spans="1:14">
      <c r="A282" s="3" t="s">
        <v>522</v>
      </c>
      <c r="B282" s="4" t="s">
        <v>523</v>
      </c>
      <c r="C282" s="5">
        <f t="shared" si="9"/>
        <v>0</v>
      </c>
      <c r="D282" s="5"/>
      <c r="E282" s="6">
        <f t="shared" si="8"/>
        <v>0</v>
      </c>
      <c r="F282" s="6">
        <f t="shared" si="8"/>
        <v>0</v>
      </c>
      <c r="G282" s="62"/>
      <c r="H282" s="62"/>
      <c r="I282" s="60"/>
      <c r="J282" s="60"/>
      <c r="K282" s="64"/>
      <c r="L282" s="64"/>
      <c r="M282" s="25"/>
      <c r="N282" s="25"/>
    </row>
    <row r="283" spans="1:14">
      <c r="A283" s="3" t="s">
        <v>524</v>
      </c>
      <c r="B283" s="4" t="s">
        <v>525</v>
      </c>
      <c r="C283" s="5">
        <f t="shared" si="9"/>
        <v>0</v>
      </c>
      <c r="D283" s="5"/>
      <c r="E283" s="6">
        <f t="shared" si="8"/>
        <v>0</v>
      </c>
      <c r="F283" s="6">
        <f t="shared" si="8"/>
        <v>0</v>
      </c>
      <c r="G283" s="62"/>
      <c r="H283" s="62"/>
      <c r="I283" s="60"/>
      <c r="J283" s="60"/>
      <c r="K283" s="64"/>
      <c r="L283" s="64"/>
      <c r="M283" s="25"/>
      <c r="N283" s="25"/>
    </row>
    <row r="284" spans="1:14">
      <c r="A284" s="3" t="s">
        <v>526</v>
      </c>
      <c r="B284" s="4" t="s">
        <v>527</v>
      </c>
      <c r="C284" s="5">
        <f t="shared" si="9"/>
        <v>0</v>
      </c>
      <c r="D284" s="5"/>
      <c r="E284" s="6">
        <f t="shared" si="8"/>
        <v>0</v>
      </c>
      <c r="F284" s="6">
        <f t="shared" si="8"/>
        <v>0</v>
      </c>
      <c r="G284" s="62"/>
      <c r="H284" s="62"/>
      <c r="I284" s="60"/>
      <c r="J284" s="60"/>
      <c r="K284" s="64"/>
      <c r="L284" s="64"/>
      <c r="M284" s="25"/>
      <c r="N284" s="25"/>
    </row>
    <row r="285" spans="1:14">
      <c r="A285" s="3" t="s">
        <v>528</v>
      </c>
      <c r="B285" s="4" t="s">
        <v>529</v>
      </c>
      <c r="C285" s="5">
        <f t="shared" si="9"/>
        <v>0</v>
      </c>
      <c r="D285" s="5"/>
      <c r="E285" s="6">
        <f t="shared" si="8"/>
        <v>0</v>
      </c>
      <c r="F285" s="6">
        <f t="shared" si="8"/>
        <v>0</v>
      </c>
      <c r="G285" s="62"/>
      <c r="H285" s="62"/>
      <c r="I285" s="60"/>
      <c r="J285" s="60"/>
      <c r="K285" s="64"/>
      <c r="L285" s="64"/>
      <c r="M285" s="25"/>
      <c r="N285" s="25"/>
    </row>
    <row r="286" spans="1:14">
      <c r="A286" s="3" t="s">
        <v>530</v>
      </c>
      <c r="B286" s="4" t="s">
        <v>531</v>
      </c>
      <c r="C286" s="5">
        <f t="shared" si="9"/>
        <v>0</v>
      </c>
      <c r="D286" s="5"/>
      <c r="E286" s="6">
        <f t="shared" si="8"/>
        <v>0</v>
      </c>
      <c r="F286" s="6">
        <f t="shared" si="8"/>
        <v>0</v>
      </c>
      <c r="G286" s="62"/>
      <c r="H286" s="62"/>
      <c r="I286" s="60"/>
      <c r="J286" s="60"/>
      <c r="K286" s="64"/>
      <c r="L286" s="64"/>
      <c r="M286" s="25"/>
      <c r="N286" s="25"/>
    </row>
    <row r="287" spans="1:14">
      <c r="A287" s="3" t="s">
        <v>532</v>
      </c>
      <c r="B287" s="4" t="s">
        <v>533</v>
      </c>
      <c r="C287" s="5">
        <f t="shared" si="9"/>
        <v>0</v>
      </c>
      <c r="D287" s="5"/>
      <c r="E287" s="6">
        <f t="shared" si="8"/>
        <v>0</v>
      </c>
      <c r="F287" s="6">
        <f t="shared" si="8"/>
        <v>0</v>
      </c>
      <c r="G287" s="62"/>
      <c r="H287" s="62"/>
      <c r="I287" s="60"/>
      <c r="J287" s="60"/>
      <c r="K287" s="64"/>
      <c r="L287" s="64"/>
      <c r="M287" s="25"/>
      <c r="N287" s="25"/>
    </row>
    <row r="288" spans="1:14">
      <c r="A288" s="3" t="s">
        <v>534</v>
      </c>
      <c r="B288" s="4" t="s">
        <v>535</v>
      </c>
      <c r="C288" s="5">
        <f t="shared" si="9"/>
        <v>0</v>
      </c>
      <c r="D288" s="5"/>
      <c r="E288" s="6">
        <f t="shared" si="8"/>
        <v>0</v>
      </c>
      <c r="F288" s="6">
        <f t="shared" si="8"/>
        <v>0</v>
      </c>
      <c r="G288" s="62"/>
      <c r="H288" s="62"/>
      <c r="I288" s="60"/>
      <c r="J288" s="60"/>
      <c r="K288" s="64"/>
      <c r="L288" s="64"/>
      <c r="M288" s="25"/>
      <c r="N288" s="25"/>
    </row>
    <row r="289" spans="1:14">
      <c r="A289" s="3" t="s">
        <v>536</v>
      </c>
      <c r="B289" s="4" t="s">
        <v>537</v>
      </c>
      <c r="C289" s="5">
        <f t="shared" si="9"/>
        <v>0</v>
      </c>
      <c r="D289" s="5"/>
      <c r="E289" s="6">
        <f t="shared" si="8"/>
        <v>0</v>
      </c>
      <c r="F289" s="6">
        <f t="shared" si="8"/>
        <v>0</v>
      </c>
      <c r="G289" s="62"/>
      <c r="H289" s="62"/>
      <c r="I289" s="60"/>
      <c r="J289" s="60"/>
      <c r="K289" s="64"/>
      <c r="L289" s="64"/>
      <c r="M289" s="25"/>
      <c r="N289" s="25"/>
    </row>
    <row r="290" spans="1:14">
      <c r="A290" s="3" t="s">
        <v>538</v>
      </c>
      <c r="B290" s="4" t="s">
        <v>539</v>
      </c>
      <c r="C290" s="5">
        <f t="shared" si="9"/>
        <v>0</v>
      </c>
      <c r="D290" s="5"/>
      <c r="E290" s="6">
        <f t="shared" si="8"/>
        <v>0</v>
      </c>
      <c r="F290" s="6">
        <f t="shared" si="8"/>
        <v>0</v>
      </c>
      <c r="G290" s="62"/>
      <c r="H290" s="62"/>
      <c r="I290" s="60"/>
      <c r="J290" s="60"/>
      <c r="K290" s="64"/>
      <c r="L290" s="64"/>
      <c r="M290" s="25"/>
      <c r="N290" s="25"/>
    </row>
    <row r="291" spans="1:14">
      <c r="A291" s="3" t="s">
        <v>540</v>
      </c>
      <c r="B291" s="4" t="s">
        <v>541</v>
      </c>
      <c r="C291" s="5">
        <f t="shared" si="9"/>
        <v>0</v>
      </c>
      <c r="D291" s="5"/>
      <c r="E291" s="6">
        <f t="shared" si="8"/>
        <v>0</v>
      </c>
      <c r="F291" s="6">
        <f t="shared" si="8"/>
        <v>0</v>
      </c>
      <c r="G291" s="62"/>
      <c r="H291" s="62"/>
      <c r="I291" s="60"/>
      <c r="J291" s="60"/>
      <c r="K291" s="64"/>
      <c r="L291" s="64"/>
      <c r="M291" s="25"/>
      <c r="N291" s="25"/>
    </row>
    <row r="292" spans="1:14">
      <c r="A292" s="3" t="s">
        <v>542</v>
      </c>
      <c r="B292" s="4" t="s">
        <v>543</v>
      </c>
      <c r="C292" s="5">
        <f t="shared" si="9"/>
        <v>0</v>
      </c>
      <c r="D292" s="5"/>
      <c r="E292" s="6">
        <f t="shared" si="8"/>
        <v>0</v>
      </c>
      <c r="F292" s="6">
        <f t="shared" si="8"/>
        <v>0</v>
      </c>
      <c r="G292" s="62"/>
      <c r="H292" s="62"/>
      <c r="I292" s="60"/>
      <c r="J292" s="60"/>
      <c r="K292" s="64"/>
      <c r="L292" s="64"/>
      <c r="M292" s="25"/>
      <c r="N292" s="25"/>
    </row>
    <row r="293" spans="1:14">
      <c r="A293" s="3" t="s">
        <v>544</v>
      </c>
      <c r="B293" s="4" t="s">
        <v>545</v>
      </c>
      <c r="C293" s="5">
        <f t="shared" si="9"/>
        <v>0</v>
      </c>
      <c r="D293" s="5"/>
      <c r="E293" s="6">
        <f t="shared" si="8"/>
        <v>0</v>
      </c>
      <c r="F293" s="6">
        <f t="shared" si="8"/>
        <v>0</v>
      </c>
      <c r="G293" s="62"/>
      <c r="H293" s="62"/>
      <c r="I293" s="60"/>
      <c r="J293" s="60"/>
      <c r="K293" s="64"/>
      <c r="L293" s="64"/>
      <c r="M293" s="25"/>
      <c r="N293" s="25"/>
    </row>
    <row r="294" spans="1:14">
      <c r="A294" s="3" t="s">
        <v>546</v>
      </c>
      <c r="B294" s="4" t="s">
        <v>547</v>
      </c>
      <c r="C294" s="5">
        <f t="shared" si="9"/>
        <v>0</v>
      </c>
      <c r="D294" s="5"/>
      <c r="E294" s="6">
        <f t="shared" si="8"/>
        <v>0</v>
      </c>
      <c r="F294" s="6">
        <f t="shared" si="8"/>
        <v>0</v>
      </c>
      <c r="G294" s="62"/>
      <c r="H294" s="62"/>
      <c r="I294" s="60"/>
      <c r="J294" s="60"/>
      <c r="K294" s="64"/>
      <c r="L294" s="64"/>
      <c r="M294" s="25"/>
      <c r="N294" s="25"/>
    </row>
    <row r="295" spans="1:14">
      <c r="A295" s="3" t="s">
        <v>548</v>
      </c>
      <c r="B295" s="4" t="s">
        <v>549</v>
      </c>
      <c r="C295" s="5">
        <f t="shared" si="9"/>
        <v>0</v>
      </c>
      <c r="D295" s="5"/>
      <c r="E295" s="6">
        <f t="shared" si="8"/>
        <v>0</v>
      </c>
      <c r="F295" s="6">
        <f t="shared" si="8"/>
        <v>0</v>
      </c>
      <c r="G295" s="62"/>
      <c r="H295" s="62"/>
      <c r="I295" s="60"/>
      <c r="J295" s="60"/>
      <c r="K295" s="64"/>
      <c r="L295" s="64"/>
      <c r="M295" s="25"/>
      <c r="N295" s="25"/>
    </row>
    <row r="296" spans="1:14">
      <c r="A296" s="3" t="s">
        <v>550</v>
      </c>
      <c r="B296" s="4" t="s">
        <v>551</v>
      </c>
      <c r="C296" s="5">
        <f t="shared" si="9"/>
        <v>0</v>
      </c>
      <c r="D296" s="5"/>
      <c r="E296" s="6">
        <f t="shared" si="8"/>
        <v>0</v>
      </c>
      <c r="F296" s="6">
        <f t="shared" si="8"/>
        <v>0</v>
      </c>
      <c r="G296" s="62"/>
      <c r="H296" s="62"/>
      <c r="I296" s="60"/>
      <c r="J296" s="60"/>
      <c r="K296" s="64"/>
      <c r="L296" s="64"/>
      <c r="M296" s="25"/>
      <c r="N296" s="25"/>
    </row>
    <row r="297" spans="1:14">
      <c r="A297" s="3" t="s">
        <v>552</v>
      </c>
      <c r="B297" s="4" t="s">
        <v>553</v>
      </c>
      <c r="C297" s="5">
        <f t="shared" si="9"/>
        <v>0</v>
      </c>
      <c r="D297" s="5"/>
      <c r="E297" s="6">
        <f t="shared" si="8"/>
        <v>0</v>
      </c>
      <c r="F297" s="6">
        <f t="shared" si="8"/>
        <v>0</v>
      </c>
      <c r="G297" s="62"/>
      <c r="H297" s="62"/>
      <c r="I297" s="60"/>
      <c r="J297" s="60"/>
      <c r="K297" s="64"/>
      <c r="L297" s="64"/>
      <c r="M297" s="25"/>
      <c r="N297" s="25"/>
    </row>
    <row r="298" spans="1:14">
      <c r="A298" s="3" t="s">
        <v>554</v>
      </c>
      <c r="B298" s="4" t="s">
        <v>555</v>
      </c>
      <c r="C298" s="5">
        <f t="shared" si="9"/>
        <v>0</v>
      </c>
      <c r="D298" s="5"/>
      <c r="E298" s="6">
        <f t="shared" si="8"/>
        <v>0</v>
      </c>
      <c r="F298" s="6">
        <f t="shared" si="8"/>
        <v>0</v>
      </c>
      <c r="G298" s="62"/>
      <c r="H298" s="62"/>
      <c r="I298" s="60"/>
      <c r="J298" s="60"/>
      <c r="K298" s="64"/>
      <c r="L298" s="64"/>
      <c r="M298" s="25"/>
      <c r="N298" s="25"/>
    </row>
    <row r="299" spans="1:14">
      <c r="A299" s="3" t="s">
        <v>556</v>
      </c>
      <c r="B299" s="4" t="s">
        <v>557</v>
      </c>
      <c r="C299" s="5">
        <f t="shared" si="9"/>
        <v>0</v>
      </c>
      <c r="D299" s="5"/>
      <c r="E299" s="6">
        <f t="shared" si="8"/>
        <v>0</v>
      </c>
      <c r="F299" s="6">
        <f t="shared" si="8"/>
        <v>0</v>
      </c>
      <c r="G299" s="62"/>
      <c r="H299" s="62"/>
      <c r="I299" s="60"/>
      <c r="J299" s="60"/>
      <c r="K299" s="64"/>
      <c r="L299" s="64"/>
      <c r="M299" s="25"/>
      <c r="N299" s="25"/>
    </row>
    <row r="300" spans="1:14">
      <c r="A300" s="3" t="s">
        <v>558</v>
      </c>
      <c r="B300" s="4" t="s">
        <v>559</v>
      </c>
      <c r="C300" s="5">
        <f t="shared" si="9"/>
        <v>0</v>
      </c>
      <c r="D300" s="5"/>
      <c r="E300" s="6">
        <f t="shared" si="8"/>
        <v>0</v>
      </c>
      <c r="F300" s="6">
        <f t="shared" si="8"/>
        <v>0</v>
      </c>
      <c r="G300" s="62"/>
      <c r="H300" s="62"/>
      <c r="I300" s="60"/>
      <c r="J300" s="60"/>
      <c r="K300" s="64"/>
      <c r="L300" s="64"/>
      <c r="M300" s="25"/>
      <c r="N300" s="25"/>
    </row>
    <row r="301" spans="1:14">
      <c r="A301" s="3" t="s">
        <v>560</v>
      </c>
      <c r="B301" s="4" t="s">
        <v>561</v>
      </c>
      <c r="C301" s="5">
        <f t="shared" si="9"/>
        <v>0</v>
      </c>
      <c r="D301" s="5"/>
      <c r="E301" s="6">
        <f t="shared" si="8"/>
        <v>0</v>
      </c>
      <c r="F301" s="6">
        <f t="shared" si="8"/>
        <v>0</v>
      </c>
      <c r="G301" s="62"/>
      <c r="H301" s="62"/>
      <c r="I301" s="60"/>
      <c r="J301" s="60"/>
      <c r="K301" s="64"/>
      <c r="L301" s="64"/>
      <c r="M301" s="25"/>
      <c r="N301" s="25"/>
    </row>
    <row r="302" spans="1:14">
      <c r="A302" s="3" t="s">
        <v>562</v>
      </c>
      <c r="B302" s="4" t="s">
        <v>563</v>
      </c>
      <c r="C302" s="5">
        <f t="shared" si="9"/>
        <v>0</v>
      </c>
      <c r="D302" s="5"/>
      <c r="E302" s="6">
        <f t="shared" si="8"/>
        <v>0</v>
      </c>
      <c r="F302" s="6">
        <f t="shared" si="8"/>
        <v>0</v>
      </c>
      <c r="G302" s="62"/>
      <c r="H302" s="62"/>
      <c r="I302" s="60"/>
      <c r="J302" s="60"/>
      <c r="K302" s="64"/>
      <c r="L302" s="64"/>
      <c r="M302" s="25"/>
      <c r="N302" s="25"/>
    </row>
    <row r="303" spans="1:14">
      <c r="A303" s="3" t="s">
        <v>564</v>
      </c>
      <c r="B303" s="4" t="s">
        <v>565</v>
      </c>
      <c r="C303" s="5">
        <f t="shared" si="9"/>
        <v>0</v>
      </c>
      <c r="D303" s="5"/>
      <c r="E303" s="6">
        <f t="shared" si="8"/>
        <v>0</v>
      </c>
      <c r="F303" s="6">
        <f t="shared" si="8"/>
        <v>0</v>
      </c>
      <c r="G303" s="62"/>
      <c r="H303" s="62"/>
      <c r="I303" s="60"/>
      <c r="J303" s="60"/>
      <c r="K303" s="64"/>
      <c r="L303" s="64"/>
      <c r="M303" s="25"/>
      <c r="N303" s="25"/>
    </row>
    <row r="304" spans="1:14">
      <c r="A304" s="3" t="s">
        <v>566</v>
      </c>
      <c r="B304" s="4" t="s">
        <v>567</v>
      </c>
      <c r="C304" s="5">
        <f t="shared" si="9"/>
        <v>0</v>
      </c>
      <c r="D304" s="5"/>
      <c r="E304" s="6">
        <f t="shared" si="8"/>
        <v>0</v>
      </c>
      <c r="F304" s="6">
        <f t="shared" si="8"/>
        <v>0</v>
      </c>
      <c r="G304" s="62"/>
      <c r="H304" s="62"/>
      <c r="I304" s="60"/>
      <c r="J304" s="60"/>
      <c r="K304" s="64"/>
      <c r="L304" s="64"/>
      <c r="M304" s="25"/>
      <c r="N304" s="25"/>
    </row>
    <row r="305" spans="1:14">
      <c r="A305" s="3" t="s">
        <v>568</v>
      </c>
      <c r="B305" s="4" t="s">
        <v>569</v>
      </c>
      <c r="C305" s="5">
        <f t="shared" si="9"/>
        <v>0</v>
      </c>
      <c r="D305" s="5"/>
      <c r="E305" s="6">
        <f t="shared" si="8"/>
        <v>0</v>
      </c>
      <c r="F305" s="6">
        <f t="shared" si="8"/>
        <v>0</v>
      </c>
      <c r="G305" s="62"/>
      <c r="H305" s="62"/>
      <c r="I305" s="60"/>
      <c r="J305" s="60"/>
      <c r="K305" s="64"/>
      <c r="L305" s="64"/>
      <c r="M305" s="25"/>
      <c r="N305" s="25"/>
    </row>
    <row r="306" spans="1:14">
      <c r="A306" s="3" t="s">
        <v>570</v>
      </c>
      <c r="B306" s="4" t="s">
        <v>571</v>
      </c>
      <c r="C306" s="5">
        <f t="shared" si="9"/>
        <v>0</v>
      </c>
      <c r="D306" s="5"/>
      <c r="E306" s="6">
        <f t="shared" si="8"/>
        <v>0</v>
      </c>
      <c r="F306" s="6">
        <f t="shared" si="8"/>
        <v>0</v>
      </c>
      <c r="G306" s="62"/>
      <c r="H306" s="62"/>
      <c r="I306" s="60"/>
      <c r="J306" s="60"/>
      <c r="K306" s="64"/>
      <c r="L306" s="64"/>
      <c r="M306" s="25"/>
      <c r="N306" s="25"/>
    </row>
    <row r="307" spans="1:14">
      <c r="A307" s="3" t="s">
        <v>572</v>
      </c>
      <c r="B307" s="4" t="s">
        <v>573</v>
      </c>
      <c r="C307" s="5">
        <f t="shared" si="9"/>
        <v>0</v>
      </c>
      <c r="D307" s="5"/>
      <c r="E307" s="6">
        <f t="shared" si="8"/>
        <v>0</v>
      </c>
      <c r="F307" s="6">
        <f t="shared" si="8"/>
        <v>0</v>
      </c>
      <c r="G307" s="62"/>
      <c r="H307" s="62"/>
      <c r="I307" s="60"/>
      <c r="J307" s="60"/>
      <c r="K307" s="64"/>
      <c r="L307" s="64"/>
      <c r="M307" s="25"/>
      <c r="N307" s="25"/>
    </row>
    <row r="308" spans="1:14">
      <c r="A308" s="3" t="s">
        <v>574</v>
      </c>
      <c r="B308" s="4" t="s">
        <v>575</v>
      </c>
      <c r="C308" s="5">
        <f t="shared" si="9"/>
        <v>0</v>
      </c>
      <c r="D308" s="5"/>
      <c r="E308" s="6">
        <f t="shared" si="8"/>
        <v>0</v>
      </c>
      <c r="F308" s="6">
        <f t="shared" si="8"/>
        <v>0</v>
      </c>
      <c r="G308" s="62"/>
      <c r="H308" s="62"/>
      <c r="I308" s="60"/>
      <c r="J308" s="60"/>
      <c r="K308" s="64"/>
      <c r="L308" s="64"/>
      <c r="M308" s="25"/>
      <c r="N308" s="25"/>
    </row>
    <row r="309" spans="1:14">
      <c r="A309" s="3" t="s">
        <v>576</v>
      </c>
      <c r="B309" s="4" t="s">
        <v>577</v>
      </c>
      <c r="C309" s="5">
        <f t="shared" si="9"/>
        <v>0</v>
      </c>
      <c r="D309" s="5"/>
      <c r="E309" s="6">
        <f t="shared" si="8"/>
        <v>0</v>
      </c>
      <c r="F309" s="6">
        <f t="shared" si="8"/>
        <v>0</v>
      </c>
      <c r="G309" s="62"/>
      <c r="H309" s="62"/>
      <c r="I309" s="60"/>
      <c r="J309" s="60"/>
      <c r="K309" s="64"/>
      <c r="L309" s="64"/>
      <c r="M309" s="25"/>
      <c r="N309" s="25"/>
    </row>
    <row r="310" spans="1:14">
      <c r="A310" s="3" t="s">
        <v>578</v>
      </c>
      <c r="B310" s="4" t="s">
        <v>579</v>
      </c>
      <c r="C310" s="5">
        <f t="shared" si="9"/>
        <v>0</v>
      </c>
      <c r="D310" s="5"/>
      <c r="E310" s="6">
        <f t="shared" si="8"/>
        <v>0</v>
      </c>
      <c r="F310" s="6">
        <f t="shared" si="8"/>
        <v>0</v>
      </c>
      <c r="G310" s="62"/>
      <c r="H310" s="62"/>
      <c r="I310" s="60"/>
      <c r="J310" s="60"/>
      <c r="K310" s="64"/>
      <c r="L310" s="64"/>
      <c r="M310" s="25"/>
      <c r="N310" s="25"/>
    </row>
    <row r="311" spans="1:14">
      <c r="A311" s="3" t="s">
        <v>580</v>
      </c>
      <c r="B311" s="4" t="s">
        <v>581</v>
      </c>
      <c r="C311" s="5">
        <f t="shared" si="9"/>
        <v>0</v>
      </c>
      <c r="D311" s="5"/>
      <c r="E311" s="6">
        <f t="shared" si="8"/>
        <v>0</v>
      </c>
      <c r="F311" s="6">
        <f t="shared" si="8"/>
        <v>0</v>
      </c>
      <c r="G311" s="62"/>
      <c r="H311" s="62"/>
      <c r="I311" s="60"/>
      <c r="J311" s="60"/>
      <c r="K311" s="64"/>
      <c r="L311" s="64"/>
      <c r="M311" s="25"/>
      <c r="N311" s="25"/>
    </row>
    <row r="312" spans="1:14">
      <c r="A312" s="3" t="s">
        <v>582</v>
      </c>
      <c r="B312" s="4" t="s">
        <v>583</v>
      </c>
      <c r="C312" s="5">
        <f t="shared" si="9"/>
        <v>0</v>
      </c>
      <c r="D312" s="5"/>
      <c r="E312" s="6">
        <f t="shared" si="8"/>
        <v>0</v>
      </c>
      <c r="F312" s="6">
        <f t="shared" si="8"/>
        <v>0</v>
      </c>
      <c r="G312" s="62"/>
      <c r="H312" s="62"/>
      <c r="I312" s="60"/>
      <c r="J312" s="60"/>
      <c r="K312" s="64"/>
      <c r="L312" s="64"/>
      <c r="M312" s="25"/>
      <c r="N312" s="25"/>
    </row>
    <row r="313" spans="1:14">
      <c r="A313" s="3" t="s">
        <v>584</v>
      </c>
      <c r="B313" s="4" t="s">
        <v>585</v>
      </c>
      <c r="C313" s="5">
        <f t="shared" si="9"/>
        <v>0</v>
      </c>
      <c r="D313" s="5"/>
      <c r="E313" s="6">
        <f t="shared" si="8"/>
        <v>0</v>
      </c>
      <c r="F313" s="6">
        <f t="shared" si="8"/>
        <v>0</v>
      </c>
      <c r="G313" s="62"/>
      <c r="H313" s="62"/>
      <c r="I313" s="60"/>
      <c r="J313" s="60"/>
      <c r="K313" s="64"/>
      <c r="L313" s="64"/>
      <c r="M313" s="25"/>
      <c r="N313" s="25"/>
    </row>
    <row r="314" spans="1:14">
      <c r="A314" s="3" t="s">
        <v>586</v>
      </c>
      <c r="B314" s="4" t="s">
        <v>587</v>
      </c>
      <c r="C314" s="5">
        <f t="shared" si="9"/>
        <v>0</v>
      </c>
      <c r="D314" s="5"/>
      <c r="E314" s="6">
        <f t="shared" si="8"/>
        <v>0</v>
      </c>
      <c r="F314" s="6">
        <f t="shared" si="8"/>
        <v>0</v>
      </c>
      <c r="G314" s="62"/>
      <c r="H314" s="62"/>
      <c r="I314" s="60"/>
      <c r="J314" s="60"/>
      <c r="K314" s="64"/>
      <c r="L314" s="64"/>
      <c r="M314" s="25"/>
      <c r="N314" s="25"/>
    </row>
    <row r="315" spans="1:14">
      <c r="A315" s="3" t="s">
        <v>588</v>
      </c>
      <c r="B315" s="4" t="s">
        <v>589</v>
      </c>
      <c r="C315" s="5">
        <f t="shared" si="9"/>
        <v>0</v>
      </c>
      <c r="D315" s="5"/>
      <c r="E315" s="6">
        <f t="shared" si="8"/>
        <v>0</v>
      </c>
      <c r="F315" s="6">
        <f t="shared" si="8"/>
        <v>0</v>
      </c>
      <c r="G315" s="62"/>
      <c r="H315" s="62"/>
      <c r="I315" s="60"/>
      <c r="J315" s="60"/>
      <c r="K315" s="64"/>
      <c r="L315" s="64"/>
      <c r="M315" s="25"/>
      <c r="N315" s="25"/>
    </row>
    <row r="316" spans="1:14">
      <c r="A316" s="3" t="s">
        <v>590</v>
      </c>
      <c r="B316" s="4" t="s">
        <v>591</v>
      </c>
      <c r="C316" s="5">
        <f t="shared" si="9"/>
        <v>0</v>
      </c>
      <c r="D316" s="5"/>
      <c r="E316" s="6">
        <f t="shared" si="8"/>
        <v>0</v>
      </c>
      <c r="F316" s="6">
        <f t="shared" si="8"/>
        <v>0</v>
      </c>
      <c r="G316" s="62"/>
      <c r="H316" s="62"/>
      <c r="I316" s="60"/>
      <c r="J316" s="60"/>
      <c r="K316" s="64"/>
      <c r="L316" s="64"/>
      <c r="M316" s="25"/>
      <c r="N316" s="25"/>
    </row>
    <row r="317" spans="1:14">
      <c r="A317" s="3" t="s">
        <v>592</v>
      </c>
      <c r="B317" s="4" t="s">
        <v>593</v>
      </c>
      <c r="C317" s="5">
        <f t="shared" si="9"/>
        <v>0</v>
      </c>
      <c r="D317" s="5"/>
      <c r="E317" s="6">
        <f t="shared" si="8"/>
        <v>0</v>
      </c>
      <c r="F317" s="6">
        <f t="shared" si="8"/>
        <v>0</v>
      </c>
      <c r="G317" s="62"/>
      <c r="H317" s="62"/>
      <c r="I317" s="60"/>
      <c r="J317" s="60"/>
      <c r="K317" s="64"/>
      <c r="L317" s="64"/>
      <c r="M317" s="25"/>
      <c r="N317" s="25"/>
    </row>
    <row r="318" spans="1:14">
      <c r="A318" s="3" t="s">
        <v>594</v>
      </c>
      <c r="B318" s="4" t="s">
        <v>595</v>
      </c>
      <c r="C318" s="5">
        <f t="shared" si="9"/>
        <v>0</v>
      </c>
      <c r="D318" s="5"/>
      <c r="E318" s="6">
        <f t="shared" si="8"/>
        <v>0</v>
      </c>
      <c r="F318" s="6">
        <f t="shared" si="8"/>
        <v>0</v>
      </c>
      <c r="G318" s="62"/>
      <c r="H318" s="62"/>
      <c r="I318" s="60"/>
      <c r="J318" s="60"/>
      <c r="K318" s="64"/>
      <c r="L318" s="64"/>
      <c r="M318" s="25"/>
      <c r="N318" s="25"/>
    </row>
    <row r="319" spans="1:14">
      <c r="A319" s="3" t="s">
        <v>596</v>
      </c>
      <c r="B319" s="4" t="s">
        <v>597</v>
      </c>
      <c r="C319" s="5">
        <f t="shared" si="9"/>
        <v>0</v>
      </c>
      <c r="D319" s="5"/>
      <c r="E319" s="6">
        <f t="shared" si="8"/>
        <v>0</v>
      </c>
      <c r="F319" s="6">
        <f t="shared" si="8"/>
        <v>0</v>
      </c>
      <c r="G319" s="62"/>
      <c r="H319" s="62"/>
      <c r="I319" s="60"/>
      <c r="J319" s="60"/>
      <c r="K319" s="64"/>
      <c r="L319" s="64"/>
      <c r="M319" s="25"/>
      <c r="N319" s="25"/>
    </row>
    <row r="320" spans="1:14">
      <c r="A320" s="3" t="s">
        <v>598</v>
      </c>
      <c r="B320" s="4" t="s">
        <v>599</v>
      </c>
      <c r="C320" s="5">
        <f t="shared" si="9"/>
        <v>0</v>
      </c>
      <c r="D320" s="5"/>
      <c r="E320" s="6">
        <f t="shared" si="8"/>
        <v>0</v>
      </c>
      <c r="F320" s="6">
        <f t="shared" si="8"/>
        <v>0</v>
      </c>
      <c r="G320" s="62"/>
      <c r="H320" s="62"/>
      <c r="I320" s="60"/>
      <c r="J320" s="60"/>
      <c r="K320" s="64"/>
      <c r="L320" s="64"/>
      <c r="M320" s="25"/>
      <c r="N320" s="25"/>
    </row>
    <row r="321" spans="1:14">
      <c r="A321" s="3" t="s">
        <v>600</v>
      </c>
      <c r="B321" s="4" t="s">
        <v>601</v>
      </c>
      <c r="C321" s="5">
        <f t="shared" si="9"/>
        <v>0</v>
      </c>
      <c r="D321" s="5"/>
      <c r="E321" s="6">
        <f t="shared" si="8"/>
        <v>0</v>
      </c>
      <c r="F321" s="6">
        <f t="shared" si="8"/>
        <v>0</v>
      </c>
      <c r="G321" s="62"/>
      <c r="H321" s="62"/>
      <c r="I321" s="60"/>
      <c r="J321" s="60"/>
      <c r="K321" s="64"/>
      <c r="L321" s="64"/>
      <c r="M321" s="25"/>
      <c r="N321" s="25"/>
    </row>
    <row r="322" spans="1:14">
      <c r="A322" s="3" t="s">
        <v>602</v>
      </c>
      <c r="B322" s="4" t="s">
        <v>603</v>
      </c>
      <c r="C322" s="5">
        <f t="shared" si="9"/>
        <v>0</v>
      </c>
      <c r="D322" s="5"/>
      <c r="E322" s="6">
        <f t="shared" si="8"/>
        <v>0</v>
      </c>
      <c r="F322" s="6">
        <f t="shared" si="8"/>
        <v>0</v>
      </c>
      <c r="G322" s="62"/>
      <c r="H322" s="62"/>
      <c r="I322" s="60"/>
      <c r="J322" s="60"/>
      <c r="K322" s="64"/>
      <c r="L322" s="64"/>
      <c r="M322" s="25"/>
      <c r="N322" s="25"/>
    </row>
    <row r="323" spans="1:14">
      <c r="A323" s="3" t="s">
        <v>604</v>
      </c>
      <c r="B323" s="4" t="s">
        <v>605</v>
      </c>
      <c r="C323" s="5">
        <f t="shared" si="9"/>
        <v>0</v>
      </c>
      <c r="D323" s="5"/>
      <c r="E323" s="6">
        <f t="shared" si="8"/>
        <v>0</v>
      </c>
      <c r="F323" s="6">
        <f t="shared" si="8"/>
        <v>0</v>
      </c>
      <c r="G323" s="62"/>
      <c r="H323" s="62"/>
      <c r="I323" s="60"/>
      <c r="J323" s="60"/>
      <c r="K323" s="64"/>
      <c r="L323" s="64"/>
      <c r="M323" s="25"/>
      <c r="N323" s="25"/>
    </row>
    <row r="324" spans="1:14" s="70" customFormat="1">
      <c r="A324" s="3" t="s">
        <v>606</v>
      </c>
      <c r="B324" s="4" t="s">
        <v>607</v>
      </c>
      <c r="C324" s="5">
        <f t="shared" si="9"/>
        <v>0</v>
      </c>
      <c r="D324" s="5"/>
      <c r="E324" s="6">
        <f t="shared" si="8"/>
        <v>0</v>
      </c>
      <c r="F324" s="6">
        <f t="shared" si="8"/>
        <v>0</v>
      </c>
      <c r="G324" s="62"/>
      <c r="H324" s="62"/>
      <c r="I324" s="60"/>
      <c r="J324" s="60"/>
      <c r="K324" s="64"/>
      <c r="L324" s="64"/>
      <c r="M324" s="25"/>
      <c r="N324" s="25"/>
    </row>
    <row r="325" spans="1:14" s="70" customFormat="1">
      <c r="A325" s="3" t="s">
        <v>608</v>
      </c>
      <c r="B325" s="4" t="s">
        <v>609</v>
      </c>
      <c r="C325" s="5">
        <f t="shared" si="9"/>
        <v>0</v>
      </c>
      <c r="D325" s="5"/>
      <c r="E325" s="6">
        <f t="shared" si="8"/>
        <v>0</v>
      </c>
      <c r="F325" s="6">
        <f t="shared" si="8"/>
        <v>0</v>
      </c>
      <c r="G325" s="62"/>
      <c r="H325" s="62"/>
      <c r="I325" s="60"/>
      <c r="J325" s="60"/>
      <c r="K325" s="64"/>
      <c r="L325" s="64"/>
      <c r="M325" s="25"/>
      <c r="N325" s="25"/>
    </row>
    <row r="326" spans="1:14" s="70" customFormat="1">
      <c r="A326" s="3" t="s">
        <v>610</v>
      </c>
      <c r="B326" s="4" t="s">
        <v>611</v>
      </c>
      <c r="C326" s="5">
        <f t="shared" si="9"/>
        <v>0</v>
      </c>
      <c r="D326" s="5"/>
      <c r="E326" s="6">
        <f t="shared" si="8"/>
        <v>0</v>
      </c>
      <c r="F326" s="6">
        <f t="shared" si="8"/>
        <v>0</v>
      </c>
      <c r="G326" s="62"/>
      <c r="H326" s="62"/>
      <c r="I326" s="60"/>
      <c r="J326" s="60"/>
      <c r="K326" s="64"/>
      <c r="L326" s="64"/>
      <c r="M326" s="25"/>
      <c r="N326" s="25"/>
    </row>
    <row r="327" spans="1:14" s="70" customFormat="1">
      <c r="A327" s="3" t="s">
        <v>612</v>
      </c>
      <c r="B327" s="4" t="s">
        <v>613</v>
      </c>
      <c r="C327" s="5">
        <f t="shared" si="9"/>
        <v>0</v>
      </c>
      <c r="D327" s="5"/>
      <c r="E327" s="6">
        <f t="shared" si="8"/>
        <v>0</v>
      </c>
      <c r="F327" s="6">
        <f t="shared" si="8"/>
        <v>0</v>
      </c>
      <c r="G327" s="62"/>
      <c r="H327" s="62"/>
      <c r="I327" s="60"/>
      <c r="J327" s="60"/>
      <c r="K327" s="64"/>
      <c r="L327" s="64"/>
      <c r="M327" s="25"/>
      <c r="N327" s="25"/>
    </row>
    <row r="328" spans="1:14" s="1" customFormat="1">
      <c r="A328" s="3" t="s">
        <v>614</v>
      </c>
      <c r="B328" s="4" t="s">
        <v>615</v>
      </c>
      <c r="C328" s="5">
        <f t="shared" si="9"/>
        <v>0</v>
      </c>
      <c r="D328" s="5"/>
      <c r="E328" s="6">
        <f t="shared" si="8"/>
        <v>0</v>
      </c>
      <c r="F328" s="6">
        <f t="shared" si="8"/>
        <v>0</v>
      </c>
      <c r="G328" s="62"/>
      <c r="H328" s="62"/>
      <c r="I328" s="60"/>
      <c r="J328" s="60"/>
      <c r="K328" s="64"/>
      <c r="L328" s="64"/>
      <c r="M328" s="25"/>
      <c r="N328" s="25"/>
    </row>
    <row r="329" spans="1:14" s="70" customFormat="1">
      <c r="A329" s="3" t="s">
        <v>616</v>
      </c>
      <c r="B329" s="4" t="s">
        <v>617</v>
      </c>
      <c r="C329" s="5">
        <f t="shared" si="9"/>
        <v>0</v>
      </c>
      <c r="D329" s="5"/>
      <c r="E329" s="6">
        <f t="shared" si="8"/>
        <v>0</v>
      </c>
      <c r="F329" s="6">
        <f t="shared" si="8"/>
        <v>0</v>
      </c>
      <c r="G329" s="62"/>
      <c r="H329" s="62"/>
      <c r="I329" s="60"/>
      <c r="J329" s="60"/>
      <c r="K329" s="64"/>
      <c r="L329" s="64"/>
      <c r="M329" s="25"/>
      <c r="N329" s="25"/>
    </row>
    <row r="330" spans="1:14" s="70" customFormat="1">
      <c r="A330" s="3" t="s">
        <v>618</v>
      </c>
      <c r="B330" s="4" t="s">
        <v>619</v>
      </c>
      <c r="C330" s="5">
        <f t="shared" si="9"/>
        <v>0</v>
      </c>
      <c r="D330" s="5"/>
      <c r="E330" s="6">
        <f t="shared" si="8"/>
        <v>0</v>
      </c>
      <c r="F330" s="6">
        <f t="shared" si="8"/>
        <v>0</v>
      </c>
      <c r="G330" s="62"/>
      <c r="H330" s="62"/>
      <c r="I330" s="60"/>
      <c r="J330" s="60"/>
      <c r="K330" s="64"/>
      <c r="L330" s="64"/>
      <c r="M330" s="25"/>
      <c r="N330" s="25"/>
    </row>
    <row r="331" spans="1:14" s="70" customFormat="1">
      <c r="A331" s="11" t="s">
        <v>620</v>
      </c>
      <c r="B331" s="12" t="s">
        <v>621</v>
      </c>
      <c r="C331" s="5">
        <f t="shared" si="9"/>
        <v>0</v>
      </c>
      <c r="D331" s="5"/>
      <c r="E331" s="6">
        <f t="shared" si="8"/>
        <v>0</v>
      </c>
      <c r="F331" s="6">
        <f t="shared" si="8"/>
        <v>0</v>
      </c>
      <c r="G331" s="62"/>
      <c r="H331" s="62"/>
      <c r="I331" s="60"/>
      <c r="J331" s="60"/>
      <c r="K331" s="64"/>
      <c r="L331" s="64"/>
      <c r="M331" s="25"/>
      <c r="N331" s="25"/>
    </row>
    <row r="332" spans="1:14" s="70" customFormat="1">
      <c r="A332" s="3" t="s">
        <v>622</v>
      </c>
      <c r="B332" s="4" t="s">
        <v>623</v>
      </c>
      <c r="C332" s="5">
        <f t="shared" si="9"/>
        <v>0</v>
      </c>
      <c r="D332" s="5"/>
      <c r="E332" s="6">
        <f t="shared" si="8"/>
        <v>0</v>
      </c>
      <c r="F332" s="6">
        <f t="shared" si="8"/>
        <v>0</v>
      </c>
      <c r="G332" s="62"/>
      <c r="H332" s="62"/>
      <c r="I332" s="60"/>
      <c r="J332" s="60"/>
      <c r="K332" s="64"/>
      <c r="L332" s="64"/>
      <c r="M332" s="25"/>
      <c r="N332" s="25"/>
    </row>
    <row r="333" spans="1:14" s="70" customFormat="1">
      <c r="A333" s="3" t="s">
        <v>624</v>
      </c>
      <c r="B333" s="4" t="s">
        <v>625</v>
      </c>
      <c r="C333" s="5">
        <f t="shared" si="9"/>
        <v>0</v>
      </c>
      <c r="D333" s="5"/>
      <c r="E333" s="6">
        <f t="shared" si="8"/>
        <v>0</v>
      </c>
      <c r="F333" s="6">
        <f t="shared" si="8"/>
        <v>0</v>
      </c>
      <c r="G333" s="62"/>
      <c r="H333" s="62"/>
      <c r="I333" s="60"/>
      <c r="J333" s="60"/>
      <c r="K333" s="64"/>
      <c r="L333" s="64"/>
      <c r="M333" s="25"/>
      <c r="N333" s="25"/>
    </row>
    <row r="334" spans="1:14">
      <c r="A334" s="3" t="s">
        <v>626</v>
      </c>
      <c r="B334" s="4" t="s">
        <v>627</v>
      </c>
      <c r="C334" s="5">
        <f t="shared" si="9"/>
        <v>0</v>
      </c>
      <c r="D334" s="5"/>
      <c r="E334" s="6">
        <f t="shared" ref="E334:F397" si="10">SUM(G334,I334,K334,M334)</f>
        <v>0</v>
      </c>
      <c r="F334" s="6">
        <f t="shared" si="10"/>
        <v>0</v>
      </c>
      <c r="G334" s="62"/>
      <c r="H334" s="62"/>
      <c r="I334" s="60"/>
      <c r="J334" s="60"/>
      <c r="K334" s="64"/>
      <c r="L334" s="64"/>
      <c r="M334" s="25"/>
      <c r="N334" s="25"/>
    </row>
    <row r="335" spans="1:14">
      <c r="A335" s="3" t="s">
        <v>628</v>
      </c>
      <c r="B335" s="4" t="s">
        <v>629</v>
      </c>
      <c r="C335" s="5">
        <f t="shared" si="9"/>
        <v>0</v>
      </c>
      <c r="D335" s="5"/>
      <c r="E335" s="6">
        <f t="shared" si="10"/>
        <v>0</v>
      </c>
      <c r="F335" s="6">
        <f t="shared" si="10"/>
        <v>0</v>
      </c>
      <c r="G335" s="62"/>
      <c r="H335" s="62"/>
      <c r="I335" s="60"/>
      <c r="J335" s="60"/>
      <c r="K335" s="64"/>
      <c r="L335" s="64"/>
      <c r="M335" s="25"/>
      <c r="N335" s="25"/>
    </row>
    <row r="336" spans="1:14">
      <c r="A336" s="3" t="s">
        <v>630</v>
      </c>
      <c r="B336" s="4" t="s">
        <v>631</v>
      </c>
      <c r="C336" s="5">
        <f t="shared" si="9"/>
        <v>0</v>
      </c>
      <c r="D336" s="5"/>
      <c r="E336" s="6">
        <f t="shared" si="10"/>
        <v>0</v>
      </c>
      <c r="F336" s="6">
        <f t="shared" si="10"/>
        <v>0</v>
      </c>
      <c r="G336" s="62"/>
      <c r="H336" s="62"/>
      <c r="I336" s="60"/>
      <c r="J336" s="60"/>
      <c r="K336" s="64"/>
      <c r="L336" s="64"/>
      <c r="M336" s="25"/>
      <c r="N336" s="25"/>
    </row>
    <row r="337" spans="1:14">
      <c r="A337" s="3" t="s">
        <v>632</v>
      </c>
      <c r="B337" s="4" t="s">
        <v>633</v>
      </c>
      <c r="C337" s="5">
        <f t="shared" si="9"/>
        <v>0</v>
      </c>
      <c r="D337" s="5"/>
      <c r="E337" s="6">
        <f t="shared" si="10"/>
        <v>0</v>
      </c>
      <c r="F337" s="6">
        <f t="shared" si="10"/>
        <v>0</v>
      </c>
      <c r="G337" s="62"/>
      <c r="H337" s="62"/>
      <c r="I337" s="60"/>
      <c r="J337" s="60"/>
      <c r="K337" s="64"/>
      <c r="L337" s="64"/>
      <c r="M337" s="25"/>
      <c r="N337" s="25"/>
    </row>
    <row r="338" spans="1:14">
      <c r="A338" s="3" t="s">
        <v>634</v>
      </c>
      <c r="B338" s="4" t="s">
        <v>635</v>
      </c>
      <c r="C338" s="5">
        <f t="shared" si="9"/>
        <v>0</v>
      </c>
      <c r="D338" s="5"/>
      <c r="E338" s="6">
        <f t="shared" si="10"/>
        <v>0</v>
      </c>
      <c r="F338" s="6">
        <f t="shared" si="10"/>
        <v>0</v>
      </c>
      <c r="G338" s="62"/>
      <c r="H338" s="62"/>
      <c r="I338" s="60"/>
      <c r="J338" s="60"/>
      <c r="K338" s="64"/>
      <c r="L338" s="64"/>
      <c r="M338" s="25"/>
      <c r="N338" s="25"/>
    </row>
    <row r="339" spans="1:14">
      <c r="A339" s="3" t="s">
        <v>636</v>
      </c>
      <c r="B339" s="4" t="s">
        <v>637</v>
      </c>
      <c r="C339" s="5">
        <f t="shared" si="9"/>
        <v>0</v>
      </c>
      <c r="D339" s="5"/>
      <c r="E339" s="6">
        <f t="shared" si="10"/>
        <v>0</v>
      </c>
      <c r="F339" s="6">
        <f t="shared" si="10"/>
        <v>0</v>
      </c>
      <c r="G339" s="62"/>
      <c r="H339" s="62"/>
      <c r="I339" s="60"/>
      <c r="J339" s="60"/>
      <c r="K339" s="64"/>
      <c r="L339" s="64"/>
      <c r="M339" s="25"/>
      <c r="N339" s="25"/>
    </row>
    <row r="340" spans="1:14">
      <c r="A340" s="3" t="s">
        <v>638</v>
      </c>
      <c r="B340" s="4" t="s">
        <v>639</v>
      </c>
      <c r="C340" s="5">
        <f t="shared" si="9"/>
        <v>0</v>
      </c>
      <c r="D340" s="5"/>
      <c r="E340" s="6">
        <f t="shared" si="10"/>
        <v>0</v>
      </c>
      <c r="F340" s="6">
        <f t="shared" si="10"/>
        <v>0</v>
      </c>
      <c r="G340" s="62"/>
      <c r="H340" s="62"/>
      <c r="I340" s="60"/>
      <c r="J340" s="60"/>
      <c r="K340" s="64"/>
      <c r="L340" s="64"/>
      <c r="M340" s="25"/>
      <c r="N340" s="25"/>
    </row>
    <row r="341" spans="1:14">
      <c r="A341" s="3" t="s">
        <v>640</v>
      </c>
      <c r="B341" s="4" t="s">
        <v>641</v>
      </c>
      <c r="C341" s="5">
        <f t="shared" si="9"/>
        <v>0</v>
      </c>
      <c r="D341" s="5"/>
      <c r="E341" s="6">
        <f t="shared" si="10"/>
        <v>0</v>
      </c>
      <c r="F341" s="6">
        <f t="shared" si="10"/>
        <v>0</v>
      </c>
      <c r="G341" s="62"/>
      <c r="H341" s="62"/>
      <c r="I341" s="60"/>
      <c r="J341" s="60"/>
      <c r="K341" s="64"/>
      <c r="L341" s="64"/>
      <c r="M341" s="25"/>
      <c r="N341" s="25"/>
    </row>
    <row r="342" spans="1:14">
      <c r="A342" s="3" t="s">
        <v>642</v>
      </c>
      <c r="B342" s="4" t="s">
        <v>643</v>
      </c>
      <c r="C342" s="5">
        <f t="shared" si="9"/>
        <v>0</v>
      </c>
      <c r="D342" s="5"/>
      <c r="E342" s="6">
        <f t="shared" si="10"/>
        <v>0</v>
      </c>
      <c r="F342" s="6">
        <f t="shared" si="10"/>
        <v>0</v>
      </c>
      <c r="G342" s="62"/>
      <c r="H342" s="62"/>
      <c r="I342" s="60"/>
      <c r="J342" s="60"/>
      <c r="K342" s="64"/>
      <c r="L342" s="64"/>
      <c r="M342" s="25"/>
      <c r="N342" s="25"/>
    </row>
    <row r="343" spans="1:14">
      <c r="A343" s="3" t="s">
        <v>644</v>
      </c>
      <c r="B343" s="4" t="s">
        <v>645</v>
      </c>
      <c r="C343" s="5">
        <f t="shared" si="9"/>
        <v>0</v>
      </c>
      <c r="D343" s="5"/>
      <c r="E343" s="6">
        <f t="shared" si="10"/>
        <v>0</v>
      </c>
      <c r="F343" s="6">
        <f t="shared" si="10"/>
        <v>0</v>
      </c>
      <c r="G343" s="62"/>
      <c r="H343" s="62"/>
      <c r="I343" s="60"/>
      <c r="J343" s="60"/>
      <c r="K343" s="64"/>
      <c r="L343" s="64"/>
      <c r="M343" s="25"/>
      <c r="N343" s="25"/>
    </row>
    <row r="344" spans="1:14">
      <c r="A344" s="3" t="s">
        <v>646</v>
      </c>
      <c r="B344" s="4" t="s">
        <v>647</v>
      </c>
      <c r="C344" s="5">
        <f t="shared" si="9"/>
        <v>0</v>
      </c>
      <c r="D344" s="5"/>
      <c r="E344" s="6">
        <f t="shared" si="10"/>
        <v>0</v>
      </c>
      <c r="F344" s="6">
        <f t="shared" si="10"/>
        <v>0</v>
      </c>
      <c r="G344" s="62"/>
      <c r="H344" s="62"/>
      <c r="I344" s="60"/>
      <c r="J344" s="60"/>
      <c r="K344" s="64"/>
      <c r="L344" s="64"/>
      <c r="M344" s="25"/>
      <c r="N344" s="25"/>
    </row>
    <row r="345" spans="1:14">
      <c r="A345" s="3" t="s">
        <v>648</v>
      </c>
      <c r="B345" s="4" t="s">
        <v>649</v>
      </c>
      <c r="C345" s="5">
        <f t="shared" ref="C345:C408" si="11">E345-F345</f>
        <v>0</v>
      </c>
      <c r="D345" s="5"/>
      <c r="E345" s="6">
        <f t="shared" si="10"/>
        <v>0</v>
      </c>
      <c r="F345" s="6">
        <f t="shared" si="10"/>
        <v>0</v>
      </c>
      <c r="G345" s="62"/>
      <c r="H345" s="62"/>
      <c r="I345" s="60"/>
      <c r="J345" s="60"/>
      <c r="K345" s="64"/>
      <c r="L345" s="64"/>
      <c r="M345" s="25"/>
      <c r="N345" s="25"/>
    </row>
    <row r="346" spans="1:14">
      <c r="A346" s="3" t="s">
        <v>650</v>
      </c>
      <c r="B346" s="4" t="s">
        <v>651</v>
      </c>
      <c r="C346" s="5">
        <f t="shared" si="11"/>
        <v>0</v>
      </c>
      <c r="D346" s="5"/>
      <c r="E346" s="6">
        <f t="shared" si="10"/>
        <v>0</v>
      </c>
      <c r="F346" s="6">
        <f t="shared" si="10"/>
        <v>0</v>
      </c>
      <c r="G346" s="62"/>
      <c r="H346" s="62"/>
      <c r="I346" s="60"/>
      <c r="J346" s="60"/>
      <c r="K346" s="64"/>
      <c r="L346" s="64"/>
      <c r="M346" s="25"/>
      <c r="N346" s="25"/>
    </row>
    <row r="347" spans="1:14">
      <c r="A347" s="3" t="s">
        <v>652</v>
      </c>
      <c r="B347" s="4" t="s">
        <v>653</v>
      </c>
      <c r="C347" s="5">
        <f t="shared" si="11"/>
        <v>0</v>
      </c>
      <c r="D347" s="5"/>
      <c r="E347" s="6">
        <f t="shared" si="10"/>
        <v>0</v>
      </c>
      <c r="F347" s="6">
        <f t="shared" si="10"/>
        <v>0</v>
      </c>
      <c r="G347" s="62"/>
      <c r="H347" s="62"/>
      <c r="I347" s="60"/>
      <c r="J347" s="60"/>
      <c r="K347" s="64"/>
      <c r="L347" s="64"/>
      <c r="M347" s="25"/>
      <c r="N347" s="25"/>
    </row>
    <row r="348" spans="1:14">
      <c r="A348" s="3" t="s">
        <v>654</v>
      </c>
      <c r="B348" s="4" t="s">
        <v>655</v>
      </c>
      <c r="C348" s="5">
        <f t="shared" si="11"/>
        <v>0</v>
      </c>
      <c r="D348" s="5"/>
      <c r="E348" s="6">
        <f t="shared" si="10"/>
        <v>0</v>
      </c>
      <c r="F348" s="6">
        <f t="shared" si="10"/>
        <v>0</v>
      </c>
      <c r="G348" s="62"/>
      <c r="H348" s="62"/>
      <c r="I348" s="60"/>
      <c r="J348" s="60"/>
      <c r="K348" s="64"/>
      <c r="L348" s="64"/>
      <c r="M348" s="25"/>
      <c r="N348" s="25"/>
    </row>
    <row r="349" spans="1:14">
      <c r="A349" s="3" t="s">
        <v>656</v>
      </c>
      <c r="B349" s="4" t="s">
        <v>657</v>
      </c>
      <c r="C349" s="5">
        <f t="shared" si="11"/>
        <v>0</v>
      </c>
      <c r="D349" s="5"/>
      <c r="E349" s="6">
        <f t="shared" si="10"/>
        <v>0</v>
      </c>
      <c r="F349" s="6">
        <f t="shared" si="10"/>
        <v>0</v>
      </c>
      <c r="G349" s="62"/>
      <c r="H349" s="62"/>
      <c r="I349" s="60"/>
      <c r="J349" s="60"/>
      <c r="K349" s="64"/>
      <c r="L349" s="64"/>
      <c r="M349" s="25"/>
      <c r="N349" s="25"/>
    </row>
    <row r="350" spans="1:14">
      <c r="A350" s="3" t="s">
        <v>658</v>
      </c>
      <c r="B350" s="4" t="s">
        <v>659</v>
      </c>
      <c r="C350" s="5">
        <f t="shared" si="11"/>
        <v>0</v>
      </c>
      <c r="D350" s="5"/>
      <c r="E350" s="6">
        <f t="shared" si="10"/>
        <v>0</v>
      </c>
      <c r="F350" s="6">
        <f t="shared" si="10"/>
        <v>0</v>
      </c>
      <c r="G350" s="62"/>
      <c r="H350" s="62"/>
      <c r="I350" s="60"/>
      <c r="J350" s="60"/>
      <c r="K350" s="64"/>
      <c r="L350" s="64"/>
      <c r="M350" s="25"/>
      <c r="N350" s="25"/>
    </row>
    <row r="351" spans="1:14">
      <c r="A351" s="3" t="s">
        <v>660</v>
      </c>
      <c r="B351" s="4" t="s">
        <v>661</v>
      </c>
      <c r="C351" s="5">
        <f t="shared" si="11"/>
        <v>0</v>
      </c>
      <c r="D351" s="5"/>
      <c r="E351" s="6">
        <f t="shared" si="10"/>
        <v>0</v>
      </c>
      <c r="F351" s="6">
        <f t="shared" si="10"/>
        <v>0</v>
      </c>
      <c r="G351" s="62"/>
      <c r="H351" s="62"/>
      <c r="I351" s="60"/>
      <c r="J351" s="60"/>
      <c r="K351" s="64"/>
      <c r="L351" s="64"/>
      <c r="M351" s="25"/>
      <c r="N351" s="25"/>
    </row>
    <row r="352" spans="1:14">
      <c r="A352" s="3" t="s">
        <v>662</v>
      </c>
      <c r="B352" s="4" t="s">
        <v>663</v>
      </c>
      <c r="C352" s="5">
        <f t="shared" si="11"/>
        <v>0</v>
      </c>
      <c r="D352" s="5"/>
      <c r="E352" s="6">
        <f t="shared" si="10"/>
        <v>0</v>
      </c>
      <c r="F352" s="6">
        <f t="shared" si="10"/>
        <v>0</v>
      </c>
      <c r="G352" s="62"/>
      <c r="H352" s="62"/>
      <c r="I352" s="60"/>
      <c r="J352" s="60"/>
      <c r="K352" s="64"/>
      <c r="L352" s="64"/>
      <c r="M352" s="25"/>
      <c r="N352" s="25"/>
    </row>
    <row r="353" spans="1:14">
      <c r="A353" s="3" t="s">
        <v>664</v>
      </c>
      <c r="B353" s="4" t="s">
        <v>665</v>
      </c>
      <c r="C353" s="5">
        <f t="shared" si="11"/>
        <v>0</v>
      </c>
      <c r="D353" s="5"/>
      <c r="E353" s="6">
        <f t="shared" si="10"/>
        <v>0</v>
      </c>
      <c r="F353" s="6">
        <f t="shared" si="10"/>
        <v>0</v>
      </c>
      <c r="G353" s="62"/>
      <c r="H353" s="62"/>
      <c r="I353" s="60"/>
      <c r="J353" s="60"/>
      <c r="K353" s="64"/>
      <c r="L353" s="64"/>
      <c r="M353" s="25"/>
      <c r="N353" s="25"/>
    </row>
    <row r="354" spans="1:14">
      <c r="A354" s="3" t="s">
        <v>666</v>
      </c>
      <c r="B354" s="4" t="s">
        <v>667</v>
      </c>
      <c r="C354" s="5">
        <f t="shared" si="11"/>
        <v>0</v>
      </c>
      <c r="D354" s="5"/>
      <c r="E354" s="6">
        <f t="shared" si="10"/>
        <v>0</v>
      </c>
      <c r="F354" s="6">
        <f t="shared" si="10"/>
        <v>0</v>
      </c>
      <c r="G354" s="62"/>
      <c r="H354" s="62"/>
      <c r="I354" s="60"/>
      <c r="J354" s="60"/>
      <c r="K354" s="64"/>
      <c r="L354" s="64"/>
      <c r="M354" s="25"/>
      <c r="N354" s="25"/>
    </row>
    <row r="355" spans="1:14">
      <c r="A355" s="3" t="s">
        <v>668</v>
      </c>
      <c r="B355" s="4" t="s">
        <v>669</v>
      </c>
      <c r="C355" s="5">
        <f t="shared" si="11"/>
        <v>0</v>
      </c>
      <c r="D355" s="5"/>
      <c r="E355" s="6">
        <f t="shared" si="10"/>
        <v>0</v>
      </c>
      <c r="F355" s="6">
        <f t="shared" si="10"/>
        <v>0</v>
      </c>
      <c r="G355" s="62"/>
      <c r="H355" s="62"/>
      <c r="I355" s="60"/>
      <c r="J355" s="60"/>
      <c r="K355" s="64"/>
      <c r="L355" s="64"/>
      <c r="M355" s="25"/>
      <c r="N355" s="25"/>
    </row>
    <row r="356" spans="1:14">
      <c r="A356" s="3" t="s">
        <v>670</v>
      </c>
      <c r="B356" s="4" t="s">
        <v>671</v>
      </c>
      <c r="C356" s="5">
        <f t="shared" si="11"/>
        <v>0</v>
      </c>
      <c r="D356" s="5"/>
      <c r="E356" s="6">
        <f t="shared" si="10"/>
        <v>0</v>
      </c>
      <c r="F356" s="6">
        <f t="shared" si="10"/>
        <v>0</v>
      </c>
      <c r="G356" s="62"/>
      <c r="H356" s="62"/>
      <c r="I356" s="60"/>
      <c r="J356" s="60"/>
      <c r="K356" s="64"/>
      <c r="L356" s="64"/>
      <c r="M356" s="25"/>
      <c r="N356" s="25"/>
    </row>
    <row r="357" spans="1:14">
      <c r="A357" s="3" t="s">
        <v>672</v>
      </c>
      <c r="B357" s="4" t="s">
        <v>673</v>
      </c>
      <c r="C357" s="5">
        <f t="shared" si="11"/>
        <v>0</v>
      </c>
      <c r="D357" s="5"/>
      <c r="E357" s="6">
        <f t="shared" si="10"/>
        <v>0</v>
      </c>
      <c r="F357" s="6">
        <f t="shared" si="10"/>
        <v>0</v>
      </c>
      <c r="G357" s="62"/>
      <c r="H357" s="62"/>
      <c r="I357" s="60"/>
      <c r="J357" s="60"/>
      <c r="K357" s="64"/>
      <c r="L357" s="64"/>
      <c r="M357" s="25"/>
      <c r="N357" s="25"/>
    </row>
    <row r="358" spans="1:14">
      <c r="A358" s="3" t="s">
        <v>674</v>
      </c>
      <c r="B358" s="4" t="s">
        <v>675</v>
      </c>
      <c r="C358" s="5">
        <f t="shared" si="11"/>
        <v>0</v>
      </c>
      <c r="D358" s="5"/>
      <c r="E358" s="6">
        <f t="shared" si="10"/>
        <v>0</v>
      </c>
      <c r="F358" s="6">
        <f t="shared" si="10"/>
        <v>0</v>
      </c>
      <c r="G358" s="62"/>
      <c r="H358" s="62"/>
      <c r="I358" s="60"/>
      <c r="J358" s="60"/>
      <c r="K358" s="64"/>
      <c r="L358" s="64"/>
      <c r="M358" s="25"/>
      <c r="N358" s="25"/>
    </row>
    <row r="359" spans="1:14">
      <c r="A359" s="3" t="s">
        <v>676</v>
      </c>
      <c r="B359" s="4" t="s">
        <v>677</v>
      </c>
      <c r="C359" s="5">
        <f t="shared" si="11"/>
        <v>0</v>
      </c>
      <c r="D359" s="5"/>
      <c r="E359" s="6">
        <f t="shared" si="10"/>
        <v>0</v>
      </c>
      <c r="F359" s="6">
        <f t="shared" si="10"/>
        <v>0</v>
      </c>
      <c r="G359" s="62"/>
      <c r="H359" s="62"/>
      <c r="I359" s="60"/>
      <c r="J359" s="60"/>
      <c r="K359" s="64"/>
      <c r="L359" s="64"/>
      <c r="M359" s="25"/>
      <c r="N359" s="25"/>
    </row>
    <row r="360" spans="1:14">
      <c r="A360" s="3" t="s">
        <v>678</v>
      </c>
      <c r="B360" s="4" t="s">
        <v>679</v>
      </c>
      <c r="C360" s="5">
        <f t="shared" si="11"/>
        <v>0</v>
      </c>
      <c r="D360" s="5"/>
      <c r="E360" s="6">
        <f t="shared" si="10"/>
        <v>0</v>
      </c>
      <c r="F360" s="6">
        <f t="shared" si="10"/>
        <v>0</v>
      </c>
      <c r="G360" s="62"/>
      <c r="H360" s="62"/>
      <c r="I360" s="60"/>
      <c r="J360" s="60"/>
      <c r="K360" s="64"/>
      <c r="L360" s="64"/>
      <c r="M360" s="25"/>
      <c r="N360" s="25"/>
    </row>
    <row r="361" spans="1:14">
      <c r="A361" s="3" t="s">
        <v>680</v>
      </c>
      <c r="B361" s="4" t="s">
        <v>681</v>
      </c>
      <c r="C361" s="5">
        <f t="shared" si="11"/>
        <v>0</v>
      </c>
      <c r="D361" s="5"/>
      <c r="E361" s="6">
        <f t="shared" si="10"/>
        <v>0</v>
      </c>
      <c r="F361" s="6">
        <f t="shared" si="10"/>
        <v>0</v>
      </c>
      <c r="G361" s="62"/>
      <c r="H361" s="62"/>
      <c r="I361" s="60"/>
      <c r="J361" s="60"/>
      <c r="K361" s="64"/>
      <c r="L361" s="64"/>
      <c r="M361" s="25"/>
      <c r="N361" s="25"/>
    </row>
    <row r="362" spans="1:14">
      <c r="A362" s="3" t="s">
        <v>682</v>
      </c>
      <c r="B362" s="4" t="s">
        <v>683</v>
      </c>
      <c r="C362" s="5">
        <f t="shared" si="11"/>
        <v>0</v>
      </c>
      <c r="D362" s="5"/>
      <c r="E362" s="6">
        <f t="shared" si="10"/>
        <v>0</v>
      </c>
      <c r="F362" s="6">
        <f t="shared" si="10"/>
        <v>0</v>
      </c>
      <c r="G362" s="62"/>
      <c r="H362" s="62"/>
      <c r="I362" s="60"/>
      <c r="J362" s="60"/>
      <c r="K362" s="64"/>
      <c r="L362" s="64"/>
      <c r="M362" s="25"/>
      <c r="N362" s="25"/>
    </row>
    <row r="363" spans="1:14">
      <c r="A363" s="3" t="s">
        <v>684</v>
      </c>
      <c r="B363" s="4" t="s">
        <v>685</v>
      </c>
      <c r="C363" s="5">
        <f t="shared" si="11"/>
        <v>0</v>
      </c>
      <c r="D363" s="5"/>
      <c r="E363" s="6">
        <f t="shared" si="10"/>
        <v>0</v>
      </c>
      <c r="F363" s="6">
        <f t="shared" si="10"/>
        <v>0</v>
      </c>
      <c r="G363" s="62"/>
      <c r="H363" s="62"/>
      <c r="I363" s="60"/>
      <c r="J363" s="60"/>
      <c r="K363" s="64"/>
      <c r="L363" s="64"/>
      <c r="M363" s="25"/>
      <c r="N363" s="25"/>
    </row>
    <row r="364" spans="1:14">
      <c r="A364" s="3" t="s">
        <v>686</v>
      </c>
      <c r="B364" s="4" t="s">
        <v>687</v>
      </c>
      <c r="C364" s="5">
        <f t="shared" si="11"/>
        <v>0</v>
      </c>
      <c r="D364" s="5"/>
      <c r="E364" s="6">
        <f t="shared" si="10"/>
        <v>0</v>
      </c>
      <c r="F364" s="6">
        <f t="shared" si="10"/>
        <v>0</v>
      </c>
      <c r="G364" s="62"/>
      <c r="H364" s="62"/>
      <c r="I364" s="60"/>
      <c r="J364" s="60"/>
      <c r="K364" s="64"/>
      <c r="L364" s="64"/>
      <c r="M364" s="25"/>
      <c r="N364" s="25"/>
    </row>
    <row r="365" spans="1:14">
      <c r="A365" s="3" t="s">
        <v>688</v>
      </c>
      <c r="B365" s="4" t="s">
        <v>689</v>
      </c>
      <c r="C365" s="5">
        <f t="shared" si="11"/>
        <v>0</v>
      </c>
      <c r="D365" s="5"/>
      <c r="E365" s="6">
        <f t="shared" si="10"/>
        <v>0</v>
      </c>
      <c r="F365" s="6">
        <f t="shared" si="10"/>
        <v>0</v>
      </c>
      <c r="G365" s="62"/>
      <c r="H365" s="62"/>
      <c r="I365" s="60"/>
      <c r="J365" s="60"/>
      <c r="K365" s="64"/>
      <c r="L365" s="64"/>
      <c r="M365" s="25"/>
      <c r="N365" s="25"/>
    </row>
    <row r="366" spans="1:14">
      <c r="A366" s="3" t="s">
        <v>690</v>
      </c>
      <c r="B366" s="4" t="s">
        <v>691</v>
      </c>
      <c r="C366" s="5">
        <f t="shared" si="11"/>
        <v>0</v>
      </c>
      <c r="D366" s="5"/>
      <c r="E366" s="6">
        <f t="shared" si="10"/>
        <v>0</v>
      </c>
      <c r="F366" s="6">
        <f t="shared" si="10"/>
        <v>0</v>
      </c>
      <c r="G366" s="62"/>
      <c r="H366" s="62"/>
      <c r="I366" s="60"/>
      <c r="J366" s="60"/>
      <c r="K366" s="64"/>
      <c r="L366" s="64"/>
      <c r="M366" s="25"/>
      <c r="N366" s="25"/>
    </row>
    <row r="367" spans="1:14">
      <c r="A367" s="3" t="s">
        <v>692</v>
      </c>
      <c r="B367" s="4" t="s">
        <v>693</v>
      </c>
      <c r="C367" s="5">
        <f t="shared" si="11"/>
        <v>0</v>
      </c>
      <c r="D367" s="5"/>
      <c r="E367" s="6">
        <f t="shared" si="10"/>
        <v>0</v>
      </c>
      <c r="F367" s="6">
        <f t="shared" si="10"/>
        <v>0</v>
      </c>
      <c r="G367" s="62"/>
      <c r="H367" s="62"/>
      <c r="I367" s="60"/>
      <c r="J367" s="60"/>
      <c r="K367" s="64"/>
      <c r="L367" s="64"/>
      <c r="M367" s="25"/>
      <c r="N367" s="25"/>
    </row>
    <row r="368" spans="1:14">
      <c r="A368" s="3" t="s">
        <v>694</v>
      </c>
      <c r="B368" s="4" t="s">
        <v>695</v>
      </c>
      <c r="C368" s="5">
        <f t="shared" si="11"/>
        <v>0</v>
      </c>
      <c r="D368" s="5"/>
      <c r="E368" s="6">
        <f t="shared" si="10"/>
        <v>0</v>
      </c>
      <c r="F368" s="6">
        <f t="shared" si="10"/>
        <v>0</v>
      </c>
      <c r="G368" s="62"/>
      <c r="H368" s="62"/>
      <c r="I368" s="60"/>
      <c r="J368" s="60"/>
      <c r="K368" s="64"/>
      <c r="L368" s="64"/>
      <c r="M368" s="25"/>
      <c r="N368" s="25"/>
    </row>
    <row r="369" spans="1:14">
      <c r="A369" s="3" t="s">
        <v>696</v>
      </c>
      <c r="B369" s="4" t="s">
        <v>697</v>
      </c>
      <c r="C369" s="5">
        <f t="shared" si="11"/>
        <v>0</v>
      </c>
      <c r="D369" s="5"/>
      <c r="E369" s="6">
        <f t="shared" si="10"/>
        <v>0</v>
      </c>
      <c r="F369" s="6">
        <f t="shared" si="10"/>
        <v>0</v>
      </c>
      <c r="G369" s="62"/>
      <c r="H369" s="62"/>
      <c r="I369" s="60"/>
      <c r="J369" s="60"/>
      <c r="K369" s="64"/>
      <c r="L369" s="64"/>
      <c r="M369" s="25"/>
      <c r="N369" s="25"/>
    </row>
    <row r="370" spans="1:14">
      <c r="A370" s="3" t="s">
        <v>698</v>
      </c>
      <c r="B370" s="4" t="s">
        <v>699</v>
      </c>
      <c r="C370" s="5">
        <f t="shared" si="11"/>
        <v>0</v>
      </c>
      <c r="D370" s="5"/>
      <c r="E370" s="6">
        <f t="shared" si="10"/>
        <v>0</v>
      </c>
      <c r="F370" s="6">
        <f t="shared" si="10"/>
        <v>0</v>
      </c>
      <c r="G370" s="62"/>
      <c r="H370" s="62"/>
      <c r="I370" s="60"/>
      <c r="J370" s="60"/>
      <c r="K370" s="64"/>
      <c r="L370" s="64"/>
      <c r="M370" s="25"/>
      <c r="N370" s="25"/>
    </row>
    <row r="371" spans="1:14">
      <c r="A371" s="3" t="s">
        <v>700</v>
      </c>
      <c r="B371" s="4" t="s">
        <v>701</v>
      </c>
      <c r="C371" s="5">
        <f t="shared" si="11"/>
        <v>0</v>
      </c>
      <c r="D371" s="5"/>
      <c r="E371" s="6">
        <f t="shared" si="10"/>
        <v>0</v>
      </c>
      <c r="F371" s="6">
        <f t="shared" si="10"/>
        <v>0</v>
      </c>
      <c r="G371" s="62"/>
      <c r="H371" s="62"/>
      <c r="I371" s="60"/>
      <c r="J371" s="60"/>
      <c r="K371" s="64"/>
      <c r="L371" s="64"/>
      <c r="M371" s="25"/>
      <c r="N371" s="25"/>
    </row>
    <row r="372" spans="1:14">
      <c r="A372" s="3" t="s">
        <v>702</v>
      </c>
      <c r="B372" s="4" t="s">
        <v>703</v>
      </c>
      <c r="C372" s="5">
        <f t="shared" si="11"/>
        <v>0</v>
      </c>
      <c r="D372" s="5"/>
      <c r="E372" s="6">
        <f t="shared" si="10"/>
        <v>0</v>
      </c>
      <c r="F372" s="6">
        <f t="shared" si="10"/>
        <v>0</v>
      </c>
      <c r="G372" s="62"/>
      <c r="H372" s="62"/>
      <c r="I372" s="60"/>
      <c r="J372" s="60"/>
      <c r="K372" s="64"/>
      <c r="L372" s="64"/>
      <c r="M372" s="25"/>
      <c r="N372" s="25"/>
    </row>
    <row r="373" spans="1:14">
      <c r="A373" s="3" t="s">
        <v>704</v>
      </c>
      <c r="B373" s="4" t="s">
        <v>705</v>
      </c>
      <c r="C373" s="5">
        <f t="shared" si="11"/>
        <v>0</v>
      </c>
      <c r="D373" s="5"/>
      <c r="E373" s="6">
        <f t="shared" si="10"/>
        <v>0</v>
      </c>
      <c r="F373" s="6">
        <f t="shared" si="10"/>
        <v>0</v>
      </c>
      <c r="G373" s="62"/>
      <c r="H373" s="62"/>
      <c r="I373" s="60"/>
      <c r="J373" s="60"/>
      <c r="K373" s="64"/>
      <c r="L373" s="64"/>
      <c r="M373" s="25"/>
      <c r="N373" s="25"/>
    </row>
    <row r="374" spans="1:14">
      <c r="A374" s="3" t="s">
        <v>706</v>
      </c>
      <c r="B374" s="4" t="s">
        <v>707</v>
      </c>
      <c r="C374" s="5">
        <f t="shared" si="11"/>
        <v>0</v>
      </c>
      <c r="D374" s="5"/>
      <c r="E374" s="6">
        <f t="shared" si="10"/>
        <v>0</v>
      </c>
      <c r="F374" s="6">
        <f t="shared" si="10"/>
        <v>0</v>
      </c>
      <c r="G374" s="62"/>
      <c r="H374" s="62"/>
      <c r="I374" s="60"/>
      <c r="J374" s="60"/>
      <c r="K374" s="64"/>
      <c r="L374" s="64"/>
      <c r="M374" s="25"/>
      <c r="N374" s="25"/>
    </row>
    <row r="375" spans="1:14">
      <c r="A375" s="3" t="s">
        <v>708</v>
      </c>
      <c r="B375" s="4" t="s">
        <v>709</v>
      </c>
      <c r="C375" s="5">
        <f t="shared" si="11"/>
        <v>0</v>
      </c>
      <c r="D375" s="5"/>
      <c r="E375" s="6">
        <f t="shared" si="10"/>
        <v>0</v>
      </c>
      <c r="F375" s="6">
        <f t="shared" si="10"/>
        <v>0</v>
      </c>
      <c r="G375" s="62"/>
      <c r="H375" s="62"/>
      <c r="I375" s="60"/>
      <c r="J375" s="60"/>
      <c r="K375" s="64"/>
      <c r="L375" s="64"/>
      <c r="M375" s="25"/>
      <c r="N375" s="25"/>
    </row>
    <row r="376" spans="1:14">
      <c r="A376" s="3" t="s">
        <v>710</v>
      </c>
      <c r="B376" s="4" t="s">
        <v>711</v>
      </c>
      <c r="C376" s="5">
        <f t="shared" si="11"/>
        <v>0</v>
      </c>
      <c r="D376" s="5"/>
      <c r="E376" s="6">
        <f t="shared" si="10"/>
        <v>0</v>
      </c>
      <c r="F376" s="6">
        <f t="shared" si="10"/>
        <v>0</v>
      </c>
      <c r="G376" s="62"/>
      <c r="H376" s="62"/>
      <c r="I376" s="60"/>
      <c r="J376" s="60"/>
      <c r="K376" s="64"/>
      <c r="L376" s="64"/>
      <c r="M376" s="25"/>
      <c r="N376" s="25"/>
    </row>
    <row r="377" spans="1:14">
      <c r="A377" s="3" t="s">
        <v>712</v>
      </c>
      <c r="B377" s="4" t="s">
        <v>713</v>
      </c>
      <c r="C377" s="5">
        <f t="shared" si="11"/>
        <v>0</v>
      </c>
      <c r="D377" s="5"/>
      <c r="E377" s="6">
        <f t="shared" si="10"/>
        <v>0</v>
      </c>
      <c r="F377" s="6">
        <f t="shared" si="10"/>
        <v>0</v>
      </c>
      <c r="G377" s="62"/>
      <c r="H377" s="62"/>
      <c r="I377" s="60"/>
      <c r="J377" s="60"/>
      <c r="K377" s="64"/>
      <c r="L377" s="64"/>
      <c r="M377" s="25"/>
      <c r="N377" s="25"/>
    </row>
    <row r="378" spans="1:14">
      <c r="A378" s="3" t="s">
        <v>714</v>
      </c>
      <c r="B378" s="4" t="s">
        <v>715</v>
      </c>
      <c r="C378" s="5">
        <f t="shared" si="11"/>
        <v>0</v>
      </c>
      <c r="D378" s="5"/>
      <c r="E378" s="6">
        <f t="shared" si="10"/>
        <v>0</v>
      </c>
      <c r="F378" s="6">
        <f t="shared" si="10"/>
        <v>0</v>
      </c>
      <c r="G378" s="62"/>
      <c r="H378" s="62"/>
      <c r="I378" s="60"/>
      <c r="J378" s="60"/>
      <c r="K378" s="64"/>
      <c r="L378" s="64"/>
      <c r="M378" s="25"/>
      <c r="N378" s="25"/>
    </row>
    <row r="379" spans="1:14">
      <c r="A379" s="3" t="s">
        <v>716</v>
      </c>
      <c r="B379" s="4" t="s">
        <v>717</v>
      </c>
      <c r="C379" s="5">
        <f t="shared" si="11"/>
        <v>0</v>
      </c>
      <c r="D379" s="5"/>
      <c r="E379" s="6">
        <f t="shared" si="10"/>
        <v>0</v>
      </c>
      <c r="F379" s="6">
        <f t="shared" si="10"/>
        <v>0</v>
      </c>
      <c r="G379" s="62"/>
      <c r="H379" s="62"/>
      <c r="I379" s="60"/>
      <c r="J379" s="60"/>
      <c r="K379" s="64"/>
      <c r="L379" s="64"/>
      <c r="M379" s="25"/>
      <c r="N379" s="25"/>
    </row>
    <row r="380" spans="1:14">
      <c r="A380" s="3" t="s">
        <v>718</v>
      </c>
      <c r="B380" s="4" t="s">
        <v>719</v>
      </c>
      <c r="C380" s="5">
        <f t="shared" si="11"/>
        <v>0</v>
      </c>
      <c r="D380" s="5"/>
      <c r="E380" s="6">
        <f t="shared" si="10"/>
        <v>0</v>
      </c>
      <c r="F380" s="6">
        <f t="shared" si="10"/>
        <v>0</v>
      </c>
      <c r="G380" s="62"/>
      <c r="H380" s="62"/>
      <c r="I380" s="60"/>
      <c r="J380" s="60"/>
      <c r="K380" s="64"/>
      <c r="L380" s="64"/>
      <c r="M380" s="25"/>
      <c r="N380" s="25"/>
    </row>
    <row r="381" spans="1:14">
      <c r="A381" s="3" t="s">
        <v>720</v>
      </c>
      <c r="B381" s="4" t="s">
        <v>721</v>
      </c>
      <c r="C381" s="5">
        <f t="shared" si="11"/>
        <v>0</v>
      </c>
      <c r="D381" s="5"/>
      <c r="E381" s="6">
        <f t="shared" si="10"/>
        <v>0</v>
      </c>
      <c r="F381" s="6">
        <f t="shared" si="10"/>
        <v>0</v>
      </c>
      <c r="G381" s="62"/>
      <c r="H381" s="62"/>
      <c r="I381" s="60"/>
      <c r="J381" s="60"/>
      <c r="K381" s="64"/>
      <c r="L381" s="64"/>
      <c r="M381" s="25"/>
      <c r="N381" s="25"/>
    </row>
    <row r="382" spans="1:14">
      <c r="A382" s="3" t="s">
        <v>722</v>
      </c>
      <c r="B382" s="4" t="s">
        <v>723</v>
      </c>
      <c r="C382" s="5">
        <f t="shared" si="11"/>
        <v>0</v>
      </c>
      <c r="D382" s="5"/>
      <c r="E382" s="6">
        <f t="shared" si="10"/>
        <v>0</v>
      </c>
      <c r="F382" s="6">
        <f t="shared" si="10"/>
        <v>0</v>
      </c>
      <c r="G382" s="62"/>
      <c r="H382" s="62"/>
      <c r="I382" s="60"/>
      <c r="J382" s="60"/>
      <c r="K382" s="64"/>
      <c r="L382" s="64"/>
      <c r="M382" s="25"/>
      <c r="N382" s="25"/>
    </row>
    <row r="383" spans="1:14">
      <c r="A383" s="3" t="s">
        <v>724</v>
      </c>
      <c r="B383" s="4" t="s">
        <v>725</v>
      </c>
      <c r="C383" s="5">
        <f t="shared" si="11"/>
        <v>0</v>
      </c>
      <c r="D383" s="5"/>
      <c r="E383" s="6">
        <f t="shared" si="10"/>
        <v>0</v>
      </c>
      <c r="F383" s="6">
        <f t="shared" si="10"/>
        <v>0</v>
      </c>
      <c r="G383" s="62"/>
      <c r="H383" s="62"/>
      <c r="I383" s="60"/>
      <c r="J383" s="60"/>
      <c r="K383" s="64"/>
      <c r="L383" s="64"/>
      <c r="M383" s="25"/>
      <c r="N383" s="25"/>
    </row>
    <row r="384" spans="1:14">
      <c r="A384" s="3" t="s">
        <v>726</v>
      </c>
      <c r="B384" s="4" t="s">
        <v>727</v>
      </c>
      <c r="C384" s="5">
        <f t="shared" si="11"/>
        <v>0</v>
      </c>
      <c r="D384" s="5"/>
      <c r="E384" s="6">
        <f t="shared" si="10"/>
        <v>0</v>
      </c>
      <c r="F384" s="6">
        <f t="shared" si="10"/>
        <v>0</v>
      </c>
      <c r="G384" s="62"/>
      <c r="H384" s="62"/>
      <c r="I384" s="60"/>
      <c r="J384" s="60"/>
      <c r="K384" s="64"/>
      <c r="L384" s="64"/>
      <c r="M384" s="25"/>
      <c r="N384" s="25"/>
    </row>
    <row r="385" spans="1:14">
      <c r="A385" s="3" t="s">
        <v>728</v>
      </c>
      <c r="B385" s="4" t="s">
        <v>729</v>
      </c>
      <c r="C385" s="5">
        <f t="shared" si="11"/>
        <v>0</v>
      </c>
      <c r="D385" s="5"/>
      <c r="E385" s="6">
        <f t="shared" si="10"/>
        <v>0</v>
      </c>
      <c r="F385" s="6">
        <f t="shared" si="10"/>
        <v>0</v>
      </c>
      <c r="G385" s="62"/>
      <c r="H385" s="62"/>
      <c r="I385" s="60"/>
      <c r="J385" s="60"/>
      <c r="K385" s="64"/>
      <c r="L385" s="64"/>
      <c r="M385" s="25"/>
      <c r="N385" s="25"/>
    </row>
    <row r="386" spans="1:14">
      <c r="A386" s="3" t="s">
        <v>730</v>
      </c>
      <c r="B386" s="4" t="s">
        <v>731</v>
      </c>
      <c r="C386" s="5">
        <f t="shared" si="11"/>
        <v>0</v>
      </c>
      <c r="D386" s="5"/>
      <c r="E386" s="6">
        <f t="shared" si="10"/>
        <v>0</v>
      </c>
      <c r="F386" s="6">
        <f t="shared" si="10"/>
        <v>0</v>
      </c>
      <c r="G386" s="62"/>
      <c r="H386" s="62"/>
      <c r="I386" s="60"/>
      <c r="J386" s="60"/>
      <c r="K386" s="64"/>
      <c r="L386" s="64"/>
      <c r="M386" s="25"/>
      <c r="N386" s="25"/>
    </row>
    <row r="387" spans="1:14">
      <c r="A387" s="3" t="s">
        <v>732</v>
      </c>
      <c r="B387" s="4" t="s">
        <v>733</v>
      </c>
      <c r="C387" s="5">
        <f t="shared" si="11"/>
        <v>0</v>
      </c>
      <c r="D387" s="5"/>
      <c r="E387" s="6">
        <f t="shared" si="10"/>
        <v>0</v>
      </c>
      <c r="F387" s="6">
        <f t="shared" si="10"/>
        <v>0</v>
      </c>
      <c r="G387" s="62"/>
      <c r="H387" s="62"/>
      <c r="I387" s="60"/>
      <c r="J387" s="60"/>
      <c r="K387" s="64"/>
      <c r="L387" s="64"/>
      <c r="M387" s="25"/>
      <c r="N387" s="25"/>
    </row>
    <row r="388" spans="1:14">
      <c r="A388" s="3" t="s">
        <v>734</v>
      </c>
      <c r="B388" s="4" t="s">
        <v>735</v>
      </c>
      <c r="C388" s="5">
        <f t="shared" si="11"/>
        <v>0</v>
      </c>
      <c r="D388" s="5"/>
      <c r="E388" s="6">
        <f t="shared" si="10"/>
        <v>0</v>
      </c>
      <c r="F388" s="6">
        <f t="shared" si="10"/>
        <v>0</v>
      </c>
      <c r="G388" s="62"/>
      <c r="H388" s="62"/>
      <c r="I388" s="60"/>
      <c r="J388" s="60"/>
      <c r="K388" s="64"/>
      <c r="L388" s="64"/>
      <c r="M388" s="25"/>
      <c r="N388" s="25"/>
    </row>
    <row r="389" spans="1:14">
      <c r="A389" s="3" t="s">
        <v>736</v>
      </c>
      <c r="B389" s="4" t="s">
        <v>737</v>
      </c>
      <c r="C389" s="5">
        <f t="shared" si="11"/>
        <v>0</v>
      </c>
      <c r="D389" s="5"/>
      <c r="E389" s="6">
        <f t="shared" si="10"/>
        <v>0</v>
      </c>
      <c r="F389" s="6">
        <f t="shared" si="10"/>
        <v>0</v>
      </c>
      <c r="G389" s="62"/>
      <c r="H389" s="62"/>
      <c r="I389" s="60"/>
      <c r="J389" s="60"/>
      <c r="K389" s="64"/>
      <c r="L389" s="64"/>
      <c r="M389" s="25"/>
      <c r="N389" s="25"/>
    </row>
    <row r="390" spans="1:14">
      <c r="A390" s="3" t="s">
        <v>738</v>
      </c>
      <c r="B390" s="4" t="s">
        <v>739</v>
      </c>
      <c r="C390" s="5">
        <f t="shared" si="11"/>
        <v>0</v>
      </c>
      <c r="D390" s="5"/>
      <c r="E390" s="6">
        <f t="shared" si="10"/>
        <v>0</v>
      </c>
      <c r="F390" s="6">
        <f t="shared" si="10"/>
        <v>0</v>
      </c>
      <c r="G390" s="62"/>
      <c r="H390" s="62"/>
      <c r="I390" s="60"/>
      <c r="J390" s="60"/>
      <c r="K390" s="64"/>
      <c r="L390" s="64"/>
      <c r="M390" s="25"/>
      <c r="N390" s="25"/>
    </row>
    <row r="391" spans="1:14">
      <c r="A391" s="3" t="s">
        <v>740</v>
      </c>
      <c r="B391" s="4" t="s">
        <v>741</v>
      </c>
      <c r="C391" s="5">
        <f t="shared" si="11"/>
        <v>0</v>
      </c>
      <c r="D391" s="5"/>
      <c r="E391" s="6">
        <f t="shared" si="10"/>
        <v>0</v>
      </c>
      <c r="F391" s="6">
        <f t="shared" si="10"/>
        <v>0</v>
      </c>
      <c r="G391" s="62"/>
      <c r="H391" s="62"/>
      <c r="I391" s="60"/>
      <c r="J391" s="60"/>
      <c r="K391" s="64"/>
      <c r="L391" s="64"/>
      <c r="M391" s="25"/>
      <c r="N391" s="25"/>
    </row>
    <row r="392" spans="1:14">
      <c r="A392" s="3" t="s">
        <v>742</v>
      </c>
      <c r="B392" s="4" t="s">
        <v>743</v>
      </c>
      <c r="C392" s="5">
        <f t="shared" si="11"/>
        <v>0</v>
      </c>
      <c r="D392" s="5"/>
      <c r="E392" s="6">
        <f t="shared" si="10"/>
        <v>0</v>
      </c>
      <c r="F392" s="6">
        <f t="shared" si="10"/>
        <v>0</v>
      </c>
      <c r="G392" s="62"/>
      <c r="H392" s="62"/>
      <c r="I392" s="60"/>
      <c r="J392" s="60"/>
      <c r="K392" s="64"/>
      <c r="L392" s="64"/>
      <c r="M392" s="25"/>
      <c r="N392" s="25"/>
    </row>
    <row r="393" spans="1:14">
      <c r="A393" s="3" t="s">
        <v>744</v>
      </c>
      <c r="B393" s="4" t="s">
        <v>745</v>
      </c>
      <c r="C393" s="5">
        <f t="shared" si="11"/>
        <v>0</v>
      </c>
      <c r="D393" s="5"/>
      <c r="E393" s="6">
        <f t="shared" si="10"/>
        <v>0</v>
      </c>
      <c r="F393" s="6">
        <f t="shared" si="10"/>
        <v>0</v>
      </c>
      <c r="G393" s="62"/>
      <c r="H393" s="62"/>
      <c r="I393" s="60"/>
      <c r="J393" s="60"/>
      <c r="K393" s="64"/>
      <c r="L393" s="64"/>
      <c r="M393" s="25"/>
      <c r="N393" s="25"/>
    </row>
    <row r="394" spans="1:14">
      <c r="A394" s="3" t="s">
        <v>746</v>
      </c>
      <c r="B394" s="4" t="s">
        <v>747</v>
      </c>
      <c r="C394" s="5">
        <f t="shared" si="11"/>
        <v>0</v>
      </c>
      <c r="D394" s="5"/>
      <c r="E394" s="6">
        <f t="shared" si="10"/>
        <v>0</v>
      </c>
      <c r="F394" s="6">
        <f t="shared" si="10"/>
        <v>0</v>
      </c>
      <c r="G394" s="62"/>
      <c r="H394" s="62"/>
      <c r="I394" s="60"/>
      <c r="J394" s="60"/>
      <c r="K394" s="64"/>
      <c r="L394" s="64"/>
      <c r="M394" s="25"/>
      <c r="N394" s="25"/>
    </row>
    <row r="395" spans="1:14">
      <c r="A395" s="3" t="s">
        <v>748</v>
      </c>
      <c r="B395" s="4" t="s">
        <v>749</v>
      </c>
      <c r="C395" s="5">
        <f t="shared" si="11"/>
        <v>0</v>
      </c>
      <c r="D395" s="5"/>
      <c r="E395" s="6">
        <f t="shared" si="10"/>
        <v>0</v>
      </c>
      <c r="F395" s="6">
        <f t="shared" si="10"/>
        <v>0</v>
      </c>
      <c r="G395" s="62"/>
      <c r="H395" s="62"/>
      <c r="I395" s="60"/>
      <c r="J395" s="60"/>
      <c r="K395" s="64"/>
      <c r="L395" s="64"/>
      <c r="M395" s="25"/>
      <c r="N395" s="25"/>
    </row>
    <row r="396" spans="1:14">
      <c r="A396" s="3" t="s">
        <v>750</v>
      </c>
      <c r="B396" s="4" t="s">
        <v>751</v>
      </c>
      <c r="C396" s="5">
        <f t="shared" si="11"/>
        <v>0</v>
      </c>
      <c r="D396" s="5"/>
      <c r="E396" s="6">
        <f t="shared" si="10"/>
        <v>0</v>
      </c>
      <c r="F396" s="6">
        <f t="shared" si="10"/>
        <v>0</v>
      </c>
      <c r="G396" s="62"/>
      <c r="H396" s="62"/>
      <c r="I396" s="60"/>
      <c r="J396" s="60"/>
      <c r="K396" s="64"/>
      <c r="L396" s="64"/>
      <c r="M396" s="25"/>
      <c r="N396" s="25"/>
    </row>
    <row r="397" spans="1:14">
      <c r="A397" s="3" t="s">
        <v>752</v>
      </c>
      <c r="B397" s="4" t="s">
        <v>753</v>
      </c>
      <c r="C397" s="5">
        <f t="shared" si="11"/>
        <v>0</v>
      </c>
      <c r="D397" s="5"/>
      <c r="E397" s="6">
        <f t="shared" si="10"/>
        <v>0</v>
      </c>
      <c r="F397" s="6">
        <f t="shared" si="10"/>
        <v>0</v>
      </c>
      <c r="G397" s="62"/>
      <c r="H397" s="62"/>
      <c r="I397" s="60"/>
      <c r="J397" s="60"/>
      <c r="K397" s="64"/>
      <c r="L397" s="64"/>
      <c r="M397" s="25"/>
      <c r="N397" s="25"/>
    </row>
    <row r="398" spans="1:14">
      <c r="A398" s="3" t="s">
        <v>754</v>
      </c>
      <c r="B398" s="4" t="s">
        <v>755</v>
      </c>
      <c r="C398" s="5">
        <f t="shared" si="11"/>
        <v>0</v>
      </c>
      <c r="D398" s="5"/>
      <c r="E398" s="6">
        <f t="shared" ref="E398:F461" si="12">SUM(G398,I398,K398,M398)</f>
        <v>0</v>
      </c>
      <c r="F398" s="6">
        <f t="shared" si="12"/>
        <v>0</v>
      </c>
      <c r="G398" s="62"/>
      <c r="H398" s="62"/>
      <c r="I398" s="60"/>
      <c r="J398" s="60"/>
      <c r="K398" s="64"/>
      <c r="L398" s="64"/>
      <c r="M398" s="25"/>
      <c r="N398" s="25"/>
    </row>
    <row r="399" spans="1:14">
      <c r="A399" s="3" t="s">
        <v>756</v>
      </c>
      <c r="B399" s="4" t="s">
        <v>757</v>
      </c>
      <c r="C399" s="5">
        <f t="shared" si="11"/>
        <v>0</v>
      </c>
      <c r="D399" s="5"/>
      <c r="E399" s="6">
        <f t="shared" si="12"/>
        <v>0</v>
      </c>
      <c r="F399" s="6">
        <f t="shared" si="12"/>
        <v>0</v>
      </c>
      <c r="G399" s="62"/>
      <c r="H399" s="62"/>
      <c r="I399" s="60"/>
      <c r="J399" s="60"/>
      <c r="K399" s="64"/>
      <c r="L399" s="64"/>
      <c r="M399" s="25"/>
      <c r="N399" s="25"/>
    </row>
    <row r="400" spans="1:14">
      <c r="A400" s="3" t="s">
        <v>758</v>
      </c>
      <c r="B400" s="4" t="s">
        <v>759</v>
      </c>
      <c r="C400" s="5">
        <f t="shared" si="11"/>
        <v>0</v>
      </c>
      <c r="D400" s="5"/>
      <c r="E400" s="6">
        <f t="shared" si="12"/>
        <v>0</v>
      </c>
      <c r="F400" s="6">
        <f t="shared" si="12"/>
        <v>0</v>
      </c>
      <c r="G400" s="62"/>
      <c r="H400" s="62"/>
      <c r="I400" s="60"/>
      <c r="J400" s="60"/>
      <c r="K400" s="64"/>
      <c r="L400" s="64"/>
      <c r="M400" s="25"/>
      <c r="N400" s="25"/>
    </row>
    <row r="401" spans="1:14">
      <c r="A401" s="3" t="s">
        <v>760</v>
      </c>
      <c r="B401" s="4" t="s">
        <v>761</v>
      </c>
      <c r="C401" s="5">
        <f t="shared" si="11"/>
        <v>0</v>
      </c>
      <c r="D401" s="5"/>
      <c r="E401" s="6">
        <f t="shared" si="12"/>
        <v>0</v>
      </c>
      <c r="F401" s="6">
        <f t="shared" si="12"/>
        <v>0</v>
      </c>
      <c r="G401" s="62"/>
      <c r="H401" s="62"/>
      <c r="I401" s="60"/>
      <c r="J401" s="60"/>
      <c r="K401" s="64"/>
      <c r="L401" s="64"/>
      <c r="M401" s="25"/>
      <c r="N401" s="25"/>
    </row>
    <row r="402" spans="1:14">
      <c r="A402" s="3" t="s">
        <v>762</v>
      </c>
      <c r="B402" s="4" t="s">
        <v>763</v>
      </c>
      <c r="C402" s="5">
        <f t="shared" si="11"/>
        <v>0</v>
      </c>
      <c r="D402" s="5"/>
      <c r="E402" s="6">
        <f t="shared" si="12"/>
        <v>0</v>
      </c>
      <c r="F402" s="6">
        <f t="shared" si="12"/>
        <v>0</v>
      </c>
      <c r="G402" s="62"/>
      <c r="H402" s="62"/>
      <c r="I402" s="60"/>
      <c r="J402" s="60"/>
      <c r="K402" s="64"/>
      <c r="L402" s="64"/>
      <c r="M402" s="25"/>
      <c r="N402" s="25"/>
    </row>
    <row r="403" spans="1:14">
      <c r="A403" s="3" t="s">
        <v>764</v>
      </c>
      <c r="B403" s="4" t="s">
        <v>765</v>
      </c>
      <c r="C403" s="5">
        <f t="shared" si="11"/>
        <v>0</v>
      </c>
      <c r="D403" s="5"/>
      <c r="E403" s="6">
        <f t="shared" si="12"/>
        <v>0</v>
      </c>
      <c r="F403" s="6">
        <f t="shared" si="12"/>
        <v>0</v>
      </c>
      <c r="G403" s="62"/>
      <c r="H403" s="62"/>
      <c r="I403" s="60"/>
      <c r="J403" s="60"/>
      <c r="K403" s="64"/>
      <c r="L403" s="64"/>
      <c r="M403" s="25"/>
      <c r="N403" s="25"/>
    </row>
    <row r="404" spans="1:14">
      <c r="A404" s="3" t="s">
        <v>766</v>
      </c>
      <c r="B404" s="4" t="s">
        <v>767</v>
      </c>
      <c r="C404" s="5">
        <f t="shared" si="11"/>
        <v>0</v>
      </c>
      <c r="D404" s="5"/>
      <c r="E404" s="6">
        <f t="shared" si="12"/>
        <v>0</v>
      </c>
      <c r="F404" s="6">
        <f t="shared" si="12"/>
        <v>0</v>
      </c>
      <c r="G404" s="62"/>
      <c r="H404" s="62"/>
      <c r="I404" s="60"/>
      <c r="J404" s="60"/>
      <c r="K404" s="64"/>
      <c r="L404" s="64"/>
      <c r="M404" s="25"/>
      <c r="N404" s="25"/>
    </row>
    <row r="405" spans="1:14">
      <c r="A405" s="3" t="s">
        <v>768</v>
      </c>
      <c r="B405" s="4" t="s">
        <v>769</v>
      </c>
      <c r="C405" s="5">
        <f t="shared" si="11"/>
        <v>0</v>
      </c>
      <c r="D405" s="5"/>
      <c r="E405" s="6">
        <f t="shared" si="12"/>
        <v>0</v>
      </c>
      <c r="F405" s="6">
        <f t="shared" si="12"/>
        <v>0</v>
      </c>
      <c r="G405" s="62"/>
      <c r="H405" s="62"/>
      <c r="I405" s="60"/>
      <c r="J405" s="60"/>
      <c r="K405" s="64"/>
      <c r="L405" s="64"/>
      <c r="M405" s="25"/>
      <c r="N405" s="25"/>
    </row>
    <row r="406" spans="1:14">
      <c r="A406" s="3" t="s">
        <v>770</v>
      </c>
      <c r="B406" s="4" t="s">
        <v>771</v>
      </c>
      <c r="C406" s="5">
        <f t="shared" si="11"/>
        <v>0</v>
      </c>
      <c r="D406" s="5"/>
      <c r="E406" s="6">
        <f t="shared" si="12"/>
        <v>0</v>
      </c>
      <c r="F406" s="6">
        <f t="shared" si="12"/>
        <v>0</v>
      </c>
      <c r="G406" s="62"/>
      <c r="H406" s="62"/>
      <c r="I406" s="60"/>
      <c r="J406" s="60"/>
      <c r="K406" s="64"/>
      <c r="L406" s="64"/>
      <c r="M406" s="25"/>
      <c r="N406" s="25"/>
    </row>
    <row r="407" spans="1:14">
      <c r="A407" s="3" t="s">
        <v>772</v>
      </c>
      <c r="B407" s="4" t="s">
        <v>773</v>
      </c>
      <c r="C407" s="5">
        <f t="shared" si="11"/>
        <v>0</v>
      </c>
      <c r="D407" s="5"/>
      <c r="E407" s="6">
        <f t="shared" si="12"/>
        <v>0</v>
      </c>
      <c r="F407" s="6">
        <f t="shared" si="12"/>
        <v>0</v>
      </c>
      <c r="G407" s="62"/>
      <c r="H407" s="62"/>
      <c r="I407" s="60"/>
      <c r="J407" s="60"/>
      <c r="K407" s="64"/>
      <c r="L407" s="64"/>
      <c r="M407" s="25"/>
      <c r="N407" s="25"/>
    </row>
    <row r="408" spans="1:14">
      <c r="A408" s="3" t="s">
        <v>774</v>
      </c>
      <c r="B408" s="4" t="s">
        <v>775</v>
      </c>
      <c r="C408" s="5">
        <f t="shared" si="11"/>
        <v>0</v>
      </c>
      <c r="D408" s="5"/>
      <c r="E408" s="6">
        <f t="shared" si="12"/>
        <v>0</v>
      </c>
      <c r="F408" s="6">
        <f t="shared" si="12"/>
        <v>0</v>
      </c>
      <c r="G408" s="62"/>
      <c r="H408" s="62"/>
      <c r="I408" s="60"/>
      <c r="J408" s="60"/>
      <c r="K408" s="64"/>
      <c r="L408" s="64"/>
      <c r="M408" s="25"/>
      <c r="N408" s="25"/>
    </row>
    <row r="409" spans="1:14">
      <c r="A409" s="3" t="s">
        <v>776</v>
      </c>
      <c r="B409" s="4" t="s">
        <v>777</v>
      </c>
      <c r="C409" s="5">
        <f t="shared" ref="C409:C461" si="13">E409-F409</f>
        <v>0</v>
      </c>
      <c r="D409" s="5"/>
      <c r="E409" s="6">
        <f t="shared" si="12"/>
        <v>0</v>
      </c>
      <c r="F409" s="6">
        <f t="shared" si="12"/>
        <v>0</v>
      </c>
      <c r="G409" s="62"/>
      <c r="H409" s="62"/>
      <c r="I409" s="60"/>
      <c r="J409" s="60"/>
      <c r="K409" s="64"/>
      <c r="L409" s="64"/>
      <c r="M409" s="25"/>
      <c r="N409" s="25"/>
    </row>
    <row r="410" spans="1:14">
      <c r="A410" s="3" t="s">
        <v>778</v>
      </c>
      <c r="B410" s="4" t="s">
        <v>779</v>
      </c>
      <c r="C410" s="5">
        <f t="shared" si="13"/>
        <v>0</v>
      </c>
      <c r="D410" s="5"/>
      <c r="E410" s="6">
        <f t="shared" si="12"/>
        <v>0</v>
      </c>
      <c r="F410" s="6">
        <f t="shared" si="12"/>
        <v>0</v>
      </c>
      <c r="G410" s="62"/>
      <c r="H410" s="62"/>
      <c r="I410" s="60"/>
      <c r="J410" s="60"/>
      <c r="K410" s="64"/>
      <c r="L410" s="64"/>
      <c r="M410" s="25"/>
      <c r="N410" s="25"/>
    </row>
    <row r="411" spans="1:14">
      <c r="A411" s="3" t="s">
        <v>780</v>
      </c>
      <c r="B411" s="4" t="s">
        <v>781</v>
      </c>
      <c r="C411" s="5">
        <f t="shared" si="13"/>
        <v>0</v>
      </c>
      <c r="D411" s="5"/>
      <c r="E411" s="6">
        <f t="shared" si="12"/>
        <v>0</v>
      </c>
      <c r="F411" s="6">
        <f t="shared" si="12"/>
        <v>0</v>
      </c>
      <c r="G411" s="62"/>
      <c r="H411" s="62"/>
      <c r="I411" s="60"/>
      <c r="J411" s="60"/>
      <c r="K411" s="64"/>
      <c r="L411" s="64"/>
      <c r="M411" s="25"/>
      <c r="N411" s="25"/>
    </row>
    <row r="412" spans="1:14">
      <c r="A412" s="3" t="s">
        <v>782</v>
      </c>
      <c r="B412" s="4" t="s">
        <v>783</v>
      </c>
      <c r="C412" s="5">
        <f t="shared" si="13"/>
        <v>0</v>
      </c>
      <c r="D412" s="5"/>
      <c r="E412" s="6">
        <f t="shared" si="12"/>
        <v>0</v>
      </c>
      <c r="F412" s="6">
        <f t="shared" si="12"/>
        <v>0</v>
      </c>
      <c r="G412" s="62"/>
      <c r="H412" s="62"/>
      <c r="I412" s="60"/>
      <c r="J412" s="60"/>
      <c r="K412" s="64"/>
      <c r="L412" s="64"/>
      <c r="M412" s="25"/>
      <c r="N412" s="25"/>
    </row>
    <row r="413" spans="1:14">
      <c r="A413" s="3" t="s">
        <v>784</v>
      </c>
      <c r="B413" s="4" t="s">
        <v>785</v>
      </c>
      <c r="C413" s="5">
        <f t="shared" si="13"/>
        <v>0</v>
      </c>
      <c r="D413" s="5"/>
      <c r="E413" s="6">
        <f t="shared" si="12"/>
        <v>0</v>
      </c>
      <c r="F413" s="6">
        <f t="shared" si="12"/>
        <v>0</v>
      </c>
      <c r="G413" s="62"/>
      <c r="H413" s="62"/>
      <c r="I413" s="60"/>
      <c r="J413" s="60"/>
      <c r="K413" s="64"/>
      <c r="L413" s="64"/>
      <c r="M413" s="25"/>
      <c r="N413" s="25"/>
    </row>
    <row r="414" spans="1:14">
      <c r="A414" s="3" t="s">
        <v>786</v>
      </c>
      <c r="B414" s="4" t="s">
        <v>787</v>
      </c>
      <c r="C414" s="5">
        <f t="shared" si="13"/>
        <v>0</v>
      </c>
      <c r="D414" s="5"/>
      <c r="E414" s="6">
        <f t="shared" si="12"/>
        <v>0</v>
      </c>
      <c r="F414" s="6">
        <f t="shared" si="12"/>
        <v>0</v>
      </c>
      <c r="G414" s="62"/>
      <c r="H414" s="62"/>
      <c r="I414" s="60"/>
      <c r="J414" s="60"/>
      <c r="K414" s="64"/>
      <c r="L414" s="64"/>
      <c r="M414" s="25"/>
      <c r="N414" s="25"/>
    </row>
    <row r="415" spans="1:14">
      <c r="A415" s="3" t="s">
        <v>788</v>
      </c>
      <c r="B415" s="4" t="s">
        <v>789</v>
      </c>
      <c r="C415" s="5">
        <f t="shared" si="13"/>
        <v>0</v>
      </c>
      <c r="D415" s="5"/>
      <c r="E415" s="6">
        <f t="shared" si="12"/>
        <v>0</v>
      </c>
      <c r="F415" s="6">
        <f t="shared" si="12"/>
        <v>0</v>
      </c>
      <c r="G415" s="62"/>
      <c r="H415" s="62"/>
      <c r="I415" s="60"/>
      <c r="J415" s="60"/>
      <c r="K415" s="64"/>
      <c r="L415" s="64"/>
      <c r="M415" s="25"/>
      <c r="N415" s="25"/>
    </row>
    <row r="416" spans="1:14">
      <c r="A416" s="3" t="s">
        <v>790</v>
      </c>
      <c r="B416" s="4" t="s">
        <v>791</v>
      </c>
      <c r="C416" s="5">
        <f t="shared" si="13"/>
        <v>0</v>
      </c>
      <c r="D416" s="5"/>
      <c r="E416" s="6">
        <f t="shared" si="12"/>
        <v>0</v>
      </c>
      <c r="F416" s="6">
        <f t="shared" si="12"/>
        <v>0</v>
      </c>
      <c r="G416" s="62"/>
      <c r="H416" s="62"/>
      <c r="I416" s="60"/>
      <c r="J416" s="60"/>
      <c r="K416" s="64"/>
      <c r="L416" s="64"/>
      <c r="M416" s="25"/>
      <c r="N416" s="25"/>
    </row>
    <row r="417" spans="1:14">
      <c r="A417" s="3" t="s">
        <v>792</v>
      </c>
      <c r="B417" s="4" t="s">
        <v>793</v>
      </c>
      <c r="C417" s="5">
        <f t="shared" si="13"/>
        <v>0</v>
      </c>
      <c r="D417" s="5"/>
      <c r="E417" s="6">
        <f t="shared" si="12"/>
        <v>0</v>
      </c>
      <c r="F417" s="6">
        <f t="shared" si="12"/>
        <v>0</v>
      </c>
      <c r="G417" s="62"/>
      <c r="H417" s="62"/>
      <c r="I417" s="60"/>
      <c r="J417" s="60"/>
      <c r="K417" s="64"/>
      <c r="L417" s="64"/>
      <c r="M417" s="25"/>
      <c r="N417" s="25"/>
    </row>
    <row r="418" spans="1:14">
      <c r="A418" s="3" t="s">
        <v>794</v>
      </c>
      <c r="B418" s="4" t="s">
        <v>795</v>
      </c>
      <c r="C418" s="5">
        <f t="shared" si="13"/>
        <v>0</v>
      </c>
      <c r="D418" s="5"/>
      <c r="E418" s="6">
        <f t="shared" si="12"/>
        <v>0</v>
      </c>
      <c r="F418" s="6">
        <f t="shared" si="12"/>
        <v>0</v>
      </c>
      <c r="G418" s="62"/>
      <c r="H418" s="62"/>
      <c r="I418" s="60"/>
      <c r="J418" s="60"/>
      <c r="K418" s="64"/>
      <c r="L418" s="64"/>
      <c r="M418" s="25"/>
      <c r="N418" s="25"/>
    </row>
    <row r="419" spans="1:14">
      <c r="A419" s="3" t="s">
        <v>796</v>
      </c>
      <c r="B419" s="4" t="s">
        <v>797</v>
      </c>
      <c r="C419" s="5">
        <f t="shared" si="13"/>
        <v>0</v>
      </c>
      <c r="D419" s="5"/>
      <c r="E419" s="6">
        <f t="shared" si="12"/>
        <v>0</v>
      </c>
      <c r="F419" s="6">
        <f t="shared" si="12"/>
        <v>0</v>
      </c>
      <c r="G419" s="62"/>
      <c r="H419" s="62"/>
      <c r="I419" s="60"/>
      <c r="J419" s="60"/>
      <c r="K419" s="64"/>
      <c r="L419" s="64"/>
      <c r="M419" s="25"/>
      <c r="N419" s="25"/>
    </row>
    <row r="420" spans="1:14">
      <c r="A420" s="3" t="s">
        <v>798</v>
      </c>
      <c r="B420" s="4" t="s">
        <v>799</v>
      </c>
      <c r="C420" s="5">
        <f t="shared" si="13"/>
        <v>0</v>
      </c>
      <c r="D420" s="5"/>
      <c r="E420" s="6">
        <f t="shared" si="12"/>
        <v>0</v>
      </c>
      <c r="F420" s="6">
        <f t="shared" si="12"/>
        <v>0</v>
      </c>
      <c r="G420" s="62"/>
      <c r="H420" s="62"/>
      <c r="I420" s="60"/>
      <c r="J420" s="60"/>
      <c r="K420" s="64"/>
      <c r="L420" s="64"/>
      <c r="M420" s="25"/>
      <c r="N420" s="25"/>
    </row>
    <row r="421" spans="1:14">
      <c r="A421" s="3" t="s">
        <v>800</v>
      </c>
      <c r="B421" s="4" t="s">
        <v>801</v>
      </c>
      <c r="C421" s="5">
        <f t="shared" si="13"/>
        <v>0</v>
      </c>
      <c r="D421" s="5"/>
      <c r="E421" s="6">
        <f t="shared" si="12"/>
        <v>0</v>
      </c>
      <c r="F421" s="6">
        <f t="shared" si="12"/>
        <v>0</v>
      </c>
      <c r="G421" s="62"/>
      <c r="H421" s="62"/>
      <c r="I421" s="60"/>
      <c r="J421" s="60"/>
      <c r="K421" s="64"/>
      <c r="L421" s="64"/>
      <c r="M421" s="25"/>
      <c r="N421" s="25"/>
    </row>
    <row r="422" spans="1:14">
      <c r="A422" s="3" t="s">
        <v>802</v>
      </c>
      <c r="B422" s="4" t="s">
        <v>803</v>
      </c>
      <c r="C422" s="5">
        <f t="shared" si="13"/>
        <v>0</v>
      </c>
      <c r="D422" s="5"/>
      <c r="E422" s="6">
        <f t="shared" si="12"/>
        <v>0</v>
      </c>
      <c r="F422" s="6">
        <f t="shared" si="12"/>
        <v>0</v>
      </c>
      <c r="G422" s="62"/>
      <c r="H422" s="62"/>
      <c r="I422" s="60"/>
      <c r="J422" s="60"/>
      <c r="K422" s="64"/>
      <c r="L422" s="64"/>
      <c r="M422" s="25"/>
      <c r="N422" s="25"/>
    </row>
    <row r="423" spans="1:14">
      <c r="A423" s="3" t="s">
        <v>804</v>
      </c>
      <c r="B423" s="4" t="s">
        <v>805</v>
      </c>
      <c r="C423" s="5">
        <f t="shared" si="13"/>
        <v>0</v>
      </c>
      <c r="D423" s="5"/>
      <c r="E423" s="6">
        <f t="shared" si="12"/>
        <v>0</v>
      </c>
      <c r="F423" s="6">
        <f t="shared" si="12"/>
        <v>0</v>
      </c>
      <c r="G423" s="62"/>
      <c r="H423" s="62"/>
      <c r="I423" s="60"/>
      <c r="J423" s="60"/>
      <c r="K423" s="64"/>
      <c r="L423" s="64"/>
      <c r="M423" s="25"/>
      <c r="N423" s="25"/>
    </row>
    <row r="424" spans="1:14">
      <c r="A424" s="3" t="s">
        <v>806</v>
      </c>
      <c r="B424" s="4" t="s">
        <v>807</v>
      </c>
      <c r="C424" s="5">
        <f t="shared" si="13"/>
        <v>0</v>
      </c>
      <c r="D424" s="5"/>
      <c r="E424" s="6">
        <f t="shared" si="12"/>
        <v>0</v>
      </c>
      <c r="F424" s="6">
        <f t="shared" si="12"/>
        <v>0</v>
      </c>
      <c r="G424" s="62"/>
      <c r="H424" s="62"/>
      <c r="I424" s="60"/>
      <c r="J424" s="60"/>
      <c r="K424" s="64"/>
      <c r="L424" s="64"/>
      <c r="M424" s="25"/>
      <c r="N424" s="25"/>
    </row>
    <row r="425" spans="1:14">
      <c r="A425" s="3" t="s">
        <v>808</v>
      </c>
      <c r="B425" s="4" t="s">
        <v>809</v>
      </c>
      <c r="C425" s="5">
        <f t="shared" si="13"/>
        <v>0</v>
      </c>
      <c r="D425" s="5"/>
      <c r="E425" s="6">
        <f t="shared" si="12"/>
        <v>0</v>
      </c>
      <c r="F425" s="6">
        <f t="shared" si="12"/>
        <v>0</v>
      </c>
      <c r="G425" s="62"/>
      <c r="H425" s="62"/>
      <c r="I425" s="60"/>
      <c r="J425" s="60"/>
      <c r="K425" s="64"/>
      <c r="L425" s="64"/>
      <c r="M425" s="25"/>
      <c r="N425" s="25"/>
    </row>
    <row r="426" spans="1:14">
      <c r="A426" s="3" t="s">
        <v>810</v>
      </c>
      <c r="B426" s="4" t="s">
        <v>811</v>
      </c>
      <c r="C426" s="5">
        <f t="shared" si="13"/>
        <v>0</v>
      </c>
      <c r="D426" s="5"/>
      <c r="E426" s="6">
        <f t="shared" si="12"/>
        <v>0</v>
      </c>
      <c r="F426" s="6">
        <f t="shared" si="12"/>
        <v>0</v>
      </c>
      <c r="G426" s="62"/>
      <c r="H426" s="62"/>
      <c r="I426" s="60"/>
      <c r="J426" s="60"/>
      <c r="K426" s="64"/>
      <c r="L426" s="64"/>
      <c r="M426" s="25"/>
      <c r="N426" s="25"/>
    </row>
    <row r="427" spans="1:14">
      <c r="A427" s="3" t="s">
        <v>812</v>
      </c>
      <c r="B427" s="4" t="s">
        <v>813</v>
      </c>
      <c r="C427" s="5">
        <f t="shared" si="13"/>
        <v>0</v>
      </c>
      <c r="D427" s="5"/>
      <c r="E427" s="6">
        <f t="shared" si="12"/>
        <v>0</v>
      </c>
      <c r="F427" s="6">
        <f t="shared" si="12"/>
        <v>0</v>
      </c>
      <c r="G427" s="62"/>
      <c r="H427" s="62"/>
      <c r="I427" s="60"/>
      <c r="J427" s="60"/>
      <c r="K427" s="64"/>
      <c r="L427" s="64"/>
      <c r="M427" s="25"/>
      <c r="N427" s="25"/>
    </row>
    <row r="428" spans="1:14">
      <c r="A428" s="3" t="s">
        <v>814</v>
      </c>
      <c r="B428" s="4" t="s">
        <v>815</v>
      </c>
      <c r="C428" s="5">
        <f t="shared" si="13"/>
        <v>0</v>
      </c>
      <c r="D428" s="5"/>
      <c r="E428" s="6">
        <f t="shared" si="12"/>
        <v>0</v>
      </c>
      <c r="F428" s="6">
        <f t="shared" si="12"/>
        <v>0</v>
      </c>
      <c r="G428" s="62"/>
      <c r="H428" s="62"/>
      <c r="I428" s="60"/>
      <c r="J428" s="60"/>
      <c r="K428" s="64"/>
      <c r="L428" s="64"/>
      <c r="M428" s="25"/>
      <c r="N428" s="25"/>
    </row>
    <row r="429" spans="1:14">
      <c r="A429" s="3" t="s">
        <v>816</v>
      </c>
      <c r="B429" s="4" t="s">
        <v>817</v>
      </c>
      <c r="C429" s="5">
        <f t="shared" si="13"/>
        <v>0</v>
      </c>
      <c r="D429" s="5"/>
      <c r="E429" s="6">
        <f t="shared" si="12"/>
        <v>0</v>
      </c>
      <c r="F429" s="6">
        <f t="shared" si="12"/>
        <v>0</v>
      </c>
      <c r="G429" s="62"/>
      <c r="H429" s="62"/>
      <c r="I429" s="60"/>
      <c r="J429" s="60"/>
      <c r="K429" s="64"/>
      <c r="L429" s="64"/>
      <c r="M429" s="25"/>
      <c r="N429" s="25"/>
    </row>
    <row r="430" spans="1:14">
      <c r="A430" s="3" t="s">
        <v>818</v>
      </c>
      <c r="B430" s="4" t="s">
        <v>819</v>
      </c>
      <c r="C430" s="5">
        <f t="shared" si="13"/>
        <v>0</v>
      </c>
      <c r="D430" s="5"/>
      <c r="E430" s="6">
        <f t="shared" si="12"/>
        <v>0</v>
      </c>
      <c r="F430" s="6">
        <f t="shared" si="12"/>
        <v>0</v>
      </c>
      <c r="G430" s="62"/>
      <c r="H430" s="62"/>
      <c r="I430" s="60"/>
      <c r="J430" s="60"/>
      <c r="K430" s="64"/>
      <c r="L430" s="64"/>
      <c r="M430" s="25"/>
      <c r="N430" s="25"/>
    </row>
    <row r="431" spans="1:14">
      <c r="A431" s="3" t="s">
        <v>820</v>
      </c>
      <c r="B431" s="4" t="s">
        <v>821</v>
      </c>
      <c r="C431" s="5">
        <f t="shared" si="13"/>
        <v>0</v>
      </c>
      <c r="D431" s="5"/>
      <c r="E431" s="6">
        <f t="shared" si="12"/>
        <v>0</v>
      </c>
      <c r="F431" s="6">
        <f t="shared" si="12"/>
        <v>0</v>
      </c>
      <c r="G431" s="62"/>
      <c r="H431" s="62"/>
      <c r="I431" s="60"/>
      <c r="J431" s="60"/>
      <c r="K431" s="64"/>
      <c r="L431" s="64"/>
      <c r="M431" s="25"/>
      <c r="N431" s="25"/>
    </row>
    <row r="432" spans="1:14">
      <c r="A432" s="3" t="s">
        <v>822</v>
      </c>
      <c r="B432" s="4" t="s">
        <v>823</v>
      </c>
      <c r="C432" s="5">
        <f t="shared" si="13"/>
        <v>0</v>
      </c>
      <c r="D432" s="5"/>
      <c r="E432" s="6">
        <f t="shared" si="12"/>
        <v>0</v>
      </c>
      <c r="F432" s="6">
        <f t="shared" si="12"/>
        <v>0</v>
      </c>
      <c r="G432" s="62"/>
      <c r="H432" s="62"/>
      <c r="I432" s="60"/>
      <c r="J432" s="60"/>
      <c r="K432" s="64"/>
      <c r="L432" s="64"/>
      <c r="M432" s="25"/>
      <c r="N432" s="25"/>
    </row>
    <row r="433" spans="1:14">
      <c r="A433" s="3" t="s">
        <v>824</v>
      </c>
      <c r="B433" s="4" t="s">
        <v>825</v>
      </c>
      <c r="C433" s="5">
        <f t="shared" si="13"/>
        <v>0</v>
      </c>
      <c r="D433" s="5"/>
      <c r="E433" s="6">
        <f t="shared" si="12"/>
        <v>0</v>
      </c>
      <c r="F433" s="6">
        <f t="shared" si="12"/>
        <v>0</v>
      </c>
      <c r="G433" s="62"/>
      <c r="H433" s="62"/>
      <c r="I433" s="60"/>
      <c r="J433" s="60"/>
      <c r="K433" s="64"/>
      <c r="L433" s="64"/>
      <c r="M433" s="25"/>
      <c r="N433" s="25"/>
    </row>
    <row r="434" spans="1:14">
      <c r="A434" s="3" t="s">
        <v>826</v>
      </c>
      <c r="B434" s="4" t="s">
        <v>827</v>
      </c>
      <c r="C434" s="5">
        <f t="shared" si="13"/>
        <v>0</v>
      </c>
      <c r="D434" s="5"/>
      <c r="E434" s="6">
        <f t="shared" si="12"/>
        <v>0</v>
      </c>
      <c r="F434" s="6">
        <f t="shared" si="12"/>
        <v>0</v>
      </c>
      <c r="G434" s="62"/>
      <c r="H434" s="62"/>
      <c r="I434" s="60"/>
      <c r="J434" s="60"/>
      <c r="K434" s="64"/>
      <c r="L434" s="64"/>
      <c r="M434" s="25"/>
      <c r="N434" s="25"/>
    </row>
    <row r="435" spans="1:14">
      <c r="A435" s="3" t="s">
        <v>828</v>
      </c>
      <c r="B435" s="4" t="s">
        <v>829</v>
      </c>
      <c r="C435" s="5">
        <f t="shared" si="13"/>
        <v>0</v>
      </c>
      <c r="D435" s="5"/>
      <c r="E435" s="6">
        <f t="shared" si="12"/>
        <v>0</v>
      </c>
      <c r="F435" s="6">
        <f t="shared" si="12"/>
        <v>0</v>
      </c>
      <c r="G435" s="62"/>
      <c r="H435" s="62"/>
      <c r="I435" s="60"/>
      <c r="J435" s="60"/>
      <c r="K435" s="64"/>
      <c r="L435" s="64"/>
      <c r="M435" s="25"/>
      <c r="N435" s="25"/>
    </row>
    <row r="436" spans="1:14">
      <c r="A436" s="3" t="s">
        <v>830</v>
      </c>
      <c r="B436" s="4" t="s">
        <v>831</v>
      </c>
      <c r="C436" s="5">
        <f t="shared" si="13"/>
        <v>0</v>
      </c>
      <c r="D436" s="5"/>
      <c r="E436" s="6">
        <f t="shared" si="12"/>
        <v>0</v>
      </c>
      <c r="F436" s="6">
        <f t="shared" si="12"/>
        <v>0</v>
      </c>
      <c r="G436" s="62"/>
      <c r="H436" s="62"/>
      <c r="I436" s="60"/>
      <c r="J436" s="60"/>
      <c r="K436" s="64"/>
      <c r="L436" s="64"/>
      <c r="M436" s="25"/>
      <c r="N436" s="25"/>
    </row>
    <row r="437" spans="1:14">
      <c r="A437" s="3" t="s">
        <v>832</v>
      </c>
      <c r="B437" s="4" t="s">
        <v>833</v>
      </c>
      <c r="C437" s="5">
        <f t="shared" si="13"/>
        <v>0</v>
      </c>
      <c r="D437" s="5"/>
      <c r="E437" s="6">
        <f t="shared" si="12"/>
        <v>0</v>
      </c>
      <c r="F437" s="6">
        <f t="shared" si="12"/>
        <v>0</v>
      </c>
      <c r="G437" s="62"/>
      <c r="H437" s="62"/>
      <c r="I437" s="60"/>
      <c r="J437" s="60"/>
      <c r="K437" s="64"/>
      <c r="L437" s="64"/>
      <c r="M437" s="25"/>
      <c r="N437" s="25"/>
    </row>
    <row r="438" spans="1:14">
      <c r="A438" s="3" t="s">
        <v>834</v>
      </c>
      <c r="B438" s="4" t="s">
        <v>835</v>
      </c>
      <c r="C438" s="5">
        <f t="shared" si="13"/>
        <v>0</v>
      </c>
      <c r="D438" s="5"/>
      <c r="E438" s="6">
        <f t="shared" si="12"/>
        <v>0</v>
      </c>
      <c r="F438" s="6">
        <f t="shared" si="12"/>
        <v>0</v>
      </c>
      <c r="G438" s="62"/>
      <c r="H438" s="62"/>
      <c r="I438" s="60"/>
      <c r="J438" s="60"/>
      <c r="K438" s="64"/>
      <c r="L438" s="64"/>
      <c r="M438" s="25"/>
      <c r="N438" s="25"/>
    </row>
    <row r="439" spans="1:14">
      <c r="A439" s="3" t="s">
        <v>836</v>
      </c>
      <c r="B439" s="4" t="s">
        <v>837</v>
      </c>
      <c r="C439" s="5">
        <f t="shared" si="13"/>
        <v>0</v>
      </c>
      <c r="D439" s="5"/>
      <c r="E439" s="6">
        <f t="shared" si="12"/>
        <v>0</v>
      </c>
      <c r="F439" s="6">
        <f t="shared" si="12"/>
        <v>0</v>
      </c>
      <c r="G439" s="62"/>
      <c r="H439" s="62"/>
      <c r="I439" s="60"/>
      <c r="J439" s="60"/>
      <c r="K439" s="64"/>
      <c r="L439" s="64"/>
      <c r="M439" s="25"/>
      <c r="N439" s="25"/>
    </row>
    <row r="440" spans="1:14">
      <c r="A440" s="3" t="s">
        <v>838</v>
      </c>
      <c r="B440" s="4" t="s">
        <v>839</v>
      </c>
      <c r="C440" s="5">
        <f t="shared" si="13"/>
        <v>0</v>
      </c>
      <c r="D440" s="5"/>
      <c r="E440" s="6">
        <f t="shared" si="12"/>
        <v>0</v>
      </c>
      <c r="F440" s="6">
        <f t="shared" si="12"/>
        <v>0</v>
      </c>
      <c r="G440" s="62"/>
      <c r="H440" s="62"/>
      <c r="I440" s="60"/>
      <c r="J440" s="60"/>
      <c r="K440" s="64"/>
      <c r="L440" s="64"/>
      <c r="M440" s="25"/>
      <c r="N440" s="25"/>
    </row>
    <row r="441" spans="1:14">
      <c r="A441" s="3" t="s">
        <v>840</v>
      </c>
      <c r="B441" s="4" t="s">
        <v>841</v>
      </c>
      <c r="C441" s="5">
        <f t="shared" si="13"/>
        <v>0</v>
      </c>
      <c r="D441" s="5"/>
      <c r="E441" s="6">
        <f t="shared" si="12"/>
        <v>0</v>
      </c>
      <c r="F441" s="6">
        <f t="shared" si="12"/>
        <v>0</v>
      </c>
      <c r="G441" s="62"/>
      <c r="H441" s="62"/>
      <c r="I441" s="60"/>
      <c r="J441" s="60"/>
      <c r="K441" s="64"/>
      <c r="L441" s="64"/>
      <c r="M441" s="25"/>
      <c r="N441" s="25"/>
    </row>
    <row r="442" spans="1:14">
      <c r="A442" s="3" t="s">
        <v>842</v>
      </c>
      <c r="B442" s="4" t="s">
        <v>843</v>
      </c>
      <c r="C442" s="5">
        <f t="shared" si="13"/>
        <v>0</v>
      </c>
      <c r="D442" s="5"/>
      <c r="E442" s="6">
        <f t="shared" si="12"/>
        <v>0</v>
      </c>
      <c r="F442" s="6">
        <f t="shared" si="12"/>
        <v>0</v>
      </c>
      <c r="G442" s="62"/>
      <c r="H442" s="62"/>
      <c r="I442" s="60"/>
      <c r="J442" s="60"/>
      <c r="K442" s="64"/>
      <c r="L442" s="64"/>
      <c r="M442" s="25"/>
      <c r="N442" s="25"/>
    </row>
    <row r="443" spans="1:14">
      <c r="A443" s="3" t="s">
        <v>844</v>
      </c>
      <c r="B443" s="4" t="s">
        <v>845</v>
      </c>
      <c r="C443" s="5">
        <f t="shared" si="13"/>
        <v>0</v>
      </c>
      <c r="D443" s="5"/>
      <c r="E443" s="6">
        <f t="shared" si="12"/>
        <v>0</v>
      </c>
      <c r="F443" s="6">
        <f t="shared" si="12"/>
        <v>0</v>
      </c>
      <c r="G443" s="62"/>
      <c r="H443" s="62"/>
      <c r="I443" s="60"/>
      <c r="J443" s="60"/>
      <c r="K443" s="64"/>
      <c r="L443" s="64"/>
      <c r="M443" s="25"/>
      <c r="N443" s="25"/>
    </row>
    <row r="444" spans="1:14">
      <c r="A444" s="3" t="s">
        <v>846</v>
      </c>
      <c r="B444" s="4" t="s">
        <v>847</v>
      </c>
      <c r="C444" s="5">
        <f t="shared" si="13"/>
        <v>0</v>
      </c>
      <c r="D444" s="5"/>
      <c r="E444" s="6">
        <f t="shared" si="12"/>
        <v>0</v>
      </c>
      <c r="F444" s="6">
        <f t="shared" si="12"/>
        <v>0</v>
      </c>
      <c r="G444" s="62"/>
      <c r="H444" s="62"/>
      <c r="I444" s="60"/>
      <c r="J444" s="60"/>
      <c r="K444" s="64"/>
      <c r="L444" s="64"/>
      <c r="M444" s="25"/>
      <c r="N444" s="25"/>
    </row>
    <row r="445" spans="1:14">
      <c r="A445" s="3" t="s">
        <v>848</v>
      </c>
      <c r="B445" s="4" t="s">
        <v>849</v>
      </c>
      <c r="C445" s="5">
        <f t="shared" si="13"/>
        <v>0</v>
      </c>
      <c r="D445" s="5"/>
      <c r="E445" s="6">
        <f t="shared" si="12"/>
        <v>0</v>
      </c>
      <c r="F445" s="6">
        <f t="shared" si="12"/>
        <v>0</v>
      </c>
      <c r="G445" s="62"/>
      <c r="H445" s="62"/>
      <c r="I445" s="60"/>
      <c r="J445" s="60"/>
      <c r="K445" s="64"/>
      <c r="L445" s="64"/>
      <c r="M445" s="25"/>
      <c r="N445" s="25"/>
    </row>
    <row r="446" spans="1:14">
      <c r="A446" s="3" t="s">
        <v>850</v>
      </c>
      <c r="B446" s="4" t="s">
        <v>851</v>
      </c>
      <c r="C446" s="5">
        <f t="shared" si="13"/>
        <v>0</v>
      </c>
      <c r="D446" s="5"/>
      <c r="E446" s="6">
        <f t="shared" si="12"/>
        <v>0</v>
      </c>
      <c r="F446" s="6">
        <f t="shared" si="12"/>
        <v>0</v>
      </c>
      <c r="G446" s="62"/>
      <c r="H446" s="62"/>
      <c r="I446" s="60"/>
      <c r="J446" s="60"/>
      <c r="K446" s="64"/>
      <c r="L446" s="64"/>
      <c r="M446" s="25"/>
      <c r="N446" s="25"/>
    </row>
    <row r="447" spans="1:14">
      <c r="A447" s="3" t="s">
        <v>852</v>
      </c>
      <c r="B447" s="4" t="s">
        <v>853</v>
      </c>
      <c r="C447" s="5">
        <f t="shared" si="13"/>
        <v>0</v>
      </c>
      <c r="D447" s="5"/>
      <c r="E447" s="6">
        <f t="shared" si="12"/>
        <v>0</v>
      </c>
      <c r="F447" s="6">
        <f t="shared" si="12"/>
        <v>0</v>
      </c>
      <c r="G447" s="62"/>
      <c r="H447" s="62"/>
      <c r="I447" s="60"/>
      <c r="J447" s="60"/>
      <c r="K447" s="64"/>
      <c r="L447" s="64"/>
      <c r="M447" s="25"/>
      <c r="N447" s="25"/>
    </row>
    <row r="448" spans="1:14">
      <c r="A448" s="3" t="s">
        <v>854</v>
      </c>
      <c r="B448" s="4">
        <v>954</v>
      </c>
      <c r="C448" s="5">
        <f t="shared" si="13"/>
        <v>0</v>
      </c>
      <c r="D448" s="5"/>
      <c r="E448" s="6">
        <f t="shared" si="12"/>
        <v>0</v>
      </c>
      <c r="F448" s="6">
        <f t="shared" si="12"/>
        <v>0</v>
      </c>
      <c r="G448" s="62"/>
      <c r="H448" s="62"/>
      <c r="I448" s="60"/>
      <c r="J448" s="60"/>
      <c r="K448" s="64"/>
      <c r="L448" s="64"/>
      <c r="M448" s="25"/>
      <c r="N448" s="25"/>
    </row>
    <row r="449" spans="1:14">
      <c r="A449" s="3" t="s">
        <v>855</v>
      </c>
      <c r="B449" s="4">
        <v>955</v>
      </c>
      <c r="C449" s="5">
        <f t="shared" si="13"/>
        <v>0</v>
      </c>
      <c r="D449" s="5"/>
      <c r="E449" s="6">
        <f t="shared" si="12"/>
        <v>0</v>
      </c>
      <c r="F449" s="6">
        <f t="shared" si="12"/>
        <v>0</v>
      </c>
      <c r="G449" s="62"/>
      <c r="H449" s="62"/>
      <c r="I449" s="60"/>
      <c r="J449" s="60"/>
      <c r="K449" s="64"/>
      <c r="L449" s="64"/>
      <c r="M449" s="25"/>
      <c r="N449" s="25"/>
    </row>
    <row r="450" spans="1:14">
      <c r="A450" s="3" t="s">
        <v>856</v>
      </c>
      <c r="B450" s="4" t="s">
        <v>857</v>
      </c>
      <c r="C450" s="5">
        <f t="shared" si="13"/>
        <v>0</v>
      </c>
      <c r="D450" s="5"/>
      <c r="E450" s="6">
        <f t="shared" si="12"/>
        <v>0</v>
      </c>
      <c r="F450" s="6">
        <f t="shared" si="12"/>
        <v>0</v>
      </c>
      <c r="G450" s="62"/>
      <c r="H450" s="62"/>
      <c r="I450" s="60"/>
      <c r="J450" s="60"/>
      <c r="K450" s="64"/>
      <c r="L450" s="64"/>
      <c r="M450" s="25"/>
      <c r="N450" s="25"/>
    </row>
    <row r="451" spans="1:14">
      <c r="A451" s="3" t="s">
        <v>858</v>
      </c>
      <c r="B451" s="4" t="s">
        <v>859</v>
      </c>
      <c r="C451" s="5">
        <f t="shared" si="13"/>
        <v>0</v>
      </c>
      <c r="D451" s="5"/>
      <c r="E451" s="6">
        <f t="shared" si="12"/>
        <v>0</v>
      </c>
      <c r="F451" s="6">
        <f t="shared" si="12"/>
        <v>0</v>
      </c>
      <c r="G451" s="62"/>
      <c r="H451" s="62"/>
      <c r="I451" s="60"/>
      <c r="J451" s="60"/>
      <c r="K451" s="64"/>
      <c r="L451" s="64"/>
      <c r="M451" s="25"/>
      <c r="N451" s="25"/>
    </row>
    <row r="452" spans="1:14">
      <c r="A452" s="3" t="s">
        <v>860</v>
      </c>
      <c r="B452" s="4" t="s">
        <v>861</v>
      </c>
      <c r="C452" s="5">
        <f t="shared" si="13"/>
        <v>0</v>
      </c>
      <c r="D452" s="5"/>
      <c r="E452" s="6">
        <f t="shared" si="12"/>
        <v>0</v>
      </c>
      <c r="F452" s="6">
        <f t="shared" si="12"/>
        <v>0</v>
      </c>
      <c r="G452" s="62"/>
      <c r="H452" s="62"/>
      <c r="I452" s="60"/>
      <c r="J452" s="60"/>
      <c r="K452" s="64"/>
      <c r="L452" s="64"/>
      <c r="M452" s="25"/>
      <c r="N452" s="25"/>
    </row>
    <row r="453" spans="1:14">
      <c r="A453" s="3" t="s">
        <v>862</v>
      </c>
      <c r="B453" s="4" t="s">
        <v>863</v>
      </c>
      <c r="C453" s="5">
        <f t="shared" si="13"/>
        <v>0</v>
      </c>
      <c r="D453" s="5"/>
      <c r="E453" s="6">
        <f t="shared" si="12"/>
        <v>0</v>
      </c>
      <c r="F453" s="6">
        <f t="shared" si="12"/>
        <v>0</v>
      </c>
      <c r="G453" s="62"/>
      <c r="H453" s="62"/>
      <c r="I453" s="60"/>
      <c r="J453" s="60"/>
      <c r="K453" s="64"/>
      <c r="L453" s="64"/>
      <c r="M453" s="25"/>
      <c r="N453" s="25"/>
    </row>
    <row r="454" spans="1:14">
      <c r="A454" s="3" t="s">
        <v>864</v>
      </c>
      <c r="B454" s="4" t="s">
        <v>865</v>
      </c>
      <c r="C454" s="5">
        <f t="shared" si="13"/>
        <v>0</v>
      </c>
      <c r="D454" s="5"/>
      <c r="E454" s="6">
        <f t="shared" si="12"/>
        <v>0</v>
      </c>
      <c r="F454" s="6">
        <f t="shared" si="12"/>
        <v>0</v>
      </c>
      <c r="G454" s="62"/>
      <c r="H454" s="62"/>
      <c r="I454" s="60"/>
      <c r="J454" s="60"/>
      <c r="K454" s="64"/>
      <c r="L454" s="64"/>
      <c r="M454" s="25"/>
      <c r="N454" s="25"/>
    </row>
    <row r="455" spans="1:14">
      <c r="A455" s="3" t="s">
        <v>866</v>
      </c>
      <c r="B455" s="4" t="s">
        <v>867</v>
      </c>
      <c r="C455" s="5">
        <f t="shared" si="13"/>
        <v>0</v>
      </c>
      <c r="D455" s="5"/>
      <c r="E455" s="6">
        <f t="shared" si="12"/>
        <v>0</v>
      </c>
      <c r="F455" s="6">
        <f t="shared" si="12"/>
        <v>0</v>
      </c>
      <c r="G455" s="62"/>
      <c r="H455" s="62"/>
      <c r="I455" s="60"/>
      <c r="J455" s="60"/>
      <c r="K455" s="64"/>
      <c r="L455" s="64"/>
      <c r="M455" s="25"/>
      <c r="N455" s="25"/>
    </row>
    <row r="456" spans="1:14">
      <c r="A456" s="3" t="s">
        <v>868</v>
      </c>
      <c r="B456" s="4" t="s">
        <v>869</v>
      </c>
      <c r="C456" s="5">
        <f t="shared" si="13"/>
        <v>0</v>
      </c>
      <c r="D456" s="5"/>
      <c r="E456" s="6">
        <f t="shared" si="12"/>
        <v>0</v>
      </c>
      <c r="F456" s="6">
        <f t="shared" si="12"/>
        <v>0</v>
      </c>
      <c r="G456" s="62"/>
      <c r="H456" s="62"/>
      <c r="I456" s="60"/>
      <c r="J456" s="60"/>
      <c r="K456" s="64"/>
      <c r="L456" s="64"/>
      <c r="M456" s="25"/>
      <c r="N456" s="25"/>
    </row>
    <row r="457" spans="1:14">
      <c r="A457" s="3" t="s">
        <v>870</v>
      </c>
      <c r="B457" s="4" t="s">
        <v>871</v>
      </c>
      <c r="C457" s="5">
        <f t="shared" si="13"/>
        <v>0</v>
      </c>
      <c r="D457" s="5"/>
      <c r="E457" s="6">
        <f t="shared" si="12"/>
        <v>0</v>
      </c>
      <c r="F457" s="6">
        <f t="shared" si="12"/>
        <v>0</v>
      </c>
      <c r="G457" s="62"/>
      <c r="H457" s="62"/>
      <c r="I457" s="60"/>
      <c r="J457" s="60"/>
      <c r="K457" s="64"/>
      <c r="L457" s="64"/>
      <c r="M457" s="25"/>
      <c r="N457" s="25"/>
    </row>
    <row r="458" spans="1:14">
      <c r="A458" s="3" t="s">
        <v>872</v>
      </c>
      <c r="B458" s="4" t="s">
        <v>873</v>
      </c>
      <c r="C458" s="5">
        <f t="shared" si="13"/>
        <v>0</v>
      </c>
      <c r="D458" s="5"/>
      <c r="E458" s="6">
        <f t="shared" si="12"/>
        <v>0</v>
      </c>
      <c r="F458" s="6">
        <f t="shared" si="12"/>
        <v>0</v>
      </c>
      <c r="G458" s="62"/>
      <c r="H458" s="62"/>
      <c r="I458" s="60"/>
      <c r="J458" s="60"/>
      <c r="K458" s="64"/>
      <c r="L458" s="64"/>
      <c r="M458" s="25"/>
      <c r="N458" s="25"/>
    </row>
    <row r="459" spans="1:14" s="67" customFormat="1" ht="15">
      <c r="A459" s="3" t="s">
        <v>874</v>
      </c>
      <c r="B459" s="4" t="s">
        <v>875</v>
      </c>
      <c r="C459" s="5">
        <f t="shared" si="13"/>
        <v>0</v>
      </c>
      <c r="D459" s="5"/>
      <c r="E459" s="6">
        <f t="shared" si="12"/>
        <v>0</v>
      </c>
      <c r="F459" s="6">
        <f t="shared" si="12"/>
        <v>0</v>
      </c>
      <c r="G459" s="62"/>
      <c r="H459" s="62"/>
      <c r="I459" s="60"/>
      <c r="J459" s="60"/>
      <c r="K459" s="64"/>
      <c r="L459" s="64"/>
      <c r="M459" s="25"/>
      <c r="N459" s="25"/>
    </row>
    <row r="460" spans="1:14">
      <c r="A460" s="3" t="s">
        <v>876</v>
      </c>
      <c r="B460" s="4" t="s">
        <v>877</v>
      </c>
      <c r="C460" s="5">
        <f t="shared" si="13"/>
        <v>0</v>
      </c>
      <c r="D460" s="5"/>
      <c r="E460" s="6">
        <f t="shared" si="12"/>
        <v>0</v>
      </c>
      <c r="F460" s="6">
        <f t="shared" si="12"/>
        <v>0</v>
      </c>
      <c r="G460" s="62"/>
      <c r="H460" s="62"/>
      <c r="I460" s="60"/>
      <c r="J460" s="60"/>
      <c r="K460" s="64"/>
      <c r="L460" s="64"/>
      <c r="M460" s="25"/>
      <c r="N460" s="25"/>
    </row>
    <row r="461" spans="1:14" s="1" customFormat="1">
      <c r="A461" s="3" t="s">
        <v>878</v>
      </c>
      <c r="B461" s="4" t="s">
        <v>879</v>
      </c>
      <c r="C461" s="5">
        <f t="shared" si="13"/>
        <v>0</v>
      </c>
      <c r="D461" s="5"/>
      <c r="E461" s="6">
        <f t="shared" si="12"/>
        <v>0</v>
      </c>
      <c r="F461" s="6">
        <f t="shared" si="12"/>
        <v>0</v>
      </c>
      <c r="G461" s="62"/>
      <c r="H461" s="62"/>
      <c r="I461" s="60"/>
      <c r="J461" s="60"/>
      <c r="K461" s="64"/>
      <c r="L461" s="64"/>
      <c r="M461" s="25"/>
      <c r="N461" s="25"/>
    </row>
    <row r="462" spans="1:14" ht="17.25">
      <c r="A462" s="13" t="s">
        <v>880</v>
      </c>
      <c r="B462" s="14"/>
      <c r="C462" s="15">
        <f>SUM(C13:C461)</f>
        <v>38628994.560000002</v>
      </c>
      <c r="D462" s="15">
        <f>SUM(D13:D461)</f>
        <v>38628994.560000002</v>
      </c>
      <c r="E462" s="16">
        <f>SUM(E13:E461)</f>
        <v>76376489.330000013</v>
      </c>
      <c r="F462" s="16">
        <f>SUM(F13:F461)</f>
        <v>76376489.329999998</v>
      </c>
      <c r="G462" s="71">
        <f>SUM(G13:G461)</f>
        <v>8846776.7300000004</v>
      </c>
      <c r="H462" s="71">
        <f t="shared" ref="H462:N462" si="14">SUM(H13:H461)</f>
        <v>8846776.7299999986</v>
      </c>
      <c r="I462" s="72">
        <f t="shared" si="14"/>
        <v>465304.48</v>
      </c>
      <c r="J462" s="72">
        <f t="shared" si="14"/>
        <v>465304.47999999992</v>
      </c>
      <c r="K462" s="73">
        <f t="shared" si="14"/>
        <v>50538699.840000011</v>
      </c>
      <c r="L462" s="73">
        <f t="shared" si="14"/>
        <v>50538699.840000011</v>
      </c>
      <c r="M462" s="74">
        <f t="shared" si="14"/>
        <v>16525708.280000001</v>
      </c>
      <c r="N462" s="74">
        <f t="shared" si="14"/>
        <v>16525708.280000001</v>
      </c>
    </row>
    <row r="463" spans="1:14" hidden="1">
      <c r="A463" s="17" t="s">
        <v>881</v>
      </c>
      <c r="B463" s="18"/>
    </row>
    <row r="464" spans="1:14" hidden="1">
      <c r="A464" s="20" t="s">
        <v>882</v>
      </c>
      <c r="B464" s="21"/>
    </row>
    <row r="465" spans="1:14" hidden="1">
      <c r="A465" s="20" t="s">
        <v>883</v>
      </c>
      <c r="B465" s="21"/>
    </row>
    <row r="466" spans="1:14" hidden="1">
      <c r="A466" s="22" t="s">
        <v>884</v>
      </c>
      <c r="B466" s="21"/>
    </row>
    <row r="467" spans="1:14" hidden="1">
      <c r="A467" s="22" t="s">
        <v>885</v>
      </c>
      <c r="B467" s="21"/>
    </row>
    <row r="468" spans="1:14" hidden="1">
      <c r="A468" s="20" t="s">
        <v>886</v>
      </c>
      <c r="B468" s="21"/>
    </row>
    <row r="469" spans="1:14" hidden="1">
      <c r="A469" s="20" t="s">
        <v>887</v>
      </c>
      <c r="B469" s="21"/>
    </row>
    <row r="470" spans="1:14" hidden="1">
      <c r="A470" s="20" t="s">
        <v>888</v>
      </c>
      <c r="B470" s="21"/>
    </row>
    <row r="471" spans="1:14" hidden="1">
      <c r="A471" s="22" t="s">
        <v>889</v>
      </c>
      <c r="B471" s="21"/>
    </row>
    <row r="472" spans="1:14" hidden="1">
      <c r="A472" s="22" t="s">
        <v>890</v>
      </c>
      <c r="B472" s="21"/>
    </row>
    <row r="473" spans="1:14" hidden="1">
      <c r="A473" s="20" t="s">
        <v>891</v>
      </c>
      <c r="B473" s="21"/>
    </row>
    <row r="474" spans="1:14" hidden="1">
      <c r="A474" s="20" t="s">
        <v>892</v>
      </c>
      <c r="B474" s="21"/>
    </row>
    <row r="475" spans="1:14">
      <c r="A475" s="23"/>
      <c r="B475" s="24"/>
      <c r="D475" s="19">
        <f>D462-C462</f>
        <v>0</v>
      </c>
      <c r="F475" s="19">
        <f>F462-E462</f>
        <v>0</v>
      </c>
      <c r="H475" s="19">
        <f>H462-G462</f>
        <v>0</v>
      </c>
      <c r="J475" s="19">
        <f>J462-I462</f>
        <v>0</v>
      </c>
      <c r="L475" s="19">
        <f>L462-K462</f>
        <v>0</v>
      </c>
      <c r="N475" s="19">
        <f>N462-M462</f>
        <v>0</v>
      </c>
    </row>
    <row r="476" spans="1:14">
      <c r="A476" s="23"/>
      <c r="B476" s="24"/>
    </row>
    <row r="477" spans="1:14">
      <c r="A477" s="23"/>
      <c r="B477" s="24"/>
    </row>
    <row r="478" spans="1:14">
      <c r="A478" s="23"/>
      <c r="B478" s="75" t="s">
        <v>893</v>
      </c>
    </row>
    <row r="479" spans="1:14">
      <c r="A479" s="23"/>
      <c r="B479" s="24"/>
    </row>
    <row r="480" spans="1:14">
      <c r="A480" s="23"/>
      <c r="B480" s="24"/>
    </row>
    <row r="481" spans="1:2">
      <c r="A481" s="23"/>
      <c r="B481" s="24"/>
    </row>
    <row r="482" spans="1:2">
      <c r="A482" s="23"/>
      <c r="B482" s="24"/>
    </row>
    <row r="483" spans="1:2">
      <c r="A483" s="23"/>
      <c r="B483" s="24"/>
    </row>
  </sheetData>
  <mergeCells count="28">
    <mergeCell ref="L11:L12"/>
    <mergeCell ref="M11:M12"/>
    <mergeCell ref="K9:L10"/>
    <mergeCell ref="M9:N10"/>
    <mergeCell ref="C10:D10"/>
    <mergeCell ref="F11:F12"/>
    <mergeCell ref="G11:G12"/>
    <mergeCell ref="I9:J10"/>
    <mergeCell ref="N11:N12"/>
    <mergeCell ref="H11:H12"/>
    <mergeCell ref="I11:I12"/>
    <mergeCell ref="J11:J12"/>
    <mergeCell ref="K11:K12"/>
    <mergeCell ref="A7:D7"/>
    <mergeCell ref="A8:D8"/>
    <mergeCell ref="E9:F10"/>
    <mergeCell ref="G9:H10"/>
    <mergeCell ref="A11:A12"/>
    <mergeCell ref="B11:B12"/>
    <mergeCell ref="C11:C12"/>
    <mergeCell ref="D11:D12"/>
    <mergeCell ref="E11:E12"/>
    <mergeCell ref="A6:D6"/>
    <mergeCell ref="A1:D1"/>
    <mergeCell ref="A2:D2"/>
    <mergeCell ref="A3:D3"/>
    <mergeCell ref="A4:D4"/>
    <mergeCell ref="A5:D5"/>
  </mergeCells>
  <printOptions horizontalCentered="1"/>
  <pageMargins left="1" right="1" top="1" bottom="1" header="0.5" footer="0.5"/>
  <pageSetup paperSize="149" scale="85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B050"/>
  </sheetPr>
  <dimension ref="A1:N483"/>
  <sheetViews>
    <sheetView workbookViewId="0">
      <selection sqref="A1:D1"/>
    </sheetView>
  </sheetViews>
  <sheetFormatPr defaultRowHeight="14.25"/>
  <cols>
    <col min="1" max="1" width="49.7109375" style="19" customWidth="1"/>
    <col min="2" max="2" width="9.7109375" style="69" customWidth="1"/>
    <col min="3" max="6" width="18.7109375" style="19" customWidth="1"/>
    <col min="7" max="7" width="20" style="19" customWidth="1"/>
    <col min="8" max="8" width="18.7109375" style="19" customWidth="1"/>
    <col min="9" max="9" width="20.28515625" style="19" bestFit="1" customWidth="1"/>
    <col min="10" max="10" width="18.7109375" style="19" customWidth="1"/>
    <col min="11" max="11" width="20" style="19" customWidth="1"/>
    <col min="12" max="12" width="18.7109375" style="19" customWidth="1"/>
    <col min="13" max="13" width="20.28515625" style="19" bestFit="1" customWidth="1"/>
    <col min="14" max="14" width="18.7109375" style="19" customWidth="1"/>
    <col min="15" max="16384" width="9.140625" style="19"/>
  </cols>
  <sheetData>
    <row r="1" spans="1:14">
      <c r="A1" s="238" t="s">
        <v>0</v>
      </c>
      <c r="B1" s="238"/>
      <c r="C1" s="238"/>
      <c r="D1" s="238"/>
    </row>
    <row r="2" spans="1:14">
      <c r="A2" s="238" t="s">
        <v>1</v>
      </c>
      <c r="B2" s="238"/>
      <c r="C2" s="238"/>
      <c r="D2" s="238"/>
    </row>
    <row r="3" spans="1:14">
      <c r="A3" s="238" t="s">
        <v>2</v>
      </c>
      <c r="B3" s="238"/>
      <c r="C3" s="238"/>
      <c r="D3" s="238"/>
    </row>
    <row r="4" spans="1:14">
      <c r="A4" s="238"/>
      <c r="B4" s="238"/>
      <c r="C4" s="238"/>
      <c r="D4" s="238"/>
    </row>
    <row r="5" spans="1:14" ht="15">
      <c r="A5" s="238" t="s">
        <v>3</v>
      </c>
      <c r="B5" s="239"/>
      <c r="C5" s="238"/>
      <c r="D5" s="238"/>
    </row>
    <row r="6" spans="1:14" ht="15">
      <c r="A6" s="238" t="s">
        <v>4</v>
      </c>
      <c r="B6" s="239"/>
      <c r="C6" s="238"/>
      <c r="D6" s="238"/>
    </row>
    <row r="7" spans="1:14">
      <c r="A7" s="238" t="s">
        <v>1012</v>
      </c>
      <c r="B7" s="240"/>
      <c r="C7" s="238"/>
      <c r="D7" s="238"/>
    </row>
    <row r="8" spans="1:14">
      <c r="A8" s="238"/>
      <c r="B8" s="240"/>
      <c r="C8" s="238"/>
      <c r="D8" s="238"/>
    </row>
    <row r="9" spans="1:14" s="67" customFormat="1" ht="15">
      <c r="A9" s="66"/>
      <c r="B9" s="66"/>
      <c r="E9" s="250" t="str">
        <f>A7</f>
        <v>As of September 30, 2011</v>
      </c>
      <c r="F9" s="251"/>
      <c r="G9" s="261" t="s">
        <v>10</v>
      </c>
      <c r="H9" s="262"/>
      <c r="I9" s="254" t="s">
        <v>1009</v>
      </c>
      <c r="J9" s="255"/>
      <c r="K9" s="265" t="s">
        <v>1010</v>
      </c>
      <c r="L9" s="265"/>
      <c r="M9" s="267" t="s">
        <v>11</v>
      </c>
      <c r="N9" s="267"/>
    </row>
    <row r="10" spans="1:14" ht="14.25" customHeight="1">
      <c r="A10" s="68"/>
      <c r="C10" s="241"/>
      <c r="D10" s="242"/>
      <c r="E10" s="252"/>
      <c r="F10" s="253"/>
      <c r="G10" s="263"/>
      <c r="H10" s="264"/>
      <c r="I10" s="256"/>
      <c r="J10" s="257"/>
      <c r="K10" s="265"/>
      <c r="L10" s="265"/>
      <c r="M10" s="267"/>
      <c r="N10" s="267"/>
    </row>
    <row r="11" spans="1:14" ht="15" customHeight="1">
      <c r="A11" s="243" t="s">
        <v>6</v>
      </c>
      <c r="B11" s="245" t="s">
        <v>7</v>
      </c>
      <c r="C11" s="243" t="s">
        <v>8</v>
      </c>
      <c r="D11" s="243" t="s">
        <v>9</v>
      </c>
      <c r="E11" s="247" t="s">
        <v>8</v>
      </c>
      <c r="F11" s="259" t="s">
        <v>9</v>
      </c>
      <c r="G11" s="249" t="s">
        <v>8</v>
      </c>
      <c r="H11" s="249" t="s">
        <v>9</v>
      </c>
      <c r="I11" s="258" t="s">
        <v>8</v>
      </c>
      <c r="J11" s="258" t="s">
        <v>9</v>
      </c>
      <c r="K11" s="266" t="s">
        <v>8</v>
      </c>
      <c r="L11" s="266" t="s">
        <v>9</v>
      </c>
      <c r="M11" s="268" t="s">
        <v>8</v>
      </c>
      <c r="N11" s="268" t="s">
        <v>9</v>
      </c>
    </row>
    <row r="12" spans="1:14">
      <c r="A12" s="244"/>
      <c r="B12" s="246"/>
      <c r="C12" s="244"/>
      <c r="D12" s="244"/>
      <c r="E12" s="248"/>
      <c r="F12" s="260"/>
      <c r="G12" s="249"/>
      <c r="H12" s="249"/>
      <c r="I12" s="258"/>
      <c r="J12" s="258"/>
      <c r="K12" s="266"/>
      <c r="L12" s="266"/>
      <c r="M12" s="268"/>
      <c r="N12" s="268"/>
    </row>
    <row r="13" spans="1:14">
      <c r="A13" s="3" t="s">
        <v>12</v>
      </c>
      <c r="B13" s="4">
        <v>101</v>
      </c>
      <c r="C13" s="5">
        <f>E13-F13</f>
        <v>0</v>
      </c>
      <c r="D13" s="5"/>
      <c r="E13" s="6">
        <f>SUM(G13,I13,K13,M13)</f>
        <v>0</v>
      </c>
      <c r="F13" s="6">
        <f>SUM(H13,J13,L13,N13)</f>
        <v>0</v>
      </c>
      <c r="G13" s="62"/>
      <c r="H13" s="62"/>
      <c r="I13" s="60"/>
      <c r="J13" s="60"/>
      <c r="K13" s="64"/>
      <c r="L13" s="64"/>
      <c r="M13" s="25"/>
      <c r="N13" s="25"/>
    </row>
    <row r="14" spans="1:14">
      <c r="A14" s="3" t="s">
        <v>13</v>
      </c>
      <c r="B14" s="4" t="s">
        <v>14</v>
      </c>
      <c r="C14" s="5">
        <f>E14-F14</f>
        <v>0</v>
      </c>
      <c r="D14" s="5"/>
      <c r="E14" s="6">
        <f t="shared" ref="E14:F77" si="0">SUM(G14,I14,K14,M14)</f>
        <v>0</v>
      </c>
      <c r="F14" s="6">
        <f t="shared" si="0"/>
        <v>0</v>
      </c>
      <c r="G14" s="62"/>
      <c r="H14" s="62"/>
      <c r="I14" s="60"/>
      <c r="J14" s="60"/>
      <c r="K14" s="64"/>
      <c r="L14" s="64"/>
      <c r="M14" s="25"/>
      <c r="N14" s="25"/>
    </row>
    <row r="15" spans="1:14">
      <c r="A15" s="3" t="s">
        <v>15</v>
      </c>
      <c r="B15" s="4" t="s">
        <v>16</v>
      </c>
      <c r="C15" s="5">
        <f>E15-F15</f>
        <v>0</v>
      </c>
      <c r="D15" s="5"/>
      <c r="E15" s="6">
        <f t="shared" si="0"/>
        <v>0</v>
      </c>
      <c r="F15" s="6">
        <f t="shared" si="0"/>
        <v>0</v>
      </c>
      <c r="G15" s="63"/>
      <c r="H15" s="63"/>
      <c r="I15" s="61"/>
      <c r="J15" s="61"/>
      <c r="K15" s="65"/>
      <c r="L15" s="65"/>
      <c r="M15" s="26"/>
      <c r="N15" s="26"/>
    </row>
    <row r="16" spans="1:14">
      <c r="A16" s="3" t="s">
        <v>17</v>
      </c>
      <c r="B16" s="4" t="s">
        <v>18</v>
      </c>
      <c r="C16" s="5">
        <f>E16-F16</f>
        <v>0</v>
      </c>
      <c r="D16" s="5"/>
      <c r="E16" s="6">
        <f t="shared" si="0"/>
        <v>0</v>
      </c>
      <c r="F16" s="6">
        <f t="shared" si="0"/>
        <v>0</v>
      </c>
      <c r="G16" s="62"/>
      <c r="H16" s="62"/>
      <c r="I16" s="60"/>
      <c r="J16" s="60"/>
      <c r="K16" s="64"/>
      <c r="L16" s="64"/>
      <c r="M16" s="25"/>
      <c r="N16" s="25"/>
    </row>
    <row r="17" spans="1:14">
      <c r="A17" s="3" t="s">
        <v>19</v>
      </c>
      <c r="B17" s="4" t="s">
        <v>20</v>
      </c>
      <c r="C17" s="7">
        <f>E17-F17</f>
        <v>0</v>
      </c>
      <c r="D17" s="7"/>
      <c r="E17" s="6">
        <f t="shared" si="0"/>
        <v>0</v>
      </c>
      <c r="F17" s="6">
        <f t="shared" si="0"/>
        <v>0</v>
      </c>
      <c r="G17" s="62"/>
      <c r="H17" s="62"/>
      <c r="I17" s="60"/>
      <c r="J17" s="60"/>
      <c r="K17" s="64"/>
      <c r="L17" s="64"/>
      <c r="M17" s="25"/>
      <c r="N17" s="25"/>
    </row>
    <row r="18" spans="1:14">
      <c r="A18" s="3" t="s">
        <v>21</v>
      </c>
      <c r="B18" s="4">
        <v>110</v>
      </c>
      <c r="C18" s="7">
        <f t="shared" ref="C18:C80" si="1">E18-F18</f>
        <v>0</v>
      </c>
      <c r="D18" s="7"/>
      <c r="E18" s="6">
        <f t="shared" si="0"/>
        <v>0</v>
      </c>
      <c r="F18" s="6">
        <f t="shared" si="0"/>
        <v>0</v>
      </c>
      <c r="G18" s="62"/>
      <c r="H18" s="62"/>
      <c r="I18" s="60"/>
      <c r="J18" s="60"/>
      <c r="K18" s="64"/>
      <c r="L18" s="64"/>
      <c r="M18" s="25"/>
      <c r="N18" s="25"/>
    </row>
    <row r="19" spans="1:14">
      <c r="A19" s="8" t="s">
        <v>22</v>
      </c>
      <c r="B19" s="4">
        <v>111</v>
      </c>
      <c r="C19" s="7">
        <f t="shared" si="1"/>
        <v>0</v>
      </c>
      <c r="D19" s="7"/>
      <c r="E19" s="6">
        <f t="shared" si="0"/>
        <v>0</v>
      </c>
      <c r="F19" s="6">
        <f t="shared" si="0"/>
        <v>0</v>
      </c>
      <c r="G19" s="62"/>
      <c r="H19" s="62"/>
      <c r="I19" s="60"/>
      <c r="J19" s="60"/>
      <c r="K19" s="64"/>
      <c r="L19" s="64"/>
      <c r="M19" s="25"/>
      <c r="N19" s="25"/>
    </row>
    <row r="20" spans="1:14">
      <c r="A20" s="8" t="s">
        <v>23</v>
      </c>
      <c r="B20" s="4">
        <v>112</v>
      </c>
      <c r="C20" s="7">
        <f t="shared" si="1"/>
        <v>0</v>
      </c>
      <c r="D20" s="7"/>
      <c r="E20" s="6">
        <f t="shared" si="0"/>
        <v>0</v>
      </c>
      <c r="F20" s="6">
        <f t="shared" si="0"/>
        <v>0</v>
      </c>
      <c r="G20" s="62"/>
      <c r="H20" s="62"/>
      <c r="I20" s="60"/>
      <c r="J20" s="60"/>
      <c r="K20" s="64"/>
      <c r="L20" s="64"/>
      <c r="M20" s="25"/>
      <c r="N20" s="25"/>
    </row>
    <row r="21" spans="1:14">
      <c r="A21" s="3" t="s">
        <v>24</v>
      </c>
      <c r="B21" s="4">
        <v>113</v>
      </c>
      <c r="C21" s="7">
        <f t="shared" si="1"/>
        <v>0</v>
      </c>
      <c r="D21" s="7"/>
      <c r="E21" s="6">
        <f t="shared" si="0"/>
        <v>0</v>
      </c>
      <c r="F21" s="6">
        <f t="shared" si="0"/>
        <v>0</v>
      </c>
      <c r="G21" s="62"/>
      <c r="H21" s="62"/>
      <c r="I21" s="60"/>
      <c r="J21" s="60"/>
      <c r="K21" s="64"/>
      <c r="L21" s="64"/>
      <c r="M21" s="25"/>
      <c r="N21" s="25"/>
    </row>
    <row r="22" spans="1:14">
      <c r="A22" s="3" t="s">
        <v>21</v>
      </c>
      <c r="B22" s="4">
        <v>114</v>
      </c>
      <c r="C22" s="7">
        <f t="shared" si="1"/>
        <v>0</v>
      </c>
      <c r="D22" s="7"/>
      <c r="E22" s="6">
        <f t="shared" si="0"/>
        <v>0</v>
      </c>
      <c r="F22" s="6">
        <f t="shared" si="0"/>
        <v>0</v>
      </c>
      <c r="G22" s="62"/>
      <c r="H22" s="62"/>
      <c r="I22" s="60"/>
      <c r="J22" s="60"/>
      <c r="K22" s="64"/>
      <c r="L22" s="64"/>
      <c r="M22" s="25"/>
      <c r="N22" s="25"/>
    </row>
    <row r="23" spans="1:14">
      <c r="A23" s="3" t="s">
        <v>25</v>
      </c>
      <c r="B23" s="4">
        <v>115</v>
      </c>
      <c r="C23" s="7">
        <f t="shared" si="1"/>
        <v>0</v>
      </c>
      <c r="D23" s="7"/>
      <c r="E23" s="6">
        <f t="shared" si="0"/>
        <v>0</v>
      </c>
      <c r="F23" s="6">
        <f t="shared" si="0"/>
        <v>0</v>
      </c>
      <c r="G23" s="62"/>
      <c r="H23" s="62"/>
      <c r="I23" s="60"/>
      <c r="J23" s="60"/>
      <c r="K23" s="64"/>
      <c r="L23" s="64"/>
      <c r="M23" s="25"/>
      <c r="N23" s="25"/>
    </row>
    <row r="24" spans="1:14">
      <c r="A24" s="3" t="s">
        <v>26</v>
      </c>
      <c r="B24" s="4" t="s">
        <v>27</v>
      </c>
      <c r="C24" s="7">
        <f t="shared" si="1"/>
        <v>0</v>
      </c>
      <c r="D24" s="7"/>
      <c r="E24" s="6">
        <f t="shared" si="0"/>
        <v>0</v>
      </c>
      <c r="F24" s="6">
        <f t="shared" si="0"/>
        <v>0</v>
      </c>
      <c r="G24" s="62"/>
      <c r="H24" s="62"/>
      <c r="I24" s="60"/>
      <c r="J24" s="60"/>
      <c r="K24" s="64"/>
      <c r="L24" s="64"/>
      <c r="M24" s="25"/>
      <c r="N24" s="25"/>
    </row>
    <row r="25" spans="1:14">
      <c r="A25" s="3" t="s">
        <v>28</v>
      </c>
      <c r="B25" s="4" t="s">
        <v>29</v>
      </c>
      <c r="C25" s="7">
        <f t="shared" si="1"/>
        <v>0</v>
      </c>
      <c r="D25" s="7"/>
      <c r="E25" s="6">
        <f t="shared" si="0"/>
        <v>0</v>
      </c>
      <c r="F25" s="6">
        <f t="shared" si="0"/>
        <v>0</v>
      </c>
      <c r="G25" s="62"/>
      <c r="H25" s="62"/>
      <c r="I25" s="60"/>
      <c r="J25" s="60"/>
      <c r="K25" s="64"/>
      <c r="L25" s="64"/>
      <c r="M25" s="25"/>
      <c r="N25" s="25"/>
    </row>
    <row r="26" spans="1:14">
      <c r="A26" s="3" t="s">
        <v>30</v>
      </c>
      <c r="B26" s="4" t="s">
        <v>31</v>
      </c>
      <c r="C26" s="7">
        <f t="shared" si="1"/>
        <v>0</v>
      </c>
      <c r="D26" s="7"/>
      <c r="E26" s="6">
        <f t="shared" si="0"/>
        <v>0</v>
      </c>
      <c r="F26" s="6">
        <f t="shared" si="0"/>
        <v>0</v>
      </c>
      <c r="G26" s="62"/>
      <c r="H26" s="62"/>
      <c r="I26" s="60"/>
      <c r="J26" s="60"/>
      <c r="K26" s="64"/>
      <c r="L26" s="64"/>
      <c r="M26" s="25"/>
      <c r="N26" s="25"/>
    </row>
    <row r="27" spans="1:14">
      <c r="A27" s="3" t="s">
        <v>32</v>
      </c>
      <c r="B27" s="4" t="s">
        <v>33</v>
      </c>
      <c r="C27" s="7">
        <f t="shared" si="1"/>
        <v>0</v>
      </c>
      <c r="D27" s="7"/>
      <c r="E27" s="6">
        <f t="shared" si="0"/>
        <v>0</v>
      </c>
      <c r="F27" s="6">
        <f t="shared" si="0"/>
        <v>0</v>
      </c>
      <c r="G27" s="62"/>
      <c r="H27" s="62"/>
      <c r="I27" s="60"/>
      <c r="J27" s="60"/>
      <c r="K27" s="64"/>
      <c r="L27" s="64"/>
      <c r="M27" s="25"/>
      <c r="N27" s="25"/>
    </row>
    <row r="28" spans="1:14">
      <c r="A28" s="3" t="s">
        <v>34</v>
      </c>
      <c r="B28" s="4" t="s">
        <v>35</v>
      </c>
      <c r="C28" s="7">
        <f t="shared" si="1"/>
        <v>0</v>
      </c>
      <c r="D28" s="7"/>
      <c r="E28" s="6">
        <f t="shared" si="0"/>
        <v>0</v>
      </c>
      <c r="F28" s="6">
        <f t="shared" si="0"/>
        <v>0</v>
      </c>
      <c r="G28" s="62"/>
      <c r="H28" s="62"/>
      <c r="I28" s="60"/>
      <c r="J28" s="60"/>
      <c r="K28" s="64"/>
      <c r="L28" s="64"/>
      <c r="M28" s="25"/>
      <c r="N28" s="25"/>
    </row>
    <row r="29" spans="1:14">
      <c r="A29" s="3" t="s">
        <v>36</v>
      </c>
      <c r="B29" s="4" t="s">
        <v>37</v>
      </c>
      <c r="C29" s="7">
        <f t="shared" si="1"/>
        <v>0</v>
      </c>
      <c r="D29" s="7"/>
      <c r="E29" s="6">
        <f t="shared" si="0"/>
        <v>0</v>
      </c>
      <c r="F29" s="6">
        <f t="shared" si="0"/>
        <v>0</v>
      </c>
      <c r="G29" s="62"/>
      <c r="H29" s="62"/>
      <c r="I29" s="60"/>
      <c r="J29" s="60"/>
      <c r="K29" s="64"/>
      <c r="L29" s="64"/>
      <c r="M29" s="25"/>
      <c r="N29" s="25"/>
    </row>
    <row r="30" spans="1:14">
      <c r="A30" s="3" t="s">
        <v>38</v>
      </c>
      <c r="B30" s="4" t="s">
        <v>39</v>
      </c>
      <c r="C30" s="7">
        <f t="shared" si="1"/>
        <v>0</v>
      </c>
      <c r="D30" s="7"/>
      <c r="E30" s="6">
        <f t="shared" si="0"/>
        <v>0</v>
      </c>
      <c r="F30" s="6">
        <f t="shared" si="0"/>
        <v>0</v>
      </c>
      <c r="G30" s="62"/>
      <c r="H30" s="62"/>
      <c r="I30" s="60"/>
      <c r="J30" s="60"/>
      <c r="K30" s="64"/>
      <c r="L30" s="64"/>
      <c r="M30" s="25"/>
      <c r="N30" s="25"/>
    </row>
    <row r="31" spans="1:14">
      <c r="A31" s="3" t="s">
        <v>40</v>
      </c>
      <c r="B31" s="4" t="s">
        <v>41</v>
      </c>
      <c r="C31" s="7">
        <f t="shared" si="1"/>
        <v>0</v>
      </c>
      <c r="D31" s="7"/>
      <c r="E31" s="6">
        <f t="shared" si="0"/>
        <v>0</v>
      </c>
      <c r="F31" s="6">
        <f t="shared" si="0"/>
        <v>0</v>
      </c>
      <c r="G31" s="62"/>
      <c r="H31" s="62"/>
      <c r="I31" s="60"/>
      <c r="J31" s="60"/>
      <c r="K31" s="64"/>
      <c r="L31" s="64"/>
      <c r="M31" s="25"/>
      <c r="N31" s="25"/>
    </row>
    <row r="32" spans="1:14">
      <c r="A32" s="3" t="s">
        <v>42</v>
      </c>
      <c r="B32" s="4" t="s">
        <v>43</v>
      </c>
      <c r="C32" s="7">
        <f t="shared" si="1"/>
        <v>0</v>
      </c>
      <c r="D32" s="7"/>
      <c r="E32" s="6">
        <f t="shared" si="0"/>
        <v>0</v>
      </c>
      <c r="F32" s="6">
        <f t="shared" si="0"/>
        <v>0</v>
      </c>
      <c r="G32" s="62"/>
      <c r="H32" s="62"/>
      <c r="I32" s="60"/>
      <c r="J32" s="60"/>
      <c r="K32" s="64"/>
      <c r="L32" s="64"/>
      <c r="M32" s="25"/>
      <c r="N32" s="25"/>
    </row>
    <row r="33" spans="1:14">
      <c r="A33" s="3" t="s">
        <v>44</v>
      </c>
      <c r="B33" s="4" t="s">
        <v>45</v>
      </c>
      <c r="C33" s="7">
        <f t="shared" si="1"/>
        <v>0</v>
      </c>
      <c r="D33" s="7"/>
      <c r="E33" s="6">
        <f t="shared" si="0"/>
        <v>0</v>
      </c>
      <c r="F33" s="6">
        <f t="shared" si="0"/>
        <v>0</v>
      </c>
      <c r="G33" s="62"/>
      <c r="H33" s="62"/>
      <c r="I33" s="60"/>
      <c r="J33" s="60"/>
      <c r="K33" s="64"/>
      <c r="L33" s="64"/>
      <c r="M33" s="25"/>
      <c r="N33" s="25"/>
    </row>
    <row r="34" spans="1:14">
      <c r="A34" s="3" t="s">
        <v>46</v>
      </c>
      <c r="B34" s="4" t="s">
        <v>47</v>
      </c>
      <c r="C34" s="7">
        <f t="shared" si="1"/>
        <v>0</v>
      </c>
      <c r="D34" s="7"/>
      <c r="E34" s="6">
        <f t="shared" si="0"/>
        <v>0</v>
      </c>
      <c r="F34" s="6">
        <f t="shared" si="0"/>
        <v>0</v>
      </c>
      <c r="G34" s="62"/>
      <c r="H34" s="62"/>
      <c r="I34" s="60"/>
      <c r="J34" s="60"/>
      <c r="K34" s="64"/>
      <c r="L34" s="64"/>
      <c r="M34" s="25"/>
      <c r="N34" s="25"/>
    </row>
    <row r="35" spans="1:14">
      <c r="A35" s="3" t="s">
        <v>48</v>
      </c>
      <c r="B35" s="4" t="s">
        <v>49</v>
      </c>
      <c r="C35" s="7">
        <f t="shared" si="1"/>
        <v>0</v>
      </c>
      <c r="D35" s="7"/>
      <c r="E35" s="6">
        <f t="shared" si="0"/>
        <v>0</v>
      </c>
      <c r="F35" s="6">
        <f t="shared" si="0"/>
        <v>0</v>
      </c>
      <c r="G35" s="62"/>
      <c r="H35" s="62"/>
      <c r="I35" s="60"/>
      <c r="J35" s="60"/>
      <c r="K35" s="64"/>
      <c r="L35" s="64"/>
      <c r="M35" s="25"/>
      <c r="N35" s="25"/>
    </row>
    <row r="36" spans="1:14">
      <c r="A36" s="3" t="s">
        <v>50</v>
      </c>
      <c r="B36" s="4" t="s">
        <v>51</v>
      </c>
      <c r="C36" s="7">
        <f t="shared" si="1"/>
        <v>0</v>
      </c>
      <c r="D36" s="7"/>
      <c r="E36" s="6">
        <f t="shared" si="0"/>
        <v>0</v>
      </c>
      <c r="F36" s="6">
        <f t="shared" si="0"/>
        <v>0</v>
      </c>
      <c r="G36" s="62"/>
      <c r="H36" s="62"/>
      <c r="I36" s="60"/>
      <c r="J36" s="60"/>
      <c r="K36" s="64"/>
      <c r="L36" s="64"/>
      <c r="M36" s="25"/>
      <c r="N36" s="25"/>
    </row>
    <row r="37" spans="1:14">
      <c r="A37" s="3" t="s">
        <v>52</v>
      </c>
      <c r="B37" s="4" t="s">
        <v>53</v>
      </c>
      <c r="C37" s="7">
        <f t="shared" si="1"/>
        <v>0</v>
      </c>
      <c r="D37" s="7"/>
      <c r="E37" s="6">
        <f t="shared" si="0"/>
        <v>0</v>
      </c>
      <c r="F37" s="6">
        <f t="shared" si="0"/>
        <v>0</v>
      </c>
      <c r="G37" s="62"/>
      <c r="H37" s="62"/>
      <c r="I37" s="60"/>
      <c r="J37" s="60"/>
      <c r="K37" s="64"/>
      <c r="L37" s="64"/>
      <c r="M37" s="25"/>
      <c r="N37" s="25"/>
    </row>
    <row r="38" spans="1:14">
      <c r="A38" s="3" t="s">
        <v>54</v>
      </c>
      <c r="B38" s="9">
        <v>138</v>
      </c>
      <c r="C38" s="7">
        <f t="shared" si="1"/>
        <v>0</v>
      </c>
      <c r="D38" s="7"/>
      <c r="E38" s="6">
        <f t="shared" si="0"/>
        <v>0</v>
      </c>
      <c r="F38" s="6">
        <f t="shared" si="0"/>
        <v>0</v>
      </c>
      <c r="G38" s="62"/>
      <c r="H38" s="62"/>
      <c r="I38" s="60"/>
      <c r="J38" s="60"/>
      <c r="K38" s="64"/>
      <c r="L38" s="64"/>
      <c r="M38" s="25"/>
      <c r="N38" s="25"/>
    </row>
    <row r="39" spans="1:14">
      <c r="A39" s="3" t="s">
        <v>55</v>
      </c>
      <c r="B39" s="4" t="s">
        <v>56</v>
      </c>
      <c r="C39" s="7">
        <f t="shared" si="1"/>
        <v>0</v>
      </c>
      <c r="D39" s="7"/>
      <c r="E39" s="6">
        <f t="shared" si="0"/>
        <v>0</v>
      </c>
      <c r="F39" s="6">
        <f t="shared" si="0"/>
        <v>0</v>
      </c>
      <c r="G39" s="62"/>
      <c r="H39" s="62"/>
      <c r="I39" s="60"/>
      <c r="J39" s="60"/>
      <c r="K39" s="64"/>
      <c r="L39" s="64"/>
      <c r="M39" s="25"/>
      <c r="N39" s="25"/>
    </row>
    <row r="40" spans="1:14">
      <c r="A40" s="3" t="s">
        <v>57</v>
      </c>
      <c r="B40" s="9">
        <v>144</v>
      </c>
      <c r="C40" s="7">
        <f t="shared" si="1"/>
        <v>0</v>
      </c>
      <c r="D40" s="7"/>
      <c r="E40" s="6">
        <f t="shared" si="0"/>
        <v>0</v>
      </c>
      <c r="F40" s="6">
        <f t="shared" si="0"/>
        <v>0</v>
      </c>
      <c r="G40" s="62"/>
      <c r="H40" s="62"/>
      <c r="I40" s="60"/>
      <c r="J40" s="60"/>
      <c r="K40" s="64"/>
      <c r="L40" s="64"/>
      <c r="M40" s="25"/>
      <c r="N40" s="25"/>
    </row>
    <row r="41" spans="1:14">
      <c r="A41" s="3" t="s">
        <v>58</v>
      </c>
      <c r="B41" s="4" t="s">
        <v>59</v>
      </c>
      <c r="C41" s="7">
        <f t="shared" si="1"/>
        <v>0</v>
      </c>
      <c r="D41" s="7"/>
      <c r="E41" s="6">
        <f t="shared" si="0"/>
        <v>0</v>
      </c>
      <c r="F41" s="6">
        <f t="shared" si="0"/>
        <v>0</v>
      </c>
      <c r="G41" s="62"/>
      <c r="H41" s="62"/>
      <c r="I41" s="60"/>
      <c r="J41" s="60"/>
      <c r="K41" s="64"/>
      <c r="L41" s="64"/>
      <c r="M41" s="25"/>
      <c r="N41" s="25"/>
    </row>
    <row r="42" spans="1:14">
      <c r="A42" s="3" t="s">
        <v>60</v>
      </c>
      <c r="B42" s="4" t="s">
        <v>61</v>
      </c>
      <c r="C42" s="7">
        <f t="shared" si="1"/>
        <v>0</v>
      </c>
      <c r="D42" s="7"/>
      <c r="E42" s="6">
        <f t="shared" si="0"/>
        <v>0</v>
      </c>
      <c r="F42" s="6">
        <f t="shared" si="0"/>
        <v>0</v>
      </c>
      <c r="G42" s="62"/>
      <c r="H42" s="62"/>
      <c r="I42" s="60"/>
      <c r="J42" s="60"/>
      <c r="K42" s="64"/>
      <c r="L42" s="64"/>
      <c r="M42" s="25"/>
      <c r="N42" s="25"/>
    </row>
    <row r="43" spans="1:14">
      <c r="A43" s="3" t="s">
        <v>62</v>
      </c>
      <c r="B43" s="4" t="s">
        <v>63</v>
      </c>
      <c r="C43" s="7">
        <f t="shared" si="1"/>
        <v>0</v>
      </c>
      <c r="D43" s="7"/>
      <c r="E43" s="6">
        <f t="shared" si="0"/>
        <v>0</v>
      </c>
      <c r="F43" s="6">
        <f t="shared" si="0"/>
        <v>0</v>
      </c>
      <c r="G43" s="62"/>
      <c r="H43" s="62"/>
      <c r="I43" s="60"/>
      <c r="J43" s="60"/>
      <c r="K43" s="64"/>
      <c r="L43" s="64"/>
      <c r="M43" s="25"/>
      <c r="N43" s="25"/>
    </row>
    <row r="44" spans="1:14">
      <c r="A44" s="3" t="s">
        <v>64</v>
      </c>
      <c r="B44" s="4" t="s">
        <v>65</v>
      </c>
      <c r="C44" s="7">
        <f t="shared" si="1"/>
        <v>0</v>
      </c>
      <c r="D44" s="7"/>
      <c r="E44" s="6">
        <f t="shared" si="0"/>
        <v>0</v>
      </c>
      <c r="F44" s="6">
        <f t="shared" si="0"/>
        <v>0</v>
      </c>
      <c r="G44" s="62"/>
      <c r="H44" s="62"/>
      <c r="I44" s="60"/>
      <c r="J44" s="60"/>
      <c r="K44" s="64"/>
      <c r="L44" s="64"/>
      <c r="M44" s="25"/>
      <c r="N44" s="25"/>
    </row>
    <row r="45" spans="1:14">
      <c r="A45" s="3" t="s">
        <v>66</v>
      </c>
      <c r="B45" s="4" t="s">
        <v>67</v>
      </c>
      <c r="C45" s="7">
        <f t="shared" si="1"/>
        <v>0</v>
      </c>
      <c r="D45" s="7"/>
      <c r="E45" s="6">
        <f t="shared" si="0"/>
        <v>0</v>
      </c>
      <c r="F45" s="6">
        <f t="shared" si="0"/>
        <v>0</v>
      </c>
      <c r="G45" s="62"/>
      <c r="H45" s="62"/>
      <c r="I45" s="60"/>
      <c r="J45" s="60"/>
      <c r="K45" s="64"/>
      <c r="L45" s="64"/>
      <c r="M45" s="25"/>
      <c r="N45" s="25"/>
    </row>
    <row r="46" spans="1:14">
      <c r="A46" s="3" t="s">
        <v>68</v>
      </c>
      <c r="B46" s="4" t="s">
        <v>69</v>
      </c>
      <c r="C46" s="7">
        <f t="shared" si="1"/>
        <v>0</v>
      </c>
      <c r="D46" s="7"/>
      <c r="E46" s="6">
        <f t="shared" si="0"/>
        <v>0</v>
      </c>
      <c r="F46" s="6">
        <f t="shared" si="0"/>
        <v>0</v>
      </c>
      <c r="G46" s="62"/>
      <c r="H46" s="62"/>
      <c r="I46" s="60"/>
      <c r="J46" s="60"/>
      <c r="K46" s="64"/>
      <c r="L46" s="64"/>
      <c r="M46" s="25"/>
      <c r="N46" s="25"/>
    </row>
    <row r="47" spans="1:14">
      <c r="A47" s="3" t="s">
        <v>70</v>
      </c>
      <c r="B47" s="4" t="s">
        <v>71</v>
      </c>
      <c r="C47" s="7">
        <f t="shared" si="1"/>
        <v>0</v>
      </c>
      <c r="D47" s="7"/>
      <c r="E47" s="6">
        <f t="shared" si="0"/>
        <v>0</v>
      </c>
      <c r="F47" s="6">
        <f t="shared" si="0"/>
        <v>0</v>
      </c>
      <c r="G47" s="62"/>
      <c r="H47" s="62"/>
      <c r="I47" s="60"/>
      <c r="J47" s="60"/>
      <c r="K47" s="64"/>
      <c r="L47" s="64"/>
      <c r="M47" s="25"/>
      <c r="N47" s="25"/>
    </row>
    <row r="48" spans="1:14">
      <c r="A48" s="3" t="s">
        <v>72</v>
      </c>
      <c r="B48" s="4" t="s">
        <v>73</v>
      </c>
      <c r="C48" s="7">
        <f t="shared" si="1"/>
        <v>0</v>
      </c>
      <c r="D48" s="7"/>
      <c r="E48" s="6">
        <f t="shared" si="0"/>
        <v>0</v>
      </c>
      <c r="F48" s="6">
        <f t="shared" si="0"/>
        <v>0</v>
      </c>
      <c r="G48" s="62"/>
      <c r="H48" s="62"/>
      <c r="I48" s="60"/>
      <c r="J48" s="60"/>
      <c r="K48" s="64"/>
      <c r="L48" s="64"/>
      <c r="M48" s="25"/>
      <c r="N48" s="25"/>
    </row>
    <row r="49" spans="1:14">
      <c r="A49" s="3" t="s">
        <v>74</v>
      </c>
      <c r="B49" s="4" t="s">
        <v>75</v>
      </c>
      <c r="C49" s="7">
        <f t="shared" si="1"/>
        <v>0</v>
      </c>
      <c r="D49" s="7"/>
      <c r="E49" s="6">
        <f t="shared" si="0"/>
        <v>0</v>
      </c>
      <c r="F49" s="6">
        <f t="shared" si="0"/>
        <v>0</v>
      </c>
      <c r="G49" s="62"/>
      <c r="H49" s="62"/>
      <c r="I49" s="60"/>
      <c r="J49" s="60"/>
      <c r="K49" s="64"/>
      <c r="L49" s="64"/>
      <c r="M49" s="25"/>
      <c r="N49" s="25"/>
    </row>
    <row r="50" spans="1:14">
      <c r="A50" s="3" t="s">
        <v>76</v>
      </c>
      <c r="B50" s="4" t="s">
        <v>77</v>
      </c>
      <c r="C50" s="7">
        <f t="shared" si="1"/>
        <v>0</v>
      </c>
      <c r="D50" s="7"/>
      <c r="E50" s="6">
        <f t="shared" si="0"/>
        <v>0</v>
      </c>
      <c r="F50" s="6">
        <f t="shared" si="0"/>
        <v>0</v>
      </c>
      <c r="G50" s="62"/>
      <c r="H50" s="62"/>
      <c r="I50" s="60"/>
      <c r="J50" s="60"/>
      <c r="K50" s="64"/>
      <c r="L50" s="64"/>
      <c r="M50" s="25"/>
      <c r="N50" s="25"/>
    </row>
    <row r="51" spans="1:14">
      <c r="A51" s="3" t="s">
        <v>78</v>
      </c>
      <c r="B51" s="4" t="s">
        <v>79</v>
      </c>
      <c r="C51" s="7">
        <f t="shared" si="1"/>
        <v>0</v>
      </c>
      <c r="D51" s="7"/>
      <c r="E51" s="6">
        <f t="shared" si="0"/>
        <v>0</v>
      </c>
      <c r="F51" s="6">
        <f t="shared" si="0"/>
        <v>0</v>
      </c>
      <c r="G51" s="62"/>
      <c r="H51" s="62"/>
      <c r="I51" s="60"/>
      <c r="J51" s="60"/>
      <c r="K51" s="64"/>
      <c r="L51" s="64"/>
      <c r="M51" s="25"/>
      <c r="N51" s="25"/>
    </row>
    <row r="52" spans="1:14">
      <c r="A52" s="3" t="s">
        <v>80</v>
      </c>
      <c r="B52" s="4" t="s">
        <v>81</v>
      </c>
      <c r="C52" s="7">
        <f t="shared" si="1"/>
        <v>0</v>
      </c>
      <c r="D52" s="7"/>
      <c r="E52" s="6">
        <f t="shared" si="0"/>
        <v>0</v>
      </c>
      <c r="F52" s="6">
        <f t="shared" si="0"/>
        <v>0</v>
      </c>
      <c r="G52" s="62"/>
      <c r="H52" s="62"/>
      <c r="I52" s="60"/>
      <c r="J52" s="60"/>
      <c r="K52" s="64"/>
      <c r="L52" s="64"/>
      <c r="M52" s="25"/>
      <c r="N52" s="25"/>
    </row>
    <row r="53" spans="1:14">
      <c r="A53" s="8" t="s">
        <v>82</v>
      </c>
      <c r="B53" s="4" t="s">
        <v>83</v>
      </c>
      <c r="C53" s="7">
        <f t="shared" si="1"/>
        <v>0</v>
      </c>
      <c r="D53" s="7"/>
      <c r="E53" s="6">
        <f t="shared" si="0"/>
        <v>0</v>
      </c>
      <c r="F53" s="6">
        <f t="shared" si="0"/>
        <v>0</v>
      </c>
      <c r="G53" s="62"/>
      <c r="H53" s="62"/>
      <c r="I53" s="60"/>
      <c r="J53" s="60"/>
      <c r="K53" s="64"/>
      <c r="L53" s="64"/>
      <c r="M53" s="25"/>
      <c r="N53" s="25"/>
    </row>
    <row r="54" spans="1:14">
      <c r="A54" s="3" t="s">
        <v>84</v>
      </c>
      <c r="B54" s="4" t="s">
        <v>85</v>
      </c>
      <c r="C54" s="7">
        <f t="shared" si="1"/>
        <v>0</v>
      </c>
      <c r="D54" s="7"/>
      <c r="E54" s="6">
        <f t="shared" si="0"/>
        <v>0</v>
      </c>
      <c r="F54" s="6">
        <f t="shared" si="0"/>
        <v>0</v>
      </c>
      <c r="G54" s="62"/>
      <c r="H54" s="62"/>
      <c r="I54" s="60"/>
      <c r="J54" s="60"/>
      <c r="K54" s="64"/>
      <c r="L54" s="64"/>
      <c r="M54" s="25"/>
      <c r="N54" s="25"/>
    </row>
    <row r="55" spans="1:14">
      <c r="A55" s="3" t="s">
        <v>86</v>
      </c>
      <c r="B55" s="4" t="s">
        <v>87</v>
      </c>
      <c r="C55" s="7">
        <f t="shared" si="1"/>
        <v>0</v>
      </c>
      <c r="D55" s="7"/>
      <c r="E55" s="6">
        <f t="shared" si="0"/>
        <v>0</v>
      </c>
      <c r="F55" s="6">
        <f t="shared" si="0"/>
        <v>0</v>
      </c>
      <c r="G55" s="62"/>
      <c r="H55" s="62"/>
      <c r="I55" s="60"/>
      <c r="J55" s="60"/>
      <c r="K55" s="64"/>
      <c r="L55" s="64"/>
      <c r="M55" s="25"/>
      <c r="N55" s="25"/>
    </row>
    <row r="56" spans="1:14">
      <c r="A56" s="8" t="s">
        <v>88</v>
      </c>
      <c r="B56" s="4" t="s">
        <v>89</v>
      </c>
      <c r="C56" s="7">
        <f t="shared" si="1"/>
        <v>0</v>
      </c>
      <c r="D56" s="7"/>
      <c r="E56" s="6">
        <f t="shared" si="0"/>
        <v>0</v>
      </c>
      <c r="F56" s="6">
        <f t="shared" si="0"/>
        <v>0</v>
      </c>
      <c r="G56" s="62"/>
      <c r="H56" s="62"/>
      <c r="I56" s="60"/>
      <c r="J56" s="60"/>
      <c r="K56" s="64"/>
      <c r="L56" s="64"/>
      <c r="M56" s="25"/>
      <c r="N56" s="25"/>
    </row>
    <row r="57" spans="1:14">
      <c r="A57" s="3" t="s">
        <v>90</v>
      </c>
      <c r="B57" s="4" t="s">
        <v>91</v>
      </c>
      <c r="C57" s="7">
        <f t="shared" si="1"/>
        <v>0</v>
      </c>
      <c r="D57" s="7"/>
      <c r="E57" s="6">
        <f t="shared" si="0"/>
        <v>0</v>
      </c>
      <c r="F57" s="6">
        <f t="shared" si="0"/>
        <v>0</v>
      </c>
      <c r="G57" s="62"/>
      <c r="H57" s="62"/>
      <c r="I57" s="60"/>
      <c r="J57" s="60"/>
      <c r="K57" s="64"/>
      <c r="L57" s="64"/>
      <c r="M57" s="25"/>
      <c r="N57" s="25"/>
    </row>
    <row r="58" spans="1:14">
      <c r="A58" s="3" t="s">
        <v>92</v>
      </c>
      <c r="B58" s="4">
        <v>165</v>
      </c>
      <c r="C58" s="7">
        <f t="shared" si="1"/>
        <v>0</v>
      </c>
      <c r="D58" s="7"/>
      <c r="E58" s="6">
        <f t="shared" si="0"/>
        <v>0</v>
      </c>
      <c r="F58" s="6">
        <f t="shared" si="0"/>
        <v>0</v>
      </c>
      <c r="G58" s="62"/>
      <c r="H58" s="62"/>
      <c r="I58" s="60"/>
      <c r="J58" s="60"/>
      <c r="K58" s="64"/>
      <c r="L58" s="64"/>
      <c r="M58" s="25"/>
      <c r="N58" s="25"/>
    </row>
    <row r="59" spans="1:14">
      <c r="A59" s="3" t="s">
        <v>93</v>
      </c>
      <c r="B59" s="4">
        <v>166</v>
      </c>
      <c r="C59" s="7">
        <f t="shared" si="1"/>
        <v>0</v>
      </c>
      <c r="D59" s="7"/>
      <c r="E59" s="6">
        <f t="shared" si="0"/>
        <v>0</v>
      </c>
      <c r="F59" s="6">
        <f t="shared" si="0"/>
        <v>0</v>
      </c>
      <c r="G59" s="62"/>
      <c r="H59" s="62"/>
      <c r="I59" s="60"/>
      <c r="J59" s="60"/>
      <c r="K59" s="64"/>
      <c r="L59" s="64"/>
      <c r="M59" s="25"/>
      <c r="N59" s="25"/>
    </row>
    <row r="60" spans="1:14">
      <c r="A60" s="3" t="s">
        <v>94</v>
      </c>
      <c r="B60" s="4">
        <v>167</v>
      </c>
      <c r="C60" s="7">
        <f t="shared" si="1"/>
        <v>0</v>
      </c>
      <c r="D60" s="7"/>
      <c r="E60" s="6">
        <f t="shared" si="0"/>
        <v>0</v>
      </c>
      <c r="F60" s="6">
        <f t="shared" si="0"/>
        <v>0</v>
      </c>
      <c r="G60" s="62"/>
      <c r="H60" s="62"/>
      <c r="I60" s="60"/>
      <c r="J60" s="60"/>
      <c r="K60" s="64"/>
      <c r="L60" s="64"/>
      <c r="M60" s="25"/>
      <c r="N60" s="25"/>
    </row>
    <row r="61" spans="1:14">
      <c r="A61" s="3" t="s">
        <v>95</v>
      </c>
      <c r="B61" s="4" t="s">
        <v>96</v>
      </c>
      <c r="C61" s="7">
        <f t="shared" si="1"/>
        <v>0</v>
      </c>
      <c r="D61" s="7"/>
      <c r="E61" s="6">
        <f t="shared" si="0"/>
        <v>0</v>
      </c>
      <c r="F61" s="6">
        <f t="shared" si="0"/>
        <v>0</v>
      </c>
      <c r="G61" s="62"/>
      <c r="H61" s="62"/>
      <c r="I61" s="60"/>
      <c r="J61" s="60"/>
      <c r="K61" s="64"/>
      <c r="L61" s="64"/>
      <c r="M61" s="25"/>
      <c r="N61" s="25"/>
    </row>
    <row r="62" spans="1:14">
      <c r="A62" s="3" t="s">
        <v>97</v>
      </c>
      <c r="B62" s="4" t="s">
        <v>98</v>
      </c>
      <c r="C62" s="7">
        <f t="shared" si="1"/>
        <v>0</v>
      </c>
      <c r="D62" s="7"/>
      <c r="E62" s="6">
        <f t="shared" si="0"/>
        <v>0</v>
      </c>
      <c r="F62" s="6">
        <f t="shared" si="0"/>
        <v>0</v>
      </c>
      <c r="G62" s="62"/>
      <c r="H62" s="62"/>
      <c r="I62" s="60"/>
      <c r="J62" s="60"/>
      <c r="K62" s="64"/>
      <c r="L62" s="64"/>
      <c r="M62" s="25"/>
      <c r="N62" s="25"/>
    </row>
    <row r="63" spans="1:14">
      <c r="A63" s="3" t="s">
        <v>99</v>
      </c>
      <c r="B63" s="4" t="s">
        <v>100</v>
      </c>
      <c r="C63" s="7">
        <f t="shared" si="1"/>
        <v>0</v>
      </c>
      <c r="D63" s="7"/>
      <c r="E63" s="6">
        <f t="shared" si="0"/>
        <v>0</v>
      </c>
      <c r="F63" s="6">
        <f t="shared" si="0"/>
        <v>0</v>
      </c>
      <c r="G63" s="62"/>
      <c r="H63" s="62"/>
      <c r="I63" s="60"/>
      <c r="J63" s="60"/>
      <c r="K63" s="64"/>
      <c r="L63" s="64"/>
      <c r="M63" s="25"/>
      <c r="N63" s="25"/>
    </row>
    <row r="64" spans="1:14">
      <c r="A64" s="3" t="s">
        <v>101</v>
      </c>
      <c r="B64" s="4" t="s">
        <v>102</v>
      </c>
      <c r="C64" s="7">
        <f t="shared" si="1"/>
        <v>0</v>
      </c>
      <c r="D64" s="7"/>
      <c r="E64" s="6">
        <f t="shared" si="0"/>
        <v>0</v>
      </c>
      <c r="F64" s="6">
        <f t="shared" si="0"/>
        <v>0</v>
      </c>
      <c r="G64" s="62"/>
      <c r="H64" s="62"/>
      <c r="I64" s="60"/>
      <c r="J64" s="60"/>
      <c r="K64" s="64"/>
      <c r="L64" s="64"/>
      <c r="M64" s="25"/>
      <c r="N64" s="25"/>
    </row>
    <row r="65" spans="1:14">
      <c r="A65" s="3" t="s">
        <v>103</v>
      </c>
      <c r="B65" s="4" t="s">
        <v>104</v>
      </c>
      <c r="C65" s="7">
        <f t="shared" si="1"/>
        <v>0</v>
      </c>
      <c r="D65" s="7"/>
      <c r="E65" s="6">
        <f t="shared" si="0"/>
        <v>0</v>
      </c>
      <c r="F65" s="6">
        <f t="shared" si="0"/>
        <v>0</v>
      </c>
      <c r="G65" s="62"/>
      <c r="H65" s="62"/>
      <c r="I65" s="60"/>
      <c r="J65" s="60"/>
      <c r="K65" s="64"/>
      <c r="L65" s="64"/>
      <c r="M65" s="25"/>
      <c r="N65" s="25"/>
    </row>
    <row r="66" spans="1:14">
      <c r="A66" s="3" t="s">
        <v>105</v>
      </c>
      <c r="B66" s="9">
        <v>178</v>
      </c>
      <c r="C66" s="7">
        <f t="shared" si="1"/>
        <v>0</v>
      </c>
      <c r="D66" s="7"/>
      <c r="E66" s="6">
        <f t="shared" si="0"/>
        <v>0</v>
      </c>
      <c r="F66" s="6">
        <f t="shared" si="0"/>
        <v>0</v>
      </c>
      <c r="G66" s="62"/>
      <c r="H66" s="62"/>
      <c r="I66" s="60"/>
      <c r="J66" s="60"/>
      <c r="K66" s="64"/>
      <c r="L66" s="64"/>
      <c r="M66" s="25"/>
      <c r="N66" s="25"/>
    </row>
    <row r="67" spans="1:14">
      <c r="A67" s="3" t="s">
        <v>106</v>
      </c>
      <c r="B67" s="4">
        <v>179</v>
      </c>
      <c r="C67" s="7">
        <f t="shared" si="1"/>
        <v>0</v>
      </c>
      <c r="D67" s="7"/>
      <c r="E67" s="6">
        <f t="shared" si="0"/>
        <v>0</v>
      </c>
      <c r="F67" s="6">
        <f t="shared" si="0"/>
        <v>0</v>
      </c>
      <c r="G67" s="62"/>
      <c r="H67" s="62"/>
      <c r="I67" s="60"/>
      <c r="J67" s="60"/>
      <c r="K67" s="64"/>
      <c r="L67" s="64"/>
      <c r="M67" s="25"/>
      <c r="N67" s="25"/>
    </row>
    <row r="68" spans="1:14">
      <c r="A68" s="3" t="s">
        <v>107</v>
      </c>
      <c r="B68" s="9">
        <v>180</v>
      </c>
      <c r="C68" s="7">
        <f t="shared" si="1"/>
        <v>0</v>
      </c>
      <c r="D68" s="7"/>
      <c r="E68" s="6">
        <f t="shared" si="0"/>
        <v>0</v>
      </c>
      <c r="F68" s="6">
        <f t="shared" si="0"/>
        <v>0</v>
      </c>
      <c r="G68" s="62"/>
      <c r="H68" s="62"/>
      <c r="I68" s="60"/>
      <c r="J68" s="60"/>
      <c r="K68" s="64"/>
      <c r="L68" s="64"/>
      <c r="M68" s="25"/>
      <c r="N68" s="25"/>
    </row>
    <row r="69" spans="1:14">
      <c r="A69" s="3" t="s">
        <v>108</v>
      </c>
      <c r="B69" s="9">
        <v>181</v>
      </c>
      <c r="C69" s="7">
        <f t="shared" si="1"/>
        <v>0</v>
      </c>
      <c r="D69" s="7"/>
      <c r="E69" s="6">
        <f t="shared" si="0"/>
        <v>0</v>
      </c>
      <c r="F69" s="6">
        <f t="shared" si="0"/>
        <v>0</v>
      </c>
      <c r="G69" s="62"/>
      <c r="H69" s="62"/>
      <c r="I69" s="60"/>
      <c r="J69" s="60"/>
      <c r="K69" s="64"/>
      <c r="L69" s="64"/>
      <c r="M69" s="25"/>
      <c r="N69" s="25"/>
    </row>
    <row r="70" spans="1:14">
      <c r="A70" s="3" t="s">
        <v>109</v>
      </c>
      <c r="B70" s="9">
        <v>182</v>
      </c>
      <c r="C70" s="7">
        <f t="shared" si="1"/>
        <v>0</v>
      </c>
      <c r="D70" s="7"/>
      <c r="E70" s="6">
        <f t="shared" si="0"/>
        <v>0</v>
      </c>
      <c r="F70" s="6">
        <f t="shared" si="0"/>
        <v>0</v>
      </c>
      <c r="G70" s="62"/>
      <c r="H70" s="62"/>
      <c r="I70" s="60"/>
      <c r="J70" s="60"/>
      <c r="K70" s="64"/>
      <c r="L70" s="64"/>
      <c r="M70" s="25"/>
      <c r="N70" s="25"/>
    </row>
    <row r="71" spans="1:14">
      <c r="A71" s="3" t="s">
        <v>110</v>
      </c>
      <c r="B71" s="9">
        <v>185</v>
      </c>
      <c r="C71" s="7">
        <f t="shared" si="1"/>
        <v>0</v>
      </c>
      <c r="D71" s="7"/>
      <c r="E71" s="6">
        <f t="shared" si="0"/>
        <v>0</v>
      </c>
      <c r="F71" s="6">
        <f t="shared" si="0"/>
        <v>0</v>
      </c>
      <c r="G71" s="62"/>
      <c r="H71" s="62"/>
      <c r="I71" s="60"/>
      <c r="J71" s="60"/>
      <c r="K71" s="64"/>
      <c r="L71" s="64"/>
      <c r="M71" s="25"/>
      <c r="N71" s="25"/>
    </row>
    <row r="72" spans="1:14">
      <c r="A72" s="3" t="s">
        <v>111</v>
      </c>
      <c r="B72" s="4" t="s">
        <v>112</v>
      </c>
      <c r="C72" s="7">
        <f t="shared" si="1"/>
        <v>0</v>
      </c>
      <c r="D72" s="7"/>
      <c r="E72" s="6">
        <f t="shared" si="0"/>
        <v>0</v>
      </c>
      <c r="F72" s="6">
        <f t="shared" si="0"/>
        <v>0</v>
      </c>
      <c r="G72" s="62"/>
      <c r="H72" s="62"/>
      <c r="I72" s="60"/>
      <c r="J72" s="60"/>
      <c r="K72" s="64"/>
      <c r="L72" s="64"/>
      <c r="M72" s="25"/>
      <c r="N72" s="25"/>
    </row>
    <row r="73" spans="1:14">
      <c r="A73" s="3" t="s">
        <v>113</v>
      </c>
      <c r="B73" s="4" t="s">
        <v>114</v>
      </c>
      <c r="C73" s="7">
        <f t="shared" si="1"/>
        <v>0</v>
      </c>
      <c r="D73" s="7"/>
      <c r="E73" s="6">
        <f t="shared" si="0"/>
        <v>0</v>
      </c>
      <c r="F73" s="6">
        <f t="shared" si="0"/>
        <v>0</v>
      </c>
      <c r="G73" s="62"/>
      <c r="H73" s="62"/>
      <c r="I73" s="60"/>
      <c r="J73" s="60"/>
      <c r="K73" s="64"/>
      <c r="L73" s="64"/>
      <c r="M73" s="25"/>
      <c r="N73" s="25"/>
    </row>
    <row r="74" spans="1:14">
      <c r="A74" s="3" t="s">
        <v>115</v>
      </c>
      <c r="B74" s="4" t="s">
        <v>116</v>
      </c>
      <c r="C74" s="7">
        <f t="shared" si="1"/>
        <v>0</v>
      </c>
      <c r="D74" s="7"/>
      <c r="E74" s="6">
        <f t="shared" si="0"/>
        <v>0</v>
      </c>
      <c r="F74" s="6">
        <f t="shared" si="0"/>
        <v>0</v>
      </c>
      <c r="G74" s="62"/>
      <c r="H74" s="62"/>
      <c r="I74" s="60"/>
      <c r="J74" s="60"/>
      <c r="K74" s="64"/>
      <c r="L74" s="64"/>
      <c r="M74" s="25"/>
      <c r="N74" s="25"/>
    </row>
    <row r="75" spans="1:14">
      <c r="A75" s="3" t="s">
        <v>117</v>
      </c>
      <c r="B75" s="4" t="s">
        <v>118</v>
      </c>
      <c r="C75" s="7">
        <f t="shared" si="1"/>
        <v>0</v>
      </c>
      <c r="D75" s="7"/>
      <c r="E75" s="6">
        <f t="shared" si="0"/>
        <v>0</v>
      </c>
      <c r="F75" s="6">
        <f t="shared" si="0"/>
        <v>0</v>
      </c>
      <c r="G75" s="62"/>
      <c r="H75" s="62"/>
      <c r="I75" s="60"/>
      <c r="J75" s="60"/>
      <c r="K75" s="64"/>
      <c r="L75" s="64"/>
      <c r="M75" s="25"/>
      <c r="N75" s="25"/>
    </row>
    <row r="76" spans="1:14">
      <c r="A76" s="3" t="s">
        <v>119</v>
      </c>
      <c r="B76" s="4" t="s">
        <v>120</v>
      </c>
      <c r="C76" s="7">
        <f t="shared" si="1"/>
        <v>0</v>
      </c>
      <c r="D76" s="7"/>
      <c r="E76" s="6">
        <f t="shared" si="0"/>
        <v>0</v>
      </c>
      <c r="F76" s="6">
        <f t="shared" si="0"/>
        <v>0</v>
      </c>
      <c r="G76" s="62"/>
      <c r="H76" s="62"/>
      <c r="I76" s="60"/>
      <c r="J76" s="60"/>
      <c r="K76" s="64"/>
      <c r="L76" s="64"/>
      <c r="M76" s="25"/>
      <c r="N76" s="25"/>
    </row>
    <row r="77" spans="1:14">
      <c r="A77" s="3" t="s">
        <v>121</v>
      </c>
      <c r="B77" s="4" t="s">
        <v>122</v>
      </c>
      <c r="C77" s="7">
        <f t="shared" si="1"/>
        <v>0</v>
      </c>
      <c r="D77" s="7"/>
      <c r="E77" s="6">
        <f t="shared" si="0"/>
        <v>0</v>
      </c>
      <c r="F77" s="6">
        <f t="shared" si="0"/>
        <v>0</v>
      </c>
      <c r="G77" s="62"/>
      <c r="H77" s="62"/>
      <c r="I77" s="60"/>
      <c r="J77" s="60"/>
      <c r="K77" s="64"/>
      <c r="L77" s="64"/>
      <c r="M77" s="25"/>
      <c r="N77" s="25"/>
    </row>
    <row r="78" spans="1:14">
      <c r="A78" s="3" t="s">
        <v>123</v>
      </c>
      <c r="B78" s="4" t="s">
        <v>124</v>
      </c>
      <c r="C78" s="7">
        <f t="shared" si="1"/>
        <v>0</v>
      </c>
      <c r="D78" s="7"/>
      <c r="E78" s="6">
        <f t="shared" ref="E78:F141" si="2">SUM(G78,I78,K78,M78)</f>
        <v>0</v>
      </c>
      <c r="F78" s="6">
        <f t="shared" si="2"/>
        <v>0</v>
      </c>
      <c r="G78" s="62"/>
      <c r="H78" s="62"/>
      <c r="I78" s="60"/>
      <c r="J78" s="60"/>
      <c r="K78" s="64"/>
      <c r="L78" s="64"/>
      <c r="M78" s="25"/>
      <c r="N78" s="25"/>
    </row>
    <row r="79" spans="1:14">
      <c r="A79" s="3" t="s">
        <v>125</v>
      </c>
      <c r="B79" s="4">
        <v>201</v>
      </c>
      <c r="C79" s="7">
        <f t="shared" si="1"/>
        <v>0</v>
      </c>
      <c r="D79" s="7"/>
      <c r="E79" s="6">
        <f t="shared" si="2"/>
        <v>0</v>
      </c>
      <c r="F79" s="6">
        <f t="shared" si="2"/>
        <v>0</v>
      </c>
      <c r="G79" s="62"/>
      <c r="H79" s="62"/>
      <c r="I79" s="60"/>
      <c r="J79" s="60"/>
      <c r="K79" s="64"/>
      <c r="L79" s="64"/>
      <c r="M79" s="25"/>
      <c r="N79" s="25"/>
    </row>
    <row r="80" spans="1:14">
      <c r="A80" s="3" t="s">
        <v>126</v>
      </c>
      <c r="B80" s="4">
        <v>202</v>
      </c>
      <c r="C80" s="7">
        <f t="shared" si="1"/>
        <v>0</v>
      </c>
      <c r="D80" s="7"/>
      <c r="E80" s="6">
        <f t="shared" si="2"/>
        <v>0</v>
      </c>
      <c r="F80" s="6">
        <f t="shared" si="2"/>
        <v>0</v>
      </c>
      <c r="G80" s="62"/>
      <c r="H80" s="62"/>
      <c r="I80" s="60"/>
      <c r="J80" s="60"/>
      <c r="K80" s="64"/>
      <c r="L80" s="64"/>
      <c r="M80" s="25"/>
      <c r="N80" s="25"/>
    </row>
    <row r="81" spans="1:14">
      <c r="A81" s="8" t="s">
        <v>127</v>
      </c>
      <c r="B81" s="4">
        <v>302</v>
      </c>
      <c r="C81" s="7"/>
      <c r="D81" s="7">
        <f>F81-E81</f>
        <v>0</v>
      </c>
      <c r="E81" s="6">
        <f t="shared" si="2"/>
        <v>0</v>
      </c>
      <c r="F81" s="6">
        <f t="shared" si="2"/>
        <v>0</v>
      </c>
      <c r="G81" s="62"/>
      <c r="H81" s="62"/>
      <c r="I81" s="60"/>
      <c r="J81" s="60"/>
      <c r="K81" s="64"/>
      <c r="L81" s="64"/>
      <c r="M81" s="25"/>
      <c r="N81" s="25"/>
    </row>
    <row r="82" spans="1:14">
      <c r="A82" s="3" t="s">
        <v>128</v>
      </c>
      <c r="B82" s="4">
        <v>203</v>
      </c>
      <c r="C82" s="7">
        <f>E82-F82</f>
        <v>0</v>
      </c>
      <c r="D82" s="7"/>
      <c r="E82" s="6">
        <f t="shared" si="2"/>
        <v>0</v>
      </c>
      <c r="F82" s="6">
        <f t="shared" si="2"/>
        <v>0</v>
      </c>
      <c r="G82" s="62"/>
      <c r="H82" s="62"/>
      <c r="I82" s="60"/>
      <c r="J82" s="60"/>
      <c r="K82" s="64"/>
      <c r="L82" s="64"/>
      <c r="M82" s="25"/>
      <c r="N82" s="25"/>
    </row>
    <row r="83" spans="1:14">
      <c r="A83" s="3" t="s">
        <v>129</v>
      </c>
      <c r="B83" s="4">
        <v>303</v>
      </c>
      <c r="C83" s="7"/>
      <c r="D83" s="7">
        <f>F83-E83</f>
        <v>0</v>
      </c>
      <c r="E83" s="6">
        <f t="shared" si="2"/>
        <v>0</v>
      </c>
      <c r="F83" s="6">
        <f t="shared" si="2"/>
        <v>0</v>
      </c>
      <c r="G83" s="62"/>
      <c r="H83" s="62"/>
      <c r="I83" s="60"/>
      <c r="J83" s="60"/>
      <c r="K83" s="64"/>
      <c r="L83" s="64"/>
      <c r="M83" s="25"/>
      <c r="N83" s="25"/>
    </row>
    <row r="84" spans="1:14">
      <c r="A84" s="3" t="s">
        <v>130</v>
      </c>
      <c r="B84" s="4">
        <v>204</v>
      </c>
      <c r="C84" s="7">
        <f>E84-F84</f>
        <v>0</v>
      </c>
      <c r="D84" s="7"/>
      <c r="E84" s="6">
        <f t="shared" si="2"/>
        <v>0</v>
      </c>
      <c r="F84" s="6">
        <f t="shared" si="2"/>
        <v>0</v>
      </c>
      <c r="G84" s="62"/>
      <c r="H84" s="62"/>
      <c r="I84" s="60"/>
      <c r="J84" s="60"/>
      <c r="K84" s="64"/>
      <c r="L84" s="64"/>
      <c r="M84" s="25"/>
      <c r="N84" s="25"/>
    </row>
    <row r="85" spans="1:14">
      <c r="A85" s="3" t="s">
        <v>131</v>
      </c>
      <c r="B85" s="4">
        <v>304</v>
      </c>
      <c r="C85" s="7"/>
      <c r="D85" s="7">
        <f>F85-E85</f>
        <v>0</v>
      </c>
      <c r="E85" s="6">
        <f t="shared" si="2"/>
        <v>0</v>
      </c>
      <c r="F85" s="6">
        <f t="shared" si="2"/>
        <v>0</v>
      </c>
      <c r="G85" s="62"/>
      <c r="H85" s="62"/>
      <c r="I85" s="60"/>
      <c r="J85" s="60"/>
      <c r="K85" s="64"/>
      <c r="L85" s="64"/>
      <c r="M85" s="25"/>
      <c r="N85" s="25"/>
    </row>
    <row r="86" spans="1:14">
      <c r="A86" s="3" t="s">
        <v>132</v>
      </c>
      <c r="B86" s="4">
        <v>205</v>
      </c>
      <c r="C86" s="7">
        <f>E86-F86</f>
        <v>0</v>
      </c>
      <c r="D86" s="7"/>
      <c r="E86" s="6">
        <f t="shared" si="2"/>
        <v>0</v>
      </c>
      <c r="F86" s="6">
        <f t="shared" si="2"/>
        <v>0</v>
      </c>
      <c r="G86" s="62"/>
      <c r="H86" s="62"/>
      <c r="I86" s="60"/>
      <c r="J86" s="60"/>
      <c r="K86" s="64"/>
      <c r="L86" s="64"/>
      <c r="M86" s="25"/>
      <c r="N86" s="25"/>
    </row>
    <row r="87" spans="1:14" ht="28.5">
      <c r="A87" s="8" t="s">
        <v>133</v>
      </c>
      <c r="B87" s="4">
        <v>305</v>
      </c>
      <c r="C87" s="7"/>
      <c r="D87" s="7">
        <f>F87-E87</f>
        <v>0</v>
      </c>
      <c r="E87" s="6">
        <f t="shared" si="2"/>
        <v>0</v>
      </c>
      <c r="F87" s="6">
        <f t="shared" si="2"/>
        <v>0</v>
      </c>
      <c r="G87" s="62"/>
      <c r="H87" s="62"/>
      <c r="I87" s="60"/>
      <c r="J87" s="60"/>
      <c r="K87" s="64"/>
      <c r="L87" s="64"/>
      <c r="M87" s="25"/>
      <c r="N87" s="25"/>
    </row>
    <row r="88" spans="1:14">
      <c r="A88" s="8" t="s">
        <v>134</v>
      </c>
      <c r="B88" s="4" t="s">
        <v>135</v>
      </c>
      <c r="C88" s="7">
        <f>E88-F88</f>
        <v>0</v>
      </c>
      <c r="D88" s="7"/>
      <c r="E88" s="6">
        <f t="shared" si="2"/>
        <v>0</v>
      </c>
      <c r="F88" s="6">
        <f t="shared" si="2"/>
        <v>0</v>
      </c>
      <c r="G88" s="62"/>
      <c r="H88" s="62"/>
      <c r="I88" s="60"/>
      <c r="J88" s="60"/>
      <c r="K88" s="64"/>
      <c r="L88" s="64"/>
      <c r="M88" s="25"/>
      <c r="N88" s="25"/>
    </row>
    <row r="89" spans="1:14">
      <c r="A89" s="8" t="s">
        <v>136</v>
      </c>
      <c r="B89" s="4" t="s">
        <v>137</v>
      </c>
      <c r="C89" s="7"/>
      <c r="D89" s="7">
        <f>F89-E89</f>
        <v>0</v>
      </c>
      <c r="E89" s="6">
        <f t="shared" si="2"/>
        <v>0</v>
      </c>
      <c r="F89" s="6">
        <f t="shared" si="2"/>
        <v>0</v>
      </c>
      <c r="G89" s="62"/>
      <c r="H89" s="62"/>
      <c r="I89" s="60"/>
      <c r="J89" s="60"/>
      <c r="K89" s="64"/>
      <c r="L89" s="64"/>
      <c r="M89" s="25"/>
      <c r="N89" s="25"/>
    </row>
    <row r="90" spans="1:14">
      <c r="A90" s="8" t="s">
        <v>138</v>
      </c>
      <c r="B90" s="4" t="s">
        <v>139</v>
      </c>
      <c r="C90" s="7">
        <f>E90-F90</f>
        <v>0</v>
      </c>
      <c r="D90" s="7"/>
      <c r="E90" s="6">
        <f t="shared" si="2"/>
        <v>0</v>
      </c>
      <c r="F90" s="6">
        <f t="shared" si="2"/>
        <v>0</v>
      </c>
      <c r="G90" s="62"/>
      <c r="H90" s="62"/>
      <c r="I90" s="60"/>
      <c r="J90" s="60"/>
      <c r="K90" s="64"/>
      <c r="L90" s="64"/>
      <c r="M90" s="25"/>
      <c r="N90" s="25"/>
    </row>
    <row r="91" spans="1:14">
      <c r="A91" s="8" t="s">
        <v>140</v>
      </c>
      <c r="B91" s="4" t="s">
        <v>141</v>
      </c>
      <c r="C91" s="7"/>
      <c r="D91" s="7">
        <f>F91-E91</f>
        <v>0</v>
      </c>
      <c r="E91" s="6">
        <f t="shared" si="2"/>
        <v>0</v>
      </c>
      <c r="F91" s="6">
        <f t="shared" si="2"/>
        <v>0</v>
      </c>
      <c r="G91" s="62"/>
      <c r="H91" s="62"/>
      <c r="I91" s="60"/>
      <c r="J91" s="60"/>
      <c r="K91" s="64"/>
      <c r="L91" s="64"/>
      <c r="M91" s="25"/>
      <c r="N91" s="25"/>
    </row>
    <row r="92" spans="1:14">
      <c r="A92" s="8" t="s">
        <v>142</v>
      </c>
      <c r="B92" s="4" t="s">
        <v>143</v>
      </c>
      <c r="C92" s="7">
        <f>E92-F92</f>
        <v>0</v>
      </c>
      <c r="D92" s="7"/>
      <c r="E92" s="6">
        <f t="shared" si="2"/>
        <v>0</v>
      </c>
      <c r="F92" s="6">
        <f t="shared" si="2"/>
        <v>0</v>
      </c>
      <c r="G92" s="62"/>
      <c r="H92" s="62"/>
      <c r="I92" s="60"/>
      <c r="J92" s="60"/>
      <c r="K92" s="64"/>
      <c r="L92" s="64"/>
      <c r="M92" s="25"/>
      <c r="N92" s="25"/>
    </row>
    <row r="93" spans="1:14" ht="28.5">
      <c r="A93" s="8" t="s">
        <v>144</v>
      </c>
      <c r="B93" s="4" t="s">
        <v>145</v>
      </c>
      <c r="C93" s="7"/>
      <c r="D93" s="7">
        <f>F93-E93</f>
        <v>0</v>
      </c>
      <c r="E93" s="6">
        <f t="shared" si="2"/>
        <v>0</v>
      </c>
      <c r="F93" s="6">
        <f t="shared" si="2"/>
        <v>0</v>
      </c>
      <c r="G93" s="62"/>
      <c r="H93" s="62"/>
      <c r="I93" s="60"/>
      <c r="J93" s="60"/>
      <c r="K93" s="64"/>
      <c r="L93" s="64"/>
      <c r="M93" s="25"/>
      <c r="N93" s="25"/>
    </row>
    <row r="94" spans="1:14">
      <c r="A94" s="8" t="s">
        <v>146</v>
      </c>
      <c r="B94" s="4" t="s">
        <v>147</v>
      </c>
      <c r="C94" s="7">
        <f>E94-F94</f>
        <v>0</v>
      </c>
      <c r="D94" s="7"/>
      <c r="E94" s="6">
        <f t="shared" si="2"/>
        <v>0</v>
      </c>
      <c r="F94" s="6">
        <f t="shared" si="2"/>
        <v>0</v>
      </c>
      <c r="G94" s="62"/>
      <c r="H94" s="62"/>
      <c r="I94" s="60"/>
      <c r="J94" s="60"/>
      <c r="K94" s="64"/>
      <c r="L94" s="64"/>
      <c r="M94" s="25"/>
      <c r="N94" s="25"/>
    </row>
    <row r="95" spans="1:14" ht="28.5">
      <c r="A95" s="8" t="s">
        <v>148</v>
      </c>
      <c r="B95" s="4" t="s">
        <v>149</v>
      </c>
      <c r="C95" s="7"/>
      <c r="D95" s="7">
        <f>F95-E95</f>
        <v>0</v>
      </c>
      <c r="E95" s="6">
        <f t="shared" si="2"/>
        <v>0</v>
      </c>
      <c r="F95" s="6">
        <f t="shared" si="2"/>
        <v>0</v>
      </c>
      <c r="G95" s="62"/>
      <c r="H95" s="62"/>
      <c r="I95" s="60"/>
      <c r="J95" s="60"/>
      <c r="K95" s="64"/>
      <c r="L95" s="64"/>
      <c r="M95" s="25"/>
      <c r="N95" s="25"/>
    </row>
    <row r="96" spans="1:14">
      <c r="A96" s="8" t="s">
        <v>150</v>
      </c>
      <c r="B96" s="4" t="s">
        <v>151</v>
      </c>
      <c r="C96" s="7">
        <f>E96-F96</f>
        <v>0</v>
      </c>
      <c r="D96" s="7"/>
      <c r="E96" s="6">
        <f t="shared" si="2"/>
        <v>0</v>
      </c>
      <c r="F96" s="6">
        <f t="shared" si="2"/>
        <v>0</v>
      </c>
      <c r="G96" s="62"/>
      <c r="H96" s="62"/>
      <c r="I96" s="60"/>
      <c r="J96" s="60"/>
      <c r="K96" s="64"/>
      <c r="L96" s="64"/>
      <c r="M96" s="25"/>
      <c r="N96" s="25"/>
    </row>
    <row r="97" spans="1:14">
      <c r="A97" s="8" t="s">
        <v>152</v>
      </c>
      <c r="B97" s="4" t="s">
        <v>153</v>
      </c>
      <c r="C97" s="7"/>
      <c r="D97" s="7">
        <f>F97-E97</f>
        <v>0</v>
      </c>
      <c r="E97" s="6">
        <f t="shared" si="2"/>
        <v>0</v>
      </c>
      <c r="F97" s="6">
        <f t="shared" si="2"/>
        <v>0</v>
      </c>
      <c r="G97" s="62"/>
      <c r="H97" s="62"/>
      <c r="I97" s="60"/>
      <c r="J97" s="60"/>
      <c r="K97" s="64"/>
      <c r="L97" s="64"/>
      <c r="M97" s="25"/>
      <c r="N97" s="25"/>
    </row>
    <row r="98" spans="1:14">
      <c r="A98" s="8" t="s">
        <v>154</v>
      </c>
      <c r="B98" s="4" t="s">
        <v>155</v>
      </c>
      <c r="C98" s="7">
        <f>E98-F98</f>
        <v>0</v>
      </c>
      <c r="D98" s="7"/>
      <c r="E98" s="6">
        <f t="shared" si="2"/>
        <v>0</v>
      </c>
      <c r="F98" s="6">
        <f t="shared" si="2"/>
        <v>0</v>
      </c>
      <c r="G98" s="62"/>
      <c r="H98" s="62"/>
      <c r="I98" s="60"/>
      <c r="J98" s="60"/>
      <c r="K98" s="64"/>
      <c r="L98" s="64"/>
      <c r="M98" s="25"/>
      <c r="N98" s="25"/>
    </row>
    <row r="99" spans="1:14" ht="28.5">
      <c r="A99" s="8" t="s">
        <v>156</v>
      </c>
      <c r="B99" s="4" t="s">
        <v>157</v>
      </c>
      <c r="C99" s="7"/>
      <c r="D99" s="7">
        <f>F99-E99</f>
        <v>0</v>
      </c>
      <c r="E99" s="6">
        <f t="shared" si="2"/>
        <v>0</v>
      </c>
      <c r="F99" s="6">
        <f t="shared" si="2"/>
        <v>0</v>
      </c>
      <c r="G99" s="62"/>
      <c r="H99" s="62"/>
      <c r="I99" s="60"/>
      <c r="J99" s="60"/>
      <c r="K99" s="64"/>
      <c r="L99" s="64"/>
      <c r="M99" s="25"/>
      <c r="N99" s="25"/>
    </row>
    <row r="100" spans="1:14">
      <c r="A100" s="8" t="s">
        <v>158</v>
      </c>
      <c r="B100" s="4" t="s">
        <v>159</v>
      </c>
      <c r="C100" s="7">
        <f>E100-F100</f>
        <v>0</v>
      </c>
      <c r="D100" s="7"/>
      <c r="E100" s="6">
        <f t="shared" si="2"/>
        <v>0</v>
      </c>
      <c r="F100" s="6">
        <f t="shared" si="2"/>
        <v>0</v>
      </c>
      <c r="G100" s="62"/>
      <c r="H100" s="62"/>
      <c r="I100" s="60"/>
      <c r="J100" s="60"/>
      <c r="K100" s="64"/>
      <c r="L100" s="64"/>
      <c r="M100" s="25"/>
      <c r="N100" s="25"/>
    </row>
    <row r="101" spans="1:14" ht="28.5">
      <c r="A101" s="8" t="s">
        <v>160</v>
      </c>
      <c r="B101" s="4" t="s">
        <v>161</v>
      </c>
      <c r="C101" s="7"/>
      <c r="D101" s="7">
        <f>F101-E101</f>
        <v>0</v>
      </c>
      <c r="E101" s="6">
        <f t="shared" si="2"/>
        <v>0</v>
      </c>
      <c r="F101" s="6">
        <f t="shared" si="2"/>
        <v>0</v>
      </c>
      <c r="G101" s="62"/>
      <c r="H101" s="62"/>
      <c r="I101" s="60"/>
      <c r="J101" s="60"/>
      <c r="K101" s="64"/>
      <c r="L101" s="64"/>
      <c r="M101" s="25"/>
      <c r="N101" s="25"/>
    </row>
    <row r="102" spans="1:14">
      <c r="A102" s="8" t="s">
        <v>162</v>
      </c>
      <c r="B102" s="4" t="s">
        <v>163</v>
      </c>
      <c r="C102" s="7">
        <f>E102-F102</f>
        <v>0</v>
      </c>
      <c r="D102" s="7"/>
      <c r="E102" s="6">
        <f t="shared" si="2"/>
        <v>0</v>
      </c>
      <c r="F102" s="6">
        <f t="shared" si="2"/>
        <v>0</v>
      </c>
      <c r="G102" s="62"/>
      <c r="H102" s="62"/>
      <c r="I102" s="60"/>
      <c r="J102" s="60"/>
      <c r="K102" s="64"/>
      <c r="L102" s="64"/>
      <c r="M102" s="25"/>
      <c r="N102" s="25"/>
    </row>
    <row r="103" spans="1:14" ht="28.5">
      <c r="A103" s="8" t="s">
        <v>164</v>
      </c>
      <c r="B103" s="4" t="s">
        <v>165</v>
      </c>
      <c r="C103" s="7"/>
      <c r="D103" s="7">
        <f>F103-E103</f>
        <v>0</v>
      </c>
      <c r="E103" s="6">
        <f t="shared" si="2"/>
        <v>0</v>
      </c>
      <c r="F103" s="6">
        <f t="shared" si="2"/>
        <v>0</v>
      </c>
      <c r="G103" s="62"/>
      <c r="H103" s="62"/>
      <c r="I103" s="60"/>
      <c r="J103" s="60"/>
      <c r="K103" s="64"/>
      <c r="L103" s="64"/>
      <c r="M103" s="25"/>
      <c r="N103" s="25"/>
    </row>
    <row r="104" spans="1:14">
      <c r="A104" s="8" t="s">
        <v>166</v>
      </c>
      <c r="B104" s="4" t="s">
        <v>167</v>
      </c>
      <c r="C104" s="7">
        <f>E104-F104</f>
        <v>0</v>
      </c>
      <c r="D104" s="7"/>
      <c r="E104" s="6">
        <f t="shared" si="2"/>
        <v>0</v>
      </c>
      <c r="F104" s="6">
        <f t="shared" si="2"/>
        <v>0</v>
      </c>
      <c r="G104" s="62"/>
      <c r="H104" s="62"/>
      <c r="I104" s="60"/>
      <c r="J104" s="60"/>
      <c r="K104" s="64"/>
      <c r="L104" s="64"/>
      <c r="M104" s="25"/>
      <c r="N104" s="25"/>
    </row>
    <row r="105" spans="1:14">
      <c r="A105" s="8" t="s">
        <v>168</v>
      </c>
      <c r="B105" s="4" t="s">
        <v>169</v>
      </c>
      <c r="C105" s="7"/>
      <c r="D105" s="7">
        <f>F105-E105</f>
        <v>0</v>
      </c>
      <c r="E105" s="6">
        <f t="shared" si="2"/>
        <v>0</v>
      </c>
      <c r="F105" s="6">
        <f t="shared" si="2"/>
        <v>0</v>
      </c>
      <c r="G105" s="62"/>
      <c r="H105" s="62"/>
      <c r="I105" s="60"/>
      <c r="J105" s="60"/>
      <c r="K105" s="64"/>
      <c r="L105" s="64"/>
      <c r="M105" s="25"/>
      <c r="N105" s="25"/>
    </row>
    <row r="106" spans="1:14">
      <c r="A106" s="8" t="s">
        <v>170</v>
      </c>
      <c r="B106" s="4" t="s">
        <v>171</v>
      </c>
      <c r="C106" s="7">
        <f>E106-F106</f>
        <v>0</v>
      </c>
      <c r="D106" s="7"/>
      <c r="E106" s="6">
        <f t="shared" si="2"/>
        <v>0</v>
      </c>
      <c r="F106" s="6">
        <f t="shared" si="2"/>
        <v>0</v>
      </c>
      <c r="G106" s="62"/>
      <c r="H106" s="62"/>
      <c r="I106" s="60"/>
      <c r="J106" s="60"/>
      <c r="K106" s="64"/>
      <c r="L106" s="64"/>
      <c r="M106" s="25"/>
      <c r="N106" s="25"/>
    </row>
    <row r="107" spans="1:14" ht="28.5">
      <c r="A107" s="8" t="s">
        <v>172</v>
      </c>
      <c r="B107" s="4" t="s">
        <v>173</v>
      </c>
      <c r="C107" s="7"/>
      <c r="D107" s="7">
        <f>F107-E107</f>
        <v>0</v>
      </c>
      <c r="E107" s="6">
        <f t="shared" si="2"/>
        <v>0</v>
      </c>
      <c r="F107" s="6">
        <f t="shared" si="2"/>
        <v>0</v>
      </c>
      <c r="G107" s="62"/>
      <c r="H107" s="62"/>
      <c r="I107" s="60"/>
      <c r="J107" s="60"/>
      <c r="K107" s="64"/>
      <c r="L107" s="64"/>
      <c r="M107" s="25"/>
      <c r="N107" s="25"/>
    </row>
    <row r="108" spans="1:14">
      <c r="A108" s="8" t="s">
        <v>174</v>
      </c>
      <c r="B108" s="4" t="s">
        <v>175</v>
      </c>
      <c r="C108" s="7">
        <f>E108-F108</f>
        <v>0</v>
      </c>
      <c r="D108" s="7"/>
      <c r="E108" s="6">
        <f t="shared" si="2"/>
        <v>0</v>
      </c>
      <c r="F108" s="6">
        <f t="shared" si="2"/>
        <v>0</v>
      </c>
      <c r="G108" s="62"/>
      <c r="H108" s="62"/>
      <c r="I108" s="60"/>
      <c r="J108" s="60"/>
      <c r="K108" s="64"/>
      <c r="L108" s="64"/>
      <c r="M108" s="25"/>
      <c r="N108" s="25"/>
    </row>
    <row r="109" spans="1:14">
      <c r="A109" s="8" t="s">
        <v>176</v>
      </c>
      <c r="B109" s="4" t="s">
        <v>177</v>
      </c>
      <c r="C109" s="7"/>
      <c r="D109" s="7">
        <f>F109-E109</f>
        <v>0</v>
      </c>
      <c r="E109" s="6">
        <f t="shared" si="2"/>
        <v>0</v>
      </c>
      <c r="F109" s="6">
        <f t="shared" si="2"/>
        <v>0</v>
      </c>
      <c r="G109" s="62"/>
      <c r="H109" s="62"/>
      <c r="I109" s="60"/>
      <c r="J109" s="60"/>
      <c r="K109" s="64"/>
      <c r="L109" s="64"/>
      <c r="M109" s="25"/>
      <c r="N109" s="25"/>
    </row>
    <row r="110" spans="1:14">
      <c r="A110" s="8" t="s">
        <v>178</v>
      </c>
      <c r="B110" s="4" t="s">
        <v>179</v>
      </c>
      <c r="C110" s="7">
        <f>E110-F110</f>
        <v>0</v>
      </c>
      <c r="D110" s="7"/>
      <c r="E110" s="6">
        <f t="shared" si="2"/>
        <v>0</v>
      </c>
      <c r="F110" s="6">
        <f t="shared" si="2"/>
        <v>0</v>
      </c>
      <c r="G110" s="62"/>
      <c r="H110" s="62"/>
      <c r="I110" s="60"/>
      <c r="J110" s="60"/>
      <c r="K110" s="64"/>
      <c r="L110" s="64"/>
      <c r="M110" s="25"/>
      <c r="N110" s="25"/>
    </row>
    <row r="111" spans="1:14">
      <c r="A111" s="8" t="s">
        <v>180</v>
      </c>
      <c r="B111" s="4" t="s">
        <v>181</v>
      </c>
      <c r="C111" s="7"/>
      <c r="D111" s="7">
        <f>F111-E111</f>
        <v>0</v>
      </c>
      <c r="E111" s="6">
        <f t="shared" si="2"/>
        <v>0</v>
      </c>
      <c r="F111" s="6">
        <f t="shared" si="2"/>
        <v>0</v>
      </c>
      <c r="G111" s="62"/>
      <c r="H111" s="62"/>
      <c r="I111" s="60"/>
      <c r="J111" s="60"/>
      <c r="K111" s="64"/>
      <c r="L111" s="64"/>
      <c r="M111" s="25"/>
      <c r="N111" s="25"/>
    </row>
    <row r="112" spans="1:14">
      <c r="A112" s="8" t="s">
        <v>182</v>
      </c>
      <c r="B112" s="4" t="s">
        <v>183</v>
      </c>
      <c r="C112" s="7">
        <f>E112-F112</f>
        <v>0</v>
      </c>
      <c r="D112" s="7"/>
      <c r="E112" s="6">
        <f t="shared" si="2"/>
        <v>0</v>
      </c>
      <c r="F112" s="6">
        <f t="shared" si="2"/>
        <v>0</v>
      </c>
      <c r="G112" s="62"/>
      <c r="H112" s="62"/>
      <c r="I112" s="60"/>
      <c r="J112" s="60"/>
      <c r="K112" s="64"/>
      <c r="L112" s="64"/>
      <c r="M112" s="25"/>
      <c r="N112" s="25"/>
    </row>
    <row r="113" spans="1:14">
      <c r="A113" s="8" t="s">
        <v>184</v>
      </c>
      <c r="B113" s="4" t="s">
        <v>185</v>
      </c>
      <c r="C113" s="7"/>
      <c r="D113" s="7">
        <f>F113-E113</f>
        <v>0</v>
      </c>
      <c r="E113" s="6">
        <f t="shared" si="2"/>
        <v>0</v>
      </c>
      <c r="F113" s="6">
        <f t="shared" si="2"/>
        <v>0</v>
      </c>
      <c r="G113" s="62"/>
      <c r="H113" s="62"/>
      <c r="I113" s="60"/>
      <c r="J113" s="60"/>
      <c r="K113" s="64"/>
      <c r="L113" s="64"/>
      <c r="M113" s="25"/>
      <c r="N113" s="25"/>
    </row>
    <row r="114" spans="1:14">
      <c r="A114" s="8" t="s">
        <v>186</v>
      </c>
      <c r="B114" s="4" t="s">
        <v>187</v>
      </c>
      <c r="C114" s="7">
        <f>E114-F114</f>
        <v>0</v>
      </c>
      <c r="D114" s="7"/>
      <c r="E114" s="6">
        <f t="shared" si="2"/>
        <v>0</v>
      </c>
      <c r="F114" s="6">
        <f t="shared" si="2"/>
        <v>0</v>
      </c>
      <c r="G114" s="62"/>
      <c r="H114" s="62"/>
      <c r="I114" s="60"/>
      <c r="J114" s="60"/>
      <c r="K114" s="64"/>
      <c r="L114" s="64"/>
      <c r="M114" s="25"/>
      <c r="N114" s="25"/>
    </row>
    <row r="115" spans="1:14" ht="28.5">
      <c r="A115" s="8" t="s">
        <v>188</v>
      </c>
      <c r="B115" s="4" t="s">
        <v>189</v>
      </c>
      <c r="C115" s="7"/>
      <c r="D115" s="7">
        <f>F115-E115</f>
        <v>0</v>
      </c>
      <c r="E115" s="6">
        <f t="shared" si="2"/>
        <v>0</v>
      </c>
      <c r="F115" s="6">
        <f t="shared" si="2"/>
        <v>0</v>
      </c>
      <c r="G115" s="62"/>
      <c r="H115" s="62"/>
      <c r="I115" s="60"/>
      <c r="J115" s="60"/>
      <c r="K115" s="64"/>
      <c r="L115" s="64"/>
      <c r="M115" s="25"/>
      <c r="N115" s="25"/>
    </row>
    <row r="116" spans="1:14">
      <c r="A116" s="8" t="s">
        <v>190</v>
      </c>
      <c r="B116" s="4" t="s">
        <v>191</v>
      </c>
      <c r="C116" s="7">
        <f>E116-F116</f>
        <v>0</v>
      </c>
      <c r="D116" s="7"/>
      <c r="E116" s="6">
        <f t="shared" si="2"/>
        <v>0</v>
      </c>
      <c r="F116" s="6">
        <f t="shared" si="2"/>
        <v>0</v>
      </c>
      <c r="G116" s="62"/>
      <c r="H116" s="62"/>
      <c r="I116" s="60"/>
      <c r="J116" s="60"/>
      <c r="K116" s="64"/>
      <c r="L116" s="64"/>
      <c r="M116" s="25"/>
      <c r="N116" s="25"/>
    </row>
    <row r="117" spans="1:14">
      <c r="A117" s="8" t="s">
        <v>192</v>
      </c>
      <c r="B117" s="4" t="s">
        <v>193</v>
      </c>
      <c r="C117" s="7"/>
      <c r="D117" s="7">
        <f>F117-E117</f>
        <v>0</v>
      </c>
      <c r="E117" s="6">
        <f t="shared" si="2"/>
        <v>0</v>
      </c>
      <c r="F117" s="6">
        <f t="shared" si="2"/>
        <v>0</v>
      </c>
      <c r="G117" s="62"/>
      <c r="H117" s="62"/>
      <c r="I117" s="60"/>
      <c r="J117" s="60"/>
      <c r="K117" s="64"/>
      <c r="L117" s="64"/>
      <c r="M117" s="25"/>
      <c r="N117" s="25"/>
    </row>
    <row r="118" spans="1:14">
      <c r="A118" s="8" t="s">
        <v>194</v>
      </c>
      <c r="B118" s="4" t="s">
        <v>195</v>
      </c>
      <c r="C118" s="7">
        <f>E118-F118</f>
        <v>0</v>
      </c>
      <c r="D118" s="7"/>
      <c r="E118" s="6">
        <f t="shared" si="2"/>
        <v>0</v>
      </c>
      <c r="F118" s="6">
        <f t="shared" si="2"/>
        <v>0</v>
      </c>
      <c r="G118" s="62"/>
      <c r="H118" s="62"/>
      <c r="I118" s="60"/>
      <c r="J118" s="60"/>
      <c r="K118" s="64"/>
      <c r="L118" s="64"/>
      <c r="M118" s="25"/>
      <c r="N118" s="25"/>
    </row>
    <row r="119" spans="1:14" ht="28.5">
      <c r="A119" s="8" t="s">
        <v>196</v>
      </c>
      <c r="B119" s="4" t="s">
        <v>197</v>
      </c>
      <c r="C119" s="7"/>
      <c r="D119" s="7">
        <f>F119-E119</f>
        <v>0</v>
      </c>
      <c r="E119" s="6">
        <f t="shared" si="2"/>
        <v>0</v>
      </c>
      <c r="F119" s="6">
        <f t="shared" si="2"/>
        <v>0</v>
      </c>
      <c r="G119" s="62"/>
      <c r="H119" s="62"/>
      <c r="I119" s="60"/>
      <c r="J119" s="60"/>
      <c r="K119" s="64"/>
      <c r="L119" s="64"/>
      <c r="M119" s="25"/>
      <c r="N119" s="25"/>
    </row>
    <row r="120" spans="1:14">
      <c r="A120" s="8" t="s">
        <v>198</v>
      </c>
      <c r="B120" s="4" t="s">
        <v>199</v>
      </c>
      <c r="C120" s="7">
        <f>E120-F120</f>
        <v>0</v>
      </c>
      <c r="D120" s="7"/>
      <c r="E120" s="6">
        <f t="shared" si="2"/>
        <v>0</v>
      </c>
      <c r="F120" s="6">
        <f t="shared" si="2"/>
        <v>0</v>
      </c>
      <c r="G120" s="62"/>
      <c r="H120" s="62"/>
      <c r="I120" s="60"/>
      <c r="J120" s="60"/>
      <c r="K120" s="64"/>
      <c r="L120" s="64"/>
      <c r="M120" s="25"/>
      <c r="N120" s="25"/>
    </row>
    <row r="121" spans="1:14" ht="28.5">
      <c r="A121" s="8" t="s">
        <v>200</v>
      </c>
      <c r="B121" s="4" t="s">
        <v>201</v>
      </c>
      <c r="C121" s="7"/>
      <c r="D121" s="7">
        <f>F121-E121</f>
        <v>0</v>
      </c>
      <c r="E121" s="6">
        <f t="shared" si="2"/>
        <v>0</v>
      </c>
      <c r="F121" s="6">
        <f t="shared" si="2"/>
        <v>0</v>
      </c>
      <c r="G121" s="62"/>
      <c r="H121" s="62"/>
      <c r="I121" s="60"/>
      <c r="J121" s="60"/>
      <c r="K121" s="64"/>
      <c r="L121" s="64"/>
      <c r="M121" s="25"/>
      <c r="N121" s="25"/>
    </row>
    <row r="122" spans="1:14">
      <c r="A122" s="8" t="s">
        <v>202</v>
      </c>
      <c r="B122" s="4" t="s">
        <v>203</v>
      </c>
      <c r="C122" s="7">
        <f>E122-F122</f>
        <v>0</v>
      </c>
      <c r="D122" s="7"/>
      <c r="E122" s="6">
        <f t="shared" si="2"/>
        <v>0</v>
      </c>
      <c r="F122" s="6">
        <f t="shared" si="2"/>
        <v>0</v>
      </c>
      <c r="G122" s="62"/>
      <c r="H122" s="62"/>
      <c r="I122" s="60"/>
      <c r="J122" s="60"/>
      <c r="K122" s="64"/>
      <c r="L122" s="64"/>
      <c r="M122" s="25"/>
      <c r="N122" s="25"/>
    </row>
    <row r="123" spans="1:14" ht="28.5">
      <c r="A123" s="8" t="s">
        <v>204</v>
      </c>
      <c r="B123" s="4" t="s">
        <v>205</v>
      </c>
      <c r="C123" s="7"/>
      <c r="D123" s="7">
        <f>F123-E123</f>
        <v>0</v>
      </c>
      <c r="E123" s="6">
        <f t="shared" si="2"/>
        <v>0</v>
      </c>
      <c r="F123" s="6">
        <f t="shared" si="2"/>
        <v>0</v>
      </c>
      <c r="G123" s="62"/>
      <c r="H123" s="62"/>
      <c r="I123" s="60"/>
      <c r="J123" s="60"/>
      <c r="K123" s="64"/>
      <c r="L123" s="64"/>
      <c r="M123" s="25"/>
      <c r="N123" s="25"/>
    </row>
    <row r="124" spans="1:14">
      <c r="A124" s="8" t="s">
        <v>206</v>
      </c>
      <c r="B124" s="4" t="s">
        <v>207</v>
      </c>
      <c r="C124" s="7">
        <f>E124-F124</f>
        <v>0</v>
      </c>
      <c r="D124" s="7"/>
      <c r="E124" s="6">
        <f t="shared" si="2"/>
        <v>0</v>
      </c>
      <c r="F124" s="6">
        <f t="shared" si="2"/>
        <v>0</v>
      </c>
      <c r="G124" s="62"/>
      <c r="H124" s="62"/>
      <c r="I124" s="60"/>
      <c r="J124" s="60"/>
      <c r="K124" s="64"/>
      <c r="L124" s="64"/>
      <c r="M124" s="25"/>
      <c r="N124" s="25"/>
    </row>
    <row r="125" spans="1:14">
      <c r="A125" s="8" t="s">
        <v>208</v>
      </c>
      <c r="B125" s="4" t="s">
        <v>209</v>
      </c>
      <c r="C125" s="7"/>
      <c r="D125" s="7">
        <f>F125-E125</f>
        <v>0</v>
      </c>
      <c r="E125" s="6">
        <f t="shared" si="2"/>
        <v>0</v>
      </c>
      <c r="F125" s="6">
        <f t="shared" si="2"/>
        <v>0</v>
      </c>
      <c r="G125" s="62"/>
      <c r="H125" s="62"/>
      <c r="I125" s="60"/>
      <c r="J125" s="60"/>
      <c r="K125" s="64"/>
      <c r="L125" s="64"/>
      <c r="M125" s="25"/>
      <c r="N125" s="25"/>
    </row>
    <row r="126" spans="1:14">
      <c r="A126" s="8" t="s">
        <v>210</v>
      </c>
      <c r="B126" s="4" t="s">
        <v>211</v>
      </c>
      <c r="C126" s="7">
        <f>E126-F126</f>
        <v>0</v>
      </c>
      <c r="D126" s="7"/>
      <c r="E126" s="6">
        <f t="shared" si="2"/>
        <v>0</v>
      </c>
      <c r="F126" s="6">
        <f t="shared" si="2"/>
        <v>0</v>
      </c>
      <c r="G126" s="62"/>
      <c r="H126" s="62"/>
      <c r="I126" s="60"/>
      <c r="J126" s="60"/>
      <c r="K126" s="64"/>
      <c r="L126" s="64"/>
      <c r="M126" s="25"/>
      <c r="N126" s="25"/>
    </row>
    <row r="127" spans="1:14" ht="28.5">
      <c r="A127" s="8" t="s">
        <v>212</v>
      </c>
      <c r="B127" s="4" t="s">
        <v>213</v>
      </c>
      <c r="C127" s="7"/>
      <c r="D127" s="7">
        <f>F127-E127</f>
        <v>0</v>
      </c>
      <c r="E127" s="6">
        <f t="shared" si="2"/>
        <v>0</v>
      </c>
      <c r="F127" s="6">
        <f t="shared" si="2"/>
        <v>0</v>
      </c>
      <c r="G127" s="62"/>
      <c r="H127" s="62"/>
      <c r="I127" s="60"/>
      <c r="J127" s="60"/>
      <c r="K127" s="64"/>
      <c r="L127" s="64"/>
      <c r="M127" s="25"/>
      <c r="N127" s="25"/>
    </row>
    <row r="128" spans="1:14">
      <c r="A128" s="8" t="s">
        <v>214</v>
      </c>
      <c r="B128" s="4" t="s">
        <v>215</v>
      </c>
      <c r="C128" s="7">
        <f>E128-F128</f>
        <v>0</v>
      </c>
      <c r="D128" s="7"/>
      <c r="E128" s="6">
        <f t="shared" si="2"/>
        <v>0</v>
      </c>
      <c r="F128" s="6">
        <f t="shared" si="2"/>
        <v>0</v>
      </c>
      <c r="G128" s="62"/>
      <c r="H128" s="62"/>
      <c r="I128" s="60"/>
      <c r="J128" s="60"/>
      <c r="K128" s="64"/>
      <c r="L128" s="64"/>
      <c r="M128" s="25"/>
      <c r="N128" s="25"/>
    </row>
    <row r="129" spans="1:14" ht="28.5">
      <c r="A129" s="8" t="s">
        <v>216</v>
      </c>
      <c r="B129" s="4" t="s">
        <v>217</v>
      </c>
      <c r="C129" s="7"/>
      <c r="D129" s="7">
        <f>F129-E129</f>
        <v>0</v>
      </c>
      <c r="E129" s="6">
        <f t="shared" si="2"/>
        <v>0</v>
      </c>
      <c r="F129" s="6">
        <f t="shared" si="2"/>
        <v>0</v>
      </c>
      <c r="G129" s="62"/>
      <c r="H129" s="62"/>
      <c r="I129" s="60"/>
      <c r="J129" s="60"/>
      <c r="K129" s="64"/>
      <c r="L129" s="64"/>
      <c r="M129" s="25"/>
      <c r="N129" s="25"/>
    </row>
    <row r="130" spans="1:14">
      <c r="A130" s="8" t="s">
        <v>218</v>
      </c>
      <c r="B130" s="4" t="s">
        <v>219</v>
      </c>
      <c r="C130" s="7">
        <f>E130-F130</f>
        <v>0</v>
      </c>
      <c r="D130" s="7"/>
      <c r="E130" s="6">
        <f t="shared" si="2"/>
        <v>0</v>
      </c>
      <c r="F130" s="6">
        <f t="shared" si="2"/>
        <v>0</v>
      </c>
      <c r="G130" s="62"/>
      <c r="H130" s="62"/>
      <c r="I130" s="60"/>
      <c r="J130" s="60"/>
      <c r="K130" s="64"/>
      <c r="L130" s="64"/>
      <c r="M130" s="25"/>
      <c r="N130" s="25"/>
    </row>
    <row r="131" spans="1:14">
      <c r="A131" s="8" t="s">
        <v>220</v>
      </c>
      <c r="B131" s="4" t="s">
        <v>221</v>
      </c>
      <c r="C131" s="7"/>
      <c r="D131" s="7">
        <f>F131-E131</f>
        <v>0</v>
      </c>
      <c r="E131" s="6">
        <f t="shared" si="2"/>
        <v>0</v>
      </c>
      <c r="F131" s="6">
        <f t="shared" si="2"/>
        <v>0</v>
      </c>
      <c r="G131" s="62"/>
      <c r="H131" s="62"/>
      <c r="I131" s="60"/>
      <c r="J131" s="60"/>
      <c r="K131" s="64"/>
      <c r="L131" s="64"/>
      <c r="M131" s="25"/>
      <c r="N131" s="25"/>
    </row>
    <row r="132" spans="1:14">
      <c r="A132" s="8" t="s">
        <v>222</v>
      </c>
      <c r="B132" s="4" t="s">
        <v>223</v>
      </c>
      <c r="C132" s="7">
        <f>E132-F132</f>
        <v>0</v>
      </c>
      <c r="D132" s="7"/>
      <c r="E132" s="6">
        <f t="shared" si="2"/>
        <v>0</v>
      </c>
      <c r="F132" s="6">
        <f t="shared" si="2"/>
        <v>0</v>
      </c>
      <c r="G132" s="62"/>
      <c r="H132" s="62"/>
      <c r="I132" s="60"/>
      <c r="J132" s="60"/>
      <c r="K132" s="64"/>
      <c r="L132" s="64"/>
      <c r="M132" s="25"/>
      <c r="N132" s="25"/>
    </row>
    <row r="133" spans="1:14" ht="28.5">
      <c r="A133" s="8" t="s">
        <v>224</v>
      </c>
      <c r="B133" s="4" t="s">
        <v>225</v>
      </c>
      <c r="C133" s="7"/>
      <c r="D133" s="7">
        <f>F133-E133</f>
        <v>0</v>
      </c>
      <c r="E133" s="6">
        <f t="shared" si="2"/>
        <v>0</v>
      </c>
      <c r="F133" s="6">
        <f t="shared" si="2"/>
        <v>0</v>
      </c>
      <c r="G133" s="62"/>
      <c r="H133" s="62"/>
      <c r="I133" s="60"/>
      <c r="J133" s="60"/>
      <c r="K133" s="64"/>
      <c r="L133" s="64"/>
      <c r="M133" s="25"/>
      <c r="N133" s="25"/>
    </row>
    <row r="134" spans="1:14">
      <c r="A134" s="8" t="s">
        <v>226</v>
      </c>
      <c r="B134" s="4" t="s">
        <v>227</v>
      </c>
      <c r="C134" s="7">
        <f>E134-F134</f>
        <v>0</v>
      </c>
      <c r="D134" s="7"/>
      <c r="E134" s="6">
        <f t="shared" si="2"/>
        <v>0</v>
      </c>
      <c r="F134" s="6">
        <f t="shared" si="2"/>
        <v>0</v>
      </c>
      <c r="G134" s="62"/>
      <c r="H134" s="62"/>
      <c r="I134" s="60"/>
      <c r="J134" s="60"/>
      <c r="K134" s="64"/>
      <c r="L134" s="64"/>
      <c r="M134" s="25"/>
      <c r="N134" s="25"/>
    </row>
    <row r="135" spans="1:14" ht="28.5">
      <c r="A135" s="8" t="s">
        <v>228</v>
      </c>
      <c r="B135" s="4" t="s">
        <v>229</v>
      </c>
      <c r="C135" s="7"/>
      <c r="D135" s="7">
        <f>F135-E135</f>
        <v>0</v>
      </c>
      <c r="E135" s="6">
        <f t="shared" si="2"/>
        <v>0</v>
      </c>
      <c r="F135" s="6">
        <f t="shared" si="2"/>
        <v>0</v>
      </c>
      <c r="G135" s="62"/>
      <c r="H135" s="62"/>
      <c r="I135" s="60"/>
      <c r="J135" s="60"/>
      <c r="K135" s="64"/>
      <c r="L135" s="64"/>
      <c r="M135" s="25"/>
      <c r="N135" s="25"/>
    </row>
    <row r="136" spans="1:14">
      <c r="A136" s="8" t="s">
        <v>230</v>
      </c>
      <c r="B136" s="4" t="s">
        <v>231</v>
      </c>
      <c r="C136" s="7">
        <f>E136-F136</f>
        <v>0</v>
      </c>
      <c r="D136" s="7"/>
      <c r="E136" s="6">
        <f t="shared" si="2"/>
        <v>0</v>
      </c>
      <c r="F136" s="6">
        <f t="shared" si="2"/>
        <v>0</v>
      </c>
      <c r="G136" s="62"/>
      <c r="H136" s="62"/>
      <c r="I136" s="60"/>
      <c r="J136" s="60"/>
      <c r="K136" s="64"/>
      <c r="L136" s="64"/>
      <c r="M136" s="25"/>
      <c r="N136" s="25"/>
    </row>
    <row r="137" spans="1:14">
      <c r="A137" s="8" t="s">
        <v>232</v>
      </c>
      <c r="B137" s="4" t="s">
        <v>233</v>
      </c>
      <c r="C137" s="7"/>
      <c r="D137" s="7">
        <f>F137-E137</f>
        <v>0</v>
      </c>
      <c r="E137" s="6">
        <f t="shared" si="2"/>
        <v>0</v>
      </c>
      <c r="F137" s="6">
        <f t="shared" si="2"/>
        <v>0</v>
      </c>
      <c r="G137" s="62"/>
      <c r="H137" s="62"/>
      <c r="I137" s="60"/>
      <c r="J137" s="60"/>
      <c r="K137" s="64"/>
      <c r="L137" s="64"/>
      <c r="M137" s="25"/>
      <c r="N137" s="25"/>
    </row>
    <row r="138" spans="1:14">
      <c r="A138" s="8" t="s">
        <v>234</v>
      </c>
      <c r="B138" s="4" t="s">
        <v>235</v>
      </c>
      <c r="C138" s="7">
        <f>E138-F138</f>
        <v>0</v>
      </c>
      <c r="D138" s="7"/>
      <c r="E138" s="6">
        <f t="shared" si="2"/>
        <v>0</v>
      </c>
      <c r="F138" s="6">
        <f t="shared" si="2"/>
        <v>0</v>
      </c>
      <c r="G138" s="62"/>
      <c r="H138" s="62"/>
      <c r="I138" s="60"/>
      <c r="J138" s="60"/>
      <c r="K138" s="64"/>
      <c r="L138" s="64"/>
      <c r="M138" s="25"/>
      <c r="N138" s="25"/>
    </row>
    <row r="139" spans="1:14">
      <c r="A139" s="8" t="s">
        <v>236</v>
      </c>
      <c r="B139" s="4" t="s">
        <v>237</v>
      </c>
      <c r="C139" s="7"/>
      <c r="D139" s="7">
        <f>F139-E139</f>
        <v>0</v>
      </c>
      <c r="E139" s="6">
        <f t="shared" si="2"/>
        <v>0</v>
      </c>
      <c r="F139" s="6">
        <f t="shared" si="2"/>
        <v>0</v>
      </c>
      <c r="G139" s="62"/>
      <c r="H139" s="62"/>
      <c r="I139" s="60"/>
      <c r="J139" s="60"/>
      <c r="K139" s="64"/>
      <c r="L139" s="64"/>
      <c r="M139" s="25"/>
      <c r="N139" s="25"/>
    </row>
    <row r="140" spans="1:14">
      <c r="A140" s="8" t="s">
        <v>238</v>
      </c>
      <c r="B140" s="4" t="s">
        <v>239</v>
      </c>
      <c r="C140" s="7">
        <f>E140-F140</f>
        <v>0</v>
      </c>
      <c r="D140" s="7"/>
      <c r="E140" s="6">
        <f t="shared" si="2"/>
        <v>0</v>
      </c>
      <c r="F140" s="6">
        <f t="shared" si="2"/>
        <v>0</v>
      </c>
      <c r="G140" s="62"/>
      <c r="H140" s="62"/>
      <c r="I140" s="60"/>
      <c r="J140" s="60"/>
      <c r="K140" s="64"/>
      <c r="L140" s="64"/>
      <c r="M140" s="25"/>
      <c r="N140" s="25"/>
    </row>
    <row r="141" spans="1:14" ht="28.5">
      <c r="A141" s="8" t="s">
        <v>240</v>
      </c>
      <c r="B141" s="4" t="s">
        <v>241</v>
      </c>
      <c r="C141" s="7"/>
      <c r="D141" s="7">
        <f>F141-E141</f>
        <v>0</v>
      </c>
      <c r="E141" s="6">
        <f t="shared" si="2"/>
        <v>0</v>
      </c>
      <c r="F141" s="6">
        <f t="shared" si="2"/>
        <v>0</v>
      </c>
      <c r="G141" s="62"/>
      <c r="H141" s="62"/>
      <c r="I141" s="60"/>
      <c r="J141" s="60"/>
      <c r="K141" s="64"/>
      <c r="L141" s="64"/>
      <c r="M141" s="25"/>
      <c r="N141" s="25"/>
    </row>
    <row r="142" spans="1:14">
      <c r="A142" s="8" t="s">
        <v>242</v>
      </c>
      <c r="B142" s="4" t="s">
        <v>243</v>
      </c>
      <c r="C142" s="7">
        <f>E142-F142</f>
        <v>0</v>
      </c>
      <c r="D142" s="7"/>
      <c r="E142" s="6">
        <f t="shared" ref="E142:F205" si="3">SUM(G142,I142,K142,M142)</f>
        <v>0</v>
      </c>
      <c r="F142" s="6">
        <f t="shared" si="3"/>
        <v>0</v>
      </c>
      <c r="G142" s="62"/>
      <c r="H142" s="62"/>
      <c r="I142" s="60"/>
      <c r="J142" s="60"/>
      <c r="K142" s="64"/>
      <c r="L142" s="64"/>
      <c r="M142" s="25"/>
      <c r="N142" s="25"/>
    </row>
    <row r="143" spans="1:14">
      <c r="A143" s="8" t="s">
        <v>244</v>
      </c>
      <c r="B143" s="4" t="s">
        <v>245</v>
      </c>
      <c r="C143" s="7"/>
      <c r="D143" s="7">
        <f>F143-E143</f>
        <v>0</v>
      </c>
      <c r="E143" s="6">
        <f t="shared" si="3"/>
        <v>0</v>
      </c>
      <c r="F143" s="6">
        <f t="shared" si="3"/>
        <v>0</v>
      </c>
      <c r="G143" s="62"/>
      <c r="H143" s="62"/>
      <c r="I143" s="60"/>
      <c r="J143" s="60"/>
      <c r="K143" s="64"/>
      <c r="L143" s="64"/>
      <c r="M143" s="25"/>
      <c r="N143" s="25"/>
    </row>
    <row r="144" spans="1:14">
      <c r="A144" s="8" t="s">
        <v>246</v>
      </c>
      <c r="B144" s="4" t="s">
        <v>247</v>
      </c>
      <c r="C144" s="7">
        <f>E144-F144</f>
        <v>0</v>
      </c>
      <c r="D144" s="7"/>
      <c r="E144" s="6">
        <f t="shared" si="3"/>
        <v>0</v>
      </c>
      <c r="F144" s="6">
        <f t="shared" si="3"/>
        <v>0</v>
      </c>
      <c r="G144" s="62"/>
      <c r="H144" s="62"/>
      <c r="I144" s="60"/>
      <c r="J144" s="60"/>
      <c r="K144" s="64"/>
      <c r="L144" s="64"/>
      <c r="M144" s="25"/>
      <c r="N144" s="25"/>
    </row>
    <row r="145" spans="1:14" ht="28.5">
      <c r="A145" s="8" t="s">
        <v>248</v>
      </c>
      <c r="B145" s="4" t="s">
        <v>249</v>
      </c>
      <c r="C145" s="7"/>
      <c r="D145" s="7">
        <f>F145-E145</f>
        <v>0</v>
      </c>
      <c r="E145" s="6">
        <f t="shared" si="3"/>
        <v>0</v>
      </c>
      <c r="F145" s="6">
        <f t="shared" si="3"/>
        <v>0</v>
      </c>
      <c r="G145" s="62"/>
      <c r="H145" s="62"/>
      <c r="I145" s="60"/>
      <c r="J145" s="60"/>
      <c r="K145" s="64"/>
      <c r="L145" s="64"/>
      <c r="M145" s="25"/>
      <c r="N145" s="25"/>
    </row>
    <row r="146" spans="1:14">
      <c r="A146" s="8" t="s">
        <v>250</v>
      </c>
      <c r="B146" s="4" t="s">
        <v>251</v>
      </c>
      <c r="C146" s="7">
        <f>E146-F146</f>
        <v>0</v>
      </c>
      <c r="D146" s="7"/>
      <c r="E146" s="6">
        <f t="shared" si="3"/>
        <v>0</v>
      </c>
      <c r="F146" s="6">
        <f t="shared" si="3"/>
        <v>0</v>
      </c>
      <c r="G146" s="62"/>
      <c r="H146" s="62"/>
      <c r="I146" s="60"/>
      <c r="J146" s="60"/>
      <c r="K146" s="64"/>
      <c r="L146" s="64"/>
      <c r="M146" s="25"/>
      <c r="N146" s="25"/>
    </row>
    <row r="147" spans="1:14" ht="28.5">
      <c r="A147" s="8" t="s">
        <v>252</v>
      </c>
      <c r="B147" s="4" t="s">
        <v>253</v>
      </c>
      <c r="C147" s="7"/>
      <c r="D147" s="7">
        <f>F147-E147</f>
        <v>0</v>
      </c>
      <c r="E147" s="6">
        <f t="shared" si="3"/>
        <v>0</v>
      </c>
      <c r="F147" s="6">
        <f t="shared" si="3"/>
        <v>0</v>
      </c>
      <c r="G147" s="62"/>
      <c r="H147" s="62"/>
      <c r="I147" s="60"/>
      <c r="J147" s="60"/>
      <c r="K147" s="64"/>
      <c r="L147" s="64"/>
      <c r="M147" s="25"/>
      <c r="N147" s="25"/>
    </row>
    <row r="148" spans="1:14">
      <c r="A148" s="8" t="s">
        <v>254</v>
      </c>
      <c r="B148" s="4" t="s">
        <v>255</v>
      </c>
      <c r="C148" s="7">
        <f t="shared" ref="C148:C173" si="4">E148-F148</f>
        <v>0</v>
      </c>
      <c r="D148" s="7"/>
      <c r="E148" s="6">
        <f t="shared" si="3"/>
        <v>0</v>
      </c>
      <c r="F148" s="6">
        <f t="shared" si="3"/>
        <v>0</v>
      </c>
      <c r="G148" s="62"/>
      <c r="H148" s="62"/>
      <c r="I148" s="60"/>
      <c r="J148" s="60"/>
      <c r="K148" s="64"/>
      <c r="L148" s="64"/>
      <c r="M148" s="25"/>
      <c r="N148" s="25"/>
    </row>
    <row r="149" spans="1:14">
      <c r="A149" s="8" t="s">
        <v>256</v>
      </c>
      <c r="B149" s="4" t="s">
        <v>257</v>
      </c>
      <c r="C149" s="7">
        <f t="shared" si="4"/>
        <v>0</v>
      </c>
      <c r="D149" s="7"/>
      <c r="E149" s="6">
        <f t="shared" si="3"/>
        <v>0</v>
      </c>
      <c r="F149" s="6">
        <f t="shared" si="3"/>
        <v>0</v>
      </c>
      <c r="G149" s="62"/>
      <c r="H149" s="62"/>
      <c r="I149" s="60"/>
      <c r="J149" s="60"/>
      <c r="K149" s="64"/>
      <c r="L149" s="64"/>
      <c r="M149" s="25"/>
      <c r="N149" s="25"/>
    </row>
    <row r="150" spans="1:14">
      <c r="A150" s="8" t="s">
        <v>258</v>
      </c>
      <c r="B150" s="4" t="s">
        <v>259</v>
      </c>
      <c r="C150" s="7">
        <f t="shared" si="4"/>
        <v>0</v>
      </c>
      <c r="D150" s="7"/>
      <c r="E150" s="6">
        <f t="shared" si="3"/>
        <v>0</v>
      </c>
      <c r="F150" s="6">
        <f t="shared" si="3"/>
        <v>0</v>
      </c>
      <c r="G150" s="62"/>
      <c r="H150" s="62"/>
      <c r="I150" s="60"/>
      <c r="J150" s="60"/>
      <c r="K150" s="64"/>
      <c r="L150" s="64"/>
      <c r="M150" s="25"/>
      <c r="N150" s="25"/>
    </row>
    <row r="151" spans="1:14" ht="28.5">
      <c r="A151" s="8" t="s">
        <v>260</v>
      </c>
      <c r="B151" s="4" t="s">
        <v>261</v>
      </c>
      <c r="C151" s="7">
        <f t="shared" si="4"/>
        <v>0</v>
      </c>
      <c r="D151" s="7"/>
      <c r="E151" s="6">
        <f t="shared" si="3"/>
        <v>0</v>
      </c>
      <c r="F151" s="6">
        <f t="shared" si="3"/>
        <v>0</v>
      </c>
      <c r="G151" s="62"/>
      <c r="H151" s="62"/>
      <c r="I151" s="60"/>
      <c r="J151" s="60"/>
      <c r="K151" s="64"/>
      <c r="L151" s="64"/>
      <c r="M151" s="25"/>
      <c r="N151" s="25"/>
    </row>
    <row r="152" spans="1:14">
      <c r="A152" s="8" t="s">
        <v>262</v>
      </c>
      <c r="B152" s="4" t="s">
        <v>263</v>
      </c>
      <c r="C152" s="7">
        <f t="shared" si="4"/>
        <v>0</v>
      </c>
      <c r="D152" s="7"/>
      <c r="E152" s="6">
        <f t="shared" si="3"/>
        <v>0</v>
      </c>
      <c r="F152" s="6">
        <f t="shared" si="3"/>
        <v>0</v>
      </c>
      <c r="G152" s="62"/>
      <c r="H152" s="62"/>
      <c r="I152" s="60"/>
      <c r="J152" s="60"/>
      <c r="K152" s="64"/>
      <c r="L152" s="64"/>
      <c r="M152" s="25"/>
      <c r="N152" s="25"/>
    </row>
    <row r="153" spans="1:14">
      <c r="A153" s="8" t="s">
        <v>264</v>
      </c>
      <c r="B153" s="4" t="s">
        <v>265</v>
      </c>
      <c r="C153" s="7">
        <f t="shared" si="4"/>
        <v>0</v>
      </c>
      <c r="D153" s="7"/>
      <c r="E153" s="6">
        <f t="shared" si="3"/>
        <v>0</v>
      </c>
      <c r="F153" s="6">
        <f t="shared" si="3"/>
        <v>0</v>
      </c>
      <c r="G153" s="62"/>
      <c r="H153" s="62"/>
      <c r="I153" s="60"/>
      <c r="J153" s="60"/>
      <c r="K153" s="64"/>
      <c r="L153" s="64"/>
      <c r="M153" s="25"/>
      <c r="N153" s="25"/>
    </row>
    <row r="154" spans="1:14" ht="28.5">
      <c r="A154" s="8" t="s">
        <v>266</v>
      </c>
      <c r="B154" s="4" t="s">
        <v>267</v>
      </c>
      <c r="C154" s="7">
        <f t="shared" si="4"/>
        <v>0</v>
      </c>
      <c r="D154" s="7"/>
      <c r="E154" s="6">
        <f t="shared" si="3"/>
        <v>0</v>
      </c>
      <c r="F154" s="6">
        <f t="shared" si="3"/>
        <v>0</v>
      </c>
      <c r="G154" s="62"/>
      <c r="H154" s="62"/>
      <c r="I154" s="60"/>
      <c r="J154" s="60"/>
      <c r="K154" s="64"/>
      <c r="L154" s="64"/>
      <c r="M154" s="25"/>
      <c r="N154" s="25"/>
    </row>
    <row r="155" spans="1:14">
      <c r="A155" s="8" t="s">
        <v>268</v>
      </c>
      <c r="B155" s="4" t="s">
        <v>269</v>
      </c>
      <c r="C155" s="7">
        <f t="shared" si="4"/>
        <v>0</v>
      </c>
      <c r="D155" s="7"/>
      <c r="E155" s="6">
        <f t="shared" si="3"/>
        <v>0</v>
      </c>
      <c r="F155" s="6">
        <f t="shared" si="3"/>
        <v>0</v>
      </c>
      <c r="G155" s="62"/>
      <c r="H155" s="62"/>
      <c r="I155" s="60"/>
      <c r="J155" s="60"/>
      <c r="K155" s="64"/>
      <c r="L155" s="64"/>
      <c r="M155" s="25"/>
      <c r="N155" s="25"/>
    </row>
    <row r="156" spans="1:14">
      <c r="A156" s="8" t="s">
        <v>270</v>
      </c>
      <c r="B156" s="4" t="s">
        <v>271</v>
      </c>
      <c r="C156" s="7">
        <f t="shared" si="4"/>
        <v>0</v>
      </c>
      <c r="D156" s="7"/>
      <c r="E156" s="6">
        <f t="shared" si="3"/>
        <v>0</v>
      </c>
      <c r="F156" s="6">
        <f t="shared" si="3"/>
        <v>0</v>
      </c>
      <c r="G156" s="62"/>
      <c r="H156" s="62"/>
      <c r="I156" s="60"/>
      <c r="J156" s="60"/>
      <c r="K156" s="64"/>
      <c r="L156" s="64"/>
      <c r="M156" s="25"/>
      <c r="N156" s="25"/>
    </row>
    <row r="157" spans="1:14">
      <c r="A157" s="8" t="s">
        <v>272</v>
      </c>
      <c r="B157" s="4" t="s">
        <v>273</v>
      </c>
      <c r="C157" s="7">
        <f t="shared" si="4"/>
        <v>0</v>
      </c>
      <c r="D157" s="7"/>
      <c r="E157" s="6">
        <f t="shared" si="3"/>
        <v>0</v>
      </c>
      <c r="F157" s="6">
        <f t="shared" si="3"/>
        <v>0</v>
      </c>
      <c r="G157" s="62"/>
      <c r="H157" s="62"/>
      <c r="I157" s="60"/>
      <c r="J157" s="60"/>
      <c r="K157" s="64"/>
      <c r="L157" s="64"/>
      <c r="M157" s="25"/>
      <c r="N157" s="25"/>
    </row>
    <row r="158" spans="1:14">
      <c r="A158" s="8" t="s">
        <v>274</v>
      </c>
      <c r="B158" s="4" t="s">
        <v>275</v>
      </c>
      <c r="C158" s="7">
        <f t="shared" si="4"/>
        <v>0</v>
      </c>
      <c r="D158" s="7"/>
      <c r="E158" s="6">
        <f t="shared" si="3"/>
        <v>0</v>
      </c>
      <c r="F158" s="6">
        <f t="shared" si="3"/>
        <v>0</v>
      </c>
      <c r="G158" s="62"/>
      <c r="H158" s="62"/>
      <c r="I158" s="60"/>
      <c r="J158" s="60"/>
      <c r="K158" s="64"/>
      <c r="L158" s="64"/>
      <c r="M158" s="25"/>
      <c r="N158" s="25"/>
    </row>
    <row r="159" spans="1:14" ht="28.5">
      <c r="A159" s="8" t="s">
        <v>276</v>
      </c>
      <c r="B159" s="4" t="s">
        <v>277</v>
      </c>
      <c r="C159" s="7">
        <f t="shared" si="4"/>
        <v>0</v>
      </c>
      <c r="D159" s="7"/>
      <c r="E159" s="6">
        <f t="shared" si="3"/>
        <v>0</v>
      </c>
      <c r="F159" s="6">
        <f t="shared" si="3"/>
        <v>0</v>
      </c>
      <c r="G159" s="62"/>
      <c r="H159" s="62"/>
      <c r="I159" s="60"/>
      <c r="J159" s="60"/>
      <c r="K159" s="64"/>
      <c r="L159" s="64"/>
      <c r="M159" s="25"/>
      <c r="N159" s="25"/>
    </row>
    <row r="160" spans="1:14" ht="28.5">
      <c r="A160" s="8" t="s">
        <v>278</v>
      </c>
      <c r="B160" s="4" t="s">
        <v>279</v>
      </c>
      <c r="C160" s="7">
        <f t="shared" si="4"/>
        <v>0</v>
      </c>
      <c r="D160" s="7"/>
      <c r="E160" s="6">
        <f t="shared" si="3"/>
        <v>0</v>
      </c>
      <c r="F160" s="6">
        <f t="shared" si="3"/>
        <v>0</v>
      </c>
      <c r="G160" s="62"/>
      <c r="H160" s="62"/>
      <c r="I160" s="60"/>
      <c r="J160" s="60"/>
      <c r="K160" s="64"/>
      <c r="L160" s="64"/>
      <c r="M160" s="25"/>
      <c r="N160" s="25"/>
    </row>
    <row r="161" spans="1:14" ht="28.5">
      <c r="A161" s="8" t="s">
        <v>280</v>
      </c>
      <c r="B161" s="4" t="s">
        <v>281</v>
      </c>
      <c r="C161" s="7">
        <f t="shared" si="4"/>
        <v>0</v>
      </c>
      <c r="D161" s="7"/>
      <c r="E161" s="6">
        <f t="shared" si="3"/>
        <v>0</v>
      </c>
      <c r="F161" s="6">
        <f t="shared" si="3"/>
        <v>0</v>
      </c>
      <c r="G161" s="62"/>
      <c r="H161" s="62"/>
      <c r="I161" s="60"/>
      <c r="J161" s="60"/>
      <c r="K161" s="64"/>
      <c r="L161" s="64"/>
      <c r="M161" s="25"/>
      <c r="N161" s="25"/>
    </row>
    <row r="162" spans="1:14" ht="28.5">
      <c r="A162" s="8" t="s">
        <v>282</v>
      </c>
      <c r="B162" s="4" t="s">
        <v>283</v>
      </c>
      <c r="C162" s="7">
        <f t="shared" si="4"/>
        <v>0</v>
      </c>
      <c r="D162" s="7"/>
      <c r="E162" s="6">
        <f t="shared" si="3"/>
        <v>0</v>
      </c>
      <c r="F162" s="6">
        <f t="shared" si="3"/>
        <v>0</v>
      </c>
      <c r="G162" s="62"/>
      <c r="H162" s="62"/>
      <c r="I162" s="60"/>
      <c r="J162" s="60"/>
      <c r="K162" s="64"/>
      <c r="L162" s="64"/>
      <c r="M162" s="25"/>
      <c r="N162" s="25"/>
    </row>
    <row r="163" spans="1:14" ht="28.5">
      <c r="A163" s="8" t="s">
        <v>284</v>
      </c>
      <c r="B163" s="4" t="s">
        <v>285</v>
      </c>
      <c r="C163" s="7">
        <f t="shared" si="4"/>
        <v>0</v>
      </c>
      <c r="D163" s="7"/>
      <c r="E163" s="6">
        <f t="shared" si="3"/>
        <v>0</v>
      </c>
      <c r="F163" s="6">
        <f t="shared" si="3"/>
        <v>0</v>
      </c>
      <c r="G163" s="62"/>
      <c r="H163" s="62"/>
      <c r="I163" s="60"/>
      <c r="J163" s="60"/>
      <c r="K163" s="64"/>
      <c r="L163" s="64"/>
      <c r="M163" s="25"/>
      <c r="N163" s="25"/>
    </row>
    <row r="164" spans="1:14">
      <c r="A164" s="8" t="s">
        <v>286</v>
      </c>
      <c r="B164" s="4" t="s">
        <v>287</v>
      </c>
      <c r="C164" s="7">
        <f t="shared" si="4"/>
        <v>0</v>
      </c>
      <c r="D164" s="7"/>
      <c r="E164" s="6">
        <f t="shared" si="3"/>
        <v>0</v>
      </c>
      <c r="F164" s="6">
        <f t="shared" si="3"/>
        <v>0</v>
      </c>
      <c r="G164" s="62"/>
      <c r="H164" s="62"/>
      <c r="I164" s="60"/>
      <c r="J164" s="60"/>
      <c r="K164" s="64"/>
      <c r="L164" s="64"/>
      <c r="M164" s="25"/>
      <c r="N164" s="25"/>
    </row>
    <row r="165" spans="1:14" ht="28.5">
      <c r="A165" s="8" t="s">
        <v>288</v>
      </c>
      <c r="B165" s="4" t="s">
        <v>289</v>
      </c>
      <c r="C165" s="7">
        <f t="shared" si="4"/>
        <v>0</v>
      </c>
      <c r="D165" s="7"/>
      <c r="E165" s="6">
        <f t="shared" si="3"/>
        <v>0</v>
      </c>
      <c r="F165" s="6">
        <f t="shared" si="3"/>
        <v>0</v>
      </c>
      <c r="G165" s="62"/>
      <c r="H165" s="62"/>
      <c r="I165" s="60"/>
      <c r="J165" s="60"/>
      <c r="K165" s="64"/>
      <c r="L165" s="64"/>
      <c r="M165" s="25"/>
      <c r="N165" s="25"/>
    </row>
    <row r="166" spans="1:14" ht="28.5">
      <c r="A166" s="8" t="s">
        <v>290</v>
      </c>
      <c r="B166" s="4" t="s">
        <v>291</v>
      </c>
      <c r="C166" s="7">
        <f t="shared" si="4"/>
        <v>0</v>
      </c>
      <c r="D166" s="7"/>
      <c r="E166" s="6">
        <f t="shared" si="3"/>
        <v>0</v>
      </c>
      <c r="F166" s="6">
        <f t="shared" si="3"/>
        <v>0</v>
      </c>
      <c r="G166" s="62"/>
      <c r="H166" s="62"/>
      <c r="I166" s="60"/>
      <c r="J166" s="60"/>
      <c r="K166" s="64"/>
      <c r="L166" s="64"/>
      <c r="M166" s="25"/>
      <c r="N166" s="25"/>
    </row>
    <row r="167" spans="1:14">
      <c r="A167" s="3" t="s">
        <v>292</v>
      </c>
      <c r="B167" s="4" t="s">
        <v>293</v>
      </c>
      <c r="C167" s="7">
        <f t="shared" si="4"/>
        <v>0</v>
      </c>
      <c r="D167" s="7"/>
      <c r="E167" s="6">
        <f t="shared" si="3"/>
        <v>0</v>
      </c>
      <c r="F167" s="6">
        <f t="shared" si="3"/>
        <v>0</v>
      </c>
      <c r="G167" s="62"/>
      <c r="H167" s="62"/>
      <c r="I167" s="60"/>
      <c r="J167" s="60"/>
      <c r="K167" s="64"/>
      <c r="L167" s="64"/>
      <c r="M167" s="25"/>
      <c r="N167" s="25"/>
    </row>
    <row r="168" spans="1:14">
      <c r="A168" s="3" t="s">
        <v>294</v>
      </c>
      <c r="B168" s="4" t="s">
        <v>295</v>
      </c>
      <c r="C168" s="7">
        <f t="shared" si="4"/>
        <v>0</v>
      </c>
      <c r="D168" s="7"/>
      <c r="E168" s="6">
        <f t="shared" si="3"/>
        <v>0</v>
      </c>
      <c r="F168" s="6">
        <f t="shared" si="3"/>
        <v>0</v>
      </c>
      <c r="G168" s="62"/>
      <c r="H168" s="62"/>
      <c r="I168" s="60"/>
      <c r="J168" s="60"/>
      <c r="K168" s="64"/>
      <c r="L168" s="64"/>
      <c r="M168" s="25"/>
      <c r="N168" s="25"/>
    </row>
    <row r="169" spans="1:14">
      <c r="A169" s="3" t="s">
        <v>296</v>
      </c>
      <c r="B169" s="10" t="s">
        <v>297</v>
      </c>
      <c r="C169" s="7">
        <f t="shared" si="4"/>
        <v>0</v>
      </c>
      <c r="D169" s="7"/>
      <c r="E169" s="6">
        <f t="shared" si="3"/>
        <v>0</v>
      </c>
      <c r="F169" s="6">
        <f t="shared" si="3"/>
        <v>0</v>
      </c>
      <c r="G169" s="62"/>
      <c r="H169" s="62"/>
      <c r="I169" s="60"/>
      <c r="J169" s="60"/>
      <c r="K169" s="64"/>
      <c r="L169" s="64"/>
      <c r="M169" s="25"/>
      <c r="N169" s="25"/>
    </row>
    <row r="170" spans="1:14">
      <c r="A170" s="3" t="s">
        <v>298</v>
      </c>
      <c r="B170" s="10" t="s">
        <v>299</v>
      </c>
      <c r="C170" s="7">
        <f t="shared" si="4"/>
        <v>0</v>
      </c>
      <c r="D170" s="7"/>
      <c r="E170" s="6">
        <f t="shared" si="3"/>
        <v>0</v>
      </c>
      <c r="F170" s="6">
        <f t="shared" si="3"/>
        <v>0</v>
      </c>
      <c r="G170" s="62"/>
      <c r="H170" s="62"/>
      <c r="I170" s="60"/>
      <c r="J170" s="60"/>
      <c r="K170" s="64"/>
      <c r="L170" s="64"/>
      <c r="M170" s="25"/>
      <c r="N170" s="25"/>
    </row>
    <row r="171" spans="1:14">
      <c r="A171" s="3" t="s">
        <v>300</v>
      </c>
      <c r="B171" s="10" t="s">
        <v>301</v>
      </c>
      <c r="C171" s="7">
        <f t="shared" si="4"/>
        <v>0</v>
      </c>
      <c r="D171" s="7"/>
      <c r="E171" s="6">
        <f t="shared" si="3"/>
        <v>0</v>
      </c>
      <c r="F171" s="6">
        <f t="shared" si="3"/>
        <v>0</v>
      </c>
      <c r="G171" s="62"/>
      <c r="H171" s="62"/>
      <c r="I171" s="60"/>
      <c r="J171" s="60"/>
      <c r="K171" s="64"/>
      <c r="L171" s="64"/>
      <c r="M171" s="25"/>
      <c r="N171" s="25"/>
    </row>
    <row r="172" spans="1:14">
      <c r="A172" s="3" t="s">
        <v>302</v>
      </c>
      <c r="B172" s="10" t="s">
        <v>303</v>
      </c>
      <c r="C172" s="7">
        <f t="shared" si="4"/>
        <v>0</v>
      </c>
      <c r="D172" s="7"/>
      <c r="E172" s="6">
        <f t="shared" si="3"/>
        <v>0</v>
      </c>
      <c r="F172" s="6">
        <f t="shared" si="3"/>
        <v>0</v>
      </c>
      <c r="G172" s="62"/>
      <c r="H172" s="62"/>
      <c r="I172" s="60"/>
      <c r="J172" s="60"/>
      <c r="K172" s="64"/>
      <c r="L172" s="64"/>
      <c r="M172" s="25"/>
      <c r="N172" s="25"/>
    </row>
    <row r="173" spans="1:14">
      <c r="A173" s="3" t="s">
        <v>304</v>
      </c>
      <c r="B173" s="10" t="s">
        <v>305</v>
      </c>
      <c r="C173" s="7">
        <f t="shared" si="4"/>
        <v>0</v>
      </c>
      <c r="D173" s="7"/>
      <c r="E173" s="6">
        <f t="shared" si="3"/>
        <v>0</v>
      </c>
      <c r="F173" s="6">
        <f t="shared" si="3"/>
        <v>0</v>
      </c>
      <c r="G173" s="62"/>
      <c r="H173" s="62"/>
      <c r="I173" s="60"/>
      <c r="J173" s="60"/>
      <c r="K173" s="64"/>
      <c r="L173" s="64"/>
      <c r="M173" s="25"/>
      <c r="N173" s="25"/>
    </row>
    <row r="174" spans="1:14">
      <c r="A174" s="3" t="s">
        <v>306</v>
      </c>
      <c r="B174" s="10" t="s">
        <v>307</v>
      </c>
      <c r="C174" s="7"/>
      <c r="D174" s="7">
        <f t="shared" ref="D174:D237" si="5">F174-E174</f>
        <v>0</v>
      </c>
      <c r="E174" s="6">
        <f t="shared" si="3"/>
        <v>0</v>
      </c>
      <c r="F174" s="6">
        <f t="shared" si="3"/>
        <v>0</v>
      </c>
      <c r="G174" s="62"/>
      <c r="H174" s="62"/>
      <c r="I174" s="60"/>
      <c r="J174" s="60"/>
      <c r="K174" s="64"/>
      <c r="L174" s="64"/>
      <c r="M174" s="25"/>
      <c r="N174" s="25"/>
    </row>
    <row r="175" spans="1:14">
      <c r="A175" s="3" t="s">
        <v>308</v>
      </c>
      <c r="B175" s="10" t="s">
        <v>309</v>
      </c>
      <c r="C175" s="7"/>
      <c r="D175" s="7">
        <f t="shared" si="5"/>
        <v>0</v>
      </c>
      <c r="E175" s="6">
        <f t="shared" si="3"/>
        <v>0</v>
      </c>
      <c r="F175" s="6">
        <f t="shared" si="3"/>
        <v>0</v>
      </c>
      <c r="G175" s="62"/>
      <c r="H175" s="62"/>
      <c r="I175" s="60"/>
      <c r="J175" s="60"/>
      <c r="K175" s="64"/>
      <c r="L175" s="64"/>
      <c r="M175" s="25"/>
      <c r="N175" s="25"/>
    </row>
    <row r="176" spans="1:14">
      <c r="A176" s="3" t="s">
        <v>310</v>
      </c>
      <c r="B176" s="10" t="s">
        <v>311</v>
      </c>
      <c r="C176" s="7"/>
      <c r="D176" s="7">
        <f t="shared" si="5"/>
        <v>0</v>
      </c>
      <c r="E176" s="6">
        <f t="shared" si="3"/>
        <v>0</v>
      </c>
      <c r="F176" s="6">
        <f t="shared" si="3"/>
        <v>0</v>
      </c>
      <c r="G176" s="62"/>
      <c r="H176" s="62"/>
      <c r="I176" s="60"/>
      <c r="J176" s="60"/>
      <c r="K176" s="64"/>
      <c r="L176" s="64"/>
      <c r="M176" s="25"/>
      <c r="N176" s="25"/>
    </row>
    <row r="177" spans="1:14">
      <c r="A177" s="3" t="s">
        <v>312</v>
      </c>
      <c r="B177" s="10" t="s">
        <v>313</v>
      </c>
      <c r="C177" s="7"/>
      <c r="D177" s="7">
        <f t="shared" si="5"/>
        <v>0</v>
      </c>
      <c r="E177" s="6">
        <f t="shared" si="3"/>
        <v>0</v>
      </c>
      <c r="F177" s="6">
        <f t="shared" si="3"/>
        <v>0</v>
      </c>
      <c r="G177" s="62"/>
      <c r="H177" s="62"/>
      <c r="I177" s="60"/>
      <c r="J177" s="60"/>
      <c r="K177" s="64"/>
      <c r="L177" s="64"/>
      <c r="M177" s="25"/>
      <c r="N177" s="25"/>
    </row>
    <row r="178" spans="1:14">
      <c r="A178" s="3" t="s">
        <v>314</v>
      </c>
      <c r="B178" s="10" t="s">
        <v>315</v>
      </c>
      <c r="C178" s="7"/>
      <c r="D178" s="7">
        <f t="shared" si="5"/>
        <v>0</v>
      </c>
      <c r="E178" s="6">
        <f t="shared" si="3"/>
        <v>0</v>
      </c>
      <c r="F178" s="6">
        <f t="shared" si="3"/>
        <v>0</v>
      </c>
      <c r="G178" s="62"/>
      <c r="H178" s="62"/>
      <c r="I178" s="60"/>
      <c r="J178" s="60"/>
      <c r="K178" s="64"/>
      <c r="L178" s="64"/>
      <c r="M178" s="25"/>
      <c r="N178" s="25"/>
    </row>
    <row r="179" spans="1:14">
      <c r="A179" s="3" t="s">
        <v>316</v>
      </c>
      <c r="B179" s="10" t="s">
        <v>317</v>
      </c>
      <c r="C179" s="7"/>
      <c r="D179" s="7">
        <f t="shared" si="5"/>
        <v>0</v>
      </c>
      <c r="E179" s="6">
        <f t="shared" si="3"/>
        <v>0</v>
      </c>
      <c r="F179" s="6">
        <f t="shared" si="3"/>
        <v>0</v>
      </c>
      <c r="G179" s="62"/>
      <c r="H179" s="62"/>
      <c r="I179" s="60"/>
      <c r="J179" s="60"/>
      <c r="K179" s="64"/>
      <c r="L179" s="64"/>
      <c r="M179" s="25"/>
      <c r="N179" s="25"/>
    </row>
    <row r="180" spans="1:14">
      <c r="A180" s="3" t="s">
        <v>318</v>
      </c>
      <c r="B180" s="10" t="s">
        <v>319</v>
      </c>
      <c r="C180" s="7"/>
      <c r="D180" s="7">
        <f t="shared" si="5"/>
        <v>0</v>
      </c>
      <c r="E180" s="6">
        <f t="shared" si="3"/>
        <v>0</v>
      </c>
      <c r="F180" s="6">
        <f t="shared" si="3"/>
        <v>0</v>
      </c>
      <c r="G180" s="62"/>
      <c r="H180" s="62"/>
      <c r="I180" s="60"/>
      <c r="J180" s="60"/>
      <c r="K180" s="64"/>
      <c r="L180" s="64"/>
      <c r="M180" s="25"/>
      <c r="N180" s="25"/>
    </row>
    <row r="181" spans="1:14">
      <c r="A181" s="3" t="s">
        <v>320</v>
      </c>
      <c r="B181" s="10" t="s">
        <v>321</v>
      </c>
      <c r="C181" s="7"/>
      <c r="D181" s="7">
        <f t="shared" si="5"/>
        <v>0</v>
      </c>
      <c r="E181" s="6">
        <f t="shared" si="3"/>
        <v>0</v>
      </c>
      <c r="F181" s="6">
        <f t="shared" si="3"/>
        <v>0</v>
      </c>
      <c r="G181" s="62"/>
      <c r="H181" s="62"/>
      <c r="I181" s="60"/>
      <c r="J181" s="60"/>
      <c r="K181" s="64"/>
      <c r="L181" s="64"/>
      <c r="M181" s="25"/>
      <c r="N181" s="25"/>
    </row>
    <row r="182" spans="1:14">
      <c r="A182" s="3" t="s">
        <v>322</v>
      </c>
      <c r="B182" s="10" t="s">
        <v>323</v>
      </c>
      <c r="C182" s="7"/>
      <c r="D182" s="7">
        <f t="shared" si="5"/>
        <v>0</v>
      </c>
      <c r="E182" s="6">
        <f t="shared" si="3"/>
        <v>0</v>
      </c>
      <c r="F182" s="6">
        <f t="shared" si="3"/>
        <v>0</v>
      </c>
      <c r="G182" s="62"/>
      <c r="H182" s="62"/>
      <c r="I182" s="60"/>
      <c r="J182" s="60"/>
      <c r="K182" s="64"/>
      <c r="L182" s="64"/>
      <c r="M182" s="25"/>
      <c r="N182" s="25"/>
    </row>
    <row r="183" spans="1:14">
      <c r="A183" s="3" t="s">
        <v>324</v>
      </c>
      <c r="B183" s="10" t="s">
        <v>325</v>
      </c>
      <c r="C183" s="7"/>
      <c r="D183" s="7">
        <f t="shared" si="5"/>
        <v>0</v>
      </c>
      <c r="E183" s="6">
        <f t="shared" si="3"/>
        <v>0</v>
      </c>
      <c r="F183" s="6">
        <f t="shared" si="3"/>
        <v>0</v>
      </c>
      <c r="G183" s="62"/>
      <c r="H183" s="62"/>
      <c r="I183" s="60"/>
      <c r="J183" s="60"/>
      <c r="K183" s="64"/>
      <c r="L183" s="64"/>
      <c r="M183" s="25"/>
      <c r="N183" s="25"/>
    </row>
    <row r="184" spans="1:14">
      <c r="A184" s="3" t="s">
        <v>326</v>
      </c>
      <c r="B184" s="10" t="s">
        <v>327</v>
      </c>
      <c r="C184" s="7"/>
      <c r="D184" s="7">
        <f t="shared" si="5"/>
        <v>0</v>
      </c>
      <c r="E184" s="6">
        <f t="shared" si="3"/>
        <v>0</v>
      </c>
      <c r="F184" s="6">
        <f t="shared" si="3"/>
        <v>0</v>
      </c>
      <c r="G184" s="62"/>
      <c r="H184" s="62"/>
      <c r="I184" s="60"/>
      <c r="J184" s="60"/>
      <c r="K184" s="64"/>
      <c r="L184" s="64"/>
      <c r="M184" s="25"/>
      <c r="N184" s="25"/>
    </row>
    <row r="185" spans="1:14">
      <c r="A185" s="3" t="s">
        <v>328</v>
      </c>
      <c r="B185" s="10" t="s">
        <v>329</v>
      </c>
      <c r="C185" s="7"/>
      <c r="D185" s="7">
        <f t="shared" si="5"/>
        <v>0</v>
      </c>
      <c r="E185" s="6">
        <f t="shared" si="3"/>
        <v>0</v>
      </c>
      <c r="F185" s="6">
        <f t="shared" si="3"/>
        <v>0</v>
      </c>
      <c r="G185" s="62"/>
      <c r="H185" s="62"/>
      <c r="I185" s="60"/>
      <c r="J185" s="60"/>
      <c r="K185" s="64"/>
      <c r="L185" s="64"/>
      <c r="M185" s="25"/>
      <c r="N185" s="25"/>
    </row>
    <row r="186" spans="1:14">
      <c r="A186" s="3" t="s">
        <v>330</v>
      </c>
      <c r="B186" s="10" t="s">
        <v>331</v>
      </c>
      <c r="C186" s="7"/>
      <c r="D186" s="7">
        <f t="shared" si="5"/>
        <v>0</v>
      </c>
      <c r="E186" s="6">
        <f t="shared" si="3"/>
        <v>0</v>
      </c>
      <c r="F186" s="6">
        <f t="shared" si="3"/>
        <v>0</v>
      </c>
      <c r="G186" s="62"/>
      <c r="H186" s="62"/>
      <c r="I186" s="60"/>
      <c r="J186" s="60"/>
      <c r="K186" s="64"/>
      <c r="L186" s="64"/>
      <c r="M186" s="25"/>
      <c r="N186" s="25"/>
    </row>
    <row r="187" spans="1:14">
      <c r="A187" s="3" t="s">
        <v>332</v>
      </c>
      <c r="B187" s="10" t="s">
        <v>333</v>
      </c>
      <c r="C187" s="5"/>
      <c r="D187" s="5">
        <f t="shared" si="5"/>
        <v>0</v>
      </c>
      <c r="E187" s="6">
        <f t="shared" si="3"/>
        <v>0</v>
      </c>
      <c r="F187" s="6">
        <f t="shared" si="3"/>
        <v>0</v>
      </c>
      <c r="G187" s="62"/>
      <c r="H187" s="62"/>
      <c r="I187" s="60"/>
      <c r="J187" s="60"/>
      <c r="K187" s="64"/>
      <c r="L187" s="64"/>
      <c r="M187" s="25"/>
      <c r="N187" s="25"/>
    </row>
    <row r="188" spans="1:14">
      <c r="A188" s="3" t="s">
        <v>334</v>
      </c>
      <c r="B188" s="10" t="s">
        <v>335</v>
      </c>
      <c r="C188" s="5"/>
      <c r="D188" s="5">
        <f t="shared" si="5"/>
        <v>0</v>
      </c>
      <c r="E188" s="6">
        <f t="shared" si="3"/>
        <v>0</v>
      </c>
      <c r="F188" s="6">
        <f t="shared" si="3"/>
        <v>0</v>
      </c>
      <c r="G188" s="62"/>
      <c r="H188" s="62"/>
      <c r="I188" s="60"/>
      <c r="J188" s="60"/>
      <c r="K188" s="64"/>
      <c r="L188" s="64"/>
      <c r="M188" s="25"/>
      <c r="N188" s="25"/>
    </row>
    <row r="189" spans="1:14">
      <c r="A189" s="3" t="s">
        <v>336</v>
      </c>
      <c r="B189" s="10" t="s">
        <v>337</v>
      </c>
      <c r="C189" s="5"/>
      <c r="D189" s="5">
        <f t="shared" si="5"/>
        <v>0</v>
      </c>
      <c r="E189" s="6">
        <f t="shared" si="3"/>
        <v>0</v>
      </c>
      <c r="F189" s="6">
        <f t="shared" si="3"/>
        <v>0</v>
      </c>
      <c r="G189" s="62"/>
      <c r="H189" s="62"/>
      <c r="I189" s="60"/>
      <c r="J189" s="60"/>
      <c r="K189" s="64"/>
      <c r="L189" s="64"/>
      <c r="M189" s="25"/>
      <c r="N189" s="25"/>
    </row>
    <row r="190" spans="1:14">
      <c r="A190" s="3" t="s">
        <v>338</v>
      </c>
      <c r="B190" s="10" t="s">
        <v>339</v>
      </c>
      <c r="C190" s="5"/>
      <c r="D190" s="5">
        <f t="shared" si="5"/>
        <v>0</v>
      </c>
      <c r="E190" s="6">
        <f t="shared" si="3"/>
        <v>0</v>
      </c>
      <c r="F190" s="6">
        <f t="shared" si="3"/>
        <v>0</v>
      </c>
      <c r="G190" s="62"/>
      <c r="H190" s="62"/>
      <c r="I190" s="60"/>
      <c r="J190" s="60"/>
      <c r="K190" s="64"/>
      <c r="L190" s="64"/>
      <c r="M190" s="25"/>
      <c r="N190" s="25"/>
    </row>
    <row r="191" spans="1:14">
      <c r="A191" s="3" t="s">
        <v>340</v>
      </c>
      <c r="B191" s="10" t="s">
        <v>341</v>
      </c>
      <c r="C191" s="5"/>
      <c r="D191" s="5">
        <f t="shared" si="5"/>
        <v>0</v>
      </c>
      <c r="E191" s="6">
        <f t="shared" si="3"/>
        <v>0</v>
      </c>
      <c r="F191" s="6">
        <f t="shared" si="3"/>
        <v>0</v>
      </c>
      <c r="G191" s="62"/>
      <c r="H191" s="62"/>
      <c r="I191" s="60"/>
      <c r="J191" s="60"/>
      <c r="K191" s="64"/>
      <c r="L191" s="64"/>
      <c r="M191" s="25"/>
      <c r="N191" s="25"/>
    </row>
    <row r="192" spans="1:14">
      <c r="A192" s="3" t="s">
        <v>342</v>
      </c>
      <c r="B192" s="10" t="s">
        <v>343</v>
      </c>
      <c r="C192" s="5"/>
      <c r="D192" s="5">
        <f t="shared" si="5"/>
        <v>0</v>
      </c>
      <c r="E192" s="6">
        <f t="shared" si="3"/>
        <v>0</v>
      </c>
      <c r="F192" s="6">
        <f t="shared" si="3"/>
        <v>0</v>
      </c>
      <c r="G192" s="62"/>
      <c r="H192" s="62"/>
      <c r="I192" s="60"/>
      <c r="J192" s="60"/>
      <c r="K192" s="64"/>
      <c r="L192" s="64"/>
      <c r="M192" s="25"/>
      <c r="N192" s="25"/>
    </row>
    <row r="193" spans="1:14">
      <c r="A193" s="3" t="s">
        <v>344</v>
      </c>
      <c r="B193" s="10" t="s">
        <v>345</v>
      </c>
      <c r="C193" s="5"/>
      <c r="D193" s="5">
        <f t="shared" si="5"/>
        <v>0</v>
      </c>
      <c r="E193" s="6">
        <f t="shared" si="3"/>
        <v>0</v>
      </c>
      <c r="F193" s="6">
        <f t="shared" si="3"/>
        <v>0</v>
      </c>
      <c r="G193" s="62"/>
      <c r="H193" s="62"/>
      <c r="I193" s="60"/>
      <c r="J193" s="60"/>
      <c r="K193" s="64"/>
      <c r="L193" s="64"/>
      <c r="M193" s="25"/>
      <c r="N193" s="25"/>
    </row>
    <row r="194" spans="1:14">
      <c r="A194" s="3" t="s">
        <v>346</v>
      </c>
      <c r="B194" s="10" t="s">
        <v>347</v>
      </c>
      <c r="C194" s="5"/>
      <c r="D194" s="5">
        <f t="shared" si="5"/>
        <v>0</v>
      </c>
      <c r="E194" s="6">
        <f t="shared" si="3"/>
        <v>0</v>
      </c>
      <c r="F194" s="6">
        <f t="shared" si="3"/>
        <v>0</v>
      </c>
      <c r="G194" s="62"/>
      <c r="H194" s="62"/>
      <c r="I194" s="60"/>
      <c r="J194" s="60"/>
      <c r="K194" s="64"/>
      <c r="L194" s="64"/>
      <c r="M194" s="25"/>
      <c r="N194" s="25"/>
    </row>
    <row r="195" spans="1:14">
      <c r="A195" s="3" t="s">
        <v>348</v>
      </c>
      <c r="B195" s="10" t="s">
        <v>349</v>
      </c>
      <c r="C195" s="5"/>
      <c r="D195" s="5">
        <f t="shared" si="5"/>
        <v>0</v>
      </c>
      <c r="E195" s="6">
        <f t="shared" si="3"/>
        <v>0</v>
      </c>
      <c r="F195" s="6">
        <f t="shared" si="3"/>
        <v>0</v>
      </c>
      <c r="G195" s="62"/>
      <c r="H195" s="62"/>
      <c r="I195" s="60"/>
      <c r="J195" s="60"/>
      <c r="K195" s="64"/>
      <c r="L195" s="64"/>
      <c r="M195" s="25"/>
      <c r="N195" s="25"/>
    </row>
    <row r="196" spans="1:14">
      <c r="A196" s="3" t="s">
        <v>350</v>
      </c>
      <c r="B196" s="10" t="s">
        <v>351</v>
      </c>
      <c r="C196" s="5"/>
      <c r="D196" s="5">
        <f t="shared" si="5"/>
        <v>0</v>
      </c>
      <c r="E196" s="6">
        <f t="shared" si="3"/>
        <v>0</v>
      </c>
      <c r="F196" s="6">
        <f t="shared" si="3"/>
        <v>0</v>
      </c>
      <c r="G196" s="62"/>
      <c r="H196" s="62"/>
      <c r="I196" s="60"/>
      <c r="J196" s="60"/>
      <c r="K196" s="64"/>
      <c r="L196" s="64"/>
      <c r="M196" s="25"/>
      <c r="N196" s="25"/>
    </row>
    <row r="197" spans="1:14">
      <c r="A197" s="3" t="s">
        <v>352</v>
      </c>
      <c r="B197" s="10" t="s">
        <v>353</v>
      </c>
      <c r="C197" s="5"/>
      <c r="D197" s="5">
        <f t="shared" si="5"/>
        <v>0</v>
      </c>
      <c r="E197" s="6">
        <f t="shared" si="3"/>
        <v>0</v>
      </c>
      <c r="F197" s="6">
        <f t="shared" si="3"/>
        <v>0</v>
      </c>
      <c r="G197" s="62"/>
      <c r="H197" s="62"/>
      <c r="I197" s="60"/>
      <c r="J197" s="60"/>
      <c r="K197" s="64"/>
      <c r="L197" s="64"/>
      <c r="M197" s="25"/>
      <c r="N197" s="25"/>
    </row>
    <row r="198" spans="1:14">
      <c r="A198" s="3" t="s">
        <v>354</v>
      </c>
      <c r="B198" s="10" t="s">
        <v>355</v>
      </c>
      <c r="C198" s="5"/>
      <c r="D198" s="5">
        <f t="shared" si="5"/>
        <v>0</v>
      </c>
      <c r="E198" s="6">
        <f t="shared" si="3"/>
        <v>0</v>
      </c>
      <c r="F198" s="6">
        <f t="shared" si="3"/>
        <v>0</v>
      </c>
      <c r="G198" s="62"/>
      <c r="H198" s="62"/>
      <c r="I198" s="60"/>
      <c r="J198" s="60"/>
      <c r="K198" s="64"/>
      <c r="L198" s="64"/>
      <c r="M198" s="25"/>
      <c r="N198" s="25"/>
    </row>
    <row r="199" spans="1:14">
      <c r="A199" s="3" t="s">
        <v>356</v>
      </c>
      <c r="B199" s="10" t="s">
        <v>357</v>
      </c>
      <c r="C199" s="5"/>
      <c r="D199" s="5">
        <f t="shared" si="5"/>
        <v>0</v>
      </c>
      <c r="E199" s="6">
        <f t="shared" si="3"/>
        <v>0</v>
      </c>
      <c r="F199" s="6">
        <f t="shared" si="3"/>
        <v>0</v>
      </c>
      <c r="G199" s="62"/>
      <c r="H199" s="62"/>
      <c r="I199" s="60"/>
      <c r="J199" s="60"/>
      <c r="K199" s="64"/>
      <c r="L199" s="64"/>
      <c r="M199" s="25"/>
      <c r="N199" s="25"/>
    </row>
    <row r="200" spans="1:14">
      <c r="A200" s="3" t="s">
        <v>358</v>
      </c>
      <c r="B200" s="10" t="s">
        <v>359</v>
      </c>
      <c r="C200" s="5"/>
      <c r="D200" s="5">
        <f t="shared" si="5"/>
        <v>0</v>
      </c>
      <c r="E200" s="6">
        <f t="shared" si="3"/>
        <v>0</v>
      </c>
      <c r="F200" s="6">
        <f t="shared" si="3"/>
        <v>0</v>
      </c>
      <c r="G200" s="62"/>
      <c r="H200" s="62"/>
      <c r="I200" s="60"/>
      <c r="J200" s="60"/>
      <c r="K200" s="64"/>
      <c r="L200" s="64"/>
      <c r="M200" s="25"/>
      <c r="N200" s="25"/>
    </row>
    <row r="201" spans="1:14">
      <c r="A201" s="3" t="s">
        <v>360</v>
      </c>
      <c r="B201" s="10" t="s">
        <v>361</v>
      </c>
      <c r="C201" s="5"/>
      <c r="D201" s="5">
        <f t="shared" si="5"/>
        <v>0</v>
      </c>
      <c r="E201" s="6">
        <f t="shared" si="3"/>
        <v>0</v>
      </c>
      <c r="F201" s="6">
        <f t="shared" si="3"/>
        <v>0</v>
      </c>
      <c r="G201" s="62"/>
      <c r="H201" s="62"/>
      <c r="I201" s="60"/>
      <c r="J201" s="60"/>
      <c r="K201" s="64"/>
      <c r="L201" s="64"/>
      <c r="M201" s="25"/>
      <c r="N201" s="25"/>
    </row>
    <row r="202" spans="1:14">
      <c r="A202" s="3" t="s">
        <v>362</v>
      </c>
      <c r="B202" s="10" t="s">
        <v>363</v>
      </c>
      <c r="C202" s="5"/>
      <c r="D202" s="5">
        <f t="shared" si="5"/>
        <v>0</v>
      </c>
      <c r="E202" s="6">
        <f t="shared" si="3"/>
        <v>0</v>
      </c>
      <c r="F202" s="6">
        <f t="shared" si="3"/>
        <v>0</v>
      </c>
      <c r="G202" s="62"/>
      <c r="H202" s="62"/>
      <c r="I202" s="60"/>
      <c r="J202" s="60"/>
      <c r="K202" s="64"/>
      <c r="L202" s="64"/>
      <c r="M202" s="25"/>
      <c r="N202" s="25"/>
    </row>
    <row r="203" spans="1:14">
      <c r="A203" s="3" t="s">
        <v>364</v>
      </c>
      <c r="B203" s="10" t="s">
        <v>365</v>
      </c>
      <c r="C203" s="5"/>
      <c r="D203" s="5">
        <f t="shared" si="5"/>
        <v>0</v>
      </c>
      <c r="E203" s="6">
        <f t="shared" si="3"/>
        <v>0</v>
      </c>
      <c r="F203" s="6">
        <f t="shared" si="3"/>
        <v>0</v>
      </c>
      <c r="G203" s="62"/>
      <c r="H203" s="62"/>
      <c r="I203" s="60"/>
      <c r="J203" s="60"/>
      <c r="K203" s="64"/>
      <c r="L203" s="64"/>
      <c r="M203" s="25"/>
      <c r="N203" s="25"/>
    </row>
    <row r="204" spans="1:14">
      <c r="A204" s="3" t="s">
        <v>366</v>
      </c>
      <c r="B204" s="10" t="s">
        <v>367</v>
      </c>
      <c r="C204" s="5"/>
      <c r="D204" s="5">
        <f t="shared" si="5"/>
        <v>0</v>
      </c>
      <c r="E204" s="6">
        <f t="shared" si="3"/>
        <v>0</v>
      </c>
      <c r="F204" s="6">
        <f t="shared" si="3"/>
        <v>0</v>
      </c>
      <c r="G204" s="62"/>
      <c r="H204" s="62"/>
      <c r="I204" s="60"/>
      <c r="J204" s="60"/>
      <c r="K204" s="64"/>
      <c r="L204" s="64"/>
      <c r="M204" s="25"/>
      <c r="N204" s="25"/>
    </row>
    <row r="205" spans="1:14">
      <c r="A205" s="3" t="s">
        <v>368</v>
      </c>
      <c r="B205" s="10" t="s">
        <v>369</v>
      </c>
      <c r="C205" s="5"/>
      <c r="D205" s="5">
        <f t="shared" si="5"/>
        <v>0</v>
      </c>
      <c r="E205" s="6">
        <f t="shared" si="3"/>
        <v>0</v>
      </c>
      <c r="F205" s="6">
        <f t="shared" si="3"/>
        <v>0</v>
      </c>
      <c r="G205" s="62"/>
      <c r="H205" s="62"/>
      <c r="I205" s="60"/>
      <c r="J205" s="60"/>
      <c r="K205" s="64"/>
      <c r="L205" s="64"/>
      <c r="M205" s="25"/>
      <c r="N205" s="25"/>
    </row>
    <row r="206" spans="1:14">
      <c r="A206" s="3" t="s">
        <v>370</v>
      </c>
      <c r="B206" s="10" t="s">
        <v>371</v>
      </c>
      <c r="C206" s="5"/>
      <c r="D206" s="5">
        <f t="shared" si="5"/>
        <v>0</v>
      </c>
      <c r="E206" s="6">
        <f t="shared" ref="E206:F269" si="6">SUM(G206,I206,K206,M206)</f>
        <v>0</v>
      </c>
      <c r="F206" s="6">
        <f t="shared" si="6"/>
        <v>0</v>
      </c>
      <c r="G206" s="62"/>
      <c r="H206" s="62"/>
      <c r="I206" s="60"/>
      <c r="J206" s="60"/>
      <c r="K206" s="64"/>
      <c r="L206" s="64"/>
      <c r="M206" s="25"/>
      <c r="N206" s="25"/>
    </row>
    <row r="207" spans="1:14">
      <c r="A207" s="3" t="s">
        <v>372</v>
      </c>
      <c r="B207" s="10" t="s">
        <v>373</v>
      </c>
      <c r="C207" s="5"/>
      <c r="D207" s="5">
        <f t="shared" si="5"/>
        <v>0</v>
      </c>
      <c r="E207" s="6">
        <f t="shared" si="6"/>
        <v>0</v>
      </c>
      <c r="F207" s="6">
        <f t="shared" si="6"/>
        <v>0</v>
      </c>
      <c r="G207" s="62"/>
      <c r="H207" s="62"/>
      <c r="I207" s="60"/>
      <c r="J207" s="60"/>
      <c r="K207" s="64"/>
      <c r="L207" s="64"/>
      <c r="M207" s="25"/>
      <c r="N207" s="25"/>
    </row>
    <row r="208" spans="1:14">
      <c r="A208" s="3" t="s">
        <v>374</v>
      </c>
      <c r="B208" s="10" t="s">
        <v>375</v>
      </c>
      <c r="C208" s="5"/>
      <c r="D208" s="5">
        <f t="shared" si="5"/>
        <v>0</v>
      </c>
      <c r="E208" s="6">
        <f t="shared" si="6"/>
        <v>0</v>
      </c>
      <c r="F208" s="6">
        <f t="shared" si="6"/>
        <v>0</v>
      </c>
      <c r="G208" s="62"/>
      <c r="H208" s="62"/>
      <c r="I208" s="60"/>
      <c r="J208" s="60"/>
      <c r="K208" s="64"/>
      <c r="L208" s="64"/>
      <c r="M208" s="25"/>
      <c r="N208" s="25"/>
    </row>
    <row r="209" spans="1:14">
      <c r="A209" s="3" t="s">
        <v>376</v>
      </c>
      <c r="B209" s="10" t="s">
        <v>377</v>
      </c>
      <c r="C209" s="5"/>
      <c r="D209" s="5">
        <f t="shared" si="5"/>
        <v>0</v>
      </c>
      <c r="E209" s="6">
        <f t="shared" si="6"/>
        <v>0</v>
      </c>
      <c r="F209" s="6">
        <f t="shared" si="6"/>
        <v>0</v>
      </c>
      <c r="G209" s="62"/>
      <c r="H209" s="62"/>
      <c r="I209" s="60"/>
      <c r="J209" s="60"/>
      <c r="K209" s="64"/>
      <c r="L209" s="64"/>
      <c r="M209" s="25"/>
      <c r="N209" s="25"/>
    </row>
    <row r="210" spans="1:14">
      <c r="A210" s="3" t="s">
        <v>378</v>
      </c>
      <c r="B210" s="10" t="s">
        <v>379</v>
      </c>
      <c r="C210" s="5"/>
      <c r="D210" s="5">
        <f t="shared" si="5"/>
        <v>0</v>
      </c>
      <c r="E210" s="6">
        <f t="shared" si="6"/>
        <v>0</v>
      </c>
      <c r="F210" s="6">
        <f t="shared" si="6"/>
        <v>0</v>
      </c>
      <c r="G210" s="62"/>
      <c r="H210" s="62"/>
      <c r="I210" s="60"/>
      <c r="J210" s="60"/>
      <c r="K210" s="64"/>
      <c r="L210" s="64"/>
      <c r="M210" s="25"/>
      <c r="N210" s="25"/>
    </row>
    <row r="211" spans="1:14">
      <c r="A211" s="3" t="s">
        <v>380</v>
      </c>
      <c r="B211" s="10" t="s">
        <v>381</v>
      </c>
      <c r="C211" s="5"/>
      <c r="D211" s="5">
        <f t="shared" si="5"/>
        <v>0</v>
      </c>
      <c r="E211" s="6">
        <f t="shared" si="6"/>
        <v>0</v>
      </c>
      <c r="F211" s="6">
        <f t="shared" si="6"/>
        <v>0</v>
      </c>
      <c r="G211" s="62"/>
      <c r="H211" s="62"/>
      <c r="I211" s="60"/>
      <c r="J211" s="60"/>
      <c r="K211" s="64"/>
      <c r="L211" s="64"/>
      <c r="M211" s="25"/>
      <c r="N211" s="25"/>
    </row>
    <row r="212" spans="1:14">
      <c r="A212" s="3" t="s">
        <v>382</v>
      </c>
      <c r="B212" s="10" t="s">
        <v>383</v>
      </c>
      <c r="C212" s="5"/>
      <c r="D212" s="5">
        <f t="shared" si="5"/>
        <v>0</v>
      </c>
      <c r="E212" s="6">
        <f t="shared" si="6"/>
        <v>0</v>
      </c>
      <c r="F212" s="6">
        <f t="shared" si="6"/>
        <v>0</v>
      </c>
      <c r="G212" s="62"/>
      <c r="H212" s="62"/>
      <c r="I212" s="60"/>
      <c r="J212" s="60"/>
      <c r="K212" s="64"/>
      <c r="L212" s="64"/>
      <c r="M212" s="25"/>
      <c r="N212" s="25"/>
    </row>
    <row r="213" spans="1:14">
      <c r="A213" s="3" t="s">
        <v>384</v>
      </c>
      <c r="B213" s="10" t="s">
        <v>385</v>
      </c>
      <c r="C213" s="5"/>
      <c r="D213" s="5">
        <f t="shared" si="5"/>
        <v>0</v>
      </c>
      <c r="E213" s="6">
        <f t="shared" si="6"/>
        <v>0</v>
      </c>
      <c r="F213" s="6">
        <f t="shared" si="6"/>
        <v>0</v>
      </c>
      <c r="G213" s="62"/>
      <c r="H213" s="62"/>
      <c r="I213" s="60"/>
      <c r="J213" s="60"/>
      <c r="K213" s="64"/>
      <c r="L213" s="64"/>
      <c r="M213" s="25"/>
      <c r="N213" s="25"/>
    </row>
    <row r="214" spans="1:14">
      <c r="A214" s="3" t="s">
        <v>386</v>
      </c>
      <c r="B214" s="10" t="s">
        <v>387</v>
      </c>
      <c r="C214" s="5"/>
      <c r="D214" s="5">
        <f t="shared" si="5"/>
        <v>0</v>
      </c>
      <c r="E214" s="6">
        <f t="shared" si="6"/>
        <v>0</v>
      </c>
      <c r="F214" s="6">
        <f t="shared" si="6"/>
        <v>0</v>
      </c>
      <c r="G214" s="62"/>
      <c r="H214" s="62"/>
      <c r="I214" s="60"/>
      <c r="J214" s="60"/>
      <c r="K214" s="64"/>
      <c r="L214" s="64"/>
      <c r="M214" s="25"/>
      <c r="N214" s="25"/>
    </row>
    <row r="215" spans="1:14">
      <c r="A215" s="3" t="s">
        <v>388</v>
      </c>
      <c r="B215" s="10" t="s">
        <v>389</v>
      </c>
      <c r="C215" s="5"/>
      <c r="D215" s="5">
        <f t="shared" si="5"/>
        <v>0</v>
      </c>
      <c r="E215" s="6">
        <f t="shared" si="6"/>
        <v>0</v>
      </c>
      <c r="F215" s="6">
        <f t="shared" si="6"/>
        <v>0</v>
      </c>
      <c r="G215" s="62"/>
      <c r="H215" s="62"/>
      <c r="I215" s="60"/>
      <c r="J215" s="60"/>
      <c r="K215" s="64"/>
      <c r="L215" s="64"/>
      <c r="M215" s="25"/>
      <c r="N215" s="25"/>
    </row>
    <row r="216" spans="1:14">
      <c r="A216" s="3" t="s">
        <v>390</v>
      </c>
      <c r="B216" s="10" t="s">
        <v>391</v>
      </c>
      <c r="C216" s="5"/>
      <c r="D216" s="5">
        <f t="shared" si="5"/>
        <v>0</v>
      </c>
      <c r="E216" s="6">
        <f t="shared" si="6"/>
        <v>0</v>
      </c>
      <c r="F216" s="6">
        <f t="shared" si="6"/>
        <v>0</v>
      </c>
      <c r="G216" s="62"/>
      <c r="H216" s="62"/>
      <c r="I216" s="60"/>
      <c r="J216" s="60"/>
      <c r="K216" s="64"/>
      <c r="L216" s="64"/>
      <c r="M216" s="25"/>
      <c r="N216" s="25"/>
    </row>
    <row r="217" spans="1:14">
      <c r="A217" s="3" t="s">
        <v>392</v>
      </c>
      <c r="B217" s="10" t="s">
        <v>393</v>
      </c>
      <c r="C217" s="5"/>
      <c r="D217" s="5">
        <f t="shared" si="5"/>
        <v>0</v>
      </c>
      <c r="E217" s="6">
        <f t="shared" si="6"/>
        <v>0</v>
      </c>
      <c r="F217" s="6">
        <f t="shared" si="6"/>
        <v>0</v>
      </c>
      <c r="G217" s="62"/>
      <c r="H217" s="62"/>
      <c r="I217" s="60"/>
      <c r="J217" s="60"/>
      <c r="K217" s="64"/>
      <c r="L217" s="64"/>
      <c r="M217" s="25"/>
      <c r="N217" s="25"/>
    </row>
    <row r="218" spans="1:14">
      <c r="A218" s="3" t="s">
        <v>394</v>
      </c>
      <c r="B218" s="10" t="s">
        <v>395</v>
      </c>
      <c r="C218" s="5"/>
      <c r="D218" s="5">
        <f t="shared" si="5"/>
        <v>0</v>
      </c>
      <c r="E218" s="6">
        <f t="shared" si="6"/>
        <v>0</v>
      </c>
      <c r="F218" s="6">
        <f t="shared" si="6"/>
        <v>0</v>
      </c>
      <c r="G218" s="62"/>
      <c r="H218" s="62"/>
      <c r="I218" s="60"/>
      <c r="J218" s="60"/>
      <c r="K218" s="64"/>
      <c r="L218" s="64"/>
      <c r="M218" s="25"/>
      <c r="N218" s="25"/>
    </row>
    <row r="219" spans="1:14">
      <c r="A219" s="3" t="s">
        <v>396</v>
      </c>
      <c r="B219" s="10" t="s">
        <v>397</v>
      </c>
      <c r="C219" s="5"/>
      <c r="D219" s="5">
        <f t="shared" si="5"/>
        <v>0</v>
      </c>
      <c r="E219" s="6">
        <f t="shared" si="6"/>
        <v>0</v>
      </c>
      <c r="F219" s="6">
        <f t="shared" si="6"/>
        <v>0</v>
      </c>
      <c r="G219" s="62"/>
      <c r="H219" s="62"/>
      <c r="I219" s="60"/>
      <c r="J219" s="60"/>
      <c r="K219" s="64"/>
      <c r="L219" s="64"/>
      <c r="M219" s="25"/>
      <c r="N219" s="25"/>
    </row>
    <row r="220" spans="1:14">
      <c r="A220" s="3" t="s">
        <v>398</v>
      </c>
      <c r="B220" s="10" t="s">
        <v>399</v>
      </c>
      <c r="C220" s="5"/>
      <c r="D220" s="5">
        <f t="shared" si="5"/>
        <v>0</v>
      </c>
      <c r="E220" s="6">
        <f t="shared" si="6"/>
        <v>0</v>
      </c>
      <c r="F220" s="6">
        <f t="shared" si="6"/>
        <v>0</v>
      </c>
      <c r="G220" s="62"/>
      <c r="H220" s="62"/>
      <c r="I220" s="60"/>
      <c r="J220" s="60"/>
      <c r="K220" s="64"/>
      <c r="L220" s="64"/>
      <c r="M220" s="25"/>
      <c r="N220" s="25"/>
    </row>
    <row r="221" spans="1:14">
      <c r="A221" s="3" t="s">
        <v>400</v>
      </c>
      <c r="B221" s="10" t="s">
        <v>401</v>
      </c>
      <c r="C221" s="5"/>
      <c r="D221" s="5">
        <f t="shared" si="5"/>
        <v>0</v>
      </c>
      <c r="E221" s="6">
        <f t="shared" si="6"/>
        <v>0</v>
      </c>
      <c r="F221" s="6">
        <f t="shared" si="6"/>
        <v>0</v>
      </c>
      <c r="G221" s="62"/>
      <c r="H221" s="62"/>
      <c r="I221" s="60"/>
      <c r="J221" s="60"/>
      <c r="K221" s="64"/>
      <c r="L221" s="64"/>
      <c r="M221" s="25"/>
      <c r="N221" s="25"/>
    </row>
    <row r="222" spans="1:14">
      <c r="A222" s="3" t="s">
        <v>402</v>
      </c>
      <c r="B222" s="10" t="s">
        <v>403</v>
      </c>
      <c r="C222" s="5"/>
      <c r="D222" s="5">
        <f t="shared" si="5"/>
        <v>0</v>
      </c>
      <c r="E222" s="6">
        <f t="shared" si="6"/>
        <v>0</v>
      </c>
      <c r="F222" s="6">
        <f t="shared" si="6"/>
        <v>0</v>
      </c>
      <c r="G222" s="62"/>
      <c r="H222" s="62"/>
      <c r="I222" s="60"/>
      <c r="J222" s="60"/>
      <c r="K222" s="64"/>
      <c r="L222" s="64"/>
      <c r="M222" s="25"/>
      <c r="N222" s="25"/>
    </row>
    <row r="223" spans="1:14">
      <c r="A223" s="3" t="s">
        <v>404</v>
      </c>
      <c r="B223" s="10" t="s">
        <v>405</v>
      </c>
      <c r="C223" s="5"/>
      <c r="D223" s="5">
        <f t="shared" si="5"/>
        <v>0</v>
      </c>
      <c r="E223" s="6">
        <f t="shared" si="6"/>
        <v>0</v>
      </c>
      <c r="F223" s="6">
        <f t="shared" si="6"/>
        <v>0</v>
      </c>
      <c r="G223" s="62"/>
      <c r="H223" s="62"/>
      <c r="I223" s="60"/>
      <c r="J223" s="60"/>
      <c r="K223" s="64"/>
      <c r="L223" s="64"/>
      <c r="M223" s="25"/>
      <c r="N223" s="25"/>
    </row>
    <row r="224" spans="1:14">
      <c r="A224" s="3" t="s">
        <v>406</v>
      </c>
      <c r="B224" s="10" t="s">
        <v>407</v>
      </c>
      <c r="C224" s="5"/>
      <c r="D224" s="5">
        <f t="shared" si="5"/>
        <v>0</v>
      </c>
      <c r="E224" s="6">
        <f t="shared" si="6"/>
        <v>0</v>
      </c>
      <c r="F224" s="6">
        <f t="shared" si="6"/>
        <v>0</v>
      </c>
      <c r="G224" s="62"/>
      <c r="H224" s="62"/>
      <c r="I224" s="60"/>
      <c r="J224" s="60"/>
      <c r="K224" s="64"/>
      <c r="L224" s="64"/>
      <c r="M224" s="25"/>
      <c r="N224" s="25"/>
    </row>
    <row r="225" spans="1:14">
      <c r="A225" s="3" t="s">
        <v>408</v>
      </c>
      <c r="B225" s="10" t="s">
        <v>409</v>
      </c>
      <c r="C225" s="5"/>
      <c r="D225" s="5">
        <f t="shared" si="5"/>
        <v>0</v>
      </c>
      <c r="E225" s="6">
        <f t="shared" si="6"/>
        <v>0</v>
      </c>
      <c r="F225" s="6">
        <f t="shared" si="6"/>
        <v>0</v>
      </c>
      <c r="G225" s="62"/>
      <c r="H225" s="62"/>
      <c r="I225" s="60"/>
      <c r="J225" s="60"/>
      <c r="K225" s="64"/>
      <c r="L225" s="64"/>
      <c r="M225" s="25"/>
      <c r="N225" s="25"/>
    </row>
    <row r="226" spans="1:14">
      <c r="A226" s="3" t="s">
        <v>410</v>
      </c>
      <c r="B226" s="10" t="s">
        <v>411</v>
      </c>
      <c r="C226" s="5"/>
      <c r="D226" s="5">
        <f t="shared" si="5"/>
        <v>0</v>
      </c>
      <c r="E226" s="6">
        <f t="shared" si="6"/>
        <v>0</v>
      </c>
      <c r="F226" s="6">
        <f t="shared" si="6"/>
        <v>0</v>
      </c>
      <c r="G226" s="62"/>
      <c r="H226" s="62"/>
      <c r="I226" s="60"/>
      <c r="J226" s="60"/>
      <c r="K226" s="64"/>
      <c r="L226" s="64"/>
      <c r="M226" s="25"/>
      <c r="N226" s="25"/>
    </row>
    <row r="227" spans="1:14">
      <c r="A227" s="3" t="s">
        <v>412</v>
      </c>
      <c r="B227" s="10" t="s">
        <v>413</v>
      </c>
      <c r="C227" s="5"/>
      <c r="D227" s="5">
        <f t="shared" si="5"/>
        <v>0</v>
      </c>
      <c r="E227" s="6">
        <f t="shared" si="6"/>
        <v>0</v>
      </c>
      <c r="F227" s="6">
        <f t="shared" si="6"/>
        <v>0</v>
      </c>
      <c r="G227" s="62"/>
      <c r="H227" s="62"/>
      <c r="I227" s="60"/>
      <c r="J227" s="60"/>
      <c r="K227" s="64"/>
      <c r="L227" s="64"/>
      <c r="M227" s="25"/>
      <c r="N227" s="25"/>
    </row>
    <row r="228" spans="1:14">
      <c r="A228" s="3" t="s">
        <v>414</v>
      </c>
      <c r="B228" s="10" t="s">
        <v>415</v>
      </c>
      <c r="C228" s="5"/>
      <c r="D228" s="5">
        <f t="shared" si="5"/>
        <v>0</v>
      </c>
      <c r="E228" s="6">
        <f t="shared" si="6"/>
        <v>0</v>
      </c>
      <c r="F228" s="6">
        <f t="shared" si="6"/>
        <v>0</v>
      </c>
      <c r="G228" s="62"/>
      <c r="H228" s="62"/>
      <c r="I228" s="60"/>
      <c r="J228" s="60"/>
      <c r="K228" s="64"/>
      <c r="L228" s="64"/>
      <c r="M228" s="25"/>
      <c r="N228" s="25"/>
    </row>
    <row r="229" spans="1:14">
      <c r="A229" s="3" t="s">
        <v>416</v>
      </c>
      <c r="B229" s="10" t="s">
        <v>417</v>
      </c>
      <c r="C229" s="5"/>
      <c r="D229" s="5">
        <f t="shared" si="5"/>
        <v>0</v>
      </c>
      <c r="E229" s="6">
        <f t="shared" si="6"/>
        <v>0</v>
      </c>
      <c r="F229" s="6">
        <f t="shared" si="6"/>
        <v>0</v>
      </c>
      <c r="G229" s="62"/>
      <c r="H229" s="62"/>
      <c r="I229" s="60"/>
      <c r="J229" s="60"/>
      <c r="K229" s="64"/>
      <c r="L229" s="64"/>
      <c r="M229" s="25"/>
      <c r="N229" s="25"/>
    </row>
    <row r="230" spans="1:14">
      <c r="A230" s="3" t="s">
        <v>418</v>
      </c>
      <c r="B230" s="10" t="s">
        <v>419</v>
      </c>
      <c r="C230" s="5"/>
      <c r="D230" s="5">
        <f t="shared" si="5"/>
        <v>0</v>
      </c>
      <c r="E230" s="6">
        <f t="shared" si="6"/>
        <v>0</v>
      </c>
      <c r="F230" s="6">
        <f t="shared" si="6"/>
        <v>0</v>
      </c>
      <c r="G230" s="62"/>
      <c r="H230" s="62"/>
      <c r="I230" s="60"/>
      <c r="J230" s="60"/>
      <c r="K230" s="64"/>
      <c r="L230" s="64"/>
      <c r="M230" s="25"/>
      <c r="N230" s="25"/>
    </row>
    <row r="231" spans="1:14">
      <c r="A231" s="3" t="s">
        <v>420</v>
      </c>
      <c r="B231" s="10" t="s">
        <v>421</v>
      </c>
      <c r="C231" s="5"/>
      <c r="D231" s="5">
        <f t="shared" si="5"/>
        <v>0</v>
      </c>
      <c r="E231" s="6">
        <f t="shared" si="6"/>
        <v>0</v>
      </c>
      <c r="F231" s="6">
        <f t="shared" si="6"/>
        <v>0</v>
      </c>
      <c r="G231" s="62"/>
      <c r="H231" s="62"/>
      <c r="I231" s="60"/>
      <c r="J231" s="60"/>
      <c r="K231" s="64"/>
      <c r="L231" s="64"/>
      <c r="M231" s="25"/>
      <c r="N231" s="25"/>
    </row>
    <row r="232" spans="1:14">
      <c r="A232" s="3" t="s">
        <v>422</v>
      </c>
      <c r="B232" s="10" t="s">
        <v>423</v>
      </c>
      <c r="C232" s="5"/>
      <c r="D232" s="5">
        <f t="shared" si="5"/>
        <v>0</v>
      </c>
      <c r="E232" s="6">
        <f t="shared" si="6"/>
        <v>0</v>
      </c>
      <c r="F232" s="6">
        <f t="shared" si="6"/>
        <v>0</v>
      </c>
      <c r="G232" s="62"/>
      <c r="H232" s="62"/>
      <c r="I232" s="60"/>
      <c r="J232" s="60"/>
      <c r="K232" s="64"/>
      <c r="L232" s="64"/>
      <c r="M232" s="25"/>
      <c r="N232" s="25"/>
    </row>
    <row r="233" spans="1:14">
      <c r="A233" s="3" t="s">
        <v>424</v>
      </c>
      <c r="B233" s="10" t="s">
        <v>425</v>
      </c>
      <c r="C233" s="5"/>
      <c r="D233" s="5">
        <f t="shared" si="5"/>
        <v>0</v>
      </c>
      <c r="E233" s="6">
        <f t="shared" si="6"/>
        <v>0</v>
      </c>
      <c r="F233" s="6">
        <f t="shared" si="6"/>
        <v>0</v>
      </c>
      <c r="G233" s="62"/>
      <c r="H233" s="62"/>
      <c r="I233" s="60"/>
      <c r="J233" s="60"/>
      <c r="K233" s="64"/>
      <c r="L233" s="64"/>
      <c r="M233" s="25"/>
      <c r="N233" s="25"/>
    </row>
    <row r="234" spans="1:14">
      <c r="A234" s="3" t="s">
        <v>426</v>
      </c>
      <c r="B234" s="10" t="s">
        <v>427</v>
      </c>
      <c r="C234" s="5"/>
      <c r="D234" s="5">
        <f t="shared" si="5"/>
        <v>0</v>
      </c>
      <c r="E234" s="6">
        <f t="shared" si="6"/>
        <v>0</v>
      </c>
      <c r="F234" s="6">
        <f t="shared" si="6"/>
        <v>0</v>
      </c>
      <c r="G234" s="62"/>
      <c r="H234" s="62"/>
      <c r="I234" s="60"/>
      <c r="J234" s="60"/>
      <c r="K234" s="64"/>
      <c r="L234" s="64"/>
      <c r="M234" s="25"/>
      <c r="N234" s="25"/>
    </row>
    <row r="235" spans="1:14">
      <c r="A235" s="3" t="s">
        <v>428</v>
      </c>
      <c r="B235" s="10" t="s">
        <v>429</v>
      </c>
      <c r="C235" s="5"/>
      <c r="D235" s="5">
        <f t="shared" si="5"/>
        <v>0</v>
      </c>
      <c r="E235" s="6">
        <f t="shared" si="6"/>
        <v>0</v>
      </c>
      <c r="F235" s="6">
        <f t="shared" si="6"/>
        <v>0</v>
      </c>
      <c r="G235" s="62"/>
      <c r="H235" s="62"/>
      <c r="I235" s="60"/>
      <c r="J235" s="60"/>
      <c r="K235" s="64"/>
      <c r="L235" s="64"/>
      <c r="M235" s="25"/>
      <c r="N235" s="25"/>
    </row>
    <row r="236" spans="1:14">
      <c r="A236" s="3" t="s">
        <v>430</v>
      </c>
      <c r="B236" s="10" t="s">
        <v>431</v>
      </c>
      <c r="C236" s="5"/>
      <c r="D236" s="5">
        <f t="shared" si="5"/>
        <v>0</v>
      </c>
      <c r="E236" s="6">
        <f t="shared" si="6"/>
        <v>0</v>
      </c>
      <c r="F236" s="6">
        <f t="shared" si="6"/>
        <v>0</v>
      </c>
      <c r="G236" s="62"/>
      <c r="H236" s="62"/>
      <c r="I236" s="60"/>
      <c r="J236" s="60"/>
      <c r="K236" s="64"/>
      <c r="L236" s="64"/>
      <c r="M236" s="25"/>
      <c r="N236" s="25"/>
    </row>
    <row r="237" spans="1:14">
      <c r="A237" s="3" t="s">
        <v>432</v>
      </c>
      <c r="B237" s="10" t="s">
        <v>433</v>
      </c>
      <c r="C237" s="5"/>
      <c r="D237" s="5">
        <f t="shared" si="5"/>
        <v>0</v>
      </c>
      <c r="E237" s="6">
        <f t="shared" si="6"/>
        <v>0</v>
      </c>
      <c r="F237" s="6">
        <f t="shared" si="6"/>
        <v>0</v>
      </c>
      <c r="G237" s="62"/>
      <c r="H237" s="62"/>
      <c r="I237" s="60"/>
      <c r="J237" s="60"/>
      <c r="K237" s="64"/>
      <c r="L237" s="64"/>
      <c r="M237" s="25"/>
      <c r="N237" s="25"/>
    </row>
    <row r="238" spans="1:14">
      <c r="A238" s="3" t="s">
        <v>434</v>
      </c>
      <c r="B238" s="10" t="s">
        <v>435</v>
      </c>
      <c r="C238" s="5"/>
      <c r="D238" s="5">
        <f t="shared" ref="D238:D280" si="7">F238-E238</f>
        <v>0</v>
      </c>
      <c r="E238" s="6">
        <f t="shared" si="6"/>
        <v>0</v>
      </c>
      <c r="F238" s="6">
        <f t="shared" si="6"/>
        <v>0</v>
      </c>
      <c r="G238" s="62"/>
      <c r="H238" s="62"/>
      <c r="I238" s="60"/>
      <c r="J238" s="60"/>
      <c r="K238" s="64"/>
      <c r="L238" s="64"/>
      <c r="M238" s="25"/>
      <c r="N238" s="25"/>
    </row>
    <row r="239" spans="1:14">
      <c r="A239" s="3" t="s">
        <v>436</v>
      </c>
      <c r="B239" s="10" t="s">
        <v>437</v>
      </c>
      <c r="C239" s="5"/>
      <c r="D239" s="5">
        <f t="shared" si="7"/>
        <v>0</v>
      </c>
      <c r="E239" s="6">
        <f t="shared" si="6"/>
        <v>0</v>
      </c>
      <c r="F239" s="6">
        <f t="shared" si="6"/>
        <v>0</v>
      </c>
      <c r="G239" s="62"/>
      <c r="H239" s="62"/>
      <c r="I239" s="60"/>
      <c r="J239" s="60"/>
      <c r="K239" s="64"/>
      <c r="L239" s="64"/>
      <c r="M239" s="25"/>
      <c r="N239" s="25"/>
    </row>
    <row r="240" spans="1:14">
      <c r="A240" s="3" t="s">
        <v>438</v>
      </c>
      <c r="B240" s="10" t="s">
        <v>439</v>
      </c>
      <c r="C240" s="5"/>
      <c r="D240" s="5">
        <f t="shared" si="7"/>
        <v>0</v>
      </c>
      <c r="E240" s="6">
        <f t="shared" si="6"/>
        <v>0</v>
      </c>
      <c r="F240" s="6">
        <f t="shared" si="6"/>
        <v>0</v>
      </c>
      <c r="G240" s="62"/>
      <c r="H240" s="62"/>
      <c r="I240" s="60"/>
      <c r="J240" s="60"/>
      <c r="K240" s="64"/>
      <c r="L240" s="64"/>
      <c r="M240" s="25"/>
      <c r="N240" s="25"/>
    </row>
    <row r="241" spans="1:14">
      <c r="A241" s="3" t="s">
        <v>440</v>
      </c>
      <c r="B241" s="10" t="s">
        <v>441</v>
      </c>
      <c r="C241" s="5"/>
      <c r="D241" s="5">
        <f t="shared" si="7"/>
        <v>0</v>
      </c>
      <c r="E241" s="6">
        <f t="shared" si="6"/>
        <v>0</v>
      </c>
      <c r="F241" s="6">
        <f t="shared" si="6"/>
        <v>0</v>
      </c>
      <c r="G241" s="62"/>
      <c r="H241" s="62"/>
      <c r="I241" s="60"/>
      <c r="J241" s="60"/>
      <c r="K241" s="64"/>
      <c r="L241" s="64"/>
      <c r="M241" s="25"/>
      <c r="N241" s="25"/>
    </row>
    <row r="242" spans="1:14">
      <c r="A242" s="3" t="s">
        <v>442</v>
      </c>
      <c r="B242" s="10" t="s">
        <v>443</v>
      </c>
      <c r="C242" s="5"/>
      <c r="D242" s="5">
        <f t="shared" si="7"/>
        <v>0</v>
      </c>
      <c r="E242" s="6">
        <f t="shared" si="6"/>
        <v>0</v>
      </c>
      <c r="F242" s="6">
        <f t="shared" si="6"/>
        <v>0</v>
      </c>
      <c r="G242" s="62"/>
      <c r="H242" s="62"/>
      <c r="I242" s="60"/>
      <c r="J242" s="60"/>
      <c r="K242" s="64"/>
      <c r="L242" s="64"/>
      <c r="M242" s="25"/>
      <c r="N242" s="25"/>
    </row>
    <row r="243" spans="1:14">
      <c r="A243" s="3" t="s">
        <v>444</v>
      </c>
      <c r="B243" s="10" t="s">
        <v>445</v>
      </c>
      <c r="C243" s="5"/>
      <c r="D243" s="5">
        <f t="shared" si="7"/>
        <v>0</v>
      </c>
      <c r="E243" s="6">
        <f t="shared" si="6"/>
        <v>0</v>
      </c>
      <c r="F243" s="6">
        <f t="shared" si="6"/>
        <v>0</v>
      </c>
      <c r="G243" s="62"/>
      <c r="H243" s="62"/>
      <c r="I243" s="60"/>
      <c r="J243" s="60"/>
      <c r="K243" s="64"/>
      <c r="L243" s="64"/>
      <c r="M243" s="25"/>
      <c r="N243" s="25"/>
    </row>
    <row r="244" spans="1:14">
      <c r="A244" s="3" t="s">
        <v>446</v>
      </c>
      <c r="B244" s="10" t="s">
        <v>447</v>
      </c>
      <c r="C244" s="5"/>
      <c r="D244" s="5">
        <f t="shared" si="7"/>
        <v>0</v>
      </c>
      <c r="E244" s="6">
        <f t="shared" si="6"/>
        <v>0</v>
      </c>
      <c r="F244" s="6">
        <f t="shared" si="6"/>
        <v>0</v>
      </c>
      <c r="G244" s="62"/>
      <c r="H244" s="62"/>
      <c r="I244" s="60"/>
      <c r="J244" s="60"/>
      <c r="K244" s="64"/>
      <c r="L244" s="64"/>
      <c r="M244" s="25"/>
      <c r="N244" s="25"/>
    </row>
    <row r="245" spans="1:14">
      <c r="A245" s="3" t="s">
        <v>448</v>
      </c>
      <c r="B245" s="10" t="s">
        <v>449</v>
      </c>
      <c r="C245" s="5"/>
      <c r="D245" s="5">
        <f t="shared" si="7"/>
        <v>0</v>
      </c>
      <c r="E245" s="6">
        <f t="shared" si="6"/>
        <v>0</v>
      </c>
      <c r="F245" s="6">
        <f t="shared" si="6"/>
        <v>0</v>
      </c>
      <c r="G245" s="62"/>
      <c r="H245" s="62"/>
      <c r="I245" s="60"/>
      <c r="J245" s="60"/>
      <c r="K245" s="64"/>
      <c r="L245" s="64"/>
      <c r="M245" s="25"/>
      <c r="N245" s="25"/>
    </row>
    <row r="246" spans="1:14">
      <c r="A246" s="3" t="s">
        <v>450</v>
      </c>
      <c r="B246" s="10" t="s">
        <v>451</v>
      </c>
      <c r="C246" s="5"/>
      <c r="D246" s="5">
        <f t="shared" si="7"/>
        <v>0</v>
      </c>
      <c r="E246" s="6">
        <f t="shared" si="6"/>
        <v>0</v>
      </c>
      <c r="F246" s="6">
        <f t="shared" si="6"/>
        <v>0</v>
      </c>
      <c r="G246" s="62"/>
      <c r="H246" s="62"/>
      <c r="I246" s="60"/>
      <c r="J246" s="60"/>
      <c r="K246" s="64"/>
      <c r="L246" s="64"/>
      <c r="M246" s="25"/>
      <c r="N246" s="25"/>
    </row>
    <row r="247" spans="1:14">
      <c r="A247" s="3" t="s">
        <v>452</v>
      </c>
      <c r="B247" s="10" t="s">
        <v>453</v>
      </c>
      <c r="C247" s="5"/>
      <c r="D247" s="5">
        <f t="shared" si="7"/>
        <v>0</v>
      </c>
      <c r="E247" s="6">
        <f t="shared" si="6"/>
        <v>0</v>
      </c>
      <c r="F247" s="6">
        <f t="shared" si="6"/>
        <v>0</v>
      </c>
      <c r="G247" s="62"/>
      <c r="H247" s="62"/>
      <c r="I247" s="60"/>
      <c r="J247" s="60"/>
      <c r="K247" s="64"/>
      <c r="L247" s="64"/>
      <c r="M247" s="25"/>
      <c r="N247" s="25"/>
    </row>
    <row r="248" spans="1:14">
      <c r="A248" s="3" t="s">
        <v>454</v>
      </c>
      <c r="B248" s="10" t="s">
        <v>455</v>
      </c>
      <c r="C248" s="5"/>
      <c r="D248" s="5">
        <f t="shared" si="7"/>
        <v>0</v>
      </c>
      <c r="E248" s="6">
        <f t="shared" si="6"/>
        <v>0</v>
      </c>
      <c r="F248" s="6">
        <f t="shared" si="6"/>
        <v>0</v>
      </c>
      <c r="G248" s="62"/>
      <c r="H248" s="62"/>
      <c r="I248" s="60"/>
      <c r="J248" s="60"/>
      <c r="K248" s="64"/>
      <c r="L248" s="64"/>
      <c r="M248" s="25"/>
      <c r="N248" s="25"/>
    </row>
    <row r="249" spans="1:14">
      <c r="A249" s="3" t="s">
        <v>456</v>
      </c>
      <c r="B249" s="10" t="s">
        <v>457</v>
      </c>
      <c r="C249" s="5"/>
      <c r="D249" s="5">
        <f t="shared" si="7"/>
        <v>0</v>
      </c>
      <c r="E249" s="6">
        <f t="shared" si="6"/>
        <v>0</v>
      </c>
      <c r="F249" s="6">
        <f t="shared" si="6"/>
        <v>0</v>
      </c>
      <c r="G249" s="62"/>
      <c r="H249" s="62"/>
      <c r="I249" s="60"/>
      <c r="J249" s="60"/>
      <c r="K249" s="64"/>
      <c r="L249" s="64"/>
      <c r="M249" s="25"/>
      <c r="N249" s="25"/>
    </row>
    <row r="250" spans="1:14">
      <c r="A250" s="3" t="s">
        <v>458</v>
      </c>
      <c r="B250" s="10" t="s">
        <v>459</v>
      </c>
      <c r="C250" s="5"/>
      <c r="D250" s="5">
        <f t="shared" si="7"/>
        <v>0</v>
      </c>
      <c r="E250" s="6">
        <f t="shared" si="6"/>
        <v>0</v>
      </c>
      <c r="F250" s="6">
        <f t="shared" si="6"/>
        <v>0</v>
      </c>
      <c r="G250" s="62"/>
      <c r="H250" s="62"/>
      <c r="I250" s="60"/>
      <c r="J250" s="60"/>
      <c r="K250" s="64"/>
      <c r="L250" s="64"/>
      <c r="M250" s="25"/>
      <c r="N250" s="25"/>
    </row>
    <row r="251" spans="1:14">
      <c r="A251" s="3" t="s">
        <v>460</v>
      </c>
      <c r="B251" s="10" t="s">
        <v>461</v>
      </c>
      <c r="C251" s="5"/>
      <c r="D251" s="5">
        <f t="shared" si="7"/>
        <v>0</v>
      </c>
      <c r="E251" s="6">
        <f t="shared" si="6"/>
        <v>0</v>
      </c>
      <c r="F251" s="6">
        <f t="shared" si="6"/>
        <v>0</v>
      </c>
      <c r="G251" s="62"/>
      <c r="H251" s="62"/>
      <c r="I251" s="60"/>
      <c r="J251" s="60"/>
      <c r="K251" s="64"/>
      <c r="L251" s="64"/>
      <c r="M251" s="25"/>
      <c r="N251" s="25"/>
    </row>
    <row r="252" spans="1:14">
      <c r="A252" s="3" t="s">
        <v>462</v>
      </c>
      <c r="B252" s="10" t="s">
        <v>463</v>
      </c>
      <c r="C252" s="5"/>
      <c r="D252" s="5">
        <f t="shared" si="7"/>
        <v>0</v>
      </c>
      <c r="E252" s="6">
        <f t="shared" si="6"/>
        <v>0</v>
      </c>
      <c r="F252" s="6">
        <f t="shared" si="6"/>
        <v>0</v>
      </c>
      <c r="G252" s="62"/>
      <c r="H252" s="62"/>
      <c r="I252" s="60"/>
      <c r="J252" s="60"/>
      <c r="K252" s="64"/>
      <c r="L252" s="64"/>
      <c r="M252" s="25"/>
      <c r="N252" s="25"/>
    </row>
    <row r="253" spans="1:14">
      <c r="A253" s="3" t="s">
        <v>464</v>
      </c>
      <c r="B253" s="10" t="s">
        <v>465</v>
      </c>
      <c r="C253" s="5"/>
      <c r="D253" s="5">
        <f t="shared" si="7"/>
        <v>0</v>
      </c>
      <c r="E253" s="6">
        <f t="shared" si="6"/>
        <v>0</v>
      </c>
      <c r="F253" s="6">
        <f t="shared" si="6"/>
        <v>0</v>
      </c>
      <c r="G253" s="62"/>
      <c r="H253" s="62"/>
      <c r="I253" s="60"/>
      <c r="J253" s="60"/>
      <c r="K253" s="64"/>
      <c r="L253" s="64"/>
      <c r="M253" s="25"/>
      <c r="N253" s="25"/>
    </row>
    <row r="254" spans="1:14">
      <c r="A254" s="3" t="s">
        <v>466</v>
      </c>
      <c r="B254" s="10" t="s">
        <v>467</v>
      </c>
      <c r="C254" s="5"/>
      <c r="D254" s="5">
        <f t="shared" si="7"/>
        <v>0</v>
      </c>
      <c r="E254" s="6">
        <f t="shared" si="6"/>
        <v>0</v>
      </c>
      <c r="F254" s="6">
        <f t="shared" si="6"/>
        <v>0</v>
      </c>
      <c r="G254" s="62"/>
      <c r="H254" s="62"/>
      <c r="I254" s="60"/>
      <c r="J254" s="60"/>
      <c r="K254" s="64"/>
      <c r="L254" s="64"/>
      <c r="M254" s="25"/>
      <c r="N254" s="25"/>
    </row>
    <row r="255" spans="1:14">
      <c r="A255" s="3" t="s">
        <v>468</v>
      </c>
      <c r="B255" s="10" t="s">
        <v>469</v>
      </c>
      <c r="C255" s="5"/>
      <c r="D255" s="5">
        <f t="shared" si="7"/>
        <v>0</v>
      </c>
      <c r="E255" s="6">
        <f t="shared" si="6"/>
        <v>0</v>
      </c>
      <c r="F255" s="6">
        <f t="shared" si="6"/>
        <v>0</v>
      </c>
      <c r="G255" s="62"/>
      <c r="H255" s="62"/>
      <c r="I255" s="60"/>
      <c r="J255" s="60"/>
      <c r="K255" s="64"/>
      <c r="L255" s="64"/>
      <c r="M255" s="25"/>
      <c r="N255" s="25"/>
    </row>
    <row r="256" spans="1:14">
      <c r="A256" s="3" t="s">
        <v>470</v>
      </c>
      <c r="B256" s="10" t="s">
        <v>471</v>
      </c>
      <c r="C256" s="5"/>
      <c r="D256" s="5">
        <f t="shared" si="7"/>
        <v>0</v>
      </c>
      <c r="E256" s="6">
        <f t="shared" si="6"/>
        <v>0</v>
      </c>
      <c r="F256" s="6">
        <f t="shared" si="6"/>
        <v>0</v>
      </c>
      <c r="G256" s="62"/>
      <c r="H256" s="62"/>
      <c r="I256" s="60"/>
      <c r="J256" s="60"/>
      <c r="K256" s="64"/>
      <c r="L256" s="64"/>
      <c r="M256" s="25"/>
      <c r="N256" s="25"/>
    </row>
    <row r="257" spans="1:14">
      <c r="A257" s="3" t="s">
        <v>472</v>
      </c>
      <c r="B257" s="10" t="s">
        <v>473</v>
      </c>
      <c r="C257" s="5"/>
      <c r="D257" s="5">
        <f t="shared" si="7"/>
        <v>0</v>
      </c>
      <c r="E257" s="6">
        <f t="shared" si="6"/>
        <v>0</v>
      </c>
      <c r="F257" s="6">
        <f t="shared" si="6"/>
        <v>0</v>
      </c>
      <c r="G257" s="62"/>
      <c r="H257" s="62"/>
      <c r="I257" s="60"/>
      <c r="J257" s="60"/>
      <c r="K257" s="64"/>
      <c r="L257" s="64"/>
      <c r="M257" s="25"/>
      <c r="N257" s="25"/>
    </row>
    <row r="258" spans="1:14">
      <c r="A258" s="3" t="s">
        <v>474</v>
      </c>
      <c r="B258" s="10" t="s">
        <v>475</v>
      </c>
      <c r="C258" s="5"/>
      <c r="D258" s="5">
        <f t="shared" si="7"/>
        <v>0</v>
      </c>
      <c r="E258" s="6">
        <f t="shared" si="6"/>
        <v>0</v>
      </c>
      <c r="F258" s="6">
        <f t="shared" si="6"/>
        <v>0</v>
      </c>
      <c r="G258" s="62"/>
      <c r="H258" s="62"/>
      <c r="I258" s="60"/>
      <c r="J258" s="60"/>
      <c r="K258" s="64"/>
      <c r="L258" s="64"/>
      <c r="M258" s="25"/>
      <c r="N258" s="25"/>
    </row>
    <row r="259" spans="1:14">
      <c r="A259" s="3" t="s">
        <v>476</v>
      </c>
      <c r="B259" s="10" t="s">
        <v>477</v>
      </c>
      <c r="C259" s="5"/>
      <c r="D259" s="5">
        <f t="shared" si="7"/>
        <v>0</v>
      </c>
      <c r="E259" s="6">
        <f t="shared" si="6"/>
        <v>0</v>
      </c>
      <c r="F259" s="6">
        <f t="shared" si="6"/>
        <v>0</v>
      </c>
      <c r="G259" s="62"/>
      <c r="H259" s="62"/>
      <c r="I259" s="60"/>
      <c r="J259" s="60"/>
      <c r="K259" s="64"/>
      <c r="L259" s="64"/>
      <c r="M259" s="25"/>
      <c r="N259" s="25"/>
    </row>
    <row r="260" spans="1:14">
      <c r="A260" s="3" t="s">
        <v>478</v>
      </c>
      <c r="B260" s="10" t="s">
        <v>479</v>
      </c>
      <c r="C260" s="5"/>
      <c r="D260" s="5">
        <f t="shared" si="7"/>
        <v>0</v>
      </c>
      <c r="E260" s="6">
        <f t="shared" si="6"/>
        <v>0</v>
      </c>
      <c r="F260" s="6">
        <f t="shared" si="6"/>
        <v>0</v>
      </c>
      <c r="G260" s="62"/>
      <c r="H260" s="62"/>
      <c r="I260" s="60"/>
      <c r="J260" s="60"/>
      <c r="K260" s="64"/>
      <c r="L260" s="64"/>
      <c r="M260" s="25"/>
      <c r="N260" s="25"/>
    </row>
    <row r="261" spans="1:14">
      <c r="A261" s="3" t="s">
        <v>480</v>
      </c>
      <c r="B261" s="10" t="s">
        <v>481</v>
      </c>
      <c r="C261" s="5"/>
      <c r="D261" s="5">
        <f t="shared" si="7"/>
        <v>0</v>
      </c>
      <c r="E261" s="6">
        <f t="shared" si="6"/>
        <v>0</v>
      </c>
      <c r="F261" s="6">
        <f t="shared" si="6"/>
        <v>0</v>
      </c>
      <c r="G261" s="62"/>
      <c r="H261" s="62"/>
      <c r="I261" s="60"/>
      <c r="J261" s="60"/>
      <c r="K261" s="64"/>
      <c r="L261" s="64"/>
      <c r="M261" s="25"/>
      <c r="N261" s="25"/>
    </row>
    <row r="262" spans="1:14">
      <c r="A262" s="3" t="s">
        <v>482</v>
      </c>
      <c r="B262" s="10" t="s">
        <v>483</v>
      </c>
      <c r="C262" s="5"/>
      <c r="D262" s="5">
        <f t="shared" si="7"/>
        <v>0</v>
      </c>
      <c r="E262" s="6">
        <f t="shared" si="6"/>
        <v>0</v>
      </c>
      <c r="F262" s="6">
        <f t="shared" si="6"/>
        <v>0</v>
      </c>
      <c r="G262" s="62"/>
      <c r="H262" s="62"/>
      <c r="I262" s="60"/>
      <c r="J262" s="60"/>
      <c r="K262" s="64"/>
      <c r="L262" s="64"/>
      <c r="M262" s="25"/>
      <c r="N262" s="25"/>
    </row>
    <row r="263" spans="1:14">
      <c r="A263" s="3" t="s">
        <v>484</v>
      </c>
      <c r="B263" s="10" t="s">
        <v>485</v>
      </c>
      <c r="C263" s="5"/>
      <c r="D263" s="5">
        <f t="shared" si="7"/>
        <v>0</v>
      </c>
      <c r="E263" s="6">
        <f t="shared" si="6"/>
        <v>0</v>
      </c>
      <c r="F263" s="6">
        <f t="shared" si="6"/>
        <v>0</v>
      </c>
      <c r="G263" s="62"/>
      <c r="H263" s="62"/>
      <c r="I263" s="60"/>
      <c r="J263" s="60"/>
      <c r="K263" s="64"/>
      <c r="L263" s="64"/>
      <c r="M263" s="25"/>
      <c r="N263" s="25"/>
    </row>
    <row r="264" spans="1:14">
      <c r="A264" s="3" t="s">
        <v>486</v>
      </c>
      <c r="B264" s="10" t="s">
        <v>487</v>
      </c>
      <c r="C264" s="5"/>
      <c r="D264" s="5">
        <f t="shared" si="7"/>
        <v>0</v>
      </c>
      <c r="E264" s="6">
        <f t="shared" si="6"/>
        <v>0</v>
      </c>
      <c r="F264" s="6">
        <f t="shared" si="6"/>
        <v>0</v>
      </c>
      <c r="G264" s="62"/>
      <c r="H264" s="62"/>
      <c r="I264" s="60"/>
      <c r="J264" s="60"/>
      <c r="K264" s="64"/>
      <c r="L264" s="64"/>
      <c r="M264" s="25"/>
      <c r="N264" s="25"/>
    </row>
    <row r="265" spans="1:14">
      <c r="A265" s="3" t="s">
        <v>488</v>
      </c>
      <c r="B265" s="10" t="s">
        <v>489</v>
      </c>
      <c r="C265" s="5"/>
      <c r="D265" s="5">
        <f t="shared" si="7"/>
        <v>0</v>
      </c>
      <c r="E265" s="6">
        <f t="shared" si="6"/>
        <v>0</v>
      </c>
      <c r="F265" s="6">
        <f t="shared" si="6"/>
        <v>0</v>
      </c>
      <c r="G265" s="62"/>
      <c r="H265" s="62"/>
      <c r="I265" s="60"/>
      <c r="J265" s="60"/>
      <c r="K265" s="64"/>
      <c r="L265" s="64"/>
      <c r="M265" s="25"/>
      <c r="N265" s="25"/>
    </row>
    <row r="266" spans="1:14">
      <c r="A266" s="3" t="s">
        <v>490</v>
      </c>
      <c r="B266" s="10" t="s">
        <v>491</v>
      </c>
      <c r="C266" s="5"/>
      <c r="D266" s="5">
        <f t="shared" si="7"/>
        <v>0</v>
      </c>
      <c r="E266" s="6">
        <f t="shared" si="6"/>
        <v>0</v>
      </c>
      <c r="F266" s="6">
        <f t="shared" si="6"/>
        <v>0</v>
      </c>
      <c r="G266" s="62"/>
      <c r="H266" s="62"/>
      <c r="I266" s="60"/>
      <c r="J266" s="60"/>
      <c r="K266" s="64"/>
      <c r="L266" s="64"/>
      <c r="M266" s="25"/>
      <c r="N266" s="25"/>
    </row>
    <row r="267" spans="1:14">
      <c r="A267" s="3" t="s">
        <v>492</v>
      </c>
      <c r="B267" s="10" t="s">
        <v>493</v>
      </c>
      <c r="C267" s="5"/>
      <c r="D267" s="5">
        <f t="shared" si="7"/>
        <v>0</v>
      </c>
      <c r="E267" s="6">
        <f t="shared" si="6"/>
        <v>0</v>
      </c>
      <c r="F267" s="6">
        <f t="shared" si="6"/>
        <v>0</v>
      </c>
      <c r="G267" s="62"/>
      <c r="H267" s="62"/>
      <c r="I267" s="60"/>
      <c r="J267" s="60"/>
      <c r="K267" s="64"/>
      <c r="L267" s="64"/>
      <c r="M267" s="25"/>
      <c r="N267" s="25"/>
    </row>
    <row r="268" spans="1:14">
      <c r="A268" s="3" t="s">
        <v>494</v>
      </c>
      <c r="B268" s="10" t="s">
        <v>495</v>
      </c>
      <c r="C268" s="5"/>
      <c r="D268" s="5">
        <f t="shared" si="7"/>
        <v>0</v>
      </c>
      <c r="E268" s="6">
        <f t="shared" si="6"/>
        <v>0</v>
      </c>
      <c r="F268" s="6">
        <f t="shared" si="6"/>
        <v>0</v>
      </c>
      <c r="G268" s="62"/>
      <c r="H268" s="62"/>
      <c r="I268" s="60"/>
      <c r="J268" s="60"/>
      <c r="K268" s="64"/>
      <c r="L268" s="64"/>
      <c r="M268" s="25"/>
      <c r="N268" s="25"/>
    </row>
    <row r="269" spans="1:14">
      <c r="A269" s="3" t="s">
        <v>496</v>
      </c>
      <c r="B269" s="10" t="s">
        <v>497</v>
      </c>
      <c r="C269" s="5"/>
      <c r="D269" s="5">
        <f t="shared" si="7"/>
        <v>0</v>
      </c>
      <c r="E269" s="6">
        <f t="shared" si="6"/>
        <v>0</v>
      </c>
      <c r="F269" s="6">
        <f t="shared" si="6"/>
        <v>0</v>
      </c>
      <c r="G269" s="62"/>
      <c r="H269" s="62"/>
      <c r="I269" s="60"/>
      <c r="J269" s="60"/>
      <c r="K269" s="64"/>
      <c r="L269" s="64"/>
      <c r="M269" s="25"/>
      <c r="N269" s="25"/>
    </row>
    <row r="270" spans="1:14">
      <c r="A270" s="3" t="s">
        <v>498</v>
      </c>
      <c r="B270" s="10" t="s">
        <v>499</v>
      </c>
      <c r="C270" s="5"/>
      <c r="D270" s="5">
        <f t="shared" si="7"/>
        <v>0</v>
      </c>
      <c r="E270" s="6">
        <f t="shared" ref="E270:F333" si="8">SUM(G270,I270,K270,M270)</f>
        <v>0</v>
      </c>
      <c r="F270" s="6">
        <f t="shared" si="8"/>
        <v>0</v>
      </c>
      <c r="G270" s="62"/>
      <c r="H270" s="62"/>
      <c r="I270" s="60"/>
      <c r="J270" s="60"/>
      <c r="K270" s="64"/>
      <c r="L270" s="64"/>
      <c r="M270" s="25"/>
      <c r="N270" s="25"/>
    </row>
    <row r="271" spans="1:14">
      <c r="A271" s="3" t="s">
        <v>500</v>
      </c>
      <c r="B271" s="10" t="s">
        <v>501</v>
      </c>
      <c r="C271" s="5"/>
      <c r="D271" s="5">
        <f t="shared" si="7"/>
        <v>0</v>
      </c>
      <c r="E271" s="6">
        <f t="shared" si="8"/>
        <v>0</v>
      </c>
      <c r="F271" s="6">
        <f t="shared" si="8"/>
        <v>0</v>
      </c>
      <c r="G271" s="62"/>
      <c r="H271" s="62"/>
      <c r="I271" s="60"/>
      <c r="J271" s="60"/>
      <c r="K271" s="64"/>
      <c r="L271" s="64"/>
      <c r="M271" s="25"/>
      <c r="N271" s="25"/>
    </row>
    <row r="272" spans="1:14">
      <c r="A272" s="3" t="s">
        <v>502</v>
      </c>
      <c r="B272" s="10" t="s">
        <v>503</v>
      </c>
      <c r="C272" s="5"/>
      <c r="D272" s="5">
        <f t="shared" si="7"/>
        <v>0</v>
      </c>
      <c r="E272" s="6">
        <f t="shared" si="8"/>
        <v>0</v>
      </c>
      <c r="F272" s="6">
        <f t="shared" si="8"/>
        <v>0</v>
      </c>
      <c r="G272" s="62"/>
      <c r="H272" s="62"/>
      <c r="I272" s="60"/>
      <c r="J272" s="60"/>
      <c r="K272" s="64"/>
      <c r="L272" s="64"/>
      <c r="M272" s="25"/>
      <c r="N272" s="25"/>
    </row>
    <row r="273" spans="1:14">
      <c r="A273" s="3" t="s">
        <v>504</v>
      </c>
      <c r="B273" s="10" t="s">
        <v>505</v>
      </c>
      <c r="C273" s="5"/>
      <c r="D273" s="5">
        <f t="shared" si="7"/>
        <v>0</v>
      </c>
      <c r="E273" s="6">
        <f t="shared" si="8"/>
        <v>0</v>
      </c>
      <c r="F273" s="6">
        <f t="shared" si="8"/>
        <v>0</v>
      </c>
      <c r="G273" s="62"/>
      <c r="H273" s="62"/>
      <c r="I273" s="60"/>
      <c r="J273" s="60"/>
      <c r="K273" s="64"/>
      <c r="L273" s="64"/>
      <c r="M273" s="25"/>
      <c r="N273" s="25"/>
    </row>
    <row r="274" spans="1:14">
      <c r="A274" s="3" t="s">
        <v>506</v>
      </c>
      <c r="B274" s="10" t="s">
        <v>507</v>
      </c>
      <c r="C274" s="5"/>
      <c r="D274" s="5">
        <f t="shared" si="7"/>
        <v>0</v>
      </c>
      <c r="E274" s="6">
        <f t="shared" si="8"/>
        <v>0</v>
      </c>
      <c r="F274" s="6">
        <f t="shared" si="8"/>
        <v>0</v>
      </c>
      <c r="G274" s="62"/>
      <c r="H274" s="62"/>
      <c r="I274" s="60"/>
      <c r="J274" s="60"/>
      <c r="K274" s="64"/>
      <c r="L274" s="64"/>
      <c r="M274" s="25"/>
      <c r="N274" s="25"/>
    </row>
    <row r="275" spans="1:14">
      <c r="A275" s="3" t="s">
        <v>508</v>
      </c>
      <c r="B275" s="10" t="s">
        <v>509</v>
      </c>
      <c r="C275" s="5"/>
      <c r="D275" s="5">
        <f t="shared" si="7"/>
        <v>0</v>
      </c>
      <c r="E275" s="6">
        <f t="shared" si="8"/>
        <v>0</v>
      </c>
      <c r="F275" s="6">
        <f t="shared" si="8"/>
        <v>0</v>
      </c>
      <c r="G275" s="62"/>
      <c r="H275" s="62"/>
      <c r="I275" s="60"/>
      <c r="J275" s="60"/>
      <c r="K275" s="64"/>
      <c r="L275" s="64"/>
      <c r="M275" s="25"/>
      <c r="N275" s="25"/>
    </row>
    <row r="276" spans="1:14">
      <c r="A276" s="3" t="s">
        <v>510</v>
      </c>
      <c r="B276" s="10" t="s">
        <v>511</v>
      </c>
      <c r="C276" s="5"/>
      <c r="D276" s="5">
        <f t="shared" si="7"/>
        <v>0</v>
      </c>
      <c r="E276" s="6">
        <f t="shared" si="8"/>
        <v>0</v>
      </c>
      <c r="F276" s="6">
        <f t="shared" si="8"/>
        <v>0</v>
      </c>
      <c r="G276" s="62"/>
      <c r="H276" s="62"/>
      <c r="I276" s="60"/>
      <c r="J276" s="60"/>
      <c r="K276" s="64"/>
      <c r="L276" s="64"/>
      <c r="M276" s="25"/>
      <c r="N276" s="25"/>
    </row>
    <row r="277" spans="1:14">
      <c r="A277" s="3" t="s">
        <v>512</v>
      </c>
      <c r="B277" s="10" t="s">
        <v>513</v>
      </c>
      <c r="C277" s="5"/>
      <c r="D277" s="5">
        <f t="shared" si="7"/>
        <v>0</v>
      </c>
      <c r="E277" s="6">
        <f t="shared" si="8"/>
        <v>0</v>
      </c>
      <c r="F277" s="6">
        <f t="shared" si="8"/>
        <v>0</v>
      </c>
      <c r="G277" s="62"/>
      <c r="H277" s="62"/>
      <c r="I277" s="60"/>
      <c r="J277" s="60"/>
      <c r="K277" s="64"/>
      <c r="L277" s="64"/>
      <c r="M277" s="25"/>
      <c r="N277" s="25"/>
    </row>
    <row r="278" spans="1:14">
      <c r="A278" s="3" t="s">
        <v>514</v>
      </c>
      <c r="B278" s="10" t="s">
        <v>515</v>
      </c>
      <c r="C278" s="5"/>
      <c r="D278" s="5">
        <f t="shared" si="7"/>
        <v>0</v>
      </c>
      <c r="E278" s="6">
        <f t="shared" si="8"/>
        <v>0</v>
      </c>
      <c r="F278" s="6">
        <f t="shared" si="8"/>
        <v>0</v>
      </c>
      <c r="G278" s="62"/>
      <c r="H278" s="62"/>
      <c r="I278" s="60"/>
      <c r="J278" s="60"/>
      <c r="K278" s="64"/>
      <c r="L278" s="64"/>
      <c r="M278" s="25"/>
      <c r="N278" s="25"/>
    </row>
    <row r="279" spans="1:14">
      <c r="A279" s="3" t="s">
        <v>516</v>
      </c>
      <c r="B279" s="10" t="s">
        <v>517</v>
      </c>
      <c r="C279" s="5"/>
      <c r="D279" s="5">
        <f t="shared" si="7"/>
        <v>0</v>
      </c>
      <c r="E279" s="6">
        <f t="shared" si="8"/>
        <v>0</v>
      </c>
      <c r="F279" s="6">
        <f t="shared" si="8"/>
        <v>0</v>
      </c>
      <c r="G279" s="62"/>
      <c r="H279" s="62"/>
      <c r="I279" s="60"/>
      <c r="J279" s="60"/>
      <c r="K279" s="64"/>
      <c r="L279" s="64"/>
      <c r="M279" s="25"/>
      <c r="N279" s="25"/>
    </row>
    <row r="280" spans="1:14">
      <c r="A280" s="3" t="s">
        <v>518</v>
      </c>
      <c r="B280" s="10" t="s">
        <v>519</v>
      </c>
      <c r="C280" s="5"/>
      <c r="D280" s="5">
        <f t="shared" si="7"/>
        <v>0</v>
      </c>
      <c r="E280" s="6">
        <f t="shared" si="8"/>
        <v>0</v>
      </c>
      <c r="F280" s="6">
        <f t="shared" si="8"/>
        <v>0</v>
      </c>
      <c r="G280" s="62"/>
      <c r="H280" s="62"/>
      <c r="I280" s="60"/>
      <c r="J280" s="60"/>
      <c r="K280" s="64"/>
      <c r="L280" s="64"/>
      <c r="M280" s="25"/>
      <c r="N280" s="25"/>
    </row>
    <row r="281" spans="1:14">
      <c r="A281" s="3" t="s">
        <v>520</v>
      </c>
      <c r="B281" s="4" t="s">
        <v>521</v>
      </c>
      <c r="C281" s="5">
        <f t="shared" ref="C281:C344" si="9">E281-F281</f>
        <v>0</v>
      </c>
      <c r="D281" s="5"/>
      <c r="E281" s="6">
        <f t="shared" si="8"/>
        <v>0</v>
      </c>
      <c r="F281" s="6">
        <f t="shared" si="8"/>
        <v>0</v>
      </c>
      <c r="G281" s="62"/>
      <c r="H281" s="62"/>
      <c r="I281" s="60"/>
      <c r="J281" s="60"/>
      <c r="K281" s="64"/>
      <c r="L281" s="64"/>
      <c r="M281" s="25"/>
      <c r="N281" s="25"/>
    </row>
    <row r="282" spans="1:14">
      <c r="A282" s="3" t="s">
        <v>522</v>
      </c>
      <c r="B282" s="4" t="s">
        <v>523</v>
      </c>
      <c r="C282" s="5">
        <f t="shared" si="9"/>
        <v>0</v>
      </c>
      <c r="D282" s="5"/>
      <c r="E282" s="6">
        <f t="shared" si="8"/>
        <v>0</v>
      </c>
      <c r="F282" s="6">
        <f t="shared" si="8"/>
        <v>0</v>
      </c>
      <c r="G282" s="62"/>
      <c r="H282" s="62"/>
      <c r="I282" s="60"/>
      <c r="J282" s="60"/>
      <c r="K282" s="64"/>
      <c r="L282" s="64"/>
      <c r="M282" s="25"/>
      <c r="N282" s="25"/>
    </row>
    <row r="283" spans="1:14">
      <c r="A283" s="3" t="s">
        <v>524</v>
      </c>
      <c r="B283" s="4" t="s">
        <v>525</v>
      </c>
      <c r="C283" s="5">
        <f t="shared" si="9"/>
        <v>0</v>
      </c>
      <c r="D283" s="5"/>
      <c r="E283" s="6">
        <f t="shared" si="8"/>
        <v>0</v>
      </c>
      <c r="F283" s="6">
        <f t="shared" si="8"/>
        <v>0</v>
      </c>
      <c r="G283" s="62"/>
      <c r="H283" s="62"/>
      <c r="I283" s="60"/>
      <c r="J283" s="60"/>
      <c r="K283" s="64"/>
      <c r="L283" s="64"/>
      <c r="M283" s="25"/>
      <c r="N283" s="25"/>
    </row>
    <row r="284" spans="1:14">
      <c r="A284" s="3" t="s">
        <v>526</v>
      </c>
      <c r="B284" s="4" t="s">
        <v>527</v>
      </c>
      <c r="C284" s="5">
        <f t="shared" si="9"/>
        <v>0</v>
      </c>
      <c r="D284" s="5"/>
      <c r="E284" s="6">
        <f t="shared" si="8"/>
        <v>0</v>
      </c>
      <c r="F284" s="6">
        <f t="shared" si="8"/>
        <v>0</v>
      </c>
      <c r="G284" s="62"/>
      <c r="H284" s="62"/>
      <c r="I284" s="60"/>
      <c r="J284" s="60"/>
      <c r="K284" s="64"/>
      <c r="L284" s="64"/>
      <c r="M284" s="25"/>
      <c r="N284" s="25"/>
    </row>
    <row r="285" spans="1:14">
      <c r="A285" s="3" t="s">
        <v>528</v>
      </c>
      <c r="B285" s="4" t="s">
        <v>529</v>
      </c>
      <c r="C285" s="5">
        <f t="shared" si="9"/>
        <v>0</v>
      </c>
      <c r="D285" s="5"/>
      <c r="E285" s="6">
        <f t="shared" si="8"/>
        <v>0</v>
      </c>
      <c r="F285" s="6">
        <f t="shared" si="8"/>
        <v>0</v>
      </c>
      <c r="G285" s="62"/>
      <c r="H285" s="62"/>
      <c r="I285" s="60"/>
      <c r="J285" s="60"/>
      <c r="K285" s="64"/>
      <c r="L285" s="64"/>
      <c r="M285" s="25"/>
      <c r="N285" s="25"/>
    </row>
    <row r="286" spans="1:14">
      <c r="A286" s="3" t="s">
        <v>530</v>
      </c>
      <c r="B286" s="4" t="s">
        <v>531</v>
      </c>
      <c r="C286" s="5">
        <f t="shared" si="9"/>
        <v>0</v>
      </c>
      <c r="D286" s="5"/>
      <c r="E286" s="6">
        <f t="shared" si="8"/>
        <v>0</v>
      </c>
      <c r="F286" s="6">
        <f t="shared" si="8"/>
        <v>0</v>
      </c>
      <c r="G286" s="62"/>
      <c r="H286" s="62"/>
      <c r="I286" s="60"/>
      <c r="J286" s="60"/>
      <c r="K286" s="64"/>
      <c r="L286" s="64"/>
      <c r="M286" s="25"/>
      <c r="N286" s="25"/>
    </row>
    <row r="287" spans="1:14">
      <c r="A287" s="3" t="s">
        <v>532</v>
      </c>
      <c r="B287" s="4" t="s">
        <v>533</v>
      </c>
      <c r="C287" s="5">
        <f t="shared" si="9"/>
        <v>0</v>
      </c>
      <c r="D287" s="5"/>
      <c r="E287" s="6">
        <f t="shared" si="8"/>
        <v>0</v>
      </c>
      <c r="F287" s="6">
        <f t="shared" si="8"/>
        <v>0</v>
      </c>
      <c r="G287" s="62"/>
      <c r="H287" s="62"/>
      <c r="I287" s="60"/>
      <c r="J287" s="60"/>
      <c r="K287" s="64"/>
      <c r="L287" s="64"/>
      <c r="M287" s="25"/>
      <c r="N287" s="25"/>
    </row>
    <row r="288" spans="1:14">
      <c r="A288" s="3" t="s">
        <v>534</v>
      </c>
      <c r="B288" s="4" t="s">
        <v>535</v>
      </c>
      <c r="C288" s="5">
        <f t="shared" si="9"/>
        <v>0</v>
      </c>
      <c r="D288" s="5"/>
      <c r="E288" s="6">
        <f t="shared" si="8"/>
        <v>0</v>
      </c>
      <c r="F288" s="6">
        <f t="shared" si="8"/>
        <v>0</v>
      </c>
      <c r="G288" s="62"/>
      <c r="H288" s="62"/>
      <c r="I288" s="60"/>
      <c r="J288" s="60"/>
      <c r="K288" s="64"/>
      <c r="L288" s="64"/>
      <c r="M288" s="25"/>
      <c r="N288" s="25"/>
    </row>
    <row r="289" spans="1:14">
      <c r="A289" s="3" t="s">
        <v>536</v>
      </c>
      <c r="B289" s="4" t="s">
        <v>537</v>
      </c>
      <c r="C289" s="5">
        <f t="shared" si="9"/>
        <v>0</v>
      </c>
      <c r="D289" s="5"/>
      <c r="E289" s="6">
        <f t="shared" si="8"/>
        <v>0</v>
      </c>
      <c r="F289" s="6">
        <f t="shared" si="8"/>
        <v>0</v>
      </c>
      <c r="G289" s="62"/>
      <c r="H289" s="62"/>
      <c r="I289" s="60"/>
      <c r="J289" s="60"/>
      <c r="K289" s="64"/>
      <c r="L289" s="64"/>
      <c r="M289" s="25"/>
      <c r="N289" s="25"/>
    </row>
    <row r="290" spans="1:14">
      <c r="A290" s="3" t="s">
        <v>538</v>
      </c>
      <c r="B290" s="4" t="s">
        <v>539</v>
      </c>
      <c r="C290" s="5">
        <f t="shared" si="9"/>
        <v>0</v>
      </c>
      <c r="D290" s="5"/>
      <c r="E290" s="6">
        <f t="shared" si="8"/>
        <v>0</v>
      </c>
      <c r="F290" s="6">
        <f t="shared" si="8"/>
        <v>0</v>
      </c>
      <c r="G290" s="62"/>
      <c r="H290" s="62"/>
      <c r="I290" s="60"/>
      <c r="J290" s="60"/>
      <c r="K290" s="64"/>
      <c r="L290" s="64"/>
      <c r="M290" s="25"/>
      <c r="N290" s="25"/>
    </row>
    <row r="291" spans="1:14">
      <c r="A291" s="3" t="s">
        <v>540</v>
      </c>
      <c r="B291" s="4" t="s">
        <v>541</v>
      </c>
      <c r="C291" s="5">
        <f t="shared" si="9"/>
        <v>0</v>
      </c>
      <c r="D291" s="5"/>
      <c r="E291" s="6">
        <f t="shared" si="8"/>
        <v>0</v>
      </c>
      <c r="F291" s="6">
        <f t="shared" si="8"/>
        <v>0</v>
      </c>
      <c r="G291" s="62"/>
      <c r="H291" s="62"/>
      <c r="I291" s="60"/>
      <c r="J291" s="60"/>
      <c r="K291" s="64"/>
      <c r="L291" s="64"/>
      <c r="M291" s="25"/>
      <c r="N291" s="25"/>
    </row>
    <row r="292" spans="1:14">
      <c r="A292" s="3" t="s">
        <v>542</v>
      </c>
      <c r="B292" s="4" t="s">
        <v>543</v>
      </c>
      <c r="C292" s="5">
        <f t="shared" si="9"/>
        <v>0</v>
      </c>
      <c r="D292" s="5"/>
      <c r="E292" s="6">
        <f t="shared" si="8"/>
        <v>0</v>
      </c>
      <c r="F292" s="6">
        <f t="shared" si="8"/>
        <v>0</v>
      </c>
      <c r="G292" s="62"/>
      <c r="H292" s="62"/>
      <c r="I292" s="60"/>
      <c r="J292" s="60"/>
      <c r="K292" s="64"/>
      <c r="L292" s="64"/>
      <c r="M292" s="25"/>
      <c r="N292" s="25"/>
    </row>
    <row r="293" spans="1:14">
      <c r="A293" s="3" t="s">
        <v>544</v>
      </c>
      <c r="B293" s="4" t="s">
        <v>545</v>
      </c>
      <c r="C293" s="5">
        <f t="shared" si="9"/>
        <v>0</v>
      </c>
      <c r="D293" s="5"/>
      <c r="E293" s="6">
        <f t="shared" si="8"/>
        <v>0</v>
      </c>
      <c r="F293" s="6">
        <f t="shared" si="8"/>
        <v>0</v>
      </c>
      <c r="G293" s="62"/>
      <c r="H293" s="62"/>
      <c r="I293" s="60"/>
      <c r="J293" s="60"/>
      <c r="K293" s="64"/>
      <c r="L293" s="64"/>
      <c r="M293" s="25"/>
      <c r="N293" s="25"/>
    </row>
    <row r="294" spans="1:14">
      <c r="A294" s="3" t="s">
        <v>546</v>
      </c>
      <c r="B294" s="4" t="s">
        <v>547</v>
      </c>
      <c r="C294" s="5">
        <f t="shared" si="9"/>
        <v>0</v>
      </c>
      <c r="D294" s="5"/>
      <c r="E294" s="6">
        <f t="shared" si="8"/>
        <v>0</v>
      </c>
      <c r="F294" s="6">
        <f t="shared" si="8"/>
        <v>0</v>
      </c>
      <c r="G294" s="62"/>
      <c r="H294" s="62"/>
      <c r="I294" s="60"/>
      <c r="J294" s="60"/>
      <c r="K294" s="64"/>
      <c r="L294" s="64"/>
      <c r="M294" s="25"/>
      <c r="N294" s="25"/>
    </row>
    <row r="295" spans="1:14">
      <c r="A295" s="3" t="s">
        <v>548</v>
      </c>
      <c r="B295" s="4" t="s">
        <v>549</v>
      </c>
      <c r="C295" s="5">
        <f t="shared" si="9"/>
        <v>0</v>
      </c>
      <c r="D295" s="5"/>
      <c r="E295" s="6">
        <f t="shared" si="8"/>
        <v>0</v>
      </c>
      <c r="F295" s="6">
        <f t="shared" si="8"/>
        <v>0</v>
      </c>
      <c r="G295" s="62"/>
      <c r="H295" s="62"/>
      <c r="I295" s="60"/>
      <c r="J295" s="60"/>
      <c r="K295" s="64"/>
      <c r="L295" s="64"/>
      <c r="M295" s="25"/>
      <c r="N295" s="25"/>
    </row>
    <row r="296" spans="1:14">
      <c r="A296" s="3" t="s">
        <v>550</v>
      </c>
      <c r="B296" s="4" t="s">
        <v>551</v>
      </c>
      <c r="C296" s="5">
        <f t="shared" si="9"/>
        <v>0</v>
      </c>
      <c r="D296" s="5"/>
      <c r="E296" s="6">
        <f t="shared" si="8"/>
        <v>0</v>
      </c>
      <c r="F296" s="6">
        <f t="shared" si="8"/>
        <v>0</v>
      </c>
      <c r="G296" s="62"/>
      <c r="H296" s="62"/>
      <c r="I296" s="60"/>
      <c r="J296" s="60"/>
      <c r="K296" s="64"/>
      <c r="L296" s="64"/>
      <c r="M296" s="25"/>
      <c r="N296" s="25"/>
    </row>
    <row r="297" spans="1:14">
      <c r="A297" s="3" t="s">
        <v>552</v>
      </c>
      <c r="B297" s="4" t="s">
        <v>553</v>
      </c>
      <c r="C297" s="5">
        <f t="shared" si="9"/>
        <v>0</v>
      </c>
      <c r="D297" s="5"/>
      <c r="E297" s="6">
        <f t="shared" si="8"/>
        <v>0</v>
      </c>
      <c r="F297" s="6">
        <f t="shared" si="8"/>
        <v>0</v>
      </c>
      <c r="G297" s="62"/>
      <c r="H297" s="62"/>
      <c r="I297" s="60"/>
      <c r="J297" s="60"/>
      <c r="K297" s="64"/>
      <c r="L297" s="64"/>
      <c r="M297" s="25"/>
      <c r="N297" s="25"/>
    </row>
    <row r="298" spans="1:14">
      <c r="A298" s="3" t="s">
        <v>554</v>
      </c>
      <c r="B298" s="4" t="s">
        <v>555</v>
      </c>
      <c r="C298" s="5">
        <f t="shared" si="9"/>
        <v>0</v>
      </c>
      <c r="D298" s="5"/>
      <c r="E298" s="6">
        <f t="shared" si="8"/>
        <v>0</v>
      </c>
      <c r="F298" s="6">
        <f t="shared" si="8"/>
        <v>0</v>
      </c>
      <c r="G298" s="62"/>
      <c r="H298" s="62"/>
      <c r="I298" s="60"/>
      <c r="J298" s="60"/>
      <c r="K298" s="64"/>
      <c r="L298" s="64"/>
      <c r="M298" s="25"/>
      <c r="N298" s="25"/>
    </row>
    <row r="299" spans="1:14">
      <c r="A299" s="3" t="s">
        <v>556</v>
      </c>
      <c r="B299" s="4" t="s">
        <v>557</v>
      </c>
      <c r="C299" s="5">
        <f t="shared" si="9"/>
        <v>0</v>
      </c>
      <c r="D299" s="5"/>
      <c r="E299" s="6">
        <f t="shared" si="8"/>
        <v>0</v>
      </c>
      <c r="F299" s="6">
        <f t="shared" si="8"/>
        <v>0</v>
      </c>
      <c r="G299" s="62"/>
      <c r="H299" s="62"/>
      <c r="I299" s="60"/>
      <c r="J299" s="60"/>
      <c r="K299" s="64"/>
      <c r="L299" s="64"/>
      <c r="M299" s="25"/>
      <c r="N299" s="25"/>
    </row>
    <row r="300" spans="1:14">
      <c r="A300" s="3" t="s">
        <v>558</v>
      </c>
      <c r="B300" s="4" t="s">
        <v>559</v>
      </c>
      <c r="C300" s="5">
        <f t="shared" si="9"/>
        <v>0</v>
      </c>
      <c r="D300" s="5"/>
      <c r="E300" s="6">
        <f t="shared" si="8"/>
        <v>0</v>
      </c>
      <c r="F300" s="6">
        <f t="shared" si="8"/>
        <v>0</v>
      </c>
      <c r="G300" s="62"/>
      <c r="H300" s="62"/>
      <c r="I300" s="60"/>
      <c r="J300" s="60"/>
      <c r="K300" s="64"/>
      <c r="L300" s="64"/>
      <c r="M300" s="25"/>
      <c r="N300" s="25"/>
    </row>
    <row r="301" spans="1:14">
      <c r="A301" s="3" t="s">
        <v>560</v>
      </c>
      <c r="B301" s="4" t="s">
        <v>561</v>
      </c>
      <c r="C301" s="5">
        <f t="shared" si="9"/>
        <v>0</v>
      </c>
      <c r="D301" s="5"/>
      <c r="E301" s="6">
        <f t="shared" si="8"/>
        <v>0</v>
      </c>
      <c r="F301" s="6">
        <f t="shared" si="8"/>
        <v>0</v>
      </c>
      <c r="G301" s="62"/>
      <c r="H301" s="62"/>
      <c r="I301" s="60"/>
      <c r="J301" s="60"/>
      <c r="K301" s="64"/>
      <c r="L301" s="64"/>
      <c r="M301" s="25"/>
      <c r="N301" s="25"/>
    </row>
    <row r="302" spans="1:14">
      <c r="A302" s="3" t="s">
        <v>562</v>
      </c>
      <c r="B302" s="4" t="s">
        <v>563</v>
      </c>
      <c r="C302" s="5">
        <f t="shared" si="9"/>
        <v>0</v>
      </c>
      <c r="D302" s="5"/>
      <c r="E302" s="6">
        <f t="shared" si="8"/>
        <v>0</v>
      </c>
      <c r="F302" s="6">
        <f t="shared" si="8"/>
        <v>0</v>
      </c>
      <c r="G302" s="62"/>
      <c r="H302" s="62"/>
      <c r="I302" s="60"/>
      <c r="J302" s="60"/>
      <c r="K302" s="64"/>
      <c r="L302" s="64"/>
      <c r="M302" s="25"/>
      <c r="N302" s="25"/>
    </row>
    <row r="303" spans="1:14">
      <c r="A303" s="3" t="s">
        <v>564</v>
      </c>
      <c r="B303" s="4" t="s">
        <v>565</v>
      </c>
      <c r="C303" s="5">
        <f t="shared" si="9"/>
        <v>0</v>
      </c>
      <c r="D303" s="5"/>
      <c r="E303" s="6">
        <f t="shared" si="8"/>
        <v>0</v>
      </c>
      <c r="F303" s="6">
        <f t="shared" si="8"/>
        <v>0</v>
      </c>
      <c r="G303" s="62"/>
      <c r="H303" s="62"/>
      <c r="I303" s="60"/>
      <c r="J303" s="60"/>
      <c r="K303" s="64"/>
      <c r="L303" s="64"/>
      <c r="M303" s="25"/>
      <c r="N303" s="25"/>
    </row>
    <row r="304" spans="1:14">
      <c r="A304" s="3" t="s">
        <v>566</v>
      </c>
      <c r="B304" s="4" t="s">
        <v>567</v>
      </c>
      <c r="C304" s="5">
        <f t="shared" si="9"/>
        <v>0</v>
      </c>
      <c r="D304" s="5"/>
      <c r="E304" s="6">
        <f t="shared" si="8"/>
        <v>0</v>
      </c>
      <c r="F304" s="6">
        <f t="shared" si="8"/>
        <v>0</v>
      </c>
      <c r="G304" s="62"/>
      <c r="H304" s="62"/>
      <c r="I304" s="60"/>
      <c r="J304" s="60"/>
      <c r="K304" s="64"/>
      <c r="L304" s="64"/>
      <c r="M304" s="25"/>
      <c r="N304" s="25"/>
    </row>
    <row r="305" spans="1:14">
      <c r="A305" s="3" t="s">
        <v>568</v>
      </c>
      <c r="B305" s="4" t="s">
        <v>569</v>
      </c>
      <c r="C305" s="5">
        <f t="shared" si="9"/>
        <v>0</v>
      </c>
      <c r="D305" s="5"/>
      <c r="E305" s="6">
        <f t="shared" si="8"/>
        <v>0</v>
      </c>
      <c r="F305" s="6">
        <f t="shared" si="8"/>
        <v>0</v>
      </c>
      <c r="G305" s="62"/>
      <c r="H305" s="62"/>
      <c r="I305" s="60"/>
      <c r="J305" s="60"/>
      <c r="K305" s="64"/>
      <c r="L305" s="64"/>
      <c r="M305" s="25"/>
      <c r="N305" s="25"/>
    </row>
    <row r="306" spans="1:14">
      <c r="A306" s="3" t="s">
        <v>570</v>
      </c>
      <c r="B306" s="4" t="s">
        <v>571</v>
      </c>
      <c r="C306" s="5">
        <f t="shared" si="9"/>
        <v>0</v>
      </c>
      <c r="D306" s="5"/>
      <c r="E306" s="6">
        <f t="shared" si="8"/>
        <v>0</v>
      </c>
      <c r="F306" s="6">
        <f t="shared" si="8"/>
        <v>0</v>
      </c>
      <c r="G306" s="62"/>
      <c r="H306" s="62"/>
      <c r="I306" s="60"/>
      <c r="J306" s="60"/>
      <c r="K306" s="64"/>
      <c r="L306" s="64"/>
      <c r="M306" s="25"/>
      <c r="N306" s="25"/>
    </row>
    <row r="307" spans="1:14">
      <c r="A307" s="3" t="s">
        <v>572</v>
      </c>
      <c r="B307" s="4" t="s">
        <v>573</v>
      </c>
      <c r="C307" s="5">
        <f t="shared" si="9"/>
        <v>0</v>
      </c>
      <c r="D307" s="5"/>
      <c r="E307" s="6">
        <f t="shared" si="8"/>
        <v>0</v>
      </c>
      <c r="F307" s="6">
        <f t="shared" si="8"/>
        <v>0</v>
      </c>
      <c r="G307" s="62"/>
      <c r="H307" s="62"/>
      <c r="I307" s="60"/>
      <c r="J307" s="60"/>
      <c r="K307" s="64"/>
      <c r="L307" s="64"/>
      <c r="M307" s="25"/>
      <c r="N307" s="25"/>
    </row>
    <row r="308" spans="1:14">
      <c r="A308" s="3" t="s">
        <v>574</v>
      </c>
      <c r="B308" s="4" t="s">
        <v>575</v>
      </c>
      <c r="C308" s="5">
        <f t="shared" si="9"/>
        <v>0</v>
      </c>
      <c r="D308" s="5"/>
      <c r="E308" s="6">
        <f t="shared" si="8"/>
        <v>0</v>
      </c>
      <c r="F308" s="6">
        <f t="shared" si="8"/>
        <v>0</v>
      </c>
      <c r="G308" s="62"/>
      <c r="H308" s="62"/>
      <c r="I308" s="60"/>
      <c r="J308" s="60"/>
      <c r="K308" s="64"/>
      <c r="L308" s="64"/>
      <c r="M308" s="25"/>
      <c r="N308" s="25"/>
    </row>
    <row r="309" spans="1:14">
      <c r="A309" s="3" t="s">
        <v>576</v>
      </c>
      <c r="B309" s="4" t="s">
        <v>577</v>
      </c>
      <c r="C309" s="5">
        <f t="shared" si="9"/>
        <v>0</v>
      </c>
      <c r="D309" s="5"/>
      <c r="E309" s="6">
        <f t="shared" si="8"/>
        <v>0</v>
      </c>
      <c r="F309" s="6">
        <f t="shared" si="8"/>
        <v>0</v>
      </c>
      <c r="G309" s="62"/>
      <c r="H309" s="62"/>
      <c r="I309" s="60"/>
      <c r="J309" s="60"/>
      <c r="K309" s="64"/>
      <c r="L309" s="64"/>
      <c r="M309" s="25"/>
      <c r="N309" s="25"/>
    </row>
    <row r="310" spans="1:14">
      <c r="A310" s="3" t="s">
        <v>578</v>
      </c>
      <c r="B310" s="4" t="s">
        <v>579</v>
      </c>
      <c r="C310" s="5">
        <f t="shared" si="9"/>
        <v>0</v>
      </c>
      <c r="D310" s="5"/>
      <c r="E310" s="6">
        <f t="shared" si="8"/>
        <v>0</v>
      </c>
      <c r="F310" s="6">
        <f t="shared" si="8"/>
        <v>0</v>
      </c>
      <c r="G310" s="62"/>
      <c r="H310" s="62"/>
      <c r="I310" s="60"/>
      <c r="J310" s="60"/>
      <c r="K310" s="64"/>
      <c r="L310" s="64"/>
      <c r="M310" s="25"/>
      <c r="N310" s="25"/>
    </row>
    <row r="311" spans="1:14">
      <c r="A311" s="3" t="s">
        <v>580</v>
      </c>
      <c r="B311" s="4" t="s">
        <v>581</v>
      </c>
      <c r="C311" s="5">
        <f t="shared" si="9"/>
        <v>0</v>
      </c>
      <c r="D311" s="5"/>
      <c r="E311" s="6">
        <f t="shared" si="8"/>
        <v>0</v>
      </c>
      <c r="F311" s="6">
        <f t="shared" si="8"/>
        <v>0</v>
      </c>
      <c r="G311" s="62"/>
      <c r="H311" s="62"/>
      <c r="I311" s="60"/>
      <c r="J311" s="60"/>
      <c r="K311" s="64"/>
      <c r="L311" s="64"/>
      <c r="M311" s="25"/>
      <c r="N311" s="25"/>
    </row>
    <row r="312" spans="1:14">
      <c r="A312" s="3" t="s">
        <v>582</v>
      </c>
      <c r="B312" s="4" t="s">
        <v>583</v>
      </c>
      <c r="C312" s="5">
        <f t="shared" si="9"/>
        <v>0</v>
      </c>
      <c r="D312" s="5"/>
      <c r="E312" s="6">
        <f t="shared" si="8"/>
        <v>0</v>
      </c>
      <c r="F312" s="6">
        <f t="shared" si="8"/>
        <v>0</v>
      </c>
      <c r="G312" s="62"/>
      <c r="H312" s="62"/>
      <c r="I312" s="60"/>
      <c r="J312" s="60"/>
      <c r="K312" s="64"/>
      <c r="L312" s="64"/>
      <c r="M312" s="25"/>
      <c r="N312" s="25"/>
    </row>
    <row r="313" spans="1:14">
      <c r="A313" s="3" t="s">
        <v>584</v>
      </c>
      <c r="B313" s="4" t="s">
        <v>585</v>
      </c>
      <c r="C313" s="5">
        <f t="shared" si="9"/>
        <v>0</v>
      </c>
      <c r="D313" s="5"/>
      <c r="E313" s="6">
        <f t="shared" si="8"/>
        <v>0</v>
      </c>
      <c r="F313" s="6">
        <f t="shared" si="8"/>
        <v>0</v>
      </c>
      <c r="G313" s="62"/>
      <c r="H313" s="62"/>
      <c r="I313" s="60"/>
      <c r="J313" s="60"/>
      <c r="K313" s="64"/>
      <c r="L313" s="64"/>
      <c r="M313" s="25"/>
      <c r="N313" s="25"/>
    </row>
    <row r="314" spans="1:14">
      <c r="A314" s="3" t="s">
        <v>586</v>
      </c>
      <c r="B314" s="4" t="s">
        <v>587</v>
      </c>
      <c r="C314" s="5">
        <f t="shared" si="9"/>
        <v>0</v>
      </c>
      <c r="D314" s="5"/>
      <c r="E314" s="6">
        <f t="shared" si="8"/>
        <v>0</v>
      </c>
      <c r="F314" s="6">
        <f t="shared" si="8"/>
        <v>0</v>
      </c>
      <c r="G314" s="62"/>
      <c r="H314" s="62"/>
      <c r="I314" s="60"/>
      <c r="J314" s="60"/>
      <c r="K314" s="64"/>
      <c r="L314" s="64"/>
      <c r="M314" s="25"/>
      <c r="N314" s="25"/>
    </row>
    <row r="315" spans="1:14">
      <c r="A315" s="3" t="s">
        <v>588</v>
      </c>
      <c r="B315" s="4" t="s">
        <v>589</v>
      </c>
      <c r="C315" s="5">
        <f t="shared" si="9"/>
        <v>0</v>
      </c>
      <c r="D315" s="5"/>
      <c r="E315" s="6">
        <f t="shared" si="8"/>
        <v>0</v>
      </c>
      <c r="F315" s="6">
        <f t="shared" si="8"/>
        <v>0</v>
      </c>
      <c r="G315" s="62"/>
      <c r="H315" s="62"/>
      <c r="I315" s="60"/>
      <c r="J315" s="60"/>
      <c r="K315" s="64"/>
      <c r="L315" s="64"/>
      <c r="M315" s="25"/>
      <c r="N315" s="25"/>
    </row>
    <row r="316" spans="1:14">
      <c r="A316" s="3" t="s">
        <v>590</v>
      </c>
      <c r="B316" s="4" t="s">
        <v>591</v>
      </c>
      <c r="C316" s="5">
        <f t="shared" si="9"/>
        <v>0</v>
      </c>
      <c r="D316" s="5"/>
      <c r="E316" s="6">
        <f t="shared" si="8"/>
        <v>0</v>
      </c>
      <c r="F316" s="6">
        <f t="shared" si="8"/>
        <v>0</v>
      </c>
      <c r="G316" s="62"/>
      <c r="H316" s="62"/>
      <c r="I316" s="60"/>
      <c r="J316" s="60"/>
      <c r="K316" s="64"/>
      <c r="L316" s="64"/>
      <c r="M316" s="25"/>
      <c r="N316" s="25"/>
    </row>
    <row r="317" spans="1:14">
      <c r="A317" s="3" t="s">
        <v>592</v>
      </c>
      <c r="B317" s="4" t="s">
        <v>593</v>
      </c>
      <c r="C317" s="5">
        <f t="shared" si="9"/>
        <v>0</v>
      </c>
      <c r="D317" s="5"/>
      <c r="E317" s="6">
        <f t="shared" si="8"/>
        <v>0</v>
      </c>
      <c r="F317" s="6">
        <f t="shared" si="8"/>
        <v>0</v>
      </c>
      <c r="G317" s="62"/>
      <c r="H317" s="62"/>
      <c r="I317" s="60"/>
      <c r="J317" s="60"/>
      <c r="K317" s="64"/>
      <c r="L317" s="64"/>
      <c r="M317" s="25"/>
      <c r="N317" s="25"/>
    </row>
    <row r="318" spans="1:14">
      <c r="A318" s="3" t="s">
        <v>594</v>
      </c>
      <c r="B318" s="4" t="s">
        <v>595</v>
      </c>
      <c r="C318" s="5">
        <f t="shared" si="9"/>
        <v>0</v>
      </c>
      <c r="D318" s="5"/>
      <c r="E318" s="6">
        <f t="shared" si="8"/>
        <v>0</v>
      </c>
      <c r="F318" s="6">
        <f t="shared" si="8"/>
        <v>0</v>
      </c>
      <c r="G318" s="62"/>
      <c r="H318" s="62"/>
      <c r="I318" s="60"/>
      <c r="J318" s="60"/>
      <c r="K318" s="64"/>
      <c r="L318" s="64"/>
      <c r="M318" s="25"/>
      <c r="N318" s="25"/>
    </row>
    <row r="319" spans="1:14">
      <c r="A319" s="3" t="s">
        <v>596</v>
      </c>
      <c r="B319" s="4" t="s">
        <v>597</v>
      </c>
      <c r="C319" s="5">
        <f t="shared" si="9"/>
        <v>0</v>
      </c>
      <c r="D319" s="5"/>
      <c r="E319" s="6">
        <f t="shared" si="8"/>
        <v>0</v>
      </c>
      <c r="F319" s="6">
        <f t="shared" si="8"/>
        <v>0</v>
      </c>
      <c r="G319" s="62"/>
      <c r="H319" s="62"/>
      <c r="I319" s="60"/>
      <c r="J319" s="60"/>
      <c r="K319" s="64"/>
      <c r="L319" s="64"/>
      <c r="M319" s="25"/>
      <c r="N319" s="25"/>
    </row>
    <row r="320" spans="1:14">
      <c r="A320" s="3" t="s">
        <v>598</v>
      </c>
      <c r="B320" s="4" t="s">
        <v>599</v>
      </c>
      <c r="C320" s="5">
        <f t="shared" si="9"/>
        <v>0</v>
      </c>
      <c r="D320" s="5"/>
      <c r="E320" s="6">
        <f t="shared" si="8"/>
        <v>0</v>
      </c>
      <c r="F320" s="6">
        <f t="shared" si="8"/>
        <v>0</v>
      </c>
      <c r="G320" s="62"/>
      <c r="H320" s="62"/>
      <c r="I320" s="60"/>
      <c r="J320" s="60"/>
      <c r="K320" s="64"/>
      <c r="L320" s="64"/>
      <c r="M320" s="25"/>
      <c r="N320" s="25"/>
    </row>
    <row r="321" spans="1:14">
      <c r="A321" s="3" t="s">
        <v>600</v>
      </c>
      <c r="B321" s="4" t="s">
        <v>601</v>
      </c>
      <c r="C321" s="5">
        <f t="shared" si="9"/>
        <v>0</v>
      </c>
      <c r="D321" s="5"/>
      <c r="E321" s="6">
        <f t="shared" si="8"/>
        <v>0</v>
      </c>
      <c r="F321" s="6">
        <f t="shared" si="8"/>
        <v>0</v>
      </c>
      <c r="G321" s="62"/>
      <c r="H321" s="62"/>
      <c r="I321" s="60"/>
      <c r="J321" s="60"/>
      <c r="K321" s="64"/>
      <c r="L321" s="64"/>
      <c r="M321" s="25"/>
      <c r="N321" s="25"/>
    </row>
    <row r="322" spans="1:14">
      <c r="A322" s="3" t="s">
        <v>602</v>
      </c>
      <c r="B322" s="4" t="s">
        <v>603</v>
      </c>
      <c r="C322" s="5">
        <f t="shared" si="9"/>
        <v>0</v>
      </c>
      <c r="D322" s="5"/>
      <c r="E322" s="6">
        <f t="shared" si="8"/>
        <v>0</v>
      </c>
      <c r="F322" s="6">
        <f t="shared" si="8"/>
        <v>0</v>
      </c>
      <c r="G322" s="62"/>
      <c r="H322" s="62"/>
      <c r="I322" s="60"/>
      <c r="J322" s="60"/>
      <c r="K322" s="64"/>
      <c r="L322" s="64"/>
      <c r="M322" s="25"/>
      <c r="N322" s="25"/>
    </row>
    <row r="323" spans="1:14">
      <c r="A323" s="3" t="s">
        <v>604</v>
      </c>
      <c r="B323" s="4" t="s">
        <v>605</v>
      </c>
      <c r="C323" s="5">
        <f t="shared" si="9"/>
        <v>0</v>
      </c>
      <c r="D323" s="5"/>
      <c r="E323" s="6">
        <f t="shared" si="8"/>
        <v>0</v>
      </c>
      <c r="F323" s="6">
        <f t="shared" si="8"/>
        <v>0</v>
      </c>
      <c r="G323" s="62"/>
      <c r="H323" s="62"/>
      <c r="I323" s="60"/>
      <c r="J323" s="60"/>
      <c r="K323" s="64"/>
      <c r="L323" s="64"/>
      <c r="M323" s="25"/>
      <c r="N323" s="25"/>
    </row>
    <row r="324" spans="1:14" s="70" customFormat="1">
      <c r="A324" s="3" t="s">
        <v>606</v>
      </c>
      <c r="B324" s="4" t="s">
        <v>607</v>
      </c>
      <c r="C324" s="5">
        <f t="shared" si="9"/>
        <v>0</v>
      </c>
      <c r="D324" s="5"/>
      <c r="E324" s="6">
        <f t="shared" si="8"/>
        <v>0</v>
      </c>
      <c r="F324" s="6">
        <f t="shared" si="8"/>
        <v>0</v>
      </c>
      <c r="G324" s="62"/>
      <c r="H324" s="62"/>
      <c r="I324" s="60"/>
      <c r="J324" s="60"/>
      <c r="K324" s="64"/>
      <c r="L324" s="64"/>
      <c r="M324" s="25"/>
      <c r="N324" s="25"/>
    </row>
    <row r="325" spans="1:14" s="70" customFormat="1">
      <c r="A325" s="3" t="s">
        <v>608</v>
      </c>
      <c r="B325" s="4" t="s">
        <v>609</v>
      </c>
      <c r="C325" s="5">
        <f t="shared" si="9"/>
        <v>0</v>
      </c>
      <c r="D325" s="5"/>
      <c r="E325" s="6">
        <f t="shared" si="8"/>
        <v>0</v>
      </c>
      <c r="F325" s="6">
        <f t="shared" si="8"/>
        <v>0</v>
      </c>
      <c r="G325" s="62"/>
      <c r="H325" s="62"/>
      <c r="I325" s="60"/>
      <c r="J325" s="60"/>
      <c r="K325" s="64"/>
      <c r="L325" s="64"/>
      <c r="M325" s="25"/>
      <c r="N325" s="25"/>
    </row>
    <row r="326" spans="1:14" s="70" customFormat="1">
      <c r="A326" s="3" t="s">
        <v>610</v>
      </c>
      <c r="B326" s="4" t="s">
        <v>611</v>
      </c>
      <c r="C326" s="5">
        <f t="shared" si="9"/>
        <v>0</v>
      </c>
      <c r="D326" s="5"/>
      <c r="E326" s="6">
        <f t="shared" si="8"/>
        <v>0</v>
      </c>
      <c r="F326" s="6">
        <f t="shared" si="8"/>
        <v>0</v>
      </c>
      <c r="G326" s="62"/>
      <c r="H326" s="62"/>
      <c r="I326" s="60"/>
      <c r="J326" s="60"/>
      <c r="K326" s="64"/>
      <c r="L326" s="64"/>
      <c r="M326" s="25"/>
      <c r="N326" s="25"/>
    </row>
    <row r="327" spans="1:14" s="70" customFormat="1">
      <c r="A327" s="3" t="s">
        <v>612</v>
      </c>
      <c r="B327" s="4" t="s">
        <v>613</v>
      </c>
      <c r="C327" s="5">
        <f t="shared" si="9"/>
        <v>0</v>
      </c>
      <c r="D327" s="5"/>
      <c r="E327" s="6">
        <f t="shared" si="8"/>
        <v>0</v>
      </c>
      <c r="F327" s="6">
        <f t="shared" si="8"/>
        <v>0</v>
      </c>
      <c r="G327" s="62"/>
      <c r="H327" s="62"/>
      <c r="I327" s="60"/>
      <c r="J327" s="60"/>
      <c r="K327" s="64"/>
      <c r="L327" s="64"/>
      <c r="M327" s="25"/>
      <c r="N327" s="25"/>
    </row>
    <row r="328" spans="1:14" s="1" customFormat="1">
      <c r="A328" s="3" t="s">
        <v>614</v>
      </c>
      <c r="B328" s="4" t="s">
        <v>615</v>
      </c>
      <c r="C328" s="5">
        <f t="shared" si="9"/>
        <v>0</v>
      </c>
      <c r="D328" s="5"/>
      <c r="E328" s="6">
        <f t="shared" si="8"/>
        <v>0</v>
      </c>
      <c r="F328" s="6">
        <f t="shared" si="8"/>
        <v>0</v>
      </c>
      <c r="G328" s="62"/>
      <c r="H328" s="62"/>
      <c r="I328" s="60"/>
      <c r="J328" s="60"/>
      <c r="K328" s="64"/>
      <c r="L328" s="64"/>
      <c r="M328" s="25"/>
      <c r="N328" s="25"/>
    </row>
    <row r="329" spans="1:14" s="70" customFormat="1">
      <c r="A329" s="3" t="s">
        <v>616</v>
      </c>
      <c r="B329" s="4" t="s">
        <v>617</v>
      </c>
      <c r="C329" s="5">
        <f t="shared" si="9"/>
        <v>0</v>
      </c>
      <c r="D329" s="5"/>
      <c r="E329" s="6">
        <f t="shared" si="8"/>
        <v>0</v>
      </c>
      <c r="F329" s="6">
        <f t="shared" si="8"/>
        <v>0</v>
      </c>
      <c r="G329" s="62"/>
      <c r="H329" s="62"/>
      <c r="I329" s="60"/>
      <c r="J329" s="60"/>
      <c r="K329" s="64"/>
      <c r="L329" s="64"/>
      <c r="M329" s="25"/>
      <c r="N329" s="25"/>
    </row>
    <row r="330" spans="1:14" s="70" customFormat="1">
      <c r="A330" s="3" t="s">
        <v>618</v>
      </c>
      <c r="B330" s="4" t="s">
        <v>619</v>
      </c>
      <c r="C330" s="5">
        <f t="shared" si="9"/>
        <v>0</v>
      </c>
      <c r="D330" s="5"/>
      <c r="E330" s="6">
        <f t="shared" si="8"/>
        <v>0</v>
      </c>
      <c r="F330" s="6">
        <f t="shared" si="8"/>
        <v>0</v>
      </c>
      <c r="G330" s="62"/>
      <c r="H330" s="62"/>
      <c r="I330" s="60"/>
      <c r="J330" s="60"/>
      <c r="K330" s="64"/>
      <c r="L330" s="64"/>
      <c r="M330" s="25"/>
      <c r="N330" s="25"/>
    </row>
    <row r="331" spans="1:14" s="70" customFormat="1">
      <c r="A331" s="11" t="s">
        <v>620</v>
      </c>
      <c r="B331" s="12" t="s">
        <v>621</v>
      </c>
      <c r="C331" s="5">
        <f t="shared" si="9"/>
        <v>0</v>
      </c>
      <c r="D331" s="5"/>
      <c r="E331" s="6">
        <f t="shared" si="8"/>
        <v>0</v>
      </c>
      <c r="F331" s="6">
        <f t="shared" si="8"/>
        <v>0</v>
      </c>
      <c r="G331" s="62"/>
      <c r="H331" s="62"/>
      <c r="I331" s="60"/>
      <c r="J331" s="60"/>
      <c r="K331" s="64"/>
      <c r="L331" s="64"/>
      <c r="M331" s="25"/>
      <c r="N331" s="25"/>
    </row>
    <row r="332" spans="1:14" s="70" customFormat="1">
      <c r="A332" s="3" t="s">
        <v>622</v>
      </c>
      <c r="B332" s="4" t="s">
        <v>623</v>
      </c>
      <c r="C332" s="5">
        <f t="shared" si="9"/>
        <v>0</v>
      </c>
      <c r="D332" s="5"/>
      <c r="E332" s="6">
        <f t="shared" si="8"/>
        <v>0</v>
      </c>
      <c r="F332" s="6">
        <f t="shared" si="8"/>
        <v>0</v>
      </c>
      <c r="G332" s="62"/>
      <c r="H332" s="62"/>
      <c r="I332" s="60"/>
      <c r="J332" s="60"/>
      <c r="K332" s="64"/>
      <c r="L332" s="64"/>
      <c r="M332" s="25"/>
      <c r="N332" s="25"/>
    </row>
    <row r="333" spans="1:14" s="70" customFormat="1">
      <c r="A333" s="3" t="s">
        <v>624</v>
      </c>
      <c r="B333" s="4" t="s">
        <v>625</v>
      </c>
      <c r="C333" s="5">
        <f t="shared" si="9"/>
        <v>0</v>
      </c>
      <c r="D333" s="5"/>
      <c r="E333" s="6">
        <f t="shared" si="8"/>
        <v>0</v>
      </c>
      <c r="F333" s="6">
        <f t="shared" si="8"/>
        <v>0</v>
      </c>
      <c r="G333" s="62"/>
      <c r="H333" s="62"/>
      <c r="I333" s="60"/>
      <c r="J333" s="60"/>
      <c r="K333" s="64"/>
      <c r="L333" s="64"/>
      <c r="M333" s="25"/>
      <c r="N333" s="25"/>
    </row>
    <row r="334" spans="1:14">
      <c r="A334" s="3" t="s">
        <v>626</v>
      </c>
      <c r="B334" s="4" t="s">
        <v>627</v>
      </c>
      <c r="C334" s="5">
        <f t="shared" si="9"/>
        <v>0</v>
      </c>
      <c r="D334" s="5"/>
      <c r="E334" s="6">
        <f t="shared" ref="E334:F397" si="10">SUM(G334,I334,K334,M334)</f>
        <v>0</v>
      </c>
      <c r="F334" s="6">
        <f t="shared" si="10"/>
        <v>0</v>
      </c>
      <c r="G334" s="62"/>
      <c r="H334" s="62"/>
      <c r="I334" s="60"/>
      <c r="J334" s="60"/>
      <c r="K334" s="64"/>
      <c r="L334" s="64"/>
      <c r="M334" s="25"/>
      <c r="N334" s="25"/>
    </row>
    <row r="335" spans="1:14">
      <c r="A335" s="3" t="s">
        <v>628</v>
      </c>
      <c r="B335" s="4" t="s">
        <v>629</v>
      </c>
      <c r="C335" s="5">
        <f t="shared" si="9"/>
        <v>0</v>
      </c>
      <c r="D335" s="5"/>
      <c r="E335" s="6">
        <f t="shared" si="10"/>
        <v>0</v>
      </c>
      <c r="F335" s="6">
        <f t="shared" si="10"/>
        <v>0</v>
      </c>
      <c r="G335" s="62"/>
      <c r="H335" s="62"/>
      <c r="I335" s="60"/>
      <c r="J335" s="60"/>
      <c r="K335" s="64"/>
      <c r="L335" s="64"/>
      <c r="M335" s="25"/>
      <c r="N335" s="25"/>
    </row>
    <row r="336" spans="1:14">
      <c r="A336" s="3" t="s">
        <v>630</v>
      </c>
      <c r="B336" s="4" t="s">
        <v>631</v>
      </c>
      <c r="C336" s="5">
        <f t="shared" si="9"/>
        <v>0</v>
      </c>
      <c r="D336" s="5"/>
      <c r="E336" s="6">
        <f t="shared" si="10"/>
        <v>0</v>
      </c>
      <c r="F336" s="6">
        <f t="shared" si="10"/>
        <v>0</v>
      </c>
      <c r="G336" s="62"/>
      <c r="H336" s="62"/>
      <c r="I336" s="60"/>
      <c r="J336" s="60"/>
      <c r="K336" s="64"/>
      <c r="L336" s="64"/>
      <c r="M336" s="25"/>
      <c r="N336" s="25"/>
    </row>
    <row r="337" spans="1:14">
      <c r="A337" s="3" t="s">
        <v>632</v>
      </c>
      <c r="B337" s="4" t="s">
        <v>633</v>
      </c>
      <c r="C337" s="5">
        <f t="shared" si="9"/>
        <v>0</v>
      </c>
      <c r="D337" s="5"/>
      <c r="E337" s="6">
        <f t="shared" si="10"/>
        <v>0</v>
      </c>
      <c r="F337" s="6">
        <f t="shared" si="10"/>
        <v>0</v>
      </c>
      <c r="G337" s="62"/>
      <c r="H337" s="62"/>
      <c r="I337" s="60"/>
      <c r="J337" s="60"/>
      <c r="K337" s="64"/>
      <c r="L337" s="64"/>
      <c r="M337" s="25"/>
      <c r="N337" s="25"/>
    </row>
    <row r="338" spans="1:14">
      <c r="A338" s="3" t="s">
        <v>634</v>
      </c>
      <c r="B338" s="4" t="s">
        <v>635</v>
      </c>
      <c r="C338" s="5">
        <f t="shared" si="9"/>
        <v>0</v>
      </c>
      <c r="D338" s="5"/>
      <c r="E338" s="6">
        <f t="shared" si="10"/>
        <v>0</v>
      </c>
      <c r="F338" s="6">
        <f t="shared" si="10"/>
        <v>0</v>
      </c>
      <c r="G338" s="62"/>
      <c r="H338" s="62"/>
      <c r="I338" s="60"/>
      <c r="J338" s="60"/>
      <c r="K338" s="64"/>
      <c r="L338" s="64"/>
      <c r="M338" s="25"/>
      <c r="N338" s="25"/>
    </row>
    <row r="339" spans="1:14">
      <c r="A339" s="3" t="s">
        <v>636</v>
      </c>
      <c r="B339" s="4" t="s">
        <v>637</v>
      </c>
      <c r="C339" s="5">
        <f t="shared" si="9"/>
        <v>0</v>
      </c>
      <c r="D339" s="5"/>
      <c r="E339" s="6">
        <f t="shared" si="10"/>
        <v>0</v>
      </c>
      <c r="F339" s="6">
        <f t="shared" si="10"/>
        <v>0</v>
      </c>
      <c r="G339" s="62"/>
      <c r="H339" s="62"/>
      <c r="I339" s="60"/>
      <c r="J339" s="60"/>
      <c r="K339" s="64"/>
      <c r="L339" s="64"/>
      <c r="M339" s="25"/>
      <c r="N339" s="25"/>
    </row>
    <row r="340" spans="1:14">
      <c r="A340" s="3" t="s">
        <v>638</v>
      </c>
      <c r="B340" s="4" t="s">
        <v>639</v>
      </c>
      <c r="C340" s="5">
        <f t="shared" si="9"/>
        <v>0</v>
      </c>
      <c r="D340" s="5"/>
      <c r="E340" s="6">
        <f t="shared" si="10"/>
        <v>0</v>
      </c>
      <c r="F340" s="6">
        <f t="shared" si="10"/>
        <v>0</v>
      </c>
      <c r="G340" s="62"/>
      <c r="H340" s="62"/>
      <c r="I340" s="60"/>
      <c r="J340" s="60"/>
      <c r="K340" s="64"/>
      <c r="L340" s="64"/>
      <c r="M340" s="25"/>
      <c r="N340" s="25"/>
    </row>
    <row r="341" spans="1:14">
      <c r="A341" s="3" t="s">
        <v>640</v>
      </c>
      <c r="B341" s="4" t="s">
        <v>641</v>
      </c>
      <c r="C341" s="5">
        <f t="shared" si="9"/>
        <v>0</v>
      </c>
      <c r="D341" s="5"/>
      <c r="E341" s="6">
        <f t="shared" si="10"/>
        <v>0</v>
      </c>
      <c r="F341" s="6">
        <f t="shared" si="10"/>
        <v>0</v>
      </c>
      <c r="G341" s="62"/>
      <c r="H341" s="62"/>
      <c r="I341" s="60"/>
      <c r="J341" s="60"/>
      <c r="K341" s="64"/>
      <c r="L341" s="64"/>
      <c r="M341" s="25"/>
      <c r="N341" s="25"/>
    </row>
    <row r="342" spans="1:14">
      <c r="A342" s="3" t="s">
        <v>642</v>
      </c>
      <c r="B342" s="4" t="s">
        <v>643</v>
      </c>
      <c r="C342" s="5">
        <f t="shared" si="9"/>
        <v>0</v>
      </c>
      <c r="D342" s="5"/>
      <c r="E342" s="6">
        <f t="shared" si="10"/>
        <v>0</v>
      </c>
      <c r="F342" s="6">
        <f t="shared" si="10"/>
        <v>0</v>
      </c>
      <c r="G342" s="62"/>
      <c r="H342" s="62"/>
      <c r="I342" s="60"/>
      <c r="J342" s="60"/>
      <c r="K342" s="64"/>
      <c r="L342" s="64"/>
      <c r="M342" s="25"/>
      <c r="N342" s="25"/>
    </row>
    <row r="343" spans="1:14">
      <c r="A343" s="3" t="s">
        <v>644</v>
      </c>
      <c r="B343" s="4" t="s">
        <v>645</v>
      </c>
      <c r="C343" s="5">
        <f t="shared" si="9"/>
        <v>0</v>
      </c>
      <c r="D343" s="5"/>
      <c r="E343" s="6">
        <f t="shared" si="10"/>
        <v>0</v>
      </c>
      <c r="F343" s="6">
        <f t="shared" si="10"/>
        <v>0</v>
      </c>
      <c r="G343" s="62"/>
      <c r="H343" s="62"/>
      <c r="I343" s="60"/>
      <c r="J343" s="60"/>
      <c r="K343" s="64"/>
      <c r="L343" s="64"/>
      <c r="M343" s="25"/>
      <c r="N343" s="25"/>
    </row>
    <row r="344" spans="1:14">
      <c r="A344" s="3" t="s">
        <v>646</v>
      </c>
      <c r="B344" s="4" t="s">
        <v>647</v>
      </c>
      <c r="C344" s="5">
        <f t="shared" si="9"/>
        <v>0</v>
      </c>
      <c r="D344" s="5"/>
      <c r="E344" s="6">
        <f t="shared" si="10"/>
        <v>0</v>
      </c>
      <c r="F344" s="6">
        <f t="shared" si="10"/>
        <v>0</v>
      </c>
      <c r="G344" s="62"/>
      <c r="H344" s="62"/>
      <c r="I344" s="60"/>
      <c r="J344" s="60"/>
      <c r="K344" s="64"/>
      <c r="L344" s="64"/>
      <c r="M344" s="25"/>
      <c r="N344" s="25"/>
    </row>
    <row r="345" spans="1:14">
      <c r="A345" s="3" t="s">
        <v>648</v>
      </c>
      <c r="B345" s="4" t="s">
        <v>649</v>
      </c>
      <c r="C345" s="5">
        <f t="shared" ref="C345:C408" si="11">E345-F345</f>
        <v>0</v>
      </c>
      <c r="D345" s="5"/>
      <c r="E345" s="6">
        <f t="shared" si="10"/>
        <v>0</v>
      </c>
      <c r="F345" s="6">
        <f t="shared" si="10"/>
        <v>0</v>
      </c>
      <c r="G345" s="62"/>
      <c r="H345" s="62"/>
      <c r="I345" s="60"/>
      <c r="J345" s="60"/>
      <c r="K345" s="64"/>
      <c r="L345" s="64"/>
      <c r="M345" s="25"/>
      <c r="N345" s="25"/>
    </row>
    <row r="346" spans="1:14">
      <c r="A346" s="3" t="s">
        <v>650</v>
      </c>
      <c r="B346" s="4" t="s">
        <v>651</v>
      </c>
      <c r="C346" s="5">
        <f t="shared" si="11"/>
        <v>0</v>
      </c>
      <c r="D346" s="5"/>
      <c r="E346" s="6">
        <f t="shared" si="10"/>
        <v>0</v>
      </c>
      <c r="F346" s="6">
        <f t="shared" si="10"/>
        <v>0</v>
      </c>
      <c r="G346" s="62"/>
      <c r="H346" s="62"/>
      <c r="I346" s="60"/>
      <c r="J346" s="60"/>
      <c r="K346" s="64"/>
      <c r="L346" s="64"/>
      <c r="M346" s="25"/>
      <c r="N346" s="25"/>
    </row>
    <row r="347" spans="1:14">
      <c r="A347" s="3" t="s">
        <v>652</v>
      </c>
      <c r="B347" s="4" t="s">
        <v>653</v>
      </c>
      <c r="C347" s="5">
        <f t="shared" si="11"/>
        <v>0</v>
      </c>
      <c r="D347" s="5"/>
      <c r="E347" s="6">
        <f t="shared" si="10"/>
        <v>0</v>
      </c>
      <c r="F347" s="6">
        <f t="shared" si="10"/>
        <v>0</v>
      </c>
      <c r="G347" s="62"/>
      <c r="H347" s="62"/>
      <c r="I347" s="60"/>
      <c r="J347" s="60"/>
      <c r="K347" s="64"/>
      <c r="L347" s="64"/>
      <c r="M347" s="25"/>
      <c r="N347" s="25"/>
    </row>
    <row r="348" spans="1:14">
      <c r="A348" s="3" t="s">
        <v>654</v>
      </c>
      <c r="B348" s="4" t="s">
        <v>655</v>
      </c>
      <c r="C348" s="5">
        <f t="shared" si="11"/>
        <v>0</v>
      </c>
      <c r="D348" s="5"/>
      <c r="E348" s="6">
        <f t="shared" si="10"/>
        <v>0</v>
      </c>
      <c r="F348" s="6">
        <f t="shared" si="10"/>
        <v>0</v>
      </c>
      <c r="G348" s="62"/>
      <c r="H348" s="62"/>
      <c r="I348" s="60"/>
      <c r="J348" s="60"/>
      <c r="K348" s="64"/>
      <c r="L348" s="64"/>
      <c r="M348" s="25"/>
      <c r="N348" s="25"/>
    </row>
    <row r="349" spans="1:14">
      <c r="A349" s="3" t="s">
        <v>656</v>
      </c>
      <c r="B349" s="4" t="s">
        <v>657</v>
      </c>
      <c r="C349" s="5">
        <f t="shared" si="11"/>
        <v>0</v>
      </c>
      <c r="D349" s="5"/>
      <c r="E349" s="6">
        <f t="shared" si="10"/>
        <v>0</v>
      </c>
      <c r="F349" s="6">
        <f t="shared" si="10"/>
        <v>0</v>
      </c>
      <c r="G349" s="62"/>
      <c r="H349" s="62"/>
      <c r="I349" s="60"/>
      <c r="J349" s="60"/>
      <c r="K349" s="64"/>
      <c r="L349" s="64"/>
      <c r="M349" s="25"/>
      <c r="N349" s="25"/>
    </row>
    <row r="350" spans="1:14">
      <c r="A350" s="3" t="s">
        <v>658</v>
      </c>
      <c r="B350" s="4" t="s">
        <v>659</v>
      </c>
      <c r="C350" s="5">
        <f t="shared" si="11"/>
        <v>0</v>
      </c>
      <c r="D350" s="5"/>
      <c r="E350" s="6">
        <f t="shared" si="10"/>
        <v>0</v>
      </c>
      <c r="F350" s="6">
        <f t="shared" si="10"/>
        <v>0</v>
      </c>
      <c r="G350" s="62"/>
      <c r="H350" s="62"/>
      <c r="I350" s="60"/>
      <c r="J350" s="60"/>
      <c r="K350" s="64"/>
      <c r="L350" s="64"/>
      <c r="M350" s="25"/>
      <c r="N350" s="25"/>
    </row>
    <row r="351" spans="1:14">
      <c r="A351" s="3" t="s">
        <v>660</v>
      </c>
      <c r="B351" s="4" t="s">
        <v>661</v>
      </c>
      <c r="C351" s="5">
        <f t="shared" si="11"/>
        <v>0</v>
      </c>
      <c r="D351" s="5"/>
      <c r="E351" s="6">
        <f t="shared" si="10"/>
        <v>0</v>
      </c>
      <c r="F351" s="6">
        <f t="shared" si="10"/>
        <v>0</v>
      </c>
      <c r="G351" s="62"/>
      <c r="H351" s="62"/>
      <c r="I351" s="60"/>
      <c r="J351" s="60"/>
      <c r="K351" s="64"/>
      <c r="L351" s="64"/>
      <c r="M351" s="25"/>
      <c r="N351" s="25"/>
    </row>
    <row r="352" spans="1:14">
      <c r="A352" s="3" t="s">
        <v>662</v>
      </c>
      <c r="B352" s="4" t="s">
        <v>663</v>
      </c>
      <c r="C352" s="5">
        <f t="shared" si="11"/>
        <v>0</v>
      </c>
      <c r="D352" s="5"/>
      <c r="E352" s="6">
        <f t="shared" si="10"/>
        <v>0</v>
      </c>
      <c r="F352" s="6">
        <f t="shared" si="10"/>
        <v>0</v>
      </c>
      <c r="G352" s="62"/>
      <c r="H352" s="62"/>
      <c r="I352" s="60"/>
      <c r="J352" s="60"/>
      <c r="K352" s="64"/>
      <c r="L352" s="64"/>
      <c r="M352" s="25"/>
      <c r="N352" s="25"/>
    </row>
    <row r="353" spans="1:14">
      <c r="A353" s="3" t="s">
        <v>664</v>
      </c>
      <c r="B353" s="4" t="s">
        <v>665</v>
      </c>
      <c r="C353" s="5">
        <f t="shared" si="11"/>
        <v>0</v>
      </c>
      <c r="D353" s="5"/>
      <c r="E353" s="6">
        <f t="shared" si="10"/>
        <v>0</v>
      </c>
      <c r="F353" s="6">
        <f t="shared" si="10"/>
        <v>0</v>
      </c>
      <c r="G353" s="62"/>
      <c r="H353" s="62"/>
      <c r="I353" s="60"/>
      <c r="J353" s="60"/>
      <c r="K353" s="64"/>
      <c r="L353" s="64"/>
      <c r="M353" s="25"/>
      <c r="N353" s="25"/>
    </row>
    <row r="354" spans="1:14">
      <c r="A354" s="3" t="s">
        <v>666</v>
      </c>
      <c r="B354" s="4" t="s">
        <v>667</v>
      </c>
      <c r="C354" s="5">
        <f t="shared" si="11"/>
        <v>0</v>
      </c>
      <c r="D354" s="5"/>
      <c r="E354" s="6">
        <f t="shared" si="10"/>
        <v>0</v>
      </c>
      <c r="F354" s="6">
        <f t="shared" si="10"/>
        <v>0</v>
      </c>
      <c r="G354" s="62"/>
      <c r="H354" s="62"/>
      <c r="I354" s="60"/>
      <c r="J354" s="60"/>
      <c r="K354" s="64"/>
      <c r="L354" s="64"/>
      <c r="M354" s="25"/>
      <c r="N354" s="25"/>
    </row>
    <row r="355" spans="1:14">
      <c r="A355" s="3" t="s">
        <v>668</v>
      </c>
      <c r="B355" s="4" t="s">
        <v>669</v>
      </c>
      <c r="C355" s="5">
        <f t="shared" si="11"/>
        <v>0</v>
      </c>
      <c r="D355" s="5"/>
      <c r="E355" s="6">
        <f t="shared" si="10"/>
        <v>0</v>
      </c>
      <c r="F355" s="6">
        <f t="shared" si="10"/>
        <v>0</v>
      </c>
      <c r="G355" s="62"/>
      <c r="H355" s="62"/>
      <c r="I355" s="60"/>
      <c r="J355" s="60"/>
      <c r="K355" s="64"/>
      <c r="L355" s="64"/>
      <c r="M355" s="25"/>
      <c r="N355" s="25"/>
    </row>
    <row r="356" spans="1:14">
      <c r="A356" s="3" t="s">
        <v>670</v>
      </c>
      <c r="B356" s="4" t="s">
        <v>671</v>
      </c>
      <c r="C356" s="5">
        <f t="shared" si="11"/>
        <v>0</v>
      </c>
      <c r="D356" s="5"/>
      <c r="E356" s="6">
        <f t="shared" si="10"/>
        <v>0</v>
      </c>
      <c r="F356" s="6">
        <f t="shared" si="10"/>
        <v>0</v>
      </c>
      <c r="G356" s="62"/>
      <c r="H356" s="62"/>
      <c r="I356" s="60"/>
      <c r="J356" s="60"/>
      <c r="K356" s="64"/>
      <c r="L356" s="64"/>
      <c r="M356" s="25"/>
      <c r="N356" s="25"/>
    </row>
    <row r="357" spans="1:14">
      <c r="A357" s="3" t="s">
        <v>672</v>
      </c>
      <c r="B357" s="4" t="s">
        <v>673</v>
      </c>
      <c r="C357" s="5">
        <f t="shared" si="11"/>
        <v>0</v>
      </c>
      <c r="D357" s="5"/>
      <c r="E357" s="6">
        <f t="shared" si="10"/>
        <v>0</v>
      </c>
      <c r="F357" s="6">
        <f t="shared" si="10"/>
        <v>0</v>
      </c>
      <c r="G357" s="62"/>
      <c r="H357" s="62"/>
      <c r="I357" s="60"/>
      <c r="J357" s="60"/>
      <c r="K357" s="64"/>
      <c r="L357" s="64"/>
      <c r="M357" s="25"/>
      <c r="N357" s="25"/>
    </row>
    <row r="358" spans="1:14">
      <c r="A358" s="3" t="s">
        <v>674</v>
      </c>
      <c r="B358" s="4" t="s">
        <v>675</v>
      </c>
      <c r="C358" s="5">
        <f t="shared" si="11"/>
        <v>0</v>
      </c>
      <c r="D358" s="5"/>
      <c r="E358" s="6">
        <f t="shared" si="10"/>
        <v>0</v>
      </c>
      <c r="F358" s="6">
        <f t="shared" si="10"/>
        <v>0</v>
      </c>
      <c r="G358" s="62"/>
      <c r="H358" s="62"/>
      <c r="I358" s="60"/>
      <c r="J358" s="60"/>
      <c r="K358" s="64"/>
      <c r="L358" s="64"/>
      <c r="M358" s="25"/>
      <c r="N358" s="25"/>
    </row>
    <row r="359" spans="1:14">
      <c r="A359" s="3" t="s">
        <v>676</v>
      </c>
      <c r="B359" s="4" t="s">
        <v>677</v>
      </c>
      <c r="C359" s="5">
        <f t="shared" si="11"/>
        <v>0</v>
      </c>
      <c r="D359" s="5"/>
      <c r="E359" s="6">
        <f t="shared" si="10"/>
        <v>0</v>
      </c>
      <c r="F359" s="6">
        <f t="shared" si="10"/>
        <v>0</v>
      </c>
      <c r="G359" s="62"/>
      <c r="H359" s="62"/>
      <c r="I359" s="60"/>
      <c r="J359" s="60"/>
      <c r="K359" s="64"/>
      <c r="L359" s="64"/>
      <c r="M359" s="25"/>
      <c r="N359" s="25"/>
    </row>
    <row r="360" spans="1:14">
      <c r="A360" s="3" t="s">
        <v>678</v>
      </c>
      <c r="B360" s="4" t="s">
        <v>679</v>
      </c>
      <c r="C360" s="5">
        <f t="shared" si="11"/>
        <v>0</v>
      </c>
      <c r="D360" s="5"/>
      <c r="E360" s="6">
        <f t="shared" si="10"/>
        <v>0</v>
      </c>
      <c r="F360" s="6">
        <f t="shared" si="10"/>
        <v>0</v>
      </c>
      <c r="G360" s="62"/>
      <c r="H360" s="62"/>
      <c r="I360" s="60"/>
      <c r="J360" s="60"/>
      <c r="K360" s="64"/>
      <c r="L360" s="64"/>
      <c r="M360" s="25"/>
      <c r="N360" s="25"/>
    </row>
    <row r="361" spans="1:14">
      <c r="A361" s="3" t="s">
        <v>680</v>
      </c>
      <c r="B361" s="4" t="s">
        <v>681</v>
      </c>
      <c r="C361" s="5">
        <f t="shared" si="11"/>
        <v>0</v>
      </c>
      <c r="D361" s="5"/>
      <c r="E361" s="6">
        <f t="shared" si="10"/>
        <v>0</v>
      </c>
      <c r="F361" s="6">
        <f t="shared" si="10"/>
        <v>0</v>
      </c>
      <c r="G361" s="62"/>
      <c r="H361" s="62"/>
      <c r="I361" s="60"/>
      <c r="J361" s="60"/>
      <c r="K361" s="64"/>
      <c r="L361" s="64"/>
      <c r="M361" s="25"/>
      <c r="N361" s="25"/>
    </row>
    <row r="362" spans="1:14">
      <c r="A362" s="3" t="s">
        <v>682</v>
      </c>
      <c r="B362" s="4" t="s">
        <v>683</v>
      </c>
      <c r="C362" s="5">
        <f t="shared" si="11"/>
        <v>0</v>
      </c>
      <c r="D362" s="5"/>
      <c r="E362" s="6">
        <f t="shared" si="10"/>
        <v>0</v>
      </c>
      <c r="F362" s="6">
        <f t="shared" si="10"/>
        <v>0</v>
      </c>
      <c r="G362" s="62"/>
      <c r="H362" s="62"/>
      <c r="I362" s="60"/>
      <c r="J362" s="60"/>
      <c r="K362" s="64"/>
      <c r="L362" s="64"/>
      <c r="M362" s="25"/>
      <c r="N362" s="25"/>
    </row>
    <row r="363" spans="1:14">
      <c r="A363" s="3" t="s">
        <v>684</v>
      </c>
      <c r="B363" s="4" t="s">
        <v>685</v>
      </c>
      <c r="C363" s="5">
        <f t="shared" si="11"/>
        <v>0</v>
      </c>
      <c r="D363" s="5"/>
      <c r="E363" s="6">
        <f t="shared" si="10"/>
        <v>0</v>
      </c>
      <c r="F363" s="6">
        <f t="shared" si="10"/>
        <v>0</v>
      </c>
      <c r="G363" s="62"/>
      <c r="H363" s="62"/>
      <c r="I363" s="60"/>
      <c r="J363" s="60"/>
      <c r="K363" s="64"/>
      <c r="L363" s="64"/>
      <c r="M363" s="25"/>
      <c r="N363" s="25"/>
    </row>
    <row r="364" spans="1:14">
      <c r="A364" s="3" t="s">
        <v>686</v>
      </c>
      <c r="B364" s="4" t="s">
        <v>687</v>
      </c>
      <c r="C364" s="5">
        <f t="shared" si="11"/>
        <v>0</v>
      </c>
      <c r="D364" s="5"/>
      <c r="E364" s="6">
        <f t="shared" si="10"/>
        <v>0</v>
      </c>
      <c r="F364" s="6">
        <f t="shared" si="10"/>
        <v>0</v>
      </c>
      <c r="G364" s="62"/>
      <c r="H364" s="62"/>
      <c r="I364" s="60"/>
      <c r="J364" s="60"/>
      <c r="K364" s="64"/>
      <c r="L364" s="64"/>
      <c r="M364" s="25"/>
      <c r="N364" s="25"/>
    </row>
    <row r="365" spans="1:14">
      <c r="A365" s="3" t="s">
        <v>688</v>
      </c>
      <c r="B365" s="4" t="s">
        <v>689</v>
      </c>
      <c r="C365" s="5">
        <f t="shared" si="11"/>
        <v>0</v>
      </c>
      <c r="D365" s="5"/>
      <c r="E365" s="6">
        <f t="shared" si="10"/>
        <v>0</v>
      </c>
      <c r="F365" s="6">
        <f t="shared" si="10"/>
        <v>0</v>
      </c>
      <c r="G365" s="62"/>
      <c r="H365" s="62"/>
      <c r="I365" s="60"/>
      <c r="J365" s="60"/>
      <c r="K365" s="64"/>
      <c r="L365" s="64"/>
      <c r="M365" s="25"/>
      <c r="N365" s="25"/>
    </row>
    <row r="366" spans="1:14">
      <c r="A366" s="3" t="s">
        <v>690</v>
      </c>
      <c r="B366" s="4" t="s">
        <v>691</v>
      </c>
      <c r="C366" s="5">
        <f t="shared" si="11"/>
        <v>0</v>
      </c>
      <c r="D366" s="5"/>
      <c r="E366" s="6">
        <f t="shared" si="10"/>
        <v>0</v>
      </c>
      <c r="F366" s="6">
        <f t="shared" si="10"/>
        <v>0</v>
      </c>
      <c r="G366" s="62"/>
      <c r="H366" s="62"/>
      <c r="I366" s="60"/>
      <c r="J366" s="60"/>
      <c r="K366" s="64"/>
      <c r="L366" s="64"/>
      <c r="M366" s="25"/>
      <c r="N366" s="25"/>
    </row>
    <row r="367" spans="1:14">
      <c r="A367" s="3" t="s">
        <v>692</v>
      </c>
      <c r="B367" s="4" t="s">
        <v>693</v>
      </c>
      <c r="C367" s="5">
        <f t="shared" si="11"/>
        <v>0</v>
      </c>
      <c r="D367" s="5"/>
      <c r="E367" s="6">
        <f t="shared" si="10"/>
        <v>0</v>
      </c>
      <c r="F367" s="6">
        <f t="shared" si="10"/>
        <v>0</v>
      </c>
      <c r="G367" s="62"/>
      <c r="H367" s="62"/>
      <c r="I367" s="60"/>
      <c r="J367" s="60"/>
      <c r="K367" s="64"/>
      <c r="L367" s="64"/>
      <c r="M367" s="25"/>
      <c r="N367" s="25"/>
    </row>
    <row r="368" spans="1:14">
      <c r="A368" s="3" t="s">
        <v>694</v>
      </c>
      <c r="B368" s="4" t="s">
        <v>695</v>
      </c>
      <c r="C368" s="5">
        <f t="shared" si="11"/>
        <v>0</v>
      </c>
      <c r="D368" s="5"/>
      <c r="E368" s="6">
        <f t="shared" si="10"/>
        <v>0</v>
      </c>
      <c r="F368" s="6">
        <f t="shared" si="10"/>
        <v>0</v>
      </c>
      <c r="G368" s="62"/>
      <c r="H368" s="62"/>
      <c r="I368" s="60"/>
      <c r="J368" s="60"/>
      <c r="K368" s="64"/>
      <c r="L368" s="64"/>
      <c r="M368" s="25"/>
      <c r="N368" s="25"/>
    </row>
    <row r="369" spans="1:14">
      <c r="A369" s="3" t="s">
        <v>696</v>
      </c>
      <c r="B369" s="4" t="s">
        <v>697</v>
      </c>
      <c r="C369" s="5">
        <f t="shared" si="11"/>
        <v>0</v>
      </c>
      <c r="D369" s="5"/>
      <c r="E369" s="6">
        <f t="shared" si="10"/>
        <v>0</v>
      </c>
      <c r="F369" s="6">
        <f t="shared" si="10"/>
        <v>0</v>
      </c>
      <c r="G369" s="62"/>
      <c r="H369" s="62"/>
      <c r="I369" s="60"/>
      <c r="J369" s="60"/>
      <c r="K369" s="64"/>
      <c r="L369" s="64"/>
      <c r="M369" s="25"/>
      <c r="N369" s="25"/>
    </row>
    <row r="370" spans="1:14">
      <c r="A370" s="3" t="s">
        <v>698</v>
      </c>
      <c r="B370" s="4" t="s">
        <v>699</v>
      </c>
      <c r="C370" s="5">
        <f t="shared" si="11"/>
        <v>0</v>
      </c>
      <c r="D370" s="5"/>
      <c r="E370" s="6">
        <f t="shared" si="10"/>
        <v>0</v>
      </c>
      <c r="F370" s="6">
        <f t="shared" si="10"/>
        <v>0</v>
      </c>
      <c r="G370" s="62"/>
      <c r="H370" s="62"/>
      <c r="I370" s="60"/>
      <c r="J370" s="60"/>
      <c r="K370" s="64"/>
      <c r="L370" s="64"/>
      <c r="M370" s="25"/>
      <c r="N370" s="25"/>
    </row>
    <row r="371" spans="1:14">
      <c r="A371" s="3" t="s">
        <v>700</v>
      </c>
      <c r="B371" s="4" t="s">
        <v>701</v>
      </c>
      <c r="C371" s="5">
        <f t="shared" si="11"/>
        <v>0</v>
      </c>
      <c r="D371" s="5"/>
      <c r="E371" s="6">
        <f t="shared" si="10"/>
        <v>0</v>
      </c>
      <c r="F371" s="6">
        <f t="shared" si="10"/>
        <v>0</v>
      </c>
      <c r="G371" s="62"/>
      <c r="H371" s="62"/>
      <c r="I371" s="60"/>
      <c r="J371" s="60"/>
      <c r="K371" s="64"/>
      <c r="L371" s="64"/>
      <c r="M371" s="25"/>
      <c r="N371" s="25"/>
    </row>
    <row r="372" spans="1:14">
      <c r="A372" s="3" t="s">
        <v>702</v>
      </c>
      <c r="B372" s="4" t="s">
        <v>703</v>
      </c>
      <c r="C372" s="5">
        <f t="shared" si="11"/>
        <v>0</v>
      </c>
      <c r="D372" s="5"/>
      <c r="E372" s="6">
        <f t="shared" si="10"/>
        <v>0</v>
      </c>
      <c r="F372" s="6">
        <f t="shared" si="10"/>
        <v>0</v>
      </c>
      <c r="G372" s="62"/>
      <c r="H372" s="62"/>
      <c r="I372" s="60"/>
      <c r="J372" s="60"/>
      <c r="K372" s="64"/>
      <c r="L372" s="64"/>
      <c r="M372" s="25"/>
      <c r="N372" s="25"/>
    </row>
    <row r="373" spans="1:14">
      <c r="A373" s="3" t="s">
        <v>704</v>
      </c>
      <c r="B373" s="4" t="s">
        <v>705</v>
      </c>
      <c r="C373" s="5">
        <f t="shared" si="11"/>
        <v>0</v>
      </c>
      <c r="D373" s="5"/>
      <c r="E373" s="6">
        <f t="shared" si="10"/>
        <v>0</v>
      </c>
      <c r="F373" s="6">
        <f t="shared" si="10"/>
        <v>0</v>
      </c>
      <c r="G373" s="62"/>
      <c r="H373" s="62"/>
      <c r="I373" s="60"/>
      <c r="J373" s="60"/>
      <c r="K373" s="64"/>
      <c r="L373" s="64"/>
      <c r="M373" s="25"/>
      <c r="N373" s="25"/>
    </row>
    <row r="374" spans="1:14">
      <c r="A374" s="3" t="s">
        <v>706</v>
      </c>
      <c r="B374" s="4" t="s">
        <v>707</v>
      </c>
      <c r="C374" s="5">
        <f t="shared" si="11"/>
        <v>0</v>
      </c>
      <c r="D374" s="5"/>
      <c r="E374" s="6">
        <f t="shared" si="10"/>
        <v>0</v>
      </c>
      <c r="F374" s="6">
        <f t="shared" si="10"/>
        <v>0</v>
      </c>
      <c r="G374" s="62"/>
      <c r="H374" s="62"/>
      <c r="I374" s="60"/>
      <c r="J374" s="60"/>
      <c r="K374" s="64"/>
      <c r="L374" s="64"/>
      <c r="M374" s="25"/>
      <c r="N374" s="25"/>
    </row>
    <row r="375" spans="1:14">
      <c r="A375" s="3" t="s">
        <v>708</v>
      </c>
      <c r="B375" s="4" t="s">
        <v>709</v>
      </c>
      <c r="C375" s="5">
        <f t="shared" si="11"/>
        <v>0</v>
      </c>
      <c r="D375" s="5"/>
      <c r="E375" s="6">
        <f t="shared" si="10"/>
        <v>0</v>
      </c>
      <c r="F375" s="6">
        <f t="shared" si="10"/>
        <v>0</v>
      </c>
      <c r="G375" s="62"/>
      <c r="H375" s="62"/>
      <c r="I375" s="60"/>
      <c r="J375" s="60"/>
      <c r="K375" s="64"/>
      <c r="L375" s="64"/>
      <c r="M375" s="25"/>
      <c r="N375" s="25"/>
    </row>
    <row r="376" spans="1:14">
      <c r="A376" s="3" t="s">
        <v>710</v>
      </c>
      <c r="B376" s="4" t="s">
        <v>711</v>
      </c>
      <c r="C376" s="5">
        <f t="shared" si="11"/>
        <v>0</v>
      </c>
      <c r="D376" s="5"/>
      <c r="E376" s="6">
        <f t="shared" si="10"/>
        <v>0</v>
      </c>
      <c r="F376" s="6">
        <f t="shared" si="10"/>
        <v>0</v>
      </c>
      <c r="G376" s="62"/>
      <c r="H376" s="62"/>
      <c r="I376" s="60"/>
      <c r="J376" s="60"/>
      <c r="K376" s="64"/>
      <c r="L376" s="64"/>
      <c r="M376" s="25"/>
      <c r="N376" s="25"/>
    </row>
    <row r="377" spans="1:14">
      <c r="A377" s="3" t="s">
        <v>712</v>
      </c>
      <c r="B377" s="4" t="s">
        <v>713</v>
      </c>
      <c r="C377" s="5">
        <f t="shared" si="11"/>
        <v>0</v>
      </c>
      <c r="D377" s="5"/>
      <c r="E377" s="6">
        <f t="shared" si="10"/>
        <v>0</v>
      </c>
      <c r="F377" s="6">
        <f t="shared" si="10"/>
        <v>0</v>
      </c>
      <c r="G377" s="62"/>
      <c r="H377" s="62"/>
      <c r="I377" s="60"/>
      <c r="J377" s="60"/>
      <c r="K377" s="64"/>
      <c r="L377" s="64"/>
      <c r="M377" s="25"/>
      <c r="N377" s="25"/>
    </row>
    <row r="378" spans="1:14">
      <c r="A378" s="3" t="s">
        <v>714</v>
      </c>
      <c r="B378" s="4" t="s">
        <v>715</v>
      </c>
      <c r="C378" s="5">
        <f t="shared" si="11"/>
        <v>0</v>
      </c>
      <c r="D378" s="5"/>
      <c r="E378" s="6">
        <f t="shared" si="10"/>
        <v>0</v>
      </c>
      <c r="F378" s="6">
        <f t="shared" si="10"/>
        <v>0</v>
      </c>
      <c r="G378" s="62"/>
      <c r="H378" s="62"/>
      <c r="I378" s="60"/>
      <c r="J378" s="60"/>
      <c r="K378" s="64"/>
      <c r="L378" s="64"/>
      <c r="M378" s="25"/>
      <c r="N378" s="25"/>
    </row>
    <row r="379" spans="1:14">
      <c r="A379" s="3" t="s">
        <v>716</v>
      </c>
      <c r="B379" s="4" t="s">
        <v>717</v>
      </c>
      <c r="C379" s="5">
        <f t="shared" si="11"/>
        <v>0</v>
      </c>
      <c r="D379" s="5"/>
      <c r="E379" s="6">
        <f t="shared" si="10"/>
        <v>0</v>
      </c>
      <c r="F379" s="6">
        <f t="shared" si="10"/>
        <v>0</v>
      </c>
      <c r="G379" s="62"/>
      <c r="H379" s="62"/>
      <c r="I379" s="60"/>
      <c r="J379" s="60"/>
      <c r="K379" s="64"/>
      <c r="L379" s="64"/>
      <c r="M379" s="25"/>
      <c r="N379" s="25"/>
    </row>
    <row r="380" spans="1:14">
      <c r="A380" s="3" t="s">
        <v>718</v>
      </c>
      <c r="B380" s="4" t="s">
        <v>719</v>
      </c>
      <c r="C380" s="5">
        <f t="shared" si="11"/>
        <v>0</v>
      </c>
      <c r="D380" s="5"/>
      <c r="E380" s="6">
        <f t="shared" si="10"/>
        <v>0</v>
      </c>
      <c r="F380" s="6">
        <f t="shared" si="10"/>
        <v>0</v>
      </c>
      <c r="G380" s="62"/>
      <c r="H380" s="62"/>
      <c r="I380" s="60"/>
      <c r="J380" s="60"/>
      <c r="K380" s="64"/>
      <c r="L380" s="64"/>
      <c r="M380" s="25"/>
      <c r="N380" s="25"/>
    </row>
    <row r="381" spans="1:14">
      <c r="A381" s="3" t="s">
        <v>720</v>
      </c>
      <c r="B381" s="4" t="s">
        <v>721</v>
      </c>
      <c r="C381" s="5">
        <f t="shared" si="11"/>
        <v>0</v>
      </c>
      <c r="D381" s="5"/>
      <c r="E381" s="6">
        <f t="shared" si="10"/>
        <v>0</v>
      </c>
      <c r="F381" s="6">
        <f t="shared" si="10"/>
        <v>0</v>
      </c>
      <c r="G381" s="62"/>
      <c r="H381" s="62"/>
      <c r="I381" s="60"/>
      <c r="J381" s="60"/>
      <c r="K381" s="64"/>
      <c r="L381" s="64"/>
      <c r="M381" s="25"/>
      <c r="N381" s="25"/>
    </row>
    <row r="382" spans="1:14">
      <c r="A382" s="3" t="s">
        <v>722</v>
      </c>
      <c r="B382" s="4" t="s">
        <v>723</v>
      </c>
      <c r="C382" s="5">
        <f t="shared" si="11"/>
        <v>0</v>
      </c>
      <c r="D382" s="5"/>
      <c r="E382" s="6">
        <f t="shared" si="10"/>
        <v>0</v>
      </c>
      <c r="F382" s="6">
        <f t="shared" si="10"/>
        <v>0</v>
      </c>
      <c r="G382" s="62"/>
      <c r="H382" s="62"/>
      <c r="I382" s="60"/>
      <c r="J382" s="60"/>
      <c r="K382" s="64"/>
      <c r="L382" s="64"/>
      <c r="M382" s="25"/>
      <c r="N382" s="25"/>
    </row>
    <row r="383" spans="1:14">
      <c r="A383" s="3" t="s">
        <v>724</v>
      </c>
      <c r="B383" s="4" t="s">
        <v>725</v>
      </c>
      <c r="C383" s="5">
        <f t="shared" si="11"/>
        <v>0</v>
      </c>
      <c r="D383" s="5"/>
      <c r="E383" s="6">
        <f t="shared" si="10"/>
        <v>0</v>
      </c>
      <c r="F383" s="6">
        <f t="shared" si="10"/>
        <v>0</v>
      </c>
      <c r="G383" s="62"/>
      <c r="H383" s="62"/>
      <c r="I383" s="60"/>
      <c r="J383" s="60"/>
      <c r="K383" s="64"/>
      <c r="L383" s="64"/>
      <c r="M383" s="25"/>
      <c r="N383" s="25"/>
    </row>
    <row r="384" spans="1:14">
      <c r="A384" s="3" t="s">
        <v>726</v>
      </c>
      <c r="B384" s="4" t="s">
        <v>727</v>
      </c>
      <c r="C384" s="5">
        <f t="shared" si="11"/>
        <v>0</v>
      </c>
      <c r="D384" s="5"/>
      <c r="E384" s="6">
        <f t="shared" si="10"/>
        <v>0</v>
      </c>
      <c r="F384" s="6">
        <f t="shared" si="10"/>
        <v>0</v>
      </c>
      <c r="G384" s="62"/>
      <c r="H384" s="62"/>
      <c r="I384" s="60"/>
      <c r="J384" s="60"/>
      <c r="K384" s="64"/>
      <c r="L384" s="64"/>
      <c r="M384" s="25"/>
      <c r="N384" s="25"/>
    </row>
    <row r="385" spans="1:14">
      <c r="A385" s="3" t="s">
        <v>728</v>
      </c>
      <c r="B385" s="4" t="s">
        <v>729</v>
      </c>
      <c r="C385" s="5">
        <f t="shared" si="11"/>
        <v>0</v>
      </c>
      <c r="D385" s="5"/>
      <c r="E385" s="6">
        <f t="shared" si="10"/>
        <v>0</v>
      </c>
      <c r="F385" s="6">
        <f t="shared" si="10"/>
        <v>0</v>
      </c>
      <c r="G385" s="62"/>
      <c r="H385" s="62"/>
      <c r="I385" s="60"/>
      <c r="J385" s="60"/>
      <c r="K385" s="64"/>
      <c r="L385" s="64"/>
      <c r="M385" s="25"/>
      <c r="N385" s="25"/>
    </row>
    <row r="386" spans="1:14">
      <c r="A386" s="3" t="s">
        <v>730</v>
      </c>
      <c r="B386" s="4" t="s">
        <v>731</v>
      </c>
      <c r="C386" s="5">
        <f t="shared" si="11"/>
        <v>0</v>
      </c>
      <c r="D386" s="5"/>
      <c r="E386" s="6">
        <f t="shared" si="10"/>
        <v>0</v>
      </c>
      <c r="F386" s="6">
        <f t="shared" si="10"/>
        <v>0</v>
      </c>
      <c r="G386" s="62"/>
      <c r="H386" s="62"/>
      <c r="I386" s="60"/>
      <c r="J386" s="60"/>
      <c r="K386" s="64"/>
      <c r="L386" s="64"/>
      <c r="M386" s="25"/>
      <c r="N386" s="25"/>
    </row>
    <row r="387" spans="1:14">
      <c r="A387" s="3" t="s">
        <v>732</v>
      </c>
      <c r="B387" s="4" t="s">
        <v>733</v>
      </c>
      <c r="C387" s="5">
        <f t="shared" si="11"/>
        <v>0</v>
      </c>
      <c r="D387" s="5"/>
      <c r="E387" s="6">
        <f t="shared" si="10"/>
        <v>0</v>
      </c>
      <c r="F387" s="6">
        <f t="shared" si="10"/>
        <v>0</v>
      </c>
      <c r="G387" s="62"/>
      <c r="H387" s="62"/>
      <c r="I387" s="60"/>
      <c r="J387" s="60"/>
      <c r="K387" s="64"/>
      <c r="L387" s="64"/>
      <c r="M387" s="25"/>
      <c r="N387" s="25"/>
    </row>
    <row r="388" spans="1:14">
      <c r="A388" s="3" t="s">
        <v>734</v>
      </c>
      <c r="B388" s="4" t="s">
        <v>735</v>
      </c>
      <c r="C388" s="5">
        <f t="shared" si="11"/>
        <v>0</v>
      </c>
      <c r="D388" s="5"/>
      <c r="E388" s="6">
        <f t="shared" si="10"/>
        <v>0</v>
      </c>
      <c r="F388" s="6">
        <f t="shared" si="10"/>
        <v>0</v>
      </c>
      <c r="G388" s="62"/>
      <c r="H388" s="62"/>
      <c r="I388" s="60"/>
      <c r="J388" s="60"/>
      <c r="K388" s="64"/>
      <c r="L388" s="64"/>
      <c r="M388" s="25"/>
      <c r="N388" s="25"/>
    </row>
    <row r="389" spans="1:14">
      <c r="A389" s="3" t="s">
        <v>736</v>
      </c>
      <c r="B389" s="4" t="s">
        <v>737</v>
      </c>
      <c r="C389" s="5">
        <f t="shared" si="11"/>
        <v>0</v>
      </c>
      <c r="D389" s="5"/>
      <c r="E389" s="6">
        <f t="shared" si="10"/>
        <v>0</v>
      </c>
      <c r="F389" s="6">
        <f t="shared" si="10"/>
        <v>0</v>
      </c>
      <c r="G389" s="62"/>
      <c r="H389" s="62"/>
      <c r="I389" s="60"/>
      <c r="J389" s="60"/>
      <c r="K389" s="64"/>
      <c r="L389" s="64"/>
      <c r="M389" s="25"/>
      <c r="N389" s="25"/>
    </row>
    <row r="390" spans="1:14">
      <c r="A390" s="3" t="s">
        <v>738</v>
      </c>
      <c r="B390" s="4" t="s">
        <v>739</v>
      </c>
      <c r="C390" s="5">
        <f t="shared" si="11"/>
        <v>0</v>
      </c>
      <c r="D390" s="5"/>
      <c r="E390" s="6">
        <f t="shared" si="10"/>
        <v>0</v>
      </c>
      <c r="F390" s="6">
        <f t="shared" si="10"/>
        <v>0</v>
      </c>
      <c r="G390" s="62"/>
      <c r="H390" s="62"/>
      <c r="I390" s="60"/>
      <c r="J390" s="60"/>
      <c r="K390" s="64"/>
      <c r="L390" s="64"/>
      <c r="M390" s="25"/>
      <c r="N390" s="25"/>
    </row>
    <row r="391" spans="1:14">
      <c r="A391" s="3" t="s">
        <v>740</v>
      </c>
      <c r="B391" s="4" t="s">
        <v>741</v>
      </c>
      <c r="C391" s="5">
        <f t="shared" si="11"/>
        <v>0</v>
      </c>
      <c r="D391" s="5"/>
      <c r="E391" s="6">
        <f t="shared" si="10"/>
        <v>0</v>
      </c>
      <c r="F391" s="6">
        <f t="shared" si="10"/>
        <v>0</v>
      </c>
      <c r="G391" s="62"/>
      <c r="H391" s="62"/>
      <c r="I391" s="60"/>
      <c r="J391" s="60"/>
      <c r="K391" s="64"/>
      <c r="L391" s="64"/>
      <c r="M391" s="25"/>
      <c r="N391" s="25"/>
    </row>
    <row r="392" spans="1:14">
      <c r="A392" s="3" t="s">
        <v>742</v>
      </c>
      <c r="B392" s="4" t="s">
        <v>743</v>
      </c>
      <c r="C392" s="5">
        <f t="shared" si="11"/>
        <v>0</v>
      </c>
      <c r="D392" s="5"/>
      <c r="E392" s="6">
        <f t="shared" si="10"/>
        <v>0</v>
      </c>
      <c r="F392" s="6">
        <f t="shared" si="10"/>
        <v>0</v>
      </c>
      <c r="G392" s="62"/>
      <c r="H392" s="62"/>
      <c r="I392" s="60"/>
      <c r="J392" s="60"/>
      <c r="K392" s="64"/>
      <c r="L392" s="64"/>
      <c r="M392" s="25"/>
      <c r="N392" s="25"/>
    </row>
    <row r="393" spans="1:14">
      <c r="A393" s="3" t="s">
        <v>744</v>
      </c>
      <c r="B393" s="4" t="s">
        <v>745</v>
      </c>
      <c r="C393" s="5">
        <f t="shared" si="11"/>
        <v>0</v>
      </c>
      <c r="D393" s="5"/>
      <c r="E393" s="6">
        <f t="shared" si="10"/>
        <v>0</v>
      </c>
      <c r="F393" s="6">
        <f t="shared" si="10"/>
        <v>0</v>
      </c>
      <c r="G393" s="62"/>
      <c r="H393" s="62"/>
      <c r="I393" s="60"/>
      <c r="J393" s="60"/>
      <c r="K393" s="64"/>
      <c r="L393" s="64"/>
      <c r="M393" s="25"/>
      <c r="N393" s="25"/>
    </row>
    <row r="394" spans="1:14">
      <c r="A394" s="3" t="s">
        <v>746</v>
      </c>
      <c r="B394" s="4" t="s">
        <v>747</v>
      </c>
      <c r="C394" s="5">
        <f t="shared" si="11"/>
        <v>0</v>
      </c>
      <c r="D394" s="5"/>
      <c r="E394" s="6">
        <f t="shared" si="10"/>
        <v>0</v>
      </c>
      <c r="F394" s="6">
        <f t="shared" si="10"/>
        <v>0</v>
      </c>
      <c r="G394" s="62"/>
      <c r="H394" s="62"/>
      <c r="I394" s="60"/>
      <c r="J394" s="60"/>
      <c r="K394" s="64"/>
      <c r="L394" s="64"/>
      <c r="M394" s="25"/>
      <c r="N394" s="25"/>
    </row>
    <row r="395" spans="1:14">
      <c r="A395" s="3" t="s">
        <v>748</v>
      </c>
      <c r="B395" s="4" t="s">
        <v>749</v>
      </c>
      <c r="C395" s="5">
        <f t="shared" si="11"/>
        <v>0</v>
      </c>
      <c r="D395" s="5"/>
      <c r="E395" s="6">
        <f t="shared" si="10"/>
        <v>0</v>
      </c>
      <c r="F395" s="6">
        <f t="shared" si="10"/>
        <v>0</v>
      </c>
      <c r="G395" s="62"/>
      <c r="H395" s="62"/>
      <c r="I395" s="60"/>
      <c r="J395" s="60"/>
      <c r="K395" s="64"/>
      <c r="L395" s="64"/>
      <c r="M395" s="25"/>
      <c r="N395" s="25"/>
    </row>
    <row r="396" spans="1:14">
      <c r="A396" s="3" t="s">
        <v>750</v>
      </c>
      <c r="B396" s="4" t="s">
        <v>751</v>
      </c>
      <c r="C396" s="5">
        <f t="shared" si="11"/>
        <v>0</v>
      </c>
      <c r="D396" s="5"/>
      <c r="E396" s="6">
        <f t="shared" si="10"/>
        <v>0</v>
      </c>
      <c r="F396" s="6">
        <f t="shared" si="10"/>
        <v>0</v>
      </c>
      <c r="G396" s="62"/>
      <c r="H396" s="62"/>
      <c r="I396" s="60"/>
      <c r="J396" s="60"/>
      <c r="K396" s="64"/>
      <c r="L396" s="64"/>
      <c r="M396" s="25"/>
      <c r="N396" s="25"/>
    </row>
    <row r="397" spans="1:14">
      <c r="A397" s="3" t="s">
        <v>752</v>
      </c>
      <c r="B397" s="4" t="s">
        <v>753</v>
      </c>
      <c r="C397" s="5">
        <f t="shared" si="11"/>
        <v>0</v>
      </c>
      <c r="D397" s="5"/>
      <c r="E397" s="6">
        <f t="shared" si="10"/>
        <v>0</v>
      </c>
      <c r="F397" s="6">
        <f t="shared" si="10"/>
        <v>0</v>
      </c>
      <c r="G397" s="62"/>
      <c r="H397" s="62"/>
      <c r="I397" s="60"/>
      <c r="J397" s="60"/>
      <c r="K397" s="64"/>
      <c r="L397" s="64"/>
      <c r="M397" s="25"/>
      <c r="N397" s="25"/>
    </row>
    <row r="398" spans="1:14">
      <c r="A398" s="3" t="s">
        <v>754</v>
      </c>
      <c r="B398" s="4" t="s">
        <v>755</v>
      </c>
      <c r="C398" s="5">
        <f t="shared" si="11"/>
        <v>0</v>
      </c>
      <c r="D398" s="5"/>
      <c r="E398" s="6">
        <f t="shared" ref="E398:F461" si="12">SUM(G398,I398,K398,M398)</f>
        <v>0</v>
      </c>
      <c r="F398" s="6">
        <f t="shared" si="12"/>
        <v>0</v>
      </c>
      <c r="G398" s="62"/>
      <c r="H398" s="62"/>
      <c r="I398" s="60"/>
      <c r="J398" s="60"/>
      <c r="K398" s="64"/>
      <c r="L398" s="64"/>
      <c r="M398" s="25"/>
      <c r="N398" s="25"/>
    </row>
    <row r="399" spans="1:14">
      <c r="A399" s="3" t="s">
        <v>756</v>
      </c>
      <c r="B399" s="4" t="s">
        <v>757</v>
      </c>
      <c r="C399" s="5">
        <f t="shared" si="11"/>
        <v>0</v>
      </c>
      <c r="D399" s="5"/>
      <c r="E399" s="6">
        <f t="shared" si="12"/>
        <v>0</v>
      </c>
      <c r="F399" s="6">
        <f t="shared" si="12"/>
        <v>0</v>
      </c>
      <c r="G399" s="62"/>
      <c r="H399" s="62"/>
      <c r="I399" s="60"/>
      <c r="J399" s="60"/>
      <c r="K399" s="64"/>
      <c r="L399" s="64"/>
      <c r="M399" s="25"/>
      <c r="N399" s="25"/>
    </row>
    <row r="400" spans="1:14">
      <c r="A400" s="3" t="s">
        <v>758</v>
      </c>
      <c r="B400" s="4" t="s">
        <v>759</v>
      </c>
      <c r="C400" s="5">
        <f t="shared" si="11"/>
        <v>0</v>
      </c>
      <c r="D400" s="5"/>
      <c r="E400" s="6">
        <f t="shared" si="12"/>
        <v>0</v>
      </c>
      <c r="F400" s="6">
        <f t="shared" si="12"/>
        <v>0</v>
      </c>
      <c r="G400" s="62"/>
      <c r="H400" s="62"/>
      <c r="I400" s="60"/>
      <c r="J400" s="60"/>
      <c r="K400" s="64"/>
      <c r="L400" s="64"/>
      <c r="M400" s="25"/>
      <c r="N400" s="25"/>
    </row>
    <row r="401" spans="1:14">
      <c r="A401" s="3" t="s">
        <v>760</v>
      </c>
      <c r="B401" s="4" t="s">
        <v>761</v>
      </c>
      <c r="C401" s="5">
        <f t="shared" si="11"/>
        <v>0</v>
      </c>
      <c r="D401" s="5"/>
      <c r="E401" s="6">
        <f t="shared" si="12"/>
        <v>0</v>
      </c>
      <c r="F401" s="6">
        <f t="shared" si="12"/>
        <v>0</v>
      </c>
      <c r="G401" s="62"/>
      <c r="H401" s="62"/>
      <c r="I401" s="60"/>
      <c r="J401" s="60"/>
      <c r="K401" s="64"/>
      <c r="L401" s="64"/>
      <c r="M401" s="25"/>
      <c r="N401" s="25"/>
    </row>
    <row r="402" spans="1:14">
      <c r="A402" s="3" t="s">
        <v>762</v>
      </c>
      <c r="B402" s="4" t="s">
        <v>763</v>
      </c>
      <c r="C402" s="5">
        <f t="shared" si="11"/>
        <v>0</v>
      </c>
      <c r="D402" s="5"/>
      <c r="E402" s="6">
        <f t="shared" si="12"/>
        <v>0</v>
      </c>
      <c r="F402" s="6">
        <f t="shared" si="12"/>
        <v>0</v>
      </c>
      <c r="G402" s="62"/>
      <c r="H402" s="62"/>
      <c r="I402" s="60"/>
      <c r="J402" s="60"/>
      <c r="K402" s="64"/>
      <c r="L402" s="64"/>
      <c r="M402" s="25"/>
      <c r="N402" s="25"/>
    </row>
    <row r="403" spans="1:14">
      <c r="A403" s="3" t="s">
        <v>764</v>
      </c>
      <c r="B403" s="4" t="s">
        <v>765</v>
      </c>
      <c r="C403" s="5">
        <f t="shared" si="11"/>
        <v>0</v>
      </c>
      <c r="D403" s="5"/>
      <c r="E403" s="6">
        <f t="shared" si="12"/>
        <v>0</v>
      </c>
      <c r="F403" s="6">
        <f t="shared" si="12"/>
        <v>0</v>
      </c>
      <c r="G403" s="62"/>
      <c r="H403" s="62"/>
      <c r="I403" s="60"/>
      <c r="J403" s="60"/>
      <c r="K403" s="64"/>
      <c r="L403" s="64"/>
      <c r="M403" s="25"/>
      <c r="N403" s="25"/>
    </row>
    <row r="404" spans="1:14">
      <c r="A404" s="3" t="s">
        <v>766</v>
      </c>
      <c r="B404" s="4" t="s">
        <v>767</v>
      </c>
      <c r="C404" s="5">
        <f t="shared" si="11"/>
        <v>0</v>
      </c>
      <c r="D404" s="5"/>
      <c r="E404" s="6">
        <f t="shared" si="12"/>
        <v>0</v>
      </c>
      <c r="F404" s="6">
        <f t="shared" si="12"/>
        <v>0</v>
      </c>
      <c r="G404" s="62"/>
      <c r="H404" s="62"/>
      <c r="I404" s="60"/>
      <c r="J404" s="60"/>
      <c r="K404" s="64"/>
      <c r="L404" s="64"/>
      <c r="M404" s="25"/>
      <c r="N404" s="25"/>
    </row>
    <row r="405" spans="1:14">
      <c r="A405" s="3" t="s">
        <v>768</v>
      </c>
      <c r="B405" s="4" t="s">
        <v>769</v>
      </c>
      <c r="C405" s="5">
        <f t="shared" si="11"/>
        <v>0</v>
      </c>
      <c r="D405" s="5"/>
      <c r="E405" s="6">
        <f t="shared" si="12"/>
        <v>0</v>
      </c>
      <c r="F405" s="6">
        <f t="shared" si="12"/>
        <v>0</v>
      </c>
      <c r="G405" s="62"/>
      <c r="H405" s="62"/>
      <c r="I405" s="60"/>
      <c r="J405" s="60"/>
      <c r="K405" s="64"/>
      <c r="L405" s="64"/>
      <c r="M405" s="25"/>
      <c r="N405" s="25"/>
    </row>
    <row r="406" spans="1:14">
      <c r="A406" s="3" t="s">
        <v>770</v>
      </c>
      <c r="B406" s="4" t="s">
        <v>771</v>
      </c>
      <c r="C406" s="5">
        <f t="shared" si="11"/>
        <v>0</v>
      </c>
      <c r="D406" s="5"/>
      <c r="E406" s="6">
        <f t="shared" si="12"/>
        <v>0</v>
      </c>
      <c r="F406" s="6">
        <f t="shared" si="12"/>
        <v>0</v>
      </c>
      <c r="G406" s="62"/>
      <c r="H406" s="62"/>
      <c r="I406" s="60"/>
      <c r="J406" s="60"/>
      <c r="K406" s="64"/>
      <c r="L406" s="64"/>
      <c r="M406" s="25"/>
      <c r="N406" s="25"/>
    </row>
    <row r="407" spans="1:14">
      <c r="A407" s="3" t="s">
        <v>772</v>
      </c>
      <c r="B407" s="4" t="s">
        <v>773</v>
      </c>
      <c r="C407" s="5">
        <f t="shared" si="11"/>
        <v>0</v>
      </c>
      <c r="D407" s="5"/>
      <c r="E407" s="6">
        <f t="shared" si="12"/>
        <v>0</v>
      </c>
      <c r="F407" s="6">
        <f t="shared" si="12"/>
        <v>0</v>
      </c>
      <c r="G407" s="62"/>
      <c r="H407" s="62"/>
      <c r="I407" s="60"/>
      <c r="J407" s="60"/>
      <c r="K407" s="64"/>
      <c r="L407" s="64"/>
      <c r="M407" s="25"/>
      <c r="N407" s="25"/>
    </row>
    <row r="408" spans="1:14">
      <c r="A408" s="3" t="s">
        <v>774</v>
      </c>
      <c r="B408" s="4" t="s">
        <v>775</v>
      </c>
      <c r="C408" s="5">
        <f t="shared" si="11"/>
        <v>0</v>
      </c>
      <c r="D408" s="5"/>
      <c r="E408" s="6">
        <f t="shared" si="12"/>
        <v>0</v>
      </c>
      <c r="F408" s="6">
        <f t="shared" si="12"/>
        <v>0</v>
      </c>
      <c r="G408" s="62"/>
      <c r="H408" s="62"/>
      <c r="I408" s="60"/>
      <c r="J408" s="60"/>
      <c r="K408" s="64"/>
      <c r="L408" s="64"/>
      <c r="M408" s="25"/>
      <c r="N408" s="25"/>
    </row>
    <row r="409" spans="1:14">
      <c r="A409" s="3" t="s">
        <v>776</v>
      </c>
      <c r="B409" s="4" t="s">
        <v>777</v>
      </c>
      <c r="C409" s="5">
        <f t="shared" ref="C409:C461" si="13">E409-F409</f>
        <v>0</v>
      </c>
      <c r="D409" s="5"/>
      <c r="E409" s="6">
        <f t="shared" si="12"/>
        <v>0</v>
      </c>
      <c r="F409" s="6">
        <f t="shared" si="12"/>
        <v>0</v>
      </c>
      <c r="G409" s="62"/>
      <c r="H409" s="62"/>
      <c r="I409" s="60"/>
      <c r="J409" s="60"/>
      <c r="K409" s="64"/>
      <c r="L409" s="64"/>
      <c r="M409" s="25"/>
      <c r="N409" s="25"/>
    </row>
    <row r="410" spans="1:14">
      <c r="A410" s="3" t="s">
        <v>778</v>
      </c>
      <c r="B410" s="4" t="s">
        <v>779</v>
      </c>
      <c r="C410" s="5">
        <f t="shared" si="13"/>
        <v>0</v>
      </c>
      <c r="D410" s="5"/>
      <c r="E410" s="6">
        <f t="shared" si="12"/>
        <v>0</v>
      </c>
      <c r="F410" s="6">
        <f t="shared" si="12"/>
        <v>0</v>
      </c>
      <c r="G410" s="62"/>
      <c r="H410" s="62"/>
      <c r="I410" s="60"/>
      <c r="J410" s="60"/>
      <c r="K410" s="64"/>
      <c r="L410" s="64"/>
      <c r="M410" s="25"/>
      <c r="N410" s="25"/>
    </row>
    <row r="411" spans="1:14">
      <c r="A411" s="3" t="s">
        <v>780</v>
      </c>
      <c r="B411" s="4" t="s">
        <v>781</v>
      </c>
      <c r="C411" s="5">
        <f t="shared" si="13"/>
        <v>0</v>
      </c>
      <c r="D411" s="5"/>
      <c r="E411" s="6">
        <f t="shared" si="12"/>
        <v>0</v>
      </c>
      <c r="F411" s="6">
        <f t="shared" si="12"/>
        <v>0</v>
      </c>
      <c r="G411" s="62"/>
      <c r="H411" s="62"/>
      <c r="I411" s="60"/>
      <c r="J411" s="60"/>
      <c r="K411" s="64"/>
      <c r="L411" s="64"/>
      <c r="M411" s="25"/>
      <c r="N411" s="25"/>
    </row>
    <row r="412" spans="1:14">
      <c r="A412" s="3" t="s">
        <v>782</v>
      </c>
      <c r="B412" s="4" t="s">
        <v>783</v>
      </c>
      <c r="C412" s="5">
        <f t="shared" si="13"/>
        <v>0</v>
      </c>
      <c r="D412" s="5"/>
      <c r="E412" s="6">
        <f t="shared" si="12"/>
        <v>0</v>
      </c>
      <c r="F412" s="6">
        <f t="shared" si="12"/>
        <v>0</v>
      </c>
      <c r="G412" s="62"/>
      <c r="H412" s="62"/>
      <c r="I412" s="60"/>
      <c r="J412" s="60"/>
      <c r="K412" s="64"/>
      <c r="L412" s="64"/>
      <c r="M412" s="25"/>
      <c r="N412" s="25"/>
    </row>
    <row r="413" spans="1:14">
      <c r="A413" s="3" t="s">
        <v>784</v>
      </c>
      <c r="B413" s="4" t="s">
        <v>785</v>
      </c>
      <c r="C413" s="5">
        <f t="shared" si="13"/>
        <v>0</v>
      </c>
      <c r="D413" s="5"/>
      <c r="E413" s="6">
        <f t="shared" si="12"/>
        <v>0</v>
      </c>
      <c r="F413" s="6">
        <f t="shared" si="12"/>
        <v>0</v>
      </c>
      <c r="G413" s="62"/>
      <c r="H413" s="62"/>
      <c r="I413" s="60"/>
      <c r="J413" s="60"/>
      <c r="K413" s="64"/>
      <c r="L413" s="64"/>
      <c r="M413" s="25"/>
      <c r="N413" s="25"/>
    </row>
    <row r="414" spans="1:14">
      <c r="A414" s="3" t="s">
        <v>786</v>
      </c>
      <c r="B414" s="4" t="s">
        <v>787</v>
      </c>
      <c r="C414" s="5">
        <f t="shared" si="13"/>
        <v>0</v>
      </c>
      <c r="D414" s="5"/>
      <c r="E414" s="6">
        <f t="shared" si="12"/>
        <v>0</v>
      </c>
      <c r="F414" s="6">
        <f t="shared" si="12"/>
        <v>0</v>
      </c>
      <c r="G414" s="62"/>
      <c r="H414" s="62"/>
      <c r="I414" s="60"/>
      <c r="J414" s="60"/>
      <c r="K414" s="64"/>
      <c r="L414" s="64"/>
      <c r="M414" s="25"/>
      <c r="N414" s="25"/>
    </row>
    <row r="415" spans="1:14">
      <c r="A415" s="3" t="s">
        <v>788</v>
      </c>
      <c r="B415" s="4" t="s">
        <v>789</v>
      </c>
      <c r="C415" s="5">
        <f t="shared" si="13"/>
        <v>0</v>
      </c>
      <c r="D415" s="5"/>
      <c r="E415" s="6">
        <f t="shared" si="12"/>
        <v>0</v>
      </c>
      <c r="F415" s="6">
        <f t="shared" si="12"/>
        <v>0</v>
      </c>
      <c r="G415" s="62"/>
      <c r="H415" s="62"/>
      <c r="I415" s="60"/>
      <c r="J415" s="60"/>
      <c r="K415" s="64"/>
      <c r="L415" s="64"/>
      <c r="M415" s="25"/>
      <c r="N415" s="25"/>
    </row>
    <row r="416" spans="1:14">
      <c r="A416" s="3" t="s">
        <v>790</v>
      </c>
      <c r="B416" s="4" t="s">
        <v>791</v>
      </c>
      <c r="C416" s="5">
        <f t="shared" si="13"/>
        <v>0</v>
      </c>
      <c r="D416" s="5"/>
      <c r="E416" s="6">
        <f t="shared" si="12"/>
        <v>0</v>
      </c>
      <c r="F416" s="6">
        <f t="shared" si="12"/>
        <v>0</v>
      </c>
      <c r="G416" s="62"/>
      <c r="H416" s="62"/>
      <c r="I416" s="60"/>
      <c r="J416" s="60"/>
      <c r="K416" s="64"/>
      <c r="L416" s="64"/>
      <c r="M416" s="25"/>
      <c r="N416" s="25"/>
    </row>
    <row r="417" spans="1:14">
      <c r="A417" s="3" t="s">
        <v>792</v>
      </c>
      <c r="B417" s="4" t="s">
        <v>793</v>
      </c>
      <c r="C417" s="5">
        <f t="shared" si="13"/>
        <v>0</v>
      </c>
      <c r="D417" s="5"/>
      <c r="E417" s="6">
        <f t="shared" si="12"/>
        <v>0</v>
      </c>
      <c r="F417" s="6">
        <f t="shared" si="12"/>
        <v>0</v>
      </c>
      <c r="G417" s="62"/>
      <c r="H417" s="62"/>
      <c r="I417" s="60"/>
      <c r="J417" s="60"/>
      <c r="K417" s="64"/>
      <c r="L417" s="64"/>
      <c r="M417" s="25"/>
      <c r="N417" s="25"/>
    </row>
    <row r="418" spans="1:14">
      <c r="A418" s="3" t="s">
        <v>794</v>
      </c>
      <c r="B418" s="4" t="s">
        <v>795</v>
      </c>
      <c r="C418" s="5">
        <f t="shared" si="13"/>
        <v>0</v>
      </c>
      <c r="D418" s="5"/>
      <c r="E418" s="6">
        <f t="shared" si="12"/>
        <v>0</v>
      </c>
      <c r="F418" s="6">
        <f t="shared" si="12"/>
        <v>0</v>
      </c>
      <c r="G418" s="62"/>
      <c r="H418" s="62"/>
      <c r="I418" s="60"/>
      <c r="J418" s="60"/>
      <c r="K418" s="64"/>
      <c r="L418" s="64"/>
      <c r="M418" s="25"/>
      <c r="N418" s="25"/>
    </row>
    <row r="419" spans="1:14">
      <c r="A419" s="3" t="s">
        <v>796</v>
      </c>
      <c r="B419" s="4" t="s">
        <v>797</v>
      </c>
      <c r="C419" s="5">
        <f t="shared" si="13"/>
        <v>0</v>
      </c>
      <c r="D419" s="5"/>
      <c r="E419" s="6">
        <f t="shared" si="12"/>
        <v>0</v>
      </c>
      <c r="F419" s="6">
        <f t="shared" si="12"/>
        <v>0</v>
      </c>
      <c r="G419" s="62"/>
      <c r="H419" s="62"/>
      <c r="I419" s="60"/>
      <c r="J419" s="60"/>
      <c r="K419" s="64"/>
      <c r="L419" s="64"/>
      <c r="M419" s="25"/>
      <c r="N419" s="25"/>
    </row>
    <row r="420" spans="1:14">
      <c r="A420" s="3" t="s">
        <v>798</v>
      </c>
      <c r="B420" s="4" t="s">
        <v>799</v>
      </c>
      <c r="C420" s="5">
        <f t="shared" si="13"/>
        <v>0</v>
      </c>
      <c r="D420" s="5"/>
      <c r="E420" s="6">
        <f t="shared" si="12"/>
        <v>0</v>
      </c>
      <c r="F420" s="6">
        <f t="shared" si="12"/>
        <v>0</v>
      </c>
      <c r="G420" s="62"/>
      <c r="H420" s="62"/>
      <c r="I420" s="60"/>
      <c r="J420" s="60"/>
      <c r="K420" s="64"/>
      <c r="L420" s="64"/>
      <c r="M420" s="25"/>
      <c r="N420" s="25"/>
    </row>
    <row r="421" spans="1:14">
      <c r="A421" s="3" t="s">
        <v>800</v>
      </c>
      <c r="B421" s="4" t="s">
        <v>801</v>
      </c>
      <c r="C421" s="5">
        <f t="shared" si="13"/>
        <v>0</v>
      </c>
      <c r="D421" s="5"/>
      <c r="E421" s="6">
        <f t="shared" si="12"/>
        <v>0</v>
      </c>
      <c r="F421" s="6">
        <f t="shared" si="12"/>
        <v>0</v>
      </c>
      <c r="G421" s="62"/>
      <c r="H421" s="62"/>
      <c r="I421" s="60"/>
      <c r="J421" s="60"/>
      <c r="K421" s="64"/>
      <c r="L421" s="64"/>
      <c r="M421" s="25"/>
      <c r="N421" s="25"/>
    </row>
    <row r="422" spans="1:14">
      <c r="A422" s="3" t="s">
        <v>802</v>
      </c>
      <c r="B422" s="4" t="s">
        <v>803</v>
      </c>
      <c r="C422" s="5">
        <f t="shared" si="13"/>
        <v>0</v>
      </c>
      <c r="D422" s="5"/>
      <c r="E422" s="6">
        <f t="shared" si="12"/>
        <v>0</v>
      </c>
      <c r="F422" s="6">
        <f t="shared" si="12"/>
        <v>0</v>
      </c>
      <c r="G422" s="62"/>
      <c r="H422" s="62"/>
      <c r="I422" s="60"/>
      <c r="J422" s="60"/>
      <c r="K422" s="64"/>
      <c r="L422" s="64"/>
      <c r="M422" s="25"/>
      <c r="N422" s="25"/>
    </row>
    <row r="423" spans="1:14">
      <c r="A423" s="3" t="s">
        <v>804</v>
      </c>
      <c r="B423" s="4" t="s">
        <v>805</v>
      </c>
      <c r="C423" s="5">
        <f t="shared" si="13"/>
        <v>0</v>
      </c>
      <c r="D423" s="5"/>
      <c r="E423" s="6">
        <f t="shared" si="12"/>
        <v>0</v>
      </c>
      <c r="F423" s="6">
        <f t="shared" si="12"/>
        <v>0</v>
      </c>
      <c r="G423" s="62"/>
      <c r="H423" s="62"/>
      <c r="I423" s="60"/>
      <c r="J423" s="60"/>
      <c r="K423" s="64"/>
      <c r="L423" s="64"/>
      <c r="M423" s="25"/>
      <c r="N423" s="25"/>
    </row>
    <row r="424" spans="1:14">
      <c r="A424" s="3" t="s">
        <v>806</v>
      </c>
      <c r="B424" s="4" t="s">
        <v>807</v>
      </c>
      <c r="C424" s="5">
        <f t="shared" si="13"/>
        <v>0</v>
      </c>
      <c r="D424" s="5"/>
      <c r="E424" s="6">
        <f t="shared" si="12"/>
        <v>0</v>
      </c>
      <c r="F424" s="6">
        <f t="shared" si="12"/>
        <v>0</v>
      </c>
      <c r="G424" s="62"/>
      <c r="H424" s="62"/>
      <c r="I424" s="60"/>
      <c r="J424" s="60"/>
      <c r="K424" s="64"/>
      <c r="L424" s="64"/>
      <c r="M424" s="25"/>
      <c r="N424" s="25"/>
    </row>
    <row r="425" spans="1:14">
      <c r="A425" s="3" t="s">
        <v>808</v>
      </c>
      <c r="B425" s="4" t="s">
        <v>809</v>
      </c>
      <c r="C425" s="5">
        <f t="shared" si="13"/>
        <v>0</v>
      </c>
      <c r="D425" s="5"/>
      <c r="E425" s="6">
        <f t="shared" si="12"/>
        <v>0</v>
      </c>
      <c r="F425" s="6">
        <f t="shared" si="12"/>
        <v>0</v>
      </c>
      <c r="G425" s="62"/>
      <c r="H425" s="62"/>
      <c r="I425" s="60"/>
      <c r="J425" s="60"/>
      <c r="K425" s="64"/>
      <c r="L425" s="64"/>
      <c r="M425" s="25"/>
      <c r="N425" s="25"/>
    </row>
    <row r="426" spans="1:14">
      <c r="A426" s="3" t="s">
        <v>810</v>
      </c>
      <c r="B426" s="4" t="s">
        <v>811</v>
      </c>
      <c r="C426" s="5">
        <f t="shared" si="13"/>
        <v>0</v>
      </c>
      <c r="D426" s="5"/>
      <c r="E426" s="6">
        <f t="shared" si="12"/>
        <v>0</v>
      </c>
      <c r="F426" s="6">
        <f t="shared" si="12"/>
        <v>0</v>
      </c>
      <c r="G426" s="62"/>
      <c r="H426" s="62"/>
      <c r="I426" s="60"/>
      <c r="J426" s="60"/>
      <c r="K426" s="64"/>
      <c r="L426" s="64"/>
      <c r="M426" s="25"/>
      <c r="N426" s="25"/>
    </row>
    <row r="427" spans="1:14">
      <c r="A427" s="3" t="s">
        <v>812</v>
      </c>
      <c r="B427" s="4" t="s">
        <v>813</v>
      </c>
      <c r="C427" s="5">
        <f t="shared" si="13"/>
        <v>0</v>
      </c>
      <c r="D427" s="5"/>
      <c r="E427" s="6">
        <f t="shared" si="12"/>
        <v>0</v>
      </c>
      <c r="F427" s="6">
        <f t="shared" si="12"/>
        <v>0</v>
      </c>
      <c r="G427" s="62"/>
      <c r="H427" s="62"/>
      <c r="I427" s="60"/>
      <c r="J427" s="60"/>
      <c r="K427" s="64"/>
      <c r="L427" s="64"/>
      <c r="M427" s="25"/>
      <c r="N427" s="25"/>
    </row>
    <row r="428" spans="1:14">
      <c r="A428" s="3" t="s">
        <v>814</v>
      </c>
      <c r="B428" s="4" t="s">
        <v>815</v>
      </c>
      <c r="C428" s="5">
        <f t="shared" si="13"/>
        <v>0</v>
      </c>
      <c r="D428" s="5"/>
      <c r="E428" s="6">
        <f t="shared" si="12"/>
        <v>0</v>
      </c>
      <c r="F428" s="6">
        <f t="shared" si="12"/>
        <v>0</v>
      </c>
      <c r="G428" s="62"/>
      <c r="H428" s="62"/>
      <c r="I428" s="60"/>
      <c r="J428" s="60"/>
      <c r="K428" s="64"/>
      <c r="L428" s="64"/>
      <c r="M428" s="25"/>
      <c r="N428" s="25"/>
    </row>
    <row r="429" spans="1:14">
      <c r="A429" s="3" t="s">
        <v>816</v>
      </c>
      <c r="B429" s="4" t="s">
        <v>817</v>
      </c>
      <c r="C429" s="5">
        <f t="shared" si="13"/>
        <v>0</v>
      </c>
      <c r="D429" s="5"/>
      <c r="E429" s="6">
        <f t="shared" si="12"/>
        <v>0</v>
      </c>
      <c r="F429" s="6">
        <f t="shared" si="12"/>
        <v>0</v>
      </c>
      <c r="G429" s="62"/>
      <c r="H429" s="62"/>
      <c r="I429" s="60"/>
      <c r="J429" s="60"/>
      <c r="K429" s="64"/>
      <c r="L429" s="64"/>
      <c r="M429" s="25"/>
      <c r="N429" s="25"/>
    </row>
    <row r="430" spans="1:14">
      <c r="A430" s="3" t="s">
        <v>818</v>
      </c>
      <c r="B430" s="4" t="s">
        <v>819</v>
      </c>
      <c r="C430" s="5">
        <f t="shared" si="13"/>
        <v>0</v>
      </c>
      <c r="D430" s="5"/>
      <c r="E430" s="6">
        <f t="shared" si="12"/>
        <v>0</v>
      </c>
      <c r="F430" s="6">
        <f t="shared" si="12"/>
        <v>0</v>
      </c>
      <c r="G430" s="62"/>
      <c r="H430" s="62"/>
      <c r="I430" s="60"/>
      <c r="J430" s="60"/>
      <c r="K430" s="64"/>
      <c r="L430" s="64"/>
      <c r="M430" s="25"/>
      <c r="N430" s="25"/>
    </row>
    <row r="431" spans="1:14">
      <c r="A431" s="3" t="s">
        <v>820</v>
      </c>
      <c r="B431" s="4" t="s">
        <v>821</v>
      </c>
      <c r="C431" s="5">
        <f t="shared" si="13"/>
        <v>0</v>
      </c>
      <c r="D431" s="5"/>
      <c r="E431" s="6">
        <f t="shared" si="12"/>
        <v>0</v>
      </c>
      <c r="F431" s="6">
        <f t="shared" si="12"/>
        <v>0</v>
      </c>
      <c r="G431" s="62"/>
      <c r="H431" s="62"/>
      <c r="I431" s="60"/>
      <c r="J431" s="60"/>
      <c r="K431" s="64"/>
      <c r="L431" s="64"/>
      <c r="M431" s="25"/>
      <c r="N431" s="25"/>
    </row>
    <row r="432" spans="1:14">
      <c r="A432" s="3" t="s">
        <v>822</v>
      </c>
      <c r="B432" s="4" t="s">
        <v>823</v>
      </c>
      <c r="C432" s="5">
        <f t="shared" si="13"/>
        <v>0</v>
      </c>
      <c r="D432" s="5"/>
      <c r="E432" s="6">
        <f t="shared" si="12"/>
        <v>0</v>
      </c>
      <c r="F432" s="6">
        <f t="shared" si="12"/>
        <v>0</v>
      </c>
      <c r="G432" s="62"/>
      <c r="H432" s="62"/>
      <c r="I432" s="60"/>
      <c r="J432" s="60"/>
      <c r="K432" s="64"/>
      <c r="L432" s="64"/>
      <c r="M432" s="25"/>
      <c r="N432" s="25"/>
    </row>
    <row r="433" spans="1:14">
      <c r="A433" s="3" t="s">
        <v>824</v>
      </c>
      <c r="B433" s="4" t="s">
        <v>825</v>
      </c>
      <c r="C433" s="5">
        <f t="shared" si="13"/>
        <v>0</v>
      </c>
      <c r="D433" s="5"/>
      <c r="E433" s="6">
        <f t="shared" si="12"/>
        <v>0</v>
      </c>
      <c r="F433" s="6">
        <f t="shared" si="12"/>
        <v>0</v>
      </c>
      <c r="G433" s="62"/>
      <c r="H433" s="62"/>
      <c r="I433" s="60"/>
      <c r="J433" s="60"/>
      <c r="K433" s="64"/>
      <c r="L433" s="64"/>
      <c r="M433" s="25"/>
      <c r="N433" s="25"/>
    </row>
    <row r="434" spans="1:14">
      <c r="A434" s="3" t="s">
        <v>826</v>
      </c>
      <c r="B434" s="4" t="s">
        <v>827</v>
      </c>
      <c r="C434" s="5">
        <f t="shared" si="13"/>
        <v>0</v>
      </c>
      <c r="D434" s="5"/>
      <c r="E434" s="6">
        <f t="shared" si="12"/>
        <v>0</v>
      </c>
      <c r="F434" s="6">
        <f t="shared" si="12"/>
        <v>0</v>
      </c>
      <c r="G434" s="62"/>
      <c r="H434" s="62"/>
      <c r="I434" s="60"/>
      <c r="J434" s="60"/>
      <c r="K434" s="64"/>
      <c r="L434" s="64"/>
      <c r="M434" s="25"/>
      <c r="N434" s="25"/>
    </row>
    <row r="435" spans="1:14">
      <c r="A435" s="3" t="s">
        <v>828</v>
      </c>
      <c r="B435" s="4" t="s">
        <v>829</v>
      </c>
      <c r="C435" s="5">
        <f t="shared" si="13"/>
        <v>0</v>
      </c>
      <c r="D435" s="5"/>
      <c r="E435" s="6">
        <f t="shared" si="12"/>
        <v>0</v>
      </c>
      <c r="F435" s="6">
        <f t="shared" si="12"/>
        <v>0</v>
      </c>
      <c r="G435" s="62"/>
      <c r="H435" s="62"/>
      <c r="I435" s="60"/>
      <c r="J435" s="60"/>
      <c r="K435" s="64"/>
      <c r="L435" s="64"/>
      <c r="M435" s="25"/>
      <c r="N435" s="25"/>
    </row>
    <row r="436" spans="1:14">
      <c r="A436" s="3" t="s">
        <v>830</v>
      </c>
      <c r="B436" s="4" t="s">
        <v>831</v>
      </c>
      <c r="C436" s="5">
        <f t="shared" si="13"/>
        <v>0</v>
      </c>
      <c r="D436" s="5"/>
      <c r="E436" s="6">
        <f t="shared" si="12"/>
        <v>0</v>
      </c>
      <c r="F436" s="6">
        <f t="shared" si="12"/>
        <v>0</v>
      </c>
      <c r="G436" s="62"/>
      <c r="H436" s="62"/>
      <c r="I436" s="60"/>
      <c r="J436" s="60"/>
      <c r="K436" s="64"/>
      <c r="L436" s="64"/>
      <c r="M436" s="25"/>
      <c r="N436" s="25"/>
    </row>
    <row r="437" spans="1:14">
      <c r="A437" s="3" t="s">
        <v>832</v>
      </c>
      <c r="B437" s="4" t="s">
        <v>833</v>
      </c>
      <c r="C437" s="5">
        <f t="shared" si="13"/>
        <v>0</v>
      </c>
      <c r="D437" s="5"/>
      <c r="E437" s="6">
        <f t="shared" si="12"/>
        <v>0</v>
      </c>
      <c r="F437" s="6">
        <f t="shared" si="12"/>
        <v>0</v>
      </c>
      <c r="G437" s="62"/>
      <c r="H437" s="62"/>
      <c r="I437" s="60"/>
      <c r="J437" s="60"/>
      <c r="K437" s="64"/>
      <c r="L437" s="64"/>
      <c r="M437" s="25"/>
      <c r="N437" s="25"/>
    </row>
    <row r="438" spans="1:14">
      <c r="A438" s="3" t="s">
        <v>834</v>
      </c>
      <c r="B438" s="4" t="s">
        <v>835</v>
      </c>
      <c r="C438" s="5">
        <f t="shared" si="13"/>
        <v>0</v>
      </c>
      <c r="D438" s="5"/>
      <c r="E438" s="6">
        <f t="shared" si="12"/>
        <v>0</v>
      </c>
      <c r="F438" s="6">
        <f t="shared" si="12"/>
        <v>0</v>
      </c>
      <c r="G438" s="62"/>
      <c r="H438" s="62"/>
      <c r="I438" s="60"/>
      <c r="J438" s="60"/>
      <c r="K438" s="64"/>
      <c r="L438" s="64"/>
      <c r="M438" s="25"/>
      <c r="N438" s="25"/>
    </row>
    <row r="439" spans="1:14">
      <c r="A439" s="3" t="s">
        <v>836</v>
      </c>
      <c r="B439" s="4" t="s">
        <v>837</v>
      </c>
      <c r="C439" s="5">
        <f t="shared" si="13"/>
        <v>0</v>
      </c>
      <c r="D439" s="5"/>
      <c r="E439" s="6">
        <f t="shared" si="12"/>
        <v>0</v>
      </c>
      <c r="F439" s="6">
        <f t="shared" si="12"/>
        <v>0</v>
      </c>
      <c r="G439" s="62"/>
      <c r="H439" s="62"/>
      <c r="I439" s="60"/>
      <c r="J439" s="60"/>
      <c r="K439" s="64"/>
      <c r="L439" s="64"/>
      <c r="M439" s="25"/>
      <c r="N439" s="25"/>
    </row>
    <row r="440" spans="1:14">
      <c r="A440" s="3" t="s">
        <v>838</v>
      </c>
      <c r="B440" s="4" t="s">
        <v>839</v>
      </c>
      <c r="C440" s="5">
        <f t="shared" si="13"/>
        <v>0</v>
      </c>
      <c r="D440" s="5"/>
      <c r="E440" s="6">
        <f t="shared" si="12"/>
        <v>0</v>
      </c>
      <c r="F440" s="6">
        <f t="shared" si="12"/>
        <v>0</v>
      </c>
      <c r="G440" s="62"/>
      <c r="H440" s="62"/>
      <c r="I440" s="60"/>
      <c r="J440" s="60"/>
      <c r="K440" s="64"/>
      <c r="L440" s="64"/>
      <c r="M440" s="25"/>
      <c r="N440" s="25"/>
    </row>
    <row r="441" spans="1:14">
      <c r="A441" s="3" t="s">
        <v>840</v>
      </c>
      <c r="B441" s="4" t="s">
        <v>841</v>
      </c>
      <c r="C441" s="5">
        <f t="shared" si="13"/>
        <v>0</v>
      </c>
      <c r="D441" s="5"/>
      <c r="E441" s="6">
        <f t="shared" si="12"/>
        <v>0</v>
      </c>
      <c r="F441" s="6">
        <f t="shared" si="12"/>
        <v>0</v>
      </c>
      <c r="G441" s="62"/>
      <c r="H441" s="62"/>
      <c r="I441" s="60"/>
      <c r="J441" s="60"/>
      <c r="K441" s="64"/>
      <c r="L441" s="64"/>
      <c r="M441" s="25"/>
      <c r="N441" s="25"/>
    </row>
    <row r="442" spans="1:14">
      <c r="A442" s="3" t="s">
        <v>842</v>
      </c>
      <c r="B442" s="4" t="s">
        <v>843</v>
      </c>
      <c r="C442" s="5">
        <f t="shared" si="13"/>
        <v>0</v>
      </c>
      <c r="D442" s="5"/>
      <c r="E442" s="6">
        <f t="shared" si="12"/>
        <v>0</v>
      </c>
      <c r="F442" s="6">
        <f t="shared" si="12"/>
        <v>0</v>
      </c>
      <c r="G442" s="62"/>
      <c r="H442" s="62"/>
      <c r="I442" s="60"/>
      <c r="J442" s="60"/>
      <c r="K442" s="64"/>
      <c r="L442" s="64"/>
      <c r="M442" s="25"/>
      <c r="N442" s="25"/>
    </row>
    <row r="443" spans="1:14">
      <c r="A443" s="3" t="s">
        <v>844</v>
      </c>
      <c r="B443" s="4" t="s">
        <v>845</v>
      </c>
      <c r="C443" s="5">
        <f t="shared" si="13"/>
        <v>0</v>
      </c>
      <c r="D443" s="5"/>
      <c r="E443" s="6">
        <f t="shared" si="12"/>
        <v>0</v>
      </c>
      <c r="F443" s="6">
        <f t="shared" si="12"/>
        <v>0</v>
      </c>
      <c r="G443" s="62"/>
      <c r="H443" s="62"/>
      <c r="I443" s="60"/>
      <c r="J443" s="60"/>
      <c r="K443" s="64"/>
      <c r="L443" s="64"/>
      <c r="M443" s="25"/>
      <c r="N443" s="25"/>
    </row>
    <row r="444" spans="1:14">
      <c r="A444" s="3" t="s">
        <v>846</v>
      </c>
      <c r="B444" s="4" t="s">
        <v>847</v>
      </c>
      <c r="C444" s="5">
        <f t="shared" si="13"/>
        <v>0</v>
      </c>
      <c r="D444" s="5"/>
      <c r="E444" s="6">
        <f t="shared" si="12"/>
        <v>0</v>
      </c>
      <c r="F444" s="6">
        <f t="shared" si="12"/>
        <v>0</v>
      </c>
      <c r="G444" s="62"/>
      <c r="H444" s="62"/>
      <c r="I444" s="60"/>
      <c r="J444" s="60"/>
      <c r="K444" s="64"/>
      <c r="L444" s="64"/>
      <c r="M444" s="25"/>
      <c r="N444" s="25"/>
    </row>
    <row r="445" spans="1:14">
      <c r="A445" s="3" t="s">
        <v>848</v>
      </c>
      <c r="B445" s="4" t="s">
        <v>849</v>
      </c>
      <c r="C445" s="5">
        <f t="shared" si="13"/>
        <v>0</v>
      </c>
      <c r="D445" s="5"/>
      <c r="E445" s="6">
        <f t="shared" si="12"/>
        <v>0</v>
      </c>
      <c r="F445" s="6">
        <f t="shared" si="12"/>
        <v>0</v>
      </c>
      <c r="G445" s="62"/>
      <c r="H445" s="62"/>
      <c r="I445" s="60"/>
      <c r="J445" s="60"/>
      <c r="K445" s="64"/>
      <c r="L445" s="64"/>
      <c r="M445" s="25"/>
      <c r="N445" s="25"/>
    </row>
    <row r="446" spans="1:14">
      <c r="A446" s="3" t="s">
        <v>850</v>
      </c>
      <c r="B446" s="4" t="s">
        <v>851</v>
      </c>
      <c r="C446" s="5">
        <f t="shared" si="13"/>
        <v>0</v>
      </c>
      <c r="D446" s="5"/>
      <c r="E446" s="6">
        <f t="shared" si="12"/>
        <v>0</v>
      </c>
      <c r="F446" s="6">
        <f t="shared" si="12"/>
        <v>0</v>
      </c>
      <c r="G446" s="62"/>
      <c r="H446" s="62"/>
      <c r="I446" s="60"/>
      <c r="J446" s="60"/>
      <c r="K446" s="64"/>
      <c r="L446" s="64"/>
      <c r="M446" s="25"/>
      <c r="N446" s="25"/>
    </row>
    <row r="447" spans="1:14">
      <c r="A447" s="3" t="s">
        <v>852</v>
      </c>
      <c r="B447" s="4" t="s">
        <v>853</v>
      </c>
      <c r="C447" s="5">
        <f t="shared" si="13"/>
        <v>0</v>
      </c>
      <c r="D447" s="5"/>
      <c r="E447" s="6">
        <f t="shared" si="12"/>
        <v>0</v>
      </c>
      <c r="F447" s="6">
        <f t="shared" si="12"/>
        <v>0</v>
      </c>
      <c r="G447" s="62"/>
      <c r="H447" s="62"/>
      <c r="I447" s="60"/>
      <c r="J447" s="60"/>
      <c r="K447" s="64"/>
      <c r="L447" s="64"/>
      <c r="M447" s="25"/>
      <c r="N447" s="25"/>
    </row>
    <row r="448" spans="1:14">
      <c r="A448" s="3" t="s">
        <v>854</v>
      </c>
      <c r="B448" s="4">
        <v>954</v>
      </c>
      <c r="C448" s="5">
        <f t="shared" si="13"/>
        <v>0</v>
      </c>
      <c r="D448" s="5"/>
      <c r="E448" s="6">
        <f t="shared" si="12"/>
        <v>0</v>
      </c>
      <c r="F448" s="6">
        <f t="shared" si="12"/>
        <v>0</v>
      </c>
      <c r="G448" s="62"/>
      <c r="H448" s="62"/>
      <c r="I448" s="60"/>
      <c r="J448" s="60"/>
      <c r="K448" s="64"/>
      <c r="L448" s="64"/>
      <c r="M448" s="25"/>
      <c r="N448" s="25"/>
    </row>
    <row r="449" spans="1:14">
      <c r="A449" s="3" t="s">
        <v>855</v>
      </c>
      <c r="B449" s="4">
        <v>955</v>
      </c>
      <c r="C449" s="5">
        <f t="shared" si="13"/>
        <v>0</v>
      </c>
      <c r="D449" s="5"/>
      <c r="E449" s="6">
        <f t="shared" si="12"/>
        <v>0</v>
      </c>
      <c r="F449" s="6">
        <f t="shared" si="12"/>
        <v>0</v>
      </c>
      <c r="G449" s="62"/>
      <c r="H449" s="62"/>
      <c r="I449" s="60"/>
      <c r="J449" s="60"/>
      <c r="K449" s="64"/>
      <c r="L449" s="64"/>
      <c r="M449" s="25"/>
      <c r="N449" s="25"/>
    </row>
    <row r="450" spans="1:14">
      <c r="A450" s="3" t="s">
        <v>856</v>
      </c>
      <c r="B450" s="4" t="s">
        <v>857</v>
      </c>
      <c r="C450" s="5">
        <f t="shared" si="13"/>
        <v>0</v>
      </c>
      <c r="D450" s="5"/>
      <c r="E450" s="6">
        <f t="shared" si="12"/>
        <v>0</v>
      </c>
      <c r="F450" s="6">
        <f t="shared" si="12"/>
        <v>0</v>
      </c>
      <c r="G450" s="62"/>
      <c r="H450" s="62"/>
      <c r="I450" s="60"/>
      <c r="J450" s="60"/>
      <c r="K450" s="64"/>
      <c r="L450" s="64"/>
      <c r="M450" s="25"/>
      <c r="N450" s="25"/>
    </row>
    <row r="451" spans="1:14">
      <c r="A451" s="3" t="s">
        <v>858</v>
      </c>
      <c r="B451" s="4" t="s">
        <v>859</v>
      </c>
      <c r="C451" s="5">
        <f t="shared" si="13"/>
        <v>0</v>
      </c>
      <c r="D451" s="5"/>
      <c r="E451" s="6">
        <f t="shared" si="12"/>
        <v>0</v>
      </c>
      <c r="F451" s="6">
        <f t="shared" si="12"/>
        <v>0</v>
      </c>
      <c r="G451" s="62"/>
      <c r="H451" s="62"/>
      <c r="I451" s="60"/>
      <c r="J451" s="60"/>
      <c r="K451" s="64"/>
      <c r="L451" s="64"/>
      <c r="M451" s="25"/>
      <c r="N451" s="25"/>
    </row>
    <row r="452" spans="1:14">
      <c r="A452" s="3" t="s">
        <v>860</v>
      </c>
      <c r="B452" s="4" t="s">
        <v>861</v>
      </c>
      <c r="C452" s="5">
        <f t="shared" si="13"/>
        <v>0</v>
      </c>
      <c r="D452" s="5"/>
      <c r="E452" s="6">
        <f t="shared" si="12"/>
        <v>0</v>
      </c>
      <c r="F452" s="6">
        <f t="shared" si="12"/>
        <v>0</v>
      </c>
      <c r="G452" s="62"/>
      <c r="H452" s="62"/>
      <c r="I452" s="60"/>
      <c r="J452" s="60"/>
      <c r="K452" s="64"/>
      <c r="L452" s="64"/>
      <c r="M452" s="25"/>
      <c r="N452" s="25"/>
    </row>
    <row r="453" spans="1:14">
      <c r="A453" s="3" t="s">
        <v>862</v>
      </c>
      <c r="B453" s="4" t="s">
        <v>863</v>
      </c>
      <c r="C453" s="5">
        <f t="shared" si="13"/>
        <v>0</v>
      </c>
      <c r="D453" s="5"/>
      <c r="E453" s="6">
        <f t="shared" si="12"/>
        <v>0</v>
      </c>
      <c r="F453" s="6">
        <f t="shared" si="12"/>
        <v>0</v>
      </c>
      <c r="G453" s="62"/>
      <c r="H453" s="62"/>
      <c r="I453" s="60"/>
      <c r="J453" s="60"/>
      <c r="K453" s="64"/>
      <c r="L453" s="64"/>
      <c r="M453" s="25"/>
      <c r="N453" s="25"/>
    </row>
    <row r="454" spans="1:14">
      <c r="A454" s="3" t="s">
        <v>864</v>
      </c>
      <c r="B454" s="4" t="s">
        <v>865</v>
      </c>
      <c r="C454" s="5">
        <f t="shared" si="13"/>
        <v>0</v>
      </c>
      <c r="D454" s="5"/>
      <c r="E454" s="6">
        <f t="shared" si="12"/>
        <v>0</v>
      </c>
      <c r="F454" s="6">
        <f t="shared" si="12"/>
        <v>0</v>
      </c>
      <c r="G454" s="62"/>
      <c r="H454" s="62"/>
      <c r="I454" s="60"/>
      <c r="J454" s="60"/>
      <c r="K454" s="64"/>
      <c r="L454" s="64"/>
      <c r="M454" s="25"/>
      <c r="N454" s="25"/>
    </row>
    <row r="455" spans="1:14">
      <c r="A455" s="3" t="s">
        <v>866</v>
      </c>
      <c r="B455" s="4" t="s">
        <v>867</v>
      </c>
      <c r="C455" s="5">
        <f t="shared" si="13"/>
        <v>0</v>
      </c>
      <c r="D455" s="5"/>
      <c r="E455" s="6">
        <f t="shared" si="12"/>
        <v>0</v>
      </c>
      <c r="F455" s="6">
        <f t="shared" si="12"/>
        <v>0</v>
      </c>
      <c r="G455" s="62"/>
      <c r="H455" s="62"/>
      <c r="I455" s="60"/>
      <c r="J455" s="60"/>
      <c r="K455" s="64"/>
      <c r="L455" s="64"/>
      <c r="M455" s="25"/>
      <c r="N455" s="25"/>
    </row>
    <row r="456" spans="1:14">
      <c r="A456" s="3" t="s">
        <v>868</v>
      </c>
      <c r="B456" s="4" t="s">
        <v>869</v>
      </c>
      <c r="C456" s="5">
        <f t="shared" si="13"/>
        <v>0</v>
      </c>
      <c r="D456" s="5"/>
      <c r="E456" s="6">
        <f t="shared" si="12"/>
        <v>0</v>
      </c>
      <c r="F456" s="6">
        <f t="shared" si="12"/>
        <v>0</v>
      </c>
      <c r="G456" s="62"/>
      <c r="H456" s="62"/>
      <c r="I456" s="60"/>
      <c r="J456" s="60"/>
      <c r="K456" s="64"/>
      <c r="L456" s="64"/>
      <c r="M456" s="25"/>
      <c r="N456" s="25"/>
    </row>
    <row r="457" spans="1:14">
      <c r="A457" s="3" t="s">
        <v>870</v>
      </c>
      <c r="B457" s="4" t="s">
        <v>871</v>
      </c>
      <c r="C457" s="5">
        <f t="shared" si="13"/>
        <v>0</v>
      </c>
      <c r="D457" s="5"/>
      <c r="E457" s="6">
        <f t="shared" si="12"/>
        <v>0</v>
      </c>
      <c r="F457" s="6">
        <f t="shared" si="12"/>
        <v>0</v>
      </c>
      <c r="G457" s="62"/>
      <c r="H457" s="62"/>
      <c r="I457" s="60"/>
      <c r="J457" s="60"/>
      <c r="K457" s="64"/>
      <c r="L457" s="64"/>
      <c r="M457" s="25"/>
      <c r="N457" s="25"/>
    </row>
    <row r="458" spans="1:14">
      <c r="A458" s="3" t="s">
        <v>872</v>
      </c>
      <c r="B458" s="4" t="s">
        <v>873</v>
      </c>
      <c r="C458" s="5">
        <f t="shared" si="13"/>
        <v>0</v>
      </c>
      <c r="D458" s="5"/>
      <c r="E458" s="6">
        <f t="shared" si="12"/>
        <v>0</v>
      </c>
      <c r="F458" s="6">
        <f t="shared" si="12"/>
        <v>0</v>
      </c>
      <c r="G458" s="62"/>
      <c r="H458" s="62"/>
      <c r="I458" s="60"/>
      <c r="J458" s="60"/>
      <c r="K458" s="64"/>
      <c r="L458" s="64"/>
      <c r="M458" s="25"/>
      <c r="N458" s="25"/>
    </row>
    <row r="459" spans="1:14" s="67" customFormat="1" ht="15">
      <c r="A459" s="3" t="s">
        <v>874</v>
      </c>
      <c r="B459" s="4" t="s">
        <v>875</v>
      </c>
      <c r="C459" s="5">
        <f t="shared" si="13"/>
        <v>0</v>
      </c>
      <c r="D459" s="5"/>
      <c r="E459" s="6">
        <f t="shared" si="12"/>
        <v>0</v>
      </c>
      <c r="F459" s="6">
        <f t="shared" si="12"/>
        <v>0</v>
      </c>
      <c r="G459" s="62"/>
      <c r="H459" s="62"/>
      <c r="I459" s="60"/>
      <c r="J459" s="60"/>
      <c r="K459" s="64"/>
      <c r="L459" s="64"/>
      <c r="M459" s="25"/>
      <c r="N459" s="25"/>
    </row>
    <row r="460" spans="1:14">
      <c r="A460" s="3" t="s">
        <v>876</v>
      </c>
      <c r="B460" s="4" t="s">
        <v>877</v>
      </c>
      <c r="C460" s="5">
        <f t="shared" si="13"/>
        <v>0</v>
      </c>
      <c r="D460" s="5"/>
      <c r="E460" s="6">
        <f t="shared" si="12"/>
        <v>0</v>
      </c>
      <c r="F460" s="6">
        <f t="shared" si="12"/>
        <v>0</v>
      </c>
      <c r="G460" s="62"/>
      <c r="H460" s="62"/>
      <c r="I460" s="60"/>
      <c r="J460" s="60"/>
      <c r="K460" s="64"/>
      <c r="L460" s="64"/>
      <c r="M460" s="25"/>
      <c r="N460" s="25"/>
    </row>
    <row r="461" spans="1:14" s="1" customFormat="1">
      <c r="A461" s="3" t="s">
        <v>878</v>
      </c>
      <c r="B461" s="4" t="s">
        <v>879</v>
      </c>
      <c r="C461" s="5">
        <f t="shared" si="13"/>
        <v>0</v>
      </c>
      <c r="D461" s="5"/>
      <c r="E461" s="6">
        <f t="shared" si="12"/>
        <v>0</v>
      </c>
      <c r="F461" s="6">
        <f t="shared" si="12"/>
        <v>0</v>
      </c>
      <c r="G461" s="62"/>
      <c r="H461" s="62"/>
      <c r="I461" s="60"/>
      <c r="J461" s="60"/>
      <c r="K461" s="64"/>
      <c r="L461" s="64"/>
      <c r="M461" s="25"/>
      <c r="N461" s="25"/>
    </row>
    <row r="462" spans="1:14" ht="17.25">
      <c r="A462" s="13" t="s">
        <v>880</v>
      </c>
      <c r="B462" s="14"/>
      <c r="C462" s="15">
        <f>SUM(C13:C461)</f>
        <v>0</v>
      </c>
      <c r="D462" s="15">
        <f>SUM(D13:D461)</f>
        <v>0</v>
      </c>
      <c r="E462" s="16">
        <f>SUM(E13:E461)</f>
        <v>0</v>
      </c>
      <c r="F462" s="16">
        <f>SUM(F13:F461)</f>
        <v>0</v>
      </c>
      <c r="G462" s="71">
        <f>SUM(G13:G461)</f>
        <v>0</v>
      </c>
      <c r="H462" s="71">
        <f t="shared" ref="H462:N462" si="14">SUM(H13:H461)</f>
        <v>0</v>
      </c>
      <c r="I462" s="72">
        <f t="shared" si="14"/>
        <v>0</v>
      </c>
      <c r="J462" s="72">
        <f t="shared" si="14"/>
        <v>0</v>
      </c>
      <c r="K462" s="73">
        <f t="shared" si="14"/>
        <v>0</v>
      </c>
      <c r="L462" s="73">
        <f t="shared" si="14"/>
        <v>0</v>
      </c>
      <c r="M462" s="74">
        <f t="shared" si="14"/>
        <v>0</v>
      </c>
      <c r="N462" s="74">
        <f t="shared" si="14"/>
        <v>0</v>
      </c>
    </row>
    <row r="463" spans="1:14" hidden="1">
      <c r="A463" s="17" t="s">
        <v>881</v>
      </c>
      <c r="B463" s="18"/>
    </row>
    <row r="464" spans="1:14" hidden="1">
      <c r="A464" s="20" t="s">
        <v>882</v>
      </c>
      <c r="B464" s="21"/>
    </row>
    <row r="465" spans="1:14" hidden="1">
      <c r="A465" s="20" t="s">
        <v>883</v>
      </c>
      <c r="B465" s="21"/>
    </row>
    <row r="466" spans="1:14" hidden="1">
      <c r="A466" s="22" t="s">
        <v>884</v>
      </c>
      <c r="B466" s="21"/>
    </row>
    <row r="467" spans="1:14" hidden="1">
      <c r="A467" s="22" t="s">
        <v>885</v>
      </c>
      <c r="B467" s="21"/>
    </row>
    <row r="468" spans="1:14" hidden="1">
      <c r="A468" s="20" t="s">
        <v>886</v>
      </c>
      <c r="B468" s="21"/>
    </row>
    <row r="469" spans="1:14" hidden="1">
      <c r="A469" s="20" t="s">
        <v>887</v>
      </c>
      <c r="B469" s="21"/>
    </row>
    <row r="470" spans="1:14" hidden="1">
      <c r="A470" s="20" t="s">
        <v>888</v>
      </c>
      <c r="B470" s="21"/>
    </row>
    <row r="471" spans="1:14" hidden="1">
      <c r="A471" s="22" t="s">
        <v>889</v>
      </c>
      <c r="B471" s="21"/>
    </row>
    <row r="472" spans="1:14" hidden="1">
      <c r="A472" s="22" t="s">
        <v>890</v>
      </c>
      <c r="B472" s="21"/>
    </row>
    <row r="473" spans="1:14" hidden="1">
      <c r="A473" s="20" t="s">
        <v>891</v>
      </c>
      <c r="B473" s="21"/>
    </row>
    <row r="474" spans="1:14" hidden="1">
      <c r="A474" s="20" t="s">
        <v>892</v>
      </c>
      <c r="B474" s="21"/>
    </row>
    <row r="475" spans="1:14">
      <c r="A475" s="23"/>
      <c r="B475" s="24"/>
      <c r="D475" s="19">
        <f>D462-C462</f>
        <v>0</v>
      </c>
      <c r="F475" s="19">
        <f>F462-E462</f>
        <v>0</v>
      </c>
      <c r="H475" s="19">
        <f>H462-G462</f>
        <v>0</v>
      </c>
      <c r="J475" s="19">
        <f>J462-I462</f>
        <v>0</v>
      </c>
      <c r="L475" s="19">
        <f>L462-K462</f>
        <v>0</v>
      </c>
      <c r="N475" s="19">
        <f>N462-M462</f>
        <v>0</v>
      </c>
    </row>
    <row r="476" spans="1:14">
      <c r="A476" s="23"/>
      <c r="B476" s="24"/>
    </row>
    <row r="477" spans="1:14">
      <c r="A477" s="23"/>
      <c r="B477" s="24"/>
    </row>
    <row r="478" spans="1:14">
      <c r="A478" s="23"/>
      <c r="B478" s="75" t="s">
        <v>893</v>
      </c>
    </row>
    <row r="479" spans="1:14">
      <c r="A479" s="23"/>
      <c r="B479" s="24"/>
    </row>
    <row r="480" spans="1:14">
      <c r="A480" s="23"/>
      <c r="B480" s="24"/>
    </row>
    <row r="481" spans="1:2">
      <c r="A481" s="23"/>
      <c r="B481" s="24"/>
    </row>
    <row r="482" spans="1:2">
      <c r="A482" s="23"/>
      <c r="B482" s="24"/>
    </row>
    <row r="483" spans="1:2">
      <c r="A483" s="23"/>
      <c r="B483" s="24"/>
    </row>
  </sheetData>
  <mergeCells count="28">
    <mergeCell ref="L11:L12"/>
    <mergeCell ref="M11:M12"/>
    <mergeCell ref="K9:L10"/>
    <mergeCell ref="M9:N10"/>
    <mergeCell ref="C10:D10"/>
    <mergeCell ref="F11:F12"/>
    <mergeCell ref="G11:G12"/>
    <mergeCell ref="I9:J10"/>
    <mergeCell ref="N11:N12"/>
    <mergeCell ref="H11:H12"/>
    <mergeCell ref="I11:I12"/>
    <mergeCell ref="J11:J12"/>
    <mergeCell ref="K11:K12"/>
    <mergeCell ref="A7:D7"/>
    <mergeCell ref="A8:D8"/>
    <mergeCell ref="E9:F10"/>
    <mergeCell ref="G9:H10"/>
    <mergeCell ref="A11:A12"/>
    <mergeCell ref="B11:B12"/>
    <mergeCell ref="C11:C12"/>
    <mergeCell ref="D11:D12"/>
    <mergeCell ref="E11:E12"/>
    <mergeCell ref="A6:D6"/>
    <mergeCell ref="A1:D1"/>
    <mergeCell ref="A2:D2"/>
    <mergeCell ref="A3:D3"/>
    <mergeCell ref="A4:D4"/>
    <mergeCell ref="A5:D5"/>
  </mergeCells>
  <printOptions horizontalCentered="1"/>
  <pageMargins left="1" right="1" top="1" bottom="1" header="0.5" footer="0.5"/>
  <pageSetup paperSize="149" scale="85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0B050"/>
  </sheetPr>
  <dimension ref="A1:N483"/>
  <sheetViews>
    <sheetView workbookViewId="0">
      <selection sqref="A1:D1"/>
    </sheetView>
  </sheetViews>
  <sheetFormatPr defaultRowHeight="14.25"/>
  <cols>
    <col min="1" max="1" width="49.7109375" style="19" customWidth="1"/>
    <col min="2" max="2" width="9.7109375" style="69" customWidth="1"/>
    <col min="3" max="6" width="18.7109375" style="19" customWidth="1"/>
    <col min="7" max="7" width="20" style="19" customWidth="1"/>
    <col min="8" max="8" width="18.7109375" style="19" customWidth="1"/>
    <col min="9" max="9" width="20.28515625" style="19" bestFit="1" customWidth="1"/>
    <col min="10" max="10" width="18.7109375" style="19" customWidth="1"/>
    <col min="11" max="11" width="20" style="19" customWidth="1"/>
    <col min="12" max="12" width="18.7109375" style="19" customWidth="1"/>
    <col min="13" max="13" width="20.28515625" style="19" bestFit="1" customWidth="1"/>
    <col min="14" max="14" width="18.7109375" style="19" customWidth="1"/>
    <col min="15" max="16384" width="9.140625" style="19"/>
  </cols>
  <sheetData>
    <row r="1" spans="1:14">
      <c r="A1" s="238" t="s">
        <v>0</v>
      </c>
      <c r="B1" s="238"/>
      <c r="C1" s="238"/>
      <c r="D1" s="238"/>
    </row>
    <row r="2" spans="1:14">
      <c r="A2" s="238" t="s">
        <v>1</v>
      </c>
      <c r="B2" s="238"/>
      <c r="C2" s="238"/>
      <c r="D2" s="238"/>
    </row>
    <row r="3" spans="1:14">
      <c r="A3" s="238" t="s">
        <v>2</v>
      </c>
      <c r="B3" s="238"/>
      <c r="C3" s="238"/>
      <c r="D3" s="238"/>
    </row>
    <row r="4" spans="1:14">
      <c r="A4" s="238"/>
      <c r="B4" s="238"/>
      <c r="C4" s="238"/>
      <c r="D4" s="238"/>
    </row>
    <row r="5" spans="1:14" ht="15">
      <c r="A5" s="238" t="s">
        <v>3</v>
      </c>
      <c r="B5" s="239"/>
      <c r="C5" s="238"/>
      <c r="D5" s="238"/>
    </row>
    <row r="6" spans="1:14" ht="15">
      <c r="A6" s="238" t="s">
        <v>4</v>
      </c>
      <c r="B6" s="239"/>
      <c r="C6" s="238"/>
      <c r="D6" s="238"/>
    </row>
    <row r="7" spans="1:14">
      <c r="A7" s="238" t="s">
        <v>1014</v>
      </c>
      <c r="B7" s="240"/>
      <c r="C7" s="238"/>
      <c r="D7" s="238"/>
    </row>
    <row r="8" spans="1:14">
      <c r="A8" s="238"/>
      <c r="B8" s="240"/>
      <c r="C8" s="238"/>
      <c r="D8" s="238"/>
    </row>
    <row r="9" spans="1:14" s="67" customFormat="1" ht="15">
      <c r="A9" s="66"/>
      <c r="B9" s="66"/>
      <c r="E9" s="250" t="str">
        <f>A7</f>
        <v>As of October 31, 2011</v>
      </c>
      <c r="F9" s="251"/>
      <c r="G9" s="261" t="s">
        <v>10</v>
      </c>
      <c r="H9" s="262"/>
      <c r="I9" s="254" t="s">
        <v>1009</v>
      </c>
      <c r="J9" s="255"/>
      <c r="K9" s="265" t="s">
        <v>1010</v>
      </c>
      <c r="L9" s="265"/>
      <c r="M9" s="267" t="s">
        <v>11</v>
      </c>
      <c r="N9" s="267"/>
    </row>
    <row r="10" spans="1:14" ht="14.25" customHeight="1">
      <c r="A10" s="68"/>
      <c r="C10" s="241"/>
      <c r="D10" s="242"/>
      <c r="E10" s="252"/>
      <c r="F10" s="253"/>
      <c r="G10" s="263"/>
      <c r="H10" s="264"/>
      <c r="I10" s="256"/>
      <c r="J10" s="257"/>
      <c r="K10" s="265"/>
      <c r="L10" s="265"/>
      <c r="M10" s="267"/>
      <c r="N10" s="267"/>
    </row>
    <row r="11" spans="1:14" ht="15" customHeight="1">
      <c r="A11" s="243" t="s">
        <v>6</v>
      </c>
      <c r="B11" s="245" t="s">
        <v>7</v>
      </c>
      <c r="C11" s="243" t="s">
        <v>8</v>
      </c>
      <c r="D11" s="243" t="s">
        <v>9</v>
      </c>
      <c r="E11" s="247" t="s">
        <v>8</v>
      </c>
      <c r="F11" s="259" t="s">
        <v>9</v>
      </c>
      <c r="G11" s="249" t="s">
        <v>8</v>
      </c>
      <c r="H11" s="249" t="s">
        <v>9</v>
      </c>
      <c r="I11" s="258" t="s">
        <v>8</v>
      </c>
      <c r="J11" s="258" t="s">
        <v>9</v>
      </c>
      <c r="K11" s="266" t="s">
        <v>8</v>
      </c>
      <c r="L11" s="266" t="s">
        <v>9</v>
      </c>
      <c r="M11" s="268" t="s">
        <v>8</v>
      </c>
      <c r="N11" s="268" t="s">
        <v>9</v>
      </c>
    </row>
    <row r="12" spans="1:14">
      <c r="A12" s="244"/>
      <c r="B12" s="246"/>
      <c r="C12" s="244"/>
      <c r="D12" s="244"/>
      <c r="E12" s="248"/>
      <c r="F12" s="260"/>
      <c r="G12" s="249"/>
      <c r="H12" s="249"/>
      <c r="I12" s="258"/>
      <c r="J12" s="258"/>
      <c r="K12" s="266"/>
      <c r="L12" s="266"/>
      <c r="M12" s="268"/>
      <c r="N12" s="268"/>
    </row>
    <row r="13" spans="1:14">
      <c r="A13" s="3" t="s">
        <v>12</v>
      </c>
      <c r="B13" s="4">
        <v>101</v>
      </c>
      <c r="C13" s="5">
        <f>E13-F13</f>
        <v>0</v>
      </c>
      <c r="D13" s="5"/>
      <c r="E13" s="6">
        <f>SUM(G13,I13,K13,M13)</f>
        <v>0</v>
      </c>
      <c r="F13" s="6">
        <f>SUM(H13,J13,L13,N13)</f>
        <v>0</v>
      </c>
      <c r="G13" s="62"/>
      <c r="H13" s="62"/>
      <c r="I13" s="60"/>
      <c r="J13" s="60"/>
      <c r="K13" s="64"/>
      <c r="L13" s="64"/>
      <c r="M13" s="25"/>
      <c r="N13" s="25"/>
    </row>
    <row r="14" spans="1:14">
      <c r="A14" s="3" t="s">
        <v>13</v>
      </c>
      <c r="B14" s="4" t="s">
        <v>14</v>
      </c>
      <c r="C14" s="5">
        <f>E14-F14</f>
        <v>0</v>
      </c>
      <c r="D14" s="5"/>
      <c r="E14" s="6">
        <f t="shared" ref="E14:F77" si="0">SUM(G14,I14,K14,M14)</f>
        <v>0</v>
      </c>
      <c r="F14" s="6">
        <f t="shared" si="0"/>
        <v>0</v>
      </c>
      <c r="G14" s="62"/>
      <c r="H14" s="62"/>
      <c r="I14" s="60"/>
      <c r="J14" s="60"/>
      <c r="K14" s="64"/>
      <c r="L14" s="64"/>
      <c r="M14" s="25"/>
      <c r="N14" s="25"/>
    </row>
    <row r="15" spans="1:14">
      <c r="A15" s="3" t="s">
        <v>15</v>
      </c>
      <c r="B15" s="4" t="s">
        <v>16</v>
      </c>
      <c r="C15" s="5">
        <f>E15-F15</f>
        <v>0</v>
      </c>
      <c r="D15" s="5"/>
      <c r="E15" s="6">
        <f t="shared" si="0"/>
        <v>0</v>
      </c>
      <c r="F15" s="6">
        <f t="shared" si="0"/>
        <v>0</v>
      </c>
      <c r="G15" s="63"/>
      <c r="H15" s="63"/>
      <c r="I15" s="61"/>
      <c r="J15" s="61"/>
      <c r="K15" s="65"/>
      <c r="L15" s="65"/>
      <c r="M15" s="26"/>
      <c r="N15" s="26"/>
    </row>
    <row r="16" spans="1:14">
      <c r="A16" s="3" t="s">
        <v>17</v>
      </c>
      <c r="B16" s="4" t="s">
        <v>18</v>
      </c>
      <c r="C16" s="5">
        <f>E16-F16</f>
        <v>0</v>
      </c>
      <c r="D16" s="5"/>
      <c r="E16" s="6">
        <f t="shared" si="0"/>
        <v>0</v>
      </c>
      <c r="F16" s="6">
        <f t="shared" si="0"/>
        <v>0</v>
      </c>
      <c r="G16" s="62"/>
      <c r="H16" s="62"/>
      <c r="I16" s="60"/>
      <c r="J16" s="60"/>
      <c r="K16" s="64"/>
      <c r="L16" s="64"/>
      <c r="M16" s="25"/>
      <c r="N16" s="25"/>
    </row>
    <row r="17" spans="1:14">
      <c r="A17" s="3" t="s">
        <v>19</v>
      </c>
      <c r="B17" s="4" t="s">
        <v>20</v>
      </c>
      <c r="C17" s="7">
        <f>E17-F17</f>
        <v>0</v>
      </c>
      <c r="D17" s="7"/>
      <c r="E17" s="6">
        <f t="shared" si="0"/>
        <v>0</v>
      </c>
      <c r="F17" s="6">
        <f t="shared" si="0"/>
        <v>0</v>
      </c>
      <c r="G17" s="62"/>
      <c r="H17" s="62"/>
      <c r="I17" s="60"/>
      <c r="J17" s="60"/>
      <c r="K17" s="64"/>
      <c r="L17" s="64"/>
      <c r="M17" s="25"/>
      <c r="N17" s="25"/>
    </row>
    <row r="18" spans="1:14">
      <c r="A18" s="3" t="s">
        <v>21</v>
      </c>
      <c r="B18" s="4">
        <v>110</v>
      </c>
      <c r="C18" s="7">
        <f t="shared" ref="C18:C80" si="1">E18-F18</f>
        <v>0</v>
      </c>
      <c r="D18" s="7"/>
      <c r="E18" s="6">
        <f t="shared" si="0"/>
        <v>0</v>
      </c>
      <c r="F18" s="6">
        <f t="shared" si="0"/>
        <v>0</v>
      </c>
      <c r="G18" s="62"/>
      <c r="H18" s="62"/>
      <c r="I18" s="60"/>
      <c r="J18" s="60"/>
      <c r="K18" s="64"/>
      <c r="L18" s="64"/>
      <c r="M18" s="25"/>
      <c r="N18" s="25"/>
    </row>
    <row r="19" spans="1:14">
      <c r="A19" s="8" t="s">
        <v>22</v>
      </c>
      <c r="B19" s="4">
        <v>111</v>
      </c>
      <c r="C19" s="7">
        <f t="shared" si="1"/>
        <v>0</v>
      </c>
      <c r="D19" s="7"/>
      <c r="E19" s="6">
        <f t="shared" si="0"/>
        <v>0</v>
      </c>
      <c r="F19" s="6">
        <f t="shared" si="0"/>
        <v>0</v>
      </c>
      <c r="G19" s="62"/>
      <c r="H19" s="62"/>
      <c r="I19" s="60"/>
      <c r="J19" s="60"/>
      <c r="K19" s="64"/>
      <c r="L19" s="64"/>
      <c r="M19" s="25"/>
      <c r="N19" s="25"/>
    </row>
    <row r="20" spans="1:14">
      <c r="A20" s="8" t="s">
        <v>23</v>
      </c>
      <c r="B20" s="4">
        <v>112</v>
      </c>
      <c r="C20" s="7">
        <f t="shared" si="1"/>
        <v>0</v>
      </c>
      <c r="D20" s="7"/>
      <c r="E20" s="6">
        <f t="shared" si="0"/>
        <v>0</v>
      </c>
      <c r="F20" s="6">
        <f t="shared" si="0"/>
        <v>0</v>
      </c>
      <c r="G20" s="62"/>
      <c r="H20" s="62"/>
      <c r="I20" s="60"/>
      <c r="J20" s="60"/>
      <c r="K20" s="64"/>
      <c r="L20" s="64"/>
      <c r="M20" s="25"/>
      <c r="N20" s="25"/>
    </row>
    <row r="21" spans="1:14">
      <c r="A21" s="3" t="s">
        <v>24</v>
      </c>
      <c r="B21" s="4">
        <v>113</v>
      </c>
      <c r="C21" s="7">
        <f t="shared" si="1"/>
        <v>0</v>
      </c>
      <c r="D21" s="7"/>
      <c r="E21" s="6">
        <f t="shared" si="0"/>
        <v>0</v>
      </c>
      <c r="F21" s="6">
        <f t="shared" si="0"/>
        <v>0</v>
      </c>
      <c r="G21" s="62"/>
      <c r="H21" s="62"/>
      <c r="I21" s="60"/>
      <c r="J21" s="60"/>
      <c r="K21" s="64"/>
      <c r="L21" s="64"/>
      <c r="M21" s="25"/>
      <c r="N21" s="25"/>
    </row>
    <row r="22" spans="1:14">
      <c r="A22" s="3" t="s">
        <v>21</v>
      </c>
      <c r="B22" s="4">
        <v>114</v>
      </c>
      <c r="C22" s="7">
        <f t="shared" si="1"/>
        <v>0</v>
      </c>
      <c r="D22" s="7"/>
      <c r="E22" s="6">
        <f t="shared" si="0"/>
        <v>0</v>
      </c>
      <c r="F22" s="6">
        <f t="shared" si="0"/>
        <v>0</v>
      </c>
      <c r="G22" s="62"/>
      <c r="H22" s="62"/>
      <c r="I22" s="60"/>
      <c r="J22" s="60"/>
      <c r="K22" s="64"/>
      <c r="L22" s="64"/>
      <c r="M22" s="25"/>
      <c r="N22" s="25"/>
    </row>
    <row r="23" spans="1:14">
      <c r="A23" s="3" t="s">
        <v>25</v>
      </c>
      <c r="B23" s="4">
        <v>115</v>
      </c>
      <c r="C23" s="7">
        <f t="shared" si="1"/>
        <v>0</v>
      </c>
      <c r="D23" s="7"/>
      <c r="E23" s="6">
        <f t="shared" si="0"/>
        <v>0</v>
      </c>
      <c r="F23" s="6">
        <f t="shared" si="0"/>
        <v>0</v>
      </c>
      <c r="G23" s="62"/>
      <c r="H23" s="62"/>
      <c r="I23" s="60"/>
      <c r="J23" s="60"/>
      <c r="K23" s="64"/>
      <c r="L23" s="64"/>
      <c r="M23" s="25"/>
      <c r="N23" s="25"/>
    </row>
    <row r="24" spans="1:14">
      <c r="A24" s="3" t="s">
        <v>26</v>
      </c>
      <c r="B24" s="4" t="s">
        <v>27</v>
      </c>
      <c r="C24" s="7">
        <f t="shared" si="1"/>
        <v>0</v>
      </c>
      <c r="D24" s="7"/>
      <c r="E24" s="6">
        <f t="shared" si="0"/>
        <v>0</v>
      </c>
      <c r="F24" s="6">
        <f t="shared" si="0"/>
        <v>0</v>
      </c>
      <c r="G24" s="62"/>
      <c r="H24" s="62"/>
      <c r="I24" s="60"/>
      <c r="J24" s="60"/>
      <c r="K24" s="64"/>
      <c r="L24" s="64"/>
      <c r="M24" s="25"/>
      <c r="N24" s="25"/>
    </row>
    <row r="25" spans="1:14">
      <c r="A25" s="3" t="s">
        <v>28</v>
      </c>
      <c r="B25" s="4" t="s">
        <v>29</v>
      </c>
      <c r="C25" s="7">
        <f t="shared" si="1"/>
        <v>0</v>
      </c>
      <c r="D25" s="7"/>
      <c r="E25" s="6">
        <f t="shared" si="0"/>
        <v>0</v>
      </c>
      <c r="F25" s="6">
        <f t="shared" si="0"/>
        <v>0</v>
      </c>
      <c r="G25" s="62"/>
      <c r="H25" s="62"/>
      <c r="I25" s="60"/>
      <c r="J25" s="60"/>
      <c r="K25" s="64"/>
      <c r="L25" s="64"/>
      <c r="M25" s="25"/>
      <c r="N25" s="25"/>
    </row>
    <row r="26" spans="1:14">
      <c r="A26" s="3" t="s">
        <v>30</v>
      </c>
      <c r="B26" s="4" t="s">
        <v>31</v>
      </c>
      <c r="C26" s="7">
        <f t="shared" si="1"/>
        <v>0</v>
      </c>
      <c r="D26" s="7"/>
      <c r="E26" s="6">
        <f t="shared" si="0"/>
        <v>0</v>
      </c>
      <c r="F26" s="6">
        <f t="shared" si="0"/>
        <v>0</v>
      </c>
      <c r="G26" s="62"/>
      <c r="H26" s="62"/>
      <c r="I26" s="60"/>
      <c r="J26" s="60"/>
      <c r="K26" s="64"/>
      <c r="L26" s="64"/>
      <c r="M26" s="25"/>
      <c r="N26" s="25"/>
    </row>
    <row r="27" spans="1:14">
      <c r="A27" s="3" t="s">
        <v>32</v>
      </c>
      <c r="B27" s="4" t="s">
        <v>33</v>
      </c>
      <c r="C27" s="7">
        <f t="shared" si="1"/>
        <v>0</v>
      </c>
      <c r="D27" s="7"/>
      <c r="E27" s="6">
        <f t="shared" si="0"/>
        <v>0</v>
      </c>
      <c r="F27" s="6">
        <f t="shared" si="0"/>
        <v>0</v>
      </c>
      <c r="G27" s="62"/>
      <c r="H27" s="62"/>
      <c r="I27" s="60"/>
      <c r="J27" s="60"/>
      <c r="K27" s="64"/>
      <c r="L27" s="64"/>
      <c r="M27" s="25"/>
      <c r="N27" s="25"/>
    </row>
    <row r="28" spans="1:14">
      <c r="A28" s="3" t="s">
        <v>34</v>
      </c>
      <c r="B28" s="4" t="s">
        <v>35</v>
      </c>
      <c r="C28" s="7">
        <f t="shared" si="1"/>
        <v>0</v>
      </c>
      <c r="D28" s="7"/>
      <c r="E28" s="6">
        <f t="shared" si="0"/>
        <v>0</v>
      </c>
      <c r="F28" s="6">
        <f t="shared" si="0"/>
        <v>0</v>
      </c>
      <c r="G28" s="62"/>
      <c r="H28" s="62"/>
      <c r="I28" s="60"/>
      <c r="J28" s="60"/>
      <c r="K28" s="64"/>
      <c r="L28" s="64"/>
      <c r="M28" s="25"/>
      <c r="N28" s="25"/>
    </row>
    <row r="29" spans="1:14">
      <c r="A29" s="3" t="s">
        <v>36</v>
      </c>
      <c r="B29" s="4" t="s">
        <v>37</v>
      </c>
      <c r="C29" s="7">
        <f t="shared" si="1"/>
        <v>0</v>
      </c>
      <c r="D29" s="7"/>
      <c r="E29" s="6">
        <f t="shared" si="0"/>
        <v>0</v>
      </c>
      <c r="F29" s="6">
        <f t="shared" si="0"/>
        <v>0</v>
      </c>
      <c r="G29" s="62"/>
      <c r="H29" s="62"/>
      <c r="I29" s="60"/>
      <c r="J29" s="60"/>
      <c r="K29" s="64"/>
      <c r="L29" s="64"/>
      <c r="M29" s="25"/>
      <c r="N29" s="25"/>
    </row>
    <row r="30" spans="1:14">
      <c r="A30" s="3" t="s">
        <v>38</v>
      </c>
      <c r="B30" s="4" t="s">
        <v>39</v>
      </c>
      <c r="C30" s="7">
        <f t="shared" si="1"/>
        <v>0</v>
      </c>
      <c r="D30" s="7"/>
      <c r="E30" s="6">
        <f t="shared" si="0"/>
        <v>0</v>
      </c>
      <c r="F30" s="6">
        <f t="shared" si="0"/>
        <v>0</v>
      </c>
      <c r="G30" s="62"/>
      <c r="H30" s="62"/>
      <c r="I30" s="60"/>
      <c r="J30" s="60"/>
      <c r="K30" s="64"/>
      <c r="L30" s="64"/>
      <c r="M30" s="25"/>
      <c r="N30" s="25"/>
    </row>
    <row r="31" spans="1:14">
      <c r="A31" s="3" t="s">
        <v>40</v>
      </c>
      <c r="B31" s="4" t="s">
        <v>41</v>
      </c>
      <c r="C31" s="7">
        <f t="shared" si="1"/>
        <v>0</v>
      </c>
      <c r="D31" s="7"/>
      <c r="E31" s="6">
        <f t="shared" si="0"/>
        <v>0</v>
      </c>
      <c r="F31" s="6">
        <f t="shared" si="0"/>
        <v>0</v>
      </c>
      <c r="G31" s="62"/>
      <c r="H31" s="62"/>
      <c r="I31" s="60"/>
      <c r="J31" s="60"/>
      <c r="K31" s="64"/>
      <c r="L31" s="64"/>
      <c r="M31" s="25"/>
      <c r="N31" s="25"/>
    </row>
    <row r="32" spans="1:14">
      <c r="A32" s="3" t="s">
        <v>42</v>
      </c>
      <c r="B32" s="4" t="s">
        <v>43</v>
      </c>
      <c r="C32" s="7">
        <f t="shared" si="1"/>
        <v>0</v>
      </c>
      <c r="D32" s="7"/>
      <c r="E32" s="6">
        <f t="shared" si="0"/>
        <v>0</v>
      </c>
      <c r="F32" s="6">
        <f t="shared" si="0"/>
        <v>0</v>
      </c>
      <c r="G32" s="62"/>
      <c r="H32" s="62"/>
      <c r="I32" s="60"/>
      <c r="J32" s="60"/>
      <c r="K32" s="64"/>
      <c r="L32" s="64"/>
      <c r="M32" s="25"/>
      <c r="N32" s="25"/>
    </row>
    <row r="33" spans="1:14">
      <c r="A33" s="3" t="s">
        <v>44</v>
      </c>
      <c r="B33" s="4" t="s">
        <v>45</v>
      </c>
      <c r="C33" s="7">
        <f t="shared" si="1"/>
        <v>0</v>
      </c>
      <c r="D33" s="7"/>
      <c r="E33" s="6">
        <f t="shared" si="0"/>
        <v>0</v>
      </c>
      <c r="F33" s="6">
        <f t="shared" si="0"/>
        <v>0</v>
      </c>
      <c r="G33" s="62"/>
      <c r="H33" s="62"/>
      <c r="I33" s="60"/>
      <c r="J33" s="60"/>
      <c r="K33" s="64"/>
      <c r="L33" s="64"/>
      <c r="M33" s="25"/>
      <c r="N33" s="25"/>
    </row>
    <row r="34" spans="1:14">
      <c r="A34" s="3" t="s">
        <v>46</v>
      </c>
      <c r="B34" s="4" t="s">
        <v>47</v>
      </c>
      <c r="C34" s="7">
        <f t="shared" si="1"/>
        <v>0</v>
      </c>
      <c r="D34" s="7"/>
      <c r="E34" s="6">
        <f t="shared" si="0"/>
        <v>0</v>
      </c>
      <c r="F34" s="6">
        <f t="shared" si="0"/>
        <v>0</v>
      </c>
      <c r="G34" s="62"/>
      <c r="H34" s="62"/>
      <c r="I34" s="60"/>
      <c r="J34" s="60"/>
      <c r="K34" s="64"/>
      <c r="L34" s="64"/>
      <c r="M34" s="25"/>
      <c r="N34" s="25"/>
    </row>
    <row r="35" spans="1:14">
      <c r="A35" s="3" t="s">
        <v>48</v>
      </c>
      <c r="B35" s="4" t="s">
        <v>49</v>
      </c>
      <c r="C35" s="7">
        <f t="shared" si="1"/>
        <v>0</v>
      </c>
      <c r="D35" s="7"/>
      <c r="E35" s="6">
        <f t="shared" si="0"/>
        <v>0</v>
      </c>
      <c r="F35" s="6">
        <f t="shared" si="0"/>
        <v>0</v>
      </c>
      <c r="G35" s="62"/>
      <c r="H35" s="62"/>
      <c r="I35" s="60"/>
      <c r="J35" s="60"/>
      <c r="K35" s="64"/>
      <c r="L35" s="64"/>
      <c r="M35" s="25"/>
      <c r="N35" s="25"/>
    </row>
    <row r="36" spans="1:14">
      <c r="A36" s="3" t="s">
        <v>50</v>
      </c>
      <c r="B36" s="4" t="s">
        <v>51</v>
      </c>
      <c r="C36" s="7">
        <f t="shared" si="1"/>
        <v>0</v>
      </c>
      <c r="D36" s="7"/>
      <c r="E36" s="6">
        <f t="shared" si="0"/>
        <v>0</v>
      </c>
      <c r="F36" s="6">
        <f t="shared" si="0"/>
        <v>0</v>
      </c>
      <c r="G36" s="62"/>
      <c r="H36" s="62"/>
      <c r="I36" s="60"/>
      <c r="J36" s="60"/>
      <c r="K36" s="64"/>
      <c r="L36" s="64"/>
      <c r="M36" s="25"/>
      <c r="N36" s="25"/>
    </row>
    <row r="37" spans="1:14">
      <c r="A37" s="3" t="s">
        <v>52</v>
      </c>
      <c r="B37" s="4" t="s">
        <v>53</v>
      </c>
      <c r="C37" s="7">
        <f t="shared" si="1"/>
        <v>0</v>
      </c>
      <c r="D37" s="7"/>
      <c r="E37" s="6">
        <f t="shared" si="0"/>
        <v>0</v>
      </c>
      <c r="F37" s="6">
        <f t="shared" si="0"/>
        <v>0</v>
      </c>
      <c r="G37" s="62"/>
      <c r="H37" s="62"/>
      <c r="I37" s="60"/>
      <c r="J37" s="60"/>
      <c r="K37" s="64"/>
      <c r="L37" s="64"/>
      <c r="M37" s="25"/>
      <c r="N37" s="25"/>
    </row>
    <row r="38" spans="1:14">
      <c r="A38" s="3" t="s">
        <v>54</v>
      </c>
      <c r="B38" s="9">
        <v>138</v>
      </c>
      <c r="C38" s="7">
        <f t="shared" si="1"/>
        <v>0</v>
      </c>
      <c r="D38" s="7"/>
      <c r="E38" s="6">
        <f t="shared" si="0"/>
        <v>0</v>
      </c>
      <c r="F38" s="6">
        <f t="shared" si="0"/>
        <v>0</v>
      </c>
      <c r="G38" s="62"/>
      <c r="H38" s="62"/>
      <c r="I38" s="60"/>
      <c r="J38" s="60"/>
      <c r="K38" s="64"/>
      <c r="L38" s="64"/>
      <c r="M38" s="25"/>
      <c r="N38" s="25"/>
    </row>
    <row r="39" spans="1:14">
      <c r="A39" s="3" t="s">
        <v>55</v>
      </c>
      <c r="B39" s="4" t="s">
        <v>56</v>
      </c>
      <c r="C39" s="7">
        <f t="shared" si="1"/>
        <v>0</v>
      </c>
      <c r="D39" s="7"/>
      <c r="E39" s="6">
        <f t="shared" si="0"/>
        <v>0</v>
      </c>
      <c r="F39" s="6">
        <f t="shared" si="0"/>
        <v>0</v>
      </c>
      <c r="G39" s="62"/>
      <c r="H39" s="62"/>
      <c r="I39" s="60"/>
      <c r="J39" s="60"/>
      <c r="K39" s="64"/>
      <c r="L39" s="64"/>
      <c r="M39" s="25"/>
      <c r="N39" s="25"/>
    </row>
    <row r="40" spans="1:14">
      <c r="A40" s="3" t="s">
        <v>57</v>
      </c>
      <c r="B40" s="9">
        <v>144</v>
      </c>
      <c r="C40" s="7">
        <f t="shared" si="1"/>
        <v>0</v>
      </c>
      <c r="D40" s="7"/>
      <c r="E40" s="6">
        <f t="shared" si="0"/>
        <v>0</v>
      </c>
      <c r="F40" s="6">
        <f t="shared" si="0"/>
        <v>0</v>
      </c>
      <c r="G40" s="62"/>
      <c r="H40" s="62"/>
      <c r="I40" s="60"/>
      <c r="J40" s="60"/>
      <c r="K40" s="64"/>
      <c r="L40" s="64"/>
      <c r="M40" s="25"/>
      <c r="N40" s="25"/>
    </row>
    <row r="41" spans="1:14">
      <c r="A41" s="3" t="s">
        <v>58</v>
      </c>
      <c r="B41" s="4" t="s">
        <v>59</v>
      </c>
      <c r="C41" s="7">
        <f t="shared" si="1"/>
        <v>0</v>
      </c>
      <c r="D41" s="7"/>
      <c r="E41" s="6">
        <f t="shared" si="0"/>
        <v>0</v>
      </c>
      <c r="F41" s="6">
        <f t="shared" si="0"/>
        <v>0</v>
      </c>
      <c r="G41" s="62"/>
      <c r="H41" s="62"/>
      <c r="I41" s="60"/>
      <c r="J41" s="60"/>
      <c r="K41" s="64"/>
      <c r="L41" s="64"/>
      <c r="M41" s="25"/>
      <c r="N41" s="25"/>
    </row>
    <row r="42" spans="1:14">
      <c r="A42" s="3" t="s">
        <v>60</v>
      </c>
      <c r="B42" s="4" t="s">
        <v>61</v>
      </c>
      <c r="C42" s="7">
        <f t="shared" si="1"/>
        <v>0</v>
      </c>
      <c r="D42" s="7"/>
      <c r="E42" s="6">
        <f t="shared" si="0"/>
        <v>0</v>
      </c>
      <c r="F42" s="6">
        <f t="shared" si="0"/>
        <v>0</v>
      </c>
      <c r="G42" s="62"/>
      <c r="H42" s="62"/>
      <c r="I42" s="60"/>
      <c r="J42" s="60"/>
      <c r="K42" s="64"/>
      <c r="L42" s="64"/>
      <c r="M42" s="25"/>
      <c r="N42" s="25"/>
    </row>
    <row r="43" spans="1:14">
      <c r="A43" s="3" t="s">
        <v>62</v>
      </c>
      <c r="B43" s="4" t="s">
        <v>63</v>
      </c>
      <c r="C43" s="7">
        <f t="shared" si="1"/>
        <v>0</v>
      </c>
      <c r="D43" s="7"/>
      <c r="E43" s="6">
        <f t="shared" si="0"/>
        <v>0</v>
      </c>
      <c r="F43" s="6">
        <f t="shared" si="0"/>
        <v>0</v>
      </c>
      <c r="G43" s="62"/>
      <c r="H43" s="62"/>
      <c r="I43" s="60"/>
      <c r="J43" s="60"/>
      <c r="K43" s="64"/>
      <c r="L43" s="64"/>
      <c r="M43" s="25"/>
      <c r="N43" s="25"/>
    </row>
    <row r="44" spans="1:14">
      <c r="A44" s="3" t="s">
        <v>64</v>
      </c>
      <c r="B44" s="4" t="s">
        <v>65</v>
      </c>
      <c r="C44" s="7">
        <f t="shared" si="1"/>
        <v>0</v>
      </c>
      <c r="D44" s="7"/>
      <c r="E44" s="6">
        <f t="shared" si="0"/>
        <v>0</v>
      </c>
      <c r="F44" s="6">
        <f t="shared" si="0"/>
        <v>0</v>
      </c>
      <c r="G44" s="62"/>
      <c r="H44" s="62"/>
      <c r="I44" s="60"/>
      <c r="J44" s="60"/>
      <c r="K44" s="64"/>
      <c r="L44" s="64"/>
      <c r="M44" s="25"/>
      <c r="N44" s="25"/>
    </row>
    <row r="45" spans="1:14">
      <c r="A45" s="3" t="s">
        <v>66</v>
      </c>
      <c r="B45" s="4" t="s">
        <v>67</v>
      </c>
      <c r="C45" s="7">
        <f t="shared" si="1"/>
        <v>0</v>
      </c>
      <c r="D45" s="7"/>
      <c r="E45" s="6">
        <f t="shared" si="0"/>
        <v>0</v>
      </c>
      <c r="F45" s="6">
        <f t="shared" si="0"/>
        <v>0</v>
      </c>
      <c r="G45" s="62"/>
      <c r="H45" s="62"/>
      <c r="I45" s="60"/>
      <c r="J45" s="60"/>
      <c r="K45" s="64"/>
      <c r="L45" s="64"/>
      <c r="M45" s="25"/>
      <c r="N45" s="25"/>
    </row>
    <row r="46" spans="1:14">
      <c r="A46" s="3" t="s">
        <v>68</v>
      </c>
      <c r="B46" s="4" t="s">
        <v>69</v>
      </c>
      <c r="C46" s="7">
        <f t="shared" si="1"/>
        <v>0</v>
      </c>
      <c r="D46" s="7"/>
      <c r="E46" s="6">
        <f t="shared" si="0"/>
        <v>0</v>
      </c>
      <c r="F46" s="6">
        <f t="shared" si="0"/>
        <v>0</v>
      </c>
      <c r="G46" s="62"/>
      <c r="H46" s="62"/>
      <c r="I46" s="60"/>
      <c r="J46" s="60"/>
      <c r="K46" s="64"/>
      <c r="L46" s="64"/>
      <c r="M46" s="25"/>
      <c r="N46" s="25"/>
    </row>
    <row r="47" spans="1:14">
      <c r="A47" s="3" t="s">
        <v>70</v>
      </c>
      <c r="B47" s="4" t="s">
        <v>71</v>
      </c>
      <c r="C47" s="7">
        <f t="shared" si="1"/>
        <v>0</v>
      </c>
      <c r="D47" s="7"/>
      <c r="E47" s="6">
        <f t="shared" si="0"/>
        <v>0</v>
      </c>
      <c r="F47" s="6">
        <f t="shared" si="0"/>
        <v>0</v>
      </c>
      <c r="G47" s="62"/>
      <c r="H47" s="62"/>
      <c r="I47" s="60"/>
      <c r="J47" s="60"/>
      <c r="K47" s="64"/>
      <c r="L47" s="64"/>
      <c r="M47" s="25"/>
      <c r="N47" s="25"/>
    </row>
    <row r="48" spans="1:14">
      <c r="A48" s="3" t="s">
        <v>72</v>
      </c>
      <c r="B48" s="4" t="s">
        <v>73</v>
      </c>
      <c r="C48" s="7">
        <f t="shared" si="1"/>
        <v>0</v>
      </c>
      <c r="D48" s="7"/>
      <c r="E48" s="6">
        <f t="shared" si="0"/>
        <v>0</v>
      </c>
      <c r="F48" s="6">
        <f t="shared" si="0"/>
        <v>0</v>
      </c>
      <c r="G48" s="62"/>
      <c r="H48" s="62"/>
      <c r="I48" s="60"/>
      <c r="J48" s="60"/>
      <c r="K48" s="64"/>
      <c r="L48" s="64"/>
      <c r="M48" s="25"/>
      <c r="N48" s="25"/>
    </row>
    <row r="49" spans="1:14">
      <c r="A49" s="3" t="s">
        <v>74</v>
      </c>
      <c r="B49" s="4" t="s">
        <v>75</v>
      </c>
      <c r="C49" s="7">
        <f t="shared" si="1"/>
        <v>0</v>
      </c>
      <c r="D49" s="7"/>
      <c r="E49" s="6">
        <f t="shared" si="0"/>
        <v>0</v>
      </c>
      <c r="F49" s="6">
        <f t="shared" si="0"/>
        <v>0</v>
      </c>
      <c r="G49" s="62"/>
      <c r="H49" s="62"/>
      <c r="I49" s="60"/>
      <c r="J49" s="60"/>
      <c r="K49" s="64"/>
      <c r="L49" s="64"/>
      <c r="M49" s="25"/>
      <c r="N49" s="25"/>
    </row>
    <row r="50" spans="1:14">
      <c r="A50" s="3" t="s">
        <v>76</v>
      </c>
      <c r="B50" s="4" t="s">
        <v>77</v>
      </c>
      <c r="C50" s="7">
        <f t="shared" si="1"/>
        <v>0</v>
      </c>
      <c r="D50" s="7"/>
      <c r="E50" s="6">
        <f t="shared" si="0"/>
        <v>0</v>
      </c>
      <c r="F50" s="6">
        <f t="shared" si="0"/>
        <v>0</v>
      </c>
      <c r="G50" s="62"/>
      <c r="H50" s="62"/>
      <c r="I50" s="60"/>
      <c r="J50" s="60"/>
      <c r="K50" s="64"/>
      <c r="L50" s="64"/>
      <c r="M50" s="25"/>
      <c r="N50" s="25"/>
    </row>
    <row r="51" spans="1:14">
      <c r="A51" s="3" t="s">
        <v>78</v>
      </c>
      <c r="B51" s="4" t="s">
        <v>79</v>
      </c>
      <c r="C51" s="7">
        <f t="shared" si="1"/>
        <v>0</v>
      </c>
      <c r="D51" s="7"/>
      <c r="E51" s="6">
        <f t="shared" si="0"/>
        <v>0</v>
      </c>
      <c r="F51" s="6">
        <f t="shared" si="0"/>
        <v>0</v>
      </c>
      <c r="G51" s="62"/>
      <c r="H51" s="62"/>
      <c r="I51" s="60"/>
      <c r="J51" s="60"/>
      <c r="K51" s="64"/>
      <c r="L51" s="64"/>
      <c r="M51" s="25"/>
      <c r="N51" s="25"/>
    </row>
    <row r="52" spans="1:14">
      <c r="A52" s="3" t="s">
        <v>80</v>
      </c>
      <c r="B52" s="4" t="s">
        <v>81</v>
      </c>
      <c r="C52" s="7">
        <f t="shared" si="1"/>
        <v>0</v>
      </c>
      <c r="D52" s="7"/>
      <c r="E52" s="6">
        <f t="shared" si="0"/>
        <v>0</v>
      </c>
      <c r="F52" s="6">
        <f t="shared" si="0"/>
        <v>0</v>
      </c>
      <c r="G52" s="62"/>
      <c r="H52" s="62"/>
      <c r="I52" s="60"/>
      <c r="J52" s="60"/>
      <c r="K52" s="64"/>
      <c r="L52" s="64"/>
      <c r="M52" s="25"/>
      <c r="N52" s="25"/>
    </row>
    <row r="53" spans="1:14">
      <c r="A53" s="8" t="s">
        <v>82</v>
      </c>
      <c r="B53" s="4" t="s">
        <v>83</v>
      </c>
      <c r="C53" s="7">
        <f t="shared" si="1"/>
        <v>0</v>
      </c>
      <c r="D53" s="7"/>
      <c r="E53" s="6">
        <f t="shared" si="0"/>
        <v>0</v>
      </c>
      <c r="F53" s="6">
        <f t="shared" si="0"/>
        <v>0</v>
      </c>
      <c r="G53" s="62"/>
      <c r="H53" s="62"/>
      <c r="I53" s="60"/>
      <c r="J53" s="60"/>
      <c r="K53" s="64"/>
      <c r="L53" s="64"/>
      <c r="M53" s="25"/>
      <c r="N53" s="25"/>
    </row>
    <row r="54" spans="1:14">
      <c r="A54" s="3" t="s">
        <v>84</v>
      </c>
      <c r="B54" s="4" t="s">
        <v>85</v>
      </c>
      <c r="C54" s="7">
        <f t="shared" si="1"/>
        <v>0</v>
      </c>
      <c r="D54" s="7"/>
      <c r="E54" s="6">
        <f t="shared" si="0"/>
        <v>0</v>
      </c>
      <c r="F54" s="6">
        <f t="shared" si="0"/>
        <v>0</v>
      </c>
      <c r="G54" s="62"/>
      <c r="H54" s="62"/>
      <c r="I54" s="60"/>
      <c r="J54" s="60"/>
      <c r="K54" s="64"/>
      <c r="L54" s="64"/>
      <c r="M54" s="25"/>
      <c r="N54" s="25"/>
    </row>
    <row r="55" spans="1:14">
      <c r="A55" s="3" t="s">
        <v>86</v>
      </c>
      <c r="B55" s="4" t="s">
        <v>87</v>
      </c>
      <c r="C55" s="7">
        <f t="shared" si="1"/>
        <v>0</v>
      </c>
      <c r="D55" s="7"/>
      <c r="E55" s="6">
        <f t="shared" si="0"/>
        <v>0</v>
      </c>
      <c r="F55" s="6">
        <f t="shared" si="0"/>
        <v>0</v>
      </c>
      <c r="G55" s="62"/>
      <c r="H55" s="62"/>
      <c r="I55" s="60"/>
      <c r="J55" s="60"/>
      <c r="K55" s="64"/>
      <c r="L55" s="64"/>
      <c r="M55" s="25"/>
      <c r="N55" s="25"/>
    </row>
    <row r="56" spans="1:14">
      <c r="A56" s="8" t="s">
        <v>88</v>
      </c>
      <c r="B56" s="4" t="s">
        <v>89</v>
      </c>
      <c r="C56" s="7">
        <f t="shared" si="1"/>
        <v>0</v>
      </c>
      <c r="D56" s="7"/>
      <c r="E56" s="6">
        <f t="shared" si="0"/>
        <v>0</v>
      </c>
      <c r="F56" s="6">
        <f t="shared" si="0"/>
        <v>0</v>
      </c>
      <c r="G56" s="62"/>
      <c r="H56" s="62"/>
      <c r="I56" s="60"/>
      <c r="J56" s="60"/>
      <c r="K56" s="64"/>
      <c r="L56" s="64"/>
      <c r="M56" s="25"/>
      <c r="N56" s="25"/>
    </row>
    <row r="57" spans="1:14">
      <c r="A57" s="3" t="s">
        <v>90</v>
      </c>
      <c r="B57" s="4" t="s">
        <v>91</v>
      </c>
      <c r="C57" s="7">
        <f t="shared" si="1"/>
        <v>0</v>
      </c>
      <c r="D57" s="7"/>
      <c r="E57" s="6">
        <f t="shared" si="0"/>
        <v>0</v>
      </c>
      <c r="F57" s="6">
        <f t="shared" si="0"/>
        <v>0</v>
      </c>
      <c r="G57" s="62"/>
      <c r="H57" s="62"/>
      <c r="I57" s="60"/>
      <c r="J57" s="60"/>
      <c r="K57" s="64"/>
      <c r="L57" s="64"/>
      <c r="M57" s="25"/>
      <c r="N57" s="25"/>
    </row>
    <row r="58" spans="1:14">
      <c r="A58" s="3" t="s">
        <v>92</v>
      </c>
      <c r="B58" s="4">
        <v>165</v>
      </c>
      <c r="C58" s="7">
        <f t="shared" si="1"/>
        <v>0</v>
      </c>
      <c r="D58" s="7"/>
      <c r="E58" s="6">
        <f t="shared" si="0"/>
        <v>0</v>
      </c>
      <c r="F58" s="6">
        <f t="shared" si="0"/>
        <v>0</v>
      </c>
      <c r="G58" s="62"/>
      <c r="H58" s="62"/>
      <c r="I58" s="60"/>
      <c r="J58" s="60"/>
      <c r="K58" s="64"/>
      <c r="L58" s="64"/>
      <c r="M58" s="25"/>
      <c r="N58" s="25"/>
    </row>
    <row r="59" spans="1:14">
      <c r="A59" s="3" t="s">
        <v>93</v>
      </c>
      <c r="B59" s="4">
        <v>166</v>
      </c>
      <c r="C59" s="7">
        <f t="shared" si="1"/>
        <v>0</v>
      </c>
      <c r="D59" s="7"/>
      <c r="E59" s="6">
        <f t="shared" si="0"/>
        <v>0</v>
      </c>
      <c r="F59" s="6">
        <f t="shared" si="0"/>
        <v>0</v>
      </c>
      <c r="G59" s="62"/>
      <c r="H59" s="62"/>
      <c r="I59" s="60"/>
      <c r="J59" s="60"/>
      <c r="K59" s="64"/>
      <c r="L59" s="64"/>
      <c r="M59" s="25"/>
      <c r="N59" s="25"/>
    </row>
    <row r="60" spans="1:14">
      <c r="A60" s="3" t="s">
        <v>94</v>
      </c>
      <c r="B60" s="4">
        <v>167</v>
      </c>
      <c r="C60" s="7">
        <f t="shared" si="1"/>
        <v>0</v>
      </c>
      <c r="D60" s="7"/>
      <c r="E60" s="6">
        <f t="shared" si="0"/>
        <v>0</v>
      </c>
      <c r="F60" s="6">
        <f t="shared" si="0"/>
        <v>0</v>
      </c>
      <c r="G60" s="62"/>
      <c r="H60" s="62"/>
      <c r="I60" s="60"/>
      <c r="J60" s="60"/>
      <c r="K60" s="64"/>
      <c r="L60" s="64"/>
      <c r="M60" s="25"/>
      <c r="N60" s="25"/>
    </row>
    <row r="61" spans="1:14">
      <c r="A61" s="3" t="s">
        <v>95</v>
      </c>
      <c r="B61" s="4" t="s">
        <v>96</v>
      </c>
      <c r="C61" s="7">
        <f t="shared" si="1"/>
        <v>0</v>
      </c>
      <c r="D61" s="7"/>
      <c r="E61" s="6">
        <f t="shared" si="0"/>
        <v>0</v>
      </c>
      <c r="F61" s="6">
        <f t="shared" si="0"/>
        <v>0</v>
      </c>
      <c r="G61" s="62"/>
      <c r="H61" s="62"/>
      <c r="I61" s="60"/>
      <c r="J61" s="60"/>
      <c r="K61" s="64"/>
      <c r="L61" s="64"/>
      <c r="M61" s="25"/>
      <c r="N61" s="25"/>
    </row>
    <row r="62" spans="1:14">
      <c r="A62" s="3" t="s">
        <v>97</v>
      </c>
      <c r="B62" s="4" t="s">
        <v>98</v>
      </c>
      <c r="C62" s="7">
        <f t="shared" si="1"/>
        <v>0</v>
      </c>
      <c r="D62" s="7"/>
      <c r="E62" s="6">
        <f t="shared" si="0"/>
        <v>0</v>
      </c>
      <c r="F62" s="6">
        <f t="shared" si="0"/>
        <v>0</v>
      </c>
      <c r="G62" s="62"/>
      <c r="H62" s="62"/>
      <c r="I62" s="60"/>
      <c r="J62" s="60"/>
      <c r="K62" s="64"/>
      <c r="L62" s="64"/>
      <c r="M62" s="25"/>
      <c r="N62" s="25"/>
    </row>
    <row r="63" spans="1:14">
      <c r="A63" s="3" t="s">
        <v>99</v>
      </c>
      <c r="B63" s="4" t="s">
        <v>100</v>
      </c>
      <c r="C63" s="7">
        <f t="shared" si="1"/>
        <v>0</v>
      </c>
      <c r="D63" s="7"/>
      <c r="E63" s="6">
        <f t="shared" si="0"/>
        <v>0</v>
      </c>
      <c r="F63" s="6">
        <f t="shared" si="0"/>
        <v>0</v>
      </c>
      <c r="G63" s="62"/>
      <c r="H63" s="62"/>
      <c r="I63" s="60"/>
      <c r="J63" s="60"/>
      <c r="K63" s="64"/>
      <c r="L63" s="64"/>
      <c r="M63" s="25"/>
      <c r="N63" s="25"/>
    </row>
    <row r="64" spans="1:14">
      <c r="A64" s="3" t="s">
        <v>101</v>
      </c>
      <c r="B64" s="4" t="s">
        <v>102</v>
      </c>
      <c r="C64" s="7">
        <f t="shared" si="1"/>
        <v>0</v>
      </c>
      <c r="D64" s="7"/>
      <c r="E64" s="6">
        <f t="shared" si="0"/>
        <v>0</v>
      </c>
      <c r="F64" s="6">
        <f t="shared" si="0"/>
        <v>0</v>
      </c>
      <c r="G64" s="62"/>
      <c r="H64" s="62"/>
      <c r="I64" s="60"/>
      <c r="J64" s="60"/>
      <c r="K64" s="64"/>
      <c r="L64" s="64"/>
      <c r="M64" s="25"/>
      <c r="N64" s="25"/>
    </row>
    <row r="65" spans="1:14">
      <c r="A65" s="3" t="s">
        <v>103</v>
      </c>
      <c r="B65" s="4" t="s">
        <v>104</v>
      </c>
      <c r="C65" s="7">
        <f t="shared" si="1"/>
        <v>0</v>
      </c>
      <c r="D65" s="7"/>
      <c r="E65" s="6">
        <f t="shared" si="0"/>
        <v>0</v>
      </c>
      <c r="F65" s="6">
        <f t="shared" si="0"/>
        <v>0</v>
      </c>
      <c r="G65" s="62"/>
      <c r="H65" s="62"/>
      <c r="I65" s="60"/>
      <c r="J65" s="60"/>
      <c r="K65" s="64"/>
      <c r="L65" s="64"/>
      <c r="M65" s="25"/>
      <c r="N65" s="25"/>
    </row>
    <row r="66" spans="1:14">
      <c r="A66" s="3" t="s">
        <v>105</v>
      </c>
      <c r="B66" s="9">
        <v>178</v>
      </c>
      <c r="C66" s="7">
        <f t="shared" si="1"/>
        <v>0</v>
      </c>
      <c r="D66" s="7"/>
      <c r="E66" s="6">
        <f t="shared" si="0"/>
        <v>0</v>
      </c>
      <c r="F66" s="6">
        <f t="shared" si="0"/>
        <v>0</v>
      </c>
      <c r="G66" s="62"/>
      <c r="H66" s="62"/>
      <c r="I66" s="60"/>
      <c r="J66" s="60"/>
      <c r="K66" s="64"/>
      <c r="L66" s="64"/>
      <c r="M66" s="25"/>
      <c r="N66" s="25"/>
    </row>
    <row r="67" spans="1:14">
      <c r="A67" s="3" t="s">
        <v>106</v>
      </c>
      <c r="B67" s="4">
        <v>179</v>
      </c>
      <c r="C67" s="7">
        <f t="shared" si="1"/>
        <v>0</v>
      </c>
      <c r="D67" s="7"/>
      <c r="E67" s="6">
        <f t="shared" si="0"/>
        <v>0</v>
      </c>
      <c r="F67" s="6">
        <f t="shared" si="0"/>
        <v>0</v>
      </c>
      <c r="G67" s="62"/>
      <c r="H67" s="62"/>
      <c r="I67" s="60"/>
      <c r="J67" s="60"/>
      <c r="K67" s="64"/>
      <c r="L67" s="64"/>
      <c r="M67" s="25"/>
      <c r="N67" s="25"/>
    </row>
    <row r="68" spans="1:14">
      <c r="A68" s="3" t="s">
        <v>107</v>
      </c>
      <c r="B68" s="9">
        <v>180</v>
      </c>
      <c r="C68" s="7">
        <f t="shared" si="1"/>
        <v>0</v>
      </c>
      <c r="D68" s="7"/>
      <c r="E68" s="6">
        <f t="shared" si="0"/>
        <v>0</v>
      </c>
      <c r="F68" s="6">
        <f t="shared" si="0"/>
        <v>0</v>
      </c>
      <c r="G68" s="62"/>
      <c r="H68" s="62"/>
      <c r="I68" s="60"/>
      <c r="J68" s="60"/>
      <c r="K68" s="64"/>
      <c r="L68" s="64"/>
      <c r="M68" s="25"/>
      <c r="N68" s="25"/>
    </row>
    <row r="69" spans="1:14">
      <c r="A69" s="3" t="s">
        <v>108</v>
      </c>
      <c r="B69" s="9">
        <v>181</v>
      </c>
      <c r="C69" s="7">
        <f t="shared" si="1"/>
        <v>0</v>
      </c>
      <c r="D69" s="7"/>
      <c r="E69" s="6">
        <f t="shared" si="0"/>
        <v>0</v>
      </c>
      <c r="F69" s="6">
        <f t="shared" si="0"/>
        <v>0</v>
      </c>
      <c r="G69" s="62"/>
      <c r="H69" s="62"/>
      <c r="I69" s="60"/>
      <c r="J69" s="60"/>
      <c r="K69" s="64"/>
      <c r="L69" s="64"/>
      <c r="M69" s="25"/>
      <c r="N69" s="25"/>
    </row>
    <row r="70" spans="1:14">
      <c r="A70" s="3" t="s">
        <v>109</v>
      </c>
      <c r="B70" s="9">
        <v>182</v>
      </c>
      <c r="C70" s="7">
        <f t="shared" si="1"/>
        <v>0</v>
      </c>
      <c r="D70" s="7"/>
      <c r="E70" s="6">
        <f t="shared" si="0"/>
        <v>0</v>
      </c>
      <c r="F70" s="6">
        <f t="shared" si="0"/>
        <v>0</v>
      </c>
      <c r="G70" s="62"/>
      <c r="H70" s="62"/>
      <c r="I70" s="60"/>
      <c r="J70" s="60"/>
      <c r="K70" s="64"/>
      <c r="L70" s="64"/>
      <c r="M70" s="25"/>
      <c r="N70" s="25"/>
    </row>
    <row r="71" spans="1:14">
      <c r="A71" s="3" t="s">
        <v>110</v>
      </c>
      <c r="B71" s="9">
        <v>185</v>
      </c>
      <c r="C71" s="7">
        <f t="shared" si="1"/>
        <v>0</v>
      </c>
      <c r="D71" s="7"/>
      <c r="E71" s="6">
        <f t="shared" si="0"/>
        <v>0</v>
      </c>
      <c r="F71" s="6">
        <f t="shared" si="0"/>
        <v>0</v>
      </c>
      <c r="G71" s="62"/>
      <c r="H71" s="62"/>
      <c r="I71" s="60"/>
      <c r="J71" s="60"/>
      <c r="K71" s="64"/>
      <c r="L71" s="64"/>
      <c r="M71" s="25"/>
      <c r="N71" s="25"/>
    </row>
    <row r="72" spans="1:14">
      <c r="A72" s="3" t="s">
        <v>111</v>
      </c>
      <c r="B72" s="4" t="s">
        <v>112</v>
      </c>
      <c r="C72" s="7">
        <f t="shared" si="1"/>
        <v>0</v>
      </c>
      <c r="D72" s="7"/>
      <c r="E72" s="6">
        <f t="shared" si="0"/>
        <v>0</v>
      </c>
      <c r="F72" s="6">
        <f t="shared" si="0"/>
        <v>0</v>
      </c>
      <c r="G72" s="62"/>
      <c r="H72" s="62"/>
      <c r="I72" s="60"/>
      <c r="J72" s="60"/>
      <c r="K72" s="64"/>
      <c r="L72" s="64"/>
      <c r="M72" s="25"/>
      <c r="N72" s="25"/>
    </row>
    <row r="73" spans="1:14">
      <c r="A73" s="3" t="s">
        <v>113</v>
      </c>
      <c r="B73" s="4" t="s">
        <v>114</v>
      </c>
      <c r="C73" s="7">
        <f t="shared" si="1"/>
        <v>0</v>
      </c>
      <c r="D73" s="7"/>
      <c r="E73" s="6">
        <f t="shared" si="0"/>
        <v>0</v>
      </c>
      <c r="F73" s="6">
        <f t="shared" si="0"/>
        <v>0</v>
      </c>
      <c r="G73" s="62"/>
      <c r="H73" s="62"/>
      <c r="I73" s="60"/>
      <c r="J73" s="60"/>
      <c r="K73" s="64"/>
      <c r="L73" s="64"/>
      <c r="M73" s="25"/>
      <c r="N73" s="25"/>
    </row>
    <row r="74" spans="1:14">
      <c r="A74" s="3" t="s">
        <v>115</v>
      </c>
      <c r="B74" s="4" t="s">
        <v>116</v>
      </c>
      <c r="C74" s="7">
        <f t="shared" si="1"/>
        <v>0</v>
      </c>
      <c r="D74" s="7"/>
      <c r="E74" s="6">
        <f t="shared" si="0"/>
        <v>0</v>
      </c>
      <c r="F74" s="6">
        <f t="shared" si="0"/>
        <v>0</v>
      </c>
      <c r="G74" s="62"/>
      <c r="H74" s="62"/>
      <c r="I74" s="60"/>
      <c r="J74" s="60"/>
      <c r="K74" s="64"/>
      <c r="L74" s="64"/>
      <c r="M74" s="25"/>
      <c r="N74" s="25"/>
    </row>
    <row r="75" spans="1:14">
      <c r="A75" s="3" t="s">
        <v>117</v>
      </c>
      <c r="B75" s="4" t="s">
        <v>118</v>
      </c>
      <c r="C75" s="7">
        <f t="shared" si="1"/>
        <v>0</v>
      </c>
      <c r="D75" s="7"/>
      <c r="E75" s="6">
        <f t="shared" si="0"/>
        <v>0</v>
      </c>
      <c r="F75" s="6">
        <f t="shared" si="0"/>
        <v>0</v>
      </c>
      <c r="G75" s="62"/>
      <c r="H75" s="62"/>
      <c r="I75" s="60"/>
      <c r="J75" s="60"/>
      <c r="K75" s="64"/>
      <c r="L75" s="64"/>
      <c r="M75" s="25"/>
      <c r="N75" s="25"/>
    </row>
    <row r="76" spans="1:14">
      <c r="A76" s="3" t="s">
        <v>119</v>
      </c>
      <c r="B76" s="4" t="s">
        <v>120</v>
      </c>
      <c r="C76" s="7">
        <f t="shared" si="1"/>
        <v>0</v>
      </c>
      <c r="D76" s="7"/>
      <c r="E76" s="6">
        <f t="shared" si="0"/>
        <v>0</v>
      </c>
      <c r="F76" s="6">
        <f t="shared" si="0"/>
        <v>0</v>
      </c>
      <c r="G76" s="62"/>
      <c r="H76" s="62"/>
      <c r="I76" s="60"/>
      <c r="J76" s="60"/>
      <c r="K76" s="64"/>
      <c r="L76" s="64"/>
      <c r="M76" s="25"/>
      <c r="N76" s="25"/>
    </row>
    <row r="77" spans="1:14">
      <c r="A77" s="3" t="s">
        <v>121</v>
      </c>
      <c r="B77" s="4" t="s">
        <v>122</v>
      </c>
      <c r="C77" s="7">
        <f t="shared" si="1"/>
        <v>0</v>
      </c>
      <c r="D77" s="7"/>
      <c r="E77" s="6">
        <f t="shared" si="0"/>
        <v>0</v>
      </c>
      <c r="F77" s="6">
        <f t="shared" si="0"/>
        <v>0</v>
      </c>
      <c r="G77" s="62"/>
      <c r="H77" s="62"/>
      <c r="I77" s="60"/>
      <c r="J77" s="60"/>
      <c r="K77" s="64"/>
      <c r="L77" s="64"/>
      <c r="M77" s="25"/>
      <c r="N77" s="25"/>
    </row>
    <row r="78" spans="1:14">
      <c r="A78" s="3" t="s">
        <v>123</v>
      </c>
      <c r="B78" s="4" t="s">
        <v>124</v>
      </c>
      <c r="C78" s="7">
        <f t="shared" si="1"/>
        <v>0</v>
      </c>
      <c r="D78" s="7"/>
      <c r="E78" s="6">
        <f t="shared" ref="E78:F141" si="2">SUM(G78,I78,K78,M78)</f>
        <v>0</v>
      </c>
      <c r="F78" s="6">
        <f t="shared" si="2"/>
        <v>0</v>
      </c>
      <c r="G78" s="62"/>
      <c r="H78" s="62"/>
      <c r="I78" s="60"/>
      <c r="J78" s="60"/>
      <c r="K78" s="64"/>
      <c r="L78" s="64"/>
      <c r="M78" s="25"/>
      <c r="N78" s="25"/>
    </row>
    <row r="79" spans="1:14">
      <c r="A79" s="3" t="s">
        <v>125</v>
      </c>
      <c r="B79" s="4">
        <v>201</v>
      </c>
      <c r="C79" s="7">
        <f t="shared" si="1"/>
        <v>0</v>
      </c>
      <c r="D79" s="7"/>
      <c r="E79" s="6">
        <f t="shared" si="2"/>
        <v>0</v>
      </c>
      <c r="F79" s="6">
        <f t="shared" si="2"/>
        <v>0</v>
      </c>
      <c r="G79" s="62"/>
      <c r="H79" s="62"/>
      <c r="I79" s="60"/>
      <c r="J79" s="60"/>
      <c r="K79" s="64"/>
      <c r="L79" s="64"/>
      <c r="M79" s="25"/>
      <c r="N79" s="25"/>
    </row>
    <row r="80" spans="1:14">
      <c r="A80" s="3" t="s">
        <v>126</v>
      </c>
      <c r="B80" s="4">
        <v>202</v>
      </c>
      <c r="C80" s="7">
        <f t="shared" si="1"/>
        <v>0</v>
      </c>
      <c r="D80" s="7"/>
      <c r="E80" s="6">
        <f t="shared" si="2"/>
        <v>0</v>
      </c>
      <c r="F80" s="6">
        <f t="shared" si="2"/>
        <v>0</v>
      </c>
      <c r="G80" s="62"/>
      <c r="H80" s="62"/>
      <c r="I80" s="60"/>
      <c r="J80" s="60"/>
      <c r="K80" s="64"/>
      <c r="L80" s="64"/>
      <c r="M80" s="25"/>
      <c r="N80" s="25"/>
    </row>
    <row r="81" spans="1:14">
      <c r="A81" s="8" t="s">
        <v>127</v>
      </c>
      <c r="B81" s="4">
        <v>302</v>
      </c>
      <c r="C81" s="7"/>
      <c r="D81" s="7">
        <f>F81-E81</f>
        <v>0</v>
      </c>
      <c r="E81" s="6">
        <f t="shared" si="2"/>
        <v>0</v>
      </c>
      <c r="F81" s="6">
        <f t="shared" si="2"/>
        <v>0</v>
      </c>
      <c r="G81" s="62"/>
      <c r="H81" s="62"/>
      <c r="I81" s="60"/>
      <c r="J81" s="60"/>
      <c r="K81" s="64"/>
      <c r="L81" s="64"/>
      <c r="M81" s="25"/>
      <c r="N81" s="25"/>
    </row>
    <row r="82" spans="1:14">
      <c r="A82" s="3" t="s">
        <v>128</v>
      </c>
      <c r="B82" s="4">
        <v>203</v>
      </c>
      <c r="C82" s="7">
        <f>E82-F82</f>
        <v>0</v>
      </c>
      <c r="D82" s="7"/>
      <c r="E82" s="6">
        <f t="shared" si="2"/>
        <v>0</v>
      </c>
      <c r="F82" s="6">
        <f t="shared" si="2"/>
        <v>0</v>
      </c>
      <c r="G82" s="62"/>
      <c r="H82" s="62"/>
      <c r="I82" s="60"/>
      <c r="J82" s="60"/>
      <c r="K82" s="64"/>
      <c r="L82" s="64"/>
      <c r="M82" s="25"/>
      <c r="N82" s="25"/>
    </row>
    <row r="83" spans="1:14">
      <c r="A83" s="3" t="s">
        <v>129</v>
      </c>
      <c r="B83" s="4">
        <v>303</v>
      </c>
      <c r="C83" s="7"/>
      <c r="D83" s="7">
        <f>F83-E83</f>
        <v>0</v>
      </c>
      <c r="E83" s="6">
        <f t="shared" si="2"/>
        <v>0</v>
      </c>
      <c r="F83" s="6">
        <f t="shared" si="2"/>
        <v>0</v>
      </c>
      <c r="G83" s="62"/>
      <c r="H83" s="62"/>
      <c r="I83" s="60"/>
      <c r="J83" s="60"/>
      <c r="K83" s="64"/>
      <c r="L83" s="64"/>
      <c r="M83" s="25"/>
      <c r="N83" s="25"/>
    </row>
    <row r="84" spans="1:14">
      <c r="A84" s="3" t="s">
        <v>130</v>
      </c>
      <c r="B84" s="4">
        <v>204</v>
      </c>
      <c r="C84" s="7">
        <f>E84-F84</f>
        <v>0</v>
      </c>
      <c r="D84" s="7"/>
      <c r="E84" s="6">
        <f t="shared" si="2"/>
        <v>0</v>
      </c>
      <c r="F84" s="6">
        <f t="shared" si="2"/>
        <v>0</v>
      </c>
      <c r="G84" s="62"/>
      <c r="H84" s="62"/>
      <c r="I84" s="60"/>
      <c r="J84" s="60"/>
      <c r="K84" s="64"/>
      <c r="L84" s="64"/>
      <c r="M84" s="25"/>
      <c r="N84" s="25"/>
    </row>
    <row r="85" spans="1:14">
      <c r="A85" s="3" t="s">
        <v>131</v>
      </c>
      <c r="B85" s="4">
        <v>304</v>
      </c>
      <c r="C85" s="7"/>
      <c r="D85" s="7">
        <f>F85-E85</f>
        <v>0</v>
      </c>
      <c r="E85" s="6">
        <f t="shared" si="2"/>
        <v>0</v>
      </c>
      <c r="F85" s="6">
        <f t="shared" si="2"/>
        <v>0</v>
      </c>
      <c r="G85" s="62"/>
      <c r="H85" s="62"/>
      <c r="I85" s="60"/>
      <c r="J85" s="60"/>
      <c r="K85" s="64"/>
      <c r="L85" s="64"/>
      <c r="M85" s="25"/>
      <c r="N85" s="25"/>
    </row>
    <row r="86" spans="1:14">
      <c r="A86" s="3" t="s">
        <v>132</v>
      </c>
      <c r="B86" s="4">
        <v>205</v>
      </c>
      <c r="C86" s="7">
        <f>E86-F86</f>
        <v>0</v>
      </c>
      <c r="D86" s="7"/>
      <c r="E86" s="6">
        <f t="shared" si="2"/>
        <v>0</v>
      </c>
      <c r="F86" s="6">
        <f t="shared" si="2"/>
        <v>0</v>
      </c>
      <c r="G86" s="62"/>
      <c r="H86" s="62"/>
      <c r="I86" s="60"/>
      <c r="J86" s="60"/>
      <c r="K86" s="64"/>
      <c r="L86" s="64"/>
      <c r="M86" s="25"/>
      <c r="N86" s="25"/>
    </row>
    <row r="87" spans="1:14" ht="28.5">
      <c r="A87" s="8" t="s">
        <v>133</v>
      </c>
      <c r="B87" s="4">
        <v>305</v>
      </c>
      <c r="C87" s="7"/>
      <c r="D87" s="7">
        <f>F87-E87</f>
        <v>0</v>
      </c>
      <c r="E87" s="6">
        <f t="shared" si="2"/>
        <v>0</v>
      </c>
      <c r="F87" s="6">
        <f t="shared" si="2"/>
        <v>0</v>
      </c>
      <c r="G87" s="62"/>
      <c r="H87" s="62"/>
      <c r="I87" s="60"/>
      <c r="J87" s="60"/>
      <c r="K87" s="64"/>
      <c r="L87" s="64"/>
      <c r="M87" s="25"/>
      <c r="N87" s="25"/>
    </row>
    <row r="88" spans="1:14">
      <c r="A88" s="8" t="s">
        <v>134</v>
      </c>
      <c r="B88" s="4" t="s">
        <v>135</v>
      </c>
      <c r="C88" s="7">
        <f>E88-F88</f>
        <v>0</v>
      </c>
      <c r="D88" s="7"/>
      <c r="E88" s="6">
        <f t="shared" si="2"/>
        <v>0</v>
      </c>
      <c r="F88" s="6">
        <f t="shared" si="2"/>
        <v>0</v>
      </c>
      <c r="G88" s="62"/>
      <c r="H88" s="62"/>
      <c r="I88" s="60"/>
      <c r="J88" s="60"/>
      <c r="K88" s="64"/>
      <c r="L88" s="64"/>
      <c r="M88" s="25"/>
      <c r="N88" s="25"/>
    </row>
    <row r="89" spans="1:14">
      <c r="A89" s="8" t="s">
        <v>136</v>
      </c>
      <c r="B89" s="4" t="s">
        <v>137</v>
      </c>
      <c r="C89" s="7"/>
      <c r="D89" s="7">
        <f>F89-E89</f>
        <v>0</v>
      </c>
      <c r="E89" s="6">
        <f t="shared" si="2"/>
        <v>0</v>
      </c>
      <c r="F89" s="6">
        <f t="shared" si="2"/>
        <v>0</v>
      </c>
      <c r="G89" s="62"/>
      <c r="H89" s="62"/>
      <c r="I89" s="60"/>
      <c r="J89" s="60"/>
      <c r="K89" s="64"/>
      <c r="L89" s="64"/>
      <c r="M89" s="25"/>
      <c r="N89" s="25"/>
    </row>
    <row r="90" spans="1:14">
      <c r="A90" s="8" t="s">
        <v>138</v>
      </c>
      <c r="B90" s="4" t="s">
        <v>139</v>
      </c>
      <c r="C90" s="7">
        <f>E90-F90</f>
        <v>0</v>
      </c>
      <c r="D90" s="7"/>
      <c r="E90" s="6">
        <f t="shared" si="2"/>
        <v>0</v>
      </c>
      <c r="F90" s="6">
        <f t="shared" si="2"/>
        <v>0</v>
      </c>
      <c r="G90" s="62"/>
      <c r="H90" s="62"/>
      <c r="I90" s="60"/>
      <c r="J90" s="60"/>
      <c r="K90" s="64"/>
      <c r="L90" s="64"/>
      <c r="M90" s="25"/>
      <c r="N90" s="25"/>
    </row>
    <row r="91" spans="1:14">
      <c r="A91" s="8" t="s">
        <v>140</v>
      </c>
      <c r="B91" s="4" t="s">
        <v>141</v>
      </c>
      <c r="C91" s="7"/>
      <c r="D91" s="7">
        <f>F91-E91</f>
        <v>0</v>
      </c>
      <c r="E91" s="6">
        <f t="shared" si="2"/>
        <v>0</v>
      </c>
      <c r="F91" s="6">
        <f t="shared" si="2"/>
        <v>0</v>
      </c>
      <c r="G91" s="62"/>
      <c r="H91" s="62"/>
      <c r="I91" s="60"/>
      <c r="J91" s="60"/>
      <c r="K91" s="64"/>
      <c r="L91" s="64"/>
      <c r="M91" s="25"/>
      <c r="N91" s="25"/>
    </row>
    <row r="92" spans="1:14">
      <c r="A92" s="8" t="s">
        <v>142</v>
      </c>
      <c r="B92" s="4" t="s">
        <v>143</v>
      </c>
      <c r="C92" s="7">
        <f>E92-F92</f>
        <v>0</v>
      </c>
      <c r="D92" s="7"/>
      <c r="E92" s="6">
        <f t="shared" si="2"/>
        <v>0</v>
      </c>
      <c r="F92" s="6">
        <f t="shared" si="2"/>
        <v>0</v>
      </c>
      <c r="G92" s="62"/>
      <c r="H92" s="62"/>
      <c r="I92" s="60"/>
      <c r="J92" s="60"/>
      <c r="K92" s="64"/>
      <c r="L92" s="64"/>
      <c r="M92" s="25"/>
      <c r="N92" s="25"/>
    </row>
    <row r="93" spans="1:14" ht="28.5">
      <c r="A93" s="8" t="s">
        <v>144</v>
      </c>
      <c r="B93" s="4" t="s">
        <v>145</v>
      </c>
      <c r="C93" s="7"/>
      <c r="D93" s="7">
        <f>F93-E93</f>
        <v>0</v>
      </c>
      <c r="E93" s="6">
        <f t="shared" si="2"/>
        <v>0</v>
      </c>
      <c r="F93" s="6">
        <f t="shared" si="2"/>
        <v>0</v>
      </c>
      <c r="G93" s="62"/>
      <c r="H93" s="62"/>
      <c r="I93" s="60"/>
      <c r="J93" s="60"/>
      <c r="K93" s="64"/>
      <c r="L93" s="64"/>
      <c r="M93" s="25"/>
      <c r="N93" s="25"/>
    </row>
    <row r="94" spans="1:14">
      <c r="A94" s="8" t="s">
        <v>146</v>
      </c>
      <c r="B94" s="4" t="s">
        <v>147</v>
      </c>
      <c r="C94" s="7">
        <f>E94-F94</f>
        <v>0</v>
      </c>
      <c r="D94" s="7"/>
      <c r="E94" s="6">
        <f t="shared" si="2"/>
        <v>0</v>
      </c>
      <c r="F94" s="6">
        <f t="shared" si="2"/>
        <v>0</v>
      </c>
      <c r="G94" s="62"/>
      <c r="H94" s="62"/>
      <c r="I94" s="60"/>
      <c r="J94" s="60"/>
      <c r="K94" s="64"/>
      <c r="L94" s="64"/>
      <c r="M94" s="25"/>
      <c r="N94" s="25"/>
    </row>
    <row r="95" spans="1:14" ht="28.5">
      <c r="A95" s="8" t="s">
        <v>148</v>
      </c>
      <c r="B95" s="4" t="s">
        <v>149</v>
      </c>
      <c r="C95" s="7"/>
      <c r="D95" s="7">
        <f>F95-E95</f>
        <v>0</v>
      </c>
      <c r="E95" s="6">
        <f t="shared" si="2"/>
        <v>0</v>
      </c>
      <c r="F95" s="6">
        <f t="shared" si="2"/>
        <v>0</v>
      </c>
      <c r="G95" s="62"/>
      <c r="H95" s="62"/>
      <c r="I95" s="60"/>
      <c r="J95" s="60"/>
      <c r="K95" s="64"/>
      <c r="L95" s="64"/>
      <c r="M95" s="25"/>
      <c r="N95" s="25"/>
    </row>
    <row r="96" spans="1:14">
      <c r="A96" s="8" t="s">
        <v>150</v>
      </c>
      <c r="B96" s="4" t="s">
        <v>151</v>
      </c>
      <c r="C96" s="7">
        <f>E96-F96</f>
        <v>0</v>
      </c>
      <c r="D96" s="7"/>
      <c r="E96" s="6">
        <f t="shared" si="2"/>
        <v>0</v>
      </c>
      <c r="F96" s="6">
        <f t="shared" si="2"/>
        <v>0</v>
      </c>
      <c r="G96" s="62"/>
      <c r="H96" s="62"/>
      <c r="I96" s="60"/>
      <c r="J96" s="60"/>
      <c r="K96" s="64"/>
      <c r="L96" s="64"/>
      <c r="M96" s="25"/>
      <c r="N96" s="25"/>
    </row>
    <row r="97" spans="1:14">
      <c r="A97" s="8" t="s">
        <v>152</v>
      </c>
      <c r="B97" s="4" t="s">
        <v>153</v>
      </c>
      <c r="C97" s="7"/>
      <c r="D97" s="7">
        <f>F97-E97</f>
        <v>0</v>
      </c>
      <c r="E97" s="6">
        <f t="shared" si="2"/>
        <v>0</v>
      </c>
      <c r="F97" s="6">
        <f t="shared" si="2"/>
        <v>0</v>
      </c>
      <c r="G97" s="62"/>
      <c r="H97" s="62"/>
      <c r="I97" s="60"/>
      <c r="J97" s="60"/>
      <c r="K97" s="64"/>
      <c r="L97" s="64"/>
      <c r="M97" s="25"/>
      <c r="N97" s="25"/>
    </row>
    <row r="98" spans="1:14">
      <c r="A98" s="8" t="s">
        <v>154</v>
      </c>
      <c r="B98" s="4" t="s">
        <v>155</v>
      </c>
      <c r="C98" s="7">
        <f>E98-F98</f>
        <v>0</v>
      </c>
      <c r="D98" s="7"/>
      <c r="E98" s="6">
        <f t="shared" si="2"/>
        <v>0</v>
      </c>
      <c r="F98" s="6">
        <f t="shared" si="2"/>
        <v>0</v>
      </c>
      <c r="G98" s="62"/>
      <c r="H98" s="62"/>
      <c r="I98" s="60"/>
      <c r="J98" s="60"/>
      <c r="K98" s="64"/>
      <c r="L98" s="64"/>
      <c r="M98" s="25"/>
      <c r="N98" s="25"/>
    </row>
    <row r="99" spans="1:14" ht="28.5">
      <c r="A99" s="8" t="s">
        <v>156</v>
      </c>
      <c r="B99" s="4" t="s">
        <v>157</v>
      </c>
      <c r="C99" s="7"/>
      <c r="D99" s="7">
        <f>F99-E99</f>
        <v>0</v>
      </c>
      <c r="E99" s="6">
        <f t="shared" si="2"/>
        <v>0</v>
      </c>
      <c r="F99" s="6">
        <f t="shared" si="2"/>
        <v>0</v>
      </c>
      <c r="G99" s="62"/>
      <c r="H99" s="62"/>
      <c r="I99" s="60"/>
      <c r="J99" s="60"/>
      <c r="K99" s="64"/>
      <c r="L99" s="64"/>
      <c r="M99" s="25"/>
      <c r="N99" s="25"/>
    </row>
    <row r="100" spans="1:14">
      <c r="A100" s="8" t="s">
        <v>158</v>
      </c>
      <c r="B100" s="4" t="s">
        <v>159</v>
      </c>
      <c r="C100" s="7">
        <f>E100-F100</f>
        <v>0</v>
      </c>
      <c r="D100" s="7"/>
      <c r="E100" s="6">
        <f t="shared" si="2"/>
        <v>0</v>
      </c>
      <c r="F100" s="6">
        <f t="shared" si="2"/>
        <v>0</v>
      </c>
      <c r="G100" s="62"/>
      <c r="H100" s="62"/>
      <c r="I100" s="60"/>
      <c r="J100" s="60"/>
      <c r="K100" s="64"/>
      <c r="L100" s="64"/>
      <c r="M100" s="25"/>
      <c r="N100" s="25"/>
    </row>
    <row r="101" spans="1:14" ht="28.5">
      <c r="A101" s="8" t="s">
        <v>160</v>
      </c>
      <c r="B101" s="4" t="s">
        <v>161</v>
      </c>
      <c r="C101" s="7"/>
      <c r="D101" s="7">
        <f>F101-E101</f>
        <v>0</v>
      </c>
      <c r="E101" s="6">
        <f t="shared" si="2"/>
        <v>0</v>
      </c>
      <c r="F101" s="6">
        <f t="shared" si="2"/>
        <v>0</v>
      </c>
      <c r="G101" s="62"/>
      <c r="H101" s="62"/>
      <c r="I101" s="60"/>
      <c r="J101" s="60"/>
      <c r="K101" s="64"/>
      <c r="L101" s="64"/>
      <c r="M101" s="25"/>
      <c r="N101" s="25"/>
    </row>
    <row r="102" spans="1:14">
      <c r="A102" s="8" t="s">
        <v>162</v>
      </c>
      <c r="B102" s="4" t="s">
        <v>163</v>
      </c>
      <c r="C102" s="7">
        <f>E102-F102</f>
        <v>0</v>
      </c>
      <c r="D102" s="7"/>
      <c r="E102" s="6">
        <f t="shared" si="2"/>
        <v>0</v>
      </c>
      <c r="F102" s="6">
        <f t="shared" si="2"/>
        <v>0</v>
      </c>
      <c r="G102" s="62"/>
      <c r="H102" s="62"/>
      <c r="I102" s="60"/>
      <c r="J102" s="60"/>
      <c r="K102" s="64"/>
      <c r="L102" s="64"/>
      <c r="M102" s="25"/>
      <c r="N102" s="25"/>
    </row>
    <row r="103" spans="1:14" ht="28.5">
      <c r="A103" s="8" t="s">
        <v>164</v>
      </c>
      <c r="B103" s="4" t="s">
        <v>165</v>
      </c>
      <c r="C103" s="7"/>
      <c r="D103" s="7">
        <f>F103-E103</f>
        <v>0</v>
      </c>
      <c r="E103" s="6">
        <f t="shared" si="2"/>
        <v>0</v>
      </c>
      <c r="F103" s="6">
        <f t="shared" si="2"/>
        <v>0</v>
      </c>
      <c r="G103" s="62"/>
      <c r="H103" s="62"/>
      <c r="I103" s="60"/>
      <c r="J103" s="60"/>
      <c r="K103" s="64"/>
      <c r="L103" s="64"/>
      <c r="M103" s="25"/>
      <c r="N103" s="25"/>
    </row>
    <row r="104" spans="1:14">
      <c r="A104" s="8" t="s">
        <v>166</v>
      </c>
      <c r="B104" s="4" t="s">
        <v>167</v>
      </c>
      <c r="C104" s="7">
        <f>E104-F104</f>
        <v>0</v>
      </c>
      <c r="D104" s="7"/>
      <c r="E104" s="6">
        <f t="shared" si="2"/>
        <v>0</v>
      </c>
      <c r="F104" s="6">
        <f t="shared" si="2"/>
        <v>0</v>
      </c>
      <c r="G104" s="62"/>
      <c r="H104" s="62"/>
      <c r="I104" s="60"/>
      <c r="J104" s="60"/>
      <c r="K104" s="64"/>
      <c r="L104" s="64"/>
      <c r="M104" s="25"/>
      <c r="N104" s="25"/>
    </row>
    <row r="105" spans="1:14">
      <c r="A105" s="8" t="s">
        <v>168</v>
      </c>
      <c r="B105" s="4" t="s">
        <v>169</v>
      </c>
      <c r="C105" s="7"/>
      <c r="D105" s="7">
        <f>F105-E105</f>
        <v>0</v>
      </c>
      <c r="E105" s="6">
        <f t="shared" si="2"/>
        <v>0</v>
      </c>
      <c r="F105" s="6">
        <f t="shared" si="2"/>
        <v>0</v>
      </c>
      <c r="G105" s="62"/>
      <c r="H105" s="62"/>
      <c r="I105" s="60"/>
      <c r="J105" s="60"/>
      <c r="K105" s="64"/>
      <c r="L105" s="64"/>
      <c r="M105" s="25"/>
      <c r="N105" s="25"/>
    </row>
    <row r="106" spans="1:14">
      <c r="A106" s="8" t="s">
        <v>170</v>
      </c>
      <c r="B106" s="4" t="s">
        <v>171</v>
      </c>
      <c r="C106" s="7">
        <f>E106-F106</f>
        <v>0</v>
      </c>
      <c r="D106" s="7"/>
      <c r="E106" s="6">
        <f t="shared" si="2"/>
        <v>0</v>
      </c>
      <c r="F106" s="6">
        <f t="shared" si="2"/>
        <v>0</v>
      </c>
      <c r="G106" s="62"/>
      <c r="H106" s="62"/>
      <c r="I106" s="60"/>
      <c r="J106" s="60"/>
      <c r="K106" s="64"/>
      <c r="L106" s="64"/>
      <c r="M106" s="25"/>
      <c r="N106" s="25"/>
    </row>
    <row r="107" spans="1:14" ht="28.5">
      <c r="A107" s="8" t="s">
        <v>172</v>
      </c>
      <c r="B107" s="4" t="s">
        <v>173</v>
      </c>
      <c r="C107" s="7"/>
      <c r="D107" s="7">
        <f>F107-E107</f>
        <v>0</v>
      </c>
      <c r="E107" s="6">
        <f t="shared" si="2"/>
        <v>0</v>
      </c>
      <c r="F107" s="6">
        <f t="shared" si="2"/>
        <v>0</v>
      </c>
      <c r="G107" s="62"/>
      <c r="H107" s="62"/>
      <c r="I107" s="60"/>
      <c r="J107" s="60"/>
      <c r="K107" s="64"/>
      <c r="L107" s="64"/>
      <c r="M107" s="25"/>
      <c r="N107" s="25"/>
    </row>
    <row r="108" spans="1:14">
      <c r="A108" s="8" t="s">
        <v>174</v>
      </c>
      <c r="B108" s="4" t="s">
        <v>175</v>
      </c>
      <c r="C108" s="7">
        <f>E108-F108</f>
        <v>0</v>
      </c>
      <c r="D108" s="7"/>
      <c r="E108" s="6">
        <f t="shared" si="2"/>
        <v>0</v>
      </c>
      <c r="F108" s="6">
        <f t="shared" si="2"/>
        <v>0</v>
      </c>
      <c r="G108" s="62"/>
      <c r="H108" s="62"/>
      <c r="I108" s="60"/>
      <c r="J108" s="60"/>
      <c r="K108" s="64"/>
      <c r="L108" s="64"/>
      <c r="M108" s="25"/>
      <c r="N108" s="25"/>
    </row>
    <row r="109" spans="1:14">
      <c r="A109" s="8" t="s">
        <v>176</v>
      </c>
      <c r="B109" s="4" t="s">
        <v>177</v>
      </c>
      <c r="C109" s="7"/>
      <c r="D109" s="7">
        <f>F109-E109</f>
        <v>0</v>
      </c>
      <c r="E109" s="6">
        <f t="shared" si="2"/>
        <v>0</v>
      </c>
      <c r="F109" s="6">
        <f t="shared" si="2"/>
        <v>0</v>
      </c>
      <c r="G109" s="62"/>
      <c r="H109" s="62"/>
      <c r="I109" s="60"/>
      <c r="J109" s="60"/>
      <c r="K109" s="64"/>
      <c r="L109" s="64"/>
      <c r="M109" s="25"/>
      <c r="N109" s="25"/>
    </row>
    <row r="110" spans="1:14">
      <c r="A110" s="8" t="s">
        <v>178</v>
      </c>
      <c r="B110" s="4" t="s">
        <v>179</v>
      </c>
      <c r="C110" s="7">
        <f>E110-F110</f>
        <v>0</v>
      </c>
      <c r="D110" s="7"/>
      <c r="E110" s="6">
        <f t="shared" si="2"/>
        <v>0</v>
      </c>
      <c r="F110" s="6">
        <f t="shared" si="2"/>
        <v>0</v>
      </c>
      <c r="G110" s="62"/>
      <c r="H110" s="62"/>
      <c r="I110" s="60"/>
      <c r="J110" s="60"/>
      <c r="K110" s="64"/>
      <c r="L110" s="64"/>
      <c r="M110" s="25"/>
      <c r="N110" s="25"/>
    </row>
    <row r="111" spans="1:14">
      <c r="A111" s="8" t="s">
        <v>180</v>
      </c>
      <c r="B111" s="4" t="s">
        <v>181</v>
      </c>
      <c r="C111" s="7"/>
      <c r="D111" s="7">
        <f>F111-E111</f>
        <v>0</v>
      </c>
      <c r="E111" s="6">
        <f t="shared" si="2"/>
        <v>0</v>
      </c>
      <c r="F111" s="6">
        <f t="shared" si="2"/>
        <v>0</v>
      </c>
      <c r="G111" s="62"/>
      <c r="H111" s="62"/>
      <c r="I111" s="60"/>
      <c r="J111" s="60"/>
      <c r="K111" s="64"/>
      <c r="L111" s="64"/>
      <c r="M111" s="25"/>
      <c r="N111" s="25"/>
    </row>
    <row r="112" spans="1:14">
      <c r="A112" s="8" t="s">
        <v>182</v>
      </c>
      <c r="B112" s="4" t="s">
        <v>183</v>
      </c>
      <c r="C112" s="7">
        <f>E112-F112</f>
        <v>0</v>
      </c>
      <c r="D112" s="7"/>
      <c r="E112" s="6">
        <f t="shared" si="2"/>
        <v>0</v>
      </c>
      <c r="F112" s="6">
        <f t="shared" si="2"/>
        <v>0</v>
      </c>
      <c r="G112" s="62"/>
      <c r="H112" s="62"/>
      <c r="I112" s="60"/>
      <c r="J112" s="60"/>
      <c r="K112" s="64"/>
      <c r="L112" s="64"/>
      <c r="M112" s="25"/>
      <c r="N112" s="25"/>
    </row>
    <row r="113" spans="1:14">
      <c r="A113" s="8" t="s">
        <v>184</v>
      </c>
      <c r="B113" s="4" t="s">
        <v>185</v>
      </c>
      <c r="C113" s="7"/>
      <c r="D113" s="7">
        <f>F113-E113</f>
        <v>0</v>
      </c>
      <c r="E113" s="6">
        <f t="shared" si="2"/>
        <v>0</v>
      </c>
      <c r="F113" s="6">
        <f t="shared" si="2"/>
        <v>0</v>
      </c>
      <c r="G113" s="62"/>
      <c r="H113" s="62"/>
      <c r="I113" s="60"/>
      <c r="J113" s="60"/>
      <c r="K113" s="64"/>
      <c r="L113" s="64"/>
      <c r="M113" s="25"/>
      <c r="N113" s="25"/>
    </row>
    <row r="114" spans="1:14">
      <c r="A114" s="8" t="s">
        <v>186</v>
      </c>
      <c r="B114" s="4" t="s">
        <v>187</v>
      </c>
      <c r="C114" s="7">
        <f>E114-F114</f>
        <v>0</v>
      </c>
      <c r="D114" s="7"/>
      <c r="E114" s="6">
        <f t="shared" si="2"/>
        <v>0</v>
      </c>
      <c r="F114" s="6">
        <f t="shared" si="2"/>
        <v>0</v>
      </c>
      <c r="G114" s="62"/>
      <c r="H114" s="62"/>
      <c r="I114" s="60"/>
      <c r="J114" s="60"/>
      <c r="K114" s="64"/>
      <c r="L114" s="64"/>
      <c r="M114" s="25"/>
      <c r="N114" s="25"/>
    </row>
    <row r="115" spans="1:14" ht="28.5">
      <c r="A115" s="8" t="s">
        <v>188</v>
      </c>
      <c r="B115" s="4" t="s">
        <v>189</v>
      </c>
      <c r="C115" s="7"/>
      <c r="D115" s="7">
        <f>F115-E115</f>
        <v>0</v>
      </c>
      <c r="E115" s="6">
        <f t="shared" si="2"/>
        <v>0</v>
      </c>
      <c r="F115" s="6">
        <f t="shared" si="2"/>
        <v>0</v>
      </c>
      <c r="G115" s="62"/>
      <c r="H115" s="62"/>
      <c r="I115" s="60"/>
      <c r="J115" s="60"/>
      <c r="K115" s="64"/>
      <c r="L115" s="64"/>
      <c r="M115" s="25"/>
      <c r="N115" s="25"/>
    </row>
    <row r="116" spans="1:14">
      <c r="A116" s="8" t="s">
        <v>190</v>
      </c>
      <c r="B116" s="4" t="s">
        <v>191</v>
      </c>
      <c r="C116" s="7">
        <f>E116-F116</f>
        <v>0</v>
      </c>
      <c r="D116" s="7"/>
      <c r="E116" s="6">
        <f t="shared" si="2"/>
        <v>0</v>
      </c>
      <c r="F116" s="6">
        <f t="shared" si="2"/>
        <v>0</v>
      </c>
      <c r="G116" s="62"/>
      <c r="H116" s="62"/>
      <c r="I116" s="60"/>
      <c r="J116" s="60"/>
      <c r="K116" s="64"/>
      <c r="L116" s="64"/>
      <c r="M116" s="25"/>
      <c r="N116" s="25"/>
    </row>
    <row r="117" spans="1:14">
      <c r="A117" s="8" t="s">
        <v>192</v>
      </c>
      <c r="B117" s="4" t="s">
        <v>193</v>
      </c>
      <c r="C117" s="7"/>
      <c r="D117" s="7">
        <f>F117-E117</f>
        <v>0</v>
      </c>
      <c r="E117" s="6">
        <f t="shared" si="2"/>
        <v>0</v>
      </c>
      <c r="F117" s="6">
        <f t="shared" si="2"/>
        <v>0</v>
      </c>
      <c r="G117" s="62"/>
      <c r="H117" s="62"/>
      <c r="I117" s="60"/>
      <c r="J117" s="60"/>
      <c r="K117" s="64"/>
      <c r="L117" s="64"/>
      <c r="M117" s="25"/>
      <c r="N117" s="25"/>
    </row>
    <row r="118" spans="1:14">
      <c r="A118" s="8" t="s">
        <v>194</v>
      </c>
      <c r="B118" s="4" t="s">
        <v>195</v>
      </c>
      <c r="C118" s="7">
        <f>E118-F118</f>
        <v>0</v>
      </c>
      <c r="D118" s="7"/>
      <c r="E118" s="6">
        <f t="shared" si="2"/>
        <v>0</v>
      </c>
      <c r="F118" s="6">
        <f t="shared" si="2"/>
        <v>0</v>
      </c>
      <c r="G118" s="62"/>
      <c r="H118" s="62"/>
      <c r="I118" s="60"/>
      <c r="J118" s="60"/>
      <c r="K118" s="64"/>
      <c r="L118" s="64"/>
      <c r="M118" s="25"/>
      <c r="N118" s="25"/>
    </row>
    <row r="119" spans="1:14" ht="28.5">
      <c r="A119" s="8" t="s">
        <v>196</v>
      </c>
      <c r="B119" s="4" t="s">
        <v>197</v>
      </c>
      <c r="C119" s="7"/>
      <c r="D119" s="7">
        <f>F119-E119</f>
        <v>0</v>
      </c>
      <c r="E119" s="6">
        <f t="shared" si="2"/>
        <v>0</v>
      </c>
      <c r="F119" s="6">
        <f t="shared" si="2"/>
        <v>0</v>
      </c>
      <c r="G119" s="62"/>
      <c r="H119" s="62"/>
      <c r="I119" s="60"/>
      <c r="J119" s="60"/>
      <c r="K119" s="64"/>
      <c r="L119" s="64"/>
      <c r="M119" s="25"/>
      <c r="N119" s="25"/>
    </row>
    <row r="120" spans="1:14">
      <c r="A120" s="8" t="s">
        <v>198</v>
      </c>
      <c r="B120" s="4" t="s">
        <v>199</v>
      </c>
      <c r="C120" s="7">
        <f>E120-F120</f>
        <v>0</v>
      </c>
      <c r="D120" s="7"/>
      <c r="E120" s="6">
        <f t="shared" si="2"/>
        <v>0</v>
      </c>
      <c r="F120" s="6">
        <f t="shared" si="2"/>
        <v>0</v>
      </c>
      <c r="G120" s="62"/>
      <c r="H120" s="62"/>
      <c r="I120" s="60"/>
      <c r="J120" s="60"/>
      <c r="K120" s="64"/>
      <c r="L120" s="64"/>
      <c r="M120" s="25"/>
      <c r="N120" s="25"/>
    </row>
    <row r="121" spans="1:14" ht="28.5">
      <c r="A121" s="8" t="s">
        <v>200</v>
      </c>
      <c r="B121" s="4" t="s">
        <v>201</v>
      </c>
      <c r="C121" s="7"/>
      <c r="D121" s="7">
        <f>F121-E121</f>
        <v>0</v>
      </c>
      <c r="E121" s="6">
        <f t="shared" si="2"/>
        <v>0</v>
      </c>
      <c r="F121" s="6">
        <f t="shared" si="2"/>
        <v>0</v>
      </c>
      <c r="G121" s="62"/>
      <c r="H121" s="62"/>
      <c r="I121" s="60"/>
      <c r="J121" s="60"/>
      <c r="K121" s="64"/>
      <c r="L121" s="64"/>
      <c r="M121" s="25"/>
      <c r="N121" s="25"/>
    </row>
    <row r="122" spans="1:14">
      <c r="A122" s="8" t="s">
        <v>202</v>
      </c>
      <c r="B122" s="4" t="s">
        <v>203</v>
      </c>
      <c r="C122" s="7">
        <f>E122-F122</f>
        <v>0</v>
      </c>
      <c r="D122" s="7"/>
      <c r="E122" s="6">
        <f t="shared" si="2"/>
        <v>0</v>
      </c>
      <c r="F122" s="6">
        <f t="shared" si="2"/>
        <v>0</v>
      </c>
      <c r="G122" s="62"/>
      <c r="H122" s="62"/>
      <c r="I122" s="60"/>
      <c r="J122" s="60"/>
      <c r="K122" s="64"/>
      <c r="L122" s="64"/>
      <c r="M122" s="25"/>
      <c r="N122" s="25"/>
    </row>
    <row r="123" spans="1:14" ht="28.5">
      <c r="A123" s="8" t="s">
        <v>204</v>
      </c>
      <c r="B123" s="4" t="s">
        <v>205</v>
      </c>
      <c r="C123" s="7"/>
      <c r="D123" s="7">
        <f>F123-E123</f>
        <v>0</v>
      </c>
      <c r="E123" s="6">
        <f t="shared" si="2"/>
        <v>0</v>
      </c>
      <c r="F123" s="6">
        <f t="shared" si="2"/>
        <v>0</v>
      </c>
      <c r="G123" s="62"/>
      <c r="H123" s="62"/>
      <c r="I123" s="60"/>
      <c r="J123" s="60"/>
      <c r="K123" s="64"/>
      <c r="L123" s="64"/>
      <c r="M123" s="25"/>
      <c r="N123" s="25"/>
    </row>
    <row r="124" spans="1:14">
      <c r="A124" s="8" t="s">
        <v>206</v>
      </c>
      <c r="B124" s="4" t="s">
        <v>207</v>
      </c>
      <c r="C124" s="7">
        <f>E124-F124</f>
        <v>0</v>
      </c>
      <c r="D124" s="7"/>
      <c r="E124" s="6">
        <f t="shared" si="2"/>
        <v>0</v>
      </c>
      <c r="F124" s="6">
        <f t="shared" si="2"/>
        <v>0</v>
      </c>
      <c r="G124" s="62"/>
      <c r="H124" s="62"/>
      <c r="I124" s="60"/>
      <c r="J124" s="60"/>
      <c r="K124" s="64"/>
      <c r="L124" s="64"/>
      <c r="M124" s="25"/>
      <c r="N124" s="25"/>
    </row>
    <row r="125" spans="1:14">
      <c r="A125" s="8" t="s">
        <v>208</v>
      </c>
      <c r="B125" s="4" t="s">
        <v>209</v>
      </c>
      <c r="C125" s="7"/>
      <c r="D125" s="7">
        <f>F125-E125</f>
        <v>0</v>
      </c>
      <c r="E125" s="6">
        <f t="shared" si="2"/>
        <v>0</v>
      </c>
      <c r="F125" s="6">
        <f t="shared" si="2"/>
        <v>0</v>
      </c>
      <c r="G125" s="62"/>
      <c r="H125" s="62"/>
      <c r="I125" s="60"/>
      <c r="J125" s="60"/>
      <c r="K125" s="64"/>
      <c r="L125" s="64"/>
      <c r="M125" s="25"/>
      <c r="N125" s="25"/>
    </row>
    <row r="126" spans="1:14">
      <c r="A126" s="8" t="s">
        <v>210</v>
      </c>
      <c r="B126" s="4" t="s">
        <v>211</v>
      </c>
      <c r="C126" s="7">
        <f>E126-F126</f>
        <v>0</v>
      </c>
      <c r="D126" s="7"/>
      <c r="E126" s="6">
        <f t="shared" si="2"/>
        <v>0</v>
      </c>
      <c r="F126" s="6">
        <f t="shared" si="2"/>
        <v>0</v>
      </c>
      <c r="G126" s="62"/>
      <c r="H126" s="62"/>
      <c r="I126" s="60"/>
      <c r="J126" s="60"/>
      <c r="K126" s="64"/>
      <c r="L126" s="64"/>
      <c r="M126" s="25"/>
      <c r="N126" s="25"/>
    </row>
    <row r="127" spans="1:14" ht="28.5">
      <c r="A127" s="8" t="s">
        <v>212</v>
      </c>
      <c r="B127" s="4" t="s">
        <v>213</v>
      </c>
      <c r="C127" s="7"/>
      <c r="D127" s="7">
        <f>F127-E127</f>
        <v>0</v>
      </c>
      <c r="E127" s="6">
        <f t="shared" si="2"/>
        <v>0</v>
      </c>
      <c r="F127" s="6">
        <f t="shared" si="2"/>
        <v>0</v>
      </c>
      <c r="G127" s="62"/>
      <c r="H127" s="62"/>
      <c r="I127" s="60"/>
      <c r="J127" s="60"/>
      <c r="K127" s="64"/>
      <c r="L127" s="64"/>
      <c r="M127" s="25"/>
      <c r="N127" s="25"/>
    </row>
    <row r="128" spans="1:14">
      <c r="A128" s="8" t="s">
        <v>214</v>
      </c>
      <c r="B128" s="4" t="s">
        <v>215</v>
      </c>
      <c r="C128" s="7">
        <f>E128-F128</f>
        <v>0</v>
      </c>
      <c r="D128" s="7"/>
      <c r="E128" s="6">
        <f t="shared" si="2"/>
        <v>0</v>
      </c>
      <c r="F128" s="6">
        <f t="shared" si="2"/>
        <v>0</v>
      </c>
      <c r="G128" s="62"/>
      <c r="H128" s="62"/>
      <c r="I128" s="60"/>
      <c r="J128" s="60"/>
      <c r="K128" s="64"/>
      <c r="L128" s="64"/>
      <c r="M128" s="25"/>
      <c r="N128" s="25"/>
    </row>
    <row r="129" spans="1:14" ht="28.5">
      <c r="A129" s="8" t="s">
        <v>216</v>
      </c>
      <c r="B129" s="4" t="s">
        <v>217</v>
      </c>
      <c r="C129" s="7"/>
      <c r="D129" s="7">
        <f>F129-E129</f>
        <v>0</v>
      </c>
      <c r="E129" s="6">
        <f t="shared" si="2"/>
        <v>0</v>
      </c>
      <c r="F129" s="6">
        <f t="shared" si="2"/>
        <v>0</v>
      </c>
      <c r="G129" s="62"/>
      <c r="H129" s="62"/>
      <c r="I129" s="60"/>
      <c r="J129" s="60"/>
      <c r="K129" s="64"/>
      <c r="L129" s="64"/>
      <c r="M129" s="25"/>
      <c r="N129" s="25"/>
    </row>
    <row r="130" spans="1:14">
      <c r="A130" s="8" t="s">
        <v>218</v>
      </c>
      <c r="B130" s="4" t="s">
        <v>219</v>
      </c>
      <c r="C130" s="7">
        <f>E130-F130</f>
        <v>0</v>
      </c>
      <c r="D130" s="7"/>
      <c r="E130" s="6">
        <f t="shared" si="2"/>
        <v>0</v>
      </c>
      <c r="F130" s="6">
        <f t="shared" si="2"/>
        <v>0</v>
      </c>
      <c r="G130" s="62"/>
      <c r="H130" s="62"/>
      <c r="I130" s="60"/>
      <c r="J130" s="60"/>
      <c r="K130" s="64"/>
      <c r="L130" s="64"/>
      <c r="M130" s="25"/>
      <c r="N130" s="25"/>
    </row>
    <row r="131" spans="1:14">
      <c r="A131" s="8" t="s">
        <v>220</v>
      </c>
      <c r="B131" s="4" t="s">
        <v>221</v>
      </c>
      <c r="C131" s="7"/>
      <c r="D131" s="7">
        <f>F131-E131</f>
        <v>0</v>
      </c>
      <c r="E131" s="6">
        <f t="shared" si="2"/>
        <v>0</v>
      </c>
      <c r="F131" s="6">
        <f t="shared" si="2"/>
        <v>0</v>
      </c>
      <c r="G131" s="62"/>
      <c r="H131" s="62"/>
      <c r="I131" s="60"/>
      <c r="J131" s="60"/>
      <c r="K131" s="64"/>
      <c r="L131" s="64"/>
      <c r="M131" s="25"/>
      <c r="N131" s="25"/>
    </row>
    <row r="132" spans="1:14">
      <c r="A132" s="8" t="s">
        <v>222</v>
      </c>
      <c r="B132" s="4" t="s">
        <v>223</v>
      </c>
      <c r="C132" s="7">
        <f>E132-F132</f>
        <v>0</v>
      </c>
      <c r="D132" s="7"/>
      <c r="E132" s="6">
        <f t="shared" si="2"/>
        <v>0</v>
      </c>
      <c r="F132" s="6">
        <f t="shared" si="2"/>
        <v>0</v>
      </c>
      <c r="G132" s="62"/>
      <c r="H132" s="62"/>
      <c r="I132" s="60"/>
      <c r="J132" s="60"/>
      <c r="K132" s="64"/>
      <c r="L132" s="64"/>
      <c r="M132" s="25"/>
      <c r="N132" s="25"/>
    </row>
    <row r="133" spans="1:14" ht="28.5">
      <c r="A133" s="8" t="s">
        <v>224</v>
      </c>
      <c r="B133" s="4" t="s">
        <v>225</v>
      </c>
      <c r="C133" s="7"/>
      <c r="D133" s="7">
        <f>F133-E133</f>
        <v>0</v>
      </c>
      <c r="E133" s="6">
        <f t="shared" si="2"/>
        <v>0</v>
      </c>
      <c r="F133" s="6">
        <f t="shared" si="2"/>
        <v>0</v>
      </c>
      <c r="G133" s="62"/>
      <c r="H133" s="62"/>
      <c r="I133" s="60"/>
      <c r="J133" s="60"/>
      <c r="K133" s="64"/>
      <c r="L133" s="64"/>
      <c r="M133" s="25"/>
      <c r="N133" s="25"/>
    </row>
    <row r="134" spans="1:14">
      <c r="A134" s="8" t="s">
        <v>226</v>
      </c>
      <c r="B134" s="4" t="s">
        <v>227</v>
      </c>
      <c r="C134" s="7">
        <f>E134-F134</f>
        <v>0</v>
      </c>
      <c r="D134" s="7"/>
      <c r="E134" s="6">
        <f t="shared" si="2"/>
        <v>0</v>
      </c>
      <c r="F134" s="6">
        <f t="shared" si="2"/>
        <v>0</v>
      </c>
      <c r="G134" s="62"/>
      <c r="H134" s="62"/>
      <c r="I134" s="60"/>
      <c r="J134" s="60"/>
      <c r="K134" s="64"/>
      <c r="L134" s="64"/>
      <c r="M134" s="25"/>
      <c r="N134" s="25"/>
    </row>
    <row r="135" spans="1:14" ht="28.5">
      <c r="A135" s="8" t="s">
        <v>228</v>
      </c>
      <c r="B135" s="4" t="s">
        <v>229</v>
      </c>
      <c r="C135" s="7"/>
      <c r="D135" s="7">
        <f>F135-E135</f>
        <v>0</v>
      </c>
      <c r="E135" s="6">
        <f t="shared" si="2"/>
        <v>0</v>
      </c>
      <c r="F135" s="6">
        <f t="shared" si="2"/>
        <v>0</v>
      </c>
      <c r="G135" s="62"/>
      <c r="H135" s="62"/>
      <c r="I135" s="60"/>
      <c r="J135" s="60"/>
      <c r="K135" s="64"/>
      <c r="L135" s="64"/>
      <c r="M135" s="25"/>
      <c r="N135" s="25"/>
    </row>
    <row r="136" spans="1:14">
      <c r="A136" s="8" t="s">
        <v>230</v>
      </c>
      <c r="B136" s="4" t="s">
        <v>231</v>
      </c>
      <c r="C136" s="7">
        <f>E136-F136</f>
        <v>0</v>
      </c>
      <c r="D136" s="7"/>
      <c r="E136" s="6">
        <f t="shared" si="2"/>
        <v>0</v>
      </c>
      <c r="F136" s="6">
        <f t="shared" si="2"/>
        <v>0</v>
      </c>
      <c r="G136" s="62"/>
      <c r="H136" s="62"/>
      <c r="I136" s="60"/>
      <c r="J136" s="60"/>
      <c r="K136" s="64"/>
      <c r="L136" s="64"/>
      <c r="M136" s="25"/>
      <c r="N136" s="25"/>
    </row>
    <row r="137" spans="1:14">
      <c r="A137" s="8" t="s">
        <v>232</v>
      </c>
      <c r="B137" s="4" t="s">
        <v>233</v>
      </c>
      <c r="C137" s="7"/>
      <c r="D137" s="7">
        <f>F137-E137</f>
        <v>0</v>
      </c>
      <c r="E137" s="6">
        <f t="shared" si="2"/>
        <v>0</v>
      </c>
      <c r="F137" s="6">
        <f t="shared" si="2"/>
        <v>0</v>
      </c>
      <c r="G137" s="62"/>
      <c r="H137" s="62"/>
      <c r="I137" s="60"/>
      <c r="J137" s="60"/>
      <c r="K137" s="64"/>
      <c r="L137" s="64"/>
      <c r="M137" s="25"/>
      <c r="N137" s="25"/>
    </row>
    <row r="138" spans="1:14">
      <c r="A138" s="8" t="s">
        <v>234</v>
      </c>
      <c r="B138" s="4" t="s">
        <v>235</v>
      </c>
      <c r="C138" s="7">
        <f>E138-F138</f>
        <v>0</v>
      </c>
      <c r="D138" s="7"/>
      <c r="E138" s="6">
        <f t="shared" si="2"/>
        <v>0</v>
      </c>
      <c r="F138" s="6">
        <f t="shared" si="2"/>
        <v>0</v>
      </c>
      <c r="G138" s="62"/>
      <c r="H138" s="62"/>
      <c r="I138" s="60"/>
      <c r="J138" s="60"/>
      <c r="K138" s="64"/>
      <c r="L138" s="64"/>
      <c r="M138" s="25"/>
      <c r="N138" s="25"/>
    </row>
    <row r="139" spans="1:14">
      <c r="A139" s="8" t="s">
        <v>236</v>
      </c>
      <c r="B139" s="4" t="s">
        <v>237</v>
      </c>
      <c r="C139" s="7"/>
      <c r="D139" s="7">
        <f>F139-E139</f>
        <v>0</v>
      </c>
      <c r="E139" s="6">
        <f t="shared" si="2"/>
        <v>0</v>
      </c>
      <c r="F139" s="6">
        <f t="shared" si="2"/>
        <v>0</v>
      </c>
      <c r="G139" s="62"/>
      <c r="H139" s="62"/>
      <c r="I139" s="60"/>
      <c r="J139" s="60"/>
      <c r="K139" s="64"/>
      <c r="L139" s="64"/>
      <c r="M139" s="25"/>
      <c r="N139" s="25"/>
    </row>
    <row r="140" spans="1:14">
      <c r="A140" s="8" t="s">
        <v>238</v>
      </c>
      <c r="B140" s="4" t="s">
        <v>239</v>
      </c>
      <c r="C140" s="7">
        <f>E140-F140</f>
        <v>0</v>
      </c>
      <c r="D140" s="7"/>
      <c r="E140" s="6">
        <f t="shared" si="2"/>
        <v>0</v>
      </c>
      <c r="F140" s="6">
        <f t="shared" si="2"/>
        <v>0</v>
      </c>
      <c r="G140" s="62"/>
      <c r="H140" s="62"/>
      <c r="I140" s="60"/>
      <c r="J140" s="60"/>
      <c r="K140" s="64"/>
      <c r="L140" s="64"/>
      <c r="M140" s="25"/>
      <c r="N140" s="25"/>
    </row>
    <row r="141" spans="1:14" ht="28.5">
      <c r="A141" s="8" t="s">
        <v>240</v>
      </c>
      <c r="B141" s="4" t="s">
        <v>241</v>
      </c>
      <c r="C141" s="7"/>
      <c r="D141" s="7">
        <f>F141-E141</f>
        <v>0</v>
      </c>
      <c r="E141" s="6">
        <f t="shared" si="2"/>
        <v>0</v>
      </c>
      <c r="F141" s="6">
        <f t="shared" si="2"/>
        <v>0</v>
      </c>
      <c r="G141" s="62"/>
      <c r="H141" s="62"/>
      <c r="I141" s="60"/>
      <c r="J141" s="60"/>
      <c r="K141" s="64"/>
      <c r="L141" s="64"/>
      <c r="M141" s="25"/>
      <c r="N141" s="25"/>
    </row>
    <row r="142" spans="1:14">
      <c r="A142" s="8" t="s">
        <v>242</v>
      </c>
      <c r="B142" s="4" t="s">
        <v>243</v>
      </c>
      <c r="C142" s="7">
        <f>E142-F142</f>
        <v>0</v>
      </c>
      <c r="D142" s="7"/>
      <c r="E142" s="6">
        <f t="shared" ref="E142:F205" si="3">SUM(G142,I142,K142,M142)</f>
        <v>0</v>
      </c>
      <c r="F142" s="6">
        <f t="shared" si="3"/>
        <v>0</v>
      </c>
      <c r="G142" s="62"/>
      <c r="H142" s="62"/>
      <c r="I142" s="60"/>
      <c r="J142" s="60"/>
      <c r="K142" s="64"/>
      <c r="L142" s="64"/>
      <c r="M142" s="25"/>
      <c r="N142" s="25"/>
    </row>
    <row r="143" spans="1:14">
      <c r="A143" s="8" t="s">
        <v>244</v>
      </c>
      <c r="B143" s="4" t="s">
        <v>245</v>
      </c>
      <c r="C143" s="7"/>
      <c r="D143" s="7">
        <f>F143-E143</f>
        <v>0</v>
      </c>
      <c r="E143" s="6">
        <f t="shared" si="3"/>
        <v>0</v>
      </c>
      <c r="F143" s="6">
        <f t="shared" si="3"/>
        <v>0</v>
      </c>
      <c r="G143" s="62"/>
      <c r="H143" s="62"/>
      <c r="I143" s="60"/>
      <c r="J143" s="60"/>
      <c r="K143" s="64"/>
      <c r="L143" s="64"/>
      <c r="M143" s="25"/>
      <c r="N143" s="25"/>
    </row>
    <row r="144" spans="1:14">
      <c r="A144" s="8" t="s">
        <v>246</v>
      </c>
      <c r="B144" s="4" t="s">
        <v>247</v>
      </c>
      <c r="C144" s="7">
        <f>E144-F144</f>
        <v>0</v>
      </c>
      <c r="D144" s="7"/>
      <c r="E144" s="6">
        <f t="shared" si="3"/>
        <v>0</v>
      </c>
      <c r="F144" s="6">
        <f t="shared" si="3"/>
        <v>0</v>
      </c>
      <c r="G144" s="62"/>
      <c r="H144" s="62"/>
      <c r="I144" s="60"/>
      <c r="J144" s="60"/>
      <c r="K144" s="64"/>
      <c r="L144" s="64"/>
      <c r="M144" s="25"/>
      <c r="N144" s="25"/>
    </row>
    <row r="145" spans="1:14" ht="28.5">
      <c r="A145" s="8" t="s">
        <v>248</v>
      </c>
      <c r="B145" s="4" t="s">
        <v>249</v>
      </c>
      <c r="C145" s="7"/>
      <c r="D145" s="7">
        <f>F145-E145</f>
        <v>0</v>
      </c>
      <c r="E145" s="6">
        <f t="shared" si="3"/>
        <v>0</v>
      </c>
      <c r="F145" s="6">
        <f t="shared" si="3"/>
        <v>0</v>
      </c>
      <c r="G145" s="62"/>
      <c r="H145" s="62"/>
      <c r="I145" s="60"/>
      <c r="J145" s="60"/>
      <c r="K145" s="64"/>
      <c r="L145" s="64"/>
      <c r="M145" s="25"/>
      <c r="N145" s="25"/>
    </row>
    <row r="146" spans="1:14">
      <c r="A146" s="8" t="s">
        <v>250</v>
      </c>
      <c r="B146" s="4" t="s">
        <v>251</v>
      </c>
      <c r="C146" s="7">
        <f>E146-F146</f>
        <v>0</v>
      </c>
      <c r="D146" s="7"/>
      <c r="E146" s="6">
        <f t="shared" si="3"/>
        <v>0</v>
      </c>
      <c r="F146" s="6">
        <f t="shared" si="3"/>
        <v>0</v>
      </c>
      <c r="G146" s="62"/>
      <c r="H146" s="62"/>
      <c r="I146" s="60"/>
      <c r="J146" s="60"/>
      <c r="K146" s="64"/>
      <c r="L146" s="64"/>
      <c r="M146" s="25"/>
      <c r="N146" s="25"/>
    </row>
    <row r="147" spans="1:14" ht="28.5">
      <c r="A147" s="8" t="s">
        <v>252</v>
      </c>
      <c r="B147" s="4" t="s">
        <v>253</v>
      </c>
      <c r="C147" s="7"/>
      <c r="D147" s="7">
        <f>F147-E147</f>
        <v>0</v>
      </c>
      <c r="E147" s="6">
        <f t="shared" si="3"/>
        <v>0</v>
      </c>
      <c r="F147" s="6">
        <f t="shared" si="3"/>
        <v>0</v>
      </c>
      <c r="G147" s="62"/>
      <c r="H147" s="62"/>
      <c r="I147" s="60"/>
      <c r="J147" s="60"/>
      <c r="K147" s="64"/>
      <c r="L147" s="64"/>
      <c r="M147" s="25"/>
      <c r="N147" s="25"/>
    </row>
    <row r="148" spans="1:14">
      <c r="A148" s="8" t="s">
        <v>254</v>
      </c>
      <c r="B148" s="4" t="s">
        <v>255</v>
      </c>
      <c r="C148" s="7">
        <f t="shared" ref="C148:C173" si="4">E148-F148</f>
        <v>0</v>
      </c>
      <c r="D148" s="7"/>
      <c r="E148" s="6">
        <f t="shared" si="3"/>
        <v>0</v>
      </c>
      <c r="F148" s="6">
        <f t="shared" si="3"/>
        <v>0</v>
      </c>
      <c r="G148" s="62"/>
      <c r="H148" s="62"/>
      <c r="I148" s="60"/>
      <c r="J148" s="60"/>
      <c r="K148" s="64"/>
      <c r="L148" s="64"/>
      <c r="M148" s="25"/>
      <c r="N148" s="25"/>
    </row>
    <row r="149" spans="1:14">
      <c r="A149" s="8" t="s">
        <v>256</v>
      </c>
      <c r="B149" s="4" t="s">
        <v>257</v>
      </c>
      <c r="C149" s="7">
        <f t="shared" si="4"/>
        <v>0</v>
      </c>
      <c r="D149" s="7"/>
      <c r="E149" s="6">
        <f t="shared" si="3"/>
        <v>0</v>
      </c>
      <c r="F149" s="6">
        <f t="shared" si="3"/>
        <v>0</v>
      </c>
      <c r="G149" s="62"/>
      <c r="H149" s="62"/>
      <c r="I149" s="60"/>
      <c r="J149" s="60"/>
      <c r="K149" s="64"/>
      <c r="L149" s="64"/>
      <c r="M149" s="25"/>
      <c r="N149" s="25"/>
    </row>
    <row r="150" spans="1:14">
      <c r="A150" s="8" t="s">
        <v>258</v>
      </c>
      <c r="B150" s="4" t="s">
        <v>259</v>
      </c>
      <c r="C150" s="7">
        <f t="shared" si="4"/>
        <v>0</v>
      </c>
      <c r="D150" s="7"/>
      <c r="E150" s="6">
        <f t="shared" si="3"/>
        <v>0</v>
      </c>
      <c r="F150" s="6">
        <f t="shared" si="3"/>
        <v>0</v>
      </c>
      <c r="G150" s="62"/>
      <c r="H150" s="62"/>
      <c r="I150" s="60"/>
      <c r="J150" s="60"/>
      <c r="K150" s="64"/>
      <c r="L150" s="64"/>
      <c r="M150" s="25"/>
      <c r="N150" s="25"/>
    </row>
    <row r="151" spans="1:14" ht="28.5">
      <c r="A151" s="8" t="s">
        <v>260</v>
      </c>
      <c r="B151" s="4" t="s">
        <v>261</v>
      </c>
      <c r="C151" s="7">
        <f t="shared" si="4"/>
        <v>0</v>
      </c>
      <c r="D151" s="7"/>
      <c r="E151" s="6">
        <f t="shared" si="3"/>
        <v>0</v>
      </c>
      <c r="F151" s="6">
        <f t="shared" si="3"/>
        <v>0</v>
      </c>
      <c r="G151" s="62"/>
      <c r="H151" s="62"/>
      <c r="I151" s="60"/>
      <c r="J151" s="60"/>
      <c r="K151" s="64"/>
      <c r="L151" s="64"/>
      <c r="M151" s="25"/>
      <c r="N151" s="25"/>
    </row>
    <row r="152" spans="1:14">
      <c r="A152" s="8" t="s">
        <v>262</v>
      </c>
      <c r="B152" s="4" t="s">
        <v>263</v>
      </c>
      <c r="C152" s="7">
        <f t="shared" si="4"/>
        <v>0</v>
      </c>
      <c r="D152" s="7"/>
      <c r="E152" s="6">
        <f t="shared" si="3"/>
        <v>0</v>
      </c>
      <c r="F152" s="6">
        <f t="shared" si="3"/>
        <v>0</v>
      </c>
      <c r="G152" s="62"/>
      <c r="H152" s="62"/>
      <c r="I152" s="60"/>
      <c r="J152" s="60"/>
      <c r="K152" s="64"/>
      <c r="L152" s="64"/>
      <c r="M152" s="25"/>
      <c r="N152" s="25"/>
    </row>
    <row r="153" spans="1:14">
      <c r="A153" s="8" t="s">
        <v>264</v>
      </c>
      <c r="B153" s="4" t="s">
        <v>265</v>
      </c>
      <c r="C153" s="7">
        <f t="shared" si="4"/>
        <v>0</v>
      </c>
      <c r="D153" s="7"/>
      <c r="E153" s="6">
        <f t="shared" si="3"/>
        <v>0</v>
      </c>
      <c r="F153" s="6">
        <f t="shared" si="3"/>
        <v>0</v>
      </c>
      <c r="G153" s="62"/>
      <c r="H153" s="62"/>
      <c r="I153" s="60"/>
      <c r="J153" s="60"/>
      <c r="K153" s="64"/>
      <c r="L153" s="64"/>
      <c r="M153" s="25"/>
      <c r="N153" s="25"/>
    </row>
    <row r="154" spans="1:14" ht="28.5">
      <c r="A154" s="8" t="s">
        <v>266</v>
      </c>
      <c r="B154" s="4" t="s">
        <v>267</v>
      </c>
      <c r="C154" s="7">
        <f t="shared" si="4"/>
        <v>0</v>
      </c>
      <c r="D154" s="7"/>
      <c r="E154" s="6">
        <f t="shared" si="3"/>
        <v>0</v>
      </c>
      <c r="F154" s="6">
        <f t="shared" si="3"/>
        <v>0</v>
      </c>
      <c r="G154" s="62"/>
      <c r="H154" s="62"/>
      <c r="I154" s="60"/>
      <c r="J154" s="60"/>
      <c r="K154" s="64"/>
      <c r="L154" s="64"/>
      <c r="M154" s="25"/>
      <c r="N154" s="25"/>
    </row>
    <row r="155" spans="1:14">
      <c r="A155" s="8" t="s">
        <v>268</v>
      </c>
      <c r="B155" s="4" t="s">
        <v>269</v>
      </c>
      <c r="C155" s="7">
        <f t="shared" si="4"/>
        <v>0</v>
      </c>
      <c r="D155" s="7"/>
      <c r="E155" s="6">
        <f t="shared" si="3"/>
        <v>0</v>
      </c>
      <c r="F155" s="6">
        <f t="shared" si="3"/>
        <v>0</v>
      </c>
      <c r="G155" s="62"/>
      <c r="H155" s="62"/>
      <c r="I155" s="60"/>
      <c r="J155" s="60"/>
      <c r="K155" s="64"/>
      <c r="L155" s="64"/>
      <c r="M155" s="25"/>
      <c r="N155" s="25"/>
    </row>
    <row r="156" spans="1:14">
      <c r="A156" s="8" t="s">
        <v>270</v>
      </c>
      <c r="B156" s="4" t="s">
        <v>271</v>
      </c>
      <c r="C156" s="7">
        <f t="shared" si="4"/>
        <v>0</v>
      </c>
      <c r="D156" s="7"/>
      <c r="E156" s="6">
        <f t="shared" si="3"/>
        <v>0</v>
      </c>
      <c r="F156" s="6">
        <f t="shared" si="3"/>
        <v>0</v>
      </c>
      <c r="G156" s="62"/>
      <c r="H156" s="62"/>
      <c r="I156" s="60"/>
      <c r="J156" s="60"/>
      <c r="K156" s="64"/>
      <c r="L156" s="64"/>
      <c r="M156" s="25"/>
      <c r="N156" s="25"/>
    </row>
    <row r="157" spans="1:14">
      <c r="A157" s="8" t="s">
        <v>272</v>
      </c>
      <c r="B157" s="4" t="s">
        <v>273</v>
      </c>
      <c r="C157" s="7">
        <f t="shared" si="4"/>
        <v>0</v>
      </c>
      <c r="D157" s="7"/>
      <c r="E157" s="6">
        <f t="shared" si="3"/>
        <v>0</v>
      </c>
      <c r="F157" s="6">
        <f t="shared" si="3"/>
        <v>0</v>
      </c>
      <c r="G157" s="62"/>
      <c r="H157" s="62"/>
      <c r="I157" s="60"/>
      <c r="J157" s="60"/>
      <c r="K157" s="64"/>
      <c r="L157" s="64"/>
      <c r="M157" s="25"/>
      <c r="N157" s="25"/>
    </row>
    <row r="158" spans="1:14">
      <c r="A158" s="8" t="s">
        <v>274</v>
      </c>
      <c r="B158" s="4" t="s">
        <v>275</v>
      </c>
      <c r="C158" s="7">
        <f t="shared" si="4"/>
        <v>0</v>
      </c>
      <c r="D158" s="7"/>
      <c r="E158" s="6">
        <f t="shared" si="3"/>
        <v>0</v>
      </c>
      <c r="F158" s="6">
        <f t="shared" si="3"/>
        <v>0</v>
      </c>
      <c r="G158" s="62"/>
      <c r="H158" s="62"/>
      <c r="I158" s="60"/>
      <c r="J158" s="60"/>
      <c r="K158" s="64"/>
      <c r="L158" s="64"/>
      <c r="M158" s="25"/>
      <c r="N158" s="25"/>
    </row>
    <row r="159" spans="1:14" ht="28.5">
      <c r="A159" s="8" t="s">
        <v>276</v>
      </c>
      <c r="B159" s="4" t="s">
        <v>277</v>
      </c>
      <c r="C159" s="7">
        <f t="shared" si="4"/>
        <v>0</v>
      </c>
      <c r="D159" s="7"/>
      <c r="E159" s="6">
        <f t="shared" si="3"/>
        <v>0</v>
      </c>
      <c r="F159" s="6">
        <f t="shared" si="3"/>
        <v>0</v>
      </c>
      <c r="G159" s="62"/>
      <c r="H159" s="62"/>
      <c r="I159" s="60"/>
      <c r="J159" s="60"/>
      <c r="K159" s="64"/>
      <c r="L159" s="64"/>
      <c r="M159" s="25"/>
      <c r="N159" s="25"/>
    </row>
    <row r="160" spans="1:14" ht="28.5">
      <c r="A160" s="8" t="s">
        <v>278</v>
      </c>
      <c r="B160" s="4" t="s">
        <v>279</v>
      </c>
      <c r="C160" s="7">
        <f t="shared" si="4"/>
        <v>0</v>
      </c>
      <c r="D160" s="7"/>
      <c r="E160" s="6">
        <f t="shared" si="3"/>
        <v>0</v>
      </c>
      <c r="F160" s="6">
        <f t="shared" si="3"/>
        <v>0</v>
      </c>
      <c r="G160" s="62"/>
      <c r="H160" s="62"/>
      <c r="I160" s="60"/>
      <c r="J160" s="60"/>
      <c r="K160" s="64"/>
      <c r="L160" s="64"/>
      <c r="M160" s="25"/>
      <c r="N160" s="25"/>
    </row>
    <row r="161" spans="1:14" ht="28.5">
      <c r="A161" s="8" t="s">
        <v>280</v>
      </c>
      <c r="B161" s="4" t="s">
        <v>281</v>
      </c>
      <c r="C161" s="7">
        <f t="shared" si="4"/>
        <v>0</v>
      </c>
      <c r="D161" s="7"/>
      <c r="E161" s="6">
        <f t="shared" si="3"/>
        <v>0</v>
      </c>
      <c r="F161" s="6">
        <f t="shared" si="3"/>
        <v>0</v>
      </c>
      <c r="G161" s="62"/>
      <c r="H161" s="62"/>
      <c r="I161" s="60"/>
      <c r="J161" s="60"/>
      <c r="K161" s="64"/>
      <c r="L161" s="64"/>
      <c r="M161" s="25"/>
      <c r="N161" s="25"/>
    </row>
    <row r="162" spans="1:14" ht="28.5">
      <c r="A162" s="8" t="s">
        <v>282</v>
      </c>
      <c r="B162" s="4" t="s">
        <v>283</v>
      </c>
      <c r="C162" s="7">
        <f t="shared" si="4"/>
        <v>0</v>
      </c>
      <c r="D162" s="7"/>
      <c r="E162" s="6">
        <f t="shared" si="3"/>
        <v>0</v>
      </c>
      <c r="F162" s="6">
        <f t="shared" si="3"/>
        <v>0</v>
      </c>
      <c r="G162" s="62"/>
      <c r="H162" s="62"/>
      <c r="I162" s="60"/>
      <c r="J162" s="60"/>
      <c r="K162" s="64"/>
      <c r="L162" s="64"/>
      <c r="M162" s="25"/>
      <c r="N162" s="25"/>
    </row>
    <row r="163" spans="1:14" ht="28.5">
      <c r="A163" s="8" t="s">
        <v>284</v>
      </c>
      <c r="B163" s="4" t="s">
        <v>285</v>
      </c>
      <c r="C163" s="7">
        <f t="shared" si="4"/>
        <v>0</v>
      </c>
      <c r="D163" s="7"/>
      <c r="E163" s="6">
        <f t="shared" si="3"/>
        <v>0</v>
      </c>
      <c r="F163" s="6">
        <f t="shared" si="3"/>
        <v>0</v>
      </c>
      <c r="G163" s="62"/>
      <c r="H163" s="62"/>
      <c r="I163" s="60"/>
      <c r="J163" s="60"/>
      <c r="K163" s="64"/>
      <c r="L163" s="64"/>
      <c r="M163" s="25"/>
      <c r="N163" s="25"/>
    </row>
    <row r="164" spans="1:14">
      <c r="A164" s="8" t="s">
        <v>286</v>
      </c>
      <c r="B164" s="4" t="s">
        <v>287</v>
      </c>
      <c r="C164" s="7">
        <f t="shared" si="4"/>
        <v>0</v>
      </c>
      <c r="D164" s="7"/>
      <c r="E164" s="6">
        <f t="shared" si="3"/>
        <v>0</v>
      </c>
      <c r="F164" s="6">
        <f t="shared" si="3"/>
        <v>0</v>
      </c>
      <c r="G164" s="62"/>
      <c r="H164" s="62"/>
      <c r="I164" s="60"/>
      <c r="J164" s="60"/>
      <c r="K164" s="64"/>
      <c r="L164" s="64"/>
      <c r="M164" s="25"/>
      <c r="N164" s="25"/>
    </row>
    <row r="165" spans="1:14" ht="28.5">
      <c r="A165" s="8" t="s">
        <v>288</v>
      </c>
      <c r="B165" s="4" t="s">
        <v>289</v>
      </c>
      <c r="C165" s="7">
        <f t="shared" si="4"/>
        <v>0</v>
      </c>
      <c r="D165" s="7"/>
      <c r="E165" s="6">
        <f t="shared" si="3"/>
        <v>0</v>
      </c>
      <c r="F165" s="6">
        <f t="shared" si="3"/>
        <v>0</v>
      </c>
      <c r="G165" s="62"/>
      <c r="H165" s="62"/>
      <c r="I165" s="60"/>
      <c r="J165" s="60"/>
      <c r="K165" s="64"/>
      <c r="L165" s="64"/>
      <c r="M165" s="25"/>
      <c r="N165" s="25"/>
    </row>
    <row r="166" spans="1:14" ht="28.5">
      <c r="A166" s="8" t="s">
        <v>290</v>
      </c>
      <c r="B166" s="4" t="s">
        <v>291</v>
      </c>
      <c r="C166" s="7">
        <f t="shared" si="4"/>
        <v>0</v>
      </c>
      <c r="D166" s="7"/>
      <c r="E166" s="6">
        <f t="shared" si="3"/>
        <v>0</v>
      </c>
      <c r="F166" s="6">
        <f t="shared" si="3"/>
        <v>0</v>
      </c>
      <c r="G166" s="62"/>
      <c r="H166" s="62"/>
      <c r="I166" s="60"/>
      <c r="J166" s="60"/>
      <c r="K166" s="64"/>
      <c r="L166" s="64"/>
      <c r="M166" s="25"/>
      <c r="N166" s="25"/>
    </row>
    <row r="167" spans="1:14">
      <c r="A167" s="3" t="s">
        <v>292</v>
      </c>
      <c r="B167" s="4" t="s">
        <v>293</v>
      </c>
      <c r="C167" s="7">
        <f t="shared" si="4"/>
        <v>0</v>
      </c>
      <c r="D167" s="7"/>
      <c r="E167" s="6">
        <f t="shared" si="3"/>
        <v>0</v>
      </c>
      <c r="F167" s="6">
        <f t="shared" si="3"/>
        <v>0</v>
      </c>
      <c r="G167" s="62"/>
      <c r="H167" s="62"/>
      <c r="I167" s="60"/>
      <c r="J167" s="60"/>
      <c r="K167" s="64"/>
      <c r="L167" s="64"/>
      <c r="M167" s="25"/>
      <c r="N167" s="25"/>
    </row>
    <row r="168" spans="1:14">
      <c r="A168" s="3" t="s">
        <v>294</v>
      </c>
      <c r="B168" s="4" t="s">
        <v>295</v>
      </c>
      <c r="C168" s="7">
        <f t="shared" si="4"/>
        <v>0</v>
      </c>
      <c r="D168" s="7"/>
      <c r="E168" s="6">
        <f t="shared" si="3"/>
        <v>0</v>
      </c>
      <c r="F168" s="6">
        <f t="shared" si="3"/>
        <v>0</v>
      </c>
      <c r="G168" s="62"/>
      <c r="H168" s="62"/>
      <c r="I168" s="60"/>
      <c r="J168" s="60"/>
      <c r="K168" s="64"/>
      <c r="L168" s="64"/>
      <c r="M168" s="25"/>
      <c r="N168" s="25"/>
    </row>
    <row r="169" spans="1:14">
      <c r="A169" s="3" t="s">
        <v>296</v>
      </c>
      <c r="B169" s="10" t="s">
        <v>297</v>
      </c>
      <c r="C169" s="7">
        <f t="shared" si="4"/>
        <v>0</v>
      </c>
      <c r="D169" s="7"/>
      <c r="E169" s="6">
        <f t="shared" si="3"/>
        <v>0</v>
      </c>
      <c r="F169" s="6">
        <f t="shared" si="3"/>
        <v>0</v>
      </c>
      <c r="G169" s="62"/>
      <c r="H169" s="62"/>
      <c r="I169" s="60"/>
      <c r="J169" s="60"/>
      <c r="K169" s="64"/>
      <c r="L169" s="64"/>
      <c r="M169" s="25"/>
      <c r="N169" s="25"/>
    </row>
    <row r="170" spans="1:14">
      <c r="A170" s="3" t="s">
        <v>298</v>
      </c>
      <c r="B170" s="10" t="s">
        <v>299</v>
      </c>
      <c r="C170" s="7">
        <f t="shared" si="4"/>
        <v>0</v>
      </c>
      <c r="D170" s="7"/>
      <c r="E170" s="6">
        <f t="shared" si="3"/>
        <v>0</v>
      </c>
      <c r="F170" s="6">
        <f t="shared" si="3"/>
        <v>0</v>
      </c>
      <c r="G170" s="62"/>
      <c r="H170" s="62"/>
      <c r="I170" s="60"/>
      <c r="J170" s="60"/>
      <c r="K170" s="64"/>
      <c r="L170" s="64"/>
      <c r="M170" s="25"/>
      <c r="N170" s="25"/>
    </row>
    <row r="171" spans="1:14">
      <c r="A171" s="3" t="s">
        <v>300</v>
      </c>
      <c r="B171" s="10" t="s">
        <v>301</v>
      </c>
      <c r="C171" s="7">
        <f t="shared" si="4"/>
        <v>0</v>
      </c>
      <c r="D171" s="7"/>
      <c r="E171" s="6">
        <f t="shared" si="3"/>
        <v>0</v>
      </c>
      <c r="F171" s="6">
        <f t="shared" si="3"/>
        <v>0</v>
      </c>
      <c r="G171" s="62"/>
      <c r="H171" s="62"/>
      <c r="I171" s="60"/>
      <c r="J171" s="60"/>
      <c r="K171" s="64"/>
      <c r="L171" s="64"/>
      <c r="M171" s="25"/>
      <c r="N171" s="25"/>
    </row>
    <row r="172" spans="1:14">
      <c r="A172" s="3" t="s">
        <v>302</v>
      </c>
      <c r="B172" s="10" t="s">
        <v>303</v>
      </c>
      <c r="C172" s="7">
        <f t="shared" si="4"/>
        <v>0</v>
      </c>
      <c r="D172" s="7"/>
      <c r="E172" s="6">
        <f t="shared" si="3"/>
        <v>0</v>
      </c>
      <c r="F172" s="6">
        <f t="shared" si="3"/>
        <v>0</v>
      </c>
      <c r="G172" s="62"/>
      <c r="H172" s="62"/>
      <c r="I172" s="60"/>
      <c r="J172" s="60"/>
      <c r="K172" s="64"/>
      <c r="L172" s="64"/>
      <c r="M172" s="25"/>
      <c r="N172" s="25"/>
    </row>
    <row r="173" spans="1:14">
      <c r="A173" s="3" t="s">
        <v>304</v>
      </c>
      <c r="B173" s="10" t="s">
        <v>305</v>
      </c>
      <c r="C173" s="7">
        <f t="shared" si="4"/>
        <v>0</v>
      </c>
      <c r="D173" s="7"/>
      <c r="E173" s="6">
        <f t="shared" si="3"/>
        <v>0</v>
      </c>
      <c r="F173" s="6">
        <f t="shared" si="3"/>
        <v>0</v>
      </c>
      <c r="G173" s="62"/>
      <c r="H173" s="62"/>
      <c r="I173" s="60"/>
      <c r="J173" s="60"/>
      <c r="K173" s="64"/>
      <c r="L173" s="64"/>
      <c r="M173" s="25"/>
      <c r="N173" s="25"/>
    </row>
    <row r="174" spans="1:14">
      <c r="A174" s="3" t="s">
        <v>306</v>
      </c>
      <c r="B174" s="10" t="s">
        <v>307</v>
      </c>
      <c r="C174" s="7"/>
      <c r="D174" s="7">
        <f t="shared" ref="D174:D237" si="5">F174-E174</f>
        <v>0</v>
      </c>
      <c r="E174" s="6">
        <f t="shared" si="3"/>
        <v>0</v>
      </c>
      <c r="F174" s="6">
        <f t="shared" si="3"/>
        <v>0</v>
      </c>
      <c r="G174" s="62"/>
      <c r="H174" s="62"/>
      <c r="I174" s="60"/>
      <c r="J174" s="60"/>
      <c r="K174" s="64"/>
      <c r="L174" s="64"/>
      <c r="M174" s="25"/>
      <c r="N174" s="25"/>
    </row>
    <row r="175" spans="1:14">
      <c r="A175" s="3" t="s">
        <v>308</v>
      </c>
      <c r="B175" s="10" t="s">
        <v>309</v>
      </c>
      <c r="C175" s="7"/>
      <c r="D175" s="7">
        <f t="shared" si="5"/>
        <v>0</v>
      </c>
      <c r="E175" s="6">
        <f t="shared" si="3"/>
        <v>0</v>
      </c>
      <c r="F175" s="6">
        <f t="shared" si="3"/>
        <v>0</v>
      </c>
      <c r="G175" s="62"/>
      <c r="H175" s="62"/>
      <c r="I175" s="60"/>
      <c r="J175" s="60"/>
      <c r="K175" s="64"/>
      <c r="L175" s="64"/>
      <c r="M175" s="25"/>
      <c r="N175" s="25"/>
    </row>
    <row r="176" spans="1:14">
      <c r="A176" s="3" t="s">
        <v>310</v>
      </c>
      <c r="B176" s="10" t="s">
        <v>311</v>
      </c>
      <c r="C176" s="7"/>
      <c r="D176" s="7">
        <f t="shared" si="5"/>
        <v>0</v>
      </c>
      <c r="E176" s="6">
        <f t="shared" si="3"/>
        <v>0</v>
      </c>
      <c r="F176" s="6">
        <f t="shared" si="3"/>
        <v>0</v>
      </c>
      <c r="G176" s="62"/>
      <c r="H176" s="62"/>
      <c r="I176" s="60"/>
      <c r="J176" s="60"/>
      <c r="K176" s="64"/>
      <c r="L176" s="64"/>
      <c r="M176" s="25"/>
      <c r="N176" s="25"/>
    </row>
    <row r="177" spans="1:14">
      <c r="A177" s="3" t="s">
        <v>312</v>
      </c>
      <c r="B177" s="10" t="s">
        <v>313</v>
      </c>
      <c r="C177" s="7"/>
      <c r="D177" s="7">
        <f t="shared" si="5"/>
        <v>0</v>
      </c>
      <c r="E177" s="6">
        <f t="shared" si="3"/>
        <v>0</v>
      </c>
      <c r="F177" s="6">
        <f t="shared" si="3"/>
        <v>0</v>
      </c>
      <c r="G177" s="62"/>
      <c r="H177" s="62"/>
      <c r="I177" s="60"/>
      <c r="J177" s="60"/>
      <c r="K177" s="64"/>
      <c r="L177" s="64"/>
      <c r="M177" s="25"/>
      <c r="N177" s="25"/>
    </row>
    <row r="178" spans="1:14">
      <c r="A178" s="3" t="s">
        <v>314</v>
      </c>
      <c r="B178" s="10" t="s">
        <v>315</v>
      </c>
      <c r="C178" s="7"/>
      <c r="D178" s="7">
        <f t="shared" si="5"/>
        <v>0</v>
      </c>
      <c r="E178" s="6">
        <f t="shared" si="3"/>
        <v>0</v>
      </c>
      <c r="F178" s="6">
        <f t="shared" si="3"/>
        <v>0</v>
      </c>
      <c r="G178" s="62"/>
      <c r="H178" s="62"/>
      <c r="I178" s="60"/>
      <c r="J178" s="60"/>
      <c r="K178" s="64"/>
      <c r="L178" s="64"/>
      <c r="M178" s="25"/>
      <c r="N178" s="25"/>
    </row>
    <row r="179" spans="1:14">
      <c r="A179" s="3" t="s">
        <v>316</v>
      </c>
      <c r="B179" s="10" t="s">
        <v>317</v>
      </c>
      <c r="C179" s="7"/>
      <c r="D179" s="7">
        <f t="shared" si="5"/>
        <v>0</v>
      </c>
      <c r="E179" s="6">
        <f t="shared" si="3"/>
        <v>0</v>
      </c>
      <c r="F179" s="6">
        <f t="shared" si="3"/>
        <v>0</v>
      </c>
      <c r="G179" s="62"/>
      <c r="H179" s="62"/>
      <c r="I179" s="60"/>
      <c r="J179" s="60"/>
      <c r="K179" s="64"/>
      <c r="L179" s="64"/>
      <c r="M179" s="25"/>
      <c r="N179" s="25"/>
    </row>
    <row r="180" spans="1:14">
      <c r="A180" s="3" t="s">
        <v>318</v>
      </c>
      <c r="B180" s="10" t="s">
        <v>319</v>
      </c>
      <c r="C180" s="7"/>
      <c r="D180" s="7">
        <f t="shared" si="5"/>
        <v>0</v>
      </c>
      <c r="E180" s="6">
        <f t="shared" si="3"/>
        <v>0</v>
      </c>
      <c r="F180" s="6">
        <f t="shared" si="3"/>
        <v>0</v>
      </c>
      <c r="G180" s="62"/>
      <c r="H180" s="62"/>
      <c r="I180" s="60"/>
      <c r="J180" s="60"/>
      <c r="K180" s="64"/>
      <c r="L180" s="64"/>
      <c r="M180" s="25"/>
      <c r="N180" s="25"/>
    </row>
    <row r="181" spans="1:14">
      <c r="A181" s="3" t="s">
        <v>320</v>
      </c>
      <c r="B181" s="10" t="s">
        <v>321</v>
      </c>
      <c r="C181" s="7"/>
      <c r="D181" s="7">
        <f t="shared" si="5"/>
        <v>0</v>
      </c>
      <c r="E181" s="6">
        <f t="shared" si="3"/>
        <v>0</v>
      </c>
      <c r="F181" s="6">
        <f t="shared" si="3"/>
        <v>0</v>
      </c>
      <c r="G181" s="62"/>
      <c r="H181" s="62"/>
      <c r="I181" s="60"/>
      <c r="J181" s="60"/>
      <c r="K181" s="64"/>
      <c r="L181" s="64"/>
      <c r="M181" s="25"/>
      <c r="N181" s="25"/>
    </row>
    <row r="182" spans="1:14">
      <c r="A182" s="3" t="s">
        <v>322</v>
      </c>
      <c r="B182" s="10" t="s">
        <v>323</v>
      </c>
      <c r="C182" s="7"/>
      <c r="D182" s="7">
        <f t="shared" si="5"/>
        <v>0</v>
      </c>
      <c r="E182" s="6">
        <f t="shared" si="3"/>
        <v>0</v>
      </c>
      <c r="F182" s="6">
        <f t="shared" si="3"/>
        <v>0</v>
      </c>
      <c r="G182" s="62"/>
      <c r="H182" s="62"/>
      <c r="I182" s="60"/>
      <c r="J182" s="60"/>
      <c r="K182" s="64"/>
      <c r="L182" s="64"/>
      <c r="M182" s="25"/>
      <c r="N182" s="25"/>
    </row>
    <row r="183" spans="1:14">
      <c r="A183" s="3" t="s">
        <v>324</v>
      </c>
      <c r="B183" s="10" t="s">
        <v>325</v>
      </c>
      <c r="C183" s="7"/>
      <c r="D183" s="7">
        <f t="shared" si="5"/>
        <v>0</v>
      </c>
      <c r="E183" s="6">
        <f t="shared" si="3"/>
        <v>0</v>
      </c>
      <c r="F183" s="6">
        <f t="shared" si="3"/>
        <v>0</v>
      </c>
      <c r="G183" s="62"/>
      <c r="H183" s="62"/>
      <c r="I183" s="60"/>
      <c r="J183" s="60"/>
      <c r="K183" s="64"/>
      <c r="L183" s="64"/>
      <c r="M183" s="25"/>
      <c r="N183" s="25"/>
    </row>
    <row r="184" spans="1:14">
      <c r="A184" s="3" t="s">
        <v>326</v>
      </c>
      <c r="B184" s="10" t="s">
        <v>327</v>
      </c>
      <c r="C184" s="7"/>
      <c r="D184" s="7">
        <f t="shared" si="5"/>
        <v>0</v>
      </c>
      <c r="E184" s="6">
        <f t="shared" si="3"/>
        <v>0</v>
      </c>
      <c r="F184" s="6">
        <f t="shared" si="3"/>
        <v>0</v>
      </c>
      <c r="G184" s="62"/>
      <c r="H184" s="62"/>
      <c r="I184" s="60"/>
      <c r="J184" s="60"/>
      <c r="K184" s="64"/>
      <c r="L184" s="64"/>
      <c r="M184" s="25"/>
      <c r="N184" s="25"/>
    </row>
    <row r="185" spans="1:14">
      <c r="A185" s="3" t="s">
        <v>328</v>
      </c>
      <c r="B185" s="10" t="s">
        <v>329</v>
      </c>
      <c r="C185" s="7"/>
      <c r="D185" s="7">
        <f t="shared" si="5"/>
        <v>0</v>
      </c>
      <c r="E185" s="6">
        <f t="shared" si="3"/>
        <v>0</v>
      </c>
      <c r="F185" s="6">
        <f t="shared" si="3"/>
        <v>0</v>
      </c>
      <c r="G185" s="62"/>
      <c r="H185" s="62"/>
      <c r="I185" s="60"/>
      <c r="J185" s="60"/>
      <c r="K185" s="64"/>
      <c r="L185" s="64"/>
      <c r="M185" s="25"/>
      <c r="N185" s="25"/>
    </row>
    <row r="186" spans="1:14">
      <c r="A186" s="3" t="s">
        <v>330</v>
      </c>
      <c r="B186" s="10" t="s">
        <v>331</v>
      </c>
      <c r="C186" s="7"/>
      <c r="D186" s="7">
        <f t="shared" si="5"/>
        <v>0</v>
      </c>
      <c r="E186" s="6">
        <f t="shared" si="3"/>
        <v>0</v>
      </c>
      <c r="F186" s="6">
        <f t="shared" si="3"/>
        <v>0</v>
      </c>
      <c r="G186" s="62"/>
      <c r="H186" s="62"/>
      <c r="I186" s="60"/>
      <c r="J186" s="60"/>
      <c r="K186" s="64"/>
      <c r="L186" s="64"/>
      <c r="M186" s="25"/>
      <c r="N186" s="25"/>
    </row>
    <row r="187" spans="1:14">
      <c r="A187" s="3" t="s">
        <v>332</v>
      </c>
      <c r="B187" s="10" t="s">
        <v>333</v>
      </c>
      <c r="C187" s="5"/>
      <c r="D187" s="5">
        <f t="shared" si="5"/>
        <v>0</v>
      </c>
      <c r="E187" s="6">
        <f t="shared" si="3"/>
        <v>0</v>
      </c>
      <c r="F187" s="6">
        <f t="shared" si="3"/>
        <v>0</v>
      </c>
      <c r="G187" s="62"/>
      <c r="H187" s="62"/>
      <c r="I187" s="60"/>
      <c r="J187" s="60"/>
      <c r="K187" s="64"/>
      <c r="L187" s="64"/>
      <c r="M187" s="25"/>
      <c r="N187" s="25"/>
    </row>
    <row r="188" spans="1:14">
      <c r="A188" s="3" t="s">
        <v>334</v>
      </c>
      <c r="B188" s="10" t="s">
        <v>335</v>
      </c>
      <c r="C188" s="5"/>
      <c r="D188" s="5">
        <f t="shared" si="5"/>
        <v>0</v>
      </c>
      <c r="E188" s="6">
        <f t="shared" si="3"/>
        <v>0</v>
      </c>
      <c r="F188" s="6">
        <f t="shared" si="3"/>
        <v>0</v>
      </c>
      <c r="G188" s="62"/>
      <c r="H188" s="62"/>
      <c r="I188" s="60"/>
      <c r="J188" s="60"/>
      <c r="K188" s="64"/>
      <c r="L188" s="64"/>
      <c r="M188" s="25"/>
      <c r="N188" s="25"/>
    </row>
    <row r="189" spans="1:14">
      <c r="A189" s="3" t="s">
        <v>336</v>
      </c>
      <c r="B189" s="10" t="s">
        <v>337</v>
      </c>
      <c r="C189" s="5"/>
      <c r="D189" s="5">
        <f t="shared" si="5"/>
        <v>0</v>
      </c>
      <c r="E189" s="6">
        <f t="shared" si="3"/>
        <v>0</v>
      </c>
      <c r="F189" s="6">
        <f t="shared" si="3"/>
        <v>0</v>
      </c>
      <c r="G189" s="62"/>
      <c r="H189" s="62"/>
      <c r="I189" s="60"/>
      <c r="J189" s="60"/>
      <c r="K189" s="64"/>
      <c r="L189" s="64"/>
      <c r="M189" s="25"/>
      <c r="N189" s="25"/>
    </row>
    <row r="190" spans="1:14">
      <c r="A190" s="3" t="s">
        <v>338</v>
      </c>
      <c r="B190" s="10" t="s">
        <v>339</v>
      </c>
      <c r="C190" s="5"/>
      <c r="D190" s="5">
        <f t="shared" si="5"/>
        <v>0</v>
      </c>
      <c r="E190" s="6">
        <f t="shared" si="3"/>
        <v>0</v>
      </c>
      <c r="F190" s="6">
        <f t="shared" si="3"/>
        <v>0</v>
      </c>
      <c r="G190" s="62"/>
      <c r="H190" s="62"/>
      <c r="I190" s="60"/>
      <c r="J190" s="60"/>
      <c r="K190" s="64"/>
      <c r="L190" s="64"/>
      <c r="M190" s="25"/>
      <c r="N190" s="25"/>
    </row>
    <row r="191" spans="1:14">
      <c r="A191" s="3" t="s">
        <v>340</v>
      </c>
      <c r="B191" s="10" t="s">
        <v>341</v>
      </c>
      <c r="C191" s="5"/>
      <c r="D191" s="5">
        <f t="shared" si="5"/>
        <v>0</v>
      </c>
      <c r="E191" s="6">
        <f t="shared" si="3"/>
        <v>0</v>
      </c>
      <c r="F191" s="6">
        <f t="shared" si="3"/>
        <v>0</v>
      </c>
      <c r="G191" s="62"/>
      <c r="H191" s="62"/>
      <c r="I191" s="60"/>
      <c r="J191" s="60"/>
      <c r="K191" s="64"/>
      <c r="L191" s="64"/>
      <c r="M191" s="25"/>
      <c r="N191" s="25"/>
    </row>
    <row r="192" spans="1:14">
      <c r="A192" s="3" t="s">
        <v>342</v>
      </c>
      <c r="B192" s="10" t="s">
        <v>343</v>
      </c>
      <c r="C192" s="5"/>
      <c r="D192" s="5">
        <f t="shared" si="5"/>
        <v>0</v>
      </c>
      <c r="E192" s="6">
        <f t="shared" si="3"/>
        <v>0</v>
      </c>
      <c r="F192" s="6">
        <f t="shared" si="3"/>
        <v>0</v>
      </c>
      <c r="G192" s="62"/>
      <c r="H192" s="62"/>
      <c r="I192" s="60"/>
      <c r="J192" s="60"/>
      <c r="K192" s="64"/>
      <c r="L192" s="64"/>
      <c r="M192" s="25"/>
      <c r="N192" s="25"/>
    </row>
    <row r="193" spans="1:14">
      <c r="A193" s="3" t="s">
        <v>344</v>
      </c>
      <c r="B193" s="10" t="s">
        <v>345</v>
      </c>
      <c r="C193" s="5"/>
      <c r="D193" s="5">
        <f t="shared" si="5"/>
        <v>0</v>
      </c>
      <c r="E193" s="6">
        <f t="shared" si="3"/>
        <v>0</v>
      </c>
      <c r="F193" s="6">
        <f t="shared" si="3"/>
        <v>0</v>
      </c>
      <c r="G193" s="62"/>
      <c r="H193" s="62"/>
      <c r="I193" s="60"/>
      <c r="J193" s="60"/>
      <c r="K193" s="64"/>
      <c r="L193" s="64"/>
      <c r="M193" s="25"/>
      <c r="N193" s="25"/>
    </row>
    <row r="194" spans="1:14">
      <c r="A194" s="3" t="s">
        <v>346</v>
      </c>
      <c r="B194" s="10" t="s">
        <v>347</v>
      </c>
      <c r="C194" s="5"/>
      <c r="D194" s="5">
        <f t="shared" si="5"/>
        <v>0</v>
      </c>
      <c r="E194" s="6">
        <f t="shared" si="3"/>
        <v>0</v>
      </c>
      <c r="F194" s="6">
        <f t="shared" si="3"/>
        <v>0</v>
      </c>
      <c r="G194" s="62"/>
      <c r="H194" s="62"/>
      <c r="I194" s="60"/>
      <c r="J194" s="60"/>
      <c r="K194" s="64"/>
      <c r="L194" s="64"/>
      <c r="M194" s="25"/>
      <c r="N194" s="25"/>
    </row>
    <row r="195" spans="1:14">
      <c r="A195" s="3" t="s">
        <v>348</v>
      </c>
      <c r="B195" s="10" t="s">
        <v>349</v>
      </c>
      <c r="C195" s="5"/>
      <c r="D195" s="5">
        <f t="shared" si="5"/>
        <v>0</v>
      </c>
      <c r="E195" s="6">
        <f t="shared" si="3"/>
        <v>0</v>
      </c>
      <c r="F195" s="6">
        <f t="shared" si="3"/>
        <v>0</v>
      </c>
      <c r="G195" s="62"/>
      <c r="H195" s="62"/>
      <c r="I195" s="60"/>
      <c r="J195" s="60"/>
      <c r="K195" s="64"/>
      <c r="L195" s="64"/>
      <c r="M195" s="25"/>
      <c r="N195" s="25"/>
    </row>
    <row r="196" spans="1:14">
      <c r="A196" s="3" t="s">
        <v>350</v>
      </c>
      <c r="B196" s="10" t="s">
        <v>351</v>
      </c>
      <c r="C196" s="5"/>
      <c r="D196" s="5">
        <f t="shared" si="5"/>
        <v>0</v>
      </c>
      <c r="E196" s="6">
        <f t="shared" si="3"/>
        <v>0</v>
      </c>
      <c r="F196" s="6">
        <f t="shared" si="3"/>
        <v>0</v>
      </c>
      <c r="G196" s="62"/>
      <c r="H196" s="62"/>
      <c r="I196" s="60"/>
      <c r="J196" s="60"/>
      <c r="K196" s="64"/>
      <c r="L196" s="64"/>
      <c r="M196" s="25"/>
      <c r="N196" s="25"/>
    </row>
    <row r="197" spans="1:14">
      <c r="A197" s="3" t="s">
        <v>352</v>
      </c>
      <c r="B197" s="10" t="s">
        <v>353</v>
      </c>
      <c r="C197" s="5"/>
      <c r="D197" s="5">
        <f t="shared" si="5"/>
        <v>0</v>
      </c>
      <c r="E197" s="6">
        <f t="shared" si="3"/>
        <v>0</v>
      </c>
      <c r="F197" s="6">
        <f t="shared" si="3"/>
        <v>0</v>
      </c>
      <c r="G197" s="62"/>
      <c r="H197" s="62"/>
      <c r="I197" s="60"/>
      <c r="J197" s="60"/>
      <c r="K197" s="64"/>
      <c r="L197" s="64"/>
      <c r="M197" s="25"/>
      <c r="N197" s="25"/>
    </row>
    <row r="198" spans="1:14">
      <c r="A198" s="3" t="s">
        <v>354</v>
      </c>
      <c r="B198" s="10" t="s">
        <v>355</v>
      </c>
      <c r="C198" s="5"/>
      <c r="D198" s="5">
        <f t="shared" si="5"/>
        <v>0</v>
      </c>
      <c r="E198" s="6">
        <f t="shared" si="3"/>
        <v>0</v>
      </c>
      <c r="F198" s="6">
        <f t="shared" si="3"/>
        <v>0</v>
      </c>
      <c r="G198" s="62"/>
      <c r="H198" s="62"/>
      <c r="I198" s="60"/>
      <c r="J198" s="60"/>
      <c r="K198" s="64"/>
      <c r="L198" s="64"/>
      <c r="M198" s="25"/>
      <c r="N198" s="25"/>
    </row>
    <row r="199" spans="1:14">
      <c r="A199" s="3" t="s">
        <v>356</v>
      </c>
      <c r="B199" s="10" t="s">
        <v>357</v>
      </c>
      <c r="C199" s="5"/>
      <c r="D199" s="5">
        <f t="shared" si="5"/>
        <v>0</v>
      </c>
      <c r="E199" s="6">
        <f t="shared" si="3"/>
        <v>0</v>
      </c>
      <c r="F199" s="6">
        <f t="shared" si="3"/>
        <v>0</v>
      </c>
      <c r="G199" s="62"/>
      <c r="H199" s="62"/>
      <c r="I199" s="60"/>
      <c r="J199" s="60"/>
      <c r="K199" s="64"/>
      <c r="L199" s="64"/>
      <c r="M199" s="25"/>
      <c r="N199" s="25"/>
    </row>
    <row r="200" spans="1:14">
      <c r="A200" s="3" t="s">
        <v>358</v>
      </c>
      <c r="B200" s="10" t="s">
        <v>359</v>
      </c>
      <c r="C200" s="5"/>
      <c r="D200" s="5">
        <f t="shared" si="5"/>
        <v>0</v>
      </c>
      <c r="E200" s="6">
        <f t="shared" si="3"/>
        <v>0</v>
      </c>
      <c r="F200" s="6">
        <f t="shared" si="3"/>
        <v>0</v>
      </c>
      <c r="G200" s="62"/>
      <c r="H200" s="62"/>
      <c r="I200" s="60"/>
      <c r="J200" s="60"/>
      <c r="K200" s="64"/>
      <c r="L200" s="64"/>
      <c r="M200" s="25"/>
      <c r="N200" s="25"/>
    </row>
    <row r="201" spans="1:14">
      <c r="A201" s="3" t="s">
        <v>360</v>
      </c>
      <c r="B201" s="10" t="s">
        <v>361</v>
      </c>
      <c r="C201" s="5"/>
      <c r="D201" s="5">
        <f t="shared" si="5"/>
        <v>0</v>
      </c>
      <c r="E201" s="6">
        <f t="shared" si="3"/>
        <v>0</v>
      </c>
      <c r="F201" s="6">
        <f t="shared" si="3"/>
        <v>0</v>
      </c>
      <c r="G201" s="62"/>
      <c r="H201" s="62"/>
      <c r="I201" s="60"/>
      <c r="J201" s="60"/>
      <c r="K201" s="64"/>
      <c r="L201" s="64"/>
      <c r="M201" s="25"/>
      <c r="N201" s="25"/>
    </row>
    <row r="202" spans="1:14">
      <c r="A202" s="3" t="s">
        <v>362</v>
      </c>
      <c r="B202" s="10" t="s">
        <v>363</v>
      </c>
      <c r="C202" s="5"/>
      <c r="D202" s="5">
        <f t="shared" si="5"/>
        <v>0</v>
      </c>
      <c r="E202" s="6">
        <f t="shared" si="3"/>
        <v>0</v>
      </c>
      <c r="F202" s="6">
        <f t="shared" si="3"/>
        <v>0</v>
      </c>
      <c r="G202" s="62"/>
      <c r="H202" s="62"/>
      <c r="I202" s="60"/>
      <c r="J202" s="60"/>
      <c r="K202" s="64"/>
      <c r="L202" s="64"/>
      <c r="M202" s="25"/>
      <c r="N202" s="25"/>
    </row>
    <row r="203" spans="1:14">
      <c r="A203" s="3" t="s">
        <v>364</v>
      </c>
      <c r="B203" s="10" t="s">
        <v>365</v>
      </c>
      <c r="C203" s="5"/>
      <c r="D203" s="5">
        <f t="shared" si="5"/>
        <v>0</v>
      </c>
      <c r="E203" s="6">
        <f t="shared" si="3"/>
        <v>0</v>
      </c>
      <c r="F203" s="6">
        <f t="shared" si="3"/>
        <v>0</v>
      </c>
      <c r="G203" s="62"/>
      <c r="H203" s="62"/>
      <c r="I203" s="60"/>
      <c r="J203" s="60"/>
      <c r="K203" s="64"/>
      <c r="L203" s="64"/>
      <c r="M203" s="25"/>
      <c r="N203" s="25"/>
    </row>
    <row r="204" spans="1:14">
      <c r="A204" s="3" t="s">
        <v>366</v>
      </c>
      <c r="B204" s="10" t="s">
        <v>367</v>
      </c>
      <c r="C204" s="5"/>
      <c r="D204" s="5">
        <f t="shared" si="5"/>
        <v>0</v>
      </c>
      <c r="E204" s="6">
        <f t="shared" si="3"/>
        <v>0</v>
      </c>
      <c r="F204" s="6">
        <f t="shared" si="3"/>
        <v>0</v>
      </c>
      <c r="G204" s="62"/>
      <c r="H204" s="62"/>
      <c r="I204" s="60"/>
      <c r="J204" s="60"/>
      <c r="K204" s="64"/>
      <c r="L204" s="64"/>
      <c r="M204" s="25"/>
      <c r="N204" s="25"/>
    </row>
    <row r="205" spans="1:14">
      <c r="A205" s="3" t="s">
        <v>368</v>
      </c>
      <c r="B205" s="10" t="s">
        <v>369</v>
      </c>
      <c r="C205" s="5"/>
      <c r="D205" s="5">
        <f t="shared" si="5"/>
        <v>0</v>
      </c>
      <c r="E205" s="6">
        <f t="shared" si="3"/>
        <v>0</v>
      </c>
      <c r="F205" s="6">
        <f t="shared" si="3"/>
        <v>0</v>
      </c>
      <c r="G205" s="62"/>
      <c r="H205" s="62"/>
      <c r="I205" s="60"/>
      <c r="J205" s="60"/>
      <c r="K205" s="64"/>
      <c r="L205" s="64"/>
      <c r="M205" s="25"/>
      <c r="N205" s="25"/>
    </row>
    <row r="206" spans="1:14">
      <c r="A206" s="3" t="s">
        <v>370</v>
      </c>
      <c r="B206" s="10" t="s">
        <v>371</v>
      </c>
      <c r="C206" s="5"/>
      <c r="D206" s="5">
        <f t="shared" si="5"/>
        <v>0</v>
      </c>
      <c r="E206" s="6">
        <f t="shared" ref="E206:F269" si="6">SUM(G206,I206,K206,M206)</f>
        <v>0</v>
      </c>
      <c r="F206" s="6">
        <f t="shared" si="6"/>
        <v>0</v>
      </c>
      <c r="G206" s="62"/>
      <c r="H206" s="62"/>
      <c r="I206" s="60"/>
      <c r="J206" s="60"/>
      <c r="K206" s="64"/>
      <c r="L206" s="64"/>
      <c r="M206" s="25"/>
      <c r="N206" s="25"/>
    </row>
    <row r="207" spans="1:14">
      <c r="A207" s="3" t="s">
        <v>372</v>
      </c>
      <c r="B207" s="10" t="s">
        <v>373</v>
      </c>
      <c r="C207" s="5"/>
      <c r="D207" s="5">
        <f t="shared" si="5"/>
        <v>0</v>
      </c>
      <c r="E207" s="6">
        <f t="shared" si="6"/>
        <v>0</v>
      </c>
      <c r="F207" s="6">
        <f t="shared" si="6"/>
        <v>0</v>
      </c>
      <c r="G207" s="62"/>
      <c r="H207" s="62"/>
      <c r="I207" s="60"/>
      <c r="J207" s="60"/>
      <c r="K207" s="64"/>
      <c r="L207" s="64"/>
      <c r="M207" s="25"/>
      <c r="N207" s="25"/>
    </row>
    <row r="208" spans="1:14">
      <c r="A208" s="3" t="s">
        <v>374</v>
      </c>
      <c r="B208" s="10" t="s">
        <v>375</v>
      </c>
      <c r="C208" s="5"/>
      <c r="D208" s="5">
        <f t="shared" si="5"/>
        <v>0</v>
      </c>
      <c r="E208" s="6">
        <f t="shared" si="6"/>
        <v>0</v>
      </c>
      <c r="F208" s="6">
        <f t="shared" si="6"/>
        <v>0</v>
      </c>
      <c r="G208" s="62"/>
      <c r="H208" s="62"/>
      <c r="I208" s="60"/>
      <c r="J208" s="60"/>
      <c r="K208" s="64"/>
      <c r="L208" s="64"/>
      <c r="M208" s="25"/>
      <c r="N208" s="25"/>
    </row>
    <row r="209" spans="1:14">
      <c r="A209" s="3" t="s">
        <v>376</v>
      </c>
      <c r="B209" s="10" t="s">
        <v>377</v>
      </c>
      <c r="C209" s="5"/>
      <c r="D209" s="5">
        <f t="shared" si="5"/>
        <v>0</v>
      </c>
      <c r="E209" s="6">
        <f t="shared" si="6"/>
        <v>0</v>
      </c>
      <c r="F209" s="6">
        <f t="shared" si="6"/>
        <v>0</v>
      </c>
      <c r="G209" s="62"/>
      <c r="H209" s="62"/>
      <c r="I209" s="60"/>
      <c r="J209" s="60"/>
      <c r="K209" s="64"/>
      <c r="L209" s="64"/>
      <c r="M209" s="25"/>
      <c r="N209" s="25"/>
    </row>
    <row r="210" spans="1:14">
      <c r="A210" s="3" t="s">
        <v>378</v>
      </c>
      <c r="B210" s="10" t="s">
        <v>379</v>
      </c>
      <c r="C210" s="5"/>
      <c r="D210" s="5">
        <f t="shared" si="5"/>
        <v>0</v>
      </c>
      <c r="E210" s="6">
        <f t="shared" si="6"/>
        <v>0</v>
      </c>
      <c r="F210" s="6">
        <f t="shared" si="6"/>
        <v>0</v>
      </c>
      <c r="G210" s="62"/>
      <c r="H210" s="62"/>
      <c r="I210" s="60"/>
      <c r="J210" s="60"/>
      <c r="K210" s="64"/>
      <c r="L210" s="64"/>
      <c r="M210" s="25"/>
      <c r="N210" s="25"/>
    </row>
    <row r="211" spans="1:14">
      <c r="A211" s="3" t="s">
        <v>380</v>
      </c>
      <c r="B211" s="10" t="s">
        <v>381</v>
      </c>
      <c r="C211" s="5"/>
      <c r="D211" s="5">
        <f t="shared" si="5"/>
        <v>0</v>
      </c>
      <c r="E211" s="6">
        <f t="shared" si="6"/>
        <v>0</v>
      </c>
      <c r="F211" s="6">
        <f t="shared" si="6"/>
        <v>0</v>
      </c>
      <c r="G211" s="62"/>
      <c r="H211" s="62"/>
      <c r="I211" s="60"/>
      <c r="J211" s="60"/>
      <c r="K211" s="64"/>
      <c r="L211" s="64"/>
      <c r="M211" s="25"/>
      <c r="N211" s="25"/>
    </row>
    <row r="212" spans="1:14">
      <c r="A212" s="3" t="s">
        <v>382</v>
      </c>
      <c r="B212" s="10" t="s">
        <v>383</v>
      </c>
      <c r="C212" s="5"/>
      <c r="D212" s="5">
        <f t="shared" si="5"/>
        <v>0</v>
      </c>
      <c r="E212" s="6">
        <f t="shared" si="6"/>
        <v>0</v>
      </c>
      <c r="F212" s="6">
        <f t="shared" si="6"/>
        <v>0</v>
      </c>
      <c r="G212" s="62"/>
      <c r="H212" s="62"/>
      <c r="I212" s="60"/>
      <c r="J212" s="60"/>
      <c r="K212" s="64"/>
      <c r="L212" s="64"/>
      <c r="M212" s="25"/>
      <c r="N212" s="25"/>
    </row>
    <row r="213" spans="1:14">
      <c r="A213" s="3" t="s">
        <v>384</v>
      </c>
      <c r="B213" s="10" t="s">
        <v>385</v>
      </c>
      <c r="C213" s="5"/>
      <c r="D213" s="5">
        <f t="shared" si="5"/>
        <v>0</v>
      </c>
      <c r="E213" s="6">
        <f t="shared" si="6"/>
        <v>0</v>
      </c>
      <c r="F213" s="6">
        <f t="shared" si="6"/>
        <v>0</v>
      </c>
      <c r="G213" s="62"/>
      <c r="H213" s="62"/>
      <c r="I213" s="60"/>
      <c r="J213" s="60"/>
      <c r="K213" s="64"/>
      <c r="L213" s="64"/>
      <c r="M213" s="25"/>
      <c r="N213" s="25"/>
    </row>
    <row r="214" spans="1:14">
      <c r="A214" s="3" t="s">
        <v>386</v>
      </c>
      <c r="B214" s="10" t="s">
        <v>387</v>
      </c>
      <c r="C214" s="5"/>
      <c r="D214" s="5">
        <f t="shared" si="5"/>
        <v>0</v>
      </c>
      <c r="E214" s="6">
        <f t="shared" si="6"/>
        <v>0</v>
      </c>
      <c r="F214" s="6">
        <f t="shared" si="6"/>
        <v>0</v>
      </c>
      <c r="G214" s="62"/>
      <c r="H214" s="62"/>
      <c r="I214" s="60"/>
      <c r="J214" s="60"/>
      <c r="K214" s="64"/>
      <c r="L214" s="64"/>
      <c r="M214" s="25"/>
      <c r="N214" s="25"/>
    </row>
    <row r="215" spans="1:14">
      <c r="A215" s="3" t="s">
        <v>388</v>
      </c>
      <c r="B215" s="10" t="s">
        <v>389</v>
      </c>
      <c r="C215" s="5"/>
      <c r="D215" s="5">
        <f t="shared" si="5"/>
        <v>0</v>
      </c>
      <c r="E215" s="6">
        <f t="shared" si="6"/>
        <v>0</v>
      </c>
      <c r="F215" s="6">
        <f t="shared" si="6"/>
        <v>0</v>
      </c>
      <c r="G215" s="62"/>
      <c r="H215" s="62"/>
      <c r="I215" s="60"/>
      <c r="J215" s="60"/>
      <c r="K215" s="64"/>
      <c r="L215" s="64"/>
      <c r="M215" s="25"/>
      <c r="N215" s="25"/>
    </row>
    <row r="216" spans="1:14">
      <c r="A216" s="3" t="s">
        <v>390</v>
      </c>
      <c r="B216" s="10" t="s">
        <v>391</v>
      </c>
      <c r="C216" s="5"/>
      <c r="D216" s="5">
        <f t="shared" si="5"/>
        <v>0</v>
      </c>
      <c r="E216" s="6">
        <f t="shared" si="6"/>
        <v>0</v>
      </c>
      <c r="F216" s="6">
        <f t="shared" si="6"/>
        <v>0</v>
      </c>
      <c r="G216" s="62"/>
      <c r="H216" s="62"/>
      <c r="I216" s="60"/>
      <c r="J216" s="60"/>
      <c r="K216" s="64"/>
      <c r="L216" s="64"/>
      <c r="M216" s="25"/>
      <c r="N216" s="25"/>
    </row>
    <row r="217" spans="1:14">
      <c r="A217" s="3" t="s">
        <v>392</v>
      </c>
      <c r="B217" s="10" t="s">
        <v>393</v>
      </c>
      <c r="C217" s="5"/>
      <c r="D217" s="5">
        <f t="shared" si="5"/>
        <v>0</v>
      </c>
      <c r="E217" s="6">
        <f t="shared" si="6"/>
        <v>0</v>
      </c>
      <c r="F217" s="6">
        <f t="shared" si="6"/>
        <v>0</v>
      </c>
      <c r="G217" s="62"/>
      <c r="H217" s="62"/>
      <c r="I217" s="60"/>
      <c r="J217" s="60"/>
      <c r="K217" s="64"/>
      <c r="L217" s="64"/>
      <c r="M217" s="25"/>
      <c r="N217" s="25"/>
    </row>
    <row r="218" spans="1:14">
      <c r="A218" s="3" t="s">
        <v>394</v>
      </c>
      <c r="B218" s="10" t="s">
        <v>395</v>
      </c>
      <c r="C218" s="5"/>
      <c r="D218" s="5">
        <f t="shared" si="5"/>
        <v>0</v>
      </c>
      <c r="E218" s="6">
        <f t="shared" si="6"/>
        <v>0</v>
      </c>
      <c r="F218" s="6">
        <f t="shared" si="6"/>
        <v>0</v>
      </c>
      <c r="G218" s="62"/>
      <c r="H218" s="62"/>
      <c r="I218" s="60"/>
      <c r="J218" s="60"/>
      <c r="K218" s="64"/>
      <c r="L218" s="64"/>
      <c r="M218" s="25"/>
      <c r="N218" s="25"/>
    </row>
    <row r="219" spans="1:14">
      <c r="A219" s="3" t="s">
        <v>396</v>
      </c>
      <c r="B219" s="10" t="s">
        <v>397</v>
      </c>
      <c r="C219" s="5"/>
      <c r="D219" s="5">
        <f t="shared" si="5"/>
        <v>0</v>
      </c>
      <c r="E219" s="6">
        <f t="shared" si="6"/>
        <v>0</v>
      </c>
      <c r="F219" s="6">
        <f t="shared" si="6"/>
        <v>0</v>
      </c>
      <c r="G219" s="62"/>
      <c r="H219" s="62"/>
      <c r="I219" s="60"/>
      <c r="J219" s="60"/>
      <c r="K219" s="64"/>
      <c r="L219" s="64"/>
      <c r="M219" s="25"/>
      <c r="N219" s="25"/>
    </row>
    <row r="220" spans="1:14">
      <c r="A220" s="3" t="s">
        <v>398</v>
      </c>
      <c r="B220" s="10" t="s">
        <v>399</v>
      </c>
      <c r="C220" s="5"/>
      <c r="D220" s="5">
        <f t="shared" si="5"/>
        <v>0</v>
      </c>
      <c r="E220" s="6">
        <f t="shared" si="6"/>
        <v>0</v>
      </c>
      <c r="F220" s="6">
        <f t="shared" si="6"/>
        <v>0</v>
      </c>
      <c r="G220" s="62"/>
      <c r="H220" s="62"/>
      <c r="I220" s="60"/>
      <c r="J220" s="60"/>
      <c r="K220" s="64"/>
      <c r="L220" s="64"/>
      <c r="M220" s="25"/>
      <c r="N220" s="25"/>
    </row>
    <row r="221" spans="1:14">
      <c r="A221" s="3" t="s">
        <v>400</v>
      </c>
      <c r="B221" s="10" t="s">
        <v>401</v>
      </c>
      <c r="C221" s="5"/>
      <c r="D221" s="5">
        <f t="shared" si="5"/>
        <v>0</v>
      </c>
      <c r="E221" s="6">
        <f t="shared" si="6"/>
        <v>0</v>
      </c>
      <c r="F221" s="6">
        <f t="shared" si="6"/>
        <v>0</v>
      </c>
      <c r="G221" s="62"/>
      <c r="H221" s="62"/>
      <c r="I221" s="60"/>
      <c r="J221" s="60"/>
      <c r="K221" s="64"/>
      <c r="L221" s="64"/>
      <c r="M221" s="25"/>
      <c r="N221" s="25"/>
    </row>
    <row r="222" spans="1:14">
      <c r="A222" s="3" t="s">
        <v>402</v>
      </c>
      <c r="B222" s="10" t="s">
        <v>403</v>
      </c>
      <c r="C222" s="5"/>
      <c r="D222" s="5">
        <f t="shared" si="5"/>
        <v>0</v>
      </c>
      <c r="E222" s="6">
        <f t="shared" si="6"/>
        <v>0</v>
      </c>
      <c r="F222" s="6">
        <f t="shared" si="6"/>
        <v>0</v>
      </c>
      <c r="G222" s="62"/>
      <c r="H222" s="62"/>
      <c r="I222" s="60"/>
      <c r="J222" s="60"/>
      <c r="K222" s="64"/>
      <c r="L222" s="64"/>
      <c r="M222" s="25"/>
      <c r="N222" s="25"/>
    </row>
    <row r="223" spans="1:14">
      <c r="A223" s="3" t="s">
        <v>404</v>
      </c>
      <c r="B223" s="10" t="s">
        <v>405</v>
      </c>
      <c r="C223" s="5"/>
      <c r="D223" s="5">
        <f t="shared" si="5"/>
        <v>0</v>
      </c>
      <c r="E223" s="6">
        <f t="shared" si="6"/>
        <v>0</v>
      </c>
      <c r="F223" s="6">
        <f t="shared" si="6"/>
        <v>0</v>
      </c>
      <c r="G223" s="62"/>
      <c r="H223" s="62"/>
      <c r="I223" s="60"/>
      <c r="J223" s="60"/>
      <c r="K223" s="64"/>
      <c r="L223" s="64"/>
      <c r="M223" s="25"/>
      <c r="N223" s="25"/>
    </row>
    <row r="224" spans="1:14">
      <c r="A224" s="3" t="s">
        <v>406</v>
      </c>
      <c r="B224" s="10" t="s">
        <v>407</v>
      </c>
      <c r="C224" s="5"/>
      <c r="D224" s="5">
        <f t="shared" si="5"/>
        <v>0</v>
      </c>
      <c r="E224" s="6">
        <f t="shared" si="6"/>
        <v>0</v>
      </c>
      <c r="F224" s="6">
        <f t="shared" si="6"/>
        <v>0</v>
      </c>
      <c r="G224" s="62"/>
      <c r="H224" s="62"/>
      <c r="I224" s="60"/>
      <c r="J224" s="60"/>
      <c r="K224" s="64"/>
      <c r="L224" s="64"/>
      <c r="M224" s="25"/>
      <c r="N224" s="25"/>
    </row>
    <row r="225" spans="1:14">
      <c r="A225" s="3" t="s">
        <v>408</v>
      </c>
      <c r="B225" s="10" t="s">
        <v>409</v>
      </c>
      <c r="C225" s="5"/>
      <c r="D225" s="5">
        <f t="shared" si="5"/>
        <v>0</v>
      </c>
      <c r="E225" s="6">
        <f t="shared" si="6"/>
        <v>0</v>
      </c>
      <c r="F225" s="6">
        <f t="shared" si="6"/>
        <v>0</v>
      </c>
      <c r="G225" s="62"/>
      <c r="H225" s="62"/>
      <c r="I225" s="60"/>
      <c r="J225" s="60"/>
      <c r="K225" s="64"/>
      <c r="L225" s="64"/>
      <c r="M225" s="25"/>
      <c r="N225" s="25"/>
    </row>
    <row r="226" spans="1:14">
      <c r="A226" s="3" t="s">
        <v>410</v>
      </c>
      <c r="B226" s="10" t="s">
        <v>411</v>
      </c>
      <c r="C226" s="5"/>
      <c r="D226" s="5">
        <f t="shared" si="5"/>
        <v>0</v>
      </c>
      <c r="E226" s="6">
        <f t="shared" si="6"/>
        <v>0</v>
      </c>
      <c r="F226" s="6">
        <f t="shared" si="6"/>
        <v>0</v>
      </c>
      <c r="G226" s="62"/>
      <c r="H226" s="62"/>
      <c r="I226" s="60"/>
      <c r="J226" s="60"/>
      <c r="K226" s="64"/>
      <c r="L226" s="64"/>
      <c r="M226" s="25"/>
      <c r="N226" s="25"/>
    </row>
    <row r="227" spans="1:14">
      <c r="A227" s="3" t="s">
        <v>412</v>
      </c>
      <c r="B227" s="10" t="s">
        <v>413</v>
      </c>
      <c r="C227" s="5"/>
      <c r="D227" s="5">
        <f t="shared" si="5"/>
        <v>0</v>
      </c>
      <c r="E227" s="6">
        <f t="shared" si="6"/>
        <v>0</v>
      </c>
      <c r="F227" s="6">
        <f t="shared" si="6"/>
        <v>0</v>
      </c>
      <c r="G227" s="62"/>
      <c r="H227" s="62"/>
      <c r="I227" s="60"/>
      <c r="J227" s="60"/>
      <c r="K227" s="64"/>
      <c r="L227" s="64"/>
      <c r="M227" s="25"/>
      <c r="N227" s="25"/>
    </row>
    <row r="228" spans="1:14">
      <c r="A228" s="3" t="s">
        <v>414</v>
      </c>
      <c r="B228" s="10" t="s">
        <v>415</v>
      </c>
      <c r="C228" s="5"/>
      <c r="D228" s="5">
        <f t="shared" si="5"/>
        <v>0</v>
      </c>
      <c r="E228" s="6">
        <f t="shared" si="6"/>
        <v>0</v>
      </c>
      <c r="F228" s="6">
        <f t="shared" si="6"/>
        <v>0</v>
      </c>
      <c r="G228" s="62"/>
      <c r="H228" s="62"/>
      <c r="I228" s="60"/>
      <c r="J228" s="60"/>
      <c r="K228" s="64"/>
      <c r="L228" s="64"/>
      <c r="M228" s="25"/>
      <c r="N228" s="25"/>
    </row>
    <row r="229" spans="1:14">
      <c r="A229" s="3" t="s">
        <v>416</v>
      </c>
      <c r="B229" s="10" t="s">
        <v>417</v>
      </c>
      <c r="C229" s="5"/>
      <c r="D229" s="5">
        <f t="shared" si="5"/>
        <v>0</v>
      </c>
      <c r="E229" s="6">
        <f t="shared" si="6"/>
        <v>0</v>
      </c>
      <c r="F229" s="6">
        <f t="shared" si="6"/>
        <v>0</v>
      </c>
      <c r="G229" s="62"/>
      <c r="H229" s="62"/>
      <c r="I229" s="60"/>
      <c r="J229" s="60"/>
      <c r="K229" s="64"/>
      <c r="L229" s="64"/>
      <c r="M229" s="25"/>
      <c r="N229" s="25"/>
    </row>
    <row r="230" spans="1:14">
      <c r="A230" s="3" t="s">
        <v>418</v>
      </c>
      <c r="B230" s="10" t="s">
        <v>419</v>
      </c>
      <c r="C230" s="5"/>
      <c r="D230" s="5">
        <f t="shared" si="5"/>
        <v>0</v>
      </c>
      <c r="E230" s="6">
        <f t="shared" si="6"/>
        <v>0</v>
      </c>
      <c r="F230" s="6">
        <f t="shared" si="6"/>
        <v>0</v>
      </c>
      <c r="G230" s="62"/>
      <c r="H230" s="62"/>
      <c r="I230" s="60"/>
      <c r="J230" s="60"/>
      <c r="K230" s="64"/>
      <c r="L230" s="64"/>
      <c r="M230" s="25"/>
      <c r="N230" s="25"/>
    </row>
    <row r="231" spans="1:14">
      <c r="A231" s="3" t="s">
        <v>420</v>
      </c>
      <c r="B231" s="10" t="s">
        <v>421</v>
      </c>
      <c r="C231" s="5"/>
      <c r="D231" s="5">
        <f t="shared" si="5"/>
        <v>0</v>
      </c>
      <c r="E231" s="6">
        <f t="shared" si="6"/>
        <v>0</v>
      </c>
      <c r="F231" s="6">
        <f t="shared" si="6"/>
        <v>0</v>
      </c>
      <c r="G231" s="62"/>
      <c r="H231" s="62"/>
      <c r="I231" s="60"/>
      <c r="J231" s="60"/>
      <c r="K231" s="64"/>
      <c r="L231" s="64"/>
      <c r="M231" s="25"/>
      <c r="N231" s="25"/>
    </row>
    <row r="232" spans="1:14">
      <c r="A232" s="3" t="s">
        <v>422</v>
      </c>
      <c r="B232" s="10" t="s">
        <v>423</v>
      </c>
      <c r="C232" s="5"/>
      <c r="D232" s="5">
        <f t="shared" si="5"/>
        <v>0</v>
      </c>
      <c r="E232" s="6">
        <f t="shared" si="6"/>
        <v>0</v>
      </c>
      <c r="F232" s="6">
        <f t="shared" si="6"/>
        <v>0</v>
      </c>
      <c r="G232" s="62"/>
      <c r="H232" s="62"/>
      <c r="I232" s="60"/>
      <c r="J232" s="60"/>
      <c r="K232" s="64"/>
      <c r="L232" s="64"/>
      <c r="M232" s="25"/>
      <c r="N232" s="25"/>
    </row>
    <row r="233" spans="1:14">
      <c r="A233" s="3" t="s">
        <v>424</v>
      </c>
      <c r="B233" s="10" t="s">
        <v>425</v>
      </c>
      <c r="C233" s="5"/>
      <c r="D233" s="5">
        <f t="shared" si="5"/>
        <v>0</v>
      </c>
      <c r="E233" s="6">
        <f t="shared" si="6"/>
        <v>0</v>
      </c>
      <c r="F233" s="6">
        <f t="shared" si="6"/>
        <v>0</v>
      </c>
      <c r="G233" s="62"/>
      <c r="H233" s="62"/>
      <c r="I233" s="60"/>
      <c r="J233" s="60"/>
      <c r="K233" s="64"/>
      <c r="L233" s="64"/>
      <c r="M233" s="25"/>
      <c r="N233" s="25"/>
    </row>
    <row r="234" spans="1:14">
      <c r="A234" s="3" t="s">
        <v>426</v>
      </c>
      <c r="B234" s="10" t="s">
        <v>427</v>
      </c>
      <c r="C234" s="5"/>
      <c r="D234" s="5">
        <f t="shared" si="5"/>
        <v>0</v>
      </c>
      <c r="E234" s="6">
        <f t="shared" si="6"/>
        <v>0</v>
      </c>
      <c r="F234" s="6">
        <f t="shared" si="6"/>
        <v>0</v>
      </c>
      <c r="G234" s="62"/>
      <c r="H234" s="62"/>
      <c r="I234" s="60"/>
      <c r="J234" s="60"/>
      <c r="K234" s="64"/>
      <c r="L234" s="64"/>
      <c r="M234" s="25"/>
      <c r="N234" s="25"/>
    </row>
    <row r="235" spans="1:14">
      <c r="A235" s="3" t="s">
        <v>428</v>
      </c>
      <c r="B235" s="10" t="s">
        <v>429</v>
      </c>
      <c r="C235" s="5"/>
      <c r="D235" s="5">
        <f t="shared" si="5"/>
        <v>0</v>
      </c>
      <c r="E235" s="6">
        <f t="shared" si="6"/>
        <v>0</v>
      </c>
      <c r="F235" s="6">
        <f t="shared" si="6"/>
        <v>0</v>
      </c>
      <c r="G235" s="62"/>
      <c r="H235" s="62"/>
      <c r="I235" s="60"/>
      <c r="J235" s="60"/>
      <c r="K235" s="64"/>
      <c r="L235" s="64"/>
      <c r="M235" s="25"/>
      <c r="N235" s="25"/>
    </row>
    <row r="236" spans="1:14">
      <c r="A236" s="3" t="s">
        <v>430</v>
      </c>
      <c r="B236" s="10" t="s">
        <v>431</v>
      </c>
      <c r="C236" s="5"/>
      <c r="D236" s="5">
        <f t="shared" si="5"/>
        <v>0</v>
      </c>
      <c r="E236" s="6">
        <f t="shared" si="6"/>
        <v>0</v>
      </c>
      <c r="F236" s="6">
        <f t="shared" si="6"/>
        <v>0</v>
      </c>
      <c r="G236" s="62"/>
      <c r="H236" s="62"/>
      <c r="I236" s="60"/>
      <c r="J236" s="60"/>
      <c r="K236" s="64"/>
      <c r="L236" s="64"/>
      <c r="M236" s="25"/>
      <c r="N236" s="25"/>
    </row>
    <row r="237" spans="1:14">
      <c r="A237" s="3" t="s">
        <v>432</v>
      </c>
      <c r="B237" s="10" t="s">
        <v>433</v>
      </c>
      <c r="C237" s="5"/>
      <c r="D237" s="5">
        <f t="shared" si="5"/>
        <v>0</v>
      </c>
      <c r="E237" s="6">
        <f t="shared" si="6"/>
        <v>0</v>
      </c>
      <c r="F237" s="6">
        <f t="shared" si="6"/>
        <v>0</v>
      </c>
      <c r="G237" s="62"/>
      <c r="H237" s="62"/>
      <c r="I237" s="60"/>
      <c r="J237" s="60"/>
      <c r="K237" s="64"/>
      <c r="L237" s="64"/>
      <c r="M237" s="25"/>
      <c r="N237" s="25"/>
    </row>
    <row r="238" spans="1:14">
      <c r="A238" s="3" t="s">
        <v>434</v>
      </c>
      <c r="B238" s="10" t="s">
        <v>435</v>
      </c>
      <c r="C238" s="5"/>
      <c r="D238" s="5">
        <f t="shared" ref="D238:D280" si="7">F238-E238</f>
        <v>0</v>
      </c>
      <c r="E238" s="6">
        <f t="shared" si="6"/>
        <v>0</v>
      </c>
      <c r="F238" s="6">
        <f t="shared" si="6"/>
        <v>0</v>
      </c>
      <c r="G238" s="62"/>
      <c r="H238" s="62"/>
      <c r="I238" s="60"/>
      <c r="J238" s="60"/>
      <c r="K238" s="64"/>
      <c r="L238" s="64"/>
      <c r="M238" s="25"/>
      <c r="N238" s="25"/>
    </row>
    <row r="239" spans="1:14">
      <c r="A239" s="3" t="s">
        <v>436</v>
      </c>
      <c r="B239" s="10" t="s">
        <v>437</v>
      </c>
      <c r="C239" s="5"/>
      <c r="D239" s="5">
        <f t="shared" si="7"/>
        <v>0</v>
      </c>
      <c r="E239" s="6">
        <f t="shared" si="6"/>
        <v>0</v>
      </c>
      <c r="F239" s="6">
        <f t="shared" si="6"/>
        <v>0</v>
      </c>
      <c r="G239" s="62"/>
      <c r="H239" s="62"/>
      <c r="I239" s="60"/>
      <c r="J239" s="60"/>
      <c r="K239" s="64"/>
      <c r="L239" s="64"/>
      <c r="M239" s="25"/>
      <c r="N239" s="25"/>
    </row>
    <row r="240" spans="1:14">
      <c r="A240" s="3" t="s">
        <v>438</v>
      </c>
      <c r="B240" s="10" t="s">
        <v>439</v>
      </c>
      <c r="C240" s="5"/>
      <c r="D240" s="5">
        <f t="shared" si="7"/>
        <v>0</v>
      </c>
      <c r="E240" s="6">
        <f t="shared" si="6"/>
        <v>0</v>
      </c>
      <c r="F240" s="6">
        <f t="shared" si="6"/>
        <v>0</v>
      </c>
      <c r="G240" s="62"/>
      <c r="H240" s="62"/>
      <c r="I240" s="60"/>
      <c r="J240" s="60"/>
      <c r="K240" s="64"/>
      <c r="L240" s="64"/>
      <c r="M240" s="25"/>
      <c r="N240" s="25"/>
    </row>
    <row r="241" spans="1:14">
      <c r="A241" s="3" t="s">
        <v>440</v>
      </c>
      <c r="B241" s="10" t="s">
        <v>441</v>
      </c>
      <c r="C241" s="5"/>
      <c r="D241" s="5">
        <f t="shared" si="7"/>
        <v>0</v>
      </c>
      <c r="E241" s="6">
        <f t="shared" si="6"/>
        <v>0</v>
      </c>
      <c r="F241" s="6">
        <f t="shared" si="6"/>
        <v>0</v>
      </c>
      <c r="G241" s="62"/>
      <c r="H241" s="62"/>
      <c r="I241" s="60"/>
      <c r="J241" s="60"/>
      <c r="K241" s="64"/>
      <c r="L241" s="64"/>
      <c r="M241" s="25"/>
      <c r="N241" s="25"/>
    </row>
    <row r="242" spans="1:14">
      <c r="A242" s="3" t="s">
        <v>442</v>
      </c>
      <c r="B242" s="10" t="s">
        <v>443</v>
      </c>
      <c r="C242" s="5"/>
      <c r="D242" s="5">
        <f t="shared" si="7"/>
        <v>0</v>
      </c>
      <c r="E242" s="6">
        <f t="shared" si="6"/>
        <v>0</v>
      </c>
      <c r="F242" s="6">
        <f t="shared" si="6"/>
        <v>0</v>
      </c>
      <c r="G242" s="62"/>
      <c r="H242" s="62"/>
      <c r="I242" s="60"/>
      <c r="J242" s="60"/>
      <c r="K242" s="64"/>
      <c r="L242" s="64"/>
      <c r="M242" s="25"/>
      <c r="N242" s="25"/>
    </row>
    <row r="243" spans="1:14">
      <c r="A243" s="3" t="s">
        <v>444</v>
      </c>
      <c r="B243" s="10" t="s">
        <v>445</v>
      </c>
      <c r="C243" s="5"/>
      <c r="D243" s="5">
        <f t="shared" si="7"/>
        <v>0</v>
      </c>
      <c r="E243" s="6">
        <f t="shared" si="6"/>
        <v>0</v>
      </c>
      <c r="F243" s="6">
        <f t="shared" si="6"/>
        <v>0</v>
      </c>
      <c r="G243" s="62"/>
      <c r="H243" s="62"/>
      <c r="I243" s="60"/>
      <c r="J243" s="60"/>
      <c r="K243" s="64"/>
      <c r="L243" s="64"/>
      <c r="M243" s="25"/>
      <c r="N243" s="25"/>
    </row>
    <row r="244" spans="1:14">
      <c r="A244" s="3" t="s">
        <v>446</v>
      </c>
      <c r="B244" s="10" t="s">
        <v>447</v>
      </c>
      <c r="C244" s="5"/>
      <c r="D244" s="5">
        <f t="shared" si="7"/>
        <v>0</v>
      </c>
      <c r="E244" s="6">
        <f t="shared" si="6"/>
        <v>0</v>
      </c>
      <c r="F244" s="6">
        <f t="shared" si="6"/>
        <v>0</v>
      </c>
      <c r="G244" s="62"/>
      <c r="H244" s="62"/>
      <c r="I244" s="60"/>
      <c r="J244" s="60"/>
      <c r="K244" s="64"/>
      <c r="L244" s="64"/>
      <c r="M244" s="25"/>
      <c r="N244" s="25"/>
    </row>
    <row r="245" spans="1:14">
      <c r="A245" s="3" t="s">
        <v>448</v>
      </c>
      <c r="B245" s="10" t="s">
        <v>449</v>
      </c>
      <c r="C245" s="5"/>
      <c r="D245" s="5">
        <f t="shared" si="7"/>
        <v>0</v>
      </c>
      <c r="E245" s="6">
        <f t="shared" si="6"/>
        <v>0</v>
      </c>
      <c r="F245" s="6">
        <f t="shared" si="6"/>
        <v>0</v>
      </c>
      <c r="G245" s="62"/>
      <c r="H245" s="62"/>
      <c r="I245" s="60"/>
      <c r="J245" s="60"/>
      <c r="K245" s="64"/>
      <c r="L245" s="64"/>
      <c r="M245" s="25"/>
      <c r="N245" s="25"/>
    </row>
    <row r="246" spans="1:14">
      <c r="A246" s="3" t="s">
        <v>450</v>
      </c>
      <c r="B246" s="10" t="s">
        <v>451</v>
      </c>
      <c r="C246" s="5"/>
      <c r="D246" s="5">
        <f t="shared" si="7"/>
        <v>0</v>
      </c>
      <c r="E246" s="6">
        <f t="shared" si="6"/>
        <v>0</v>
      </c>
      <c r="F246" s="6">
        <f t="shared" si="6"/>
        <v>0</v>
      </c>
      <c r="G246" s="62"/>
      <c r="H246" s="62"/>
      <c r="I246" s="60"/>
      <c r="J246" s="60"/>
      <c r="K246" s="64"/>
      <c r="L246" s="64"/>
      <c r="M246" s="25"/>
      <c r="N246" s="25"/>
    </row>
    <row r="247" spans="1:14">
      <c r="A247" s="3" t="s">
        <v>452</v>
      </c>
      <c r="B247" s="10" t="s">
        <v>453</v>
      </c>
      <c r="C247" s="5"/>
      <c r="D247" s="5">
        <f t="shared" si="7"/>
        <v>0</v>
      </c>
      <c r="E247" s="6">
        <f t="shared" si="6"/>
        <v>0</v>
      </c>
      <c r="F247" s="6">
        <f t="shared" si="6"/>
        <v>0</v>
      </c>
      <c r="G247" s="62"/>
      <c r="H247" s="62"/>
      <c r="I247" s="60"/>
      <c r="J247" s="60"/>
      <c r="K247" s="64"/>
      <c r="L247" s="64"/>
      <c r="M247" s="25"/>
      <c r="N247" s="25"/>
    </row>
    <row r="248" spans="1:14">
      <c r="A248" s="3" t="s">
        <v>454</v>
      </c>
      <c r="B248" s="10" t="s">
        <v>455</v>
      </c>
      <c r="C248" s="5"/>
      <c r="D248" s="5">
        <f t="shared" si="7"/>
        <v>0</v>
      </c>
      <c r="E248" s="6">
        <f t="shared" si="6"/>
        <v>0</v>
      </c>
      <c r="F248" s="6">
        <f t="shared" si="6"/>
        <v>0</v>
      </c>
      <c r="G248" s="62"/>
      <c r="H248" s="62"/>
      <c r="I248" s="60"/>
      <c r="J248" s="60"/>
      <c r="K248" s="64"/>
      <c r="L248" s="64"/>
      <c r="M248" s="25"/>
      <c r="N248" s="25"/>
    </row>
    <row r="249" spans="1:14">
      <c r="A249" s="3" t="s">
        <v>456</v>
      </c>
      <c r="B249" s="10" t="s">
        <v>457</v>
      </c>
      <c r="C249" s="5"/>
      <c r="D249" s="5">
        <f t="shared" si="7"/>
        <v>0</v>
      </c>
      <c r="E249" s="6">
        <f t="shared" si="6"/>
        <v>0</v>
      </c>
      <c r="F249" s="6">
        <f t="shared" si="6"/>
        <v>0</v>
      </c>
      <c r="G249" s="62"/>
      <c r="H249" s="62"/>
      <c r="I249" s="60"/>
      <c r="J249" s="60"/>
      <c r="K249" s="64"/>
      <c r="L249" s="64"/>
      <c r="M249" s="25"/>
      <c r="N249" s="25"/>
    </row>
    <row r="250" spans="1:14">
      <c r="A250" s="3" t="s">
        <v>458</v>
      </c>
      <c r="B250" s="10" t="s">
        <v>459</v>
      </c>
      <c r="C250" s="5"/>
      <c r="D250" s="5">
        <f t="shared" si="7"/>
        <v>0</v>
      </c>
      <c r="E250" s="6">
        <f t="shared" si="6"/>
        <v>0</v>
      </c>
      <c r="F250" s="6">
        <f t="shared" si="6"/>
        <v>0</v>
      </c>
      <c r="G250" s="62"/>
      <c r="H250" s="62"/>
      <c r="I250" s="60"/>
      <c r="J250" s="60"/>
      <c r="K250" s="64"/>
      <c r="L250" s="64"/>
      <c r="M250" s="25"/>
      <c r="N250" s="25"/>
    </row>
    <row r="251" spans="1:14">
      <c r="A251" s="3" t="s">
        <v>460</v>
      </c>
      <c r="B251" s="10" t="s">
        <v>461</v>
      </c>
      <c r="C251" s="5"/>
      <c r="D251" s="5">
        <f t="shared" si="7"/>
        <v>0</v>
      </c>
      <c r="E251" s="6">
        <f t="shared" si="6"/>
        <v>0</v>
      </c>
      <c r="F251" s="6">
        <f t="shared" si="6"/>
        <v>0</v>
      </c>
      <c r="G251" s="62"/>
      <c r="H251" s="62"/>
      <c r="I251" s="60"/>
      <c r="J251" s="60"/>
      <c r="K251" s="64"/>
      <c r="L251" s="64"/>
      <c r="M251" s="25"/>
      <c r="N251" s="25"/>
    </row>
    <row r="252" spans="1:14">
      <c r="A252" s="3" t="s">
        <v>462</v>
      </c>
      <c r="B252" s="10" t="s">
        <v>463</v>
      </c>
      <c r="C252" s="5"/>
      <c r="D252" s="5">
        <f t="shared" si="7"/>
        <v>0</v>
      </c>
      <c r="E252" s="6">
        <f t="shared" si="6"/>
        <v>0</v>
      </c>
      <c r="F252" s="6">
        <f t="shared" si="6"/>
        <v>0</v>
      </c>
      <c r="G252" s="62"/>
      <c r="H252" s="62"/>
      <c r="I252" s="60"/>
      <c r="J252" s="60"/>
      <c r="K252" s="64"/>
      <c r="L252" s="64"/>
      <c r="M252" s="25"/>
      <c r="N252" s="25"/>
    </row>
    <row r="253" spans="1:14">
      <c r="A253" s="3" t="s">
        <v>464</v>
      </c>
      <c r="B253" s="10" t="s">
        <v>465</v>
      </c>
      <c r="C253" s="5"/>
      <c r="D253" s="5">
        <f t="shared" si="7"/>
        <v>0</v>
      </c>
      <c r="E253" s="6">
        <f t="shared" si="6"/>
        <v>0</v>
      </c>
      <c r="F253" s="6">
        <f t="shared" si="6"/>
        <v>0</v>
      </c>
      <c r="G253" s="62"/>
      <c r="H253" s="62"/>
      <c r="I253" s="60"/>
      <c r="J253" s="60"/>
      <c r="K253" s="64"/>
      <c r="L253" s="64"/>
      <c r="M253" s="25"/>
      <c r="N253" s="25"/>
    </row>
    <row r="254" spans="1:14">
      <c r="A254" s="3" t="s">
        <v>466</v>
      </c>
      <c r="B254" s="10" t="s">
        <v>467</v>
      </c>
      <c r="C254" s="5"/>
      <c r="D254" s="5">
        <f t="shared" si="7"/>
        <v>0</v>
      </c>
      <c r="E254" s="6">
        <f t="shared" si="6"/>
        <v>0</v>
      </c>
      <c r="F254" s="6">
        <f t="shared" si="6"/>
        <v>0</v>
      </c>
      <c r="G254" s="62"/>
      <c r="H254" s="62"/>
      <c r="I254" s="60"/>
      <c r="J254" s="60"/>
      <c r="K254" s="64"/>
      <c r="L254" s="64"/>
      <c r="M254" s="25"/>
      <c r="N254" s="25"/>
    </row>
    <row r="255" spans="1:14">
      <c r="A255" s="3" t="s">
        <v>468</v>
      </c>
      <c r="B255" s="10" t="s">
        <v>469</v>
      </c>
      <c r="C255" s="5"/>
      <c r="D255" s="5">
        <f t="shared" si="7"/>
        <v>0</v>
      </c>
      <c r="E255" s="6">
        <f t="shared" si="6"/>
        <v>0</v>
      </c>
      <c r="F255" s="6">
        <f t="shared" si="6"/>
        <v>0</v>
      </c>
      <c r="G255" s="62"/>
      <c r="H255" s="62"/>
      <c r="I255" s="60"/>
      <c r="J255" s="60"/>
      <c r="K255" s="64"/>
      <c r="L255" s="64"/>
      <c r="M255" s="25"/>
      <c r="N255" s="25"/>
    </row>
    <row r="256" spans="1:14">
      <c r="A256" s="3" t="s">
        <v>470</v>
      </c>
      <c r="B256" s="10" t="s">
        <v>471</v>
      </c>
      <c r="C256" s="5"/>
      <c r="D256" s="5">
        <f t="shared" si="7"/>
        <v>0</v>
      </c>
      <c r="E256" s="6">
        <f t="shared" si="6"/>
        <v>0</v>
      </c>
      <c r="F256" s="6">
        <f t="shared" si="6"/>
        <v>0</v>
      </c>
      <c r="G256" s="62"/>
      <c r="H256" s="62"/>
      <c r="I256" s="60"/>
      <c r="J256" s="60"/>
      <c r="K256" s="64"/>
      <c r="L256" s="64"/>
      <c r="M256" s="25"/>
      <c r="N256" s="25"/>
    </row>
    <row r="257" spans="1:14">
      <c r="A257" s="3" t="s">
        <v>472</v>
      </c>
      <c r="B257" s="10" t="s">
        <v>473</v>
      </c>
      <c r="C257" s="5"/>
      <c r="D257" s="5">
        <f t="shared" si="7"/>
        <v>0</v>
      </c>
      <c r="E257" s="6">
        <f t="shared" si="6"/>
        <v>0</v>
      </c>
      <c r="F257" s="6">
        <f t="shared" si="6"/>
        <v>0</v>
      </c>
      <c r="G257" s="62"/>
      <c r="H257" s="62"/>
      <c r="I257" s="60"/>
      <c r="J257" s="60"/>
      <c r="K257" s="64"/>
      <c r="L257" s="64"/>
      <c r="M257" s="25"/>
      <c r="N257" s="25"/>
    </row>
    <row r="258" spans="1:14">
      <c r="A258" s="3" t="s">
        <v>474</v>
      </c>
      <c r="B258" s="10" t="s">
        <v>475</v>
      </c>
      <c r="C258" s="5"/>
      <c r="D258" s="5">
        <f t="shared" si="7"/>
        <v>0</v>
      </c>
      <c r="E258" s="6">
        <f t="shared" si="6"/>
        <v>0</v>
      </c>
      <c r="F258" s="6">
        <f t="shared" si="6"/>
        <v>0</v>
      </c>
      <c r="G258" s="62"/>
      <c r="H258" s="62"/>
      <c r="I258" s="60"/>
      <c r="J258" s="60"/>
      <c r="K258" s="64"/>
      <c r="L258" s="64"/>
      <c r="M258" s="25"/>
      <c r="N258" s="25"/>
    </row>
    <row r="259" spans="1:14">
      <c r="A259" s="3" t="s">
        <v>476</v>
      </c>
      <c r="B259" s="10" t="s">
        <v>477</v>
      </c>
      <c r="C259" s="5"/>
      <c r="D259" s="5">
        <f t="shared" si="7"/>
        <v>0</v>
      </c>
      <c r="E259" s="6">
        <f t="shared" si="6"/>
        <v>0</v>
      </c>
      <c r="F259" s="6">
        <f t="shared" si="6"/>
        <v>0</v>
      </c>
      <c r="G259" s="62"/>
      <c r="H259" s="62"/>
      <c r="I259" s="60"/>
      <c r="J259" s="60"/>
      <c r="K259" s="64"/>
      <c r="L259" s="64"/>
      <c r="M259" s="25"/>
      <c r="N259" s="25"/>
    </row>
    <row r="260" spans="1:14">
      <c r="A260" s="3" t="s">
        <v>478</v>
      </c>
      <c r="B260" s="10" t="s">
        <v>479</v>
      </c>
      <c r="C260" s="5"/>
      <c r="D260" s="5">
        <f t="shared" si="7"/>
        <v>0</v>
      </c>
      <c r="E260" s="6">
        <f t="shared" si="6"/>
        <v>0</v>
      </c>
      <c r="F260" s="6">
        <f t="shared" si="6"/>
        <v>0</v>
      </c>
      <c r="G260" s="62"/>
      <c r="H260" s="62"/>
      <c r="I260" s="60"/>
      <c r="J260" s="60"/>
      <c r="K260" s="64"/>
      <c r="L260" s="64"/>
      <c r="M260" s="25"/>
      <c r="N260" s="25"/>
    </row>
    <row r="261" spans="1:14">
      <c r="A261" s="3" t="s">
        <v>480</v>
      </c>
      <c r="B261" s="10" t="s">
        <v>481</v>
      </c>
      <c r="C261" s="5"/>
      <c r="D261" s="5">
        <f t="shared" si="7"/>
        <v>0</v>
      </c>
      <c r="E261" s="6">
        <f t="shared" si="6"/>
        <v>0</v>
      </c>
      <c r="F261" s="6">
        <f t="shared" si="6"/>
        <v>0</v>
      </c>
      <c r="G261" s="62"/>
      <c r="H261" s="62"/>
      <c r="I261" s="60"/>
      <c r="J261" s="60"/>
      <c r="K261" s="64"/>
      <c r="L261" s="64"/>
      <c r="M261" s="25"/>
      <c r="N261" s="25"/>
    </row>
    <row r="262" spans="1:14">
      <c r="A262" s="3" t="s">
        <v>482</v>
      </c>
      <c r="B262" s="10" t="s">
        <v>483</v>
      </c>
      <c r="C262" s="5"/>
      <c r="D262" s="5">
        <f t="shared" si="7"/>
        <v>0</v>
      </c>
      <c r="E262" s="6">
        <f t="shared" si="6"/>
        <v>0</v>
      </c>
      <c r="F262" s="6">
        <f t="shared" si="6"/>
        <v>0</v>
      </c>
      <c r="G262" s="62"/>
      <c r="H262" s="62"/>
      <c r="I262" s="60"/>
      <c r="J262" s="60"/>
      <c r="K262" s="64"/>
      <c r="L262" s="64"/>
      <c r="M262" s="25"/>
      <c r="N262" s="25"/>
    </row>
    <row r="263" spans="1:14">
      <c r="A263" s="3" t="s">
        <v>484</v>
      </c>
      <c r="B263" s="10" t="s">
        <v>485</v>
      </c>
      <c r="C263" s="5"/>
      <c r="D263" s="5">
        <f t="shared" si="7"/>
        <v>0</v>
      </c>
      <c r="E263" s="6">
        <f t="shared" si="6"/>
        <v>0</v>
      </c>
      <c r="F263" s="6">
        <f t="shared" si="6"/>
        <v>0</v>
      </c>
      <c r="G263" s="62"/>
      <c r="H263" s="62"/>
      <c r="I263" s="60"/>
      <c r="J263" s="60"/>
      <c r="K263" s="64"/>
      <c r="L263" s="64"/>
      <c r="M263" s="25"/>
      <c r="N263" s="25"/>
    </row>
    <row r="264" spans="1:14">
      <c r="A264" s="3" t="s">
        <v>486</v>
      </c>
      <c r="B264" s="10" t="s">
        <v>487</v>
      </c>
      <c r="C264" s="5"/>
      <c r="D264" s="5">
        <f t="shared" si="7"/>
        <v>0</v>
      </c>
      <c r="E264" s="6">
        <f t="shared" si="6"/>
        <v>0</v>
      </c>
      <c r="F264" s="6">
        <f t="shared" si="6"/>
        <v>0</v>
      </c>
      <c r="G264" s="62"/>
      <c r="H264" s="62"/>
      <c r="I264" s="60"/>
      <c r="J264" s="60"/>
      <c r="K264" s="64"/>
      <c r="L264" s="64"/>
      <c r="M264" s="25"/>
      <c r="N264" s="25"/>
    </row>
    <row r="265" spans="1:14">
      <c r="A265" s="3" t="s">
        <v>488</v>
      </c>
      <c r="B265" s="10" t="s">
        <v>489</v>
      </c>
      <c r="C265" s="5"/>
      <c r="D265" s="5">
        <f t="shared" si="7"/>
        <v>0</v>
      </c>
      <c r="E265" s="6">
        <f t="shared" si="6"/>
        <v>0</v>
      </c>
      <c r="F265" s="6">
        <f t="shared" si="6"/>
        <v>0</v>
      </c>
      <c r="G265" s="62"/>
      <c r="H265" s="62"/>
      <c r="I265" s="60"/>
      <c r="J265" s="60"/>
      <c r="K265" s="64"/>
      <c r="L265" s="64"/>
      <c r="M265" s="25"/>
      <c r="N265" s="25"/>
    </row>
    <row r="266" spans="1:14">
      <c r="A266" s="3" t="s">
        <v>490</v>
      </c>
      <c r="B266" s="10" t="s">
        <v>491</v>
      </c>
      <c r="C266" s="5"/>
      <c r="D266" s="5">
        <f t="shared" si="7"/>
        <v>0</v>
      </c>
      <c r="E266" s="6">
        <f t="shared" si="6"/>
        <v>0</v>
      </c>
      <c r="F266" s="6">
        <f t="shared" si="6"/>
        <v>0</v>
      </c>
      <c r="G266" s="62"/>
      <c r="H266" s="62"/>
      <c r="I266" s="60"/>
      <c r="J266" s="60"/>
      <c r="K266" s="64"/>
      <c r="L266" s="64"/>
      <c r="M266" s="25"/>
      <c r="N266" s="25"/>
    </row>
    <row r="267" spans="1:14">
      <c r="A267" s="3" t="s">
        <v>492</v>
      </c>
      <c r="B267" s="10" t="s">
        <v>493</v>
      </c>
      <c r="C267" s="5"/>
      <c r="D267" s="5">
        <f t="shared" si="7"/>
        <v>0</v>
      </c>
      <c r="E267" s="6">
        <f t="shared" si="6"/>
        <v>0</v>
      </c>
      <c r="F267" s="6">
        <f t="shared" si="6"/>
        <v>0</v>
      </c>
      <c r="G267" s="62"/>
      <c r="H267" s="62"/>
      <c r="I267" s="60"/>
      <c r="J267" s="60"/>
      <c r="K267" s="64"/>
      <c r="L267" s="64"/>
      <c r="M267" s="25"/>
      <c r="N267" s="25"/>
    </row>
    <row r="268" spans="1:14">
      <c r="A268" s="3" t="s">
        <v>494</v>
      </c>
      <c r="B268" s="10" t="s">
        <v>495</v>
      </c>
      <c r="C268" s="5"/>
      <c r="D268" s="5">
        <f t="shared" si="7"/>
        <v>0</v>
      </c>
      <c r="E268" s="6">
        <f t="shared" si="6"/>
        <v>0</v>
      </c>
      <c r="F268" s="6">
        <f t="shared" si="6"/>
        <v>0</v>
      </c>
      <c r="G268" s="62"/>
      <c r="H268" s="62"/>
      <c r="I268" s="60"/>
      <c r="J268" s="60"/>
      <c r="K268" s="64"/>
      <c r="L268" s="64"/>
      <c r="M268" s="25"/>
      <c r="N268" s="25"/>
    </row>
    <row r="269" spans="1:14">
      <c r="A269" s="3" t="s">
        <v>496</v>
      </c>
      <c r="B269" s="10" t="s">
        <v>497</v>
      </c>
      <c r="C269" s="5"/>
      <c r="D269" s="5">
        <f t="shared" si="7"/>
        <v>0</v>
      </c>
      <c r="E269" s="6">
        <f t="shared" si="6"/>
        <v>0</v>
      </c>
      <c r="F269" s="6">
        <f t="shared" si="6"/>
        <v>0</v>
      </c>
      <c r="G269" s="62"/>
      <c r="H269" s="62"/>
      <c r="I269" s="60"/>
      <c r="J269" s="60"/>
      <c r="K269" s="64"/>
      <c r="L269" s="64"/>
      <c r="M269" s="25"/>
      <c r="N269" s="25"/>
    </row>
    <row r="270" spans="1:14">
      <c r="A270" s="3" t="s">
        <v>498</v>
      </c>
      <c r="B270" s="10" t="s">
        <v>499</v>
      </c>
      <c r="C270" s="5"/>
      <c r="D270" s="5">
        <f t="shared" si="7"/>
        <v>0</v>
      </c>
      <c r="E270" s="6">
        <f t="shared" ref="E270:F333" si="8">SUM(G270,I270,K270,M270)</f>
        <v>0</v>
      </c>
      <c r="F270" s="6">
        <f t="shared" si="8"/>
        <v>0</v>
      </c>
      <c r="G270" s="62"/>
      <c r="H270" s="62"/>
      <c r="I270" s="60"/>
      <c r="J270" s="60"/>
      <c r="K270" s="64"/>
      <c r="L270" s="64"/>
      <c r="M270" s="25"/>
      <c r="N270" s="25"/>
    </row>
    <row r="271" spans="1:14">
      <c r="A271" s="3" t="s">
        <v>500</v>
      </c>
      <c r="B271" s="10" t="s">
        <v>501</v>
      </c>
      <c r="C271" s="5"/>
      <c r="D271" s="5">
        <f t="shared" si="7"/>
        <v>0</v>
      </c>
      <c r="E271" s="6">
        <f t="shared" si="8"/>
        <v>0</v>
      </c>
      <c r="F271" s="6">
        <f t="shared" si="8"/>
        <v>0</v>
      </c>
      <c r="G271" s="62"/>
      <c r="H271" s="62"/>
      <c r="I271" s="60"/>
      <c r="J271" s="60"/>
      <c r="K271" s="64"/>
      <c r="L271" s="64"/>
      <c r="M271" s="25"/>
      <c r="N271" s="25"/>
    </row>
    <row r="272" spans="1:14">
      <c r="A272" s="3" t="s">
        <v>502</v>
      </c>
      <c r="B272" s="10" t="s">
        <v>503</v>
      </c>
      <c r="C272" s="5"/>
      <c r="D272" s="5">
        <f t="shared" si="7"/>
        <v>0</v>
      </c>
      <c r="E272" s="6">
        <f t="shared" si="8"/>
        <v>0</v>
      </c>
      <c r="F272" s="6">
        <f t="shared" si="8"/>
        <v>0</v>
      </c>
      <c r="G272" s="62"/>
      <c r="H272" s="62"/>
      <c r="I272" s="60"/>
      <c r="J272" s="60"/>
      <c r="K272" s="64"/>
      <c r="L272" s="64"/>
      <c r="M272" s="25"/>
      <c r="N272" s="25"/>
    </row>
    <row r="273" spans="1:14">
      <c r="A273" s="3" t="s">
        <v>504</v>
      </c>
      <c r="B273" s="10" t="s">
        <v>505</v>
      </c>
      <c r="C273" s="5"/>
      <c r="D273" s="5">
        <f t="shared" si="7"/>
        <v>0</v>
      </c>
      <c r="E273" s="6">
        <f t="shared" si="8"/>
        <v>0</v>
      </c>
      <c r="F273" s="6">
        <f t="shared" si="8"/>
        <v>0</v>
      </c>
      <c r="G273" s="62"/>
      <c r="H273" s="62"/>
      <c r="I273" s="60"/>
      <c r="J273" s="60"/>
      <c r="K273" s="64"/>
      <c r="L273" s="64"/>
      <c r="M273" s="25"/>
      <c r="N273" s="25"/>
    </row>
    <row r="274" spans="1:14">
      <c r="A274" s="3" t="s">
        <v>506</v>
      </c>
      <c r="B274" s="10" t="s">
        <v>507</v>
      </c>
      <c r="C274" s="5"/>
      <c r="D274" s="5">
        <f t="shared" si="7"/>
        <v>0</v>
      </c>
      <c r="E274" s="6">
        <f t="shared" si="8"/>
        <v>0</v>
      </c>
      <c r="F274" s="6">
        <f t="shared" si="8"/>
        <v>0</v>
      </c>
      <c r="G274" s="62"/>
      <c r="H274" s="62"/>
      <c r="I274" s="60"/>
      <c r="J274" s="60"/>
      <c r="K274" s="64"/>
      <c r="L274" s="64"/>
      <c r="M274" s="25"/>
      <c r="N274" s="25"/>
    </row>
    <row r="275" spans="1:14">
      <c r="A275" s="3" t="s">
        <v>508</v>
      </c>
      <c r="B275" s="10" t="s">
        <v>509</v>
      </c>
      <c r="C275" s="5"/>
      <c r="D275" s="5">
        <f t="shared" si="7"/>
        <v>0</v>
      </c>
      <c r="E275" s="6">
        <f t="shared" si="8"/>
        <v>0</v>
      </c>
      <c r="F275" s="6">
        <f t="shared" si="8"/>
        <v>0</v>
      </c>
      <c r="G275" s="62"/>
      <c r="H275" s="62"/>
      <c r="I275" s="60"/>
      <c r="J275" s="60"/>
      <c r="K275" s="64"/>
      <c r="L275" s="64"/>
      <c r="M275" s="25"/>
      <c r="N275" s="25"/>
    </row>
    <row r="276" spans="1:14">
      <c r="A276" s="3" t="s">
        <v>510</v>
      </c>
      <c r="B276" s="10" t="s">
        <v>511</v>
      </c>
      <c r="C276" s="5"/>
      <c r="D276" s="5">
        <f t="shared" si="7"/>
        <v>0</v>
      </c>
      <c r="E276" s="6">
        <f t="shared" si="8"/>
        <v>0</v>
      </c>
      <c r="F276" s="6">
        <f t="shared" si="8"/>
        <v>0</v>
      </c>
      <c r="G276" s="62"/>
      <c r="H276" s="62"/>
      <c r="I276" s="60"/>
      <c r="J276" s="60"/>
      <c r="K276" s="64"/>
      <c r="L276" s="64"/>
      <c r="M276" s="25"/>
      <c r="N276" s="25"/>
    </row>
    <row r="277" spans="1:14">
      <c r="A277" s="3" t="s">
        <v>512</v>
      </c>
      <c r="B277" s="10" t="s">
        <v>513</v>
      </c>
      <c r="C277" s="5"/>
      <c r="D277" s="5">
        <f t="shared" si="7"/>
        <v>0</v>
      </c>
      <c r="E277" s="6">
        <f t="shared" si="8"/>
        <v>0</v>
      </c>
      <c r="F277" s="6">
        <f t="shared" si="8"/>
        <v>0</v>
      </c>
      <c r="G277" s="62"/>
      <c r="H277" s="62"/>
      <c r="I277" s="60"/>
      <c r="J277" s="60"/>
      <c r="K277" s="64"/>
      <c r="L277" s="64"/>
      <c r="M277" s="25"/>
      <c r="N277" s="25"/>
    </row>
    <row r="278" spans="1:14">
      <c r="A278" s="3" t="s">
        <v>514</v>
      </c>
      <c r="B278" s="10" t="s">
        <v>515</v>
      </c>
      <c r="C278" s="5"/>
      <c r="D278" s="5">
        <f t="shared" si="7"/>
        <v>0</v>
      </c>
      <c r="E278" s="6">
        <f t="shared" si="8"/>
        <v>0</v>
      </c>
      <c r="F278" s="6">
        <f t="shared" si="8"/>
        <v>0</v>
      </c>
      <c r="G278" s="62"/>
      <c r="H278" s="62"/>
      <c r="I278" s="60"/>
      <c r="J278" s="60"/>
      <c r="K278" s="64"/>
      <c r="L278" s="64"/>
      <c r="M278" s="25"/>
      <c r="N278" s="25"/>
    </row>
    <row r="279" spans="1:14">
      <c r="A279" s="3" t="s">
        <v>516</v>
      </c>
      <c r="B279" s="10" t="s">
        <v>517</v>
      </c>
      <c r="C279" s="5"/>
      <c r="D279" s="5">
        <f t="shared" si="7"/>
        <v>0</v>
      </c>
      <c r="E279" s="6">
        <f t="shared" si="8"/>
        <v>0</v>
      </c>
      <c r="F279" s="6">
        <f t="shared" si="8"/>
        <v>0</v>
      </c>
      <c r="G279" s="62"/>
      <c r="H279" s="62"/>
      <c r="I279" s="60"/>
      <c r="J279" s="60"/>
      <c r="K279" s="64"/>
      <c r="L279" s="64"/>
      <c r="M279" s="25"/>
      <c r="N279" s="25"/>
    </row>
    <row r="280" spans="1:14">
      <c r="A280" s="3" t="s">
        <v>518</v>
      </c>
      <c r="B280" s="10" t="s">
        <v>519</v>
      </c>
      <c r="C280" s="5"/>
      <c r="D280" s="5">
        <f t="shared" si="7"/>
        <v>0</v>
      </c>
      <c r="E280" s="6">
        <f t="shared" si="8"/>
        <v>0</v>
      </c>
      <c r="F280" s="6">
        <f t="shared" si="8"/>
        <v>0</v>
      </c>
      <c r="G280" s="62"/>
      <c r="H280" s="62"/>
      <c r="I280" s="60"/>
      <c r="J280" s="60"/>
      <c r="K280" s="64"/>
      <c r="L280" s="64"/>
      <c r="M280" s="25"/>
      <c r="N280" s="25"/>
    </row>
    <row r="281" spans="1:14">
      <c r="A281" s="3" t="s">
        <v>520</v>
      </c>
      <c r="B281" s="4" t="s">
        <v>521</v>
      </c>
      <c r="C281" s="5">
        <f t="shared" ref="C281:C344" si="9">E281-F281</f>
        <v>0</v>
      </c>
      <c r="D281" s="5"/>
      <c r="E281" s="6">
        <f t="shared" si="8"/>
        <v>0</v>
      </c>
      <c r="F281" s="6">
        <f t="shared" si="8"/>
        <v>0</v>
      </c>
      <c r="G281" s="62"/>
      <c r="H281" s="62"/>
      <c r="I281" s="60"/>
      <c r="J281" s="60"/>
      <c r="K281" s="64"/>
      <c r="L281" s="64"/>
      <c r="M281" s="25"/>
      <c r="N281" s="25"/>
    </row>
    <row r="282" spans="1:14">
      <c r="A282" s="3" t="s">
        <v>522</v>
      </c>
      <c r="B282" s="4" t="s">
        <v>523</v>
      </c>
      <c r="C282" s="5">
        <f t="shared" si="9"/>
        <v>0</v>
      </c>
      <c r="D282" s="5"/>
      <c r="E282" s="6">
        <f t="shared" si="8"/>
        <v>0</v>
      </c>
      <c r="F282" s="6">
        <f t="shared" si="8"/>
        <v>0</v>
      </c>
      <c r="G282" s="62"/>
      <c r="H282" s="62"/>
      <c r="I282" s="60"/>
      <c r="J282" s="60"/>
      <c r="K282" s="64"/>
      <c r="L282" s="64"/>
      <c r="M282" s="25"/>
      <c r="N282" s="25"/>
    </row>
    <row r="283" spans="1:14">
      <c r="A283" s="3" t="s">
        <v>524</v>
      </c>
      <c r="B283" s="4" t="s">
        <v>525</v>
      </c>
      <c r="C283" s="5">
        <f t="shared" si="9"/>
        <v>0</v>
      </c>
      <c r="D283" s="5"/>
      <c r="E283" s="6">
        <f t="shared" si="8"/>
        <v>0</v>
      </c>
      <c r="F283" s="6">
        <f t="shared" si="8"/>
        <v>0</v>
      </c>
      <c r="G283" s="62"/>
      <c r="H283" s="62"/>
      <c r="I283" s="60"/>
      <c r="J283" s="60"/>
      <c r="K283" s="64"/>
      <c r="L283" s="64"/>
      <c r="M283" s="25"/>
      <c r="N283" s="25"/>
    </row>
    <row r="284" spans="1:14">
      <c r="A284" s="3" t="s">
        <v>526</v>
      </c>
      <c r="B284" s="4" t="s">
        <v>527</v>
      </c>
      <c r="C284" s="5">
        <f t="shared" si="9"/>
        <v>0</v>
      </c>
      <c r="D284" s="5"/>
      <c r="E284" s="6">
        <f t="shared" si="8"/>
        <v>0</v>
      </c>
      <c r="F284" s="6">
        <f t="shared" si="8"/>
        <v>0</v>
      </c>
      <c r="G284" s="62"/>
      <c r="H284" s="62"/>
      <c r="I284" s="60"/>
      <c r="J284" s="60"/>
      <c r="K284" s="64"/>
      <c r="L284" s="64"/>
      <c r="M284" s="25"/>
      <c r="N284" s="25"/>
    </row>
    <row r="285" spans="1:14">
      <c r="A285" s="3" t="s">
        <v>528</v>
      </c>
      <c r="B285" s="4" t="s">
        <v>529</v>
      </c>
      <c r="C285" s="5">
        <f t="shared" si="9"/>
        <v>0</v>
      </c>
      <c r="D285" s="5"/>
      <c r="E285" s="6">
        <f t="shared" si="8"/>
        <v>0</v>
      </c>
      <c r="F285" s="6">
        <f t="shared" si="8"/>
        <v>0</v>
      </c>
      <c r="G285" s="62"/>
      <c r="H285" s="62"/>
      <c r="I285" s="60"/>
      <c r="J285" s="60"/>
      <c r="K285" s="64"/>
      <c r="L285" s="64"/>
      <c r="M285" s="25"/>
      <c r="N285" s="25"/>
    </row>
    <row r="286" spans="1:14">
      <c r="A286" s="3" t="s">
        <v>530</v>
      </c>
      <c r="B286" s="4" t="s">
        <v>531</v>
      </c>
      <c r="C286" s="5">
        <f t="shared" si="9"/>
        <v>0</v>
      </c>
      <c r="D286" s="5"/>
      <c r="E286" s="6">
        <f t="shared" si="8"/>
        <v>0</v>
      </c>
      <c r="F286" s="6">
        <f t="shared" si="8"/>
        <v>0</v>
      </c>
      <c r="G286" s="62"/>
      <c r="H286" s="62"/>
      <c r="I286" s="60"/>
      <c r="J286" s="60"/>
      <c r="K286" s="64"/>
      <c r="L286" s="64"/>
      <c r="M286" s="25"/>
      <c r="N286" s="25"/>
    </row>
    <row r="287" spans="1:14">
      <c r="A287" s="3" t="s">
        <v>532</v>
      </c>
      <c r="B287" s="4" t="s">
        <v>533</v>
      </c>
      <c r="C287" s="5">
        <f t="shared" si="9"/>
        <v>0</v>
      </c>
      <c r="D287" s="5"/>
      <c r="E287" s="6">
        <f t="shared" si="8"/>
        <v>0</v>
      </c>
      <c r="F287" s="6">
        <f t="shared" si="8"/>
        <v>0</v>
      </c>
      <c r="G287" s="62"/>
      <c r="H287" s="62"/>
      <c r="I287" s="60"/>
      <c r="J287" s="60"/>
      <c r="K287" s="64"/>
      <c r="L287" s="64"/>
      <c r="M287" s="25"/>
      <c r="N287" s="25"/>
    </row>
    <row r="288" spans="1:14">
      <c r="A288" s="3" t="s">
        <v>534</v>
      </c>
      <c r="B288" s="4" t="s">
        <v>535</v>
      </c>
      <c r="C288" s="5">
        <f t="shared" si="9"/>
        <v>0</v>
      </c>
      <c r="D288" s="5"/>
      <c r="E288" s="6">
        <f t="shared" si="8"/>
        <v>0</v>
      </c>
      <c r="F288" s="6">
        <f t="shared" si="8"/>
        <v>0</v>
      </c>
      <c r="G288" s="62"/>
      <c r="H288" s="62"/>
      <c r="I288" s="60"/>
      <c r="J288" s="60"/>
      <c r="K288" s="64"/>
      <c r="L288" s="64"/>
      <c r="M288" s="25"/>
      <c r="N288" s="25"/>
    </row>
    <row r="289" spans="1:14">
      <c r="A289" s="3" t="s">
        <v>536</v>
      </c>
      <c r="B289" s="4" t="s">
        <v>537</v>
      </c>
      <c r="C289" s="5">
        <f t="shared" si="9"/>
        <v>0</v>
      </c>
      <c r="D289" s="5"/>
      <c r="E289" s="6">
        <f t="shared" si="8"/>
        <v>0</v>
      </c>
      <c r="F289" s="6">
        <f t="shared" si="8"/>
        <v>0</v>
      </c>
      <c r="G289" s="62"/>
      <c r="H289" s="62"/>
      <c r="I289" s="60"/>
      <c r="J289" s="60"/>
      <c r="K289" s="64"/>
      <c r="L289" s="64"/>
      <c r="M289" s="25"/>
      <c r="N289" s="25"/>
    </row>
    <row r="290" spans="1:14">
      <c r="A290" s="3" t="s">
        <v>538</v>
      </c>
      <c r="B290" s="4" t="s">
        <v>539</v>
      </c>
      <c r="C290" s="5">
        <f t="shared" si="9"/>
        <v>0</v>
      </c>
      <c r="D290" s="5"/>
      <c r="E290" s="6">
        <f t="shared" si="8"/>
        <v>0</v>
      </c>
      <c r="F290" s="6">
        <f t="shared" si="8"/>
        <v>0</v>
      </c>
      <c r="G290" s="62"/>
      <c r="H290" s="62"/>
      <c r="I290" s="60"/>
      <c r="J290" s="60"/>
      <c r="K290" s="64"/>
      <c r="L290" s="64"/>
      <c r="M290" s="25"/>
      <c r="N290" s="25"/>
    </row>
    <row r="291" spans="1:14">
      <c r="A291" s="3" t="s">
        <v>540</v>
      </c>
      <c r="B291" s="4" t="s">
        <v>541</v>
      </c>
      <c r="C291" s="5">
        <f t="shared" si="9"/>
        <v>0</v>
      </c>
      <c r="D291" s="5"/>
      <c r="E291" s="6">
        <f t="shared" si="8"/>
        <v>0</v>
      </c>
      <c r="F291" s="6">
        <f t="shared" si="8"/>
        <v>0</v>
      </c>
      <c r="G291" s="62"/>
      <c r="H291" s="62"/>
      <c r="I291" s="60"/>
      <c r="J291" s="60"/>
      <c r="K291" s="64"/>
      <c r="L291" s="64"/>
      <c r="M291" s="25"/>
      <c r="N291" s="25"/>
    </row>
    <row r="292" spans="1:14">
      <c r="A292" s="3" t="s">
        <v>542</v>
      </c>
      <c r="B292" s="4" t="s">
        <v>543</v>
      </c>
      <c r="C292" s="5">
        <f t="shared" si="9"/>
        <v>0</v>
      </c>
      <c r="D292" s="5"/>
      <c r="E292" s="6">
        <f t="shared" si="8"/>
        <v>0</v>
      </c>
      <c r="F292" s="6">
        <f t="shared" si="8"/>
        <v>0</v>
      </c>
      <c r="G292" s="62"/>
      <c r="H292" s="62"/>
      <c r="I292" s="60"/>
      <c r="J292" s="60"/>
      <c r="K292" s="64"/>
      <c r="L292" s="64"/>
      <c r="M292" s="25"/>
      <c r="N292" s="25"/>
    </row>
    <row r="293" spans="1:14">
      <c r="A293" s="3" t="s">
        <v>544</v>
      </c>
      <c r="B293" s="4" t="s">
        <v>545</v>
      </c>
      <c r="C293" s="5">
        <f t="shared" si="9"/>
        <v>0</v>
      </c>
      <c r="D293" s="5"/>
      <c r="E293" s="6">
        <f t="shared" si="8"/>
        <v>0</v>
      </c>
      <c r="F293" s="6">
        <f t="shared" si="8"/>
        <v>0</v>
      </c>
      <c r="G293" s="62"/>
      <c r="H293" s="62"/>
      <c r="I293" s="60"/>
      <c r="J293" s="60"/>
      <c r="K293" s="64"/>
      <c r="L293" s="64"/>
      <c r="M293" s="25"/>
      <c r="N293" s="25"/>
    </row>
    <row r="294" spans="1:14">
      <c r="A294" s="3" t="s">
        <v>546</v>
      </c>
      <c r="B294" s="4" t="s">
        <v>547</v>
      </c>
      <c r="C294" s="5">
        <f t="shared" si="9"/>
        <v>0</v>
      </c>
      <c r="D294" s="5"/>
      <c r="E294" s="6">
        <f t="shared" si="8"/>
        <v>0</v>
      </c>
      <c r="F294" s="6">
        <f t="shared" si="8"/>
        <v>0</v>
      </c>
      <c r="G294" s="62"/>
      <c r="H294" s="62"/>
      <c r="I294" s="60"/>
      <c r="J294" s="60"/>
      <c r="K294" s="64"/>
      <c r="L294" s="64"/>
      <c r="M294" s="25"/>
      <c r="N294" s="25"/>
    </row>
    <row r="295" spans="1:14">
      <c r="A295" s="3" t="s">
        <v>548</v>
      </c>
      <c r="B295" s="4" t="s">
        <v>549</v>
      </c>
      <c r="C295" s="5">
        <f t="shared" si="9"/>
        <v>0</v>
      </c>
      <c r="D295" s="5"/>
      <c r="E295" s="6">
        <f t="shared" si="8"/>
        <v>0</v>
      </c>
      <c r="F295" s="6">
        <f t="shared" si="8"/>
        <v>0</v>
      </c>
      <c r="G295" s="62"/>
      <c r="H295" s="62"/>
      <c r="I295" s="60"/>
      <c r="J295" s="60"/>
      <c r="K295" s="64"/>
      <c r="L295" s="64"/>
      <c r="M295" s="25"/>
      <c r="N295" s="25"/>
    </row>
    <row r="296" spans="1:14">
      <c r="A296" s="3" t="s">
        <v>550</v>
      </c>
      <c r="B296" s="4" t="s">
        <v>551</v>
      </c>
      <c r="C296" s="5">
        <f t="shared" si="9"/>
        <v>0</v>
      </c>
      <c r="D296" s="5"/>
      <c r="E296" s="6">
        <f t="shared" si="8"/>
        <v>0</v>
      </c>
      <c r="F296" s="6">
        <f t="shared" si="8"/>
        <v>0</v>
      </c>
      <c r="G296" s="62"/>
      <c r="H296" s="62"/>
      <c r="I296" s="60"/>
      <c r="J296" s="60"/>
      <c r="K296" s="64"/>
      <c r="L296" s="64"/>
      <c r="M296" s="25"/>
      <c r="N296" s="25"/>
    </row>
    <row r="297" spans="1:14">
      <c r="A297" s="3" t="s">
        <v>552</v>
      </c>
      <c r="B297" s="4" t="s">
        <v>553</v>
      </c>
      <c r="C297" s="5">
        <f t="shared" si="9"/>
        <v>0</v>
      </c>
      <c r="D297" s="5"/>
      <c r="E297" s="6">
        <f t="shared" si="8"/>
        <v>0</v>
      </c>
      <c r="F297" s="6">
        <f t="shared" si="8"/>
        <v>0</v>
      </c>
      <c r="G297" s="62"/>
      <c r="H297" s="62"/>
      <c r="I297" s="60"/>
      <c r="J297" s="60"/>
      <c r="K297" s="64"/>
      <c r="L297" s="64"/>
      <c r="M297" s="25"/>
      <c r="N297" s="25"/>
    </row>
    <row r="298" spans="1:14">
      <c r="A298" s="3" t="s">
        <v>554</v>
      </c>
      <c r="B298" s="4" t="s">
        <v>555</v>
      </c>
      <c r="C298" s="5">
        <f t="shared" si="9"/>
        <v>0</v>
      </c>
      <c r="D298" s="5"/>
      <c r="E298" s="6">
        <f t="shared" si="8"/>
        <v>0</v>
      </c>
      <c r="F298" s="6">
        <f t="shared" si="8"/>
        <v>0</v>
      </c>
      <c r="G298" s="62"/>
      <c r="H298" s="62"/>
      <c r="I298" s="60"/>
      <c r="J298" s="60"/>
      <c r="K298" s="64"/>
      <c r="L298" s="64"/>
      <c r="M298" s="25"/>
      <c r="N298" s="25"/>
    </row>
    <row r="299" spans="1:14">
      <c r="A299" s="3" t="s">
        <v>556</v>
      </c>
      <c r="B299" s="4" t="s">
        <v>557</v>
      </c>
      <c r="C299" s="5">
        <f t="shared" si="9"/>
        <v>0</v>
      </c>
      <c r="D299" s="5"/>
      <c r="E299" s="6">
        <f t="shared" si="8"/>
        <v>0</v>
      </c>
      <c r="F299" s="6">
        <f t="shared" si="8"/>
        <v>0</v>
      </c>
      <c r="G299" s="62"/>
      <c r="H299" s="62"/>
      <c r="I299" s="60"/>
      <c r="J299" s="60"/>
      <c r="K299" s="64"/>
      <c r="L299" s="64"/>
      <c r="M299" s="25"/>
      <c r="N299" s="25"/>
    </row>
    <row r="300" spans="1:14">
      <c r="A300" s="3" t="s">
        <v>558</v>
      </c>
      <c r="B300" s="4" t="s">
        <v>559</v>
      </c>
      <c r="C300" s="5">
        <f t="shared" si="9"/>
        <v>0</v>
      </c>
      <c r="D300" s="5"/>
      <c r="E300" s="6">
        <f t="shared" si="8"/>
        <v>0</v>
      </c>
      <c r="F300" s="6">
        <f t="shared" si="8"/>
        <v>0</v>
      </c>
      <c r="G300" s="62"/>
      <c r="H300" s="62"/>
      <c r="I300" s="60"/>
      <c r="J300" s="60"/>
      <c r="K300" s="64"/>
      <c r="L300" s="64"/>
      <c r="M300" s="25"/>
      <c r="N300" s="25"/>
    </row>
    <row r="301" spans="1:14">
      <c r="A301" s="3" t="s">
        <v>560</v>
      </c>
      <c r="B301" s="4" t="s">
        <v>561</v>
      </c>
      <c r="C301" s="5">
        <f t="shared" si="9"/>
        <v>0</v>
      </c>
      <c r="D301" s="5"/>
      <c r="E301" s="6">
        <f t="shared" si="8"/>
        <v>0</v>
      </c>
      <c r="F301" s="6">
        <f t="shared" si="8"/>
        <v>0</v>
      </c>
      <c r="G301" s="62"/>
      <c r="H301" s="62"/>
      <c r="I301" s="60"/>
      <c r="J301" s="60"/>
      <c r="K301" s="64"/>
      <c r="L301" s="64"/>
      <c r="M301" s="25"/>
      <c r="N301" s="25"/>
    </row>
    <row r="302" spans="1:14">
      <c r="A302" s="3" t="s">
        <v>562</v>
      </c>
      <c r="B302" s="4" t="s">
        <v>563</v>
      </c>
      <c r="C302" s="5">
        <f t="shared" si="9"/>
        <v>0</v>
      </c>
      <c r="D302" s="5"/>
      <c r="E302" s="6">
        <f t="shared" si="8"/>
        <v>0</v>
      </c>
      <c r="F302" s="6">
        <f t="shared" si="8"/>
        <v>0</v>
      </c>
      <c r="G302" s="62"/>
      <c r="H302" s="62"/>
      <c r="I302" s="60"/>
      <c r="J302" s="60"/>
      <c r="K302" s="64"/>
      <c r="L302" s="64"/>
      <c r="M302" s="25"/>
      <c r="N302" s="25"/>
    </row>
    <row r="303" spans="1:14">
      <c r="A303" s="3" t="s">
        <v>564</v>
      </c>
      <c r="B303" s="4" t="s">
        <v>565</v>
      </c>
      <c r="C303" s="5">
        <f t="shared" si="9"/>
        <v>0</v>
      </c>
      <c r="D303" s="5"/>
      <c r="E303" s="6">
        <f t="shared" si="8"/>
        <v>0</v>
      </c>
      <c r="F303" s="6">
        <f t="shared" si="8"/>
        <v>0</v>
      </c>
      <c r="G303" s="62"/>
      <c r="H303" s="62"/>
      <c r="I303" s="60"/>
      <c r="J303" s="60"/>
      <c r="K303" s="64"/>
      <c r="L303" s="64"/>
      <c r="M303" s="25"/>
      <c r="N303" s="25"/>
    </row>
    <row r="304" spans="1:14">
      <c r="A304" s="3" t="s">
        <v>566</v>
      </c>
      <c r="B304" s="4" t="s">
        <v>567</v>
      </c>
      <c r="C304" s="5">
        <f t="shared" si="9"/>
        <v>0</v>
      </c>
      <c r="D304" s="5"/>
      <c r="E304" s="6">
        <f t="shared" si="8"/>
        <v>0</v>
      </c>
      <c r="F304" s="6">
        <f t="shared" si="8"/>
        <v>0</v>
      </c>
      <c r="G304" s="62"/>
      <c r="H304" s="62"/>
      <c r="I304" s="60"/>
      <c r="J304" s="60"/>
      <c r="K304" s="64"/>
      <c r="L304" s="64"/>
      <c r="M304" s="25"/>
      <c r="N304" s="25"/>
    </row>
    <row r="305" spans="1:14">
      <c r="A305" s="3" t="s">
        <v>568</v>
      </c>
      <c r="B305" s="4" t="s">
        <v>569</v>
      </c>
      <c r="C305" s="5">
        <f t="shared" si="9"/>
        <v>0</v>
      </c>
      <c r="D305" s="5"/>
      <c r="E305" s="6">
        <f t="shared" si="8"/>
        <v>0</v>
      </c>
      <c r="F305" s="6">
        <f t="shared" si="8"/>
        <v>0</v>
      </c>
      <c r="G305" s="62"/>
      <c r="H305" s="62"/>
      <c r="I305" s="60"/>
      <c r="J305" s="60"/>
      <c r="K305" s="64"/>
      <c r="L305" s="64"/>
      <c r="M305" s="25"/>
      <c r="N305" s="25"/>
    </row>
    <row r="306" spans="1:14">
      <c r="A306" s="3" t="s">
        <v>570</v>
      </c>
      <c r="B306" s="4" t="s">
        <v>571</v>
      </c>
      <c r="C306" s="5">
        <f t="shared" si="9"/>
        <v>0</v>
      </c>
      <c r="D306" s="5"/>
      <c r="E306" s="6">
        <f t="shared" si="8"/>
        <v>0</v>
      </c>
      <c r="F306" s="6">
        <f t="shared" si="8"/>
        <v>0</v>
      </c>
      <c r="G306" s="62"/>
      <c r="H306" s="62"/>
      <c r="I306" s="60"/>
      <c r="J306" s="60"/>
      <c r="K306" s="64"/>
      <c r="L306" s="64"/>
      <c r="M306" s="25"/>
      <c r="N306" s="25"/>
    </row>
    <row r="307" spans="1:14">
      <c r="A307" s="3" t="s">
        <v>572</v>
      </c>
      <c r="B307" s="4" t="s">
        <v>573</v>
      </c>
      <c r="C307" s="5">
        <f t="shared" si="9"/>
        <v>0</v>
      </c>
      <c r="D307" s="5"/>
      <c r="E307" s="6">
        <f t="shared" si="8"/>
        <v>0</v>
      </c>
      <c r="F307" s="6">
        <f t="shared" si="8"/>
        <v>0</v>
      </c>
      <c r="G307" s="62"/>
      <c r="H307" s="62"/>
      <c r="I307" s="60"/>
      <c r="J307" s="60"/>
      <c r="K307" s="64"/>
      <c r="L307" s="64"/>
      <c r="M307" s="25"/>
      <c r="N307" s="25"/>
    </row>
    <row r="308" spans="1:14">
      <c r="A308" s="3" t="s">
        <v>574</v>
      </c>
      <c r="B308" s="4" t="s">
        <v>575</v>
      </c>
      <c r="C308" s="5">
        <f t="shared" si="9"/>
        <v>0</v>
      </c>
      <c r="D308" s="5"/>
      <c r="E308" s="6">
        <f t="shared" si="8"/>
        <v>0</v>
      </c>
      <c r="F308" s="6">
        <f t="shared" si="8"/>
        <v>0</v>
      </c>
      <c r="G308" s="62"/>
      <c r="H308" s="62"/>
      <c r="I308" s="60"/>
      <c r="J308" s="60"/>
      <c r="K308" s="64"/>
      <c r="L308" s="64"/>
      <c r="M308" s="25"/>
      <c r="N308" s="25"/>
    </row>
    <row r="309" spans="1:14">
      <c r="A309" s="3" t="s">
        <v>576</v>
      </c>
      <c r="B309" s="4" t="s">
        <v>577</v>
      </c>
      <c r="C309" s="5">
        <f t="shared" si="9"/>
        <v>0</v>
      </c>
      <c r="D309" s="5"/>
      <c r="E309" s="6">
        <f t="shared" si="8"/>
        <v>0</v>
      </c>
      <c r="F309" s="6">
        <f t="shared" si="8"/>
        <v>0</v>
      </c>
      <c r="G309" s="62"/>
      <c r="H309" s="62"/>
      <c r="I309" s="60"/>
      <c r="J309" s="60"/>
      <c r="K309" s="64"/>
      <c r="L309" s="64"/>
      <c r="M309" s="25"/>
      <c r="N309" s="25"/>
    </row>
    <row r="310" spans="1:14">
      <c r="A310" s="3" t="s">
        <v>578</v>
      </c>
      <c r="B310" s="4" t="s">
        <v>579</v>
      </c>
      <c r="C310" s="5">
        <f t="shared" si="9"/>
        <v>0</v>
      </c>
      <c r="D310" s="5"/>
      <c r="E310" s="6">
        <f t="shared" si="8"/>
        <v>0</v>
      </c>
      <c r="F310" s="6">
        <f t="shared" si="8"/>
        <v>0</v>
      </c>
      <c r="G310" s="62"/>
      <c r="H310" s="62"/>
      <c r="I310" s="60"/>
      <c r="J310" s="60"/>
      <c r="K310" s="64"/>
      <c r="L310" s="64"/>
      <c r="M310" s="25"/>
      <c r="N310" s="25"/>
    </row>
    <row r="311" spans="1:14">
      <c r="A311" s="3" t="s">
        <v>580</v>
      </c>
      <c r="B311" s="4" t="s">
        <v>581</v>
      </c>
      <c r="C311" s="5">
        <f t="shared" si="9"/>
        <v>0</v>
      </c>
      <c r="D311" s="5"/>
      <c r="E311" s="6">
        <f t="shared" si="8"/>
        <v>0</v>
      </c>
      <c r="F311" s="6">
        <f t="shared" si="8"/>
        <v>0</v>
      </c>
      <c r="G311" s="62"/>
      <c r="H311" s="62"/>
      <c r="I311" s="60"/>
      <c r="J311" s="60"/>
      <c r="K311" s="64"/>
      <c r="L311" s="64"/>
      <c r="M311" s="25"/>
      <c r="N311" s="25"/>
    </row>
    <row r="312" spans="1:14">
      <c r="A312" s="3" t="s">
        <v>582</v>
      </c>
      <c r="B312" s="4" t="s">
        <v>583</v>
      </c>
      <c r="C312" s="5">
        <f t="shared" si="9"/>
        <v>0</v>
      </c>
      <c r="D312" s="5"/>
      <c r="E312" s="6">
        <f t="shared" si="8"/>
        <v>0</v>
      </c>
      <c r="F312" s="6">
        <f t="shared" si="8"/>
        <v>0</v>
      </c>
      <c r="G312" s="62"/>
      <c r="H312" s="62"/>
      <c r="I312" s="60"/>
      <c r="J312" s="60"/>
      <c r="K312" s="64"/>
      <c r="L312" s="64"/>
      <c r="M312" s="25"/>
      <c r="N312" s="25"/>
    </row>
    <row r="313" spans="1:14">
      <c r="A313" s="3" t="s">
        <v>584</v>
      </c>
      <c r="B313" s="4" t="s">
        <v>585</v>
      </c>
      <c r="C313" s="5">
        <f t="shared" si="9"/>
        <v>0</v>
      </c>
      <c r="D313" s="5"/>
      <c r="E313" s="6">
        <f t="shared" si="8"/>
        <v>0</v>
      </c>
      <c r="F313" s="6">
        <f t="shared" si="8"/>
        <v>0</v>
      </c>
      <c r="G313" s="62"/>
      <c r="H313" s="62"/>
      <c r="I313" s="60"/>
      <c r="J313" s="60"/>
      <c r="K313" s="64"/>
      <c r="L313" s="64"/>
      <c r="M313" s="25"/>
      <c r="N313" s="25"/>
    </row>
    <row r="314" spans="1:14">
      <c r="A314" s="3" t="s">
        <v>586</v>
      </c>
      <c r="B314" s="4" t="s">
        <v>587</v>
      </c>
      <c r="C314" s="5">
        <f t="shared" si="9"/>
        <v>0</v>
      </c>
      <c r="D314" s="5"/>
      <c r="E314" s="6">
        <f t="shared" si="8"/>
        <v>0</v>
      </c>
      <c r="F314" s="6">
        <f t="shared" si="8"/>
        <v>0</v>
      </c>
      <c r="G314" s="62"/>
      <c r="H314" s="62"/>
      <c r="I314" s="60"/>
      <c r="J314" s="60"/>
      <c r="K314" s="64"/>
      <c r="L314" s="64"/>
      <c r="M314" s="25"/>
      <c r="N314" s="25"/>
    </row>
    <row r="315" spans="1:14">
      <c r="A315" s="3" t="s">
        <v>588</v>
      </c>
      <c r="B315" s="4" t="s">
        <v>589</v>
      </c>
      <c r="C315" s="5">
        <f t="shared" si="9"/>
        <v>0</v>
      </c>
      <c r="D315" s="5"/>
      <c r="E315" s="6">
        <f t="shared" si="8"/>
        <v>0</v>
      </c>
      <c r="F315" s="6">
        <f t="shared" si="8"/>
        <v>0</v>
      </c>
      <c r="G315" s="62"/>
      <c r="H315" s="62"/>
      <c r="I315" s="60"/>
      <c r="J315" s="60"/>
      <c r="K315" s="64"/>
      <c r="L315" s="64"/>
      <c r="M315" s="25"/>
      <c r="N315" s="25"/>
    </row>
    <row r="316" spans="1:14">
      <c r="A316" s="3" t="s">
        <v>590</v>
      </c>
      <c r="B316" s="4" t="s">
        <v>591</v>
      </c>
      <c r="C316" s="5">
        <f t="shared" si="9"/>
        <v>0</v>
      </c>
      <c r="D316" s="5"/>
      <c r="E316" s="6">
        <f t="shared" si="8"/>
        <v>0</v>
      </c>
      <c r="F316" s="6">
        <f t="shared" si="8"/>
        <v>0</v>
      </c>
      <c r="G316" s="62"/>
      <c r="H316" s="62"/>
      <c r="I316" s="60"/>
      <c r="J316" s="60"/>
      <c r="K316" s="64"/>
      <c r="L316" s="64"/>
      <c r="M316" s="25"/>
      <c r="N316" s="25"/>
    </row>
    <row r="317" spans="1:14">
      <c r="A317" s="3" t="s">
        <v>592</v>
      </c>
      <c r="B317" s="4" t="s">
        <v>593</v>
      </c>
      <c r="C317" s="5">
        <f t="shared" si="9"/>
        <v>0</v>
      </c>
      <c r="D317" s="5"/>
      <c r="E317" s="6">
        <f t="shared" si="8"/>
        <v>0</v>
      </c>
      <c r="F317" s="6">
        <f t="shared" si="8"/>
        <v>0</v>
      </c>
      <c r="G317" s="62"/>
      <c r="H317" s="62"/>
      <c r="I317" s="60"/>
      <c r="J317" s="60"/>
      <c r="K317" s="64"/>
      <c r="L317" s="64"/>
      <c r="M317" s="25"/>
      <c r="N317" s="25"/>
    </row>
    <row r="318" spans="1:14">
      <c r="A318" s="3" t="s">
        <v>594</v>
      </c>
      <c r="B318" s="4" t="s">
        <v>595</v>
      </c>
      <c r="C318" s="5">
        <f t="shared" si="9"/>
        <v>0</v>
      </c>
      <c r="D318" s="5"/>
      <c r="E318" s="6">
        <f t="shared" si="8"/>
        <v>0</v>
      </c>
      <c r="F318" s="6">
        <f t="shared" si="8"/>
        <v>0</v>
      </c>
      <c r="G318" s="62"/>
      <c r="H318" s="62"/>
      <c r="I318" s="60"/>
      <c r="J318" s="60"/>
      <c r="K318" s="64"/>
      <c r="L318" s="64"/>
      <c r="M318" s="25"/>
      <c r="N318" s="25"/>
    </row>
    <row r="319" spans="1:14">
      <c r="A319" s="3" t="s">
        <v>596</v>
      </c>
      <c r="B319" s="4" t="s">
        <v>597</v>
      </c>
      <c r="C319" s="5">
        <f t="shared" si="9"/>
        <v>0</v>
      </c>
      <c r="D319" s="5"/>
      <c r="E319" s="6">
        <f t="shared" si="8"/>
        <v>0</v>
      </c>
      <c r="F319" s="6">
        <f t="shared" si="8"/>
        <v>0</v>
      </c>
      <c r="G319" s="62"/>
      <c r="H319" s="62"/>
      <c r="I319" s="60"/>
      <c r="J319" s="60"/>
      <c r="K319" s="64"/>
      <c r="L319" s="64"/>
      <c r="M319" s="25"/>
      <c r="N319" s="25"/>
    </row>
    <row r="320" spans="1:14">
      <c r="A320" s="3" t="s">
        <v>598</v>
      </c>
      <c r="B320" s="4" t="s">
        <v>599</v>
      </c>
      <c r="C320" s="5">
        <f t="shared" si="9"/>
        <v>0</v>
      </c>
      <c r="D320" s="5"/>
      <c r="E320" s="6">
        <f t="shared" si="8"/>
        <v>0</v>
      </c>
      <c r="F320" s="6">
        <f t="shared" si="8"/>
        <v>0</v>
      </c>
      <c r="G320" s="62"/>
      <c r="H320" s="62"/>
      <c r="I320" s="60"/>
      <c r="J320" s="60"/>
      <c r="K320" s="64"/>
      <c r="L320" s="64"/>
      <c r="M320" s="25"/>
      <c r="N320" s="25"/>
    </row>
    <row r="321" spans="1:14">
      <c r="A321" s="3" t="s">
        <v>600</v>
      </c>
      <c r="B321" s="4" t="s">
        <v>601</v>
      </c>
      <c r="C321" s="5">
        <f t="shared" si="9"/>
        <v>0</v>
      </c>
      <c r="D321" s="5"/>
      <c r="E321" s="6">
        <f t="shared" si="8"/>
        <v>0</v>
      </c>
      <c r="F321" s="6">
        <f t="shared" si="8"/>
        <v>0</v>
      </c>
      <c r="G321" s="62"/>
      <c r="H321" s="62"/>
      <c r="I321" s="60"/>
      <c r="J321" s="60"/>
      <c r="K321" s="64"/>
      <c r="L321" s="64"/>
      <c r="M321" s="25"/>
      <c r="N321" s="25"/>
    </row>
    <row r="322" spans="1:14">
      <c r="A322" s="3" t="s">
        <v>602</v>
      </c>
      <c r="B322" s="4" t="s">
        <v>603</v>
      </c>
      <c r="C322" s="5">
        <f t="shared" si="9"/>
        <v>0</v>
      </c>
      <c r="D322" s="5"/>
      <c r="E322" s="6">
        <f t="shared" si="8"/>
        <v>0</v>
      </c>
      <c r="F322" s="6">
        <f t="shared" si="8"/>
        <v>0</v>
      </c>
      <c r="G322" s="62"/>
      <c r="H322" s="62"/>
      <c r="I322" s="60"/>
      <c r="J322" s="60"/>
      <c r="K322" s="64"/>
      <c r="L322" s="64"/>
      <c r="M322" s="25"/>
      <c r="N322" s="25"/>
    </row>
    <row r="323" spans="1:14">
      <c r="A323" s="3" t="s">
        <v>604</v>
      </c>
      <c r="B323" s="4" t="s">
        <v>605</v>
      </c>
      <c r="C323" s="5">
        <f t="shared" si="9"/>
        <v>0</v>
      </c>
      <c r="D323" s="5"/>
      <c r="E323" s="6">
        <f t="shared" si="8"/>
        <v>0</v>
      </c>
      <c r="F323" s="6">
        <f t="shared" si="8"/>
        <v>0</v>
      </c>
      <c r="G323" s="62"/>
      <c r="H323" s="62"/>
      <c r="I323" s="60"/>
      <c r="J323" s="60"/>
      <c r="K323" s="64"/>
      <c r="L323" s="64"/>
      <c r="M323" s="25"/>
      <c r="N323" s="25"/>
    </row>
    <row r="324" spans="1:14" s="70" customFormat="1">
      <c r="A324" s="3" t="s">
        <v>606</v>
      </c>
      <c r="B324" s="4" t="s">
        <v>607</v>
      </c>
      <c r="C324" s="5">
        <f t="shared" si="9"/>
        <v>0</v>
      </c>
      <c r="D324" s="5"/>
      <c r="E324" s="6">
        <f t="shared" si="8"/>
        <v>0</v>
      </c>
      <c r="F324" s="6">
        <f t="shared" si="8"/>
        <v>0</v>
      </c>
      <c r="G324" s="62"/>
      <c r="H324" s="62"/>
      <c r="I324" s="60"/>
      <c r="J324" s="60"/>
      <c r="K324" s="64"/>
      <c r="L324" s="64"/>
      <c r="M324" s="25"/>
      <c r="N324" s="25"/>
    </row>
    <row r="325" spans="1:14" s="70" customFormat="1">
      <c r="A325" s="3" t="s">
        <v>608</v>
      </c>
      <c r="B325" s="4" t="s">
        <v>609</v>
      </c>
      <c r="C325" s="5">
        <f t="shared" si="9"/>
        <v>0</v>
      </c>
      <c r="D325" s="5"/>
      <c r="E325" s="6">
        <f t="shared" si="8"/>
        <v>0</v>
      </c>
      <c r="F325" s="6">
        <f t="shared" si="8"/>
        <v>0</v>
      </c>
      <c r="G325" s="62"/>
      <c r="H325" s="62"/>
      <c r="I325" s="60"/>
      <c r="J325" s="60"/>
      <c r="K325" s="64"/>
      <c r="L325" s="64"/>
      <c r="M325" s="25"/>
      <c r="N325" s="25"/>
    </row>
    <row r="326" spans="1:14" s="70" customFormat="1">
      <c r="A326" s="3" t="s">
        <v>610</v>
      </c>
      <c r="B326" s="4" t="s">
        <v>611</v>
      </c>
      <c r="C326" s="5">
        <f t="shared" si="9"/>
        <v>0</v>
      </c>
      <c r="D326" s="5"/>
      <c r="E326" s="6">
        <f t="shared" si="8"/>
        <v>0</v>
      </c>
      <c r="F326" s="6">
        <f t="shared" si="8"/>
        <v>0</v>
      </c>
      <c r="G326" s="62"/>
      <c r="H326" s="62"/>
      <c r="I326" s="60"/>
      <c r="J326" s="60"/>
      <c r="K326" s="64"/>
      <c r="L326" s="64"/>
      <c r="M326" s="25"/>
      <c r="N326" s="25"/>
    </row>
    <row r="327" spans="1:14" s="70" customFormat="1">
      <c r="A327" s="3" t="s">
        <v>612</v>
      </c>
      <c r="B327" s="4" t="s">
        <v>613</v>
      </c>
      <c r="C327" s="5">
        <f t="shared" si="9"/>
        <v>0</v>
      </c>
      <c r="D327" s="5"/>
      <c r="E327" s="6">
        <f t="shared" si="8"/>
        <v>0</v>
      </c>
      <c r="F327" s="6">
        <f t="shared" si="8"/>
        <v>0</v>
      </c>
      <c r="G327" s="62"/>
      <c r="H327" s="62"/>
      <c r="I327" s="60"/>
      <c r="J327" s="60"/>
      <c r="K327" s="64"/>
      <c r="L327" s="64"/>
      <c r="M327" s="25"/>
      <c r="N327" s="25"/>
    </row>
    <row r="328" spans="1:14" s="1" customFormat="1">
      <c r="A328" s="3" t="s">
        <v>614</v>
      </c>
      <c r="B328" s="4" t="s">
        <v>615</v>
      </c>
      <c r="C328" s="5">
        <f t="shared" si="9"/>
        <v>0</v>
      </c>
      <c r="D328" s="5"/>
      <c r="E328" s="6">
        <f t="shared" si="8"/>
        <v>0</v>
      </c>
      <c r="F328" s="6">
        <f t="shared" si="8"/>
        <v>0</v>
      </c>
      <c r="G328" s="62"/>
      <c r="H328" s="62"/>
      <c r="I328" s="60"/>
      <c r="J328" s="60"/>
      <c r="K328" s="64"/>
      <c r="L328" s="64"/>
      <c r="M328" s="25"/>
      <c r="N328" s="25"/>
    </row>
    <row r="329" spans="1:14" s="70" customFormat="1">
      <c r="A329" s="3" t="s">
        <v>616</v>
      </c>
      <c r="B329" s="4" t="s">
        <v>617</v>
      </c>
      <c r="C329" s="5">
        <f t="shared" si="9"/>
        <v>0</v>
      </c>
      <c r="D329" s="5"/>
      <c r="E329" s="6">
        <f t="shared" si="8"/>
        <v>0</v>
      </c>
      <c r="F329" s="6">
        <f t="shared" si="8"/>
        <v>0</v>
      </c>
      <c r="G329" s="62"/>
      <c r="H329" s="62"/>
      <c r="I329" s="60"/>
      <c r="J329" s="60"/>
      <c r="K329" s="64"/>
      <c r="L329" s="64"/>
      <c r="M329" s="25"/>
      <c r="N329" s="25"/>
    </row>
    <row r="330" spans="1:14" s="70" customFormat="1">
      <c r="A330" s="3" t="s">
        <v>618</v>
      </c>
      <c r="B330" s="4" t="s">
        <v>619</v>
      </c>
      <c r="C330" s="5">
        <f t="shared" si="9"/>
        <v>0</v>
      </c>
      <c r="D330" s="5"/>
      <c r="E330" s="6">
        <f t="shared" si="8"/>
        <v>0</v>
      </c>
      <c r="F330" s="6">
        <f t="shared" si="8"/>
        <v>0</v>
      </c>
      <c r="G330" s="62"/>
      <c r="H330" s="62"/>
      <c r="I330" s="60"/>
      <c r="J330" s="60"/>
      <c r="K330" s="64"/>
      <c r="L330" s="64"/>
      <c r="M330" s="25"/>
      <c r="N330" s="25"/>
    </row>
    <row r="331" spans="1:14" s="70" customFormat="1">
      <c r="A331" s="11" t="s">
        <v>620</v>
      </c>
      <c r="B331" s="12" t="s">
        <v>621</v>
      </c>
      <c r="C331" s="5">
        <f t="shared" si="9"/>
        <v>0</v>
      </c>
      <c r="D331" s="5"/>
      <c r="E331" s="6">
        <f t="shared" si="8"/>
        <v>0</v>
      </c>
      <c r="F331" s="6">
        <f t="shared" si="8"/>
        <v>0</v>
      </c>
      <c r="G331" s="62"/>
      <c r="H331" s="62"/>
      <c r="I331" s="60"/>
      <c r="J331" s="60"/>
      <c r="K331" s="64"/>
      <c r="L331" s="64"/>
      <c r="M331" s="25"/>
      <c r="N331" s="25"/>
    </row>
    <row r="332" spans="1:14" s="70" customFormat="1">
      <c r="A332" s="3" t="s">
        <v>622</v>
      </c>
      <c r="B332" s="4" t="s">
        <v>623</v>
      </c>
      <c r="C332" s="5">
        <f t="shared" si="9"/>
        <v>0</v>
      </c>
      <c r="D332" s="5"/>
      <c r="E332" s="6">
        <f t="shared" si="8"/>
        <v>0</v>
      </c>
      <c r="F332" s="6">
        <f t="shared" si="8"/>
        <v>0</v>
      </c>
      <c r="G332" s="62"/>
      <c r="H332" s="62"/>
      <c r="I332" s="60"/>
      <c r="J332" s="60"/>
      <c r="K332" s="64"/>
      <c r="L332" s="64"/>
      <c r="M332" s="25"/>
      <c r="N332" s="25"/>
    </row>
    <row r="333" spans="1:14" s="70" customFormat="1">
      <c r="A333" s="3" t="s">
        <v>624</v>
      </c>
      <c r="B333" s="4" t="s">
        <v>625</v>
      </c>
      <c r="C333" s="5">
        <f t="shared" si="9"/>
        <v>0</v>
      </c>
      <c r="D333" s="5"/>
      <c r="E333" s="6">
        <f t="shared" si="8"/>
        <v>0</v>
      </c>
      <c r="F333" s="6">
        <f t="shared" si="8"/>
        <v>0</v>
      </c>
      <c r="G333" s="62"/>
      <c r="H333" s="62"/>
      <c r="I333" s="60"/>
      <c r="J333" s="60"/>
      <c r="K333" s="64"/>
      <c r="L333" s="64"/>
      <c r="M333" s="25"/>
      <c r="N333" s="25"/>
    </row>
    <row r="334" spans="1:14">
      <c r="A334" s="3" t="s">
        <v>626</v>
      </c>
      <c r="B334" s="4" t="s">
        <v>627</v>
      </c>
      <c r="C334" s="5">
        <f t="shared" si="9"/>
        <v>0</v>
      </c>
      <c r="D334" s="5"/>
      <c r="E334" s="6">
        <f t="shared" ref="E334:F397" si="10">SUM(G334,I334,K334,M334)</f>
        <v>0</v>
      </c>
      <c r="F334" s="6">
        <f t="shared" si="10"/>
        <v>0</v>
      </c>
      <c r="G334" s="62"/>
      <c r="H334" s="62"/>
      <c r="I334" s="60"/>
      <c r="J334" s="60"/>
      <c r="K334" s="64"/>
      <c r="L334" s="64"/>
      <c r="M334" s="25"/>
      <c r="N334" s="25"/>
    </row>
    <row r="335" spans="1:14">
      <c r="A335" s="3" t="s">
        <v>628</v>
      </c>
      <c r="B335" s="4" t="s">
        <v>629</v>
      </c>
      <c r="C335" s="5">
        <f t="shared" si="9"/>
        <v>0</v>
      </c>
      <c r="D335" s="5"/>
      <c r="E335" s="6">
        <f t="shared" si="10"/>
        <v>0</v>
      </c>
      <c r="F335" s="6">
        <f t="shared" si="10"/>
        <v>0</v>
      </c>
      <c r="G335" s="62"/>
      <c r="H335" s="62"/>
      <c r="I335" s="60"/>
      <c r="J335" s="60"/>
      <c r="K335" s="64"/>
      <c r="L335" s="64"/>
      <c r="M335" s="25"/>
      <c r="N335" s="25"/>
    </row>
    <row r="336" spans="1:14">
      <c r="A336" s="3" t="s">
        <v>630</v>
      </c>
      <c r="B336" s="4" t="s">
        <v>631</v>
      </c>
      <c r="C336" s="5">
        <f t="shared" si="9"/>
        <v>0</v>
      </c>
      <c r="D336" s="5"/>
      <c r="E336" s="6">
        <f t="shared" si="10"/>
        <v>0</v>
      </c>
      <c r="F336" s="6">
        <f t="shared" si="10"/>
        <v>0</v>
      </c>
      <c r="G336" s="62"/>
      <c r="H336" s="62"/>
      <c r="I336" s="60"/>
      <c r="J336" s="60"/>
      <c r="K336" s="64"/>
      <c r="L336" s="64"/>
      <c r="M336" s="25"/>
      <c r="N336" s="25"/>
    </row>
    <row r="337" spans="1:14">
      <c r="A337" s="3" t="s">
        <v>632</v>
      </c>
      <c r="B337" s="4" t="s">
        <v>633</v>
      </c>
      <c r="C337" s="5">
        <f t="shared" si="9"/>
        <v>0</v>
      </c>
      <c r="D337" s="5"/>
      <c r="E337" s="6">
        <f t="shared" si="10"/>
        <v>0</v>
      </c>
      <c r="F337" s="6">
        <f t="shared" si="10"/>
        <v>0</v>
      </c>
      <c r="G337" s="62"/>
      <c r="H337" s="62"/>
      <c r="I337" s="60"/>
      <c r="J337" s="60"/>
      <c r="K337" s="64"/>
      <c r="L337" s="64"/>
      <c r="M337" s="25"/>
      <c r="N337" s="25"/>
    </row>
    <row r="338" spans="1:14">
      <c r="A338" s="3" t="s">
        <v>634</v>
      </c>
      <c r="B338" s="4" t="s">
        <v>635</v>
      </c>
      <c r="C338" s="5">
        <f t="shared" si="9"/>
        <v>0</v>
      </c>
      <c r="D338" s="5"/>
      <c r="E338" s="6">
        <f t="shared" si="10"/>
        <v>0</v>
      </c>
      <c r="F338" s="6">
        <f t="shared" si="10"/>
        <v>0</v>
      </c>
      <c r="G338" s="62"/>
      <c r="H338" s="62"/>
      <c r="I338" s="60"/>
      <c r="J338" s="60"/>
      <c r="K338" s="64"/>
      <c r="L338" s="64"/>
      <c r="M338" s="25"/>
      <c r="N338" s="25"/>
    </row>
    <row r="339" spans="1:14">
      <c r="A339" s="3" t="s">
        <v>636</v>
      </c>
      <c r="B339" s="4" t="s">
        <v>637</v>
      </c>
      <c r="C339" s="5">
        <f t="shared" si="9"/>
        <v>0</v>
      </c>
      <c r="D339" s="5"/>
      <c r="E339" s="6">
        <f t="shared" si="10"/>
        <v>0</v>
      </c>
      <c r="F339" s="6">
        <f t="shared" si="10"/>
        <v>0</v>
      </c>
      <c r="G339" s="62"/>
      <c r="H339" s="62"/>
      <c r="I339" s="60"/>
      <c r="J339" s="60"/>
      <c r="K339" s="64"/>
      <c r="L339" s="64"/>
      <c r="M339" s="25"/>
      <c r="N339" s="25"/>
    </row>
    <row r="340" spans="1:14">
      <c r="A340" s="3" t="s">
        <v>638</v>
      </c>
      <c r="B340" s="4" t="s">
        <v>639</v>
      </c>
      <c r="C340" s="5">
        <f t="shared" si="9"/>
        <v>0</v>
      </c>
      <c r="D340" s="5"/>
      <c r="E340" s="6">
        <f t="shared" si="10"/>
        <v>0</v>
      </c>
      <c r="F340" s="6">
        <f t="shared" si="10"/>
        <v>0</v>
      </c>
      <c r="G340" s="62"/>
      <c r="H340" s="62"/>
      <c r="I340" s="60"/>
      <c r="J340" s="60"/>
      <c r="K340" s="64"/>
      <c r="L340" s="64"/>
      <c r="M340" s="25"/>
      <c r="N340" s="25"/>
    </row>
    <row r="341" spans="1:14">
      <c r="A341" s="3" t="s">
        <v>640</v>
      </c>
      <c r="B341" s="4" t="s">
        <v>641</v>
      </c>
      <c r="C341" s="5">
        <f t="shared" si="9"/>
        <v>0</v>
      </c>
      <c r="D341" s="5"/>
      <c r="E341" s="6">
        <f t="shared" si="10"/>
        <v>0</v>
      </c>
      <c r="F341" s="6">
        <f t="shared" si="10"/>
        <v>0</v>
      </c>
      <c r="G341" s="62"/>
      <c r="H341" s="62"/>
      <c r="I341" s="60"/>
      <c r="J341" s="60"/>
      <c r="K341" s="64"/>
      <c r="L341" s="64"/>
      <c r="M341" s="25"/>
      <c r="N341" s="25"/>
    </row>
    <row r="342" spans="1:14">
      <c r="A342" s="3" t="s">
        <v>642</v>
      </c>
      <c r="B342" s="4" t="s">
        <v>643</v>
      </c>
      <c r="C342" s="5">
        <f t="shared" si="9"/>
        <v>0</v>
      </c>
      <c r="D342" s="5"/>
      <c r="E342" s="6">
        <f t="shared" si="10"/>
        <v>0</v>
      </c>
      <c r="F342" s="6">
        <f t="shared" si="10"/>
        <v>0</v>
      </c>
      <c r="G342" s="62"/>
      <c r="H342" s="62"/>
      <c r="I342" s="60"/>
      <c r="J342" s="60"/>
      <c r="K342" s="64"/>
      <c r="L342" s="64"/>
      <c r="M342" s="25"/>
      <c r="N342" s="25"/>
    </row>
    <row r="343" spans="1:14">
      <c r="A343" s="3" t="s">
        <v>644</v>
      </c>
      <c r="B343" s="4" t="s">
        <v>645</v>
      </c>
      <c r="C343" s="5">
        <f t="shared" si="9"/>
        <v>0</v>
      </c>
      <c r="D343" s="5"/>
      <c r="E343" s="6">
        <f t="shared" si="10"/>
        <v>0</v>
      </c>
      <c r="F343" s="6">
        <f t="shared" si="10"/>
        <v>0</v>
      </c>
      <c r="G343" s="62"/>
      <c r="H343" s="62"/>
      <c r="I343" s="60"/>
      <c r="J343" s="60"/>
      <c r="K343" s="64"/>
      <c r="L343" s="64"/>
      <c r="M343" s="25"/>
      <c r="N343" s="25"/>
    </row>
    <row r="344" spans="1:14">
      <c r="A344" s="3" t="s">
        <v>646</v>
      </c>
      <c r="B344" s="4" t="s">
        <v>647</v>
      </c>
      <c r="C344" s="5">
        <f t="shared" si="9"/>
        <v>0</v>
      </c>
      <c r="D344" s="5"/>
      <c r="E344" s="6">
        <f t="shared" si="10"/>
        <v>0</v>
      </c>
      <c r="F344" s="6">
        <f t="shared" si="10"/>
        <v>0</v>
      </c>
      <c r="G344" s="62"/>
      <c r="H344" s="62"/>
      <c r="I344" s="60"/>
      <c r="J344" s="60"/>
      <c r="K344" s="64"/>
      <c r="L344" s="64"/>
      <c r="M344" s="25"/>
      <c r="N344" s="25"/>
    </row>
    <row r="345" spans="1:14">
      <c r="A345" s="3" t="s">
        <v>648</v>
      </c>
      <c r="B345" s="4" t="s">
        <v>649</v>
      </c>
      <c r="C345" s="5">
        <f t="shared" ref="C345:C408" si="11">E345-F345</f>
        <v>0</v>
      </c>
      <c r="D345" s="5"/>
      <c r="E345" s="6">
        <f t="shared" si="10"/>
        <v>0</v>
      </c>
      <c r="F345" s="6">
        <f t="shared" si="10"/>
        <v>0</v>
      </c>
      <c r="G345" s="62"/>
      <c r="H345" s="62"/>
      <c r="I345" s="60"/>
      <c r="J345" s="60"/>
      <c r="K345" s="64"/>
      <c r="L345" s="64"/>
      <c r="M345" s="25"/>
      <c r="N345" s="25"/>
    </row>
    <row r="346" spans="1:14">
      <c r="A346" s="3" t="s">
        <v>650</v>
      </c>
      <c r="B346" s="4" t="s">
        <v>651</v>
      </c>
      <c r="C346" s="5">
        <f t="shared" si="11"/>
        <v>0</v>
      </c>
      <c r="D346" s="5"/>
      <c r="E346" s="6">
        <f t="shared" si="10"/>
        <v>0</v>
      </c>
      <c r="F346" s="6">
        <f t="shared" si="10"/>
        <v>0</v>
      </c>
      <c r="G346" s="62"/>
      <c r="H346" s="62"/>
      <c r="I346" s="60"/>
      <c r="J346" s="60"/>
      <c r="K346" s="64"/>
      <c r="L346" s="64"/>
      <c r="M346" s="25"/>
      <c r="N346" s="25"/>
    </row>
    <row r="347" spans="1:14">
      <c r="A347" s="3" t="s">
        <v>652</v>
      </c>
      <c r="B347" s="4" t="s">
        <v>653</v>
      </c>
      <c r="C347" s="5">
        <f t="shared" si="11"/>
        <v>0</v>
      </c>
      <c r="D347" s="5"/>
      <c r="E347" s="6">
        <f t="shared" si="10"/>
        <v>0</v>
      </c>
      <c r="F347" s="6">
        <f t="shared" si="10"/>
        <v>0</v>
      </c>
      <c r="G347" s="62"/>
      <c r="H347" s="62"/>
      <c r="I347" s="60"/>
      <c r="J347" s="60"/>
      <c r="K347" s="64"/>
      <c r="L347" s="64"/>
      <c r="M347" s="25"/>
      <c r="N347" s="25"/>
    </row>
    <row r="348" spans="1:14">
      <c r="A348" s="3" t="s">
        <v>654</v>
      </c>
      <c r="B348" s="4" t="s">
        <v>655</v>
      </c>
      <c r="C348" s="5">
        <f t="shared" si="11"/>
        <v>0</v>
      </c>
      <c r="D348" s="5"/>
      <c r="E348" s="6">
        <f t="shared" si="10"/>
        <v>0</v>
      </c>
      <c r="F348" s="6">
        <f t="shared" si="10"/>
        <v>0</v>
      </c>
      <c r="G348" s="62"/>
      <c r="H348" s="62"/>
      <c r="I348" s="60"/>
      <c r="J348" s="60"/>
      <c r="K348" s="64"/>
      <c r="L348" s="64"/>
      <c r="M348" s="25"/>
      <c r="N348" s="25"/>
    </row>
    <row r="349" spans="1:14">
      <c r="A349" s="3" t="s">
        <v>656</v>
      </c>
      <c r="B349" s="4" t="s">
        <v>657</v>
      </c>
      <c r="C349" s="5">
        <f t="shared" si="11"/>
        <v>0</v>
      </c>
      <c r="D349" s="5"/>
      <c r="E349" s="6">
        <f t="shared" si="10"/>
        <v>0</v>
      </c>
      <c r="F349" s="6">
        <f t="shared" si="10"/>
        <v>0</v>
      </c>
      <c r="G349" s="62"/>
      <c r="H349" s="62"/>
      <c r="I349" s="60"/>
      <c r="J349" s="60"/>
      <c r="K349" s="64"/>
      <c r="L349" s="64"/>
      <c r="M349" s="25"/>
      <c r="N349" s="25"/>
    </row>
    <row r="350" spans="1:14">
      <c r="A350" s="3" t="s">
        <v>658</v>
      </c>
      <c r="B350" s="4" t="s">
        <v>659</v>
      </c>
      <c r="C350" s="5">
        <f t="shared" si="11"/>
        <v>0</v>
      </c>
      <c r="D350" s="5"/>
      <c r="E350" s="6">
        <f t="shared" si="10"/>
        <v>0</v>
      </c>
      <c r="F350" s="6">
        <f t="shared" si="10"/>
        <v>0</v>
      </c>
      <c r="G350" s="62"/>
      <c r="H350" s="62"/>
      <c r="I350" s="60"/>
      <c r="J350" s="60"/>
      <c r="K350" s="64"/>
      <c r="L350" s="64"/>
      <c r="M350" s="25"/>
      <c r="N350" s="25"/>
    </row>
    <row r="351" spans="1:14">
      <c r="A351" s="3" t="s">
        <v>660</v>
      </c>
      <c r="B351" s="4" t="s">
        <v>661</v>
      </c>
      <c r="C351" s="5">
        <f t="shared" si="11"/>
        <v>0</v>
      </c>
      <c r="D351" s="5"/>
      <c r="E351" s="6">
        <f t="shared" si="10"/>
        <v>0</v>
      </c>
      <c r="F351" s="6">
        <f t="shared" si="10"/>
        <v>0</v>
      </c>
      <c r="G351" s="62"/>
      <c r="H351" s="62"/>
      <c r="I351" s="60"/>
      <c r="J351" s="60"/>
      <c r="K351" s="64"/>
      <c r="L351" s="64"/>
      <c r="M351" s="25"/>
      <c r="N351" s="25"/>
    </row>
    <row r="352" spans="1:14">
      <c r="A352" s="3" t="s">
        <v>662</v>
      </c>
      <c r="B352" s="4" t="s">
        <v>663</v>
      </c>
      <c r="C352" s="5">
        <f t="shared" si="11"/>
        <v>0</v>
      </c>
      <c r="D352" s="5"/>
      <c r="E352" s="6">
        <f t="shared" si="10"/>
        <v>0</v>
      </c>
      <c r="F352" s="6">
        <f t="shared" si="10"/>
        <v>0</v>
      </c>
      <c r="G352" s="62"/>
      <c r="H352" s="62"/>
      <c r="I352" s="60"/>
      <c r="J352" s="60"/>
      <c r="K352" s="64"/>
      <c r="L352" s="64"/>
      <c r="M352" s="25"/>
      <c r="N352" s="25"/>
    </row>
    <row r="353" spans="1:14">
      <c r="A353" s="3" t="s">
        <v>664</v>
      </c>
      <c r="B353" s="4" t="s">
        <v>665</v>
      </c>
      <c r="C353" s="5">
        <f t="shared" si="11"/>
        <v>0</v>
      </c>
      <c r="D353" s="5"/>
      <c r="E353" s="6">
        <f t="shared" si="10"/>
        <v>0</v>
      </c>
      <c r="F353" s="6">
        <f t="shared" si="10"/>
        <v>0</v>
      </c>
      <c r="G353" s="62"/>
      <c r="H353" s="62"/>
      <c r="I353" s="60"/>
      <c r="J353" s="60"/>
      <c r="K353" s="64"/>
      <c r="L353" s="64"/>
      <c r="M353" s="25"/>
      <c r="N353" s="25"/>
    </row>
    <row r="354" spans="1:14">
      <c r="A354" s="3" t="s">
        <v>666</v>
      </c>
      <c r="B354" s="4" t="s">
        <v>667</v>
      </c>
      <c r="C354" s="5">
        <f t="shared" si="11"/>
        <v>0</v>
      </c>
      <c r="D354" s="5"/>
      <c r="E354" s="6">
        <f t="shared" si="10"/>
        <v>0</v>
      </c>
      <c r="F354" s="6">
        <f t="shared" si="10"/>
        <v>0</v>
      </c>
      <c r="G354" s="62"/>
      <c r="H354" s="62"/>
      <c r="I354" s="60"/>
      <c r="J354" s="60"/>
      <c r="K354" s="64"/>
      <c r="L354" s="64"/>
      <c r="M354" s="25"/>
      <c r="N354" s="25"/>
    </row>
    <row r="355" spans="1:14">
      <c r="A355" s="3" t="s">
        <v>668</v>
      </c>
      <c r="B355" s="4" t="s">
        <v>669</v>
      </c>
      <c r="C355" s="5">
        <f t="shared" si="11"/>
        <v>0</v>
      </c>
      <c r="D355" s="5"/>
      <c r="E355" s="6">
        <f t="shared" si="10"/>
        <v>0</v>
      </c>
      <c r="F355" s="6">
        <f t="shared" si="10"/>
        <v>0</v>
      </c>
      <c r="G355" s="62"/>
      <c r="H355" s="62"/>
      <c r="I355" s="60"/>
      <c r="J355" s="60"/>
      <c r="K355" s="64"/>
      <c r="L355" s="64"/>
      <c r="M355" s="25"/>
      <c r="N355" s="25"/>
    </row>
    <row r="356" spans="1:14">
      <c r="A356" s="3" t="s">
        <v>670</v>
      </c>
      <c r="B356" s="4" t="s">
        <v>671</v>
      </c>
      <c r="C356" s="5">
        <f t="shared" si="11"/>
        <v>0</v>
      </c>
      <c r="D356" s="5"/>
      <c r="E356" s="6">
        <f t="shared" si="10"/>
        <v>0</v>
      </c>
      <c r="F356" s="6">
        <f t="shared" si="10"/>
        <v>0</v>
      </c>
      <c r="G356" s="62"/>
      <c r="H356" s="62"/>
      <c r="I356" s="60"/>
      <c r="J356" s="60"/>
      <c r="K356" s="64"/>
      <c r="L356" s="64"/>
      <c r="M356" s="25"/>
      <c r="N356" s="25"/>
    </row>
    <row r="357" spans="1:14">
      <c r="A357" s="3" t="s">
        <v>672</v>
      </c>
      <c r="B357" s="4" t="s">
        <v>673</v>
      </c>
      <c r="C357" s="5">
        <f t="shared" si="11"/>
        <v>0</v>
      </c>
      <c r="D357" s="5"/>
      <c r="E357" s="6">
        <f t="shared" si="10"/>
        <v>0</v>
      </c>
      <c r="F357" s="6">
        <f t="shared" si="10"/>
        <v>0</v>
      </c>
      <c r="G357" s="62"/>
      <c r="H357" s="62"/>
      <c r="I357" s="60"/>
      <c r="J357" s="60"/>
      <c r="K357" s="64"/>
      <c r="L357" s="64"/>
      <c r="M357" s="25"/>
      <c r="N357" s="25"/>
    </row>
    <row r="358" spans="1:14">
      <c r="A358" s="3" t="s">
        <v>674</v>
      </c>
      <c r="B358" s="4" t="s">
        <v>675</v>
      </c>
      <c r="C358" s="5">
        <f t="shared" si="11"/>
        <v>0</v>
      </c>
      <c r="D358" s="5"/>
      <c r="E358" s="6">
        <f t="shared" si="10"/>
        <v>0</v>
      </c>
      <c r="F358" s="6">
        <f t="shared" si="10"/>
        <v>0</v>
      </c>
      <c r="G358" s="62"/>
      <c r="H358" s="62"/>
      <c r="I358" s="60"/>
      <c r="J358" s="60"/>
      <c r="K358" s="64"/>
      <c r="L358" s="64"/>
      <c r="M358" s="25"/>
      <c r="N358" s="25"/>
    </row>
    <row r="359" spans="1:14">
      <c r="A359" s="3" t="s">
        <v>676</v>
      </c>
      <c r="B359" s="4" t="s">
        <v>677</v>
      </c>
      <c r="C359" s="5">
        <f t="shared" si="11"/>
        <v>0</v>
      </c>
      <c r="D359" s="5"/>
      <c r="E359" s="6">
        <f t="shared" si="10"/>
        <v>0</v>
      </c>
      <c r="F359" s="6">
        <f t="shared" si="10"/>
        <v>0</v>
      </c>
      <c r="G359" s="62"/>
      <c r="H359" s="62"/>
      <c r="I359" s="60"/>
      <c r="J359" s="60"/>
      <c r="K359" s="64"/>
      <c r="L359" s="64"/>
      <c r="M359" s="25"/>
      <c r="N359" s="25"/>
    </row>
    <row r="360" spans="1:14">
      <c r="A360" s="3" t="s">
        <v>678</v>
      </c>
      <c r="B360" s="4" t="s">
        <v>679</v>
      </c>
      <c r="C360" s="5">
        <f t="shared" si="11"/>
        <v>0</v>
      </c>
      <c r="D360" s="5"/>
      <c r="E360" s="6">
        <f t="shared" si="10"/>
        <v>0</v>
      </c>
      <c r="F360" s="6">
        <f t="shared" si="10"/>
        <v>0</v>
      </c>
      <c r="G360" s="62"/>
      <c r="H360" s="62"/>
      <c r="I360" s="60"/>
      <c r="J360" s="60"/>
      <c r="K360" s="64"/>
      <c r="L360" s="64"/>
      <c r="M360" s="25"/>
      <c r="N360" s="25"/>
    </row>
    <row r="361" spans="1:14">
      <c r="A361" s="3" t="s">
        <v>680</v>
      </c>
      <c r="B361" s="4" t="s">
        <v>681</v>
      </c>
      <c r="C361" s="5">
        <f t="shared" si="11"/>
        <v>0</v>
      </c>
      <c r="D361" s="5"/>
      <c r="E361" s="6">
        <f t="shared" si="10"/>
        <v>0</v>
      </c>
      <c r="F361" s="6">
        <f t="shared" si="10"/>
        <v>0</v>
      </c>
      <c r="G361" s="62"/>
      <c r="H361" s="62"/>
      <c r="I361" s="60"/>
      <c r="J361" s="60"/>
      <c r="K361" s="64"/>
      <c r="L361" s="64"/>
      <c r="M361" s="25"/>
      <c r="N361" s="25"/>
    </row>
    <row r="362" spans="1:14">
      <c r="A362" s="3" t="s">
        <v>682</v>
      </c>
      <c r="B362" s="4" t="s">
        <v>683</v>
      </c>
      <c r="C362" s="5">
        <f t="shared" si="11"/>
        <v>0</v>
      </c>
      <c r="D362" s="5"/>
      <c r="E362" s="6">
        <f t="shared" si="10"/>
        <v>0</v>
      </c>
      <c r="F362" s="6">
        <f t="shared" si="10"/>
        <v>0</v>
      </c>
      <c r="G362" s="62"/>
      <c r="H362" s="62"/>
      <c r="I362" s="60"/>
      <c r="J362" s="60"/>
      <c r="K362" s="64"/>
      <c r="L362" s="64"/>
      <c r="M362" s="25"/>
      <c r="N362" s="25"/>
    </row>
    <row r="363" spans="1:14">
      <c r="A363" s="3" t="s">
        <v>684</v>
      </c>
      <c r="B363" s="4" t="s">
        <v>685</v>
      </c>
      <c r="C363" s="5">
        <f t="shared" si="11"/>
        <v>0</v>
      </c>
      <c r="D363" s="5"/>
      <c r="E363" s="6">
        <f t="shared" si="10"/>
        <v>0</v>
      </c>
      <c r="F363" s="6">
        <f t="shared" si="10"/>
        <v>0</v>
      </c>
      <c r="G363" s="62"/>
      <c r="H363" s="62"/>
      <c r="I363" s="60"/>
      <c r="J363" s="60"/>
      <c r="K363" s="64"/>
      <c r="L363" s="64"/>
      <c r="M363" s="25"/>
      <c r="N363" s="25"/>
    </row>
    <row r="364" spans="1:14">
      <c r="A364" s="3" t="s">
        <v>686</v>
      </c>
      <c r="B364" s="4" t="s">
        <v>687</v>
      </c>
      <c r="C364" s="5">
        <f t="shared" si="11"/>
        <v>0</v>
      </c>
      <c r="D364" s="5"/>
      <c r="E364" s="6">
        <f t="shared" si="10"/>
        <v>0</v>
      </c>
      <c r="F364" s="6">
        <f t="shared" si="10"/>
        <v>0</v>
      </c>
      <c r="G364" s="62"/>
      <c r="H364" s="62"/>
      <c r="I364" s="60"/>
      <c r="J364" s="60"/>
      <c r="K364" s="64"/>
      <c r="L364" s="64"/>
      <c r="M364" s="25"/>
      <c r="N364" s="25"/>
    </row>
    <row r="365" spans="1:14">
      <c r="A365" s="3" t="s">
        <v>688</v>
      </c>
      <c r="B365" s="4" t="s">
        <v>689</v>
      </c>
      <c r="C365" s="5">
        <f t="shared" si="11"/>
        <v>0</v>
      </c>
      <c r="D365" s="5"/>
      <c r="E365" s="6">
        <f t="shared" si="10"/>
        <v>0</v>
      </c>
      <c r="F365" s="6">
        <f t="shared" si="10"/>
        <v>0</v>
      </c>
      <c r="G365" s="62"/>
      <c r="H365" s="62"/>
      <c r="I365" s="60"/>
      <c r="J365" s="60"/>
      <c r="K365" s="64"/>
      <c r="L365" s="64"/>
      <c r="M365" s="25"/>
      <c r="N365" s="25"/>
    </row>
    <row r="366" spans="1:14">
      <c r="A366" s="3" t="s">
        <v>690</v>
      </c>
      <c r="B366" s="4" t="s">
        <v>691</v>
      </c>
      <c r="C366" s="5">
        <f t="shared" si="11"/>
        <v>0</v>
      </c>
      <c r="D366" s="5"/>
      <c r="E366" s="6">
        <f t="shared" si="10"/>
        <v>0</v>
      </c>
      <c r="F366" s="6">
        <f t="shared" si="10"/>
        <v>0</v>
      </c>
      <c r="G366" s="62"/>
      <c r="H366" s="62"/>
      <c r="I366" s="60"/>
      <c r="J366" s="60"/>
      <c r="K366" s="64"/>
      <c r="L366" s="64"/>
      <c r="M366" s="25"/>
      <c r="N366" s="25"/>
    </row>
    <row r="367" spans="1:14">
      <c r="A367" s="3" t="s">
        <v>692</v>
      </c>
      <c r="B367" s="4" t="s">
        <v>693</v>
      </c>
      <c r="C367" s="5">
        <f t="shared" si="11"/>
        <v>0</v>
      </c>
      <c r="D367" s="5"/>
      <c r="E367" s="6">
        <f t="shared" si="10"/>
        <v>0</v>
      </c>
      <c r="F367" s="6">
        <f t="shared" si="10"/>
        <v>0</v>
      </c>
      <c r="G367" s="62"/>
      <c r="H367" s="62"/>
      <c r="I367" s="60"/>
      <c r="J367" s="60"/>
      <c r="K367" s="64"/>
      <c r="L367" s="64"/>
      <c r="M367" s="25"/>
      <c r="N367" s="25"/>
    </row>
    <row r="368" spans="1:14">
      <c r="A368" s="3" t="s">
        <v>694</v>
      </c>
      <c r="B368" s="4" t="s">
        <v>695</v>
      </c>
      <c r="C368" s="5">
        <f t="shared" si="11"/>
        <v>0</v>
      </c>
      <c r="D368" s="5"/>
      <c r="E368" s="6">
        <f t="shared" si="10"/>
        <v>0</v>
      </c>
      <c r="F368" s="6">
        <f t="shared" si="10"/>
        <v>0</v>
      </c>
      <c r="G368" s="62"/>
      <c r="H368" s="62"/>
      <c r="I368" s="60"/>
      <c r="J368" s="60"/>
      <c r="K368" s="64"/>
      <c r="L368" s="64"/>
      <c r="M368" s="25"/>
      <c r="N368" s="25"/>
    </row>
    <row r="369" spans="1:14">
      <c r="A369" s="3" t="s">
        <v>696</v>
      </c>
      <c r="B369" s="4" t="s">
        <v>697</v>
      </c>
      <c r="C369" s="5">
        <f t="shared" si="11"/>
        <v>0</v>
      </c>
      <c r="D369" s="5"/>
      <c r="E369" s="6">
        <f t="shared" si="10"/>
        <v>0</v>
      </c>
      <c r="F369" s="6">
        <f t="shared" si="10"/>
        <v>0</v>
      </c>
      <c r="G369" s="62"/>
      <c r="H369" s="62"/>
      <c r="I369" s="60"/>
      <c r="J369" s="60"/>
      <c r="K369" s="64"/>
      <c r="L369" s="64"/>
      <c r="M369" s="25"/>
      <c r="N369" s="25"/>
    </row>
    <row r="370" spans="1:14">
      <c r="A370" s="3" t="s">
        <v>698</v>
      </c>
      <c r="B370" s="4" t="s">
        <v>699</v>
      </c>
      <c r="C370" s="5">
        <f t="shared" si="11"/>
        <v>0</v>
      </c>
      <c r="D370" s="5"/>
      <c r="E370" s="6">
        <f t="shared" si="10"/>
        <v>0</v>
      </c>
      <c r="F370" s="6">
        <f t="shared" si="10"/>
        <v>0</v>
      </c>
      <c r="G370" s="62"/>
      <c r="H370" s="62"/>
      <c r="I370" s="60"/>
      <c r="J370" s="60"/>
      <c r="K370" s="64"/>
      <c r="L370" s="64"/>
      <c r="M370" s="25"/>
      <c r="N370" s="25"/>
    </row>
    <row r="371" spans="1:14">
      <c r="A371" s="3" t="s">
        <v>700</v>
      </c>
      <c r="B371" s="4" t="s">
        <v>701</v>
      </c>
      <c r="C371" s="5">
        <f t="shared" si="11"/>
        <v>0</v>
      </c>
      <c r="D371" s="5"/>
      <c r="E371" s="6">
        <f t="shared" si="10"/>
        <v>0</v>
      </c>
      <c r="F371" s="6">
        <f t="shared" si="10"/>
        <v>0</v>
      </c>
      <c r="G371" s="62"/>
      <c r="H371" s="62"/>
      <c r="I371" s="60"/>
      <c r="J371" s="60"/>
      <c r="K371" s="64"/>
      <c r="L371" s="64"/>
      <c r="M371" s="25"/>
      <c r="N371" s="25"/>
    </row>
    <row r="372" spans="1:14">
      <c r="A372" s="3" t="s">
        <v>702</v>
      </c>
      <c r="B372" s="4" t="s">
        <v>703</v>
      </c>
      <c r="C372" s="5">
        <f t="shared" si="11"/>
        <v>0</v>
      </c>
      <c r="D372" s="5"/>
      <c r="E372" s="6">
        <f t="shared" si="10"/>
        <v>0</v>
      </c>
      <c r="F372" s="6">
        <f t="shared" si="10"/>
        <v>0</v>
      </c>
      <c r="G372" s="62"/>
      <c r="H372" s="62"/>
      <c r="I372" s="60"/>
      <c r="J372" s="60"/>
      <c r="K372" s="64"/>
      <c r="L372" s="64"/>
      <c r="M372" s="25"/>
      <c r="N372" s="25"/>
    </row>
    <row r="373" spans="1:14">
      <c r="A373" s="3" t="s">
        <v>704</v>
      </c>
      <c r="B373" s="4" t="s">
        <v>705</v>
      </c>
      <c r="C373" s="5">
        <f t="shared" si="11"/>
        <v>0</v>
      </c>
      <c r="D373" s="5"/>
      <c r="E373" s="6">
        <f t="shared" si="10"/>
        <v>0</v>
      </c>
      <c r="F373" s="6">
        <f t="shared" si="10"/>
        <v>0</v>
      </c>
      <c r="G373" s="62"/>
      <c r="H373" s="62"/>
      <c r="I373" s="60"/>
      <c r="J373" s="60"/>
      <c r="K373" s="64"/>
      <c r="L373" s="64"/>
      <c r="M373" s="25"/>
      <c r="N373" s="25"/>
    </row>
    <row r="374" spans="1:14">
      <c r="A374" s="3" t="s">
        <v>706</v>
      </c>
      <c r="B374" s="4" t="s">
        <v>707</v>
      </c>
      <c r="C374" s="5">
        <f t="shared" si="11"/>
        <v>0</v>
      </c>
      <c r="D374" s="5"/>
      <c r="E374" s="6">
        <f t="shared" si="10"/>
        <v>0</v>
      </c>
      <c r="F374" s="6">
        <f t="shared" si="10"/>
        <v>0</v>
      </c>
      <c r="G374" s="62"/>
      <c r="H374" s="62"/>
      <c r="I374" s="60"/>
      <c r="J374" s="60"/>
      <c r="K374" s="64"/>
      <c r="L374" s="64"/>
      <c r="M374" s="25"/>
      <c r="N374" s="25"/>
    </row>
    <row r="375" spans="1:14">
      <c r="A375" s="3" t="s">
        <v>708</v>
      </c>
      <c r="B375" s="4" t="s">
        <v>709</v>
      </c>
      <c r="C375" s="5">
        <f t="shared" si="11"/>
        <v>0</v>
      </c>
      <c r="D375" s="5"/>
      <c r="E375" s="6">
        <f t="shared" si="10"/>
        <v>0</v>
      </c>
      <c r="F375" s="6">
        <f t="shared" si="10"/>
        <v>0</v>
      </c>
      <c r="G375" s="62"/>
      <c r="H375" s="62"/>
      <c r="I375" s="60"/>
      <c r="J375" s="60"/>
      <c r="K375" s="64"/>
      <c r="L375" s="64"/>
      <c r="M375" s="25"/>
      <c r="N375" s="25"/>
    </row>
    <row r="376" spans="1:14">
      <c r="A376" s="3" t="s">
        <v>710</v>
      </c>
      <c r="B376" s="4" t="s">
        <v>711</v>
      </c>
      <c r="C376" s="5">
        <f t="shared" si="11"/>
        <v>0</v>
      </c>
      <c r="D376" s="5"/>
      <c r="E376" s="6">
        <f t="shared" si="10"/>
        <v>0</v>
      </c>
      <c r="F376" s="6">
        <f t="shared" si="10"/>
        <v>0</v>
      </c>
      <c r="G376" s="62"/>
      <c r="H376" s="62"/>
      <c r="I376" s="60"/>
      <c r="J376" s="60"/>
      <c r="K376" s="64"/>
      <c r="L376" s="64"/>
      <c r="M376" s="25"/>
      <c r="N376" s="25"/>
    </row>
    <row r="377" spans="1:14">
      <c r="A377" s="3" t="s">
        <v>712</v>
      </c>
      <c r="B377" s="4" t="s">
        <v>713</v>
      </c>
      <c r="C377" s="5">
        <f t="shared" si="11"/>
        <v>0</v>
      </c>
      <c r="D377" s="5"/>
      <c r="E377" s="6">
        <f t="shared" si="10"/>
        <v>0</v>
      </c>
      <c r="F377" s="6">
        <f t="shared" si="10"/>
        <v>0</v>
      </c>
      <c r="G377" s="62"/>
      <c r="H377" s="62"/>
      <c r="I377" s="60"/>
      <c r="J377" s="60"/>
      <c r="K377" s="64"/>
      <c r="L377" s="64"/>
      <c r="M377" s="25"/>
      <c r="N377" s="25"/>
    </row>
    <row r="378" spans="1:14">
      <c r="A378" s="3" t="s">
        <v>714</v>
      </c>
      <c r="B378" s="4" t="s">
        <v>715</v>
      </c>
      <c r="C378" s="5">
        <f t="shared" si="11"/>
        <v>0</v>
      </c>
      <c r="D378" s="5"/>
      <c r="E378" s="6">
        <f t="shared" si="10"/>
        <v>0</v>
      </c>
      <c r="F378" s="6">
        <f t="shared" si="10"/>
        <v>0</v>
      </c>
      <c r="G378" s="62"/>
      <c r="H378" s="62"/>
      <c r="I378" s="60"/>
      <c r="J378" s="60"/>
      <c r="K378" s="64"/>
      <c r="L378" s="64"/>
      <c r="M378" s="25"/>
      <c r="N378" s="25"/>
    </row>
    <row r="379" spans="1:14">
      <c r="A379" s="3" t="s">
        <v>716</v>
      </c>
      <c r="B379" s="4" t="s">
        <v>717</v>
      </c>
      <c r="C379" s="5">
        <f t="shared" si="11"/>
        <v>0</v>
      </c>
      <c r="D379" s="5"/>
      <c r="E379" s="6">
        <f t="shared" si="10"/>
        <v>0</v>
      </c>
      <c r="F379" s="6">
        <f t="shared" si="10"/>
        <v>0</v>
      </c>
      <c r="G379" s="62"/>
      <c r="H379" s="62"/>
      <c r="I379" s="60"/>
      <c r="J379" s="60"/>
      <c r="K379" s="64"/>
      <c r="L379" s="64"/>
      <c r="M379" s="25"/>
      <c r="N379" s="25"/>
    </row>
    <row r="380" spans="1:14">
      <c r="A380" s="3" t="s">
        <v>718</v>
      </c>
      <c r="B380" s="4" t="s">
        <v>719</v>
      </c>
      <c r="C380" s="5">
        <f t="shared" si="11"/>
        <v>0</v>
      </c>
      <c r="D380" s="5"/>
      <c r="E380" s="6">
        <f t="shared" si="10"/>
        <v>0</v>
      </c>
      <c r="F380" s="6">
        <f t="shared" si="10"/>
        <v>0</v>
      </c>
      <c r="G380" s="62"/>
      <c r="H380" s="62"/>
      <c r="I380" s="60"/>
      <c r="J380" s="60"/>
      <c r="K380" s="64"/>
      <c r="L380" s="64"/>
      <c r="M380" s="25"/>
      <c r="N380" s="25"/>
    </row>
    <row r="381" spans="1:14">
      <c r="A381" s="3" t="s">
        <v>720</v>
      </c>
      <c r="B381" s="4" t="s">
        <v>721</v>
      </c>
      <c r="C381" s="5">
        <f t="shared" si="11"/>
        <v>0</v>
      </c>
      <c r="D381" s="5"/>
      <c r="E381" s="6">
        <f t="shared" si="10"/>
        <v>0</v>
      </c>
      <c r="F381" s="6">
        <f t="shared" si="10"/>
        <v>0</v>
      </c>
      <c r="G381" s="62"/>
      <c r="H381" s="62"/>
      <c r="I381" s="60"/>
      <c r="J381" s="60"/>
      <c r="K381" s="64"/>
      <c r="L381" s="64"/>
      <c r="M381" s="25"/>
      <c r="N381" s="25"/>
    </row>
    <row r="382" spans="1:14">
      <c r="A382" s="3" t="s">
        <v>722</v>
      </c>
      <c r="B382" s="4" t="s">
        <v>723</v>
      </c>
      <c r="C382" s="5">
        <f t="shared" si="11"/>
        <v>0</v>
      </c>
      <c r="D382" s="5"/>
      <c r="E382" s="6">
        <f t="shared" si="10"/>
        <v>0</v>
      </c>
      <c r="F382" s="6">
        <f t="shared" si="10"/>
        <v>0</v>
      </c>
      <c r="G382" s="62"/>
      <c r="H382" s="62"/>
      <c r="I382" s="60"/>
      <c r="J382" s="60"/>
      <c r="K382" s="64"/>
      <c r="L382" s="64"/>
      <c r="M382" s="25"/>
      <c r="N382" s="25"/>
    </row>
    <row r="383" spans="1:14">
      <c r="A383" s="3" t="s">
        <v>724</v>
      </c>
      <c r="B383" s="4" t="s">
        <v>725</v>
      </c>
      <c r="C383" s="5">
        <f t="shared" si="11"/>
        <v>0</v>
      </c>
      <c r="D383" s="5"/>
      <c r="E383" s="6">
        <f t="shared" si="10"/>
        <v>0</v>
      </c>
      <c r="F383" s="6">
        <f t="shared" si="10"/>
        <v>0</v>
      </c>
      <c r="G383" s="62"/>
      <c r="H383" s="62"/>
      <c r="I383" s="60"/>
      <c r="J383" s="60"/>
      <c r="K383" s="64"/>
      <c r="L383" s="64"/>
      <c r="M383" s="25"/>
      <c r="N383" s="25"/>
    </row>
    <row r="384" spans="1:14">
      <c r="A384" s="3" t="s">
        <v>726</v>
      </c>
      <c r="B384" s="4" t="s">
        <v>727</v>
      </c>
      <c r="C384" s="5">
        <f t="shared" si="11"/>
        <v>0</v>
      </c>
      <c r="D384" s="5"/>
      <c r="E384" s="6">
        <f t="shared" si="10"/>
        <v>0</v>
      </c>
      <c r="F384" s="6">
        <f t="shared" si="10"/>
        <v>0</v>
      </c>
      <c r="G384" s="62"/>
      <c r="H384" s="62"/>
      <c r="I384" s="60"/>
      <c r="J384" s="60"/>
      <c r="K384" s="64"/>
      <c r="L384" s="64"/>
      <c r="M384" s="25"/>
      <c r="N384" s="25"/>
    </row>
    <row r="385" spans="1:14">
      <c r="A385" s="3" t="s">
        <v>728</v>
      </c>
      <c r="B385" s="4" t="s">
        <v>729</v>
      </c>
      <c r="C385" s="5">
        <f t="shared" si="11"/>
        <v>0</v>
      </c>
      <c r="D385" s="5"/>
      <c r="E385" s="6">
        <f t="shared" si="10"/>
        <v>0</v>
      </c>
      <c r="F385" s="6">
        <f t="shared" si="10"/>
        <v>0</v>
      </c>
      <c r="G385" s="62"/>
      <c r="H385" s="62"/>
      <c r="I385" s="60"/>
      <c r="J385" s="60"/>
      <c r="K385" s="64"/>
      <c r="L385" s="64"/>
      <c r="M385" s="25"/>
      <c r="N385" s="25"/>
    </row>
    <row r="386" spans="1:14">
      <c r="A386" s="3" t="s">
        <v>730</v>
      </c>
      <c r="B386" s="4" t="s">
        <v>731</v>
      </c>
      <c r="C386" s="5">
        <f t="shared" si="11"/>
        <v>0</v>
      </c>
      <c r="D386" s="5"/>
      <c r="E386" s="6">
        <f t="shared" si="10"/>
        <v>0</v>
      </c>
      <c r="F386" s="6">
        <f t="shared" si="10"/>
        <v>0</v>
      </c>
      <c r="G386" s="62"/>
      <c r="H386" s="62"/>
      <c r="I386" s="60"/>
      <c r="J386" s="60"/>
      <c r="K386" s="64"/>
      <c r="L386" s="64"/>
      <c r="M386" s="25"/>
      <c r="N386" s="25"/>
    </row>
    <row r="387" spans="1:14">
      <c r="A387" s="3" t="s">
        <v>732</v>
      </c>
      <c r="B387" s="4" t="s">
        <v>733</v>
      </c>
      <c r="C387" s="5">
        <f t="shared" si="11"/>
        <v>0</v>
      </c>
      <c r="D387" s="5"/>
      <c r="E387" s="6">
        <f t="shared" si="10"/>
        <v>0</v>
      </c>
      <c r="F387" s="6">
        <f t="shared" si="10"/>
        <v>0</v>
      </c>
      <c r="G387" s="62"/>
      <c r="H387" s="62"/>
      <c r="I387" s="60"/>
      <c r="J387" s="60"/>
      <c r="K387" s="64"/>
      <c r="L387" s="64"/>
      <c r="M387" s="25"/>
      <c r="N387" s="25"/>
    </row>
    <row r="388" spans="1:14">
      <c r="A388" s="3" t="s">
        <v>734</v>
      </c>
      <c r="B388" s="4" t="s">
        <v>735</v>
      </c>
      <c r="C388" s="5">
        <f t="shared" si="11"/>
        <v>0</v>
      </c>
      <c r="D388" s="5"/>
      <c r="E388" s="6">
        <f t="shared" si="10"/>
        <v>0</v>
      </c>
      <c r="F388" s="6">
        <f t="shared" si="10"/>
        <v>0</v>
      </c>
      <c r="G388" s="62"/>
      <c r="H388" s="62"/>
      <c r="I388" s="60"/>
      <c r="J388" s="60"/>
      <c r="K388" s="64"/>
      <c r="L388" s="64"/>
      <c r="M388" s="25"/>
      <c r="N388" s="25"/>
    </row>
    <row r="389" spans="1:14">
      <c r="A389" s="3" t="s">
        <v>736</v>
      </c>
      <c r="B389" s="4" t="s">
        <v>737</v>
      </c>
      <c r="C389" s="5">
        <f t="shared" si="11"/>
        <v>0</v>
      </c>
      <c r="D389" s="5"/>
      <c r="E389" s="6">
        <f t="shared" si="10"/>
        <v>0</v>
      </c>
      <c r="F389" s="6">
        <f t="shared" si="10"/>
        <v>0</v>
      </c>
      <c r="G389" s="62"/>
      <c r="H389" s="62"/>
      <c r="I389" s="60"/>
      <c r="J389" s="60"/>
      <c r="K389" s="64"/>
      <c r="L389" s="64"/>
      <c r="M389" s="25"/>
      <c r="N389" s="25"/>
    </row>
    <row r="390" spans="1:14">
      <c r="A390" s="3" t="s">
        <v>738</v>
      </c>
      <c r="B390" s="4" t="s">
        <v>739</v>
      </c>
      <c r="C390" s="5">
        <f t="shared" si="11"/>
        <v>0</v>
      </c>
      <c r="D390" s="5"/>
      <c r="E390" s="6">
        <f t="shared" si="10"/>
        <v>0</v>
      </c>
      <c r="F390" s="6">
        <f t="shared" si="10"/>
        <v>0</v>
      </c>
      <c r="G390" s="62"/>
      <c r="H390" s="62"/>
      <c r="I390" s="60"/>
      <c r="J390" s="60"/>
      <c r="K390" s="64"/>
      <c r="L390" s="64"/>
      <c r="M390" s="25"/>
      <c r="N390" s="25"/>
    </row>
    <row r="391" spans="1:14">
      <c r="A391" s="3" t="s">
        <v>740</v>
      </c>
      <c r="B391" s="4" t="s">
        <v>741</v>
      </c>
      <c r="C391" s="5">
        <f t="shared" si="11"/>
        <v>0</v>
      </c>
      <c r="D391" s="5"/>
      <c r="E391" s="6">
        <f t="shared" si="10"/>
        <v>0</v>
      </c>
      <c r="F391" s="6">
        <f t="shared" si="10"/>
        <v>0</v>
      </c>
      <c r="G391" s="62"/>
      <c r="H391" s="62"/>
      <c r="I391" s="60"/>
      <c r="J391" s="60"/>
      <c r="K391" s="64"/>
      <c r="L391" s="64"/>
      <c r="M391" s="25"/>
      <c r="N391" s="25"/>
    </row>
    <row r="392" spans="1:14">
      <c r="A392" s="3" t="s">
        <v>742</v>
      </c>
      <c r="B392" s="4" t="s">
        <v>743</v>
      </c>
      <c r="C392" s="5">
        <f t="shared" si="11"/>
        <v>0</v>
      </c>
      <c r="D392" s="5"/>
      <c r="E392" s="6">
        <f t="shared" si="10"/>
        <v>0</v>
      </c>
      <c r="F392" s="6">
        <f t="shared" si="10"/>
        <v>0</v>
      </c>
      <c r="G392" s="62"/>
      <c r="H392" s="62"/>
      <c r="I392" s="60"/>
      <c r="J392" s="60"/>
      <c r="K392" s="64"/>
      <c r="L392" s="64"/>
      <c r="M392" s="25"/>
      <c r="N392" s="25"/>
    </row>
    <row r="393" spans="1:14">
      <c r="A393" s="3" t="s">
        <v>744</v>
      </c>
      <c r="B393" s="4" t="s">
        <v>745</v>
      </c>
      <c r="C393" s="5">
        <f t="shared" si="11"/>
        <v>0</v>
      </c>
      <c r="D393" s="5"/>
      <c r="E393" s="6">
        <f t="shared" si="10"/>
        <v>0</v>
      </c>
      <c r="F393" s="6">
        <f t="shared" si="10"/>
        <v>0</v>
      </c>
      <c r="G393" s="62"/>
      <c r="H393" s="62"/>
      <c r="I393" s="60"/>
      <c r="J393" s="60"/>
      <c r="K393" s="64"/>
      <c r="L393" s="64"/>
      <c r="M393" s="25"/>
      <c r="N393" s="25"/>
    </row>
    <row r="394" spans="1:14">
      <c r="A394" s="3" t="s">
        <v>746</v>
      </c>
      <c r="B394" s="4" t="s">
        <v>747</v>
      </c>
      <c r="C394" s="5">
        <f t="shared" si="11"/>
        <v>0</v>
      </c>
      <c r="D394" s="5"/>
      <c r="E394" s="6">
        <f t="shared" si="10"/>
        <v>0</v>
      </c>
      <c r="F394" s="6">
        <f t="shared" si="10"/>
        <v>0</v>
      </c>
      <c r="G394" s="62"/>
      <c r="H394" s="62"/>
      <c r="I394" s="60"/>
      <c r="J394" s="60"/>
      <c r="K394" s="64"/>
      <c r="L394" s="64"/>
      <c r="M394" s="25"/>
      <c r="N394" s="25"/>
    </row>
    <row r="395" spans="1:14">
      <c r="A395" s="3" t="s">
        <v>748</v>
      </c>
      <c r="B395" s="4" t="s">
        <v>749</v>
      </c>
      <c r="C395" s="5">
        <f t="shared" si="11"/>
        <v>0</v>
      </c>
      <c r="D395" s="5"/>
      <c r="E395" s="6">
        <f t="shared" si="10"/>
        <v>0</v>
      </c>
      <c r="F395" s="6">
        <f t="shared" si="10"/>
        <v>0</v>
      </c>
      <c r="G395" s="62"/>
      <c r="H395" s="62"/>
      <c r="I395" s="60"/>
      <c r="J395" s="60"/>
      <c r="K395" s="64"/>
      <c r="L395" s="64"/>
      <c r="M395" s="25"/>
      <c r="N395" s="25"/>
    </row>
    <row r="396" spans="1:14">
      <c r="A396" s="3" t="s">
        <v>750</v>
      </c>
      <c r="B396" s="4" t="s">
        <v>751</v>
      </c>
      <c r="C396" s="5">
        <f t="shared" si="11"/>
        <v>0</v>
      </c>
      <c r="D396" s="5"/>
      <c r="E396" s="6">
        <f t="shared" si="10"/>
        <v>0</v>
      </c>
      <c r="F396" s="6">
        <f t="shared" si="10"/>
        <v>0</v>
      </c>
      <c r="G396" s="62"/>
      <c r="H396" s="62"/>
      <c r="I396" s="60"/>
      <c r="J396" s="60"/>
      <c r="K396" s="64"/>
      <c r="L396" s="64"/>
      <c r="M396" s="25"/>
      <c r="N396" s="25"/>
    </row>
    <row r="397" spans="1:14">
      <c r="A397" s="3" t="s">
        <v>752</v>
      </c>
      <c r="B397" s="4" t="s">
        <v>753</v>
      </c>
      <c r="C397" s="5">
        <f t="shared" si="11"/>
        <v>0</v>
      </c>
      <c r="D397" s="5"/>
      <c r="E397" s="6">
        <f t="shared" si="10"/>
        <v>0</v>
      </c>
      <c r="F397" s="6">
        <f t="shared" si="10"/>
        <v>0</v>
      </c>
      <c r="G397" s="62"/>
      <c r="H397" s="62"/>
      <c r="I397" s="60"/>
      <c r="J397" s="60"/>
      <c r="K397" s="64"/>
      <c r="L397" s="64"/>
      <c r="M397" s="25"/>
      <c r="N397" s="25"/>
    </row>
    <row r="398" spans="1:14">
      <c r="A398" s="3" t="s">
        <v>754</v>
      </c>
      <c r="B398" s="4" t="s">
        <v>755</v>
      </c>
      <c r="C398" s="5">
        <f t="shared" si="11"/>
        <v>0</v>
      </c>
      <c r="D398" s="5"/>
      <c r="E398" s="6">
        <f t="shared" ref="E398:F461" si="12">SUM(G398,I398,K398,M398)</f>
        <v>0</v>
      </c>
      <c r="F398" s="6">
        <f t="shared" si="12"/>
        <v>0</v>
      </c>
      <c r="G398" s="62"/>
      <c r="H398" s="62"/>
      <c r="I398" s="60"/>
      <c r="J398" s="60"/>
      <c r="K398" s="64"/>
      <c r="L398" s="64"/>
      <c r="M398" s="25"/>
      <c r="N398" s="25"/>
    </row>
    <row r="399" spans="1:14">
      <c r="A399" s="3" t="s">
        <v>756</v>
      </c>
      <c r="B399" s="4" t="s">
        <v>757</v>
      </c>
      <c r="C399" s="5">
        <f t="shared" si="11"/>
        <v>0</v>
      </c>
      <c r="D399" s="5"/>
      <c r="E399" s="6">
        <f t="shared" si="12"/>
        <v>0</v>
      </c>
      <c r="F399" s="6">
        <f t="shared" si="12"/>
        <v>0</v>
      </c>
      <c r="G399" s="62"/>
      <c r="H399" s="62"/>
      <c r="I399" s="60"/>
      <c r="J399" s="60"/>
      <c r="K399" s="64"/>
      <c r="L399" s="64"/>
      <c r="M399" s="25"/>
      <c r="N399" s="25"/>
    </row>
    <row r="400" spans="1:14">
      <c r="A400" s="3" t="s">
        <v>758</v>
      </c>
      <c r="B400" s="4" t="s">
        <v>759</v>
      </c>
      <c r="C400" s="5">
        <f t="shared" si="11"/>
        <v>0</v>
      </c>
      <c r="D400" s="5"/>
      <c r="E400" s="6">
        <f t="shared" si="12"/>
        <v>0</v>
      </c>
      <c r="F400" s="6">
        <f t="shared" si="12"/>
        <v>0</v>
      </c>
      <c r="G400" s="62"/>
      <c r="H400" s="62"/>
      <c r="I400" s="60"/>
      <c r="J400" s="60"/>
      <c r="K400" s="64"/>
      <c r="L400" s="64"/>
      <c r="M400" s="25"/>
      <c r="N400" s="25"/>
    </row>
    <row r="401" spans="1:14">
      <c r="A401" s="3" t="s">
        <v>760</v>
      </c>
      <c r="B401" s="4" t="s">
        <v>761</v>
      </c>
      <c r="C401" s="5">
        <f t="shared" si="11"/>
        <v>0</v>
      </c>
      <c r="D401" s="5"/>
      <c r="E401" s="6">
        <f t="shared" si="12"/>
        <v>0</v>
      </c>
      <c r="F401" s="6">
        <f t="shared" si="12"/>
        <v>0</v>
      </c>
      <c r="G401" s="62"/>
      <c r="H401" s="62"/>
      <c r="I401" s="60"/>
      <c r="J401" s="60"/>
      <c r="K401" s="64"/>
      <c r="L401" s="64"/>
      <c r="M401" s="25"/>
      <c r="N401" s="25"/>
    </row>
    <row r="402" spans="1:14">
      <c r="A402" s="3" t="s">
        <v>762</v>
      </c>
      <c r="B402" s="4" t="s">
        <v>763</v>
      </c>
      <c r="C402" s="5">
        <f t="shared" si="11"/>
        <v>0</v>
      </c>
      <c r="D402" s="5"/>
      <c r="E402" s="6">
        <f t="shared" si="12"/>
        <v>0</v>
      </c>
      <c r="F402" s="6">
        <f t="shared" si="12"/>
        <v>0</v>
      </c>
      <c r="G402" s="62"/>
      <c r="H402" s="62"/>
      <c r="I402" s="60"/>
      <c r="J402" s="60"/>
      <c r="K402" s="64"/>
      <c r="L402" s="64"/>
      <c r="M402" s="25"/>
      <c r="N402" s="25"/>
    </row>
    <row r="403" spans="1:14">
      <c r="A403" s="3" t="s">
        <v>764</v>
      </c>
      <c r="B403" s="4" t="s">
        <v>765</v>
      </c>
      <c r="C403" s="5">
        <f t="shared" si="11"/>
        <v>0</v>
      </c>
      <c r="D403" s="5"/>
      <c r="E403" s="6">
        <f t="shared" si="12"/>
        <v>0</v>
      </c>
      <c r="F403" s="6">
        <f t="shared" si="12"/>
        <v>0</v>
      </c>
      <c r="G403" s="62"/>
      <c r="H403" s="62"/>
      <c r="I403" s="60"/>
      <c r="J403" s="60"/>
      <c r="K403" s="64"/>
      <c r="L403" s="64"/>
      <c r="M403" s="25"/>
      <c r="N403" s="25"/>
    </row>
    <row r="404" spans="1:14">
      <c r="A404" s="3" t="s">
        <v>766</v>
      </c>
      <c r="B404" s="4" t="s">
        <v>767</v>
      </c>
      <c r="C404" s="5">
        <f t="shared" si="11"/>
        <v>0</v>
      </c>
      <c r="D404" s="5"/>
      <c r="E404" s="6">
        <f t="shared" si="12"/>
        <v>0</v>
      </c>
      <c r="F404" s="6">
        <f t="shared" si="12"/>
        <v>0</v>
      </c>
      <c r="G404" s="62"/>
      <c r="H404" s="62"/>
      <c r="I404" s="60"/>
      <c r="J404" s="60"/>
      <c r="K404" s="64"/>
      <c r="L404" s="64"/>
      <c r="M404" s="25"/>
      <c r="N404" s="25"/>
    </row>
    <row r="405" spans="1:14">
      <c r="A405" s="3" t="s">
        <v>768</v>
      </c>
      <c r="B405" s="4" t="s">
        <v>769</v>
      </c>
      <c r="C405" s="5">
        <f t="shared" si="11"/>
        <v>0</v>
      </c>
      <c r="D405" s="5"/>
      <c r="E405" s="6">
        <f t="shared" si="12"/>
        <v>0</v>
      </c>
      <c r="F405" s="6">
        <f t="shared" si="12"/>
        <v>0</v>
      </c>
      <c r="G405" s="62"/>
      <c r="H405" s="62"/>
      <c r="I405" s="60"/>
      <c r="J405" s="60"/>
      <c r="K405" s="64"/>
      <c r="L405" s="64"/>
      <c r="M405" s="25"/>
      <c r="N405" s="25"/>
    </row>
    <row r="406" spans="1:14">
      <c r="A406" s="3" t="s">
        <v>770</v>
      </c>
      <c r="B406" s="4" t="s">
        <v>771</v>
      </c>
      <c r="C406" s="5">
        <f t="shared" si="11"/>
        <v>0</v>
      </c>
      <c r="D406" s="5"/>
      <c r="E406" s="6">
        <f t="shared" si="12"/>
        <v>0</v>
      </c>
      <c r="F406" s="6">
        <f t="shared" si="12"/>
        <v>0</v>
      </c>
      <c r="G406" s="62"/>
      <c r="H406" s="62"/>
      <c r="I406" s="60"/>
      <c r="J406" s="60"/>
      <c r="K406" s="64"/>
      <c r="L406" s="64"/>
      <c r="M406" s="25"/>
      <c r="N406" s="25"/>
    </row>
    <row r="407" spans="1:14">
      <c r="A407" s="3" t="s">
        <v>772</v>
      </c>
      <c r="B407" s="4" t="s">
        <v>773</v>
      </c>
      <c r="C407" s="5">
        <f t="shared" si="11"/>
        <v>0</v>
      </c>
      <c r="D407" s="5"/>
      <c r="E407" s="6">
        <f t="shared" si="12"/>
        <v>0</v>
      </c>
      <c r="F407" s="6">
        <f t="shared" si="12"/>
        <v>0</v>
      </c>
      <c r="G407" s="62"/>
      <c r="H407" s="62"/>
      <c r="I407" s="60"/>
      <c r="J407" s="60"/>
      <c r="K407" s="64"/>
      <c r="L407" s="64"/>
      <c r="M407" s="25"/>
      <c r="N407" s="25"/>
    </row>
    <row r="408" spans="1:14">
      <c r="A408" s="3" t="s">
        <v>774</v>
      </c>
      <c r="B408" s="4" t="s">
        <v>775</v>
      </c>
      <c r="C408" s="5">
        <f t="shared" si="11"/>
        <v>0</v>
      </c>
      <c r="D408" s="5"/>
      <c r="E408" s="6">
        <f t="shared" si="12"/>
        <v>0</v>
      </c>
      <c r="F408" s="6">
        <f t="shared" si="12"/>
        <v>0</v>
      </c>
      <c r="G408" s="62"/>
      <c r="H408" s="62"/>
      <c r="I408" s="60"/>
      <c r="J408" s="60"/>
      <c r="K408" s="64"/>
      <c r="L408" s="64"/>
      <c r="M408" s="25"/>
      <c r="N408" s="25"/>
    </row>
    <row r="409" spans="1:14">
      <c r="A409" s="3" t="s">
        <v>776</v>
      </c>
      <c r="B409" s="4" t="s">
        <v>777</v>
      </c>
      <c r="C409" s="5">
        <f t="shared" ref="C409:C461" si="13">E409-F409</f>
        <v>0</v>
      </c>
      <c r="D409" s="5"/>
      <c r="E409" s="6">
        <f t="shared" si="12"/>
        <v>0</v>
      </c>
      <c r="F409" s="6">
        <f t="shared" si="12"/>
        <v>0</v>
      </c>
      <c r="G409" s="62"/>
      <c r="H409" s="62"/>
      <c r="I409" s="60"/>
      <c r="J409" s="60"/>
      <c r="K409" s="64"/>
      <c r="L409" s="64"/>
      <c r="M409" s="25"/>
      <c r="N409" s="25"/>
    </row>
    <row r="410" spans="1:14">
      <c r="A410" s="3" t="s">
        <v>778</v>
      </c>
      <c r="B410" s="4" t="s">
        <v>779</v>
      </c>
      <c r="C410" s="5">
        <f t="shared" si="13"/>
        <v>0</v>
      </c>
      <c r="D410" s="5"/>
      <c r="E410" s="6">
        <f t="shared" si="12"/>
        <v>0</v>
      </c>
      <c r="F410" s="6">
        <f t="shared" si="12"/>
        <v>0</v>
      </c>
      <c r="G410" s="62"/>
      <c r="H410" s="62"/>
      <c r="I410" s="60"/>
      <c r="J410" s="60"/>
      <c r="K410" s="64"/>
      <c r="L410" s="64"/>
      <c r="M410" s="25"/>
      <c r="N410" s="25"/>
    </row>
    <row r="411" spans="1:14">
      <c r="A411" s="3" t="s">
        <v>780</v>
      </c>
      <c r="B411" s="4" t="s">
        <v>781</v>
      </c>
      <c r="C411" s="5">
        <f t="shared" si="13"/>
        <v>0</v>
      </c>
      <c r="D411" s="5"/>
      <c r="E411" s="6">
        <f t="shared" si="12"/>
        <v>0</v>
      </c>
      <c r="F411" s="6">
        <f t="shared" si="12"/>
        <v>0</v>
      </c>
      <c r="G411" s="62"/>
      <c r="H411" s="62"/>
      <c r="I411" s="60"/>
      <c r="J411" s="60"/>
      <c r="K411" s="64"/>
      <c r="L411" s="64"/>
      <c r="M411" s="25"/>
      <c r="N411" s="25"/>
    </row>
    <row r="412" spans="1:14">
      <c r="A412" s="3" t="s">
        <v>782</v>
      </c>
      <c r="B412" s="4" t="s">
        <v>783</v>
      </c>
      <c r="C412" s="5">
        <f t="shared" si="13"/>
        <v>0</v>
      </c>
      <c r="D412" s="5"/>
      <c r="E412" s="6">
        <f t="shared" si="12"/>
        <v>0</v>
      </c>
      <c r="F412" s="6">
        <f t="shared" si="12"/>
        <v>0</v>
      </c>
      <c r="G412" s="62"/>
      <c r="H412" s="62"/>
      <c r="I412" s="60"/>
      <c r="J412" s="60"/>
      <c r="K412" s="64"/>
      <c r="L412" s="64"/>
      <c r="M412" s="25"/>
      <c r="N412" s="25"/>
    </row>
    <row r="413" spans="1:14">
      <c r="A413" s="3" t="s">
        <v>784</v>
      </c>
      <c r="B413" s="4" t="s">
        <v>785</v>
      </c>
      <c r="C413" s="5">
        <f t="shared" si="13"/>
        <v>0</v>
      </c>
      <c r="D413" s="5"/>
      <c r="E413" s="6">
        <f t="shared" si="12"/>
        <v>0</v>
      </c>
      <c r="F413" s="6">
        <f t="shared" si="12"/>
        <v>0</v>
      </c>
      <c r="G413" s="62"/>
      <c r="H413" s="62"/>
      <c r="I413" s="60"/>
      <c r="J413" s="60"/>
      <c r="K413" s="64"/>
      <c r="L413" s="64"/>
      <c r="M413" s="25"/>
      <c r="N413" s="25"/>
    </row>
    <row r="414" spans="1:14">
      <c r="A414" s="3" t="s">
        <v>786</v>
      </c>
      <c r="B414" s="4" t="s">
        <v>787</v>
      </c>
      <c r="C414" s="5">
        <f t="shared" si="13"/>
        <v>0</v>
      </c>
      <c r="D414" s="5"/>
      <c r="E414" s="6">
        <f t="shared" si="12"/>
        <v>0</v>
      </c>
      <c r="F414" s="6">
        <f t="shared" si="12"/>
        <v>0</v>
      </c>
      <c r="G414" s="62"/>
      <c r="H414" s="62"/>
      <c r="I414" s="60"/>
      <c r="J414" s="60"/>
      <c r="K414" s="64"/>
      <c r="L414" s="64"/>
      <c r="M414" s="25"/>
      <c r="N414" s="25"/>
    </row>
    <row r="415" spans="1:14">
      <c r="A415" s="3" t="s">
        <v>788</v>
      </c>
      <c r="B415" s="4" t="s">
        <v>789</v>
      </c>
      <c r="C415" s="5">
        <f t="shared" si="13"/>
        <v>0</v>
      </c>
      <c r="D415" s="5"/>
      <c r="E415" s="6">
        <f t="shared" si="12"/>
        <v>0</v>
      </c>
      <c r="F415" s="6">
        <f t="shared" si="12"/>
        <v>0</v>
      </c>
      <c r="G415" s="62"/>
      <c r="H415" s="62"/>
      <c r="I415" s="60"/>
      <c r="J415" s="60"/>
      <c r="K415" s="64"/>
      <c r="L415" s="64"/>
      <c r="M415" s="25"/>
      <c r="N415" s="25"/>
    </row>
    <row r="416" spans="1:14">
      <c r="A416" s="3" t="s">
        <v>790</v>
      </c>
      <c r="B416" s="4" t="s">
        <v>791</v>
      </c>
      <c r="C416" s="5">
        <f t="shared" si="13"/>
        <v>0</v>
      </c>
      <c r="D416" s="5"/>
      <c r="E416" s="6">
        <f t="shared" si="12"/>
        <v>0</v>
      </c>
      <c r="F416" s="6">
        <f t="shared" si="12"/>
        <v>0</v>
      </c>
      <c r="G416" s="62"/>
      <c r="H416" s="62"/>
      <c r="I416" s="60"/>
      <c r="J416" s="60"/>
      <c r="K416" s="64"/>
      <c r="L416" s="64"/>
      <c r="M416" s="25"/>
      <c r="N416" s="25"/>
    </row>
    <row r="417" spans="1:14">
      <c r="A417" s="3" t="s">
        <v>792</v>
      </c>
      <c r="B417" s="4" t="s">
        <v>793</v>
      </c>
      <c r="C417" s="5">
        <f t="shared" si="13"/>
        <v>0</v>
      </c>
      <c r="D417" s="5"/>
      <c r="E417" s="6">
        <f t="shared" si="12"/>
        <v>0</v>
      </c>
      <c r="F417" s="6">
        <f t="shared" si="12"/>
        <v>0</v>
      </c>
      <c r="G417" s="62"/>
      <c r="H417" s="62"/>
      <c r="I417" s="60"/>
      <c r="J417" s="60"/>
      <c r="K417" s="64"/>
      <c r="L417" s="64"/>
      <c r="M417" s="25"/>
      <c r="N417" s="25"/>
    </row>
    <row r="418" spans="1:14">
      <c r="A418" s="3" t="s">
        <v>794</v>
      </c>
      <c r="B418" s="4" t="s">
        <v>795</v>
      </c>
      <c r="C418" s="5">
        <f t="shared" si="13"/>
        <v>0</v>
      </c>
      <c r="D418" s="5"/>
      <c r="E418" s="6">
        <f t="shared" si="12"/>
        <v>0</v>
      </c>
      <c r="F418" s="6">
        <f t="shared" si="12"/>
        <v>0</v>
      </c>
      <c r="G418" s="62"/>
      <c r="H418" s="62"/>
      <c r="I418" s="60"/>
      <c r="J418" s="60"/>
      <c r="K418" s="64"/>
      <c r="L418" s="64"/>
      <c r="M418" s="25"/>
      <c r="N418" s="25"/>
    </row>
    <row r="419" spans="1:14">
      <c r="A419" s="3" t="s">
        <v>796</v>
      </c>
      <c r="B419" s="4" t="s">
        <v>797</v>
      </c>
      <c r="C419" s="5">
        <f t="shared" si="13"/>
        <v>0</v>
      </c>
      <c r="D419" s="5"/>
      <c r="E419" s="6">
        <f t="shared" si="12"/>
        <v>0</v>
      </c>
      <c r="F419" s="6">
        <f t="shared" si="12"/>
        <v>0</v>
      </c>
      <c r="G419" s="62"/>
      <c r="H419" s="62"/>
      <c r="I419" s="60"/>
      <c r="J419" s="60"/>
      <c r="K419" s="64"/>
      <c r="L419" s="64"/>
      <c r="M419" s="25"/>
      <c r="N419" s="25"/>
    </row>
    <row r="420" spans="1:14">
      <c r="A420" s="3" t="s">
        <v>798</v>
      </c>
      <c r="B420" s="4" t="s">
        <v>799</v>
      </c>
      <c r="C420" s="5">
        <f t="shared" si="13"/>
        <v>0</v>
      </c>
      <c r="D420" s="5"/>
      <c r="E420" s="6">
        <f t="shared" si="12"/>
        <v>0</v>
      </c>
      <c r="F420" s="6">
        <f t="shared" si="12"/>
        <v>0</v>
      </c>
      <c r="G420" s="62"/>
      <c r="H420" s="62"/>
      <c r="I420" s="60"/>
      <c r="J420" s="60"/>
      <c r="K420" s="64"/>
      <c r="L420" s="64"/>
      <c r="M420" s="25"/>
      <c r="N420" s="25"/>
    </row>
    <row r="421" spans="1:14">
      <c r="A421" s="3" t="s">
        <v>800</v>
      </c>
      <c r="B421" s="4" t="s">
        <v>801</v>
      </c>
      <c r="C421" s="5">
        <f t="shared" si="13"/>
        <v>0</v>
      </c>
      <c r="D421" s="5"/>
      <c r="E421" s="6">
        <f t="shared" si="12"/>
        <v>0</v>
      </c>
      <c r="F421" s="6">
        <f t="shared" si="12"/>
        <v>0</v>
      </c>
      <c r="G421" s="62"/>
      <c r="H421" s="62"/>
      <c r="I421" s="60"/>
      <c r="J421" s="60"/>
      <c r="K421" s="64"/>
      <c r="L421" s="64"/>
      <c r="M421" s="25"/>
      <c r="N421" s="25"/>
    </row>
    <row r="422" spans="1:14">
      <c r="A422" s="3" t="s">
        <v>802</v>
      </c>
      <c r="B422" s="4" t="s">
        <v>803</v>
      </c>
      <c r="C422" s="5">
        <f t="shared" si="13"/>
        <v>0</v>
      </c>
      <c r="D422" s="5"/>
      <c r="E422" s="6">
        <f t="shared" si="12"/>
        <v>0</v>
      </c>
      <c r="F422" s="6">
        <f t="shared" si="12"/>
        <v>0</v>
      </c>
      <c r="G422" s="62"/>
      <c r="H422" s="62"/>
      <c r="I422" s="60"/>
      <c r="J422" s="60"/>
      <c r="K422" s="64"/>
      <c r="L422" s="64"/>
      <c r="M422" s="25"/>
      <c r="N422" s="25"/>
    </row>
    <row r="423" spans="1:14">
      <c r="A423" s="3" t="s">
        <v>804</v>
      </c>
      <c r="B423" s="4" t="s">
        <v>805</v>
      </c>
      <c r="C423" s="5">
        <f t="shared" si="13"/>
        <v>0</v>
      </c>
      <c r="D423" s="5"/>
      <c r="E423" s="6">
        <f t="shared" si="12"/>
        <v>0</v>
      </c>
      <c r="F423" s="6">
        <f t="shared" si="12"/>
        <v>0</v>
      </c>
      <c r="G423" s="62"/>
      <c r="H423" s="62"/>
      <c r="I423" s="60"/>
      <c r="J423" s="60"/>
      <c r="K423" s="64"/>
      <c r="L423" s="64"/>
      <c r="M423" s="25"/>
      <c r="N423" s="25"/>
    </row>
    <row r="424" spans="1:14">
      <c r="A424" s="3" t="s">
        <v>806</v>
      </c>
      <c r="B424" s="4" t="s">
        <v>807</v>
      </c>
      <c r="C424" s="5">
        <f t="shared" si="13"/>
        <v>0</v>
      </c>
      <c r="D424" s="5"/>
      <c r="E424" s="6">
        <f t="shared" si="12"/>
        <v>0</v>
      </c>
      <c r="F424" s="6">
        <f t="shared" si="12"/>
        <v>0</v>
      </c>
      <c r="G424" s="62"/>
      <c r="H424" s="62"/>
      <c r="I424" s="60"/>
      <c r="J424" s="60"/>
      <c r="K424" s="64"/>
      <c r="L424" s="64"/>
      <c r="M424" s="25"/>
      <c r="N424" s="25"/>
    </row>
    <row r="425" spans="1:14">
      <c r="A425" s="3" t="s">
        <v>808</v>
      </c>
      <c r="B425" s="4" t="s">
        <v>809</v>
      </c>
      <c r="C425" s="5">
        <f t="shared" si="13"/>
        <v>0</v>
      </c>
      <c r="D425" s="5"/>
      <c r="E425" s="6">
        <f t="shared" si="12"/>
        <v>0</v>
      </c>
      <c r="F425" s="6">
        <f t="shared" si="12"/>
        <v>0</v>
      </c>
      <c r="G425" s="62"/>
      <c r="H425" s="62"/>
      <c r="I425" s="60"/>
      <c r="J425" s="60"/>
      <c r="K425" s="64"/>
      <c r="L425" s="64"/>
      <c r="M425" s="25"/>
      <c r="N425" s="25"/>
    </row>
    <row r="426" spans="1:14">
      <c r="A426" s="3" t="s">
        <v>810</v>
      </c>
      <c r="B426" s="4" t="s">
        <v>811</v>
      </c>
      <c r="C426" s="5">
        <f t="shared" si="13"/>
        <v>0</v>
      </c>
      <c r="D426" s="5"/>
      <c r="E426" s="6">
        <f t="shared" si="12"/>
        <v>0</v>
      </c>
      <c r="F426" s="6">
        <f t="shared" si="12"/>
        <v>0</v>
      </c>
      <c r="G426" s="62"/>
      <c r="H426" s="62"/>
      <c r="I426" s="60"/>
      <c r="J426" s="60"/>
      <c r="K426" s="64"/>
      <c r="L426" s="64"/>
      <c r="M426" s="25"/>
      <c r="N426" s="25"/>
    </row>
    <row r="427" spans="1:14">
      <c r="A427" s="3" t="s">
        <v>812</v>
      </c>
      <c r="B427" s="4" t="s">
        <v>813</v>
      </c>
      <c r="C427" s="5">
        <f t="shared" si="13"/>
        <v>0</v>
      </c>
      <c r="D427" s="5"/>
      <c r="E427" s="6">
        <f t="shared" si="12"/>
        <v>0</v>
      </c>
      <c r="F427" s="6">
        <f t="shared" si="12"/>
        <v>0</v>
      </c>
      <c r="G427" s="62"/>
      <c r="H427" s="62"/>
      <c r="I427" s="60"/>
      <c r="J427" s="60"/>
      <c r="K427" s="64"/>
      <c r="L427" s="64"/>
      <c r="M427" s="25"/>
      <c r="N427" s="25"/>
    </row>
    <row r="428" spans="1:14">
      <c r="A428" s="3" t="s">
        <v>814</v>
      </c>
      <c r="B428" s="4" t="s">
        <v>815</v>
      </c>
      <c r="C428" s="5">
        <f t="shared" si="13"/>
        <v>0</v>
      </c>
      <c r="D428" s="5"/>
      <c r="E428" s="6">
        <f t="shared" si="12"/>
        <v>0</v>
      </c>
      <c r="F428" s="6">
        <f t="shared" si="12"/>
        <v>0</v>
      </c>
      <c r="G428" s="62"/>
      <c r="H428" s="62"/>
      <c r="I428" s="60"/>
      <c r="J428" s="60"/>
      <c r="K428" s="64"/>
      <c r="L428" s="64"/>
      <c r="M428" s="25"/>
      <c r="N428" s="25"/>
    </row>
    <row r="429" spans="1:14">
      <c r="A429" s="3" t="s">
        <v>816</v>
      </c>
      <c r="B429" s="4" t="s">
        <v>817</v>
      </c>
      <c r="C429" s="5">
        <f t="shared" si="13"/>
        <v>0</v>
      </c>
      <c r="D429" s="5"/>
      <c r="E429" s="6">
        <f t="shared" si="12"/>
        <v>0</v>
      </c>
      <c r="F429" s="6">
        <f t="shared" si="12"/>
        <v>0</v>
      </c>
      <c r="G429" s="62"/>
      <c r="H429" s="62"/>
      <c r="I429" s="60"/>
      <c r="J429" s="60"/>
      <c r="K429" s="64"/>
      <c r="L429" s="64"/>
      <c r="M429" s="25"/>
      <c r="N429" s="25"/>
    </row>
    <row r="430" spans="1:14">
      <c r="A430" s="3" t="s">
        <v>818</v>
      </c>
      <c r="B430" s="4" t="s">
        <v>819</v>
      </c>
      <c r="C430" s="5">
        <f t="shared" si="13"/>
        <v>0</v>
      </c>
      <c r="D430" s="5"/>
      <c r="E430" s="6">
        <f t="shared" si="12"/>
        <v>0</v>
      </c>
      <c r="F430" s="6">
        <f t="shared" si="12"/>
        <v>0</v>
      </c>
      <c r="G430" s="62"/>
      <c r="H430" s="62"/>
      <c r="I430" s="60"/>
      <c r="J430" s="60"/>
      <c r="K430" s="64"/>
      <c r="L430" s="64"/>
      <c r="M430" s="25"/>
      <c r="N430" s="25"/>
    </row>
    <row r="431" spans="1:14">
      <c r="A431" s="3" t="s">
        <v>820</v>
      </c>
      <c r="B431" s="4" t="s">
        <v>821</v>
      </c>
      <c r="C431" s="5">
        <f t="shared" si="13"/>
        <v>0</v>
      </c>
      <c r="D431" s="5"/>
      <c r="E431" s="6">
        <f t="shared" si="12"/>
        <v>0</v>
      </c>
      <c r="F431" s="6">
        <f t="shared" si="12"/>
        <v>0</v>
      </c>
      <c r="G431" s="62"/>
      <c r="H431" s="62"/>
      <c r="I431" s="60"/>
      <c r="J431" s="60"/>
      <c r="K431" s="64"/>
      <c r="L431" s="64"/>
      <c r="M431" s="25"/>
      <c r="N431" s="25"/>
    </row>
    <row r="432" spans="1:14">
      <c r="A432" s="3" t="s">
        <v>822</v>
      </c>
      <c r="B432" s="4" t="s">
        <v>823</v>
      </c>
      <c r="C432" s="5">
        <f t="shared" si="13"/>
        <v>0</v>
      </c>
      <c r="D432" s="5"/>
      <c r="E432" s="6">
        <f t="shared" si="12"/>
        <v>0</v>
      </c>
      <c r="F432" s="6">
        <f t="shared" si="12"/>
        <v>0</v>
      </c>
      <c r="G432" s="62"/>
      <c r="H432" s="62"/>
      <c r="I432" s="60"/>
      <c r="J432" s="60"/>
      <c r="K432" s="64"/>
      <c r="L432" s="64"/>
      <c r="M432" s="25"/>
      <c r="N432" s="25"/>
    </row>
    <row r="433" spans="1:14">
      <c r="A433" s="3" t="s">
        <v>824</v>
      </c>
      <c r="B433" s="4" t="s">
        <v>825</v>
      </c>
      <c r="C433" s="5">
        <f t="shared" si="13"/>
        <v>0</v>
      </c>
      <c r="D433" s="5"/>
      <c r="E433" s="6">
        <f t="shared" si="12"/>
        <v>0</v>
      </c>
      <c r="F433" s="6">
        <f t="shared" si="12"/>
        <v>0</v>
      </c>
      <c r="G433" s="62"/>
      <c r="H433" s="62"/>
      <c r="I433" s="60"/>
      <c r="J433" s="60"/>
      <c r="K433" s="64"/>
      <c r="L433" s="64"/>
      <c r="M433" s="25"/>
      <c r="N433" s="25"/>
    </row>
    <row r="434" spans="1:14">
      <c r="A434" s="3" t="s">
        <v>826</v>
      </c>
      <c r="B434" s="4" t="s">
        <v>827</v>
      </c>
      <c r="C434" s="5">
        <f t="shared" si="13"/>
        <v>0</v>
      </c>
      <c r="D434" s="5"/>
      <c r="E434" s="6">
        <f t="shared" si="12"/>
        <v>0</v>
      </c>
      <c r="F434" s="6">
        <f t="shared" si="12"/>
        <v>0</v>
      </c>
      <c r="G434" s="62"/>
      <c r="H434" s="62"/>
      <c r="I434" s="60"/>
      <c r="J434" s="60"/>
      <c r="K434" s="64"/>
      <c r="L434" s="64"/>
      <c r="M434" s="25"/>
      <c r="N434" s="25"/>
    </row>
    <row r="435" spans="1:14">
      <c r="A435" s="3" t="s">
        <v>828</v>
      </c>
      <c r="B435" s="4" t="s">
        <v>829</v>
      </c>
      <c r="C435" s="5">
        <f t="shared" si="13"/>
        <v>0</v>
      </c>
      <c r="D435" s="5"/>
      <c r="E435" s="6">
        <f t="shared" si="12"/>
        <v>0</v>
      </c>
      <c r="F435" s="6">
        <f t="shared" si="12"/>
        <v>0</v>
      </c>
      <c r="G435" s="62"/>
      <c r="H435" s="62"/>
      <c r="I435" s="60"/>
      <c r="J435" s="60"/>
      <c r="K435" s="64"/>
      <c r="L435" s="64"/>
      <c r="M435" s="25"/>
      <c r="N435" s="25"/>
    </row>
    <row r="436" spans="1:14">
      <c r="A436" s="3" t="s">
        <v>830</v>
      </c>
      <c r="B436" s="4" t="s">
        <v>831</v>
      </c>
      <c r="C436" s="5">
        <f t="shared" si="13"/>
        <v>0</v>
      </c>
      <c r="D436" s="5"/>
      <c r="E436" s="6">
        <f t="shared" si="12"/>
        <v>0</v>
      </c>
      <c r="F436" s="6">
        <f t="shared" si="12"/>
        <v>0</v>
      </c>
      <c r="G436" s="62"/>
      <c r="H436" s="62"/>
      <c r="I436" s="60"/>
      <c r="J436" s="60"/>
      <c r="K436" s="64"/>
      <c r="L436" s="64"/>
      <c r="M436" s="25"/>
      <c r="N436" s="25"/>
    </row>
    <row r="437" spans="1:14">
      <c r="A437" s="3" t="s">
        <v>832</v>
      </c>
      <c r="B437" s="4" t="s">
        <v>833</v>
      </c>
      <c r="C437" s="5">
        <f t="shared" si="13"/>
        <v>0</v>
      </c>
      <c r="D437" s="5"/>
      <c r="E437" s="6">
        <f t="shared" si="12"/>
        <v>0</v>
      </c>
      <c r="F437" s="6">
        <f t="shared" si="12"/>
        <v>0</v>
      </c>
      <c r="G437" s="62"/>
      <c r="H437" s="62"/>
      <c r="I437" s="60"/>
      <c r="J437" s="60"/>
      <c r="K437" s="64"/>
      <c r="L437" s="64"/>
      <c r="M437" s="25"/>
      <c r="N437" s="25"/>
    </row>
    <row r="438" spans="1:14">
      <c r="A438" s="3" t="s">
        <v>834</v>
      </c>
      <c r="B438" s="4" t="s">
        <v>835</v>
      </c>
      <c r="C438" s="5">
        <f t="shared" si="13"/>
        <v>0</v>
      </c>
      <c r="D438" s="5"/>
      <c r="E438" s="6">
        <f t="shared" si="12"/>
        <v>0</v>
      </c>
      <c r="F438" s="6">
        <f t="shared" si="12"/>
        <v>0</v>
      </c>
      <c r="G438" s="62"/>
      <c r="H438" s="62"/>
      <c r="I438" s="60"/>
      <c r="J438" s="60"/>
      <c r="K438" s="64"/>
      <c r="L438" s="64"/>
      <c r="M438" s="25"/>
      <c r="N438" s="25"/>
    </row>
    <row r="439" spans="1:14">
      <c r="A439" s="3" t="s">
        <v>836</v>
      </c>
      <c r="B439" s="4" t="s">
        <v>837</v>
      </c>
      <c r="C439" s="5">
        <f t="shared" si="13"/>
        <v>0</v>
      </c>
      <c r="D439" s="5"/>
      <c r="E439" s="6">
        <f t="shared" si="12"/>
        <v>0</v>
      </c>
      <c r="F439" s="6">
        <f t="shared" si="12"/>
        <v>0</v>
      </c>
      <c r="G439" s="62"/>
      <c r="H439" s="62"/>
      <c r="I439" s="60"/>
      <c r="J439" s="60"/>
      <c r="K439" s="64"/>
      <c r="L439" s="64"/>
      <c r="M439" s="25"/>
      <c r="N439" s="25"/>
    </row>
    <row r="440" spans="1:14">
      <c r="A440" s="3" t="s">
        <v>838</v>
      </c>
      <c r="B440" s="4" t="s">
        <v>839</v>
      </c>
      <c r="C440" s="5">
        <f t="shared" si="13"/>
        <v>0</v>
      </c>
      <c r="D440" s="5"/>
      <c r="E440" s="6">
        <f t="shared" si="12"/>
        <v>0</v>
      </c>
      <c r="F440" s="6">
        <f t="shared" si="12"/>
        <v>0</v>
      </c>
      <c r="G440" s="62"/>
      <c r="H440" s="62"/>
      <c r="I440" s="60"/>
      <c r="J440" s="60"/>
      <c r="K440" s="64"/>
      <c r="L440" s="64"/>
      <c r="M440" s="25"/>
      <c r="N440" s="25"/>
    </row>
    <row r="441" spans="1:14">
      <c r="A441" s="3" t="s">
        <v>840</v>
      </c>
      <c r="B441" s="4" t="s">
        <v>841</v>
      </c>
      <c r="C441" s="5">
        <f t="shared" si="13"/>
        <v>0</v>
      </c>
      <c r="D441" s="5"/>
      <c r="E441" s="6">
        <f t="shared" si="12"/>
        <v>0</v>
      </c>
      <c r="F441" s="6">
        <f t="shared" si="12"/>
        <v>0</v>
      </c>
      <c r="G441" s="62"/>
      <c r="H441" s="62"/>
      <c r="I441" s="60"/>
      <c r="J441" s="60"/>
      <c r="K441" s="64"/>
      <c r="L441" s="64"/>
      <c r="M441" s="25"/>
      <c r="N441" s="25"/>
    </row>
    <row r="442" spans="1:14">
      <c r="A442" s="3" t="s">
        <v>842</v>
      </c>
      <c r="B442" s="4" t="s">
        <v>843</v>
      </c>
      <c r="C442" s="5">
        <f t="shared" si="13"/>
        <v>0</v>
      </c>
      <c r="D442" s="5"/>
      <c r="E442" s="6">
        <f t="shared" si="12"/>
        <v>0</v>
      </c>
      <c r="F442" s="6">
        <f t="shared" si="12"/>
        <v>0</v>
      </c>
      <c r="G442" s="62"/>
      <c r="H442" s="62"/>
      <c r="I442" s="60"/>
      <c r="J442" s="60"/>
      <c r="K442" s="64"/>
      <c r="L442" s="64"/>
      <c r="M442" s="25"/>
      <c r="N442" s="25"/>
    </row>
    <row r="443" spans="1:14">
      <c r="A443" s="3" t="s">
        <v>844</v>
      </c>
      <c r="B443" s="4" t="s">
        <v>845</v>
      </c>
      <c r="C443" s="5">
        <f t="shared" si="13"/>
        <v>0</v>
      </c>
      <c r="D443" s="5"/>
      <c r="E443" s="6">
        <f t="shared" si="12"/>
        <v>0</v>
      </c>
      <c r="F443" s="6">
        <f t="shared" si="12"/>
        <v>0</v>
      </c>
      <c r="G443" s="62"/>
      <c r="H443" s="62"/>
      <c r="I443" s="60"/>
      <c r="J443" s="60"/>
      <c r="K443" s="64"/>
      <c r="L443" s="64"/>
      <c r="M443" s="25"/>
      <c r="N443" s="25"/>
    </row>
    <row r="444" spans="1:14">
      <c r="A444" s="3" t="s">
        <v>846</v>
      </c>
      <c r="B444" s="4" t="s">
        <v>847</v>
      </c>
      <c r="C444" s="5">
        <f t="shared" si="13"/>
        <v>0</v>
      </c>
      <c r="D444" s="5"/>
      <c r="E444" s="6">
        <f t="shared" si="12"/>
        <v>0</v>
      </c>
      <c r="F444" s="6">
        <f t="shared" si="12"/>
        <v>0</v>
      </c>
      <c r="G444" s="62"/>
      <c r="H444" s="62"/>
      <c r="I444" s="60"/>
      <c r="J444" s="60"/>
      <c r="K444" s="64"/>
      <c r="L444" s="64"/>
      <c r="M444" s="25"/>
      <c r="N444" s="25"/>
    </row>
    <row r="445" spans="1:14">
      <c r="A445" s="3" t="s">
        <v>848</v>
      </c>
      <c r="B445" s="4" t="s">
        <v>849</v>
      </c>
      <c r="C445" s="5">
        <f t="shared" si="13"/>
        <v>0</v>
      </c>
      <c r="D445" s="5"/>
      <c r="E445" s="6">
        <f t="shared" si="12"/>
        <v>0</v>
      </c>
      <c r="F445" s="6">
        <f t="shared" si="12"/>
        <v>0</v>
      </c>
      <c r="G445" s="62"/>
      <c r="H445" s="62"/>
      <c r="I445" s="60"/>
      <c r="J445" s="60"/>
      <c r="K445" s="64"/>
      <c r="L445" s="64"/>
      <c r="M445" s="25"/>
      <c r="N445" s="25"/>
    </row>
    <row r="446" spans="1:14">
      <c r="A446" s="3" t="s">
        <v>850</v>
      </c>
      <c r="B446" s="4" t="s">
        <v>851</v>
      </c>
      <c r="C446" s="5">
        <f t="shared" si="13"/>
        <v>0</v>
      </c>
      <c r="D446" s="5"/>
      <c r="E446" s="6">
        <f t="shared" si="12"/>
        <v>0</v>
      </c>
      <c r="F446" s="6">
        <f t="shared" si="12"/>
        <v>0</v>
      </c>
      <c r="G446" s="62"/>
      <c r="H446" s="62"/>
      <c r="I446" s="60"/>
      <c r="J446" s="60"/>
      <c r="K446" s="64"/>
      <c r="L446" s="64"/>
      <c r="M446" s="25"/>
      <c r="N446" s="25"/>
    </row>
    <row r="447" spans="1:14">
      <c r="A447" s="3" t="s">
        <v>852</v>
      </c>
      <c r="B447" s="4" t="s">
        <v>853</v>
      </c>
      <c r="C447" s="5">
        <f t="shared" si="13"/>
        <v>0</v>
      </c>
      <c r="D447" s="5"/>
      <c r="E447" s="6">
        <f t="shared" si="12"/>
        <v>0</v>
      </c>
      <c r="F447" s="6">
        <f t="shared" si="12"/>
        <v>0</v>
      </c>
      <c r="G447" s="62"/>
      <c r="H447" s="62"/>
      <c r="I447" s="60"/>
      <c r="J447" s="60"/>
      <c r="K447" s="64"/>
      <c r="L447" s="64"/>
      <c r="M447" s="25"/>
      <c r="N447" s="25"/>
    </row>
    <row r="448" spans="1:14">
      <c r="A448" s="3" t="s">
        <v>854</v>
      </c>
      <c r="B448" s="4">
        <v>954</v>
      </c>
      <c r="C448" s="5">
        <f t="shared" si="13"/>
        <v>0</v>
      </c>
      <c r="D448" s="5"/>
      <c r="E448" s="6">
        <f t="shared" si="12"/>
        <v>0</v>
      </c>
      <c r="F448" s="6">
        <f t="shared" si="12"/>
        <v>0</v>
      </c>
      <c r="G448" s="62"/>
      <c r="H448" s="62"/>
      <c r="I448" s="60"/>
      <c r="J448" s="60"/>
      <c r="K448" s="64"/>
      <c r="L448" s="64"/>
      <c r="M448" s="25"/>
      <c r="N448" s="25"/>
    </row>
    <row r="449" spans="1:14">
      <c r="A449" s="3" t="s">
        <v>855</v>
      </c>
      <c r="B449" s="4">
        <v>955</v>
      </c>
      <c r="C449" s="5">
        <f t="shared" si="13"/>
        <v>0</v>
      </c>
      <c r="D449" s="5"/>
      <c r="E449" s="6">
        <f t="shared" si="12"/>
        <v>0</v>
      </c>
      <c r="F449" s="6">
        <f t="shared" si="12"/>
        <v>0</v>
      </c>
      <c r="G449" s="62"/>
      <c r="H449" s="62"/>
      <c r="I449" s="60"/>
      <c r="J449" s="60"/>
      <c r="K449" s="64"/>
      <c r="L449" s="64"/>
      <c r="M449" s="25"/>
      <c r="N449" s="25"/>
    </row>
    <row r="450" spans="1:14">
      <c r="A450" s="3" t="s">
        <v>856</v>
      </c>
      <c r="B450" s="4" t="s">
        <v>857</v>
      </c>
      <c r="C450" s="5">
        <f t="shared" si="13"/>
        <v>0</v>
      </c>
      <c r="D450" s="5"/>
      <c r="E450" s="6">
        <f t="shared" si="12"/>
        <v>0</v>
      </c>
      <c r="F450" s="6">
        <f t="shared" si="12"/>
        <v>0</v>
      </c>
      <c r="G450" s="62"/>
      <c r="H450" s="62"/>
      <c r="I450" s="60"/>
      <c r="J450" s="60"/>
      <c r="K450" s="64"/>
      <c r="L450" s="64"/>
      <c r="M450" s="25"/>
      <c r="N450" s="25"/>
    </row>
    <row r="451" spans="1:14">
      <c r="A451" s="3" t="s">
        <v>858</v>
      </c>
      <c r="B451" s="4" t="s">
        <v>859</v>
      </c>
      <c r="C451" s="5">
        <f t="shared" si="13"/>
        <v>0</v>
      </c>
      <c r="D451" s="5"/>
      <c r="E451" s="6">
        <f t="shared" si="12"/>
        <v>0</v>
      </c>
      <c r="F451" s="6">
        <f t="shared" si="12"/>
        <v>0</v>
      </c>
      <c r="G451" s="62"/>
      <c r="H451" s="62"/>
      <c r="I451" s="60"/>
      <c r="J451" s="60"/>
      <c r="K451" s="64"/>
      <c r="L451" s="64"/>
      <c r="M451" s="25"/>
      <c r="N451" s="25"/>
    </row>
    <row r="452" spans="1:14">
      <c r="A452" s="3" t="s">
        <v>860</v>
      </c>
      <c r="B452" s="4" t="s">
        <v>861</v>
      </c>
      <c r="C452" s="5">
        <f t="shared" si="13"/>
        <v>0</v>
      </c>
      <c r="D452" s="5"/>
      <c r="E452" s="6">
        <f t="shared" si="12"/>
        <v>0</v>
      </c>
      <c r="F452" s="6">
        <f t="shared" si="12"/>
        <v>0</v>
      </c>
      <c r="G452" s="62"/>
      <c r="H452" s="62"/>
      <c r="I452" s="60"/>
      <c r="J452" s="60"/>
      <c r="K452" s="64"/>
      <c r="L452" s="64"/>
      <c r="M452" s="25"/>
      <c r="N452" s="25"/>
    </row>
    <row r="453" spans="1:14">
      <c r="A453" s="3" t="s">
        <v>862</v>
      </c>
      <c r="B453" s="4" t="s">
        <v>863</v>
      </c>
      <c r="C453" s="5">
        <f t="shared" si="13"/>
        <v>0</v>
      </c>
      <c r="D453" s="5"/>
      <c r="E453" s="6">
        <f t="shared" si="12"/>
        <v>0</v>
      </c>
      <c r="F453" s="6">
        <f t="shared" si="12"/>
        <v>0</v>
      </c>
      <c r="G453" s="62"/>
      <c r="H453" s="62"/>
      <c r="I453" s="60"/>
      <c r="J453" s="60"/>
      <c r="K453" s="64"/>
      <c r="L453" s="64"/>
      <c r="M453" s="25"/>
      <c r="N453" s="25"/>
    </row>
    <row r="454" spans="1:14">
      <c r="A454" s="3" t="s">
        <v>864</v>
      </c>
      <c r="B454" s="4" t="s">
        <v>865</v>
      </c>
      <c r="C454" s="5">
        <f t="shared" si="13"/>
        <v>0</v>
      </c>
      <c r="D454" s="5"/>
      <c r="E454" s="6">
        <f t="shared" si="12"/>
        <v>0</v>
      </c>
      <c r="F454" s="6">
        <f t="shared" si="12"/>
        <v>0</v>
      </c>
      <c r="G454" s="62"/>
      <c r="H454" s="62"/>
      <c r="I454" s="60"/>
      <c r="J454" s="60"/>
      <c r="K454" s="64"/>
      <c r="L454" s="64"/>
      <c r="M454" s="25"/>
      <c r="N454" s="25"/>
    </row>
    <row r="455" spans="1:14">
      <c r="A455" s="3" t="s">
        <v>866</v>
      </c>
      <c r="B455" s="4" t="s">
        <v>867</v>
      </c>
      <c r="C455" s="5">
        <f t="shared" si="13"/>
        <v>0</v>
      </c>
      <c r="D455" s="5"/>
      <c r="E455" s="6">
        <f t="shared" si="12"/>
        <v>0</v>
      </c>
      <c r="F455" s="6">
        <f t="shared" si="12"/>
        <v>0</v>
      </c>
      <c r="G455" s="62"/>
      <c r="H455" s="62"/>
      <c r="I455" s="60"/>
      <c r="J455" s="60"/>
      <c r="K455" s="64"/>
      <c r="L455" s="64"/>
      <c r="M455" s="25"/>
      <c r="N455" s="25"/>
    </row>
    <row r="456" spans="1:14">
      <c r="A456" s="3" t="s">
        <v>868</v>
      </c>
      <c r="B456" s="4" t="s">
        <v>869</v>
      </c>
      <c r="C456" s="5">
        <f t="shared" si="13"/>
        <v>0</v>
      </c>
      <c r="D456" s="5"/>
      <c r="E456" s="6">
        <f t="shared" si="12"/>
        <v>0</v>
      </c>
      <c r="F456" s="6">
        <f t="shared" si="12"/>
        <v>0</v>
      </c>
      <c r="G456" s="62"/>
      <c r="H456" s="62"/>
      <c r="I456" s="60"/>
      <c r="J456" s="60"/>
      <c r="K456" s="64"/>
      <c r="L456" s="64"/>
      <c r="M456" s="25"/>
      <c r="N456" s="25"/>
    </row>
    <row r="457" spans="1:14">
      <c r="A457" s="3" t="s">
        <v>870</v>
      </c>
      <c r="B457" s="4" t="s">
        <v>871</v>
      </c>
      <c r="C457" s="5">
        <f t="shared" si="13"/>
        <v>0</v>
      </c>
      <c r="D457" s="5"/>
      <c r="E457" s="6">
        <f t="shared" si="12"/>
        <v>0</v>
      </c>
      <c r="F457" s="6">
        <f t="shared" si="12"/>
        <v>0</v>
      </c>
      <c r="G457" s="62"/>
      <c r="H457" s="62"/>
      <c r="I457" s="60"/>
      <c r="J457" s="60"/>
      <c r="K457" s="64"/>
      <c r="L457" s="64"/>
      <c r="M457" s="25"/>
      <c r="N457" s="25"/>
    </row>
    <row r="458" spans="1:14">
      <c r="A458" s="3" t="s">
        <v>872</v>
      </c>
      <c r="B458" s="4" t="s">
        <v>873</v>
      </c>
      <c r="C458" s="5">
        <f t="shared" si="13"/>
        <v>0</v>
      </c>
      <c r="D458" s="5"/>
      <c r="E458" s="6">
        <f t="shared" si="12"/>
        <v>0</v>
      </c>
      <c r="F458" s="6">
        <f t="shared" si="12"/>
        <v>0</v>
      </c>
      <c r="G458" s="62"/>
      <c r="H458" s="62"/>
      <c r="I458" s="60"/>
      <c r="J458" s="60"/>
      <c r="K458" s="64"/>
      <c r="L458" s="64"/>
      <c r="M458" s="25"/>
      <c r="N458" s="25"/>
    </row>
    <row r="459" spans="1:14" s="67" customFormat="1" ht="15">
      <c r="A459" s="3" t="s">
        <v>874</v>
      </c>
      <c r="B459" s="4" t="s">
        <v>875</v>
      </c>
      <c r="C459" s="5">
        <f t="shared" si="13"/>
        <v>0</v>
      </c>
      <c r="D459" s="5"/>
      <c r="E459" s="6">
        <f t="shared" si="12"/>
        <v>0</v>
      </c>
      <c r="F459" s="6">
        <f t="shared" si="12"/>
        <v>0</v>
      </c>
      <c r="G459" s="62"/>
      <c r="H459" s="62"/>
      <c r="I459" s="60"/>
      <c r="J459" s="60"/>
      <c r="K459" s="64"/>
      <c r="L459" s="64"/>
      <c r="M459" s="25"/>
      <c r="N459" s="25"/>
    </row>
    <row r="460" spans="1:14">
      <c r="A460" s="3" t="s">
        <v>876</v>
      </c>
      <c r="B460" s="4" t="s">
        <v>877</v>
      </c>
      <c r="C460" s="5">
        <f t="shared" si="13"/>
        <v>0</v>
      </c>
      <c r="D460" s="5"/>
      <c r="E460" s="6">
        <f t="shared" si="12"/>
        <v>0</v>
      </c>
      <c r="F460" s="6">
        <f t="shared" si="12"/>
        <v>0</v>
      </c>
      <c r="G460" s="62"/>
      <c r="H460" s="62"/>
      <c r="I460" s="60"/>
      <c r="J460" s="60"/>
      <c r="K460" s="64"/>
      <c r="L460" s="64"/>
      <c r="M460" s="25"/>
      <c r="N460" s="25"/>
    </row>
    <row r="461" spans="1:14" s="1" customFormat="1">
      <c r="A461" s="3" t="s">
        <v>878</v>
      </c>
      <c r="B461" s="4" t="s">
        <v>879</v>
      </c>
      <c r="C461" s="5">
        <f t="shared" si="13"/>
        <v>0</v>
      </c>
      <c r="D461" s="5"/>
      <c r="E461" s="6">
        <f t="shared" si="12"/>
        <v>0</v>
      </c>
      <c r="F461" s="6">
        <f t="shared" si="12"/>
        <v>0</v>
      </c>
      <c r="G461" s="62"/>
      <c r="H461" s="62"/>
      <c r="I461" s="60"/>
      <c r="J461" s="60"/>
      <c r="K461" s="64"/>
      <c r="L461" s="64"/>
      <c r="M461" s="25"/>
      <c r="N461" s="25"/>
    </row>
    <row r="462" spans="1:14" ht="17.25">
      <c r="A462" s="13" t="s">
        <v>880</v>
      </c>
      <c r="B462" s="14"/>
      <c r="C462" s="15">
        <f>SUM(C13:C461)</f>
        <v>0</v>
      </c>
      <c r="D462" s="15">
        <f>SUM(D13:D461)</f>
        <v>0</v>
      </c>
      <c r="E462" s="16">
        <f>SUM(E13:E461)</f>
        <v>0</v>
      </c>
      <c r="F462" s="16">
        <f>SUM(F13:F461)</f>
        <v>0</v>
      </c>
      <c r="G462" s="71">
        <f>SUM(G13:G461)</f>
        <v>0</v>
      </c>
      <c r="H462" s="71">
        <f t="shared" ref="H462:N462" si="14">SUM(H13:H461)</f>
        <v>0</v>
      </c>
      <c r="I462" s="72">
        <f t="shared" si="14"/>
        <v>0</v>
      </c>
      <c r="J462" s="72">
        <f t="shared" si="14"/>
        <v>0</v>
      </c>
      <c r="K462" s="73">
        <f t="shared" si="14"/>
        <v>0</v>
      </c>
      <c r="L462" s="73">
        <f t="shared" si="14"/>
        <v>0</v>
      </c>
      <c r="M462" s="74">
        <f t="shared" si="14"/>
        <v>0</v>
      </c>
      <c r="N462" s="74">
        <f t="shared" si="14"/>
        <v>0</v>
      </c>
    </row>
    <row r="463" spans="1:14" hidden="1">
      <c r="A463" s="17" t="s">
        <v>881</v>
      </c>
      <c r="B463" s="18"/>
    </row>
    <row r="464" spans="1:14" hidden="1">
      <c r="A464" s="20" t="s">
        <v>882</v>
      </c>
      <c r="B464" s="21"/>
    </row>
    <row r="465" spans="1:14" hidden="1">
      <c r="A465" s="20" t="s">
        <v>883</v>
      </c>
      <c r="B465" s="21"/>
    </row>
    <row r="466" spans="1:14" hidden="1">
      <c r="A466" s="22" t="s">
        <v>884</v>
      </c>
      <c r="B466" s="21"/>
    </row>
    <row r="467" spans="1:14" hidden="1">
      <c r="A467" s="22" t="s">
        <v>885</v>
      </c>
      <c r="B467" s="21"/>
    </row>
    <row r="468" spans="1:14" hidden="1">
      <c r="A468" s="20" t="s">
        <v>886</v>
      </c>
      <c r="B468" s="21"/>
    </row>
    <row r="469" spans="1:14" hidden="1">
      <c r="A469" s="20" t="s">
        <v>887</v>
      </c>
      <c r="B469" s="21"/>
    </row>
    <row r="470" spans="1:14" hidden="1">
      <c r="A470" s="20" t="s">
        <v>888</v>
      </c>
      <c r="B470" s="21"/>
    </row>
    <row r="471" spans="1:14" hidden="1">
      <c r="A471" s="22" t="s">
        <v>889</v>
      </c>
      <c r="B471" s="21"/>
    </row>
    <row r="472" spans="1:14" hidden="1">
      <c r="A472" s="22" t="s">
        <v>890</v>
      </c>
      <c r="B472" s="21"/>
    </row>
    <row r="473" spans="1:14" hidden="1">
      <c r="A473" s="20" t="s">
        <v>891</v>
      </c>
      <c r="B473" s="21"/>
    </row>
    <row r="474" spans="1:14" hidden="1">
      <c r="A474" s="20" t="s">
        <v>892</v>
      </c>
      <c r="B474" s="21"/>
    </row>
    <row r="475" spans="1:14">
      <c r="A475" s="23"/>
      <c r="B475" s="24"/>
      <c r="D475" s="19">
        <f>D462-C462</f>
        <v>0</v>
      </c>
      <c r="F475" s="19">
        <f>F462-E462</f>
        <v>0</v>
      </c>
      <c r="H475" s="19">
        <f>H462-G462</f>
        <v>0</v>
      </c>
      <c r="J475" s="19">
        <f>J462-I462</f>
        <v>0</v>
      </c>
      <c r="L475" s="19">
        <f>L462-K462</f>
        <v>0</v>
      </c>
      <c r="N475" s="19">
        <f>N462-M462</f>
        <v>0</v>
      </c>
    </row>
    <row r="476" spans="1:14">
      <c r="A476" s="23"/>
      <c r="B476" s="24"/>
    </row>
    <row r="477" spans="1:14">
      <c r="A477" s="23"/>
      <c r="B477" s="24"/>
    </row>
    <row r="478" spans="1:14">
      <c r="A478" s="23"/>
      <c r="B478" s="75" t="s">
        <v>893</v>
      </c>
    </row>
    <row r="479" spans="1:14">
      <c r="A479" s="23"/>
      <c r="B479" s="24"/>
    </row>
    <row r="480" spans="1:14">
      <c r="A480" s="23"/>
      <c r="B480" s="24"/>
    </row>
    <row r="481" spans="1:2">
      <c r="A481" s="23"/>
      <c r="B481" s="24"/>
    </row>
    <row r="482" spans="1:2">
      <c r="A482" s="23"/>
      <c r="B482" s="24"/>
    </row>
    <row r="483" spans="1:2">
      <c r="A483" s="23"/>
      <c r="B483" s="24"/>
    </row>
  </sheetData>
  <mergeCells count="28">
    <mergeCell ref="L11:L12"/>
    <mergeCell ref="M11:M12"/>
    <mergeCell ref="K9:L10"/>
    <mergeCell ref="M9:N10"/>
    <mergeCell ref="C10:D10"/>
    <mergeCell ref="F11:F12"/>
    <mergeCell ref="G11:G12"/>
    <mergeCell ref="I9:J10"/>
    <mergeCell ref="N11:N12"/>
    <mergeCell ref="H11:H12"/>
    <mergeCell ref="I11:I12"/>
    <mergeCell ref="J11:J12"/>
    <mergeCell ref="K11:K12"/>
    <mergeCell ref="A7:D7"/>
    <mergeCell ref="A8:D8"/>
    <mergeCell ref="E9:F10"/>
    <mergeCell ref="G9:H10"/>
    <mergeCell ref="A11:A12"/>
    <mergeCell ref="B11:B12"/>
    <mergeCell ref="C11:C12"/>
    <mergeCell ref="D11:D12"/>
    <mergeCell ref="E11:E12"/>
    <mergeCell ref="A6:D6"/>
    <mergeCell ref="A1:D1"/>
    <mergeCell ref="A2:D2"/>
    <mergeCell ref="A3:D3"/>
    <mergeCell ref="A4:D4"/>
    <mergeCell ref="A5:D5"/>
  </mergeCells>
  <printOptions horizontalCentered="1"/>
  <pageMargins left="1" right="1" top="1" bottom="1" header="0.5" footer="0.5"/>
  <pageSetup paperSize="149" scale="85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0B050"/>
  </sheetPr>
  <dimension ref="A1:N483"/>
  <sheetViews>
    <sheetView workbookViewId="0">
      <selection sqref="A1:D1"/>
    </sheetView>
  </sheetViews>
  <sheetFormatPr defaultRowHeight="14.25"/>
  <cols>
    <col min="1" max="1" width="49.7109375" style="19" customWidth="1"/>
    <col min="2" max="2" width="9.7109375" style="69" customWidth="1"/>
    <col min="3" max="6" width="18.7109375" style="19" customWidth="1"/>
    <col min="7" max="7" width="20" style="19" customWidth="1"/>
    <col min="8" max="8" width="18.7109375" style="19" customWidth="1"/>
    <col min="9" max="9" width="20.28515625" style="19" bestFit="1" customWidth="1"/>
    <col min="10" max="10" width="18.7109375" style="19" customWidth="1"/>
    <col min="11" max="11" width="20" style="19" customWidth="1"/>
    <col min="12" max="12" width="18.7109375" style="19" customWidth="1"/>
    <col min="13" max="13" width="20.28515625" style="19" bestFit="1" customWidth="1"/>
    <col min="14" max="14" width="18.7109375" style="19" customWidth="1"/>
    <col min="15" max="16384" width="9.140625" style="19"/>
  </cols>
  <sheetData>
    <row r="1" spans="1:14">
      <c r="A1" s="238" t="s">
        <v>0</v>
      </c>
      <c r="B1" s="238"/>
      <c r="C1" s="238"/>
      <c r="D1" s="238"/>
    </row>
    <row r="2" spans="1:14">
      <c r="A2" s="238" t="s">
        <v>1</v>
      </c>
      <c r="B2" s="238"/>
      <c r="C2" s="238"/>
      <c r="D2" s="238"/>
    </row>
    <row r="3" spans="1:14">
      <c r="A3" s="238" t="s">
        <v>2</v>
      </c>
      <c r="B3" s="238"/>
      <c r="C3" s="238"/>
      <c r="D3" s="238"/>
    </row>
    <row r="4" spans="1:14">
      <c r="A4" s="238"/>
      <c r="B4" s="238"/>
      <c r="C4" s="238"/>
      <c r="D4" s="238"/>
    </row>
    <row r="5" spans="1:14" ht="15">
      <c r="A5" s="238" t="s">
        <v>3</v>
      </c>
      <c r="B5" s="239"/>
      <c r="C5" s="238"/>
      <c r="D5" s="238"/>
    </row>
    <row r="6" spans="1:14" ht="15">
      <c r="A6" s="238" t="s">
        <v>4</v>
      </c>
      <c r="B6" s="239"/>
      <c r="C6" s="238"/>
      <c r="D6" s="238"/>
    </row>
    <row r="7" spans="1:14">
      <c r="A7" s="238" t="s">
        <v>1013</v>
      </c>
      <c r="B7" s="240"/>
      <c r="C7" s="238"/>
      <c r="D7" s="238"/>
    </row>
    <row r="8" spans="1:14">
      <c r="A8" s="238"/>
      <c r="B8" s="240"/>
      <c r="C8" s="238"/>
      <c r="D8" s="238"/>
    </row>
    <row r="9" spans="1:14" s="67" customFormat="1" ht="15">
      <c r="A9" s="66"/>
      <c r="B9" s="66"/>
      <c r="E9" s="250" t="str">
        <f>A7</f>
        <v>As of November 30, 2011</v>
      </c>
      <c r="F9" s="251"/>
      <c r="G9" s="261" t="s">
        <v>10</v>
      </c>
      <c r="H9" s="262"/>
      <c r="I9" s="254" t="s">
        <v>1009</v>
      </c>
      <c r="J9" s="255"/>
      <c r="K9" s="265" t="s">
        <v>1010</v>
      </c>
      <c r="L9" s="265"/>
      <c r="M9" s="267" t="s">
        <v>11</v>
      </c>
      <c r="N9" s="267"/>
    </row>
    <row r="10" spans="1:14" ht="14.25" customHeight="1">
      <c r="A10" s="68"/>
      <c r="C10" s="241"/>
      <c r="D10" s="242"/>
      <c r="E10" s="252"/>
      <c r="F10" s="253"/>
      <c r="G10" s="263"/>
      <c r="H10" s="264"/>
      <c r="I10" s="256"/>
      <c r="J10" s="257"/>
      <c r="K10" s="265"/>
      <c r="L10" s="265"/>
      <c r="M10" s="267"/>
      <c r="N10" s="267"/>
    </row>
    <row r="11" spans="1:14" ht="15" customHeight="1">
      <c r="A11" s="243" t="s">
        <v>6</v>
      </c>
      <c r="B11" s="245" t="s">
        <v>7</v>
      </c>
      <c r="C11" s="243" t="s">
        <v>8</v>
      </c>
      <c r="D11" s="243" t="s">
        <v>9</v>
      </c>
      <c r="E11" s="247" t="s">
        <v>8</v>
      </c>
      <c r="F11" s="259" t="s">
        <v>9</v>
      </c>
      <c r="G11" s="249" t="s">
        <v>8</v>
      </c>
      <c r="H11" s="249" t="s">
        <v>9</v>
      </c>
      <c r="I11" s="258" t="s">
        <v>8</v>
      </c>
      <c r="J11" s="258" t="s">
        <v>9</v>
      </c>
      <c r="K11" s="266" t="s">
        <v>8</v>
      </c>
      <c r="L11" s="266" t="s">
        <v>9</v>
      </c>
      <c r="M11" s="268" t="s">
        <v>8</v>
      </c>
      <c r="N11" s="268" t="s">
        <v>9</v>
      </c>
    </row>
    <row r="12" spans="1:14">
      <c r="A12" s="244"/>
      <c r="B12" s="246"/>
      <c r="C12" s="244"/>
      <c r="D12" s="244"/>
      <c r="E12" s="248"/>
      <c r="F12" s="260"/>
      <c r="G12" s="249"/>
      <c r="H12" s="249"/>
      <c r="I12" s="258"/>
      <c r="J12" s="258"/>
      <c r="K12" s="266"/>
      <c r="L12" s="266"/>
      <c r="M12" s="268"/>
      <c r="N12" s="268"/>
    </row>
    <row r="13" spans="1:14">
      <c r="A13" s="3" t="s">
        <v>12</v>
      </c>
      <c r="B13" s="4">
        <v>101</v>
      </c>
      <c r="C13" s="5">
        <f>E13-F13</f>
        <v>0</v>
      </c>
      <c r="D13" s="5"/>
      <c r="E13" s="6">
        <f>SUM(G13,I13,K13,M13)</f>
        <v>0</v>
      </c>
      <c r="F13" s="6">
        <f>SUM(H13,J13,L13,N13)</f>
        <v>0</v>
      </c>
      <c r="G13" s="62"/>
      <c r="H13" s="62"/>
      <c r="I13" s="60"/>
      <c r="J13" s="60"/>
      <c r="K13" s="64"/>
      <c r="L13" s="64"/>
      <c r="M13" s="25"/>
      <c r="N13" s="25"/>
    </row>
    <row r="14" spans="1:14">
      <c r="A14" s="3" t="s">
        <v>13</v>
      </c>
      <c r="B14" s="4" t="s">
        <v>14</v>
      </c>
      <c r="C14" s="5">
        <f>E14-F14</f>
        <v>0</v>
      </c>
      <c r="D14" s="5"/>
      <c r="E14" s="6">
        <f t="shared" ref="E14:F77" si="0">SUM(G14,I14,K14,M14)</f>
        <v>0</v>
      </c>
      <c r="F14" s="6">
        <f t="shared" si="0"/>
        <v>0</v>
      </c>
      <c r="G14" s="62"/>
      <c r="H14" s="62"/>
      <c r="I14" s="60"/>
      <c r="J14" s="60"/>
      <c r="K14" s="64"/>
      <c r="L14" s="64"/>
      <c r="M14" s="25"/>
      <c r="N14" s="25"/>
    </row>
    <row r="15" spans="1:14">
      <c r="A15" s="3" t="s">
        <v>15</v>
      </c>
      <c r="B15" s="4" t="s">
        <v>16</v>
      </c>
      <c r="C15" s="5">
        <f>E15-F15</f>
        <v>0</v>
      </c>
      <c r="D15" s="5"/>
      <c r="E15" s="6">
        <f t="shared" si="0"/>
        <v>0</v>
      </c>
      <c r="F15" s="6">
        <f t="shared" si="0"/>
        <v>0</v>
      </c>
      <c r="G15" s="63"/>
      <c r="H15" s="63"/>
      <c r="I15" s="61"/>
      <c r="J15" s="61"/>
      <c r="K15" s="65"/>
      <c r="L15" s="65"/>
      <c r="M15" s="26"/>
      <c r="N15" s="26"/>
    </row>
    <row r="16" spans="1:14">
      <c r="A16" s="3" t="s">
        <v>17</v>
      </c>
      <c r="B16" s="4" t="s">
        <v>18</v>
      </c>
      <c r="C16" s="5">
        <f>E16-F16</f>
        <v>0</v>
      </c>
      <c r="D16" s="5"/>
      <c r="E16" s="6">
        <f t="shared" si="0"/>
        <v>0</v>
      </c>
      <c r="F16" s="6">
        <f t="shared" si="0"/>
        <v>0</v>
      </c>
      <c r="G16" s="62"/>
      <c r="H16" s="62"/>
      <c r="I16" s="60"/>
      <c r="J16" s="60"/>
      <c r="K16" s="64"/>
      <c r="L16" s="64"/>
      <c r="M16" s="25"/>
      <c r="N16" s="25"/>
    </row>
    <row r="17" spans="1:14">
      <c r="A17" s="3" t="s">
        <v>19</v>
      </c>
      <c r="B17" s="4" t="s">
        <v>20</v>
      </c>
      <c r="C17" s="7">
        <f>E17-F17</f>
        <v>0</v>
      </c>
      <c r="D17" s="7"/>
      <c r="E17" s="6">
        <f t="shared" si="0"/>
        <v>0</v>
      </c>
      <c r="F17" s="6">
        <f t="shared" si="0"/>
        <v>0</v>
      </c>
      <c r="G17" s="62"/>
      <c r="H17" s="62"/>
      <c r="I17" s="60"/>
      <c r="J17" s="60"/>
      <c r="K17" s="64"/>
      <c r="L17" s="64"/>
      <c r="M17" s="25"/>
      <c r="N17" s="25"/>
    </row>
    <row r="18" spans="1:14">
      <c r="A18" s="3" t="s">
        <v>21</v>
      </c>
      <c r="B18" s="4">
        <v>110</v>
      </c>
      <c r="C18" s="7">
        <f t="shared" ref="C18:C80" si="1">E18-F18</f>
        <v>0</v>
      </c>
      <c r="D18" s="7"/>
      <c r="E18" s="6">
        <f t="shared" si="0"/>
        <v>0</v>
      </c>
      <c r="F18" s="6">
        <f t="shared" si="0"/>
        <v>0</v>
      </c>
      <c r="G18" s="62"/>
      <c r="H18" s="62"/>
      <c r="I18" s="60"/>
      <c r="J18" s="60"/>
      <c r="K18" s="64"/>
      <c r="L18" s="64"/>
      <c r="M18" s="25"/>
      <c r="N18" s="25"/>
    </row>
    <row r="19" spans="1:14">
      <c r="A19" s="8" t="s">
        <v>22</v>
      </c>
      <c r="B19" s="4">
        <v>111</v>
      </c>
      <c r="C19" s="7">
        <f t="shared" si="1"/>
        <v>0</v>
      </c>
      <c r="D19" s="7"/>
      <c r="E19" s="6">
        <f t="shared" si="0"/>
        <v>0</v>
      </c>
      <c r="F19" s="6">
        <f t="shared" si="0"/>
        <v>0</v>
      </c>
      <c r="G19" s="62"/>
      <c r="H19" s="62"/>
      <c r="I19" s="60"/>
      <c r="J19" s="60"/>
      <c r="K19" s="64"/>
      <c r="L19" s="64"/>
      <c r="M19" s="25"/>
      <c r="N19" s="25"/>
    </row>
    <row r="20" spans="1:14">
      <c r="A20" s="8" t="s">
        <v>23</v>
      </c>
      <c r="B20" s="4">
        <v>112</v>
      </c>
      <c r="C20" s="7">
        <f t="shared" si="1"/>
        <v>0</v>
      </c>
      <c r="D20" s="7"/>
      <c r="E20" s="6">
        <f t="shared" si="0"/>
        <v>0</v>
      </c>
      <c r="F20" s="6">
        <f t="shared" si="0"/>
        <v>0</v>
      </c>
      <c r="G20" s="62"/>
      <c r="H20" s="62"/>
      <c r="I20" s="60"/>
      <c r="J20" s="60"/>
      <c r="K20" s="64"/>
      <c r="L20" s="64"/>
      <c r="M20" s="25"/>
      <c r="N20" s="25"/>
    </row>
    <row r="21" spans="1:14">
      <c r="A21" s="3" t="s">
        <v>24</v>
      </c>
      <c r="B21" s="4">
        <v>113</v>
      </c>
      <c r="C21" s="7">
        <f t="shared" si="1"/>
        <v>0</v>
      </c>
      <c r="D21" s="7"/>
      <c r="E21" s="6">
        <f t="shared" si="0"/>
        <v>0</v>
      </c>
      <c r="F21" s="6">
        <f t="shared" si="0"/>
        <v>0</v>
      </c>
      <c r="G21" s="62"/>
      <c r="H21" s="62"/>
      <c r="I21" s="60"/>
      <c r="J21" s="60"/>
      <c r="K21" s="64"/>
      <c r="L21" s="64"/>
      <c r="M21" s="25"/>
      <c r="N21" s="25"/>
    </row>
    <row r="22" spans="1:14">
      <c r="A22" s="3" t="s">
        <v>21</v>
      </c>
      <c r="B22" s="4">
        <v>114</v>
      </c>
      <c r="C22" s="7">
        <f t="shared" si="1"/>
        <v>0</v>
      </c>
      <c r="D22" s="7"/>
      <c r="E22" s="6">
        <f t="shared" si="0"/>
        <v>0</v>
      </c>
      <c r="F22" s="6">
        <f t="shared" si="0"/>
        <v>0</v>
      </c>
      <c r="G22" s="62"/>
      <c r="H22" s="62"/>
      <c r="I22" s="60"/>
      <c r="J22" s="60"/>
      <c r="K22" s="64"/>
      <c r="L22" s="64"/>
      <c r="M22" s="25"/>
      <c r="N22" s="25"/>
    </row>
    <row r="23" spans="1:14">
      <c r="A23" s="3" t="s">
        <v>25</v>
      </c>
      <c r="B23" s="4">
        <v>115</v>
      </c>
      <c r="C23" s="7">
        <f t="shared" si="1"/>
        <v>0</v>
      </c>
      <c r="D23" s="7"/>
      <c r="E23" s="6">
        <f t="shared" si="0"/>
        <v>0</v>
      </c>
      <c r="F23" s="6">
        <f t="shared" si="0"/>
        <v>0</v>
      </c>
      <c r="G23" s="62"/>
      <c r="H23" s="62"/>
      <c r="I23" s="60"/>
      <c r="J23" s="60"/>
      <c r="K23" s="64"/>
      <c r="L23" s="64"/>
      <c r="M23" s="25"/>
      <c r="N23" s="25"/>
    </row>
    <row r="24" spans="1:14">
      <c r="A24" s="3" t="s">
        <v>26</v>
      </c>
      <c r="B24" s="4" t="s">
        <v>27</v>
      </c>
      <c r="C24" s="7">
        <f t="shared" si="1"/>
        <v>0</v>
      </c>
      <c r="D24" s="7"/>
      <c r="E24" s="6">
        <f t="shared" si="0"/>
        <v>0</v>
      </c>
      <c r="F24" s="6">
        <f t="shared" si="0"/>
        <v>0</v>
      </c>
      <c r="G24" s="62"/>
      <c r="H24" s="62"/>
      <c r="I24" s="60"/>
      <c r="J24" s="60"/>
      <c r="K24" s="64"/>
      <c r="L24" s="64"/>
      <c r="M24" s="25"/>
      <c r="N24" s="25"/>
    </row>
    <row r="25" spans="1:14">
      <c r="A25" s="3" t="s">
        <v>28</v>
      </c>
      <c r="B25" s="4" t="s">
        <v>29</v>
      </c>
      <c r="C25" s="7">
        <f t="shared" si="1"/>
        <v>0</v>
      </c>
      <c r="D25" s="7"/>
      <c r="E25" s="6">
        <f t="shared" si="0"/>
        <v>0</v>
      </c>
      <c r="F25" s="6">
        <f t="shared" si="0"/>
        <v>0</v>
      </c>
      <c r="G25" s="62"/>
      <c r="H25" s="62"/>
      <c r="I25" s="60"/>
      <c r="J25" s="60"/>
      <c r="K25" s="64"/>
      <c r="L25" s="64"/>
      <c r="M25" s="25"/>
      <c r="N25" s="25"/>
    </row>
    <row r="26" spans="1:14">
      <c r="A26" s="3" t="s">
        <v>30</v>
      </c>
      <c r="B26" s="4" t="s">
        <v>31</v>
      </c>
      <c r="C26" s="7">
        <f t="shared" si="1"/>
        <v>0</v>
      </c>
      <c r="D26" s="7"/>
      <c r="E26" s="6">
        <f t="shared" si="0"/>
        <v>0</v>
      </c>
      <c r="F26" s="6">
        <f t="shared" si="0"/>
        <v>0</v>
      </c>
      <c r="G26" s="62"/>
      <c r="H26" s="62"/>
      <c r="I26" s="60"/>
      <c r="J26" s="60"/>
      <c r="K26" s="64"/>
      <c r="L26" s="64"/>
      <c r="M26" s="25"/>
      <c r="N26" s="25"/>
    </row>
    <row r="27" spans="1:14">
      <c r="A27" s="3" t="s">
        <v>32</v>
      </c>
      <c r="B27" s="4" t="s">
        <v>33</v>
      </c>
      <c r="C27" s="7">
        <f t="shared" si="1"/>
        <v>0</v>
      </c>
      <c r="D27" s="7"/>
      <c r="E27" s="6">
        <f t="shared" si="0"/>
        <v>0</v>
      </c>
      <c r="F27" s="6">
        <f t="shared" si="0"/>
        <v>0</v>
      </c>
      <c r="G27" s="62"/>
      <c r="H27" s="62"/>
      <c r="I27" s="60"/>
      <c r="J27" s="60"/>
      <c r="K27" s="64"/>
      <c r="L27" s="64"/>
      <c r="M27" s="25"/>
      <c r="N27" s="25"/>
    </row>
    <row r="28" spans="1:14">
      <c r="A28" s="3" t="s">
        <v>34</v>
      </c>
      <c r="B28" s="4" t="s">
        <v>35</v>
      </c>
      <c r="C28" s="7">
        <f t="shared" si="1"/>
        <v>0</v>
      </c>
      <c r="D28" s="7"/>
      <c r="E28" s="6">
        <f t="shared" si="0"/>
        <v>0</v>
      </c>
      <c r="F28" s="6">
        <f t="shared" si="0"/>
        <v>0</v>
      </c>
      <c r="G28" s="62"/>
      <c r="H28" s="62"/>
      <c r="I28" s="60"/>
      <c r="J28" s="60"/>
      <c r="K28" s="64"/>
      <c r="L28" s="64"/>
      <c r="M28" s="25"/>
      <c r="N28" s="25"/>
    </row>
    <row r="29" spans="1:14">
      <c r="A29" s="3" t="s">
        <v>36</v>
      </c>
      <c r="B29" s="4" t="s">
        <v>37</v>
      </c>
      <c r="C29" s="7">
        <f t="shared" si="1"/>
        <v>0</v>
      </c>
      <c r="D29" s="7"/>
      <c r="E29" s="6">
        <f t="shared" si="0"/>
        <v>0</v>
      </c>
      <c r="F29" s="6">
        <f t="shared" si="0"/>
        <v>0</v>
      </c>
      <c r="G29" s="62"/>
      <c r="H29" s="62"/>
      <c r="I29" s="60"/>
      <c r="J29" s="60"/>
      <c r="K29" s="64"/>
      <c r="L29" s="64"/>
      <c r="M29" s="25"/>
      <c r="N29" s="25"/>
    </row>
    <row r="30" spans="1:14">
      <c r="A30" s="3" t="s">
        <v>38</v>
      </c>
      <c r="B30" s="4" t="s">
        <v>39</v>
      </c>
      <c r="C30" s="7">
        <f t="shared" si="1"/>
        <v>0</v>
      </c>
      <c r="D30" s="7"/>
      <c r="E30" s="6">
        <f t="shared" si="0"/>
        <v>0</v>
      </c>
      <c r="F30" s="6">
        <f t="shared" si="0"/>
        <v>0</v>
      </c>
      <c r="G30" s="62"/>
      <c r="H30" s="62"/>
      <c r="I30" s="60"/>
      <c r="J30" s="60"/>
      <c r="K30" s="64"/>
      <c r="L30" s="64"/>
      <c r="M30" s="25"/>
      <c r="N30" s="25"/>
    </row>
    <row r="31" spans="1:14">
      <c r="A31" s="3" t="s">
        <v>40</v>
      </c>
      <c r="B31" s="4" t="s">
        <v>41</v>
      </c>
      <c r="C31" s="7">
        <f t="shared" si="1"/>
        <v>0</v>
      </c>
      <c r="D31" s="7"/>
      <c r="E31" s="6">
        <f t="shared" si="0"/>
        <v>0</v>
      </c>
      <c r="F31" s="6">
        <f t="shared" si="0"/>
        <v>0</v>
      </c>
      <c r="G31" s="62"/>
      <c r="H31" s="62"/>
      <c r="I31" s="60"/>
      <c r="J31" s="60"/>
      <c r="K31" s="64"/>
      <c r="L31" s="64"/>
      <c r="M31" s="25"/>
      <c r="N31" s="25"/>
    </row>
    <row r="32" spans="1:14">
      <c r="A32" s="3" t="s">
        <v>42</v>
      </c>
      <c r="B32" s="4" t="s">
        <v>43</v>
      </c>
      <c r="C32" s="7">
        <f t="shared" si="1"/>
        <v>0</v>
      </c>
      <c r="D32" s="7"/>
      <c r="E32" s="6">
        <f t="shared" si="0"/>
        <v>0</v>
      </c>
      <c r="F32" s="6">
        <f t="shared" si="0"/>
        <v>0</v>
      </c>
      <c r="G32" s="62"/>
      <c r="H32" s="62"/>
      <c r="I32" s="60"/>
      <c r="J32" s="60"/>
      <c r="K32" s="64"/>
      <c r="L32" s="64"/>
      <c r="M32" s="25"/>
      <c r="N32" s="25"/>
    </row>
    <row r="33" spans="1:14">
      <c r="A33" s="3" t="s">
        <v>44</v>
      </c>
      <c r="B33" s="4" t="s">
        <v>45</v>
      </c>
      <c r="C33" s="7">
        <f t="shared" si="1"/>
        <v>0</v>
      </c>
      <c r="D33" s="7"/>
      <c r="E33" s="6">
        <f t="shared" si="0"/>
        <v>0</v>
      </c>
      <c r="F33" s="6">
        <f t="shared" si="0"/>
        <v>0</v>
      </c>
      <c r="G33" s="62"/>
      <c r="H33" s="62"/>
      <c r="I33" s="60"/>
      <c r="J33" s="60"/>
      <c r="K33" s="64"/>
      <c r="L33" s="64"/>
      <c r="M33" s="25"/>
      <c r="N33" s="25"/>
    </row>
    <row r="34" spans="1:14">
      <c r="A34" s="3" t="s">
        <v>46</v>
      </c>
      <c r="B34" s="4" t="s">
        <v>47</v>
      </c>
      <c r="C34" s="7">
        <f t="shared" si="1"/>
        <v>0</v>
      </c>
      <c r="D34" s="7"/>
      <c r="E34" s="6">
        <f t="shared" si="0"/>
        <v>0</v>
      </c>
      <c r="F34" s="6">
        <f t="shared" si="0"/>
        <v>0</v>
      </c>
      <c r="G34" s="62"/>
      <c r="H34" s="62"/>
      <c r="I34" s="60"/>
      <c r="J34" s="60"/>
      <c r="K34" s="64"/>
      <c r="L34" s="64"/>
      <c r="M34" s="25"/>
      <c r="N34" s="25"/>
    </row>
    <row r="35" spans="1:14">
      <c r="A35" s="3" t="s">
        <v>48</v>
      </c>
      <c r="B35" s="4" t="s">
        <v>49</v>
      </c>
      <c r="C35" s="7">
        <f t="shared" si="1"/>
        <v>0</v>
      </c>
      <c r="D35" s="7"/>
      <c r="E35" s="6">
        <f t="shared" si="0"/>
        <v>0</v>
      </c>
      <c r="F35" s="6">
        <f t="shared" si="0"/>
        <v>0</v>
      </c>
      <c r="G35" s="62"/>
      <c r="H35" s="62"/>
      <c r="I35" s="60"/>
      <c r="J35" s="60"/>
      <c r="K35" s="64"/>
      <c r="L35" s="64"/>
      <c r="M35" s="25"/>
      <c r="N35" s="25"/>
    </row>
    <row r="36" spans="1:14">
      <c r="A36" s="3" t="s">
        <v>50</v>
      </c>
      <c r="B36" s="4" t="s">
        <v>51</v>
      </c>
      <c r="C36" s="7">
        <f t="shared" si="1"/>
        <v>0</v>
      </c>
      <c r="D36" s="7"/>
      <c r="E36" s="6">
        <f t="shared" si="0"/>
        <v>0</v>
      </c>
      <c r="F36" s="6">
        <f t="shared" si="0"/>
        <v>0</v>
      </c>
      <c r="G36" s="62"/>
      <c r="H36" s="62"/>
      <c r="I36" s="60"/>
      <c r="J36" s="60"/>
      <c r="K36" s="64"/>
      <c r="L36" s="64"/>
      <c r="M36" s="25"/>
      <c r="N36" s="25"/>
    </row>
    <row r="37" spans="1:14">
      <c r="A37" s="3" t="s">
        <v>52</v>
      </c>
      <c r="B37" s="4" t="s">
        <v>53</v>
      </c>
      <c r="C37" s="7">
        <f t="shared" si="1"/>
        <v>0</v>
      </c>
      <c r="D37" s="7"/>
      <c r="E37" s="6">
        <f t="shared" si="0"/>
        <v>0</v>
      </c>
      <c r="F37" s="6">
        <f t="shared" si="0"/>
        <v>0</v>
      </c>
      <c r="G37" s="62"/>
      <c r="H37" s="62"/>
      <c r="I37" s="60"/>
      <c r="J37" s="60"/>
      <c r="K37" s="64"/>
      <c r="L37" s="64"/>
      <c r="M37" s="25"/>
      <c r="N37" s="25"/>
    </row>
    <row r="38" spans="1:14">
      <c r="A38" s="3" t="s">
        <v>54</v>
      </c>
      <c r="B38" s="9">
        <v>138</v>
      </c>
      <c r="C38" s="7">
        <f t="shared" si="1"/>
        <v>0</v>
      </c>
      <c r="D38" s="7"/>
      <c r="E38" s="6">
        <f t="shared" si="0"/>
        <v>0</v>
      </c>
      <c r="F38" s="6">
        <f t="shared" si="0"/>
        <v>0</v>
      </c>
      <c r="G38" s="62"/>
      <c r="H38" s="62"/>
      <c r="I38" s="60"/>
      <c r="J38" s="60"/>
      <c r="K38" s="64"/>
      <c r="L38" s="64"/>
      <c r="M38" s="25"/>
      <c r="N38" s="25"/>
    </row>
    <row r="39" spans="1:14">
      <c r="A39" s="3" t="s">
        <v>55</v>
      </c>
      <c r="B39" s="4" t="s">
        <v>56</v>
      </c>
      <c r="C39" s="7">
        <f t="shared" si="1"/>
        <v>0</v>
      </c>
      <c r="D39" s="7"/>
      <c r="E39" s="6">
        <f t="shared" si="0"/>
        <v>0</v>
      </c>
      <c r="F39" s="6">
        <f t="shared" si="0"/>
        <v>0</v>
      </c>
      <c r="G39" s="62"/>
      <c r="H39" s="62"/>
      <c r="I39" s="60"/>
      <c r="J39" s="60"/>
      <c r="K39" s="64"/>
      <c r="L39" s="64"/>
      <c r="M39" s="25"/>
      <c r="N39" s="25"/>
    </row>
    <row r="40" spans="1:14">
      <c r="A40" s="3" t="s">
        <v>57</v>
      </c>
      <c r="B40" s="9">
        <v>144</v>
      </c>
      <c r="C40" s="7">
        <f t="shared" si="1"/>
        <v>0</v>
      </c>
      <c r="D40" s="7"/>
      <c r="E40" s="6">
        <f t="shared" si="0"/>
        <v>0</v>
      </c>
      <c r="F40" s="6">
        <f t="shared" si="0"/>
        <v>0</v>
      </c>
      <c r="G40" s="62"/>
      <c r="H40" s="62"/>
      <c r="I40" s="60"/>
      <c r="J40" s="60"/>
      <c r="K40" s="64"/>
      <c r="L40" s="64"/>
      <c r="M40" s="25"/>
      <c r="N40" s="25"/>
    </row>
    <row r="41" spans="1:14">
      <c r="A41" s="3" t="s">
        <v>58</v>
      </c>
      <c r="B41" s="4" t="s">
        <v>59</v>
      </c>
      <c r="C41" s="7">
        <f t="shared" si="1"/>
        <v>0</v>
      </c>
      <c r="D41" s="7"/>
      <c r="E41" s="6">
        <f t="shared" si="0"/>
        <v>0</v>
      </c>
      <c r="F41" s="6">
        <f t="shared" si="0"/>
        <v>0</v>
      </c>
      <c r="G41" s="62"/>
      <c r="H41" s="62"/>
      <c r="I41" s="60"/>
      <c r="J41" s="60"/>
      <c r="K41" s="64"/>
      <c r="L41" s="64"/>
      <c r="M41" s="25"/>
      <c r="N41" s="25"/>
    </row>
    <row r="42" spans="1:14">
      <c r="A42" s="3" t="s">
        <v>60</v>
      </c>
      <c r="B42" s="4" t="s">
        <v>61</v>
      </c>
      <c r="C42" s="7">
        <f t="shared" si="1"/>
        <v>0</v>
      </c>
      <c r="D42" s="7"/>
      <c r="E42" s="6">
        <f t="shared" si="0"/>
        <v>0</v>
      </c>
      <c r="F42" s="6">
        <f t="shared" si="0"/>
        <v>0</v>
      </c>
      <c r="G42" s="62"/>
      <c r="H42" s="62"/>
      <c r="I42" s="60"/>
      <c r="J42" s="60"/>
      <c r="K42" s="64"/>
      <c r="L42" s="64"/>
      <c r="M42" s="25"/>
      <c r="N42" s="25"/>
    </row>
    <row r="43" spans="1:14">
      <c r="A43" s="3" t="s">
        <v>62</v>
      </c>
      <c r="B43" s="4" t="s">
        <v>63</v>
      </c>
      <c r="C43" s="7">
        <f t="shared" si="1"/>
        <v>0</v>
      </c>
      <c r="D43" s="7"/>
      <c r="E43" s="6">
        <f t="shared" si="0"/>
        <v>0</v>
      </c>
      <c r="F43" s="6">
        <f t="shared" si="0"/>
        <v>0</v>
      </c>
      <c r="G43" s="62"/>
      <c r="H43" s="62"/>
      <c r="I43" s="60"/>
      <c r="J43" s="60"/>
      <c r="K43" s="64"/>
      <c r="L43" s="64"/>
      <c r="M43" s="25"/>
      <c r="N43" s="25"/>
    </row>
    <row r="44" spans="1:14">
      <c r="A44" s="3" t="s">
        <v>64</v>
      </c>
      <c r="B44" s="4" t="s">
        <v>65</v>
      </c>
      <c r="C44" s="7">
        <f t="shared" si="1"/>
        <v>0</v>
      </c>
      <c r="D44" s="7"/>
      <c r="E44" s="6">
        <f t="shared" si="0"/>
        <v>0</v>
      </c>
      <c r="F44" s="6">
        <f t="shared" si="0"/>
        <v>0</v>
      </c>
      <c r="G44" s="62"/>
      <c r="H44" s="62"/>
      <c r="I44" s="60"/>
      <c r="J44" s="60"/>
      <c r="K44" s="64"/>
      <c r="L44" s="64"/>
      <c r="M44" s="25"/>
      <c r="N44" s="25"/>
    </row>
    <row r="45" spans="1:14">
      <c r="A45" s="3" t="s">
        <v>66</v>
      </c>
      <c r="B45" s="4" t="s">
        <v>67</v>
      </c>
      <c r="C45" s="7">
        <f t="shared" si="1"/>
        <v>0</v>
      </c>
      <c r="D45" s="7"/>
      <c r="E45" s="6">
        <f t="shared" si="0"/>
        <v>0</v>
      </c>
      <c r="F45" s="6">
        <f t="shared" si="0"/>
        <v>0</v>
      </c>
      <c r="G45" s="62"/>
      <c r="H45" s="62"/>
      <c r="I45" s="60"/>
      <c r="J45" s="60"/>
      <c r="K45" s="64"/>
      <c r="L45" s="64"/>
      <c r="M45" s="25"/>
      <c r="N45" s="25"/>
    </row>
    <row r="46" spans="1:14">
      <c r="A46" s="3" t="s">
        <v>68</v>
      </c>
      <c r="B46" s="4" t="s">
        <v>69</v>
      </c>
      <c r="C46" s="7">
        <f t="shared" si="1"/>
        <v>0</v>
      </c>
      <c r="D46" s="7"/>
      <c r="E46" s="6">
        <f t="shared" si="0"/>
        <v>0</v>
      </c>
      <c r="F46" s="6">
        <f t="shared" si="0"/>
        <v>0</v>
      </c>
      <c r="G46" s="62"/>
      <c r="H46" s="62"/>
      <c r="I46" s="60"/>
      <c r="J46" s="60"/>
      <c r="K46" s="64"/>
      <c r="L46" s="64"/>
      <c r="M46" s="25"/>
      <c r="N46" s="25"/>
    </row>
    <row r="47" spans="1:14">
      <c r="A47" s="3" t="s">
        <v>70</v>
      </c>
      <c r="B47" s="4" t="s">
        <v>71</v>
      </c>
      <c r="C47" s="7">
        <f t="shared" si="1"/>
        <v>0</v>
      </c>
      <c r="D47" s="7"/>
      <c r="E47" s="6">
        <f t="shared" si="0"/>
        <v>0</v>
      </c>
      <c r="F47" s="6">
        <f t="shared" si="0"/>
        <v>0</v>
      </c>
      <c r="G47" s="62"/>
      <c r="H47" s="62"/>
      <c r="I47" s="60"/>
      <c r="J47" s="60"/>
      <c r="K47" s="64"/>
      <c r="L47" s="64"/>
      <c r="M47" s="25"/>
      <c r="N47" s="25"/>
    </row>
    <row r="48" spans="1:14">
      <c r="A48" s="3" t="s">
        <v>72</v>
      </c>
      <c r="B48" s="4" t="s">
        <v>73</v>
      </c>
      <c r="C48" s="7">
        <f t="shared" si="1"/>
        <v>0</v>
      </c>
      <c r="D48" s="7"/>
      <c r="E48" s="6">
        <f t="shared" si="0"/>
        <v>0</v>
      </c>
      <c r="F48" s="6">
        <f t="shared" si="0"/>
        <v>0</v>
      </c>
      <c r="G48" s="62"/>
      <c r="H48" s="62"/>
      <c r="I48" s="60"/>
      <c r="J48" s="60"/>
      <c r="K48" s="64"/>
      <c r="L48" s="64"/>
      <c r="M48" s="25"/>
      <c r="N48" s="25"/>
    </row>
    <row r="49" spans="1:14">
      <c r="A49" s="3" t="s">
        <v>74</v>
      </c>
      <c r="B49" s="4" t="s">
        <v>75</v>
      </c>
      <c r="C49" s="7">
        <f t="shared" si="1"/>
        <v>0</v>
      </c>
      <c r="D49" s="7"/>
      <c r="E49" s="6">
        <f t="shared" si="0"/>
        <v>0</v>
      </c>
      <c r="F49" s="6">
        <f t="shared" si="0"/>
        <v>0</v>
      </c>
      <c r="G49" s="62"/>
      <c r="H49" s="62"/>
      <c r="I49" s="60"/>
      <c r="J49" s="60"/>
      <c r="K49" s="64"/>
      <c r="L49" s="64"/>
      <c r="M49" s="25"/>
      <c r="N49" s="25"/>
    </row>
    <row r="50" spans="1:14">
      <c r="A50" s="3" t="s">
        <v>76</v>
      </c>
      <c r="B50" s="4" t="s">
        <v>77</v>
      </c>
      <c r="C50" s="7">
        <f t="shared" si="1"/>
        <v>0</v>
      </c>
      <c r="D50" s="7"/>
      <c r="E50" s="6">
        <f t="shared" si="0"/>
        <v>0</v>
      </c>
      <c r="F50" s="6">
        <f t="shared" si="0"/>
        <v>0</v>
      </c>
      <c r="G50" s="62"/>
      <c r="H50" s="62"/>
      <c r="I50" s="60"/>
      <c r="J50" s="60"/>
      <c r="K50" s="64"/>
      <c r="L50" s="64"/>
      <c r="M50" s="25"/>
      <c r="N50" s="25"/>
    </row>
    <row r="51" spans="1:14">
      <c r="A51" s="3" t="s">
        <v>78</v>
      </c>
      <c r="B51" s="4" t="s">
        <v>79</v>
      </c>
      <c r="C51" s="7">
        <f t="shared" si="1"/>
        <v>0</v>
      </c>
      <c r="D51" s="7"/>
      <c r="E51" s="6">
        <f t="shared" si="0"/>
        <v>0</v>
      </c>
      <c r="F51" s="6">
        <f t="shared" si="0"/>
        <v>0</v>
      </c>
      <c r="G51" s="62"/>
      <c r="H51" s="62"/>
      <c r="I51" s="60"/>
      <c r="J51" s="60"/>
      <c r="K51" s="64"/>
      <c r="L51" s="64"/>
      <c r="M51" s="25"/>
      <c r="N51" s="25"/>
    </row>
    <row r="52" spans="1:14">
      <c r="A52" s="3" t="s">
        <v>80</v>
      </c>
      <c r="B52" s="4" t="s">
        <v>81</v>
      </c>
      <c r="C52" s="7">
        <f t="shared" si="1"/>
        <v>0</v>
      </c>
      <c r="D52" s="7"/>
      <c r="E52" s="6">
        <f t="shared" si="0"/>
        <v>0</v>
      </c>
      <c r="F52" s="6">
        <f t="shared" si="0"/>
        <v>0</v>
      </c>
      <c r="G52" s="62"/>
      <c r="H52" s="62"/>
      <c r="I52" s="60"/>
      <c r="J52" s="60"/>
      <c r="K52" s="64"/>
      <c r="L52" s="64"/>
      <c r="M52" s="25"/>
      <c r="N52" s="25"/>
    </row>
    <row r="53" spans="1:14">
      <c r="A53" s="8" t="s">
        <v>82</v>
      </c>
      <c r="B53" s="4" t="s">
        <v>83</v>
      </c>
      <c r="C53" s="7">
        <f t="shared" si="1"/>
        <v>0</v>
      </c>
      <c r="D53" s="7"/>
      <c r="E53" s="6">
        <f t="shared" si="0"/>
        <v>0</v>
      </c>
      <c r="F53" s="6">
        <f t="shared" si="0"/>
        <v>0</v>
      </c>
      <c r="G53" s="62"/>
      <c r="H53" s="62"/>
      <c r="I53" s="60"/>
      <c r="J53" s="60"/>
      <c r="K53" s="64"/>
      <c r="L53" s="64"/>
      <c r="M53" s="25"/>
      <c r="N53" s="25"/>
    </row>
    <row r="54" spans="1:14">
      <c r="A54" s="3" t="s">
        <v>84</v>
      </c>
      <c r="B54" s="4" t="s">
        <v>85</v>
      </c>
      <c r="C54" s="7">
        <f t="shared" si="1"/>
        <v>0</v>
      </c>
      <c r="D54" s="7"/>
      <c r="E54" s="6">
        <f t="shared" si="0"/>
        <v>0</v>
      </c>
      <c r="F54" s="6">
        <f t="shared" si="0"/>
        <v>0</v>
      </c>
      <c r="G54" s="62"/>
      <c r="H54" s="62"/>
      <c r="I54" s="60"/>
      <c r="J54" s="60"/>
      <c r="K54" s="64"/>
      <c r="L54" s="64"/>
      <c r="M54" s="25"/>
      <c r="N54" s="25"/>
    </row>
    <row r="55" spans="1:14">
      <c r="A55" s="3" t="s">
        <v>86</v>
      </c>
      <c r="B55" s="4" t="s">
        <v>87</v>
      </c>
      <c r="C55" s="7">
        <f t="shared" si="1"/>
        <v>0</v>
      </c>
      <c r="D55" s="7"/>
      <c r="E55" s="6">
        <f t="shared" si="0"/>
        <v>0</v>
      </c>
      <c r="F55" s="6">
        <f t="shared" si="0"/>
        <v>0</v>
      </c>
      <c r="G55" s="62"/>
      <c r="H55" s="62"/>
      <c r="I55" s="60"/>
      <c r="J55" s="60"/>
      <c r="K55" s="64"/>
      <c r="L55" s="64"/>
      <c r="M55" s="25"/>
      <c r="N55" s="25"/>
    </row>
    <row r="56" spans="1:14">
      <c r="A56" s="8" t="s">
        <v>88</v>
      </c>
      <c r="B56" s="4" t="s">
        <v>89</v>
      </c>
      <c r="C56" s="7">
        <f t="shared" si="1"/>
        <v>0</v>
      </c>
      <c r="D56" s="7"/>
      <c r="E56" s="6">
        <f t="shared" si="0"/>
        <v>0</v>
      </c>
      <c r="F56" s="6">
        <f t="shared" si="0"/>
        <v>0</v>
      </c>
      <c r="G56" s="62"/>
      <c r="H56" s="62"/>
      <c r="I56" s="60"/>
      <c r="J56" s="60"/>
      <c r="K56" s="64"/>
      <c r="L56" s="64"/>
      <c r="M56" s="25"/>
      <c r="N56" s="25"/>
    </row>
    <row r="57" spans="1:14">
      <c r="A57" s="3" t="s">
        <v>90</v>
      </c>
      <c r="B57" s="4" t="s">
        <v>91</v>
      </c>
      <c r="C57" s="7">
        <f t="shared" si="1"/>
        <v>0</v>
      </c>
      <c r="D57" s="7"/>
      <c r="E57" s="6">
        <f t="shared" si="0"/>
        <v>0</v>
      </c>
      <c r="F57" s="6">
        <f t="shared" si="0"/>
        <v>0</v>
      </c>
      <c r="G57" s="62"/>
      <c r="H57" s="62"/>
      <c r="I57" s="60"/>
      <c r="J57" s="60"/>
      <c r="K57" s="64"/>
      <c r="L57" s="64"/>
      <c r="M57" s="25"/>
      <c r="N57" s="25"/>
    </row>
    <row r="58" spans="1:14">
      <c r="A58" s="3" t="s">
        <v>92</v>
      </c>
      <c r="B58" s="4">
        <v>165</v>
      </c>
      <c r="C58" s="7">
        <f t="shared" si="1"/>
        <v>0</v>
      </c>
      <c r="D58" s="7"/>
      <c r="E58" s="6">
        <f t="shared" si="0"/>
        <v>0</v>
      </c>
      <c r="F58" s="6">
        <f t="shared" si="0"/>
        <v>0</v>
      </c>
      <c r="G58" s="62"/>
      <c r="H58" s="62"/>
      <c r="I58" s="60"/>
      <c r="J58" s="60"/>
      <c r="K58" s="64"/>
      <c r="L58" s="64"/>
      <c r="M58" s="25"/>
      <c r="N58" s="25"/>
    </row>
    <row r="59" spans="1:14">
      <c r="A59" s="3" t="s">
        <v>93</v>
      </c>
      <c r="B59" s="4">
        <v>166</v>
      </c>
      <c r="C59" s="7">
        <f t="shared" si="1"/>
        <v>0</v>
      </c>
      <c r="D59" s="7"/>
      <c r="E59" s="6">
        <f t="shared" si="0"/>
        <v>0</v>
      </c>
      <c r="F59" s="6">
        <f t="shared" si="0"/>
        <v>0</v>
      </c>
      <c r="G59" s="62"/>
      <c r="H59" s="62"/>
      <c r="I59" s="60"/>
      <c r="J59" s="60"/>
      <c r="K59" s="64"/>
      <c r="L59" s="64"/>
      <c r="M59" s="25"/>
      <c r="N59" s="25"/>
    </row>
    <row r="60" spans="1:14">
      <c r="A60" s="3" t="s">
        <v>94</v>
      </c>
      <c r="B60" s="4">
        <v>167</v>
      </c>
      <c r="C60" s="7">
        <f t="shared" si="1"/>
        <v>0</v>
      </c>
      <c r="D60" s="7"/>
      <c r="E60" s="6">
        <f t="shared" si="0"/>
        <v>0</v>
      </c>
      <c r="F60" s="6">
        <f t="shared" si="0"/>
        <v>0</v>
      </c>
      <c r="G60" s="62"/>
      <c r="H60" s="62"/>
      <c r="I60" s="60"/>
      <c r="J60" s="60"/>
      <c r="K60" s="64"/>
      <c r="L60" s="64"/>
      <c r="M60" s="25"/>
      <c r="N60" s="25"/>
    </row>
    <row r="61" spans="1:14">
      <c r="A61" s="3" t="s">
        <v>95</v>
      </c>
      <c r="B61" s="4" t="s">
        <v>96</v>
      </c>
      <c r="C61" s="7">
        <f t="shared" si="1"/>
        <v>0</v>
      </c>
      <c r="D61" s="7"/>
      <c r="E61" s="6">
        <f t="shared" si="0"/>
        <v>0</v>
      </c>
      <c r="F61" s="6">
        <f t="shared" si="0"/>
        <v>0</v>
      </c>
      <c r="G61" s="62"/>
      <c r="H61" s="62"/>
      <c r="I61" s="60"/>
      <c r="J61" s="60"/>
      <c r="K61" s="64"/>
      <c r="L61" s="64"/>
      <c r="M61" s="25"/>
      <c r="N61" s="25"/>
    </row>
    <row r="62" spans="1:14">
      <c r="A62" s="3" t="s">
        <v>97</v>
      </c>
      <c r="B62" s="4" t="s">
        <v>98</v>
      </c>
      <c r="C62" s="7">
        <f t="shared" si="1"/>
        <v>0</v>
      </c>
      <c r="D62" s="7"/>
      <c r="E62" s="6">
        <f t="shared" si="0"/>
        <v>0</v>
      </c>
      <c r="F62" s="6">
        <f t="shared" si="0"/>
        <v>0</v>
      </c>
      <c r="G62" s="62"/>
      <c r="H62" s="62"/>
      <c r="I62" s="60"/>
      <c r="J62" s="60"/>
      <c r="K62" s="64"/>
      <c r="L62" s="64"/>
      <c r="M62" s="25"/>
      <c r="N62" s="25"/>
    </row>
    <row r="63" spans="1:14">
      <c r="A63" s="3" t="s">
        <v>99</v>
      </c>
      <c r="B63" s="4" t="s">
        <v>100</v>
      </c>
      <c r="C63" s="7">
        <f t="shared" si="1"/>
        <v>0</v>
      </c>
      <c r="D63" s="7"/>
      <c r="E63" s="6">
        <f t="shared" si="0"/>
        <v>0</v>
      </c>
      <c r="F63" s="6">
        <f t="shared" si="0"/>
        <v>0</v>
      </c>
      <c r="G63" s="62"/>
      <c r="H63" s="62"/>
      <c r="I63" s="60"/>
      <c r="J63" s="60"/>
      <c r="K63" s="64"/>
      <c r="L63" s="64"/>
      <c r="M63" s="25"/>
      <c r="N63" s="25"/>
    </row>
    <row r="64" spans="1:14">
      <c r="A64" s="3" t="s">
        <v>101</v>
      </c>
      <c r="B64" s="4" t="s">
        <v>102</v>
      </c>
      <c r="C64" s="7">
        <f t="shared" si="1"/>
        <v>0</v>
      </c>
      <c r="D64" s="7"/>
      <c r="E64" s="6">
        <f t="shared" si="0"/>
        <v>0</v>
      </c>
      <c r="F64" s="6">
        <f t="shared" si="0"/>
        <v>0</v>
      </c>
      <c r="G64" s="62"/>
      <c r="H64" s="62"/>
      <c r="I64" s="60"/>
      <c r="J64" s="60"/>
      <c r="K64" s="64"/>
      <c r="L64" s="64"/>
      <c r="M64" s="25"/>
      <c r="N64" s="25"/>
    </row>
    <row r="65" spans="1:14">
      <c r="A65" s="3" t="s">
        <v>103</v>
      </c>
      <c r="B65" s="4" t="s">
        <v>104</v>
      </c>
      <c r="C65" s="7">
        <f t="shared" si="1"/>
        <v>0</v>
      </c>
      <c r="D65" s="7"/>
      <c r="E65" s="6">
        <f t="shared" si="0"/>
        <v>0</v>
      </c>
      <c r="F65" s="6">
        <f t="shared" si="0"/>
        <v>0</v>
      </c>
      <c r="G65" s="62"/>
      <c r="H65" s="62"/>
      <c r="I65" s="60"/>
      <c r="J65" s="60"/>
      <c r="K65" s="64"/>
      <c r="L65" s="64"/>
      <c r="M65" s="25"/>
      <c r="N65" s="25"/>
    </row>
    <row r="66" spans="1:14">
      <c r="A66" s="3" t="s">
        <v>105</v>
      </c>
      <c r="B66" s="9">
        <v>178</v>
      </c>
      <c r="C66" s="7">
        <f t="shared" si="1"/>
        <v>0</v>
      </c>
      <c r="D66" s="7"/>
      <c r="E66" s="6">
        <f t="shared" si="0"/>
        <v>0</v>
      </c>
      <c r="F66" s="6">
        <f t="shared" si="0"/>
        <v>0</v>
      </c>
      <c r="G66" s="62"/>
      <c r="H66" s="62"/>
      <c r="I66" s="60"/>
      <c r="J66" s="60"/>
      <c r="K66" s="64"/>
      <c r="L66" s="64"/>
      <c r="M66" s="25"/>
      <c r="N66" s="25"/>
    </row>
    <row r="67" spans="1:14">
      <c r="A67" s="3" t="s">
        <v>106</v>
      </c>
      <c r="B67" s="4">
        <v>179</v>
      </c>
      <c r="C67" s="7">
        <f t="shared" si="1"/>
        <v>0</v>
      </c>
      <c r="D67" s="7"/>
      <c r="E67" s="6">
        <f t="shared" si="0"/>
        <v>0</v>
      </c>
      <c r="F67" s="6">
        <f t="shared" si="0"/>
        <v>0</v>
      </c>
      <c r="G67" s="62"/>
      <c r="H67" s="62"/>
      <c r="I67" s="60"/>
      <c r="J67" s="60"/>
      <c r="K67" s="64"/>
      <c r="L67" s="64"/>
      <c r="M67" s="25"/>
      <c r="N67" s="25"/>
    </row>
    <row r="68" spans="1:14">
      <c r="A68" s="3" t="s">
        <v>107</v>
      </c>
      <c r="B68" s="9">
        <v>180</v>
      </c>
      <c r="C68" s="7">
        <f t="shared" si="1"/>
        <v>0</v>
      </c>
      <c r="D68" s="7"/>
      <c r="E68" s="6">
        <f t="shared" si="0"/>
        <v>0</v>
      </c>
      <c r="F68" s="6">
        <f t="shared" si="0"/>
        <v>0</v>
      </c>
      <c r="G68" s="62"/>
      <c r="H68" s="62"/>
      <c r="I68" s="60"/>
      <c r="J68" s="60"/>
      <c r="K68" s="64"/>
      <c r="L68" s="64"/>
      <c r="M68" s="25"/>
      <c r="N68" s="25"/>
    </row>
    <row r="69" spans="1:14">
      <c r="A69" s="3" t="s">
        <v>108</v>
      </c>
      <c r="B69" s="9">
        <v>181</v>
      </c>
      <c r="C69" s="7">
        <f t="shared" si="1"/>
        <v>0</v>
      </c>
      <c r="D69" s="7"/>
      <c r="E69" s="6">
        <f t="shared" si="0"/>
        <v>0</v>
      </c>
      <c r="F69" s="6">
        <f t="shared" si="0"/>
        <v>0</v>
      </c>
      <c r="G69" s="62"/>
      <c r="H69" s="62"/>
      <c r="I69" s="60"/>
      <c r="J69" s="60"/>
      <c r="K69" s="64"/>
      <c r="L69" s="64"/>
      <c r="M69" s="25"/>
      <c r="N69" s="25"/>
    </row>
    <row r="70" spans="1:14">
      <c r="A70" s="3" t="s">
        <v>109</v>
      </c>
      <c r="B70" s="9">
        <v>182</v>
      </c>
      <c r="C70" s="7">
        <f t="shared" si="1"/>
        <v>0</v>
      </c>
      <c r="D70" s="7"/>
      <c r="E70" s="6">
        <f t="shared" si="0"/>
        <v>0</v>
      </c>
      <c r="F70" s="6">
        <f t="shared" si="0"/>
        <v>0</v>
      </c>
      <c r="G70" s="62"/>
      <c r="H70" s="62"/>
      <c r="I70" s="60"/>
      <c r="J70" s="60"/>
      <c r="K70" s="64"/>
      <c r="L70" s="64"/>
      <c r="M70" s="25"/>
      <c r="N70" s="25"/>
    </row>
    <row r="71" spans="1:14">
      <c r="A71" s="3" t="s">
        <v>110</v>
      </c>
      <c r="B71" s="9">
        <v>185</v>
      </c>
      <c r="C71" s="7">
        <f t="shared" si="1"/>
        <v>0</v>
      </c>
      <c r="D71" s="7"/>
      <c r="E71" s="6">
        <f t="shared" si="0"/>
        <v>0</v>
      </c>
      <c r="F71" s="6">
        <f t="shared" si="0"/>
        <v>0</v>
      </c>
      <c r="G71" s="62"/>
      <c r="H71" s="62"/>
      <c r="I71" s="60"/>
      <c r="J71" s="60"/>
      <c r="K71" s="64"/>
      <c r="L71" s="64"/>
      <c r="M71" s="25"/>
      <c r="N71" s="25"/>
    </row>
    <row r="72" spans="1:14">
      <c r="A72" s="3" t="s">
        <v>111</v>
      </c>
      <c r="B72" s="4" t="s">
        <v>112</v>
      </c>
      <c r="C72" s="7">
        <f t="shared" si="1"/>
        <v>0</v>
      </c>
      <c r="D72" s="7"/>
      <c r="E72" s="6">
        <f t="shared" si="0"/>
        <v>0</v>
      </c>
      <c r="F72" s="6">
        <f t="shared" si="0"/>
        <v>0</v>
      </c>
      <c r="G72" s="62"/>
      <c r="H72" s="62"/>
      <c r="I72" s="60"/>
      <c r="J72" s="60"/>
      <c r="K72" s="64"/>
      <c r="L72" s="64"/>
      <c r="M72" s="25"/>
      <c r="N72" s="25"/>
    </row>
    <row r="73" spans="1:14">
      <c r="A73" s="3" t="s">
        <v>113</v>
      </c>
      <c r="B73" s="4" t="s">
        <v>114</v>
      </c>
      <c r="C73" s="7">
        <f t="shared" si="1"/>
        <v>0</v>
      </c>
      <c r="D73" s="7"/>
      <c r="E73" s="6">
        <f t="shared" si="0"/>
        <v>0</v>
      </c>
      <c r="F73" s="6">
        <f t="shared" si="0"/>
        <v>0</v>
      </c>
      <c r="G73" s="62"/>
      <c r="H73" s="62"/>
      <c r="I73" s="60"/>
      <c r="J73" s="60"/>
      <c r="K73" s="64"/>
      <c r="L73" s="64"/>
      <c r="M73" s="25"/>
      <c r="N73" s="25"/>
    </row>
    <row r="74" spans="1:14">
      <c r="A74" s="3" t="s">
        <v>115</v>
      </c>
      <c r="B74" s="4" t="s">
        <v>116</v>
      </c>
      <c r="C74" s="7">
        <f t="shared" si="1"/>
        <v>0</v>
      </c>
      <c r="D74" s="7"/>
      <c r="E74" s="6">
        <f t="shared" si="0"/>
        <v>0</v>
      </c>
      <c r="F74" s="6">
        <f t="shared" si="0"/>
        <v>0</v>
      </c>
      <c r="G74" s="62"/>
      <c r="H74" s="62"/>
      <c r="I74" s="60"/>
      <c r="J74" s="60"/>
      <c r="K74" s="64"/>
      <c r="L74" s="64"/>
      <c r="M74" s="25"/>
      <c r="N74" s="25"/>
    </row>
    <row r="75" spans="1:14">
      <c r="A75" s="3" t="s">
        <v>117</v>
      </c>
      <c r="B75" s="4" t="s">
        <v>118</v>
      </c>
      <c r="C75" s="7">
        <f t="shared" si="1"/>
        <v>0</v>
      </c>
      <c r="D75" s="7"/>
      <c r="E75" s="6">
        <f t="shared" si="0"/>
        <v>0</v>
      </c>
      <c r="F75" s="6">
        <f t="shared" si="0"/>
        <v>0</v>
      </c>
      <c r="G75" s="62"/>
      <c r="H75" s="62"/>
      <c r="I75" s="60"/>
      <c r="J75" s="60"/>
      <c r="K75" s="64"/>
      <c r="L75" s="64"/>
      <c r="M75" s="25"/>
      <c r="N75" s="25"/>
    </row>
    <row r="76" spans="1:14">
      <c r="A76" s="3" t="s">
        <v>119</v>
      </c>
      <c r="B76" s="4" t="s">
        <v>120</v>
      </c>
      <c r="C76" s="7">
        <f t="shared" si="1"/>
        <v>0</v>
      </c>
      <c r="D76" s="7"/>
      <c r="E76" s="6">
        <f t="shared" si="0"/>
        <v>0</v>
      </c>
      <c r="F76" s="6">
        <f t="shared" si="0"/>
        <v>0</v>
      </c>
      <c r="G76" s="62"/>
      <c r="H76" s="62"/>
      <c r="I76" s="60"/>
      <c r="J76" s="60"/>
      <c r="K76" s="64"/>
      <c r="L76" s="64"/>
      <c r="M76" s="25"/>
      <c r="N76" s="25"/>
    </row>
    <row r="77" spans="1:14">
      <c r="A77" s="3" t="s">
        <v>121</v>
      </c>
      <c r="B77" s="4" t="s">
        <v>122</v>
      </c>
      <c r="C77" s="7">
        <f t="shared" si="1"/>
        <v>0</v>
      </c>
      <c r="D77" s="7"/>
      <c r="E77" s="6">
        <f t="shared" si="0"/>
        <v>0</v>
      </c>
      <c r="F77" s="6">
        <f t="shared" si="0"/>
        <v>0</v>
      </c>
      <c r="G77" s="62"/>
      <c r="H77" s="62"/>
      <c r="I77" s="60"/>
      <c r="J77" s="60"/>
      <c r="K77" s="64"/>
      <c r="L77" s="64"/>
      <c r="M77" s="25"/>
      <c r="N77" s="25"/>
    </row>
    <row r="78" spans="1:14">
      <c r="A78" s="3" t="s">
        <v>123</v>
      </c>
      <c r="B78" s="4" t="s">
        <v>124</v>
      </c>
      <c r="C78" s="7">
        <f t="shared" si="1"/>
        <v>0</v>
      </c>
      <c r="D78" s="7"/>
      <c r="E78" s="6">
        <f t="shared" ref="E78:F141" si="2">SUM(G78,I78,K78,M78)</f>
        <v>0</v>
      </c>
      <c r="F78" s="6">
        <f t="shared" si="2"/>
        <v>0</v>
      </c>
      <c r="G78" s="62"/>
      <c r="H78" s="62"/>
      <c r="I78" s="60"/>
      <c r="J78" s="60"/>
      <c r="K78" s="64"/>
      <c r="L78" s="64"/>
      <c r="M78" s="25"/>
      <c r="N78" s="25"/>
    </row>
    <row r="79" spans="1:14">
      <c r="A79" s="3" t="s">
        <v>125</v>
      </c>
      <c r="B79" s="4">
        <v>201</v>
      </c>
      <c r="C79" s="7">
        <f t="shared" si="1"/>
        <v>0</v>
      </c>
      <c r="D79" s="7"/>
      <c r="E79" s="6">
        <f t="shared" si="2"/>
        <v>0</v>
      </c>
      <c r="F79" s="6">
        <f t="shared" si="2"/>
        <v>0</v>
      </c>
      <c r="G79" s="62"/>
      <c r="H79" s="62"/>
      <c r="I79" s="60"/>
      <c r="J79" s="60"/>
      <c r="K79" s="64"/>
      <c r="L79" s="64"/>
      <c r="M79" s="25"/>
      <c r="N79" s="25"/>
    </row>
    <row r="80" spans="1:14">
      <c r="A80" s="3" t="s">
        <v>126</v>
      </c>
      <c r="B80" s="4">
        <v>202</v>
      </c>
      <c r="C80" s="7">
        <f t="shared" si="1"/>
        <v>0</v>
      </c>
      <c r="D80" s="7"/>
      <c r="E80" s="6">
        <f t="shared" si="2"/>
        <v>0</v>
      </c>
      <c r="F80" s="6">
        <f t="shared" si="2"/>
        <v>0</v>
      </c>
      <c r="G80" s="62"/>
      <c r="H80" s="62"/>
      <c r="I80" s="60"/>
      <c r="J80" s="60"/>
      <c r="K80" s="64"/>
      <c r="L80" s="64"/>
      <c r="M80" s="25"/>
      <c r="N80" s="25"/>
    </row>
    <row r="81" spans="1:14">
      <c r="A81" s="8" t="s">
        <v>127</v>
      </c>
      <c r="B81" s="4">
        <v>302</v>
      </c>
      <c r="C81" s="7"/>
      <c r="D81" s="7">
        <f>F81-E81</f>
        <v>0</v>
      </c>
      <c r="E81" s="6">
        <f t="shared" si="2"/>
        <v>0</v>
      </c>
      <c r="F81" s="6">
        <f t="shared" si="2"/>
        <v>0</v>
      </c>
      <c r="G81" s="62"/>
      <c r="H81" s="62"/>
      <c r="I81" s="60"/>
      <c r="J81" s="60"/>
      <c r="K81" s="64"/>
      <c r="L81" s="64"/>
      <c r="M81" s="25"/>
      <c r="N81" s="25"/>
    </row>
    <row r="82" spans="1:14">
      <c r="A82" s="3" t="s">
        <v>128</v>
      </c>
      <c r="B82" s="4">
        <v>203</v>
      </c>
      <c r="C82" s="7">
        <f>E82-F82</f>
        <v>0</v>
      </c>
      <c r="D82" s="7"/>
      <c r="E82" s="6">
        <f t="shared" si="2"/>
        <v>0</v>
      </c>
      <c r="F82" s="6">
        <f t="shared" si="2"/>
        <v>0</v>
      </c>
      <c r="G82" s="62"/>
      <c r="H82" s="62"/>
      <c r="I82" s="60"/>
      <c r="J82" s="60"/>
      <c r="K82" s="64"/>
      <c r="L82" s="64"/>
      <c r="M82" s="25"/>
      <c r="N82" s="25"/>
    </row>
    <row r="83" spans="1:14">
      <c r="A83" s="3" t="s">
        <v>129</v>
      </c>
      <c r="B83" s="4">
        <v>303</v>
      </c>
      <c r="C83" s="7"/>
      <c r="D83" s="7">
        <f>F83-E83</f>
        <v>0</v>
      </c>
      <c r="E83" s="6">
        <f t="shared" si="2"/>
        <v>0</v>
      </c>
      <c r="F83" s="6">
        <f t="shared" si="2"/>
        <v>0</v>
      </c>
      <c r="G83" s="62"/>
      <c r="H83" s="62"/>
      <c r="I83" s="60"/>
      <c r="J83" s="60"/>
      <c r="K83" s="64"/>
      <c r="L83" s="64"/>
      <c r="M83" s="25"/>
      <c r="N83" s="25"/>
    </row>
    <row r="84" spans="1:14">
      <c r="A84" s="3" t="s">
        <v>130</v>
      </c>
      <c r="B84" s="4">
        <v>204</v>
      </c>
      <c r="C84" s="7">
        <f>E84-F84</f>
        <v>0</v>
      </c>
      <c r="D84" s="7"/>
      <c r="E84" s="6">
        <f t="shared" si="2"/>
        <v>0</v>
      </c>
      <c r="F84" s="6">
        <f t="shared" si="2"/>
        <v>0</v>
      </c>
      <c r="G84" s="62"/>
      <c r="H84" s="62"/>
      <c r="I84" s="60"/>
      <c r="J84" s="60"/>
      <c r="K84" s="64"/>
      <c r="L84" s="64"/>
      <c r="M84" s="25"/>
      <c r="N84" s="25"/>
    </row>
    <row r="85" spans="1:14">
      <c r="A85" s="3" t="s">
        <v>131</v>
      </c>
      <c r="B85" s="4">
        <v>304</v>
      </c>
      <c r="C85" s="7"/>
      <c r="D85" s="7">
        <f>F85-E85</f>
        <v>0</v>
      </c>
      <c r="E85" s="6">
        <f t="shared" si="2"/>
        <v>0</v>
      </c>
      <c r="F85" s="6">
        <f t="shared" si="2"/>
        <v>0</v>
      </c>
      <c r="G85" s="62"/>
      <c r="H85" s="62"/>
      <c r="I85" s="60"/>
      <c r="J85" s="60"/>
      <c r="K85" s="64"/>
      <c r="L85" s="64"/>
      <c r="M85" s="25"/>
      <c r="N85" s="25"/>
    </row>
    <row r="86" spans="1:14">
      <c r="A86" s="3" t="s">
        <v>132</v>
      </c>
      <c r="B86" s="4">
        <v>205</v>
      </c>
      <c r="C86" s="7">
        <f>E86-F86</f>
        <v>0</v>
      </c>
      <c r="D86" s="7"/>
      <c r="E86" s="6">
        <f t="shared" si="2"/>
        <v>0</v>
      </c>
      <c r="F86" s="6">
        <f t="shared" si="2"/>
        <v>0</v>
      </c>
      <c r="G86" s="62"/>
      <c r="H86" s="62"/>
      <c r="I86" s="60"/>
      <c r="J86" s="60"/>
      <c r="K86" s="64"/>
      <c r="L86" s="64"/>
      <c r="M86" s="25"/>
      <c r="N86" s="25"/>
    </row>
    <row r="87" spans="1:14" ht="28.5">
      <c r="A87" s="8" t="s">
        <v>133</v>
      </c>
      <c r="B87" s="4">
        <v>305</v>
      </c>
      <c r="C87" s="7"/>
      <c r="D87" s="7">
        <f>F87-E87</f>
        <v>0</v>
      </c>
      <c r="E87" s="6">
        <f t="shared" si="2"/>
        <v>0</v>
      </c>
      <c r="F87" s="6">
        <f t="shared" si="2"/>
        <v>0</v>
      </c>
      <c r="G87" s="62"/>
      <c r="H87" s="62"/>
      <c r="I87" s="60"/>
      <c r="J87" s="60"/>
      <c r="K87" s="64"/>
      <c r="L87" s="64"/>
      <c r="M87" s="25"/>
      <c r="N87" s="25"/>
    </row>
    <row r="88" spans="1:14">
      <c r="A88" s="8" t="s">
        <v>134</v>
      </c>
      <c r="B88" s="4" t="s">
        <v>135</v>
      </c>
      <c r="C88" s="7">
        <f>E88-F88</f>
        <v>0</v>
      </c>
      <c r="D88" s="7"/>
      <c r="E88" s="6">
        <f t="shared" si="2"/>
        <v>0</v>
      </c>
      <c r="F88" s="6">
        <f t="shared" si="2"/>
        <v>0</v>
      </c>
      <c r="G88" s="62"/>
      <c r="H88" s="62"/>
      <c r="I88" s="60"/>
      <c r="J88" s="60"/>
      <c r="K88" s="64"/>
      <c r="L88" s="64"/>
      <c r="M88" s="25"/>
      <c r="N88" s="25"/>
    </row>
    <row r="89" spans="1:14">
      <c r="A89" s="8" t="s">
        <v>136</v>
      </c>
      <c r="B89" s="4" t="s">
        <v>137</v>
      </c>
      <c r="C89" s="7"/>
      <c r="D89" s="7">
        <f>F89-E89</f>
        <v>0</v>
      </c>
      <c r="E89" s="6">
        <f t="shared" si="2"/>
        <v>0</v>
      </c>
      <c r="F89" s="6">
        <f t="shared" si="2"/>
        <v>0</v>
      </c>
      <c r="G89" s="62"/>
      <c r="H89" s="62"/>
      <c r="I89" s="60"/>
      <c r="J89" s="60"/>
      <c r="K89" s="64"/>
      <c r="L89" s="64"/>
      <c r="M89" s="25"/>
      <c r="N89" s="25"/>
    </row>
    <row r="90" spans="1:14">
      <c r="A90" s="8" t="s">
        <v>138</v>
      </c>
      <c r="B90" s="4" t="s">
        <v>139</v>
      </c>
      <c r="C90" s="7">
        <f>E90-F90</f>
        <v>0</v>
      </c>
      <c r="D90" s="7"/>
      <c r="E90" s="6">
        <f t="shared" si="2"/>
        <v>0</v>
      </c>
      <c r="F90" s="6">
        <f t="shared" si="2"/>
        <v>0</v>
      </c>
      <c r="G90" s="62"/>
      <c r="H90" s="62"/>
      <c r="I90" s="60"/>
      <c r="J90" s="60"/>
      <c r="K90" s="64"/>
      <c r="L90" s="64"/>
      <c r="M90" s="25"/>
      <c r="N90" s="25"/>
    </row>
    <row r="91" spans="1:14">
      <c r="A91" s="8" t="s">
        <v>140</v>
      </c>
      <c r="B91" s="4" t="s">
        <v>141</v>
      </c>
      <c r="C91" s="7"/>
      <c r="D91" s="7">
        <f>F91-E91</f>
        <v>0</v>
      </c>
      <c r="E91" s="6">
        <f t="shared" si="2"/>
        <v>0</v>
      </c>
      <c r="F91" s="6">
        <f t="shared" si="2"/>
        <v>0</v>
      </c>
      <c r="G91" s="62"/>
      <c r="H91" s="62"/>
      <c r="I91" s="60"/>
      <c r="J91" s="60"/>
      <c r="K91" s="64"/>
      <c r="L91" s="64"/>
      <c r="M91" s="25"/>
      <c r="N91" s="25"/>
    </row>
    <row r="92" spans="1:14">
      <c r="A92" s="8" t="s">
        <v>142</v>
      </c>
      <c r="B92" s="4" t="s">
        <v>143</v>
      </c>
      <c r="C92" s="7">
        <f>E92-F92</f>
        <v>0</v>
      </c>
      <c r="D92" s="7"/>
      <c r="E92" s="6">
        <f t="shared" si="2"/>
        <v>0</v>
      </c>
      <c r="F92" s="6">
        <f t="shared" si="2"/>
        <v>0</v>
      </c>
      <c r="G92" s="62"/>
      <c r="H92" s="62"/>
      <c r="I92" s="60"/>
      <c r="J92" s="60"/>
      <c r="K92" s="64"/>
      <c r="L92" s="64"/>
      <c r="M92" s="25"/>
      <c r="N92" s="25"/>
    </row>
    <row r="93" spans="1:14" ht="28.5">
      <c r="A93" s="8" t="s">
        <v>144</v>
      </c>
      <c r="B93" s="4" t="s">
        <v>145</v>
      </c>
      <c r="C93" s="7"/>
      <c r="D93" s="7">
        <f>F93-E93</f>
        <v>0</v>
      </c>
      <c r="E93" s="6">
        <f t="shared" si="2"/>
        <v>0</v>
      </c>
      <c r="F93" s="6">
        <f t="shared" si="2"/>
        <v>0</v>
      </c>
      <c r="G93" s="62"/>
      <c r="H93" s="62"/>
      <c r="I93" s="60"/>
      <c r="J93" s="60"/>
      <c r="K93" s="64"/>
      <c r="L93" s="64"/>
      <c r="M93" s="25"/>
      <c r="N93" s="25"/>
    </row>
    <row r="94" spans="1:14">
      <c r="A94" s="8" t="s">
        <v>146</v>
      </c>
      <c r="B94" s="4" t="s">
        <v>147</v>
      </c>
      <c r="C94" s="7">
        <f>E94-F94</f>
        <v>0</v>
      </c>
      <c r="D94" s="7"/>
      <c r="E94" s="6">
        <f t="shared" si="2"/>
        <v>0</v>
      </c>
      <c r="F94" s="6">
        <f t="shared" si="2"/>
        <v>0</v>
      </c>
      <c r="G94" s="62"/>
      <c r="H94" s="62"/>
      <c r="I94" s="60"/>
      <c r="J94" s="60"/>
      <c r="K94" s="64"/>
      <c r="L94" s="64"/>
      <c r="M94" s="25"/>
      <c r="N94" s="25"/>
    </row>
    <row r="95" spans="1:14" ht="28.5">
      <c r="A95" s="8" t="s">
        <v>148</v>
      </c>
      <c r="B95" s="4" t="s">
        <v>149</v>
      </c>
      <c r="C95" s="7"/>
      <c r="D95" s="7">
        <f>F95-E95</f>
        <v>0</v>
      </c>
      <c r="E95" s="6">
        <f t="shared" si="2"/>
        <v>0</v>
      </c>
      <c r="F95" s="6">
        <f t="shared" si="2"/>
        <v>0</v>
      </c>
      <c r="G95" s="62"/>
      <c r="H95" s="62"/>
      <c r="I95" s="60"/>
      <c r="J95" s="60"/>
      <c r="K95" s="64"/>
      <c r="L95" s="64"/>
      <c r="M95" s="25"/>
      <c r="N95" s="25"/>
    </row>
    <row r="96" spans="1:14">
      <c r="A96" s="8" t="s">
        <v>150</v>
      </c>
      <c r="B96" s="4" t="s">
        <v>151</v>
      </c>
      <c r="C96" s="7">
        <f>E96-F96</f>
        <v>0</v>
      </c>
      <c r="D96" s="7"/>
      <c r="E96" s="6">
        <f t="shared" si="2"/>
        <v>0</v>
      </c>
      <c r="F96" s="6">
        <f t="shared" si="2"/>
        <v>0</v>
      </c>
      <c r="G96" s="62"/>
      <c r="H96" s="62"/>
      <c r="I96" s="60"/>
      <c r="J96" s="60"/>
      <c r="K96" s="64"/>
      <c r="L96" s="64"/>
      <c r="M96" s="25"/>
      <c r="N96" s="25"/>
    </row>
    <row r="97" spans="1:14">
      <c r="A97" s="8" t="s">
        <v>152</v>
      </c>
      <c r="B97" s="4" t="s">
        <v>153</v>
      </c>
      <c r="C97" s="7"/>
      <c r="D97" s="7">
        <f>F97-E97</f>
        <v>0</v>
      </c>
      <c r="E97" s="6">
        <f t="shared" si="2"/>
        <v>0</v>
      </c>
      <c r="F97" s="6">
        <f t="shared" si="2"/>
        <v>0</v>
      </c>
      <c r="G97" s="62"/>
      <c r="H97" s="62"/>
      <c r="I97" s="60"/>
      <c r="J97" s="60"/>
      <c r="K97" s="64"/>
      <c r="L97" s="64"/>
      <c r="M97" s="25"/>
      <c r="N97" s="25"/>
    </row>
    <row r="98" spans="1:14">
      <c r="A98" s="8" t="s">
        <v>154</v>
      </c>
      <c r="B98" s="4" t="s">
        <v>155</v>
      </c>
      <c r="C98" s="7">
        <f>E98-F98</f>
        <v>0</v>
      </c>
      <c r="D98" s="7"/>
      <c r="E98" s="6">
        <f t="shared" si="2"/>
        <v>0</v>
      </c>
      <c r="F98" s="6">
        <f t="shared" si="2"/>
        <v>0</v>
      </c>
      <c r="G98" s="62"/>
      <c r="H98" s="62"/>
      <c r="I98" s="60"/>
      <c r="J98" s="60"/>
      <c r="K98" s="64"/>
      <c r="L98" s="64"/>
      <c r="M98" s="25"/>
      <c r="N98" s="25"/>
    </row>
    <row r="99" spans="1:14" ht="28.5">
      <c r="A99" s="8" t="s">
        <v>156</v>
      </c>
      <c r="B99" s="4" t="s">
        <v>157</v>
      </c>
      <c r="C99" s="7"/>
      <c r="D99" s="7">
        <f>F99-E99</f>
        <v>0</v>
      </c>
      <c r="E99" s="6">
        <f t="shared" si="2"/>
        <v>0</v>
      </c>
      <c r="F99" s="6">
        <f t="shared" si="2"/>
        <v>0</v>
      </c>
      <c r="G99" s="62"/>
      <c r="H99" s="62"/>
      <c r="I99" s="60"/>
      <c r="J99" s="60"/>
      <c r="K99" s="64"/>
      <c r="L99" s="64"/>
      <c r="M99" s="25"/>
      <c r="N99" s="25"/>
    </row>
    <row r="100" spans="1:14">
      <c r="A100" s="8" t="s">
        <v>158</v>
      </c>
      <c r="B100" s="4" t="s">
        <v>159</v>
      </c>
      <c r="C100" s="7">
        <f>E100-F100</f>
        <v>0</v>
      </c>
      <c r="D100" s="7"/>
      <c r="E100" s="6">
        <f t="shared" si="2"/>
        <v>0</v>
      </c>
      <c r="F100" s="6">
        <f t="shared" si="2"/>
        <v>0</v>
      </c>
      <c r="G100" s="62"/>
      <c r="H100" s="62"/>
      <c r="I100" s="60"/>
      <c r="J100" s="60"/>
      <c r="K100" s="64"/>
      <c r="L100" s="64"/>
      <c r="M100" s="25"/>
      <c r="N100" s="25"/>
    </row>
    <row r="101" spans="1:14" ht="28.5">
      <c r="A101" s="8" t="s">
        <v>160</v>
      </c>
      <c r="B101" s="4" t="s">
        <v>161</v>
      </c>
      <c r="C101" s="7"/>
      <c r="D101" s="7">
        <f>F101-E101</f>
        <v>0</v>
      </c>
      <c r="E101" s="6">
        <f t="shared" si="2"/>
        <v>0</v>
      </c>
      <c r="F101" s="6">
        <f t="shared" si="2"/>
        <v>0</v>
      </c>
      <c r="G101" s="62"/>
      <c r="H101" s="62"/>
      <c r="I101" s="60"/>
      <c r="J101" s="60"/>
      <c r="K101" s="64"/>
      <c r="L101" s="64"/>
      <c r="M101" s="25"/>
      <c r="N101" s="25"/>
    </row>
    <row r="102" spans="1:14">
      <c r="A102" s="8" t="s">
        <v>162</v>
      </c>
      <c r="B102" s="4" t="s">
        <v>163</v>
      </c>
      <c r="C102" s="7">
        <f>E102-F102</f>
        <v>0</v>
      </c>
      <c r="D102" s="7"/>
      <c r="E102" s="6">
        <f t="shared" si="2"/>
        <v>0</v>
      </c>
      <c r="F102" s="6">
        <f t="shared" si="2"/>
        <v>0</v>
      </c>
      <c r="G102" s="62"/>
      <c r="H102" s="62"/>
      <c r="I102" s="60"/>
      <c r="J102" s="60"/>
      <c r="K102" s="64"/>
      <c r="L102" s="64"/>
      <c r="M102" s="25"/>
      <c r="N102" s="25"/>
    </row>
    <row r="103" spans="1:14" ht="28.5">
      <c r="A103" s="8" t="s">
        <v>164</v>
      </c>
      <c r="B103" s="4" t="s">
        <v>165</v>
      </c>
      <c r="C103" s="7"/>
      <c r="D103" s="7">
        <f>F103-E103</f>
        <v>0</v>
      </c>
      <c r="E103" s="6">
        <f t="shared" si="2"/>
        <v>0</v>
      </c>
      <c r="F103" s="6">
        <f t="shared" si="2"/>
        <v>0</v>
      </c>
      <c r="G103" s="62"/>
      <c r="H103" s="62"/>
      <c r="I103" s="60"/>
      <c r="J103" s="60"/>
      <c r="K103" s="64"/>
      <c r="L103" s="64"/>
      <c r="M103" s="25"/>
      <c r="N103" s="25"/>
    </row>
    <row r="104" spans="1:14">
      <c r="A104" s="8" t="s">
        <v>166</v>
      </c>
      <c r="B104" s="4" t="s">
        <v>167</v>
      </c>
      <c r="C104" s="7">
        <f>E104-F104</f>
        <v>0</v>
      </c>
      <c r="D104" s="7"/>
      <c r="E104" s="6">
        <f t="shared" si="2"/>
        <v>0</v>
      </c>
      <c r="F104" s="6">
        <f t="shared" si="2"/>
        <v>0</v>
      </c>
      <c r="G104" s="62"/>
      <c r="H104" s="62"/>
      <c r="I104" s="60"/>
      <c r="J104" s="60"/>
      <c r="K104" s="64"/>
      <c r="L104" s="64"/>
      <c r="M104" s="25"/>
      <c r="N104" s="25"/>
    </row>
    <row r="105" spans="1:14">
      <c r="A105" s="8" t="s">
        <v>168</v>
      </c>
      <c r="B105" s="4" t="s">
        <v>169</v>
      </c>
      <c r="C105" s="7"/>
      <c r="D105" s="7">
        <f>F105-E105</f>
        <v>0</v>
      </c>
      <c r="E105" s="6">
        <f t="shared" si="2"/>
        <v>0</v>
      </c>
      <c r="F105" s="6">
        <f t="shared" si="2"/>
        <v>0</v>
      </c>
      <c r="G105" s="62"/>
      <c r="H105" s="62"/>
      <c r="I105" s="60"/>
      <c r="J105" s="60"/>
      <c r="K105" s="64"/>
      <c r="L105" s="64"/>
      <c r="M105" s="25"/>
      <c r="N105" s="25"/>
    </row>
    <row r="106" spans="1:14">
      <c r="A106" s="8" t="s">
        <v>170</v>
      </c>
      <c r="B106" s="4" t="s">
        <v>171</v>
      </c>
      <c r="C106" s="7">
        <f>E106-F106</f>
        <v>0</v>
      </c>
      <c r="D106" s="7"/>
      <c r="E106" s="6">
        <f t="shared" si="2"/>
        <v>0</v>
      </c>
      <c r="F106" s="6">
        <f t="shared" si="2"/>
        <v>0</v>
      </c>
      <c r="G106" s="62"/>
      <c r="H106" s="62"/>
      <c r="I106" s="60"/>
      <c r="J106" s="60"/>
      <c r="K106" s="64"/>
      <c r="L106" s="64"/>
      <c r="M106" s="25"/>
      <c r="N106" s="25"/>
    </row>
    <row r="107" spans="1:14" ht="28.5">
      <c r="A107" s="8" t="s">
        <v>172</v>
      </c>
      <c r="B107" s="4" t="s">
        <v>173</v>
      </c>
      <c r="C107" s="7"/>
      <c r="D107" s="7">
        <f>F107-E107</f>
        <v>0</v>
      </c>
      <c r="E107" s="6">
        <f t="shared" si="2"/>
        <v>0</v>
      </c>
      <c r="F107" s="6">
        <f t="shared" si="2"/>
        <v>0</v>
      </c>
      <c r="G107" s="62"/>
      <c r="H107" s="62"/>
      <c r="I107" s="60"/>
      <c r="J107" s="60"/>
      <c r="K107" s="64"/>
      <c r="L107" s="64"/>
      <c r="M107" s="25"/>
      <c r="N107" s="25"/>
    </row>
    <row r="108" spans="1:14">
      <c r="A108" s="8" t="s">
        <v>174</v>
      </c>
      <c r="B108" s="4" t="s">
        <v>175</v>
      </c>
      <c r="C108" s="7">
        <f>E108-F108</f>
        <v>0</v>
      </c>
      <c r="D108" s="7"/>
      <c r="E108" s="6">
        <f t="shared" si="2"/>
        <v>0</v>
      </c>
      <c r="F108" s="6">
        <f t="shared" si="2"/>
        <v>0</v>
      </c>
      <c r="G108" s="62"/>
      <c r="H108" s="62"/>
      <c r="I108" s="60"/>
      <c r="J108" s="60"/>
      <c r="K108" s="64"/>
      <c r="L108" s="64"/>
      <c r="M108" s="25"/>
      <c r="N108" s="25"/>
    </row>
    <row r="109" spans="1:14">
      <c r="A109" s="8" t="s">
        <v>176</v>
      </c>
      <c r="B109" s="4" t="s">
        <v>177</v>
      </c>
      <c r="C109" s="7"/>
      <c r="D109" s="7">
        <f>F109-E109</f>
        <v>0</v>
      </c>
      <c r="E109" s="6">
        <f t="shared" si="2"/>
        <v>0</v>
      </c>
      <c r="F109" s="6">
        <f t="shared" si="2"/>
        <v>0</v>
      </c>
      <c r="G109" s="62"/>
      <c r="H109" s="62"/>
      <c r="I109" s="60"/>
      <c r="J109" s="60"/>
      <c r="K109" s="64"/>
      <c r="L109" s="64"/>
      <c r="M109" s="25"/>
      <c r="N109" s="25"/>
    </row>
    <row r="110" spans="1:14">
      <c r="A110" s="8" t="s">
        <v>178</v>
      </c>
      <c r="B110" s="4" t="s">
        <v>179</v>
      </c>
      <c r="C110" s="7">
        <f>E110-F110</f>
        <v>0</v>
      </c>
      <c r="D110" s="7"/>
      <c r="E110" s="6">
        <f t="shared" si="2"/>
        <v>0</v>
      </c>
      <c r="F110" s="6">
        <f t="shared" si="2"/>
        <v>0</v>
      </c>
      <c r="G110" s="62"/>
      <c r="H110" s="62"/>
      <c r="I110" s="60"/>
      <c r="J110" s="60"/>
      <c r="K110" s="64"/>
      <c r="L110" s="64"/>
      <c r="M110" s="25"/>
      <c r="N110" s="25"/>
    </row>
    <row r="111" spans="1:14">
      <c r="A111" s="8" t="s">
        <v>180</v>
      </c>
      <c r="B111" s="4" t="s">
        <v>181</v>
      </c>
      <c r="C111" s="7"/>
      <c r="D111" s="7">
        <f>F111-E111</f>
        <v>0</v>
      </c>
      <c r="E111" s="6">
        <f t="shared" si="2"/>
        <v>0</v>
      </c>
      <c r="F111" s="6">
        <f t="shared" si="2"/>
        <v>0</v>
      </c>
      <c r="G111" s="62"/>
      <c r="H111" s="62"/>
      <c r="I111" s="60"/>
      <c r="J111" s="60"/>
      <c r="K111" s="64"/>
      <c r="L111" s="64"/>
      <c r="M111" s="25"/>
      <c r="N111" s="25"/>
    </row>
    <row r="112" spans="1:14">
      <c r="A112" s="8" t="s">
        <v>182</v>
      </c>
      <c r="B112" s="4" t="s">
        <v>183</v>
      </c>
      <c r="C112" s="7">
        <f>E112-F112</f>
        <v>0</v>
      </c>
      <c r="D112" s="7"/>
      <c r="E112" s="6">
        <f t="shared" si="2"/>
        <v>0</v>
      </c>
      <c r="F112" s="6">
        <f t="shared" si="2"/>
        <v>0</v>
      </c>
      <c r="G112" s="62"/>
      <c r="H112" s="62"/>
      <c r="I112" s="60"/>
      <c r="J112" s="60"/>
      <c r="K112" s="64"/>
      <c r="L112" s="64"/>
      <c r="M112" s="25"/>
      <c r="N112" s="25"/>
    </row>
    <row r="113" spans="1:14">
      <c r="A113" s="8" t="s">
        <v>184</v>
      </c>
      <c r="B113" s="4" t="s">
        <v>185</v>
      </c>
      <c r="C113" s="7"/>
      <c r="D113" s="7">
        <f>F113-E113</f>
        <v>0</v>
      </c>
      <c r="E113" s="6">
        <f t="shared" si="2"/>
        <v>0</v>
      </c>
      <c r="F113" s="6">
        <f t="shared" si="2"/>
        <v>0</v>
      </c>
      <c r="G113" s="62"/>
      <c r="H113" s="62"/>
      <c r="I113" s="60"/>
      <c r="J113" s="60"/>
      <c r="K113" s="64"/>
      <c r="L113" s="64"/>
      <c r="M113" s="25"/>
      <c r="N113" s="25"/>
    </row>
    <row r="114" spans="1:14">
      <c r="A114" s="8" t="s">
        <v>186</v>
      </c>
      <c r="B114" s="4" t="s">
        <v>187</v>
      </c>
      <c r="C114" s="7">
        <f>E114-F114</f>
        <v>0</v>
      </c>
      <c r="D114" s="7"/>
      <c r="E114" s="6">
        <f t="shared" si="2"/>
        <v>0</v>
      </c>
      <c r="F114" s="6">
        <f t="shared" si="2"/>
        <v>0</v>
      </c>
      <c r="G114" s="62"/>
      <c r="H114" s="62"/>
      <c r="I114" s="60"/>
      <c r="J114" s="60"/>
      <c r="K114" s="64"/>
      <c r="L114" s="64"/>
      <c r="M114" s="25"/>
      <c r="N114" s="25"/>
    </row>
    <row r="115" spans="1:14" ht="28.5">
      <c r="A115" s="8" t="s">
        <v>188</v>
      </c>
      <c r="B115" s="4" t="s">
        <v>189</v>
      </c>
      <c r="C115" s="7"/>
      <c r="D115" s="7">
        <f>F115-E115</f>
        <v>0</v>
      </c>
      <c r="E115" s="6">
        <f t="shared" si="2"/>
        <v>0</v>
      </c>
      <c r="F115" s="6">
        <f t="shared" si="2"/>
        <v>0</v>
      </c>
      <c r="G115" s="62"/>
      <c r="H115" s="62"/>
      <c r="I115" s="60"/>
      <c r="J115" s="60"/>
      <c r="K115" s="64"/>
      <c r="L115" s="64"/>
      <c r="M115" s="25"/>
      <c r="N115" s="25"/>
    </row>
    <row r="116" spans="1:14">
      <c r="A116" s="8" t="s">
        <v>190</v>
      </c>
      <c r="B116" s="4" t="s">
        <v>191</v>
      </c>
      <c r="C116" s="7">
        <f>E116-F116</f>
        <v>0</v>
      </c>
      <c r="D116" s="7"/>
      <c r="E116" s="6">
        <f t="shared" si="2"/>
        <v>0</v>
      </c>
      <c r="F116" s="6">
        <f t="shared" si="2"/>
        <v>0</v>
      </c>
      <c r="G116" s="62"/>
      <c r="H116" s="62"/>
      <c r="I116" s="60"/>
      <c r="J116" s="60"/>
      <c r="K116" s="64"/>
      <c r="L116" s="64"/>
      <c r="M116" s="25"/>
      <c r="N116" s="25"/>
    </row>
    <row r="117" spans="1:14">
      <c r="A117" s="8" t="s">
        <v>192</v>
      </c>
      <c r="B117" s="4" t="s">
        <v>193</v>
      </c>
      <c r="C117" s="7"/>
      <c r="D117" s="7">
        <f>F117-E117</f>
        <v>0</v>
      </c>
      <c r="E117" s="6">
        <f t="shared" si="2"/>
        <v>0</v>
      </c>
      <c r="F117" s="6">
        <f t="shared" si="2"/>
        <v>0</v>
      </c>
      <c r="G117" s="62"/>
      <c r="H117" s="62"/>
      <c r="I117" s="60"/>
      <c r="J117" s="60"/>
      <c r="K117" s="64"/>
      <c r="L117" s="64"/>
      <c r="M117" s="25"/>
      <c r="N117" s="25"/>
    </row>
    <row r="118" spans="1:14">
      <c r="A118" s="8" t="s">
        <v>194</v>
      </c>
      <c r="B118" s="4" t="s">
        <v>195</v>
      </c>
      <c r="C118" s="7">
        <f>E118-F118</f>
        <v>0</v>
      </c>
      <c r="D118" s="7"/>
      <c r="E118" s="6">
        <f t="shared" si="2"/>
        <v>0</v>
      </c>
      <c r="F118" s="6">
        <f t="shared" si="2"/>
        <v>0</v>
      </c>
      <c r="G118" s="62"/>
      <c r="H118" s="62"/>
      <c r="I118" s="60"/>
      <c r="J118" s="60"/>
      <c r="K118" s="64"/>
      <c r="L118" s="64"/>
      <c r="M118" s="25"/>
      <c r="N118" s="25"/>
    </row>
    <row r="119" spans="1:14" ht="28.5">
      <c r="A119" s="8" t="s">
        <v>196</v>
      </c>
      <c r="B119" s="4" t="s">
        <v>197</v>
      </c>
      <c r="C119" s="7"/>
      <c r="D119" s="7">
        <f>F119-E119</f>
        <v>0</v>
      </c>
      <c r="E119" s="6">
        <f t="shared" si="2"/>
        <v>0</v>
      </c>
      <c r="F119" s="6">
        <f t="shared" si="2"/>
        <v>0</v>
      </c>
      <c r="G119" s="62"/>
      <c r="H119" s="62"/>
      <c r="I119" s="60"/>
      <c r="J119" s="60"/>
      <c r="K119" s="64"/>
      <c r="L119" s="64"/>
      <c r="M119" s="25"/>
      <c r="N119" s="25"/>
    </row>
    <row r="120" spans="1:14">
      <c r="A120" s="8" t="s">
        <v>198</v>
      </c>
      <c r="B120" s="4" t="s">
        <v>199</v>
      </c>
      <c r="C120" s="7">
        <f>E120-F120</f>
        <v>0</v>
      </c>
      <c r="D120" s="7"/>
      <c r="E120" s="6">
        <f t="shared" si="2"/>
        <v>0</v>
      </c>
      <c r="F120" s="6">
        <f t="shared" si="2"/>
        <v>0</v>
      </c>
      <c r="G120" s="62"/>
      <c r="H120" s="62"/>
      <c r="I120" s="60"/>
      <c r="J120" s="60"/>
      <c r="K120" s="64"/>
      <c r="L120" s="64"/>
      <c r="M120" s="25"/>
      <c r="N120" s="25"/>
    </row>
    <row r="121" spans="1:14" ht="28.5">
      <c r="A121" s="8" t="s">
        <v>200</v>
      </c>
      <c r="B121" s="4" t="s">
        <v>201</v>
      </c>
      <c r="C121" s="7"/>
      <c r="D121" s="7">
        <f>F121-E121</f>
        <v>0</v>
      </c>
      <c r="E121" s="6">
        <f t="shared" si="2"/>
        <v>0</v>
      </c>
      <c r="F121" s="6">
        <f t="shared" si="2"/>
        <v>0</v>
      </c>
      <c r="G121" s="62"/>
      <c r="H121" s="62"/>
      <c r="I121" s="60"/>
      <c r="J121" s="60"/>
      <c r="K121" s="64"/>
      <c r="L121" s="64"/>
      <c r="M121" s="25"/>
      <c r="N121" s="25"/>
    </row>
    <row r="122" spans="1:14">
      <c r="A122" s="8" t="s">
        <v>202</v>
      </c>
      <c r="B122" s="4" t="s">
        <v>203</v>
      </c>
      <c r="C122" s="7">
        <f>E122-F122</f>
        <v>0</v>
      </c>
      <c r="D122" s="7"/>
      <c r="E122" s="6">
        <f t="shared" si="2"/>
        <v>0</v>
      </c>
      <c r="F122" s="6">
        <f t="shared" si="2"/>
        <v>0</v>
      </c>
      <c r="G122" s="62"/>
      <c r="H122" s="62"/>
      <c r="I122" s="60"/>
      <c r="J122" s="60"/>
      <c r="K122" s="64"/>
      <c r="L122" s="64"/>
      <c r="M122" s="25"/>
      <c r="N122" s="25"/>
    </row>
    <row r="123" spans="1:14" ht="28.5">
      <c r="A123" s="8" t="s">
        <v>204</v>
      </c>
      <c r="B123" s="4" t="s">
        <v>205</v>
      </c>
      <c r="C123" s="7"/>
      <c r="D123" s="7">
        <f>F123-E123</f>
        <v>0</v>
      </c>
      <c r="E123" s="6">
        <f t="shared" si="2"/>
        <v>0</v>
      </c>
      <c r="F123" s="6">
        <f t="shared" si="2"/>
        <v>0</v>
      </c>
      <c r="G123" s="62"/>
      <c r="H123" s="62"/>
      <c r="I123" s="60"/>
      <c r="J123" s="60"/>
      <c r="K123" s="64"/>
      <c r="L123" s="64"/>
      <c r="M123" s="25"/>
      <c r="N123" s="25"/>
    </row>
    <row r="124" spans="1:14">
      <c r="A124" s="8" t="s">
        <v>206</v>
      </c>
      <c r="B124" s="4" t="s">
        <v>207</v>
      </c>
      <c r="C124" s="7">
        <f>E124-F124</f>
        <v>0</v>
      </c>
      <c r="D124" s="7"/>
      <c r="E124" s="6">
        <f t="shared" si="2"/>
        <v>0</v>
      </c>
      <c r="F124" s="6">
        <f t="shared" si="2"/>
        <v>0</v>
      </c>
      <c r="G124" s="62"/>
      <c r="H124" s="62"/>
      <c r="I124" s="60"/>
      <c r="J124" s="60"/>
      <c r="K124" s="64"/>
      <c r="L124" s="64"/>
      <c r="M124" s="25"/>
      <c r="N124" s="25"/>
    </row>
    <row r="125" spans="1:14">
      <c r="A125" s="8" t="s">
        <v>208</v>
      </c>
      <c r="B125" s="4" t="s">
        <v>209</v>
      </c>
      <c r="C125" s="7"/>
      <c r="D125" s="7">
        <f>F125-E125</f>
        <v>0</v>
      </c>
      <c r="E125" s="6">
        <f t="shared" si="2"/>
        <v>0</v>
      </c>
      <c r="F125" s="6">
        <f t="shared" si="2"/>
        <v>0</v>
      </c>
      <c r="G125" s="62"/>
      <c r="H125" s="62"/>
      <c r="I125" s="60"/>
      <c r="J125" s="60"/>
      <c r="K125" s="64"/>
      <c r="L125" s="64"/>
      <c r="M125" s="25"/>
      <c r="N125" s="25"/>
    </row>
    <row r="126" spans="1:14">
      <c r="A126" s="8" t="s">
        <v>210</v>
      </c>
      <c r="B126" s="4" t="s">
        <v>211</v>
      </c>
      <c r="C126" s="7">
        <f>E126-F126</f>
        <v>0</v>
      </c>
      <c r="D126" s="7"/>
      <c r="E126" s="6">
        <f t="shared" si="2"/>
        <v>0</v>
      </c>
      <c r="F126" s="6">
        <f t="shared" si="2"/>
        <v>0</v>
      </c>
      <c r="G126" s="62"/>
      <c r="H126" s="62"/>
      <c r="I126" s="60"/>
      <c r="J126" s="60"/>
      <c r="K126" s="64"/>
      <c r="L126" s="64"/>
      <c r="M126" s="25"/>
      <c r="N126" s="25"/>
    </row>
    <row r="127" spans="1:14" ht="28.5">
      <c r="A127" s="8" t="s">
        <v>212</v>
      </c>
      <c r="B127" s="4" t="s">
        <v>213</v>
      </c>
      <c r="C127" s="7"/>
      <c r="D127" s="7">
        <f>F127-E127</f>
        <v>0</v>
      </c>
      <c r="E127" s="6">
        <f t="shared" si="2"/>
        <v>0</v>
      </c>
      <c r="F127" s="6">
        <f t="shared" si="2"/>
        <v>0</v>
      </c>
      <c r="G127" s="62"/>
      <c r="H127" s="62"/>
      <c r="I127" s="60"/>
      <c r="J127" s="60"/>
      <c r="K127" s="64"/>
      <c r="L127" s="64"/>
      <c r="M127" s="25"/>
      <c r="N127" s="25"/>
    </row>
    <row r="128" spans="1:14">
      <c r="A128" s="8" t="s">
        <v>214</v>
      </c>
      <c r="B128" s="4" t="s">
        <v>215</v>
      </c>
      <c r="C128" s="7">
        <f>E128-F128</f>
        <v>0</v>
      </c>
      <c r="D128" s="7"/>
      <c r="E128" s="6">
        <f t="shared" si="2"/>
        <v>0</v>
      </c>
      <c r="F128" s="6">
        <f t="shared" si="2"/>
        <v>0</v>
      </c>
      <c r="G128" s="62"/>
      <c r="H128" s="62"/>
      <c r="I128" s="60"/>
      <c r="J128" s="60"/>
      <c r="K128" s="64"/>
      <c r="L128" s="64"/>
      <c r="M128" s="25"/>
      <c r="N128" s="25"/>
    </row>
    <row r="129" spans="1:14" ht="28.5">
      <c r="A129" s="8" t="s">
        <v>216</v>
      </c>
      <c r="B129" s="4" t="s">
        <v>217</v>
      </c>
      <c r="C129" s="7"/>
      <c r="D129" s="7">
        <f>F129-E129</f>
        <v>0</v>
      </c>
      <c r="E129" s="6">
        <f t="shared" si="2"/>
        <v>0</v>
      </c>
      <c r="F129" s="6">
        <f t="shared" si="2"/>
        <v>0</v>
      </c>
      <c r="G129" s="62"/>
      <c r="H129" s="62"/>
      <c r="I129" s="60"/>
      <c r="J129" s="60"/>
      <c r="K129" s="64"/>
      <c r="L129" s="64"/>
      <c r="M129" s="25"/>
      <c r="N129" s="25"/>
    </row>
    <row r="130" spans="1:14">
      <c r="A130" s="8" t="s">
        <v>218</v>
      </c>
      <c r="B130" s="4" t="s">
        <v>219</v>
      </c>
      <c r="C130" s="7">
        <f>E130-F130</f>
        <v>0</v>
      </c>
      <c r="D130" s="7"/>
      <c r="E130" s="6">
        <f t="shared" si="2"/>
        <v>0</v>
      </c>
      <c r="F130" s="6">
        <f t="shared" si="2"/>
        <v>0</v>
      </c>
      <c r="G130" s="62"/>
      <c r="H130" s="62"/>
      <c r="I130" s="60"/>
      <c r="J130" s="60"/>
      <c r="K130" s="64"/>
      <c r="L130" s="64"/>
      <c r="M130" s="25"/>
      <c r="N130" s="25"/>
    </row>
    <row r="131" spans="1:14">
      <c r="A131" s="8" t="s">
        <v>220</v>
      </c>
      <c r="B131" s="4" t="s">
        <v>221</v>
      </c>
      <c r="C131" s="7"/>
      <c r="D131" s="7">
        <f>F131-E131</f>
        <v>0</v>
      </c>
      <c r="E131" s="6">
        <f t="shared" si="2"/>
        <v>0</v>
      </c>
      <c r="F131" s="6">
        <f t="shared" si="2"/>
        <v>0</v>
      </c>
      <c r="G131" s="62"/>
      <c r="H131" s="62"/>
      <c r="I131" s="60"/>
      <c r="J131" s="60"/>
      <c r="K131" s="64"/>
      <c r="L131" s="64"/>
      <c r="M131" s="25"/>
      <c r="N131" s="25"/>
    </row>
    <row r="132" spans="1:14">
      <c r="A132" s="8" t="s">
        <v>222</v>
      </c>
      <c r="B132" s="4" t="s">
        <v>223</v>
      </c>
      <c r="C132" s="7">
        <f>E132-F132</f>
        <v>0</v>
      </c>
      <c r="D132" s="7"/>
      <c r="E132" s="6">
        <f t="shared" si="2"/>
        <v>0</v>
      </c>
      <c r="F132" s="6">
        <f t="shared" si="2"/>
        <v>0</v>
      </c>
      <c r="G132" s="62"/>
      <c r="H132" s="62"/>
      <c r="I132" s="60"/>
      <c r="J132" s="60"/>
      <c r="K132" s="64"/>
      <c r="L132" s="64"/>
      <c r="M132" s="25"/>
      <c r="N132" s="25"/>
    </row>
    <row r="133" spans="1:14" ht="28.5">
      <c r="A133" s="8" t="s">
        <v>224</v>
      </c>
      <c r="B133" s="4" t="s">
        <v>225</v>
      </c>
      <c r="C133" s="7"/>
      <c r="D133" s="7">
        <f>F133-E133</f>
        <v>0</v>
      </c>
      <c r="E133" s="6">
        <f t="shared" si="2"/>
        <v>0</v>
      </c>
      <c r="F133" s="6">
        <f t="shared" si="2"/>
        <v>0</v>
      </c>
      <c r="G133" s="62"/>
      <c r="H133" s="62"/>
      <c r="I133" s="60"/>
      <c r="J133" s="60"/>
      <c r="K133" s="64"/>
      <c r="L133" s="64"/>
      <c r="M133" s="25"/>
      <c r="N133" s="25"/>
    </row>
    <row r="134" spans="1:14">
      <c r="A134" s="8" t="s">
        <v>226</v>
      </c>
      <c r="B134" s="4" t="s">
        <v>227</v>
      </c>
      <c r="C134" s="7">
        <f>E134-F134</f>
        <v>0</v>
      </c>
      <c r="D134" s="7"/>
      <c r="E134" s="6">
        <f t="shared" si="2"/>
        <v>0</v>
      </c>
      <c r="F134" s="6">
        <f t="shared" si="2"/>
        <v>0</v>
      </c>
      <c r="G134" s="62"/>
      <c r="H134" s="62"/>
      <c r="I134" s="60"/>
      <c r="J134" s="60"/>
      <c r="K134" s="64"/>
      <c r="L134" s="64"/>
      <c r="M134" s="25"/>
      <c r="N134" s="25"/>
    </row>
    <row r="135" spans="1:14" ht="28.5">
      <c r="A135" s="8" t="s">
        <v>228</v>
      </c>
      <c r="B135" s="4" t="s">
        <v>229</v>
      </c>
      <c r="C135" s="7"/>
      <c r="D135" s="7">
        <f>F135-E135</f>
        <v>0</v>
      </c>
      <c r="E135" s="6">
        <f t="shared" si="2"/>
        <v>0</v>
      </c>
      <c r="F135" s="6">
        <f t="shared" si="2"/>
        <v>0</v>
      </c>
      <c r="G135" s="62"/>
      <c r="H135" s="62"/>
      <c r="I135" s="60"/>
      <c r="J135" s="60"/>
      <c r="K135" s="64"/>
      <c r="L135" s="64"/>
      <c r="M135" s="25"/>
      <c r="N135" s="25"/>
    </row>
    <row r="136" spans="1:14">
      <c r="A136" s="8" t="s">
        <v>230</v>
      </c>
      <c r="B136" s="4" t="s">
        <v>231</v>
      </c>
      <c r="C136" s="7">
        <f>E136-F136</f>
        <v>0</v>
      </c>
      <c r="D136" s="7"/>
      <c r="E136" s="6">
        <f t="shared" si="2"/>
        <v>0</v>
      </c>
      <c r="F136" s="6">
        <f t="shared" si="2"/>
        <v>0</v>
      </c>
      <c r="G136" s="62"/>
      <c r="H136" s="62"/>
      <c r="I136" s="60"/>
      <c r="J136" s="60"/>
      <c r="K136" s="64"/>
      <c r="L136" s="64"/>
      <c r="M136" s="25"/>
      <c r="N136" s="25"/>
    </row>
    <row r="137" spans="1:14">
      <c r="A137" s="8" t="s">
        <v>232</v>
      </c>
      <c r="B137" s="4" t="s">
        <v>233</v>
      </c>
      <c r="C137" s="7"/>
      <c r="D137" s="7">
        <f>F137-E137</f>
        <v>0</v>
      </c>
      <c r="E137" s="6">
        <f t="shared" si="2"/>
        <v>0</v>
      </c>
      <c r="F137" s="6">
        <f t="shared" si="2"/>
        <v>0</v>
      </c>
      <c r="G137" s="62"/>
      <c r="H137" s="62"/>
      <c r="I137" s="60"/>
      <c r="J137" s="60"/>
      <c r="K137" s="64"/>
      <c r="L137" s="64"/>
      <c r="M137" s="25"/>
      <c r="N137" s="25"/>
    </row>
    <row r="138" spans="1:14">
      <c r="A138" s="8" t="s">
        <v>234</v>
      </c>
      <c r="B138" s="4" t="s">
        <v>235</v>
      </c>
      <c r="C138" s="7">
        <f>E138-F138</f>
        <v>0</v>
      </c>
      <c r="D138" s="7"/>
      <c r="E138" s="6">
        <f t="shared" si="2"/>
        <v>0</v>
      </c>
      <c r="F138" s="6">
        <f t="shared" si="2"/>
        <v>0</v>
      </c>
      <c r="G138" s="62"/>
      <c r="H138" s="62"/>
      <c r="I138" s="60"/>
      <c r="J138" s="60"/>
      <c r="K138" s="64"/>
      <c r="L138" s="64"/>
      <c r="M138" s="25"/>
      <c r="N138" s="25"/>
    </row>
    <row r="139" spans="1:14">
      <c r="A139" s="8" t="s">
        <v>236</v>
      </c>
      <c r="B139" s="4" t="s">
        <v>237</v>
      </c>
      <c r="C139" s="7"/>
      <c r="D139" s="7">
        <f>F139-E139</f>
        <v>0</v>
      </c>
      <c r="E139" s="6">
        <f t="shared" si="2"/>
        <v>0</v>
      </c>
      <c r="F139" s="6">
        <f t="shared" si="2"/>
        <v>0</v>
      </c>
      <c r="G139" s="62"/>
      <c r="H139" s="62"/>
      <c r="I139" s="60"/>
      <c r="J139" s="60"/>
      <c r="K139" s="64"/>
      <c r="L139" s="64"/>
      <c r="M139" s="25"/>
      <c r="N139" s="25"/>
    </row>
    <row r="140" spans="1:14">
      <c r="A140" s="8" t="s">
        <v>238</v>
      </c>
      <c r="B140" s="4" t="s">
        <v>239</v>
      </c>
      <c r="C140" s="7">
        <f>E140-F140</f>
        <v>0</v>
      </c>
      <c r="D140" s="7"/>
      <c r="E140" s="6">
        <f t="shared" si="2"/>
        <v>0</v>
      </c>
      <c r="F140" s="6">
        <f t="shared" si="2"/>
        <v>0</v>
      </c>
      <c r="G140" s="62"/>
      <c r="H140" s="62"/>
      <c r="I140" s="60"/>
      <c r="J140" s="60"/>
      <c r="K140" s="64"/>
      <c r="L140" s="64"/>
      <c r="M140" s="25"/>
      <c r="N140" s="25"/>
    </row>
    <row r="141" spans="1:14" ht="28.5">
      <c r="A141" s="8" t="s">
        <v>240</v>
      </c>
      <c r="B141" s="4" t="s">
        <v>241</v>
      </c>
      <c r="C141" s="7"/>
      <c r="D141" s="7">
        <f>F141-E141</f>
        <v>0</v>
      </c>
      <c r="E141" s="6">
        <f t="shared" si="2"/>
        <v>0</v>
      </c>
      <c r="F141" s="6">
        <f t="shared" si="2"/>
        <v>0</v>
      </c>
      <c r="G141" s="62"/>
      <c r="H141" s="62"/>
      <c r="I141" s="60"/>
      <c r="J141" s="60"/>
      <c r="K141" s="64"/>
      <c r="L141" s="64"/>
      <c r="M141" s="25"/>
      <c r="N141" s="25"/>
    </row>
    <row r="142" spans="1:14">
      <c r="A142" s="8" t="s">
        <v>242</v>
      </c>
      <c r="B142" s="4" t="s">
        <v>243</v>
      </c>
      <c r="C142" s="7">
        <f>E142-F142</f>
        <v>0</v>
      </c>
      <c r="D142" s="7"/>
      <c r="E142" s="6">
        <f t="shared" ref="E142:F205" si="3">SUM(G142,I142,K142,M142)</f>
        <v>0</v>
      </c>
      <c r="F142" s="6">
        <f t="shared" si="3"/>
        <v>0</v>
      </c>
      <c r="G142" s="62"/>
      <c r="H142" s="62"/>
      <c r="I142" s="60"/>
      <c r="J142" s="60"/>
      <c r="K142" s="64"/>
      <c r="L142" s="64"/>
      <c r="M142" s="25"/>
      <c r="N142" s="25"/>
    </row>
    <row r="143" spans="1:14">
      <c r="A143" s="8" t="s">
        <v>244</v>
      </c>
      <c r="B143" s="4" t="s">
        <v>245</v>
      </c>
      <c r="C143" s="7"/>
      <c r="D143" s="7">
        <f>F143-E143</f>
        <v>0</v>
      </c>
      <c r="E143" s="6">
        <f t="shared" si="3"/>
        <v>0</v>
      </c>
      <c r="F143" s="6">
        <f t="shared" si="3"/>
        <v>0</v>
      </c>
      <c r="G143" s="62"/>
      <c r="H143" s="62"/>
      <c r="I143" s="60"/>
      <c r="J143" s="60"/>
      <c r="K143" s="64"/>
      <c r="L143" s="64"/>
      <c r="M143" s="25"/>
      <c r="N143" s="25"/>
    </row>
    <row r="144" spans="1:14">
      <c r="A144" s="8" t="s">
        <v>246</v>
      </c>
      <c r="B144" s="4" t="s">
        <v>247</v>
      </c>
      <c r="C144" s="7">
        <f>E144-F144</f>
        <v>0</v>
      </c>
      <c r="D144" s="7"/>
      <c r="E144" s="6">
        <f t="shared" si="3"/>
        <v>0</v>
      </c>
      <c r="F144" s="6">
        <f t="shared" si="3"/>
        <v>0</v>
      </c>
      <c r="G144" s="62"/>
      <c r="H144" s="62"/>
      <c r="I144" s="60"/>
      <c r="J144" s="60"/>
      <c r="K144" s="64"/>
      <c r="L144" s="64"/>
      <c r="M144" s="25"/>
      <c r="N144" s="25"/>
    </row>
    <row r="145" spans="1:14" ht="28.5">
      <c r="A145" s="8" t="s">
        <v>248</v>
      </c>
      <c r="B145" s="4" t="s">
        <v>249</v>
      </c>
      <c r="C145" s="7"/>
      <c r="D145" s="7">
        <f>F145-E145</f>
        <v>0</v>
      </c>
      <c r="E145" s="6">
        <f t="shared" si="3"/>
        <v>0</v>
      </c>
      <c r="F145" s="6">
        <f t="shared" si="3"/>
        <v>0</v>
      </c>
      <c r="G145" s="62"/>
      <c r="H145" s="62"/>
      <c r="I145" s="60"/>
      <c r="J145" s="60"/>
      <c r="K145" s="64"/>
      <c r="L145" s="64"/>
      <c r="M145" s="25"/>
      <c r="N145" s="25"/>
    </row>
    <row r="146" spans="1:14">
      <c r="A146" s="8" t="s">
        <v>250</v>
      </c>
      <c r="B146" s="4" t="s">
        <v>251</v>
      </c>
      <c r="C146" s="7">
        <f>E146-F146</f>
        <v>0</v>
      </c>
      <c r="D146" s="7"/>
      <c r="E146" s="6">
        <f t="shared" si="3"/>
        <v>0</v>
      </c>
      <c r="F146" s="6">
        <f t="shared" si="3"/>
        <v>0</v>
      </c>
      <c r="G146" s="62"/>
      <c r="H146" s="62"/>
      <c r="I146" s="60"/>
      <c r="J146" s="60"/>
      <c r="K146" s="64"/>
      <c r="L146" s="64"/>
      <c r="M146" s="25"/>
      <c r="N146" s="25"/>
    </row>
    <row r="147" spans="1:14" ht="28.5">
      <c r="A147" s="8" t="s">
        <v>252</v>
      </c>
      <c r="B147" s="4" t="s">
        <v>253</v>
      </c>
      <c r="C147" s="7"/>
      <c r="D147" s="7">
        <f>F147-E147</f>
        <v>0</v>
      </c>
      <c r="E147" s="6">
        <f t="shared" si="3"/>
        <v>0</v>
      </c>
      <c r="F147" s="6">
        <f t="shared" si="3"/>
        <v>0</v>
      </c>
      <c r="G147" s="62"/>
      <c r="H147" s="62"/>
      <c r="I147" s="60"/>
      <c r="J147" s="60"/>
      <c r="K147" s="64"/>
      <c r="L147" s="64"/>
      <c r="M147" s="25"/>
      <c r="N147" s="25"/>
    </row>
    <row r="148" spans="1:14">
      <c r="A148" s="8" t="s">
        <v>254</v>
      </c>
      <c r="B148" s="4" t="s">
        <v>255</v>
      </c>
      <c r="C148" s="7">
        <f t="shared" ref="C148:C173" si="4">E148-F148</f>
        <v>0</v>
      </c>
      <c r="D148" s="7"/>
      <c r="E148" s="6">
        <f t="shared" si="3"/>
        <v>0</v>
      </c>
      <c r="F148" s="6">
        <f t="shared" si="3"/>
        <v>0</v>
      </c>
      <c r="G148" s="62"/>
      <c r="H148" s="62"/>
      <c r="I148" s="60"/>
      <c r="J148" s="60"/>
      <c r="K148" s="64"/>
      <c r="L148" s="64"/>
      <c r="M148" s="25"/>
      <c r="N148" s="25"/>
    </row>
    <row r="149" spans="1:14">
      <c r="A149" s="8" t="s">
        <v>256</v>
      </c>
      <c r="B149" s="4" t="s">
        <v>257</v>
      </c>
      <c r="C149" s="7">
        <f t="shared" si="4"/>
        <v>0</v>
      </c>
      <c r="D149" s="7"/>
      <c r="E149" s="6">
        <f t="shared" si="3"/>
        <v>0</v>
      </c>
      <c r="F149" s="6">
        <f t="shared" si="3"/>
        <v>0</v>
      </c>
      <c r="G149" s="62"/>
      <c r="H149" s="62"/>
      <c r="I149" s="60"/>
      <c r="J149" s="60"/>
      <c r="K149" s="64"/>
      <c r="L149" s="64"/>
      <c r="M149" s="25"/>
      <c r="N149" s="25"/>
    </row>
    <row r="150" spans="1:14">
      <c r="A150" s="8" t="s">
        <v>258</v>
      </c>
      <c r="B150" s="4" t="s">
        <v>259</v>
      </c>
      <c r="C150" s="7">
        <f t="shared" si="4"/>
        <v>0</v>
      </c>
      <c r="D150" s="7"/>
      <c r="E150" s="6">
        <f t="shared" si="3"/>
        <v>0</v>
      </c>
      <c r="F150" s="6">
        <f t="shared" si="3"/>
        <v>0</v>
      </c>
      <c r="G150" s="62"/>
      <c r="H150" s="62"/>
      <c r="I150" s="60"/>
      <c r="J150" s="60"/>
      <c r="K150" s="64"/>
      <c r="L150" s="64"/>
      <c r="M150" s="25"/>
      <c r="N150" s="25"/>
    </row>
    <row r="151" spans="1:14" ht="28.5">
      <c r="A151" s="8" t="s">
        <v>260</v>
      </c>
      <c r="B151" s="4" t="s">
        <v>261</v>
      </c>
      <c r="C151" s="7">
        <f t="shared" si="4"/>
        <v>0</v>
      </c>
      <c r="D151" s="7"/>
      <c r="E151" s="6">
        <f t="shared" si="3"/>
        <v>0</v>
      </c>
      <c r="F151" s="6">
        <f t="shared" si="3"/>
        <v>0</v>
      </c>
      <c r="G151" s="62"/>
      <c r="H151" s="62"/>
      <c r="I151" s="60"/>
      <c r="J151" s="60"/>
      <c r="K151" s="64"/>
      <c r="L151" s="64"/>
      <c r="M151" s="25"/>
      <c r="N151" s="25"/>
    </row>
    <row r="152" spans="1:14">
      <c r="A152" s="8" t="s">
        <v>262</v>
      </c>
      <c r="B152" s="4" t="s">
        <v>263</v>
      </c>
      <c r="C152" s="7">
        <f t="shared" si="4"/>
        <v>0</v>
      </c>
      <c r="D152" s="7"/>
      <c r="E152" s="6">
        <f t="shared" si="3"/>
        <v>0</v>
      </c>
      <c r="F152" s="6">
        <f t="shared" si="3"/>
        <v>0</v>
      </c>
      <c r="G152" s="62"/>
      <c r="H152" s="62"/>
      <c r="I152" s="60"/>
      <c r="J152" s="60"/>
      <c r="K152" s="64"/>
      <c r="L152" s="64"/>
      <c r="M152" s="25"/>
      <c r="N152" s="25"/>
    </row>
    <row r="153" spans="1:14">
      <c r="A153" s="8" t="s">
        <v>264</v>
      </c>
      <c r="B153" s="4" t="s">
        <v>265</v>
      </c>
      <c r="C153" s="7">
        <f t="shared" si="4"/>
        <v>0</v>
      </c>
      <c r="D153" s="7"/>
      <c r="E153" s="6">
        <f t="shared" si="3"/>
        <v>0</v>
      </c>
      <c r="F153" s="6">
        <f t="shared" si="3"/>
        <v>0</v>
      </c>
      <c r="G153" s="62"/>
      <c r="H153" s="62"/>
      <c r="I153" s="60"/>
      <c r="J153" s="60"/>
      <c r="K153" s="64"/>
      <c r="L153" s="64"/>
      <c r="M153" s="25"/>
      <c r="N153" s="25"/>
    </row>
    <row r="154" spans="1:14" ht="28.5">
      <c r="A154" s="8" t="s">
        <v>266</v>
      </c>
      <c r="B154" s="4" t="s">
        <v>267</v>
      </c>
      <c r="C154" s="7">
        <f t="shared" si="4"/>
        <v>0</v>
      </c>
      <c r="D154" s="7"/>
      <c r="E154" s="6">
        <f t="shared" si="3"/>
        <v>0</v>
      </c>
      <c r="F154" s="6">
        <f t="shared" si="3"/>
        <v>0</v>
      </c>
      <c r="G154" s="62"/>
      <c r="H154" s="62"/>
      <c r="I154" s="60"/>
      <c r="J154" s="60"/>
      <c r="K154" s="64"/>
      <c r="L154" s="64"/>
      <c r="M154" s="25"/>
      <c r="N154" s="25"/>
    </row>
    <row r="155" spans="1:14">
      <c r="A155" s="8" t="s">
        <v>268</v>
      </c>
      <c r="B155" s="4" t="s">
        <v>269</v>
      </c>
      <c r="C155" s="7">
        <f t="shared" si="4"/>
        <v>0</v>
      </c>
      <c r="D155" s="7"/>
      <c r="E155" s="6">
        <f t="shared" si="3"/>
        <v>0</v>
      </c>
      <c r="F155" s="6">
        <f t="shared" si="3"/>
        <v>0</v>
      </c>
      <c r="G155" s="62"/>
      <c r="H155" s="62"/>
      <c r="I155" s="60"/>
      <c r="J155" s="60"/>
      <c r="K155" s="64"/>
      <c r="L155" s="64"/>
      <c r="M155" s="25"/>
      <c r="N155" s="25"/>
    </row>
    <row r="156" spans="1:14">
      <c r="A156" s="8" t="s">
        <v>270</v>
      </c>
      <c r="B156" s="4" t="s">
        <v>271</v>
      </c>
      <c r="C156" s="7">
        <f t="shared" si="4"/>
        <v>0</v>
      </c>
      <c r="D156" s="7"/>
      <c r="E156" s="6">
        <f t="shared" si="3"/>
        <v>0</v>
      </c>
      <c r="F156" s="6">
        <f t="shared" si="3"/>
        <v>0</v>
      </c>
      <c r="G156" s="62"/>
      <c r="H156" s="62"/>
      <c r="I156" s="60"/>
      <c r="J156" s="60"/>
      <c r="K156" s="64"/>
      <c r="L156" s="64"/>
      <c r="M156" s="25"/>
      <c r="N156" s="25"/>
    </row>
    <row r="157" spans="1:14">
      <c r="A157" s="8" t="s">
        <v>272</v>
      </c>
      <c r="B157" s="4" t="s">
        <v>273</v>
      </c>
      <c r="C157" s="7">
        <f t="shared" si="4"/>
        <v>0</v>
      </c>
      <c r="D157" s="7"/>
      <c r="E157" s="6">
        <f t="shared" si="3"/>
        <v>0</v>
      </c>
      <c r="F157" s="6">
        <f t="shared" si="3"/>
        <v>0</v>
      </c>
      <c r="G157" s="62"/>
      <c r="H157" s="62"/>
      <c r="I157" s="60"/>
      <c r="J157" s="60"/>
      <c r="K157" s="64"/>
      <c r="L157" s="64"/>
      <c r="M157" s="25"/>
      <c r="N157" s="25"/>
    </row>
    <row r="158" spans="1:14">
      <c r="A158" s="8" t="s">
        <v>274</v>
      </c>
      <c r="B158" s="4" t="s">
        <v>275</v>
      </c>
      <c r="C158" s="7">
        <f t="shared" si="4"/>
        <v>0</v>
      </c>
      <c r="D158" s="7"/>
      <c r="E158" s="6">
        <f t="shared" si="3"/>
        <v>0</v>
      </c>
      <c r="F158" s="6">
        <f t="shared" si="3"/>
        <v>0</v>
      </c>
      <c r="G158" s="62"/>
      <c r="H158" s="62"/>
      <c r="I158" s="60"/>
      <c r="J158" s="60"/>
      <c r="K158" s="64"/>
      <c r="L158" s="64"/>
      <c r="M158" s="25"/>
      <c r="N158" s="25"/>
    </row>
    <row r="159" spans="1:14" ht="28.5">
      <c r="A159" s="8" t="s">
        <v>276</v>
      </c>
      <c r="B159" s="4" t="s">
        <v>277</v>
      </c>
      <c r="C159" s="7">
        <f t="shared" si="4"/>
        <v>0</v>
      </c>
      <c r="D159" s="7"/>
      <c r="E159" s="6">
        <f t="shared" si="3"/>
        <v>0</v>
      </c>
      <c r="F159" s="6">
        <f t="shared" si="3"/>
        <v>0</v>
      </c>
      <c r="G159" s="62"/>
      <c r="H159" s="62"/>
      <c r="I159" s="60"/>
      <c r="J159" s="60"/>
      <c r="K159" s="64"/>
      <c r="L159" s="64"/>
      <c r="M159" s="25"/>
      <c r="N159" s="25"/>
    </row>
    <row r="160" spans="1:14" ht="28.5">
      <c r="A160" s="8" t="s">
        <v>278</v>
      </c>
      <c r="B160" s="4" t="s">
        <v>279</v>
      </c>
      <c r="C160" s="7">
        <f t="shared" si="4"/>
        <v>0</v>
      </c>
      <c r="D160" s="7"/>
      <c r="E160" s="6">
        <f t="shared" si="3"/>
        <v>0</v>
      </c>
      <c r="F160" s="6">
        <f t="shared" si="3"/>
        <v>0</v>
      </c>
      <c r="G160" s="62"/>
      <c r="H160" s="62"/>
      <c r="I160" s="60"/>
      <c r="J160" s="60"/>
      <c r="K160" s="64"/>
      <c r="L160" s="64"/>
      <c r="M160" s="25"/>
      <c r="N160" s="25"/>
    </row>
    <row r="161" spans="1:14" ht="28.5">
      <c r="A161" s="8" t="s">
        <v>280</v>
      </c>
      <c r="B161" s="4" t="s">
        <v>281</v>
      </c>
      <c r="C161" s="7">
        <f t="shared" si="4"/>
        <v>0</v>
      </c>
      <c r="D161" s="7"/>
      <c r="E161" s="6">
        <f t="shared" si="3"/>
        <v>0</v>
      </c>
      <c r="F161" s="6">
        <f t="shared" si="3"/>
        <v>0</v>
      </c>
      <c r="G161" s="62"/>
      <c r="H161" s="62"/>
      <c r="I161" s="60"/>
      <c r="J161" s="60"/>
      <c r="K161" s="64"/>
      <c r="L161" s="64"/>
      <c r="M161" s="25"/>
      <c r="N161" s="25"/>
    </row>
    <row r="162" spans="1:14" ht="28.5">
      <c r="A162" s="8" t="s">
        <v>282</v>
      </c>
      <c r="B162" s="4" t="s">
        <v>283</v>
      </c>
      <c r="C162" s="7">
        <f t="shared" si="4"/>
        <v>0</v>
      </c>
      <c r="D162" s="7"/>
      <c r="E162" s="6">
        <f t="shared" si="3"/>
        <v>0</v>
      </c>
      <c r="F162" s="6">
        <f t="shared" si="3"/>
        <v>0</v>
      </c>
      <c r="G162" s="62"/>
      <c r="H162" s="62"/>
      <c r="I162" s="60"/>
      <c r="J162" s="60"/>
      <c r="K162" s="64"/>
      <c r="L162" s="64"/>
      <c r="M162" s="25"/>
      <c r="N162" s="25"/>
    </row>
    <row r="163" spans="1:14" ht="28.5">
      <c r="A163" s="8" t="s">
        <v>284</v>
      </c>
      <c r="B163" s="4" t="s">
        <v>285</v>
      </c>
      <c r="C163" s="7">
        <f t="shared" si="4"/>
        <v>0</v>
      </c>
      <c r="D163" s="7"/>
      <c r="E163" s="6">
        <f t="shared" si="3"/>
        <v>0</v>
      </c>
      <c r="F163" s="6">
        <f t="shared" si="3"/>
        <v>0</v>
      </c>
      <c r="G163" s="62"/>
      <c r="H163" s="62"/>
      <c r="I163" s="60"/>
      <c r="J163" s="60"/>
      <c r="K163" s="64"/>
      <c r="L163" s="64"/>
      <c r="M163" s="25"/>
      <c r="N163" s="25"/>
    </row>
    <row r="164" spans="1:14">
      <c r="A164" s="8" t="s">
        <v>286</v>
      </c>
      <c r="B164" s="4" t="s">
        <v>287</v>
      </c>
      <c r="C164" s="7">
        <f t="shared" si="4"/>
        <v>0</v>
      </c>
      <c r="D164" s="7"/>
      <c r="E164" s="6">
        <f t="shared" si="3"/>
        <v>0</v>
      </c>
      <c r="F164" s="6">
        <f t="shared" si="3"/>
        <v>0</v>
      </c>
      <c r="G164" s="62"/>
      <c r="H164" s="62"/>
      <c r="I164" s="60"/>
      <c r="J164" s="60"/>
      <c r="K164" s="64"/>
      <c r="L164" s="64"/>
      <c r="M164" s="25"/>
      <c r="N164" s="25"/>
    </row>
    <row r="165" spans="1:14" ht="28.5">
      <c r="A165" s="8" t="s">
        <v>288</v>
      </c>
      <c r="B165" s="4" t="s">
        <v>289</v>
      </c>
      <c r="C165" s="7">
        <f t="shared" si="4"/>
        <v>0</v>
      </c>
      <c r="D165" s="7"/>
      <c r="E165" s="6">
        <f t="shared" si="3"/>
        <v>0</v>
      </c>
      <c r="F165" s="6">
        <f t="shared" si="3"/>
        <v>0</v>
      </c>
      <c r="G165" s="62"/>
      <c r="H165" s="62"/>
      <c r="I165" s="60"/>
      <c r="J165" s="60"/>
      <c r="K165" s="64"/>
      <c r="L165" s="64"/>
      <c r="M165" s="25"/>
      <c r="N165" s="25"/>
    </row>
    <row r="166" spans="1:14" ht="28.5">
      <c r="A166" s="8" t="s">
        <v>290</v>
      </c>
      <c r="B166" s="4" t="s">
        <v>291</v>
      </c>
      <c r="C166" s="7">
        <f t="shared" si="4"/>
        <v>0</v>
      </c>
      <c r="D166" s="7"/>
      <c r="E166" s="6">
        <f t="shared" si="3"/>
        <v>0</v>
      </c>
      <c r="F166" s="6">
        <f t="shared" si="3"/>
        <v>0</v>
      </c>
      <c r="G166" s="62"/>
      <c r="H166" s="62"/>
      <c r="I166" s="60"/>
      <c r="J166" s="60"/>
      <c r="K166" s="64"/>
      <c r="L166" s="64"/>
      <c r="M166" s="25"/>
      <c r="N166" s="25"/>
    </row>
    <row r="167" spans="1:14">
      <c r="A167" s="3" t="s">
        <v>292</v>
      </c>
      <c r="B167" s="4" t="s">
        <v>293</v>
      </c>
      <c r="C167" s="7">
        <f t="shared" si="4"/>
        <v>0</v>
      </c>
      <c r="D167" s="7"/>
      <c r="E167" s="6">
        <f t="shared" si="3"/>
        <v>0</v>
      </c>
      <c r="F167" s="6">
        <f t="shared" si="3"/>
        <v>0</v>
      </c>
      <c r="G167" s="62"/>
      <c r="H167" s="62"/>
      <c r="I167" s="60"/>
      <c r="J167" s="60"/>
      <c r="K167" s="64"/>
      <c r="L167" s="64"/>
      <c r="M167" s="25"/>
      <c r="N167" s="25"/>
    </row>
    <row r="168" spans="1:14">
      <c r="A168" s="3" t="s">
        <v>294</v>
      </c>
      <c r="B168" s="4" t="s">
        <v>295</v>
      </c>
      <c r="C168" s="7">
        <f t="shared" si="4"/>
        <v>0</v>
      </c>
      <c r="D168" s="7"/>
      <c r="E168" s="6">
        <f t="shared" si="3"/>
        <v>0</v>
      </c>
      <c r="F168" s="6">
        <f t="shared" si="3"/>
        <v>0</v>
      </c>
      <c r="G168" s="62"/>
      <c r="H168" s="62"/>
      <c r="I168" s="60"/>
      <c r="J168" s="60"/>
      <c r="K168" s="64"/>
      <c r="L168" s="64"/>
      <c r="M168" s="25"/>
      <c r="N168" s="25"/>
    </row>
    <row r="169" spans="1:14">
      <c r="A169" s="3" t="s">
        <v>296</v>
      </c>
      <c r="B169" s="10" t="s">
        <v>297</v>
      </c>
      <c r="C169" s="7">
        <f t="shared" si="4"/>
        <v>0</v>
      </c>
      <c r="D169" s="7"/>
      <c r="E169" s="6">
        <f t="shared" si="3"/>
        <v>0</v>
      </c>
      <c r="F169" s="6">
        <f t="shared" si="3"/>
        <v>0</v>
      </c>
      <c r="G169" s="62"/>
      <c r="H169" s="62"/>
      <c r="I169" s="60"/>
      <c r="J169" s="60"/>
      <c r="K169" s="64"/>
      <c r="L169" s="64"/>
      <c r="M169" s="25"/>
      <c r="N169" s="25"/>
    </row>
    <row r="170" spans="1:14">
      <c r="A170" s="3" t="s">
        <v>298</v>
      </c>
      <c r="B170" s="10" t="s">
        <v>299</v>
      </c>
      <c r="C170" s="7">
        <f t="shared" si="4"/>
        <v>0</v>
      </c>
      <c r="D170" s="7"/>
      <c r="E170" s="6">
        <f t="shared" si="3"/>
        <v>0</v>
      </c>
      <c r="F170" s="6">
        <f t="shared" si="3"/>
        <v>0</v>
      </c>
      <c r="G170" s="62"/>
      <c r="H170" s="62"/>
      <c r="I170" s="60"/>
      <c r="J170" s="60"/>
      <c r="K170" s="64"/>
      <c r="L170" s="64"/>
      <c r="M170" s="25"/>
      <c r="N170" s="25"/>
    </row>
    <row r="171" spans="1:14">
      <c r="A171" s="3" t="s">
        <v>300</v>
      </c>
      <c r="B171" s="10" t="s">
        <v>301</v>
      </c>
      <c r="C171" s="7">
        <f t="shared" si="4"/>
        <v>0</v>
      </c>
      <c r="D171" s="7"/>
      <c r="E171" s="6">
        <f t="shared" si="3"/>
        <v>0</v>
      </c>
      <c r="F171" s="6">
        <f t="shared" si="3"/>
        <v>0</v>
      </c>
      <c r="G171" s="62"/>
      <c r="H171" s="62"/>
      <c r="I171" s="60"/>
      <c r="J171" s="60"/>
      <c r="K171" s="64"/>
      <c r="L171" s="64"/>
      <c r="M171" s="25"/>
      <c r="N171" s="25"/>
    </row>
    <row r="172" spans="1:14">
      <c r="A172" s="3" t="s">
        <v>302</v>
      </c>
      <c r="B172" s="10" t="s">
        <v>303</v>
      </c>
      <c r="C172" s="7">
        <f t="shared" si="4"/>
        <v>0</v>
      </c>
      <c r="D172" s="7"/>
      <c r="E172" s="6">
        <f t="shared" si="3"/>
        <v>0</v>
      </c>
      <c r="F172" s="6">
        <f t="shared" si="3"/>
        <v>0</v>
      </c>
      <c r="G172" s="62"/>
      <c r="H172" s="62"/>
      <c r="I172" s="60"/>
      <c r="J172" s="60"/>
      <c r="K172" s="64"/>
      <c r="L172" s="64"/>
      <c r="M172" s="25"/>
      <c r="N172" s="25"/>
    </row>
    <row r="173" spans="1:14">
      <c r="A173" s="3" t="s">
        <v>304</v>
      </c>
      <c r="B173" s="10" t="s">
        <v>305</v>
      </c>
      <c r="C173" s="7">
        <f t="shared" si="4"/>
        <v>0</v>
      </c>
      <c r="D173" s="7"/>
      <c r="E173" s="6">
        <f t="shared" si="3"/>
        <v>0</v>
      </c>
      <c r="F173" s="6">
        <f t="shared" si="3"/>
        <v>0</v>
      </c>
      <c r="G173" s="62"/>
      <c r="H173" s="62"/>
      <c r="I173" s="60"/>
      <c r="J173" s="60"/>
      <c r="K173" s="64"/>
      <c r="L173" s="64"/>
      <c r="M173" s="25"/>
      <c r="N173" s="25"/>
    </row>
    <row r="174" spans="1:14">
      <c r="A174" s="3" t="s">
        <v>306</v>
      </c>
      <c r="B174" s="10" t="s">
        <v>307</v>
      </c>
      <c r="C174" s="7"/>
      <c r="D174" s="7">
        <f t="shared" ref="D174:D237" si="5">F174-E174</f>
        <v>0</v>
      </c>
      <c r="E174" s="6">
        <f t="shared" si="3"/>
        <v>0</v>
      </c>
      <c r="F174" s="6">
        <f t="shared" si="3"/>
        <v>0</v>
      </c>
      <c r="G174" s="62"/>
      <c r="H174" s="62"/>
      <c r="I174" s="60"/>
      <c r="J174" s="60"/>
      <c r="K174" s="64"/>
      <c r="L174" s="64"/>
      <c r="M174" s="25"/>
      <c r="N174" s="25"/>
    </row>
    <row r="175" spans="1:14">
      <c r="A175" s="3" t="s">
        <v>308</v>
      </c>
      <c r="B175" s="10" t="s">
        <v>309</v>
      </c>
      <c r="C175" s="7"/>
      <c r="D175" s="7">
        <f t="shared" si="5"/>
        <v>0</v>
      </c>
      <c r="E175" s="6">
        <f t="shared" si="3"/>
        <v>0</v>
      </c>
      <c r="F175" s="6">
        <f t="shared" si="3"/>
        <v>0</v>
      </c>
      <c r="G175" s="62"/>
      <c r="H175" s="62"/>
      <c r="I175" s="60"/>
      <c r="J175" s="60"/>
      <c r="K175" s="64"/>
      <c r="L175" s="64"/>
      <c r="M175" s="25"/>
      <c r="N175" s="25"/>
    </row>
    <row r="176" spans="1:14">
      <c r="A176" s="3" t="s">
        <v>310</v>
      </c>
      <c r="B176" s="10" t="s">
        <v>311</v>
      </c>
      <c r="C176" s="7"/>
      <c r="D176" s="7">
        <f t="shared" si="5"/>
        <v>0</v>
      </c>
      <c r="E176" s="6">
        <f t="shared" si="3"/>
        <v>0</v>
      </c>
      <c r="F176" s="6">
        <f t="shared" si="3"/>
        <v>0</v>
      </c>
      <c r="G176" s="62"/>
      <c r="H176" s="62"/>
      <c r="I176" s="60"/>
      <c r="J176" s="60"/>
      <c r="K176" s="64"/>
      <c r="L176" s="64"/>
      <c r="M176" s="25"/>
      <c r="N176" s="25"/>
    </row>
    <row r="177" spans="1:14">
      <c r="A177" s="3" t="s">
        <v>312</v>
      </c>
      <c r="B177" s="10" t="s">
        <v>313</v>
      </c>
      <c r="C177" s="7"/>
      <c r="D177" s="7">
        <f t="shared" si="5"/>
        <v>0</v>
      </c>
      <c r="E177" s="6">
        <f t="shared" si="3"/>
        <v>0</v>
      </c>
      <c r="F177" s="6">
        <f t="shared" si="3"/>
        <v>0</v>
      </c>
      <c r="G177" s="62"/>
      <c r="H177" s="62"/>
      <c r="I177" s="60"/>
      <c r="J177" s="60"/>
      <c r="K177" s="64"/>
      <c r="L177" s="64"/>
      <c r="M177" s="25"/>
      <c r="N177" s="25"/>
    </row>
    <row r="178" spans="1:14">
      <c r="A178" s="3" t="s">
        <v>314</v>
      </c>
      <c r="B178" s="10" t="s">
        <v>315</v>
      </c>
      <c r="C178" s="7"/>
      <c r="D178" s="7">
        <f t="shared" si="5"/>
        <v>0</v>
      </c>
      <c r="E178" s="6">
        <f t="shared" si="3"/>
        <v>0</v>
      </c>
      <c r="F178" s="6">
        <f t="shared" si="3"/>
        <v>0</v>
      </c>
      <c r="G178" s="62"/>
      <c r="H178" s="62"/>
      <c r="I178" s="60"/>
      <c r="J178" s="60"/>
      <c r="K178" s="64"/>
      <c r="L178" s="64"/>
      <c r="M178" s="25"/>
      <c r="N178" s="25"/>
    </row>
    <row r="179" spans="1:14">
      <c r="A179" s="3" t="s">
        <v>316</v>
      </c>
      <c r="B179" s="10" t="s">
        <v>317</v>
      </c>
      <c r="C179" s="7"/>
      <c r="D179" s="7">
        <f t="shared" si="5"/>
        <v>0</v>
      </c>
      <c r="E179" s="6">
        <f t="shared" si="3"/>
        <v>0</v>
      </c>
      <c r="F179" s="6">
        <f t="shared" si="3"/>
        <v>0</v>
      </c>
      <c r="G179" s="62"/>
      <c r="H179" s="62"/>
      <c r="I179" s="60"/>
      <c r="J179" s="60"/>
      <c r="K179" s="64"/>
      <c r="L179" s="64"/>
      <c r="M179" s="25"/>
      <c r="N179" s="25"/>
    </row>
    <row r="180" spans="1:14">
      <c r="A180" s="3" t="s">
        <v>318</v>
      </c>
      <c r="B180" s="10" t="s">
        <v>319</v>
      </c>
      <c r="C180" s="7"/>
      <c r="D180" s="7">
        <f t="shared" si="5"/>
        <v>0</v>
      </c>
      <c r="E180" s="6">
        <f t="shared" si="3"/>
        <v>0</v>
      </c>
      <c r="F180" s="6">
        <f t="shared" si="3"/>
        <v>0</v>
      </c>
      <c r="G180" s="62"/>
      <c r="H180" s="62"/>
      <c r="I180" s="60"/>
      <c r="J180" s="60"/>
      <c r="K180" s="64"/>
      <c r="L180" s="64"/>
      <c r="M180" s="25"/>
      <c r="N180" s="25"/>
    </row>
    <row r="181" spans="1:14">
      <c r="A181" s="3" t="s">
        <v>320</v>
      </c>
      <c r="B181" s="10" t="s">
        <v>321</v>
      </c>
      <c r="C181" s="7"/>
      <c r="D181" s="7">
        <f t="shared" si="5"/>
        <v>0</v>
      </c>
      <c r="E181" s="6">
        <f t="shared" si="3"/>
        <v>0</v>
      </c>
      <c r="F181" s="6">
        <f t="shared" si="3"/>
        <v>0</v>
      </c>
      <c r="G181" s="62"/>
      <c r="H181" s="62"/>
      <c r="I181" s="60"/>
      <c r="J181" s="60"/>
      <c r="K181" s="64"/>
      <c r="L181" s="64"/>
      <c r="M181" s="25"/>
      <c r="N181" s="25"/>
    </row>
    <row r="182" spans="1:14">
      <c r="A182" s="3" t="s">
        <v>322</v>
      </c>
      <c r="B182" s="10" t="s">
        <v>323</v>
      </c>
      <c r="C182" s="7"/>
      <c r="D182" s="7">
        <f t="shared" si="5"/>
        <v>0</v>
      </c>
      <c r="E182" s="6">
        <f t="shared" si="3"/>
        <v>0</v>
      </c>
      <c r="F182" s="6">
        <f t="shared" si="3"/>
        <v>0</v>
      </c>
      <c r="G182" s="62"/>
      <c r="H182" s="62"/>
      <c r="I182" s="60"/>
      <c r="J182" s="60"/>
      <c r="K182" s="64"/>
      <c r="L182" s="64"/>
      <c r="M182" s="25"/>
      <c r="N182" s="25"/>
    </row>
    <row r="183" spans="1:14">
      <c r="A183" s="3" t="s">
        <v>324</v>
      </c>
      <c r="B183" s="10" t="s">
        <v>325</v>
      </c>
      <c r="C183" s="7"/>
      <c r="D183" s="7">
        <f t="shared" si="5"/>
        <v>0</v>
      </c>
      <c r="E183" s="6">
        <f t="shared" si="3"/>
        <v>0</v>
      </c>
      <c r="F183" s="6">
        <f t="shared" si="3"/>
        <v>0</v>
      </c>
      <c r="G183" s="62"/>
      <c r="H183" s="62"/>
      <c r="I183" s="60"/>
      <c r="J183" s="60"/>
      <c r="K183" s="64"/>
      <c r="L183" s="64"/>
      <c r="M183" s="25"/>
      <c r="N183" s="25"/>
    </row>
    <row r="184" spans="1:14">
      <c r="A184" s="3" t="s">
        <v>326</v>
      </c>
      <c r="B184" s="10" t="s">
        <v>327</v>
      </c>
      <c r="C184" s="7"/>
      <c r="D184" s="7">
        <f t="shared" si="5"/>
        <v>0</v>
      </c>
      <c r="E184" s="6">
        <f t="shared" si="3"/>
        <v>0</v>
      </c>
      <c r="F184" s="6">
        <f t="shared" si="3"/>
        <v>0</v>
      </c>
      <c r="G184" s="62"/>
      <c r="H184" s="62"/>
      <c r="I184" s="60"/>
      <c r="J184" s="60"/>
      <c r="K184" s="64"/>
      <c r="L184" s="64"/>
      <c r="M184" s="25"/>
      <c r="N184" s="25"/>
    </row>
    <row r="185" spans="1:14">
      <c r="A185" s="3" t="s">
        <v>328</v>
      </c>
      <c r="B185" s="10" t="s">
        <v>329</v>
      </c>
      <c r="C185" s="7"/>
      <c r="D185" s="7">
        <f t="shared" si="5"/>
        <v>0</v>
      </c>
      <c r="E185" s="6">
        <f t="shared" si="3"/>
        <v>0</v>
      </c>
      <c r="F185" s="6">
        <f t="shared" si="3"/>
        <v>0</v>
      </c>
      <c r="G185" s="62"/>
      <c r="H185" s="62"/>
      <c r="I185" s="60"/>
      <c r="J185" s="60"/>
      <c r="K185" s="64"/>
      <c r="L185" s="64"/>
      <c r="M185" s="25"/>
      <c r="N185" s="25"/>
    </row>
    <row r="186" spans="1:14">
      <c r="A186" s="3" t="s">
        <v>330</v>
      </c>
      <c r="B186" s="10" t="s">
        <v>331</v>
      </c>
      <c r="C186" s="7"/>
      <c r="D186" s="7">
        <f t="shared" si="5"/>
        <v>0</v>
      </c>
      <c r="E186" s="6">
        <f t="shared" si="3"/>
        <v>0</v>
      </c>
      <c r="F186" s="6">
        <f t="shared" si="3"/>
        <v>0</v>
      </c>
      <c r="G186" s="62"/>
      <c r="H186" s="62"/>
      <c r="I186" s="60"/>
      <c r="J186" s="60"/>
      <c r="K186" s="64"/>
      <c r="L186" s="64"/>
      <c r="M186" s="25"/>
      <c r="N186" s="25"/>
    </row>
    <row r="187" spans="1:14">
      <c r="A187" s="3" t="s">
        <v>332</v>
      </c>
      <c r="B187" s="10" t="s">
        <v>333</v>
      </c>
      <c r="C187" s="5"/>
      <c r="D187" s="5">
        <f t="shared" si="5"/>
        <v>0</v>
      </c>
      <c r="E187" s="6">
        <f t="shared" si="3"/>
        <v>0</v>
      </c>
      <c r="F187" s="6">
        <f t="shared" si="3"/>
        <v>0</v>
      </c>
      <c r="G187" s="62"/>
      <c r="H187" s="62"/>
      <c r="I187" s="60"/>
      <c r="J187" s="60"/>
      <c r="K187" s="64"/>
      <c r="L187" s="64"/>
      <c r="M187" s="25"/>
      <c r="N187" s="25"/>
    </row>
    <row r="188" spans="1:14">
      <c r="A188" s="3" t="s">
        <v>334</v>
      </c>
      <c r="B188" s="10" t="s">
        <v>335</v>
      </c>
      <c r="C188" s="5"/>
      <c r="D188" s="5">
        <f t="shared" si="5"/>
        <v>0</v>
      </c>
      <c r="E188" s="6">
        <f t="shared" si="3"/>
        <v>0</v>
      </c>
      <c r="F188" s="6">
        <f t="shared" si="3"/>
        <v>0</v>
      </c>
      <c r="G188" s="62"/>
      <c r="H188" s="62"/>
      <c r="I188" s="60"/>
      <c r="J188" s="60"/>
      <c r="K188" s="64"/>
      <c r="L188" s="64"/>
      <c r="M188" s="25"/>
      <c r="N188" s="25"/>
    </row>
    <row r="189" spans="1:14">
      <c r="A189" s="3" t="s">
        <v>336</v>
      </c>
      <c r="B189" s="10" t="s">
        <v>337</v>
      </c>
      <c r="C189" s="5"/>
      <c r="D189" s="5">
        <f t="shared" si="5"/>
        <v>0</v>
      </c>
      <c r="E189" s="6">
        <f t="shared" si="3"/>
        <v>0</v>
      </c>
      <c r="F189" s="6">
        <f t="shared" si="3"/>
        <v>0</v>
      </c>
      <c r="G189" s="62"/>
      <c r="H189" s="62"/>
      <c r="I189" s="60"/>
      <c r="J189" s="60"/>
      <c r="K189" s="64"/>
      <c r="L189" s="64"/>
      <c r="M189" s="25"/>
      <c r="N189" s="25"/>
    </row>
    <row r="190" spans="1:14">
      <c r="A190" s="3" t="s">
        <v>338</v>
      </c>
      <c r="B190" s="10" t="s">
        <v>339</v>
      </c>
      <c r="C190" s="5"/>
      <c r="D190" s="5">
        <f t="shared" si="5"/>
        <v>0</v>
      </c>
      <c r="E190" s="6">
        <f t="shared" si="3"/>
        <v>0</v>
      </c>
      <c r="F190" s="6">
        <f t="shared" si="3"/>
        <v>0</v>
      </c>
      <c r="G190" s="62"/>
      <c r="H190" s="62"/>
      <c r="I190" s="60"/>
      <c r="J190" s="60"/>
      <c r="K190" s="64"/>
      <c r="L190" s="64"/>
      <c r="M190" s="25"/>
      <c r="N190" s="25"/>
    </row>
    <row r="191" spans="1:14">
      <c r="A191" s="3" t="s">
        <v>340</v>
      </c>
      <c r="B191" s="10" t="s">
        <v>341</v>
      </c>
      <c r="C191" s="5"/>
      <c r="D191" s="5">
        <f t="shared" si="5"/>
        <v>0</v>
      </c>
      <c r="E191" s="6">
        <f t="shared" si="3"/>
        <v>0</v>
      </c>
      <c r="F191" s="6">
        <f t="shared" si="3"/>
        <v>0</v>
      </c>
      <c r="G191" s="62"/>
      <c r="H191" s="62"/>
      <c r="I191" s="60"/>
      <c r="J191" s="60"/>
      <c r="K191" s="64"/>
      <c r="L191" s="64"/>
      <c r="M191" s="25"/>
      <c r="N191" s="25"/>
    </row>
    <row r="192" spans="1:14">
      <c r="A192" s="3" t="s">
        <v>342</v>
      </c>
      <c r="B192" s="10" t="s">
        <v>343</v>
      </c>
      <c r="C192" s="5"/>
      <c r="D192" s="5">
        <f t="shared" si="5"/>
        <v>0</v>
      </c>
      <c r="E192" s="6">
        <f t="shared" si="3"/>
        <v>0</v>
      </c>
      <c r="F192" s="6">
        <f t="shared" si="3"/>
        <v>0</v>
      </c>
      <c r="G192" s="62"/>
      <c r="H192" s="62"/>
      <c r="I192" s="60"/>
      <c r="J192" s="60"/>
      <c r="K192" s="64"/>
      <c r="L192" s="64"/>
      <c r="M192" s="25"/>
      <c r="N192" s="25"/>
    </row>
    <row r="193" spans="1:14">
      <c r="A193" s="3" t="s">
        <v>344</v>
      </c>
      <c r="B193" s="10" t="s">
        <v>345</v>
      </c>
      <c r="C193" s="5"/>
      <c r="D193" s="5">
        <f t="shared" si="5"/>
        <v>0</v>
      </c>
      <c r="E193" s="6">
        <f t="shared" si="3"/>
        <v>0</v>
      </c>
      <c r="F193" s="6">
        <f t="shared" si="3"/>
        <v>0</v>
      </c>
      <c r="G193" s="62"/>
      <c r="H193" s="62"/>
      <c r="I193" s="60"/>
      <c r="J193" s="60"/>
      <c r="K193" s="64"/>
      <c r="L193" s="64"/>
      <c r="M193" s="25"/>
      <c r="N193" s="25"/>
    </row>
    <row r="194" spans="1:14">
      <c r="A194" s="3" t="s">
        <v>346</v>
      </c>
      <c r="B194" s="10" t="s">
        <v>347</v>
      </c>
      <c r="C194" s="5"/>
      <c r="D194" s="5">
        <f t="shared" si="5"/>
        <v>0</v>
      </c>
      <c r="E194" s="6">
        <f t="shared" si="3"/>
        <v>0</v>
      </c>
      <c r="F194" s="6">
        <f t="shared" si="3"/>
        <v>0</v>
      </c>
      <c r="G194" s="62"/>
      <c r="H194" s="62"/>
      <c r="I194" s="60"/>
      <c r="J194" s="60"/>
      <c r="K194" s="64"/>
      <c r="L194" s="64"/>
      <c r="M194" s="25"/>
      <c r="N194" s="25"/>
    </row>
    <row r="195" spans="1:14">
      <c r="A195" s="3" t="s">
        <v>348</v>
      </c>
      <c r="B195" s="10" t="s">
        <v>349</v>
      </c>
      <c r="C195" s="5"/>
      <c r="D195" s="5">
        <f t="shared" si="5"/>
        <v>0</v>
      </c>
      <c r="E195" s="6">
        <f t="shared" si="3"/>
        <v>0</v>
      </c>
      <c r="F195" s="6">
        <f t="shared" si="3"/>
        <v>0</v>
      </c>
      <c r="G195" s="62"/>
      <c r="H195" s="62"/>
      <c r="I195" s="60"/>
      <c r="J195" s="60"/>
      <c r="K195" s="64"/>
      <c r="L195" s="64"/>
      <c r="M195" s="25"/>
      <c r="N195" s="25"/>
    </row>
    <row r="196" spans="1:14">
      <c r="A196" s="3" t="s">
        <v>350</v>
      </c>
      <c r="B196" s="10" t="s">
        <v>351</v>
      </c>
      <c r="C196" s="5"/>
      <c r="D196" s="5">
        <f t="shared" si="5"/>
        <v>0</v>
      </c>
      <c r="E196" s="6">
        <f t="shared" si="3"/>
        <v>0</v>
      </c>
      <c r="F196" s="6">
        <f t="shared" si="3"/>
        <v>0</v>
      </c>
      <c r="G196" s="62"/>
      <c r="H196" s="62"/>
      <c r="I196" s="60"/>
      <c r="J196" s="60"/>
      <c r="K196" s="64"/>
      <c r="L196" s="64"/>
      <c r="M196" s="25"/>
      <c r="N196" s="25"/>
    </row>
    <row r="197" spans="1:14">
      <c r="A197" s="3" t="s">
        <v>352</v>
      </c>
      <c r="B197" s="10" t="s">
        <v>353</v>
      </c>
      <c r="C197" s="5"/>
      <c r="D197" s="5">
        <f t="shared" si="5"/>
        <v>0</v>
      </c>
      <c r="E197" s="6">
        <f t="shared" si="3"/>
        <v>0</v>
      </c>
      <c r="F197" s="6">
        <f t="shared" si="3"/>
        <v>0</v>
      </c>
      <c r="G197" s="62"/>
      <c r="H197" s="62"/>
      <c r="I197" s="60"/>
      <c r="J197" s="60"/>
      <c r="K197" s="64"/>
      <c r="L197" s="64"/>
      <c r="M197" s="25"/>
      <c r="N197" s="25"/>
    </row>
    <row r="198" spans="1:14">
      <c r="A198" s="3" t="s">
        <v>354</v>
      </c>
      <c r="B198" s="10" t="s">
        <v>355</v>
      </c>
      <c r="C198" s="5"/>
      <c r="D198" s="5">
        <f t="shared" si="5"/>
        <v>0</v>
      </c>
      <c r="E198" s="6">
        <f t="shared" si="3"/>
        <v>0</v>
      </c>
      <c r="F198" s="6">
        <f t="shared" si="3"/>
        <v>0</v>
      </c>
      <c r="G198" s="62"/>
      <c r="H198" s="62"/>
      <c r="I198" s="60"/>
      <c r="J198" s="60"/>
      <c r="K198" s="64"/>
      <c r="L198" s="64"/>
      <c r="M198" s="25"/>
      <c r="N198" s="25"/>
    </row>
    <row r="199" spans="1:14">
      <c r="A199" s="3" t="s">
        <v>356</v>
      </c>
      <c r="B199" s="10" t="s">
        <v>357</v>
      </c>
      <c r="C199" s="5"/>
      <c r="D199" s="5">
        <f t="shared" si="5"/>
        <v>0</v>
      </c>
      <c r="E199" s="6">
        <f t="shared" si="3"/>
        <v>0</v>
      </c>
      <c r="F199" s="6">
        <f t="shared" si="3"/>
        <v>0</v>
      </c>
      <c r="G199" s="62"/>
      <c r="H199" s="62"/>
      <c r="I199" s="60"/>
      <c r="J199" s="60"/>
      <c r="K199" s="64"/>
      <c r="L199" s="64"/>
      <c r="M199" s="25"/>
      <c r="N199" s="25"/>
    </row>
    <row r="200" spans="1:14">
      <c r="A200" s="3" t="s">
        <v>358</v>
      </c>
      <c r="B200" s="10" t="s">
        <v>359</v>
      </c>
      <c r="C200" s="5"/>
      <c r="D200" s="5">
        <f t="shared" si="5"/>
        <v>0</v>
      </c>
      <c r="E200" s="6">
        <f t="shared" si="3"/>
        <v>0</v>
      </c>
      <c r="F200" s="6">
        <f t="shared" si="3"/>
        <v>0</v>
      </c>
      <c r="G200" s="62"/>
      <c r="H200" s="62"/>
      <c r="I200" s="60"/>
      <c r="J200" s="60"/>
      <c r="K200" s="64"/>
      <c r="L200" s="64"/>
      <c r="M200" s="25"/>
      <c r="N200" s="25"/>
    </row>
    <row r="201" spans="1:14">
      <c r="A201" s="3" t="s">
        <v>360</v>
      </c>
      <c r="B201" s="10" t="s">
        <v>361</v>
      </c>
      <c r="C201" s="5"/>
      <c r="D201" s="5">
        <f t="shared" si="5"/>
        <v>0</v>
      </c>
      <c r="E201" s="6">
        <f t="shared" si="3"/>
        <v>0</v>
      </c>
      <c r="F201" s="6">
        <f t="shared" si="3"/>
        <v>0</v>
      </c>
      <c r="G201" s="62"/>
      <c r="H201" s="62"/>
      <c r="I201" s="60"/>
      <c r="J201" s="60"/>
      <c r="K201" s="64"/>
      <c r="L201" s="64"/>
      <c r="M201" s="25"/>
      <c r="N201" s="25"/>
    </row>
    <row r="202" spans="1:14">
      <c r="A202" s="3" t="s">
        <v>362</v>
      </c>
      <c r="B202" s="10" t="s">
        <v>363</v>
      </c>
      <c r="C202" s="5"/>
      <c r="D202" s="5">
        <f t="shared" si="5"/>
        <v>0</v>
      </c>
      <c r="E202" s="6">
        <f t="shared" si="3"/>
        <v>0</v>
      </c>
      <c r="F202" s="6">
        <f t="shared" si="3"/>
        <v>0</v>
      </c>
      <c r="G202" s="62"/>
      <c r="H202" s="62"/>
      <c r="I202" s="60"/>
      <c r="J202" s="60"/>
      <c r="K202" s="64"/>
      <c r="L202" s="64"/>
      <c r="M202" s="25"/>
      <c r="N202" s="25"/>
    </row>
    <row r="203" spans="1:14">
      <c r="A203" s="3" t="s">
        <v>364</v>
      </c>
      <c r="B203" s="10" t="s">
        <v>365</v>
      </c>
      <c r="C203" s="5"/>
      <c r="D203" s="5">
        <f t="shared" si="5"/>
        <v>0</v>
      </c>
      <c r="E203" s="6">
        <f t="shared" si="3"/>
        <v>0</v>
      </c>
      <c r="F203" s="6">
        <f t="shared" si="3"/>
        <v>0</v>
      </c>
      <c r="G203" s="62"/>
      <c r="H203" s="62"/>
      <c r="I203" s="60"/>
      <c r="J203" s="60"/>
      <c r="K203" s="64"/>
      <c r="L203" s="64"/>
      <c r="M203" s="25"/>
      <c r="N203" s="25"/>
    </row>
    <row r="204" spans="1:14">
      <c r="A204" s="3" t="s">
        <v>366</v>
      </c>
      <c r="B204" s="10" t="s">
        <v>367</v>
      </c>
      <c r="C204" s="5"/>
      <c r="D204" s="5">
        <f t="shared" si="5"/>
        <v>0</v>
      </c>
      <c r="E204" s="6">
        <f t="shared" si="3"/>
        <v>0</v>
      </c>
      <c r="F204" s="6">
        <f t="shared" si="3"/>
        <v>0</v>
      </c>
      <c r="G204" s="62"/>
      <c r="H204" s="62"/>
      <c r="I204" s="60"/>
      <c r="J204" s="60"/>
      <c r="K204" s="64"/>
      <c r="L204" s="64"/>
      <c r="M204" s="25"/>
      <c r="N204" s="25"/>
    </row>
    <row r="205" spans="1:14">
      <c r="A205" s="3" t="s">
        <v>368</v>
      </c>
      <c r="B205" s="10" t="s">
        <v>369</v>
      </c>
      <c r="C205" s="5"/>
      <c r="D205" s="5">
        <f t="shared" si="5"/>
        <v>0</v>
      </c>
      <c r="E205" s="6">
        <f t="shared" si="3"/>
        <v>0</v>
      </c>
      <c r="F205" s="6">
        <f t="shared" si="3"/>
        <v>0</v>
      </c>
      <c r="G205" s="62"/>
      <c r="H205" s="62"/>
      <c r="I205" s="60"/>
      <c r="J205" s="60"/>
      <c r="K205" s="64"/>
      <c r="L205" s="64"/>
      <c r="M205" s="25"/>
      <c r="N205" s="25"/>
    </row>
    <row r="206" spans="1:14">
      <c r="A206" s="3" t="s">
        <v>370</v>
      </c>
      <c r="B206" s="10" t="s">
        <v>371</v>
      </c>
      <c r="C206" s="5"/>
      <c r="D206" s="5">
        <f t="shared" si="5"/>
        <v>0</v>
      </c>
      <c r="E206" s="6">
        <f t="shared" ref="E206:F269" si="6">SUM(G206,I206,K206,M206)</f>
        <v>0</v>
      </c>
      <c r="F206" s="6">
        <f t="shared" si="6"/>
        <v>0</v>
      </c>
      <c r="G206" s="62"/>
      <c r="H206" s="62"/>
      <c r="I206" s="60"/>
      <c r="J206" s="60"/>
      <c r="K206" s="64"/>
      <c r="L206" s="64"/>
      <c r="M206" s="25"/>
      <c r="N206" s="25"/>
    </row>
    <row r="207" spans="1:14">
      <c r="A207" s="3" t="s">
        <v>372</v>
      </c>
      <c r="B207" s="10" t="s">
        <v>373</v>
      </c>
      <c r="C207" s="5"/>
      <c r="D207" s="5">
        <f t="shared" si="5"/>
        <v>0</v>
      </c>
      <c r="E207" s="6">
        <f t="shared" si="6"/>
        <v>0</v>
      </c>
      <c r="F207" s="6">
        <f t="shared" si="6"/>
        <v>0</v>
      </c>
      <c r="G207" s="62"/>
      <c r="H207" s="62"/>
      <c r="I207" s="60"/>
      <c r="J207" s="60"/>
      <c r="K207" s="64"/>
      <c r="L207" s="64"/>
      <c r="M207" s="25"/>
      <c r="N207" s="25"/>
    </row>
    <row r="208" spans="1:14">
      <c r="A208" s="3" t="s">
        <v>374</v>
      </c>
      <c r="B208" s="10" t="s">
        <v>375</v>
      </c>
      <c r="C208" s="5"/>
      <c r="D208" s="5">
        <f t="shared" si="5"/>
        <v>0</v>
      </c>
      <c r="E208" s="6">
        <f t="shared" si="6"/>
        <v>0</v>
      </c>
      <c r="F208" s="6">
        <f t="shared" si="6"/>
        <v>0</v>
      </c>
      <c r="G208" s="62"/>
      <c r="H208" s="62"/>
      <c r="I208" s="60"/>
      <c r="J208" s="60"/>
      <c r="K208" s="64"/>
      <c r="L208" s="64"/>
      <c r="M208" s="25"/>
      <c r="N208" s="25"/>
    </row>
    <row r="209" spans="1:14">
      <c r="A209" s="3" t="s">
        <v>376</v>
      </c>
      <c r="B209" s="10" t="s">
        <v>377</v>
      </c>
      <c r="C209" s="5"/>
      <c r="D209" s="5">
        <f t="shared" si="5"/>
        <v>0</v>
      </c>
      <c r="E209" s="6">
        <f t="shared" si="6"/>
        <v>0</v>
      </c>
      <c r="F209" s="6">
        <f t="shared" si="6"/>
        <v>0</v>
      </c>
      <c r="G209" s="62"/>
      <c r="H209" s="62"/>
      <c r="I209" s="60"/>
      <c r="J209" s="60"/>
      <c r="K209" s="64"/>
      <c r="L209" s="64"/>
      <c r="M209" s="25"/>
      <c r="N209" s="25"/>
    </row>
    <row r="210" spans="1:14">
      <c r="A210" s="3" t="s">
        <v>378</v>
      </c>
      <c r="B210" s="10" t="s">
        <v>379</v>
      </c>
      <c r="C210" s="5"/>
      <c r="D210" s="5">
        <f t="shared" si="5"/>
        <v>0</v>
      </c>
      <c r="E210" s="6">
        <f t="shared" si="6"/>
        <v>0</v>
      </c>
      <c r="F210" s="6">
        <f t="shared" si="6"/>
        <v>0</v>
      </c>
      <c r="G210" s="62"/>
      <c r="H210" s="62"/>
      <c r="I210" s="60"/>
      <c r="J210" s="60"/>
      <c r="K210" s="64"/>
      <c r="L210" s="64"/>
      <c r="M210" s="25"/>
      <c r="N210" s="25"/>
    </row>
    <row r="211" spans="1:14">
      <c r="A211" s="3" t="s">
        <v>380</v>
      </c>
      <c r="B211" s="10" t="s">
        <v>381</v>
      </c>
      <c r="C211" s="5"/>
      <c r="D211" s="5">
        <f t="shared" si="5"/>
        <v>0</v>
      </c>
      <c r="E211" s="6">
        <f t="shared" si="6"/>
        <v>0</v>
      </c>
      <c r="F211" s="6">
        <f t="shared" si="6"/>
        <v>0</v>
      </c>
      <c r="G211" s="62"/>
      <c r="H211" s="62"/>
      <c r="I211" s="60"/>
      <c r="J211" s="60"/>
      <c r="K211" s="64"/>
      <c r="L211" s="64"/>
      <c r="M211" s="25"/>
      <c r="N211" s="25"/>
    </row>
    <row r="212" spans="1:14">
      <c r="A212" s="3" t="s">
        <v>382</v>
      </c>
      <c r="B212" s="10" t="s">
        <v>383</v>
      </c>
      <c r="C212" s="5"/>
      <c r="D212" s="5">
        <f t="shared" si="5"/>
        <v>0</v>
      </c>
      <c r="E212" s="6">
        <f t="shared" si="6"/>
        <v>0</v>
      </c>
      <c r="F212" s="6">
        <f t="shared" si="6"/>
        <v>0</v>
      </c>
      <c r="G212" s="62"/>
      <c r="H212" s="62"/>
      <c r="I212" s="60"/>
      <c r="J212" s="60"/>
      <c r="K212" s="64"/>
      <c r="L212" s="64"/>
      <c r="M212" s="25"/>
      <c r="N212" s="25"/>
    </row>
    <row r="213" spans="1:14">
      <c r="A213" s="3" t="s">
        <v>384</v>
      </c>
      <c r="B213" s="10" t="s">
        <v>385</v>
      </c>
      <c r="C213" s="5"/>
      <c r="D213" s="5">
        <f t="shared" si="5"/>
        <v>0</v>
      </c>
      <c r="E213" s="6">
        <f t="shared" si="6"/>
        <v>0</v>
      </c>
      <c r="F213" s="6">
        <f t="shared" si="6"/>
        <v>0</v>
      </c>
      <c r="G213" s="62"/>
      <c r="H213" s="62"/>
      <c r="I213" s="60"/>
      <c r="J213" s="60"/>
      <c r="K213" s="64"/>
      <c r="L213" s="64"/>
      <c r="M213" s="25"/>
      <c r="N213" s="25"/>
    </row>
    <row r="214" spans="1:14">
      <c r="A214" s="3" t="s">
        <v>386</v>
      </c>
      <c r="B214" s="10" t="s">
        <v>387</v>
      </c>
      <c r="C214" s="5"/>
      <c r="D214" s="5">
        <f t="shared" si="5"/>
        <v>0</v>
      </c>
      <c r="E214" s="6">
        <f t="shared" si="6"/>
        <v>0</v>
      </c>
      <c r="F214" s="6">
        <f t="shared" si="6"/>
        <v>0</v>
      </c>
      <c r="G214" s="62"/>
      <c r="H214" s="62"/>
      <c r="I214" s="60"/>
      <c r="J214" s="60"/>
      <c r="K214" s="64"/>
      <c r="L214" s="64"/>
      <c r="M214" s="25"/>
      <c r="N214" s="25"/>
    </row>
    <row r="215" spans="1:14">
      <c r="A215" s="3" t="s">
        <v>388</v>
      </c>
      <c r="B215" s="10" t="s">
        <v>389</v>
      </c>
      <c r="C215" s="5"/>
      <c r="D215" s="5">
        <f t="shared" si="5"/>
        <v>0</v>
      </c>
      <c r="E215" s="6">
        <f t="shared" si="6"/>
        <v>0</v>
      </c>
      <c r="F215" s="6">
        <f t="shared" si="6"/>
        <v>0</v>
      </c>
      <c r="G215" s="62"/>
      <c r="H215" s="62"/>
      <c r="I215" s="60"/>
      <c r="J215" s="60"/>
      <c r="K215" s="64"/>
      <c r="L215" s="64"/>
      <c r="M215" s="25"/>
      <c r="N215" s="25"/>
    </row>
    <row r="216" spans="1:14">
      <c r="A216" s="3" t="s">
        <v>390</v>
      </c>
      <c r="B216" s="10" t="s">
        <v>391</v>
      </c>
      <c r="C216" s="5"/>
      <c r="D216" s="5">
        <f t="shared" si="5"/>
        <v>0</v>
      </c>
      <c r="E216" s="6">
        <f t="shared" si="6"/>
        <v>0</v>
      </c>
      <c r="F216" s="6">
        <f t="shared" si="6"/>
        <v>0</v>
      </c>
      <c r="G216" s="62"/>
      <c r="H216" s="62"/>
      <c r="I216" s="60"/>
      <c r="J216" s="60"/>
      <c r="K216" s="64"/>
      <c r="L216" s="64"/>
      <c r="M216" s="25"/>
      <c r="N216" s="25"/>
    </row>
    <row r="217" spans="1:14">
      <c r="A217" s="3" t="s">
        <v>392</v>
      </c>
      <c r="B217" s="10" t="s">
        <v>393</v>
      </c>
      <c r="C217" s="5"/>
      <c r="D217" s="5">
        <f t="shared" si="5"/>
        <v>0</v>
      </c>
      <c r="E217" s="6">
        <f t="shared" si="6"/>
        <v>0</v>
      </c>
      <c r="F217" s="6">
        <f t="shared" si="6"/>
        <v>0</v>
      </c>
      <c r="G217" s="62"/>
      <c r="H217" s="62"/>
      <c r="I217" s="60"/>
      <c r="J217" s="60"/>
      <c r="K217" s="64"/>
      <c r="L217" s="64"/>
      <c r="M217" s="25"/>
      <c r="N217" s="25"/>
    </row>
    <row r="218" spans="1:14">
      <c r="A218" s="3" t="s">
        <v>394</v>
      </c>
      <c r="B218" s="10" t="s">
        <v>395</v>
      </c>
      <c r="C218" s="5"/>
      <c r="D218" s="5">
        <f t="shared" si="5"/>
        <v>0</v>
      </c>
      <c r="E218" s="6">
        <f t="shared" si="6"/>
        <v>0</v>
      </c>
      <c r="F218" s="6">
        <f t="shared" si="6"/>
        <v>0</v>
      </c>
      <c r="G218" s="62"/>
      <c r="H218" s="62"/>
      <c r="I218" s="60"/>
      <c r="J218" s="60"/>
      <c r="K218" s="64"/>
      <c r="L218" s="64"/>
      <c r="M218" s="25"/>
      <c r="N218" s="25"/>
    </row>
    <row r="219" spans="1:14">
      <c r="A219" s="3" t="s">
        <v>396</v>
      </c>
      <c r="B219" s="10" t="s">
        <v>397</v>
      </c>
      <c r="C219" s="5"/>
      <c r="D219" s="5">
        <f t="shared" si="5"/>
        <v>0</v>
      </c>
      <c r="E219" s="6">
        <f t="shared" si="6"/>
        <v>0</v>
      </c>
      <c r="F219" s="6">
        <f t="shared" si="6"/>
        <v>0</v>
      </c>
      <c r="G219" s="62"/>
      <c r="H219" s="62"/>
      <c r="I219" s="60"/>
      <c r="J219" s="60"/>
      <c r="K219" s="64"/>
      <c r="L219" s="64"/>
      <c r="M219" s="25"/>
      <c r="N219" s="25"/>
    </row>
    <row r="220" spans="1:14">
      <c r="A220" s="3" t="s">
        <v>398</v>
      </c>
      <c r="B220" s="10" t="s">
        <v>399</v>
      </c>
      <c r="C220" s="5"/>
      <c r="D220" s="5">
        <f t="shared" si="5"/>
        <v>0</v>
      </c>
      <c r="E220" s="6">
        <f t="shared" si="6"/>
        <v>0</v>
      </c>
      <c r="F220" s="6">
        <f t="shared" si="6"/>
        <v>0</v>
      </c>
      <c r="G220" s="62"/>
      <c r="H220" s="62"/>
      <c r="I220" s="60"/>
      <c r="J220" s="60"/>
      <c r="K220" s="64"/>
      <c r="L220" s="64"/>
      <c r="M220" s="25"/>
      <c r="N220" s="25"/>
    </row>
    <row r="221" spans="1:14">
      <c r="A221" s="3" t="s">
        <v>400</v>
      </c>
      <c r="B221" s="10" t="s">
        <v>401</v>
      </c>
      <c r="C221" s="5"/>
      <c r="D221" s="5">
        <f t="shared" si="5"/>
        <v>0</v>
      </c>
      <c r="E221" s="6">
        <f t="shared" si="6"/>
        <v>0</v>
      </c>
      <c r="F221" s="6">
        <f t="shared" si="6"/>
        <v>0</v>
      </c>
      <c r="G221" s="62"/>
      <c r="H221" s="62"/>
      <c r="I221" s="60"/>
      <c r="J221" s="60"/>
      <c r="K221" s="64"/>
      <c r="L221" s="64"/>
      <c r="M221" s="25"/>
      <c r="N221" s="25"/>
    </row>
    <row r="222" spans="1:14">
      <c r="A222" s="3" t="s">
        <v>402</v>
      </c>
      <c r="B222" s="10" t="s">
        <v>403</v>
      </c>
      <c r="C222" s="5"/>
      <c r="D222" s="5">
        <f t="shared" si="5"/>
        <v>0</v>
      </c>
      <c r="E222" s="6">
        <f t="shared" si="6"/>
        <v>0</v>
      </c>
      <c r="F222" s="6">
        <f t="shared" si="6"/>
        <v>0</v>
      </c>
      <c r="G222" s="62"/>
      <c r="H222" s="62"/>
      <c r="I222" s="60"/>
      <c r="J222" s="60"/>
      <c r="K222" s="64"/>
      <c r="L222" s="64"/>
      <c r="M222" s="25"/>
      <c r="N222" s="25"/>
    </row>
    <row r="223" spans="1:14">
      <c r="A223" s="3" t="s">
        <v>404</v>
      </c>
      <c r="B223" s="10" t="s">
        <v>405</v>
      </c>
      <c r="C223" s="5"/>
      <c r="D223" s="5">
        <f t="shared" si="5"/>
        <v>0</v>
      </c>
      <c r="E223" s="6">
        <f t="shared" si="6"/>
        <v>0</v>
      </c>
      <c r="F223" s="6">
        <f t="shared" si="6"/>
        <v>0</v>
      </c>
      <c r="G223" s="62"/>
      <c r="H223" s="62"/>
      <c r="I223" s="60"/>
      <c r="J223" s="60"/>
      <c r="K223" s="64"/>
      <c r="L223" s="64"/>
      <c r="M223" s="25"/>
      <c r="N223" s="25"/>
    </row>
    <row r="224" spans="1:14">
      <c r="A224" s="3" t="s">
        <v>406</v>
      </c>
      <c r="B224" s="10" t="s">
        <v>407</v>
      </c>
      <c r="C224" s="5"/>
      <c r="D224" s="5">
        <f t="shared" si="5"/>
        <v>0</v>
      </c>
      <c r="E224" s="6">
        <f t="shared" si="6"/>
        <v>0</v>
      </c>
      <c r="F224" s="6">
        <f t="shared" si="6"/>
        <v>0</v>
      </c>
      <c r="G224" s="62"/>
      <c r="H224" s="62"/>
      <c r="I224" s="60"/>
      <c r="J224" s="60"/>
      <c r="K224" s="64"/>
      <c r="L224" s="64"/>
      <c r="M224" s="25"/>
      <c r="N224" s="25"/>
    </row>
    <row r="225" spans="1:14">
      <c r="A225" s="3" t="s">
        <v>408</v>
      </c>
      <c r="B225" s="10" t="s">
        <v>409</v>
      </c>
      <c r="C225" s="5"/>
      <c r="D225" s="5">
        <f t="shared" si="5"/>
        <v>0</v>
      </c>
      <c r="E225" s="6">
        <f t="shared" si="6"/>
        <v>0</v>
      </c>
      <c r="F225" s="6">
        <f t="shared" si="6"/>
        <v>0</v>
      </c>
      <c r="G225" s="62"/>
      <c r="H225" s="62"/>
      <c r="I225" s="60"/>
      <c r="J225" s="60"/>
      <c r="K225" s="64"/>
      <c r="L225" s="64"/>
      <c r="M225" s="25"/>
      <c r="N225" s="25"/>
    </row>
    <row r="226" spans="1:14">
      <c r="A226" s="3" t="s">
        <v>410</v>
      </c>
      <c r="B226" s="10" t="s">
        <v>411</v>
      </c>
      <c r="C226" s="5"/>
      <c r="D226" s="5">
        <f t="shared" si="5"/>
        <v>0</v>
      </c>
      <c r="E226" s="6">
        <f t="shared" si="6"/>
        <v>0</v>
      </c>
      <c r="F226" s="6">
        <f t="shared" si="6"/>
        <v>0</v>
      </c>
      <c r="G226" s="62"/>
      <c r="H226" s="62"/>
      <c r="I226" s="60"/>
      <c r="J226" s="60"/>
      <c r="K226" s="64"/>
      <c r="L226" s="64"/>
      <c r="M226" s="25"/>
      <c r="N226" s="25"/>
    </row>
    <row r="227" spans="1:14">
      <c r="A227" s="3" t="s">
        <v>412</v>
      </c>
      <c r="B227" s="10" t="s">
        <v>413</v>
      </c>
      <c r="C227" s="5"/>
      <c r="D227" s="5">
        <f t="shared" si="5"/>
        <v>0</v>
      </c>
      <c r="E227" s="6">
        <f t="shared" si="6"/>
        <v>0</v>
      </c>
      <c r="F227" s="6">
        <f t="shared" si="6"/>
        <v>0</v>
      </c>
      <c r="G227" s="62"/>
      <c r="H227" s="62"/>
      <c r="I227" s="60"/>
      <c r="J227" s="60"/>
      <c r="K227" s="64"/>
      <c r="L227" s="64"/>
      <c r="M227" s="25"/>
      <c r="N227" s="25"/>
    </row>
    <row r="228" spans="1:14">
      <c r="A228" s="3" t="s">
        <v>414</v>
      </c>
      <c r="B228" s="10" t="s">
        <v>415</v>
      </c>
      <c r="C228" s="5"/>
      <c r="D228" s="5">
        <f t="shared" si="5"/>
        <v>0</v>
      </c>
      <c r="E228" s="6">
        <f t="shared" si="6"/>
        <v>0</v>
      </c>
      <c r="F228" s="6">
        <f t="shared" si="6"/>
        <v>0</v>
      </c>
      <c r="G228" s="62"/>
      <c r="H228" s="62"/>
      <c r="I228" s="60"/>
      <c r="J228" s="60"/>
      <c r="K228" s="64"/>
      <c r="L228" s="64"/>
      <c r="M228" s="25"/>
      <c r="N228" s="25"/>
    </row>
    <row r="229" spans="1:14">
      <c r="A229" s="3" t="s">
        <v>416</v>
      </c>
      <c r="B229" s="10" t="s">
        <v>417</v>
      </c>
      <c r="C229" s="5"/>
      <c r="D229" s="5">
        <f t="shared" si="5"/>
        <v>0</v>
      </c>
      <c r="E229" s="6">
        <f t="shared" si="6"/>
        <v>0</v>
      </c>
      <c r="F229" s="6">
        <f t="shared" si="6"/>
        <v>0</v>
      </c>
      <c r="G229" s="62"/>
      <c r="H229" s="62"/>
      <c r="I229" s="60"/>
      <c r="J229" s="60"/>
      <c r="K229" s="64"/>
      <c r="L229" s="64"/>
      <c r="M229" s="25"/>
      <c r="N229" s="25"/>
    </row>
    <row r="230" spans="1:14">
      <c r="A230" s="3" t="s">
        <v>418</v>
      </c>
      <c r="B230" s="10" t="s">
        <v>419</v>
      </c>
      <c r="C230" s="5"/>
      <c r="D230" s="5">
        <f t="shared" si="5"/>
        <v>0</v>
      </c>
      <c r="E230" s="6">
        <f t="shared" si="6"/>
        <v>0</v>
      </c>
      <c r="F230" s="6">
        <f t="shared" si="6"/>
        <v>0</v>
      </c>
      <c r="G230" s="62"/>
      <c r="H230" s="62"/>
      <c r="I230" s="60"/>
      <c r="J230" s="60"/>
      <c r="K230" s="64"/>
      <c r="L230" s="64"/>
      <c r="M230" s="25"/>
      <c r="N230" s="25"/>
    </row>
    <row r="231" spans="1:14">
      <c r="A231" s="3" t="s">
        <v>420</v>
      </c>
      <c r="B231" s="10" t="s">
        <v>421</v>
      </c>
      <c r="C231" s="5"/>
      <c r="D231" s="5">
        <f t="shared" si="5"/>
        <v>0</v>
      </c>
      <c r="E231" s="6">
        <f t="shared" si="6"/>
        <v>0</v>
      </c>
      <c r="F231" s="6">
        <f t="shared" si="6"/>
        <v>0</v>
      </c>
      <c r="G231" s="62"/>
      <c r="H231" s="62"/>
      <c r="I231" s="60"/>
      <c r="J231" s="60"/>
      <c r="K231" s="64"/>
      <c r="L231" s="64"/>
      <c r="M231" s="25"/>
      <c r="N231" s="25"/>
    </row>
    <row r="232" spans="1:14">
      <c r="A232" s="3" t="s">
        <v>422</v>
      </c>
      <c r="B232" s="10" t="s">
        <v>423</v>
      </c>
      <c r="C232" s="5"/>
      <c r="D232" s="5">
        <f t="shared" si="5"/>
        <v>0</v>
      </c>
      <c r="E232" s="6">
        <f t="shared" si="6"/>
        <v>0</v>
      </c>
      <c r="F232" s="6">
        <f t="shared" si="6"/>
        <v>0</v>
      </c>
      <c r="G232" s="62"/>
      <c r="H232" s="62"/>
      <c r="I232" s="60"/>
      <c r="J232" s="60"/>
      <c r="K232" s="64"/>
      <c r="L232" s="64"/>
      <c r="M232" s="25"/>
      <c r="N232" s="25"/>
    </row>
    <row r="233" spans="1:14">
      <c r="A233" s="3" t="s">
        <v>424</v>
      </c>
      <c r="B233" s="10" t="s">
        <v>425</v>
      </c>
      <c r="C233" s="5"/>
      <c r="D233" s="5">
        <f t="shared" si="5"/>
        <v>0</v>
      </c>
      <c r="E233" s="6">
        <f t="shared" si="6"/>
        <v>0</v>
      </c>
      <c r="F233" s="6">
        <f t="shared" si="6"/>
        <v>0</v>
      </c>
      <c r="G233" s="62"/>
      <c r="H233" s="62"/>
      <c r="I233" s="60"/>
      <c r="J233" s="60"/>
      <c r="K233" s="64"/>
      <c r="L233" s="64"/>
      <c r="M233" s="25"/>
      <c r="N233" s="25"/>
    </row>
    <row r="234" spans="1:14">
      <c r="A234" s="3" t="s">
        <v>426</v>
      </c>
      <c r="B234" s="10" t="s">
        <v>427</v>
      </c>
      <c r="C234" s="5"/>
      <c r="D234" s="5">
        <f t="shared" si="5"/>
        <v>0</v>
      </c>
      <c r="E234" s="6">
        <f t="shared" si="6"/>
        <v>0</v>
      </c>
      <c r="F234" s="6">
        <f t="shared" si="6"/>
        <v>0</v>
      </c>
      <c r="G234" s="62"/>
      <c r="H234" s="62"/>
      <c r="I234" s="60"/>
      <c r="J234" s="60"/>
      <c r="K234" s="64"/>
      <c r="L234" s="64"/>
      <c r="M234" s="25"/>
      <c r="N234" s="25"/>
    </row>
    <row r="235" spans="1:14">
      <c r="A235" s="3" t="s">
        <v>428</v>
      </c>
      <c r="B235" s="10" t="s">
        <v>429</v>
      </c>
      <c r="C235" s="5"/>
      <c r="D235" s="5">
        <f t="shared" si="5"/>
        <v>0</v>
      </c>
      <c r="E235" s="6">
        <f t="shared" si="6"/>
        <v>0</v>
      </c>
      <c r="F235" s="6">
        <f t="shared" si="6"/>
        <v>0</v>
      </c>
      <c r="G235" s="62"/>
      <c r="H235" s="62"/>
      <c r="I235" s="60"/>
      <c r="J235" s="60"/>
      <c r="K235" s="64"/>
      <c r="L235" s="64"/>
      <c r="M235" s="25"/>
      <c r="N235" s="25"/>
    </row>
    <row r="236" spans="1:14">
      <c r="A236" s="3" t="s">
        <v>430</v>
      </c>
      <c r="B236" s="10" t="s">
        <v>431</v>
      </c>
      <c r="C236" s="5"/>
      <c r="D236" s="5">
        <f t="shared" si="5"/>
        <v>0</v>
      </c>
      <c r="E236" s="6">
        <f t="shared" si="6"/>
        <v>0</v>
      </c>
      <c r="F236" s="6">
        <f t="shared" si="6"/>
        <v>0</v>
      </c>
      <c r="G236" s="62"/>
      <c r="H236" s="62"/>
      <c r="I236" s="60"/>
      <c r="J236" s="60"/>
      <c r="K236" s="64"/>
      <c r="L236" s="64"/>
      <c r="M236" s="25"/>
      <c r="N236" s="25"/>
    </row>
    <row r="237" spans="1:14">
      <c r="A237" s="3" t="s">
        <v>432</v>
      </c>
      <c r="B237" s="10" t="s">
        <v>433</v>
      </c>
      <c r="C237" s="5"/>
      <c r="D237" s="5">
        <f t="shared" si="5"/>
        <v>0</v>
      </c>
      <c r="E237" s="6">
        <f t="shared" si="6"/>
        <v>0</v>
      </c>
      <c r="F237" s="6">
        <f t="shared" si="6"/>
        <v>0</v>
      </c>
      <c r="G237" s="62"/>
      <c r="H237" s="62"/>
      <c r="I237" s="60"/>
      <c r="J237" s="60"/>
      <c r="K237" s="64"/>
      <c r="L237" s="64"/>
      <c r="M237" s="25"/>
      <c r="N237" s="25"/>
    </row>
    <row r="238" spans="1:14">
      <c r="A238" s="3" t="s">
        <v>434</v>
      </c>
      <c r="B238" s="10" t="s">
        <v>435</v>
      </c>
      <c r="C238" s="5"/>
      <c r="D238" s="5">
        <f t="shared" ref="D238:D280" si="7">F238-E238</f>
        <v>0</v>
      </c>
      <c r="E238" s="6">
        <f t="shared" si="6"/>
        <v>0</v>
      </c>
      <c r="F238" s="6">
        <f t="shared" si="6"/>
        <v>0</v>
      </c>
      <c r="G238" s="62"/>
      <c r="H238" s="62"/>
      <c r="I238" s="60"/>
      <c r="J238" s="60"/>
      <c r="K238" s="64"/>
      <c r="L238" s="64"/>
      <c r="M238" s="25"/>
      <c r="N238" s="25"/>
    </row>
    <row r="239" spans="1:14">
      <c r="A239" s="3" t="s">
        <v>436</v>
      </c>
      <c r="B239" s="10" t="s">
        <v>437</v>
      </c>
      <c r="C239" s="5"/>
      <c r="D239" s="5">
        <f t="shared" si="7"/>
        <v>0</v>
      </c>
      <c r="E239" s="6">
        <f t="shared" si="6"/>
        <v>0</v>
      </c>
      <c r="F239" s="6">
        <f t="shared" si="6"/>
        <v>0</v>
      </c>
      <c r="G239" s="62"/>
      <c r="H239" s="62"/>
      <c r="I239" s="60"/>
      <c r="J239" s="60"/>
      <c r="K239" s="64"/>
      <c r="L239" s="64"/>
      <c r="M239" s="25"/>
      <c r="N239" s="25"/>
    </row>
    <row r="240" spans="1:14">
      <c r="A240" s="3" t="s">
        <v>438</v>
      </c>
      <c r="B240" s="10" t="s">
        <v>439</v>
      </c>
      <c r="C240" s="5"/>
      <c r="D240" s="5">
        <f t="shared" si="7"/>
        <v>0</v>
      </c>
      <c r="E240" s="6">
        <f t="shared" si="6"/>
        <v>0</v>
      </c>
      <c r="F240" s="6">
        <f t="shared" si="6"/>
        <v>0</v>
      </c>
      <c r="G240" s="62"/>
      <c r="H240" s="62"/>
      <c r="I240" s="60"/>
      <c r="J240" s="60"/>
      <c r="K240" s="64"/>
      <c r="L240" s="64"/>
      <c r="M240" s="25"/>
      <c r="N240" s="25"/>
    </row>
    <row r="241" spans="1:14">
      <c r="A241" s="3" t="s">
        <v>440</v>
      </c>
      <c r="B241" s="10" t="s">
        <v>441</v>
      </c>
      <c r="C241" s="5"/>
      <c r="D241" s="5">
        <f t="shared" si="7"/>
        <v>0</v>
      </c>
      <c r="E241" s="6">
        <f t="shared" si="6"/>
        <v>0</v>
      </c>
      <c r="F241" s="6">
        <f t="shared" si="6"/>
        <v>0</v>
      </c>
      <c r="G241" s="62"/>
      <c r="H241" s="62"/>
      <c r="I241" s="60"/>
      <c r="J241" s="60"/>
      <c r="K241" s="64"/>
      <c r="L241" s="64"/>
      <c r="M241" s="25"/>
      <c r="N241" s="25"/>
    </row>
    <row r="242" spans="1:14">
      <c r="A242" s="3" t="s">
        <v>442</v>
      </c>
      <c r="B242" s="10" t="s">
        <v>443</v>
      </c>
      <c r="C242" s="5"/>
      <c r="D242" s="5">
        <f t="shared" si="7"/>
        <v>0</v>
      </c>
      <c r="E242" s="6">
        <f t="shared" si="6"/>
        <v>0</v>
      </c>
      <c r="F242" s="6">
        <f t="shared" si="6"/>
        <v>0</v>
      </c>
      <c r="G242" s="62"/>
      <c r="H242" s="62"/>
      <c r="I242" s="60"/>
      <c r="J242" s="60"/>
      <c r="K242" s="64"/>
      <c r="L242" s="64"/>
      <c r="M242" s="25"/>
      <c r="N242" s="25"/>
    </row>
    <row r="243" spans="1:14">
      <c r="A243" s="3" t="s">
        <v>444</v>
      </c>
      <c r="B243" s="10" t="s">
        <v>445</v>
      </c>
      <c r="C243" s="5"/>
      <c r="D243" s="5">
        <f t="shared" si="7"/>
        <v>0</v>
      </c>
      <c r="E243" s="6">
        <f t="shared" si="6"/>
        <v>0</v>
      </c>
      <c r="F243" s="6">
        <f t="shared" si="6"/>
        <v>0</v>
      </c>
      <c r="G243" s="62"/>
      <c r="H243" s="62"/>
      <c r="I243" s="60"/>
      <c r="J243" s="60"/>
      <c r="K243" s="64"/>
      <c r="L243" s="64"/>
      <c r="M243" s="25"/>
      <c r="N243" s="25"/>
    </row>
    <row r="244" spans="1:14">
      <c r="A244" s="3" t="s">
        <v>446</v>
      </c>
      <c r="B244" s="10" t="s">
        <v>447</v>
      </c>
      <c r="C244" s="5"/>
      <c r="D244" s="5">
        <f t="shared" si="7"/>
        <v>0</v>
      </c>
      <c r="E244" s="6">
        <f t="shared" si="6"/>
        <v>0</v>
      </c>
      <c r="F244" s="6">
        <f t="shared" si="6"/>
        <v>0</v>
      </c>
      <c r="G244" s="62"/>
      <c r="H244" s="62"/>
      <c r="I244" s="60"/>
      <c r="J244" s="60"/>
      <c r="K244" s="64"/>
      <c r="L244" s="64"/>
      <c r="M244" s="25"/>
      <c r="N244" s="25"/>
    </row>
    <row r="245" spans="1:14">
      <c r="A245" s="3" t="s">
        <v>448</v>
      </c>
      <c r="B245" s="10" t="s">
        <v>449</v>
      </c>
      <c r="C245" s="5"/>
      <c r="D245" s="5">
        <f t="shared" si="7"/>
        <v>0</v>
      </c>
      <c r="E245" s="6">
        <f t="shared" si="6"/>
        <v>0</v>
      </c>
      <c r="F245" s="6">
        <f t="shared" si="6"/>
        <v>0</v>
      </c>
      <c r="G245" s="62"/>
      <c r="H245" s="62"/>
      <c r="I245" s="60"/>
      <c r="J245" s="60"/>
      <c r="K245" s="64"/>
      <c r="L245" s="64"/>
      <c r="M245" s="25"/>
      <c r="N245" s="25"/>
    </row>
    <row r="246" spans="1:14">
      <c r="A246" s="3" t="s">
        <v>450</v>
      </c>
      <c r="B246" s="10" t="s">
        <v>451</v>
      </c>
      <c r="C246" s="5"/>
      <c r="D246" s="5">
        <f t="shared" si="7"/>
        <v>0</v>
      </c>
      <c r="E246" s="6">
        <f t="shared" si="6"/>
        <v>0</v>
      </c>
      <c r="F246" s="6">
        <f t="shared" si="6"/>
        <v>0</v>
      </c>
      <c r="G246" s="62"/>
      <c r="H246" s="62"/>
      <c r="I246" s="60"/>
      <c r="J246" s="60"/>
      <c r="K246" s="64"/>
      <c r="L246" s="64"/>
      <c r="M246" s="25"/>
      <c r="N246" s="25"/>
    </row>
    <row r="247" spans="1:14">
      <c r="A247" s="3" t="s">
        <v>452</v>
      </c>
      <c r="B247" s="10" t="s">
        <v>453</v>
      </c>
      <c r="C247" s="5"/>
      <c r="D247" s="5">
        <f t="shared" si="7"/>
        <v>0</v>
      </c>
      <c r="E247" s="6">
        <f t="shared" si="6"/>
        <v>0</v>
      </c>
      <c r="F247" s="6">
        <f t="shared" si="6"/>
        <v>0</v>
      </c>
      <c r="G247" s="62"/>
      <c r="H247" s="62"/>
      <c r="I247" s="60"/>
      <c r="J247" s="60"/>
      <c r="K247" s="64"/>
      <c r="L247" s="64"/>
      <c r="M247" s="25"/>
      <c r="N247" s="25"/>
    </row>
    <row r="248" spans="1:14">
      <c r="A248" s="3" t="s">
        <v>454</v>
      </c>
      <c r="B248" s="10" t="s">
        <v>455</v>
      </c>
      <c r="C248" s="5"/>
      <c r="D248" s="5">
        <f t="shared" si="7"/>
        <v>0</v>
      </c>
      <c r="E248" s="6">
        <f t="shared" si="6"/>
        <v>0</v>
      </c>
      <c r="F248" s="6">
        <f t="shared" si="6"/>
        <v>0</v>
      </c>
      <c r="G248" s="62"/>
      <c r="H248" s="62"/>
      <c r="I248" s="60"/>
      <c r="J248" s="60"/>
      <c r="K248" s="64"/>
      <c r="L248" s="64"/>
      <c r="M248" s="25"/>
      <c r="N248" s="25"/>
    </row>
    <row r="249" spans="1:14">
      <c r="A249" s="3" t="s">
        <v>456</v>
      </c>
      <c r="B249" s="10" t="s">
        <v>457</v>
      </c>
      <c r="C249" s="5"/>
      <c r="D249" s="5">
        <f t="shared" si="7"/>
        <v>0</v>
      </c>
      <c r="E249" s="6">
        <f t="shared" si="6"/>
        <v>0</v>
      </c>
      <c r="F249" s="6">
        <f t="shared" si="6"/>
        <v>0</v>
      </c>
      <c r="G249" s="62"/>
      <c r="H249" s="62"/>
      <c r="I249" s="60"/>
      <c r="J249" s="60"/>
      <c r="K249" s="64"/>
      <c r="L249" s="64"/>
      <c r="M249" s="25"/>
      <c r="N249" s="25"/>
    </row>
    <row r="250" spans="1:14">
      <c r="A250" s="3" t="s">
        <v>458</v>
      </c>
      <c r="B250" s="10" t="s">
        <v>459</v>
      </c>
      <c r="C250" s="5"/>
      <c r="D250" s="5">
        <f t="shared" si="7"/>
        <v>0</v>
      </c>
      <c r="E250" s="6">
        <f t="shared" si="6"/>
        <v>0</v>
      </c>
      <c r="F250" s="6">
        <f t="shared" si="6"/>
        <v>0</v>
      </c>
      <c r="G250" s="62"/>
      <c r="H250" s="62"/>
      <c r="I250" s="60"/>
      <c r="J250" s="60"/>
      <c r="K250" s="64"/>
      <c r="L250" s="64"/>
      <c r="M250" s="25"/>
      <c r="N250" s="25"/>
    </row>
    <row r="251" spans="1:14">
      <c r="A251" s="3" t="s">
        <v>460</v>
      </c>
      <c r="B251" s="10" t="s">
        <v>461</v>
      </c>
      <c r="C251" s="5"/>
      <c r="D251" s="5">
        <f t="shared" si="7"/>
        <v>0</v>
      </c>
      <c r="E251" s="6">
        <f t="shared" si="6"/>
        <v>0</v>
      </c>
      <c r="F251" s="6">
        <f t="shared" si="6"/>
        <v>0</v>
      </c>
      <c r="G251" s="62"/>
      <c r="H251" s="62"/>
      <c r="I251" s="60"/>
      <c r="J251" s="60"/>
      <c r="K251" s="64"/>
      <c r="L251" s="64"/>
      <c r="M251" s="25"/>
      <c r="N251" s="25"/>
    </row>
    <row r="252" spans="1:14">
      <c r="A252" s="3" t="s">
        <v>462</v>
      </c>
      <c r="B252" s="10" t="s">
        <v>463</v>
      </c>
      <c r="C252" s="5"/>
      <c r="D252" s="5">
        <f t="shared" si="7"/>
        <v>0</v>
      </c>
      <c r="E252" s="6">
        <f t="shared" si="6"/>
        <v>0</v>
      </c>
      <c r="F252" s="6">
        <f t="shared" si="6"/>
        <v>0</v>
      </c>
      <c r="G252" s="62"/>
      <c r="H252" s="62"/>
      <c r="I252" s="60"/>
      <c r="J252" s="60"/>
      <c r="K252" s="64"/>
      <c r="L252" s="64"/>
      <c r="M252" s="25"/>
      <c r="N252" s="25"/>
    </row>
    <row r="253" spans="1:14">
      <c r="A253" s="3" t="s">
        <v>464</v>
      </c>
      <c r="B253" s="10" t="s">
        <v>465</v>
      </c>
      <c r="C253" s="5"/>
      <c r="D253" s="5">
        <f t="shared" si="7"/>
        <v>0</v>
      </c>
      <c r="E253" s="6">
        <f t="shared" si="6"/>
        <v>0</v>
      </c>
      <c r="F253" s="6">
        <f t="shared" si="6"/>
        <v>0</v>
      </c>
      <c r="G253" s="62"/>
      <c r="H253" s="62"/>
      <c r="I253" s="60"/>
      <c r="J253" s="60"/>
      <c r="K253" s="64"/>
      <c r="L253" s="64"/>
      <c r="M253" s="25"/>
      <c r="N253" s="25"/>
    </row>
    <row r="254" spans="1:14">
      <c r="A254" s="3" t="s">
        <v>466</v>
      </c>
      <c r="B254" s="10" t="s">
        <v>467</v>
      </c>
      <c r="C254" s="5"/>
      <c r="D254" s="5">
        <f t="shared" si="7"/>
        <v>0</v>
      </c>
      <c r="E254" s="6">
        <f t="shared" si="6"/>
        <v>0</v>
      </c>
      <c r="F254" s="6">
        <f t="shared" si="6"/>
        <v>0</v>
      </c>
      <c r="G254" s="62"/>
      <c r="H254" s="62"/>
      <c r="I254" s="60"/>
      <c r="J254" s="60"/>
      <c r="K254" s="64"/>
      <c r="L254" s="64"/>
      <c r="M254" s="25"/>
      <c r="N254" s="25"/>
    </row>
    <row r="255" spans="1:14">
      <c r="A255" s="3" t="s">
        <v>468</v>
      </c>
      <c r="B255" s="10" t="s">
        <v>469</v>
      </c>
      <c r="C255" s="5"/>
      <c r="D255" s="5">
        <f t="shared" si="7"/>
        <v>0</v>
      </c>
      <c r="E255" s="6">
        <f t="shared" si="6"/>
        <v>0</v>
      </c>
      <c r="F255" s="6">
        <f t="shared" si="6"/>
        <v>0</v>
      </c>
      <c r="G255" s="62"/>
      <c r="H255" s="62"/>
      <c r="I255" s="60"/>
      <c r="J255" s="60"/>
      <c r="K255" s="64"/>
      <c r="L255" s="64"/>
      <c r="M255" s="25"/>
      <c r="N255" s="25"/>
    </row>
    <row r="256" spans="1:14">
      <c r="A256" s="3" t="s">
        <v>470</v>
      </c>
      <c r="B256" s="10" t="s">
        <v>471</v>
      </c>
      <c r="C256" s="5"/>
      <c r="D256" s="5">
        <f t="shared" si="7"/>
        <v>0</v>
      </c>
      <c r="E256" s="6">
        <f t="shared" si="6"/>
        <v>0</v>
      </c>
      <c r="F256" s="6">
        <f t="shared" si="6"/>
        <v>0</v>
      </c>
      <c r="G256" s="62"/>
      <c r="H256" s="62"/>
      <c r="I256" s="60"/>
      <c r="J256" s="60"/>
      <c r="K256" s="64"/>
      <c r="L256" s="64"/>
      <c r="M256" s="25"/>
      <c r="N256" s="25"/>
    </row>
    <row r="257" spans="1:14">
      <c r="A257" s="3" t="s">
        <v>472</v>
      </c>
      <c r="B257" s="10" t="s">
        <v>473</v>
      </c>
      <c r="C257" s="5"/>
      <c r="D257" s="5">
        <f t="shared" si="7"/>
        <v>0</v>
      </c>
      <c r="E257" s="6">
        <f t="shared" si="6"/>
        <v>0</v>
      </c>
      <c r="F257" s="6">
        <f t="shared" si="6"/>
        <v>0</v>
      </c>
      <c r="G257" s="62"/>
      <c r="H257" s="62"/>
      <c r="I257" s="60"/>
      <c r="J257" s="60"/>
      <c r="K257" s="64"/>
      <c r="L257" s="64"/>
      <c r="M257" s="25"/>
      <c r="N257" s="25"/>
    </row>
    <row r="258" spans="1:14">
      <c r="A258" s="3" t="s">
        <v>474</v>
      </c>
      <c r="B258" s="10" t="s">
        <v>475</v>
      </c>
      <c r="C258" s="5"/>
      <c r="D258" s="5">
        <f t="shared" si="7"/>
        <v>0</v>
      </c>
      <c r="E258" s="6">
        <f t="shared" si="6"/>
        <v>0</v>
      </c>
      <c r="F258" s="6">
        <f t="shared" si="6"/>
        <v>0</v>
      </c>
      <c r="G258" s="62"/>
      <c r="H258" s="62"/>
      <c r="I258" s="60"/>
      <c r="J258" s="60"/>
      <c r="K258" s="64"/>
      <c r="L258" s="64"/>
      <c r="M258" s="25"/>
      <c r="N258" s="25"/>
    </row>
    <row r="259" spans="1:14">
      <c r="A259" s="3" t="s">
        <v>476</v>
      </c>
      <c r="B259" s="10" t="s">
        <v>477</v>
      </c>
      <c r="C259" s="5"/>
      <c r="D259" s="5">
        <f t="shared" si="7"/>
        <v>0</v>
      </c>
      <c r="E259" s="6">
        <f t="shared" si="6"/>
        <v>0</v>
      </c>
      <c r="F259" s="6">
        <f t="shared" si="6"/>
        <v>0</v>
      </c>
      <c r="G259" s="62"/>
      <c r="H259" s="62"/>
      <c r="I259" s="60"/>
      <c r="J259" s="60"/>
      <c r="K259" s="64"/>
      <c r="L259" s="64"/>
      <c r="M259" s="25"/>
      <c r="N259" s="25"/>
    </row>
    <row r="260" spans="1:14">
      <c r="A260" s="3" t="s">
        <v>478</v>
      </c>
      <c r="B260" s="10" t="s">
        <v>479</v>
      </c>
      <c r="C260" s="5"/>
      <c r="D260" s="5">
        <f t="shared" si="7"/>
        <v>0</v>
      </c>
      <c r="E260" s="6">
        <f t="shared" si="6"/>
        <v>0</v>
      </c>
      <c r="F260" s="6">
        <f t="shared" si="6"/>
        <v>0</v>
      </c>
      <c r="G260" s="62"/>
      <c r="H260" s="62"/>
      <c r="I260" s="60"/>
      <c r="J260" s="60"/>
      <c r="K260" s="64"/>
      <c r="L260" s="64"/>
      <c r="M260" s="25"/>
      <c r="N260" s="25"/>
    </row>
    <row r="261" spans="1:14">
      <c r="A261" s="3" t="s">
        <v>480</v>
      </c>
      <c r="B261" s="10" t="s">
        <v>481</v>
      </c>
      <c r="C261" s="5"/>
      <c r="D261" s="5">
        <f t="shared" si="7"/>
        <v>0</v>
      </c>
      <c r="E261" s="6">
        <f t="shared" si="6"/>
        <v>0</v>
      </c>
      <c r="F261" s="6">
        <f t="shared" si="6"/>
        <v>0</v>
      </c>
      <c r="G261" s="62"/>
      <c r="H261" s="62"/>
      <c r="I261" s="60"/>
      <c r="J261" s="60"/>
      <c r="K261" s="64"/>
      <c r="L261" s="64"/>
      <c r="M261" s="25"/>
      <c r="N261" s="25"/>
    </row>
    <row r="262" spans="1:14">
      <c r="A262" s="3" t="s">
        <v>482</v>
      </c>
      <c r="B262" s="10" t="s">
        <v>483</v>
      </c>
      <c r="C262" s="5"/>
      <c r="D262" s="5">
        <f t="shared" si="7"/>
        <v>0</v>
      </c>
      <c r="E262" s="6">
        <f t="shared" si="6"/>
        <v>0</v>
      </c>
      <c r="F262" s="6">
        <f t="shared" si="6"/>
        <v>0</v>
      </c>
      <c r="G262" s="62"/>
      <c r="H262" s="62"/>
      <c r="I262" s="60"/>
      <c r="J262" s="60"/>
      <c r="K262" s="64"/>
      <c r="L262" s="64"/>
      <c r="M262" s="25"/>
      <c r="N262" s="25"/>
    </row>
    <row r="263" spans="1:14">
      <c r="A263" s="3" t="s">
        <v>484</v>
      </c>
      <c r="B263" s="10" t="s">
        <v>485</v>
      </c>
      <c r="C263" s="5"/>
      <c r="D263" s="5">
        <f t="shared" si="7"/>
        <v>0</v>
      </c>
      <c r="E263" s="6">
        <f t="shared" si="6"/>
        <v>0</v>
      </c>
      <c r="F263" s="6">
        <f t="shared" si="6"/>
        <v>0</v>
      </c>
      <c r="G263" s="62"/>
      <c r="H263" s="62"/>
      <c r="I263" s="60"/>
      <c r="J263" s="60"/>
      <c r="K263" s="64"/>
      <c r="L263" s="64"/>
      <c r="M263" s="25"/>
      <c r="N263" s="25"/>
    </row>
    <row r="264" spans="1:14">
      <c r="A264" s="3" t="s">
        <v>486</v>
      </c>
      <c r="B264" s="10" t="s">
        <v>487</v>
      </c>
      <c r="C264" s="5"/>
      <c r="D264" s="5">
        <f t="shared" si="7"/>
        <v>0</v>
      </c>
      <c r="E264" s="6">
        <f t="shared" si="6"/>
        <v>0</v>
      </c>
      <c r="F264" s="6">
        <f t="shared" si="6"/>
        <v>0</v>
      </c>
      <c r="G264" s="62"/>
      <c r="H264" s="62"/>
      <c r="I264" s="60"/>
      <c r="J264" s="60"/>
      <c r="K264" s="64"/>
      <c r="L264" s="64"/>
      <c r="M264" s="25"/>
      <c r="N264" s="25"/>
    </row>
    <row r="265" spans="1:14">
      <c r="A265" s="3" t="s">
        <v>488</v>
      </c>
      <c r="B265" s="10" t="s">
        <v>489</v>
      </c>
      <c r="C265" s="5"/>
      <c r="D265" s="5">
        <f t="shared" si="7"/>
        <v>0</v>
      </c>
      <c r="E265" s="6">
        <f t="shared" si="6"/>
        <v>0</v>
      </c>
      <c r="F265" s="6">
        <f t="shared" si="6"/>
        <v>0</v>
      </c>
      <c r="G265" s="62"/>
      <c r="H265" s="62"/>
      <c r="I265" s="60"/>
      <c r="J265" s="60"/>
      <c r="K265" s="64"/>
      <c r="L265" s="64"/>
      <c r="M265" s="25"/>
      <c r="N265" s="25"/>
    </row>
    <row r="266" spans="1:14">
      <c r="A266" s="3" t="s">
        <v>490</v>
      </c>
      <c r="B266" s="10" t="s">
        <v>491</v>
      </c>
      <c r="C266" s="5"/>
      <c r="D266" s="5">
        <f t="shared" si="7"/>
        <v>0</v>
      </c>
      <c r="E266" s="6">
        <f t="shared" si="6"/>
        <v>0</v>
      </c>
      <c r="F266" s="6">
        <f t="shared" si="6"/>
        <v>0</v>
      </c>
      <c r="G266" s="62"/>
      <c r="H266" s="62"/>
      <c r="I266" s="60"/>
      <c r="J266" s="60"/>
      <c r="K266" s="64"/>
      <c r="L266" s="64"/>
      <c r="M266" s="25"/>
      <c r="N266" s="25"/>
    </row>
    <row r="267" spans="1:14">
      <c r="A267" s="3" t="s">
        <v>492</v>
      </c>
      <c r="B267" s="10" t="s">
        <v>493</v>
      </c>
      <c r="C267" s="5"/>
      <c r="D267" s="5">
        <f t="shared" si="7"/>
        <v>0</v>
      </c>
      <c r="E267" s="6">
        <f t="shared" si="6"/>
        <v>0</v>
      </c>
      <c r="F267" s="6">
        <f t="shared" si="6"/>
        <v>0</v>
      </c>
      <c r="G267" s="62"/>
      <c r="H267" s="62"/>
      <c r="I267" s="60"/>
      <c r="J267" s="60"/>
      <c r="K267" s="64"/>
      <c r="L267" s="64"/>
      <c r="M267" s="25"/>
      <c r="N267" s="25"/>
    </row>
    <row r="268" spans="1:14">
      <c r="A268" s="3" t="s">
        <v>494</v>
      </c>
      <c r="B268" s="10" t="s">
        <v>495</v>
      </c>
      <c r="C268" s="5"/>
      <c r="D268" s="5">
        <f t="shared" si="7"/>
        <v>0</v>
      </c>
      <c r="E268" s="6">
        <f t="shared" si="6"/>
        <v>0</v>
      </c>
      <c r="F268" s="6">
        <f t="shared" si="6"/>
        <v>0</v>
      </c>
      <c r="G268" s="62"/>
      <c r="H268" s="62"/>
      <c r="I268" s="60"/>
      <c r="J268" s="60"/>
      <c r="K268" s="64"/>
      <c r="L268" s="64"/>
      <c r="M268" s="25"/>
      <c r="N268" s="25"/>
    </row>
    <row r="269" spans="1:14">
      <c r="A269" s="3" t="s">
        <v>496</v>
      </c>
      <c r="B269" s="10" t="s">
        <v>497</v>
      </c>
      <c r="C269" s="5"/>
      <c r="D269" s="5">
        <f t="shared" si="7"/>
        <v>0</v>
      </c>
      <c r="E269" s="6">
        <f t="shared" si="6"/>
        <v>0</v>
      </c>
      <c r="F269" s="6">
        <f t="shared" si="6"/>
        <v>0</v>
      </c>
      <c r="G269" s="62"/>
      <c r="H269" s="62"/>
      <c r="I269" s="60"/>
      <c r="J269" s="60"/>
      <c r="K269" s="64"/>
      <c r="L269" s="64"/>
      <c r="M269" s="25"/>
      <c r="N269" s="25"/>
    </row>
    <row r="270" spans="1:14">
      <c r="A270" s="3" t="s">
        <v>498</v>
      </c>
      <c r="B270" s="10" t="s">
        <v>499</v>
      </c>
      <c r="C270" s="5"/>
      <c r="D270" s="5">
        <f t="shared" si="7"/>
        <v>0</v>
      </c>
      <c r="E270" s="6">
        <f t="shared" ref="E270:F333" si="8">SUM(G270,I270,K270,M270)</f>
        <v>0</v>
      </c>
      <c r="F270" s="6">
        <f t="shared" si="8"/>
        <v>0</v>
      </c>
      <c r="G270" s="62"/>
      <c r="H270" s="62"/>
      <c r="I270" s="60"/>
      <c r="J270" s="60"/>
      <c r="K270" s="64"/>
      <c r="L270" s="64"/>
      <c r="M270" s="25"/>
      <c r="N270" s="25"/>
    </row>
    <row r="271" spans="1:14">
      <c r="A271" s="3" t="s">
        <v>500</v>
      </c>
      <c r="B271" s="10" t="s">
        <v>501</v>
      </c>
      <c r="C271" s="5"/>
      <c r="D271" s="5">
        <f t="shared" si="7"/>
        <v>0</v>
      </c>
      <c r="E271" s="6">
        <f t="shared" si="8"/>
        <v>0</v>
      </c>
      <c r="F271" s="6">
        <f t="shared" si="8"/>
        <v>0</v>
      </c>
      <c r="G271" s="62"/>
      <c r="H271" s="62"/>
      <c r="I271" s="60"/>
      <c r="J271" s="60"/>
      <c r="K271" s="64"/>
      <c r="L271" s="64"/>
      <c r="M271" s="25"/>
      <c r="N271" s="25"/>
    </row>
    <row r="272" spans="1:14">
      <c r="A272" s="3" t="s">
        <v>502</v>
      </c>
      <c r="B272" s="10" t="s">
        <v>503</v>
      </c>
      <c r="C272" s="5"/>
      <c r="D272" s="5">
        <f t="shared" si="7"/>
        <v>0</v>
      </c>
      <c r="E272" s="6">
        <f t="shared" si="8"/>
        <v>0</v>
      </c>
      <c r="F272" s="6">
        <f t="shared" si="8"/>
        <v>0</v>
      </c>
      <c r="G272" s="62"/>
      <c r="H272" s="62"/>
      <c r="I272" s="60"/>
      <c r="J272" s="60"/>
      <c r="K272" s="64"/>
      <c r="L272" s="64"/>
      <c r="M272" s="25"/>
      <c r="N272" s="25"/>
    </row>
    <row r="273" spans="1:14">
      <c r="A273" s="3" t="s">
        <v>504</v>
      </c>
      <c r="B273" s="10" t="s">
        <v>505</v>
      </c>
      <c r="C273" s="5"/>
      <c r="D273" s="5">
        <f t="shared" si="7"/>
        <v>0</v>
      </c>
      <c r="E273" s="6">
        <f t="shared" si="8"/>
        <v>0</v>
      </c>
      <c r="F273" s="6">
        <f t="shared" si="8"/>
        <v>0</v>
      </c>
      <c r="G273" s="62"/>
      <c r="H273" s="62"/>
      <c r="I273" s="60"/>
      <c r="J273" s="60"/>
      <c r="K273" s="64"/>
      <c r="L273" s="64"/>
      <c r="M273" s="25"/>
      <c r="N273" s="25"/>
    </row>
    <row r="274" spans="1:14">
      <c r="A274" s="3" t="s">
        <v>506</v>
      </c>
      <c r="B274" s="10" t="s">
        <v>507</v>
      </c>
      <c r="C274" s="5"/>
      <c r="D274" s="5">
        <f t="shared" si="7"/>
        <v>0</v>
      </c>
      <c r="E274" s="6">
        <f t="shared" si="8"/>
        <v>0</v>
      </c>
      <c r="F274" s="6">
        <f t="shared" si="8"/>
        <v>0</v>
      </c>
      <c r="G274" s="62"/>
      <c r="H274" s="62"/>
      <c r="I274" s="60"/>
      <c r="J274" s="60"/>
      <c r="K274" s="64"/>
      <c r="L274" s="64"/>
      <c r="M274" s="25"/>
      <c r="N274" s="25"/>
    </row>
    <row r="275" spans="1:14">
      <c r="A275" s="3" t="s">
        <v>508</v>
      </c>
      <c r="B275" s="10" t="s">
        <v>509</v>
      </c>
      <c r="C275" s="5"/>
      <c r="D275" s="5">
        <f t="shared" si="7"/>
        <v>0</v>
      </c>
      <c r="E275" s="6">
        <f t="shared" si="8"/>
        <v>0</v>
      </c>
      <c r="F275" s="6">
        <f t="shared" si="8"/>
        <v>0</v>
      </c>
      <c r="G275" s="62"/>
      <c r="H275" s="62"/>
      <c r="I275" s="60"/>
      <c r="J275" s="60"/>
      <c r="K275" s="64"/>
      <c r="L275" s="64"/>
      <c r="M275" s="25"/>
      <c r="N275" s="25"/>
    </row>
    <row r="276" spans="1:14">
      <c r="A276" s="3" t="s">
        <v>510</v>
      </c>
      <c r="B276" s="10" t="s">
        <v>511</v>
      </c>
      <c r="C276" s="5"/>
      <c r="D276" s="5">
        <f t="shared" si="7"/>
        <v>0</v>
      </c>
      <c r="E276" s="6">
        <f t="shared" si="8"/>
        <v>0</v>
      </c>
      <c r="F276" s="6">
        <f t="shared" si="8"/>
        <v>0</v>
      </c>
      <c r="G276" s="62"/>
      <c r="H276" s="62"/>
      <c r="I276" s="60"/>
      <c r="J276" s="60"/>
      <c r="K276" s="64"/>
      <c r="L276" s="64"/>
      <c r="M276" s="25"/>
      <c r="N276" s="25"/>
    </row>
    <row r="277" spans="1:14">
      <c r="A277" s="3" t="s">
        <v>512</v>
      </c>
      <c r="B277" s="10" t="s">
        <v>513</v>
      </c>
      <c r="C277" s="5"/>
      <c r="D277" s="5">
        <f t="shared" si="7"/>
        <v>0</v>
      </c>
      <c r="E277" s="6">
        <f t="shared" si="8"/>
        <v>0</v>
      </c>
      <c r="F277" s="6">
        <f t="shared" si="8"/>
        <v>0</v>
      </c>
      <c r="G277" s="62"/>
      <c r="H277" s="62"/>
      <c r="I277" s="60"/>
      <c r="J277" s="60"/>
      <c r="K277" s="64"/>
      <c r="L277" s="64"/>
      <c r="M277" s="25"/>
      <c r="N277" s="25"/>
    </row>
    <row r="278" spans="1:14">
      <c r="A278" s="3" t="s">
        <v>514</v>
      </c>
      <c r="B278" s="10" t="s">
        <v>515</v>
      </c>
      <c r="C278" s="5"/>
      <c r="D278" s="5">
        <f t="shared" si="7"/>
        <v>0</v>
      </c>
      <c r="E278" s="6">
        <f t="shared" si="8"/>
        <v>0</v>
      </c>
      <c r="F278" s="6">
        <f t="shared" si="8"/>
        <v>0</v>
      </c>
      <c r="G278" s="62"/>
      <c r="H278" s="62"/>
      <c r="I278" s="60"/>
      <c r="J278" s="60"/>
      <c r="K278" s="64"/>
      <c r="L278" s="64"/>
      <c r="M278" s="25"/>
      <c r="N278" s="25"/>
    </row>
    <row r="279" spans="1:14">
      <c r="A279" s="3" t="s">
        <v>516</v>
      </c>
      <c r="B279" s="10" t="s">
        <v>517</v>
      </c>
      <c r="C279" s="5"/>
      <c r="D279" s="5">
        <f t="shared" si="7"/>
        <v>0</v>
      </c>
      <c r="E279" s="6">
        <f t="shared" si="8"/>
        <v>0</v>
      </c>
      <c r="F279" s="6">
        <f t="shared" si="8"/>
        <v>0</v>
      </c>
      <c r="G279" s="62"/>
      <c r="H279" s="62"/>
      <c r="I279" s="60"/>
      <c r="J279" s="60"/>
      <c r="K279" s="64"/>
      <c r="L279" s="64"/>
      <c r="M279" s="25"/>
      <c r="N279" s="25"/>
    </row>
    <row r="280" spans="1:14">
      <c r="A280" s="3" t="s">
        <v>518</v>
      </c>
      <c r="B280" s="10" t="s">
        <v>519</v>
      </c>
      <c r="C280" s="5"/>
      <c r="D280" s="5">
        <f t="shared" si="7"/>
        <v>0</v>
      </c>
      <c r="E280" s="6">
        <f t="shared" si="8"/>
        <v>0</v>
      </c>
      <c r="F280" s="6">
        <f t="shared" si="8"/>
        <v>0</v>
      </c>
      <c r="G280" s="62"/>
      <c r="H280" s="62"/>
      <c r="I280" s="60"/>
      <c r="J280" s="60"/>
      <c r="K280" s="64"/>
      <c r="L280" s="64"/>
      <c r="M280" s="25"/>
      <c r="N280" s="25"/>
    </row>
    <row r="281" spans="1:14">
      <c r="A281" s="3" t="s">
        <v>520</v>
      </c>
      <c r="B281" s="4" t="s">
        <v>521</v>
      </c>
      <c r="C281" s="5">
        <f t="shared" ref="C281:C344" si="9">E281-F281</f>
        <v>0</v>
      </c>
      <c r="D281" s="5"/>
      <c r="E281" s="6">
        <f t="shared" si="8"/>
        <v>0</v>
      </c>
      <c r="F281" s="6">
        <f t="shared" si="8"/>
        <v>0</v>
      </c>
      <c r="G281" s="62"/>
      <c r="H281" s="62"/>
      <c r="I281" s="60"/>
      <c r="J281" s="60"/>
      <c r="K281" s="64"/>
      <c r="L281" s="64"/>
      <c r="M281" s="25"/>
      <c r="N281" s="25"/>
    </row>
    <row r="282" spans="1:14">
      <c r="A282" s="3" t="s">
        <v>522</v>
      </c>
      <c r="B282" s="4" t="s">
        <v>523</v>
      </c>
      <c r="C282" s="5">
        <f t="shared" si="9"/>
        <v>0</v>
      </c>
      <c r="D282" s="5"/>
      <c r="E282" s="6">
        <f t="shared" si="8"/>
        <v>0</v>
      </c>
      <c r="F282" s="6">
        <f t="shared" si="8"/>
        <v>0</v>
      </c>
      <c r="G282" s="62"/>
      <c r="H282" s="62"/>
      <c r="I282" s="60"/>
      <c r="J282" s="60"/>
      <c r="K282" s="64"/>
      <c r="L282" s="64"/>
      <c r="M282" s="25"/>
      <c r="N282" s="25"/>
    </row>
    <row r="283" spans="1:14">
      <c r="A283" s="3" t="s">
        <v>524</v>
      </c>
      <c r="B283" s="4" t="s">
        <v>525</v>
      </c>
      <c r="C283" s="5">
        <f t="shared" si="9"/>
        <v>0</v>
      </c>
      <c r="D283" s="5"/>
      <c r="E283" s="6">
        <f t="shared" si="8"/>
        <v>0</v>
      </c>
      <c r="F283" s="6">
        <f t="shared" si="8"/>
        <v>0</v>
      </c>
      <c r="G283" s="62"/>
      <c r="H283" s="62"/>
      <c r="I283" s="60"/>
      <c r="J283" s="60"/>
      <c r="K283" s="64"/>
      <c r="L283" s="64"/>
      <c r="M283" s="25"/>
      <c r="N283" s="25"/>
    </row>
    <row r="284" spans="1:14">
      <c r="A284" s="3" t="s">
        <v>526</v>
      </c>
      <c r="B284" s="4" t="s">
        <v>527</v>
      </c>
      <c r="C284" s="5">
        <f t="shared" si="9"/>
        <v>0</v>
      </c>
      <c r="D284" s="5"/>
      <c r="E284" s="6">
        <f t="shared" si="8"/>
        <v>0</v>
      </c>
      <c r="F284" s="6">
        <f t="shared" si="8"/>
        <v>0</v>
      </c>
      <c r="G284" s="62"/>
      <c r="H284" s="62"/>
      <c r="I284" s="60"/>
      <c r="J284" s="60"/>
      <c r="K284" s="64"/>
      <c r="L284" s="64"/>
      <c r="M284" s="25"/>
      <c r="N284" s="25"/>
    </row>
    <row r="285" spans="1:14">
      <c r="A285" s="3" t="s">
        <v>528</v>
      </c>
      <c r="B285" s="4" t="s">
        <v>529</v>
      </c>
      <c r="C285" s="5">
        <f t="shared" si="9"/>
        <v>0</v>
      </c>
      <c r="D285" s="5"/>
      <c r="E285" s="6">
        <f t="shared" si="8"/>
        <v>0</v>
      </c>
      <c r="F285" s="6">
        <f t="shared" si="8"/>
        <v>0</v>
      </c>
      <c r="G285" s="62"/>
      <c r="H285" s="62"/>
      <c r="I285" s="60"/>
      <c r="J285" s="60"/>
      <c r="K285" s="64"/>
      <c r="L285" s="64"/>
      <c r="M285" s="25"/>
      <c r="N285" s="25"/>
    </row>
    <row r="286" spans="1:14">
      <c r="A286" s="3" t="s">
        <v>530</v>
      </c>
      <c r="B286" s="4" t="s">
        <v>531</v>
      </c>
      <c r="C286" s="5">
        <f t="shared" si="9"/>
        <v>0</v>
      </c>
      <c r="D286" s="5"/>
      <c r="E286" s="6">
        <f t="shared" si="8"/>
        <v>0</v>
      </c>
      <c r="F286" s="6">
        <f t="shared" si="8"/>
        <v>0</v>
      </c>
      <c r="G286" s="62"/>
      <c r="H286" s="62"/>
      <c r="I286" s="60"/>
      <c r="J286" s="60"/>
      <c r="K286" s="64"/>
      <c r="L286" s="64"/>
      <c r="M286" s="25"/>
      <c r="N286" s="25"/>
    </row>
    <row r="287" spans="1:14">
      <c r="A287" s="3" t="s">
        <v>532</v>
      </c>
      <c r="B287" s="4" t="s">
        <v>533</v>
      </c>
      <c r="C287" s="5">
        <f t="shared" si="9"/>
        <v>0</v>
      </c>
      <c r="D287" s="5"/>
      <c r="E287" s="6">
        <f t="shared" si="8"/>
        <v>0</v>
      </c>
      <c r="F287" s="6">
        <f t="shared" si="8"/>
        <v>0</v>
      </c>
      <c r="G287" s="62"/>
      <c r="H287" s="62"/>
      <c r="I287" s="60"/>
      <c r="J287" s="60"/>
      <c r="K287" s="64"/>
      <c r="L287" s="64"/>
      <c r="M287" s="25"/>
      <c r="N287" s="25"/>
    </row>
    <row r="288" spans="1:14">
      <c r="A288" s="3" t="s">
        <v>534</v>
      </c>
      <c r="B288" s="4" t="s">
        <v>535</v>
      </c>
      <c r="C288" s="5">
        <f t="shared" si="9"/>
        <v>0</v>
      </c>
      <c r="D288" s="5"/>
      <c r="E288" s="6">
        <f t="shared" si="8"/>
        <v>0</v>
      </c>
      <c r="F288" s="6">
        <f t="shared" si="8"/>
        <v>0</v>
      </c>
      <c r="G288" s="62"/>
      <c r="H288" s="62"/>
      <c r="I288" s="60"/>
      <c r="J288" s="60"/>
      <c r="K288" s="64"/>
      <c r="L288" s="64"/>
      <c r="M288" s="25"/>
      <c r="N288" s="25"/>
    </row>
    <row r="289" spans="1:14">
      <c r="A289" s="3" t="s">
        <v>536</v>
      </c>
      <c r="B289" s="4" t="s">
        <v>537</v>
      </c>
      <c r="C289" s="5">
        <f t="shared" si="9"/>
        <v>0</v>
      </c>
      <c r="D289" s="5"/>
      <c r="E289" s="6">
        <f t="shared" si="8"/>
        <v>0</v>
      </c>
      <c r="F289" s="6">
        <f t="shared" si="8"/>
        <v>0</v>
      </c>
      <c r="G289" s="62"/>
      <c r="H289" s="62"/>
      <c r="I289" s="60"/>
      <c r="J289" s="60"/>
      <c r="K289" s="64"/>
      <c r="L289" s="64"/>
      <c r="M289" s="25"/>
      <c r="N289" s="25"/>
    </row>
    <row r="290" spans="1:14">
      <c r="A290" s="3" t="s">
        <v>538</v>
      </c>
      <c r="B290" s="4" t="s">
        <v>539</v>
      </c>
      <c r="C290" s="5">
        <f t="shared" si="9"/>
        <v>0</v>
      </c>
      <c r="D290" s="5"/>
      <c r="E290" s="6">
        <f t="shared" si="8"/>
        <v>0</v>
      </c>
      <c r="F290" s="6">
        <f t="shared" si="8"/>
        <v>0</v>
      </c>
      <c r="G290" s="62"/>
      <c r="H290" s="62"/>
      <c r="I290" s="60"/>
      <c r="J290" s="60"/>
      <c r="K290" s="64"/>
      <c r="L290" s="64"/>
      <c r="M290" s="25"/>
      <c r="N290" s="25"/>
    </row>
    <row r="291" spans="1:14">
      <c r="A291" s="3" t="s">
        <v>540</v>
      </c>
      <c r="B291" s="4" t="s">
        <v>541</v>
      </c>
      <c r="C291" s="5">
        <f t="shared" si="9"/>
        <v>0</v>
      </c>
      <c r="D291" s="5"/>
      <c r="E291" s="6">
        <f t="shared" si="8"/>
        <v>0</v>
      </c>
      <c r="F291" s="6">
        <f t="shared" si="8"/>
        <v>0</v>
      </c>
      <c r="G291" s="62"/>
      <c r="H291" s="62"/>
      <c r="I291" s="60"/>
      <c r="J291" s="60"/>
      <c r="K291" s="64"/>
      <c r="L291" s="64"/>
      <c r="M291" s="25"/>
      <c r="N291" s="25"/>
    </row>
    <row r="292" spans="1:14">
      <c r="A292" s="3" t="s">
        <v>542</v>
      </c>
      <c r="B292" s="4" t="s">
        <v>543</v>
      </c>
      <c r="C292" s="5">
        <f t="shared" si="9"/>
        <v>0</v>
      </c>
      <c r="D292" s="5"/>
      <c r="E292" s="6">
        <f t="shared" si="8"/>
        <v>0</v>
      </c>
      <c r="F292" s="6">
        <f t="shared" si="8"/>
        <v>0</v>
      </c>
      <c r="G292" s="62"/>
      <c r="H292" s="62"/>
      <c r="I292" s="60"/>
      <c r="J292" s="60"/>
      <c r="K292" s="64"/>
      <c r="L292" s="64"/>
      <c r="M292" s="25"/>
      <c r="N292" s="25"/>
    </row>
    <row r="293" spans="1:14">
      <c r="A293" s="3" t="s">
        <v>544</v>
      </c>
      <c r="B293" s="4" t="s">
        <v>545</v>
      </c>
      <c r="C293" s="5">
        <f t="shared" si="9"/>
        <v>0</v>
      </c>
      <c r="D293" s="5"/>
      <c r="E293" s="6">
        <f t="shared" si="8"/>
        <v>0</v>
      </c>
      <c r="F293" s="6">
        <f t="shared" si="8"/>
        <v>0</v>
      </c>
      <c r="G293" s="62"/>
      <c r="H293" s="62"/>
      <c r="I293" s="60"/>
      <c r="J293" s="60"/>
      <c r="K293" s="64"/>
      <c r="L293" s="64"/>
      <c r="M293" s="25"/>
      <c r="N293" s="25"/>
    </row>
    <row r="294" spans="1:14">
      <c r="A294" s="3" t="s">
        <v>546</v>
      </c>
      <c r="B294" s="4" t="s">
        <v>547</v>
      </c>
      <c r="C294" s="5">
        <f t="shared" si="9"/>
        <v>0</v>
      </c>
      <c r="D294" s="5"/>
      <c r="E294" s="6">
        <f t="shared" si="8"/>
        <v>0</v>
      </c>
      <c r="F294" s="6">
        <f t="shared" si="8"/>
        <v>0</v>
      </c>
      <c r="G294" s="62"/>
      <c r="H294" s="62"/>
      <c r="I294" s="60"/>
      <c r="J294" s="60"/>
      <c r="K294" s="64"/>
      <c r="L294" s="64"/>
      <c r="M294" s="25"/>
      <c r="N294" s="25"/>
    </row>
    <row r="295" spans="1:14">
      <c r="A295" s="3" t="s">
        <v>548</v>
      </c>
      <c r="B295" s="4" t="s">
        <v>549</v>
      </c>
      <c r="C295" s="5">
        <f t="shared" si="9"/>
        <v>0</v>
      </c>
      <c r="D295" s="5"/>
      <c r="E295" s="6">
        <f t="shared" si="8"/>
        <v>0</v>
      </c>
      <c r="F295" s="6">
        <f t="shared" si="8"/>
        <v>0</v>
      </c>
      <c r="G295" s="62"/>
      <c r="H295" s="62"/>
      <c r="I295" s="60"/>
      <c r="J295" s="60"/>
      <c r="K295" s="64"/>
      <c r="L295" s="64"/>
      <c r="M295" s="25"/>
      <c r="N295" s="25"/>
    </row>
    <row r="296" spans="1:14">
      <c r="A296" s="3" t="s">
        <v>550</v>
      </c>
      <c r="B296" s="4" t="s">
        <v>551</v>
      </c>
      <c r="C296" s="5">
        <f t="shared" si="9"/>
        <v>0</v>
      </c>
      <c r="D296" s="5"/>
      <c r="E296" s="6">
        <f t="shared" si="8"/>
        <v>0</v>
      </c>
      <c r="F296" s="6">
        <f t="shared" si="8"/>
        <v>0</v>
      </c>
      <c r="G296" s="62"/>
      <c r="H296" s="62"/>
      <c r="I296" s="60"/>
      <c r="J296" s="60"/>
      <c r="K296" s="64"/>
      <c r="L296" s="64"/>
      <c r="M296" s="25"/>
      <c r="N296" s="25"/>
    </row>
    <row r="297" spans="1:14">
      <c r="A297" s="3" t="s">
        <v>552</v>
      </c>
      <c r="B297" s="4" t="s">
        <v>553</v>
      </c>
      <c r="C297" s="5">
        <f t="shared" si="9"/>
        <v>0</v>
      </c>
      <c r="D297" s="5"/>
      <c r="E297" s="6">
        <f t="shared" si="8"/>
        <v>0</v>
      </c>
      <c r="F297" s="6">
        <f t="shared" si="8"/>
        <v>0</v>
      </c>
      <c r="G297" s="62"/>
      <c r="H297" s="62"/>
      <c r="I297" s="60"/>
      <c r="J297" s="60"/>
      <c r="K297" s="64"/>
      <c r="L297" s="64"/>
      <c r="M297" s="25"/>
      <c r="N297" s="25"/>
    </row>
    <row r="298" spans="1:14">
      <c r="A298" s="3" t="s">
        <v>554</v>
      </c>
      <c r="B298" s="4" t="s">
        <v>555</v>
      </c>
      <c r="C298" s="5">
        <f t="shared" si="9"/>
        <v>0</v>
      </c>
      <c r="D298" s="5"/>
      <c r="E298" s="6">
        <f t="shared" si="8"/>
        <v>0</v>
      </c>
      <c r="F298" s="6">
        <f t="shared" si="8"/>
        <v>0</v>
      </c>
      <c r="G298" s="62"/>
      <c r="H298" s="62"/>
      <c r="I298" s="60"/>
      <c r="J298" s="60"/>
      <c r="K298" s="64"/>
      <c r="L298" s="64"/>
      <c r="M298" s="25"/>
      <c r="N298" s="25"/>
    </row>
    <row r="299" spans="1:14">
      <c r="A299" s="3" t="s">
        <v>556</v>
      </c>
      <c r="B299" s="4" t="s">
        <v>557</v>
      </c>
      <c r="C299" s="5">
        <f t="shared" si="9"/>
        <v>0</v>
      </c>
      <c r="D299" s="5"/>
      <c r="E299" s="6">
        <f t="shared" si="8"/>
        <v>0</v>
      </c>
      <c r="F299" s="6">
        <f t="shared" si="8"/>
        <v>0</v>
      </c>
      <c r="G299" s="62"/>
      <c r="H299" s="62"/>
      <c r="I299" s="60"/>
      <c r="J299" s="60"/>
      <c r="K299" s="64"/>
      <c r="L299" s="64"/>
      <c r="M299" s="25"/>
      <c r="N299" s="25"/>
    </row>
    <row r="300" spans="1:14">
      <c r="A300" s="3" t="s">
        <v>558</v>
      </c>
      <c r="B300" s="4" t="s">
        <v>559</v>
      </c>
      <c r="C300" s="5">
        <f t="shared" si="9"/>
        <v>0</v>
      </c>
      <c r="D300" s="5"/>
      <c r="E300" s="6">
        <f t="shared" si="8"/>
        <v>0</v>
      </c>
      <c r="F300" s="6">
        <f t="shared" si="8"/>
        <v>0</v>
      </c>
      <c r="G300" s="62"/>
      <c r="H300" s="62"/>
      <c r="I300" s="60"/>
      <c r="J300" s="60"/>
      <c r="K300" s="64"/>
      <c r="L300" s="64"/>
      <c r="M300" s="25"/>
      <c r="N300" s="25"/>
    </row>
    <row r="301" spans="1:14">
      <c r="A301" s="3" t="s">
        <v>560</v>
      </c>
      <c r="B301" s="4" t="s">
        <v>561</v>
      </c>
      <c r="C301" s="5">
        <f t="shared" si="9"/>
        <v>0</v>
      </c>
      <c r="D301" s="5"/>
      <c r="E301" s="6">
        <f t="shared" si="8"/>
        <v>0</v>
      </c>
      <c r="F301" s="6">
        <f t="shared" si="8"/>
        <v>0</v>
      </c>
      <c r="G301" s="62"/>
      <c r="H301" s="62"/>
      <c r="I301" s="60"/>
      <c r="J301" s="60"/>
      <c r="K301" s="64"/>
      <c r="L301" s="64"/>
      <c r="M301" s="25"/>
      <c r="N301" s="25"/>
    </row>
    <row r="302" spans="1:14">
      <c r="A302" s="3" t="s">
        <v>562</v>
      </c>
      <c r="B302" s="4" t="s">
        <v>563</v>
      </c>
      <c r="C302" s="5">
        <f t="shared" si="9"/>
        <v>0</v>
      </c>
      <c r="D302" s="5"/>
      <c r="E302" s="6">
        <f t="shared" si="8"/>
        <v>0</v>
      </c>
      <c r="F302" s="6">
        <f t="shared" si="8"/>
        <v>0</v>
      </c>
      <c r="G302" s="62"/>
      <c r="H302" s="62"/>
      <c r="I302" s="60"/>
      <c r="J302" s="60"/>
      <c r="K302" s="64"/>
      <c r="L302" s="64"/>
      <c r="M302" s="25"/>
      <c r="N302" s="25"/>
    </row>
    <row r="303" spans="1:14">
      <c r="A303" s="3" t="s">
        <v>564</v>
      </c>
      <c r="B303" s="4" t="s">
        <v>565</v>
      </c>
      <c r="C303" s="5">
        <f t="shared" si="9"/>
        <v>0</v>
      </c>
      <c r="D303" s="5"/>
      <c r="E303" s="6">
        <f t="shared" si="8"/>
        <v>0</v>
      </c>
      <c r="F303" s="6">
        <f t="shared" si="8"/>
        <v>0</v>
      </c>
      <c r="G303" s="62"/>
      <c r="H303" s="62"/>
      <c r="I303" s="60"/>
      <c r="J303" s="60"/>
      <c r="K303" s="64"/>
      <c r="L303" s="64"/>
      <c r="M303" s="25"/>
      <c r="N303" s="25"/>
    </row>
    <row r="304" spans="1:14">
      <c r="A304" s="3" t="s">
        <v>566</v>
      </c>
      <c r="B304" s="4" t="s">
        <v>567</v>
      </c>
      <c r="C304" s="5">
        <f t="shared" si="9"/>
        <v>0</v>
      </c>
      <c r="D304" s="5"/>
      <c r="E304" s="6">
        <f t="shared" si="8"/>
        <v>0</v>
      </c>
      <c r="F304" s="6">
        <f t="shared" si="8"/>
        <v>0</v>
      </c>
      <c r="G304" s="62"/>
      <c r="H304" s="62"/>
      <c r="I304" s="60"/>
      <c r="J304" s="60"/>
      <c r="K304" s="64"/>
      <c r="L304" s="64"/>
      <c r="M304" s="25"/>
      <c r="N304" s="25"/>
    </row>
    <row r="305" spans="1:14">
      <c r="A305" s="3" t="s">
        <v>568</v>
      </c>
      <c r="B305" s="4" t="s">
        <v>569</v>
      </c>
      <c r="C305" s="5">
        <f t="shared" si="9"/>
        <v>0</v>
      </c>
      <c r="D305" s="5"/>
      <c r="E305" s="6">
        <f t="shared" si="8"/>
        <v>0</v>
      </c>
      <c r="F305" s="6">
        <f t="shared" si="8"/>
        <v>0</v>
      </c>
      <c r="G305" s="62"/>
      <c r="H305" s="62"/>
      <c r="I305" s="60"/>
      <c r="J305" s="60"/>
      <c r="K305" s="64"/>
      <c r="L305" s="64"/>
      <c r="M305" s="25"/>
      <c r="N305" s="25"/>
    </row>
    <row r="306" spans="1:14">
      <c r="A306" s="3" t="s">
        <v>570</v>
      </c>
      <c r="B306" s="4" t="s">
        <v>571</v>
      </c>
      <c r="C306" s="5">
        <f t="shared" si="9"/>
        <v>0</v>
      </c>
      <c r="D306" s="5"/>
      <c r="E306" s="6">
        <f t="shared" si="8"/>
        <v>0</v>
      </c>
      <c r="F306" s="6">
        <f t="shared" si="8"/>
        <v>0</v>
      </c>
      <c r="G306" s="62"/>
      <c r="H306" s="62"/>
      <c r="I306" s="60"/>
      <c r="J306" s="60"/>
      <c r="K306" s="64"/>
      <c r="L306" s="64"/>
      <c r="M306" s="25"/>
      <c r="N306" s="25"/>
    </row>
    <row r="307" spans="1:14">
      <c r="A307" s="3" t="s">
        <v>572</v>
      </c>
      <c r="B307" s="4" t="s">
        <v>573</v>
      </c>
      <c r="C307" s="5">
        <f t="shared" si="9"/>
        <v>0</v>
      </c>
      <c r="D307" s="5"/>
      <c r="E307" s="6">
        <f t="shared" si="8"/>
        <v>0</v>
      </c>
      <c r="F307" s="6">
        <f t="shared" si="8"/>
        <v>0</v>
      </c>
      <c r="G307" s="62"/>
      <c r="H307" s="62"/>
      <c r="I307" s="60"/>
      <c r="J307" s="60"/>
      <c r="K307" s="64"/>
      <c r="L307" s="64"/>
      <c r="M307" s="25"/>
      <c r="N307" s="25"/>
    </row>
    <row r="308" spans="1:14">
      <c r="A308" s="3" t="s">
        <v>574</v>
      </c>
      <c r="B308" s="4" t="s">
        <v>575</v>
      </c>
      <c r="C308" s="5">
        <f t="shared" si="9"/>
        <v>0</v>
      </c>
      <c r="D308" s="5"/>
      <c r="E308" s="6">
        <f t="shared" si="8"/>
        <v>0</v>
      </c>
      <c r="F308" s="6">
        <f t="shared" si="8"/>
        <v>0</v>
      </c>
      <c r="G308" s="62"/>
      <c r="H308" s="62"/>
      <c r="I308" s="60"/>
      <c r="J308" s="60"/>
      <c r="K308" s="64"/>
      <c r="L308" s="64"/>
      <c r="M308" s="25"/>
      <c r="N308" s="25"/>
    </row>
    <row r="309" spans="1:14">
      <c r="A309" s="3" t="s">
        <v>576</v>
      </c>
      <c r="B309" s="4" t="s">
        <v>577</v>
      </c>
      <c r="C309" s="5">
        <f t="shared" si="9"/>
        <v>0</v>
      </c>
      <c r="D309" s="5"/>
      <c r="E309" s="6">
        <f t="shared" si="8"/>
        <v>0</v>
      </c>
      <c r="F309" s="6">
        <f t="shared" si="8"/>
        <v>0</v>
      </c>
      <c r="G309" s="62"/>
      <c r="H309" s="62"/>
      <c r="I309" s="60"/>
      <c r="J309" s="60"/>
      <c r="K309" s="64"/>
      <c r="L309" s="64"/>
      <c r="M309" s="25"/>
      <c r="N309" s="25"/>
    </row>
    <row r="310" spans="1:14">
      <c r="A310" s="3" t="s">
        <v>578</v>
      </c>
      <c r="B310" s="4" t="s">
        <v>579</v>
      </c>
      <c r="C310" s="5">
        <f t="shared" si="9"/>
        <v>0</v>
      </c>
      <c r="D310" s="5"/>
      <c r="E310" s="6">
        <f t="shared" si="8"/>
        <v>0</v>
      </c>
      <c r="F310" s="6">
        <f t="shared" si="8"/>
        <v>0</v>
      </c>
      <c r="G310" s="62"/>
      <c r="H310" s="62"/>
      <c r="I310" s="60"/>
      <c r="J310" s="60"/>
      <c r="K310" s="64"/>
      <c r="L310" s="64"/>
      <c r="M310" s="25"/>
      <c r="N310" s="25"/>
    </row>
    <row r="311" spans="1:14">
      <c r="A311" s="3" t="s">
        <v>580</v>
      </c>
      <c r="B311" s="4" t="s">
        <v>581</v>
      </c>
      <c r="C311" s="5">
        <f t="shared" si="9"/>
        <v>0</v>
      </c>
      <c r="D311" s="5"/>
      <c r="E311" s="6">
        <f t="shared" si="8"/>
        <v>0</v>
      </c>
      <c r="F311" s="6">
        <f t="shared" si="8"/>
        <v>0</v>
      </c>
      <c r="G311" s="62"/>
      <c r="H311" s="62"/>
      <c r="I311" s="60"/>
      <c r="J311" s="60"/>
      <c r="K311" s="64"/>
      <c r="L311" s="64"/>
      <c r="M311" s="25"/>
      <c r="N311" s="25"/>
    </row>
    <row r="312" spans="1:14">
      <c r="A312" s="3" t="s">
        <v>582</v>
      </c>
      <c r="B312" s="4" t="s">
        <v>583</v>
      </c>
      <c r="C312" s="5">
        <f t="shared" si="9"/>
        <v>0</v>
      </c>
      <c r="D312" s="5"/>
      <c r="E312" s="6">
        <f t="shared" si="8"/>
        <v>0</v>
      </c>
      <c r="F312" s="6">
        <f t="shared" si="8"/>
        <v>0</v>
      </c>
      <c r="G312" s="62"/>
      <c r="H312" s="62"/>
      <c r="I312" s="60"/>
      <c r="J312" s="60"/>
      <c r="K312" s="64"/>
      <c r="L312" s="64"/>
      <c r="M312" s="25"/>
      <c r="N312" s="25"/>
    </row>
    <row r="313" spans="1:14">
      <c r="A313" s="3" t="s">
        <v>584</v>
      </c>
      <c r="B313" s="4" t="s">
        <v>585</v>
      </c>
      <c r="C313" s="5">
        <f t="shared" si="9"/>
        <v>0</v>
      </c>
      <c r="D313" s="5"/>
      <c r="E313" s="6">
        <f t="shared" si="8"/>
        <v>0</v>
      </c>
      <c r="F313" s="6">
        <f t="shared" si="8"/>
        <v>0</v>
      </c>
      <c r="G313" s="62"/>
      <c r="H313" s="62"/>
      <c r="I313" s="60"/>
      <c r="J313" s="60"/>
      <c r="K313" s="64"/>
      <c r="L313" s="64"/>
      <c r="M313" s="25"/>
      <c r="N313" s="25"/>
    </row>
    <row r="314" spans="1:14">
      <c r="A314" s="3" t="s">
        <v>586</v>
      </c>
      <c r="B314" s="4" t="s">
        <v>587</v>
      </c>
      <c r="C314" s="5">
        <f t="shared" si="9"/>
        <v>0</v>
      </c>
      <c r="D314" s="5"/>
      <c r="E314" s="6">
        <f t="shared" si="8"/>
        <v>0</v>
      </c>
      <c r="F314" s="6">
        <f t="shared" si="8"/>
        <v>0</v>
      </c>
      <c r="G314" s="62"/>
      <c r="H314" s="62"/>
      <c r="I314" s="60"/>
      <c r="J314" s="60"/>
      <c r="K314" s="64"/>
      <c r="L314" s="64"/>
      <c r="M314" s="25"/>
      <c r="N314" s="25"/>
    </row>
    <row r="315" spans="1:14">
      <c r="A315" s="3" t="s">
        <v>588</v>
      </c>
      <c r="B315" s="4" t="s">
        <v>589</v>
      </c>
      <c r="C315" s="5">
        <f t="shared" si="9"/>
        <v>0</v>
      </c>
      <c r="D315" s="5"/>
      <c r="E315" s="6">
        <f t="shared" si="8"/>
        <v>0</v>
      </c>
      <c r="F315" s="6">
        <f t="shared" si="8"/>
        <v>0</v>
      </c>
      <c r="G315" s="62"/>
      <c r="H315" s="62"/>
      <c r="I315" s="60"/>
      <c r="J315" s="60"/>
      <c r="K315" s="64"/>
      <c r="L315" s="64"/>
      <c r="M315" s="25"/>
      <c r="N315" s="25"/>
    </row>
    <row r="316" spans="1:14">
      <c r="A316" s="3" t="s">
        <v>590</v>
      </c>
      <c r="B316" s="4" t="s">
        <v>591</v>
      </c>
      <c r="C316" s="5">
        <f t="shared" si="9"/>
        <v>0</v>
      </c>
      <c r="D316" s="5"/>
      <c r="E316" s="6">
        <f t="shared" si="8"/>
        <v>0</v>
      </c>
      <c r="F316" s="6">
        <f t="shared" si="8"/>
        <v>0</v>
      </c>
      <c r="G316" s="62"/>
      <c r="H316" s="62"/>
      <c r="I316" s="60"/>
      <c r="J316" s="60"/>
      <c r="K316" s="64"/>
      <c r="L316" s="64"/>
      <c r="M316" s="25"/>
      <c r="N316" s="25"/>
    </row>
    <row r="317" spans="1:14">
      <c r="A317" s="3" t="s">
        <v>592</v>
      </c>
      <c r="B317" s="4" t="s">
        <v>593</v>
      </c>
      <c r="C317" s="5">
        <f t="shared" si="9"/>
        <v>0</v>
      </c>
      <c r="D317" s="5"/>
      <c r="E317" s="6">
        <f t="shared" si="8"/>
        <v>0</v>
      </c>
      <c r="F317" s="6">
        <f t="shared" si="8"/>
        <v>0</v>
      </c>
      <c r="G317" s="62"/>
      <c r="H317" s="62"/>
      <c r="I317" s="60"/>
      <c r="J317" s="60"/>
      <c r="K317" s="64"/>
      <c r="L317" s="64"/>
      <c r="M317" s="25"/>
      <c r="N317" s="25"/>
    </row>
    <row r="318" spans="1:14">
      <c r="A318" s="3" t="s">
        <v>594</v>
      </c>
      <c r="B318" s="4" t="s">
        <v>595</v>
      </c>
      <c r="C318" s="5">
        <f t="shared" si="9"/>
        <v>0</v>
      </c>
      <c r="D318" s="5"/>
      <c r="E318" s="6">
        <f t="shared" si="8"/>
        <v>0</v>
      </c>
      <c r="F318" s="6">
        <f t="shared" si="8"/>
        <v>0</v>
      </c>
      <c r="G318" s="62"/>
      <c r="H318" s="62"/>
      <c r="I318" s="60"/>
      <c r="J318" s="60"/>
      <c r="K318" s="64"/>
      <c r="L318" s="64"/>
      <c r="M318" s="25"/>
      <c r="N318" s="25"/>
    </row>
    <row r="319" spans="1:14">
      <c r="A319" s="3" t="s">
        <v>596</v>
      </c>
      <c r="B319" s="4" t="s">
        <v>597</v>
      </c>
      <c r="C319" s="5">
        <f t="shared" si="9"/>
        <v>0</v>
      </c>
      <c r="D319" s="5"/>
      <c r="E319" s="6">
        <f t="shared" si="8"/>
        <v>0</v>
      </c>
      <c r="F319" s="6">
        <f t="shared" si="8"/>
        <v>0</v>
      </c>
      <c r="G319" s="62"/>
      <c r="H319" s="62"/>
      <c r="I319" s="60"/>
      <c r="J319" s="60"/>
      <c r="K319" s="64"/>
      <c r="L319" s="64"/>
      <c r="M319" s="25"/>
      <c r="N319" s="25"/>
    </row>
    <row r="320" spans="1:14">
      <c r="A320" s="3" t="s">
        <v>598</v>
      </c>
      <c r="B320" s="4" t="s">
        <v>599</v>
      </c>
      <c r="C320" s="5">
        <f t="shared" si="9"/>
        <v>0</v>
      </c>
      <c r="D320" s="5"/>
      <c r="E320" s="6">
        <f t="shared" si="8"/>
        <v>0</v>
      </c>
      <c r="F320" s="6">
        <f t="shared" si="8"/>
        <v>0</v>
      </c>
      <c r="G320" s="62"/>
      <c r="H320" s="62"/>
      <c r="I320" s="60"/>
      <c r="J320" s="60"/>
      <c r="K320" s="64"/>
      <c r="L320" s="64"/>
      <c r="M320" s="25"/>
      <c r="N320" s="25"/>
    </row>
    <row r="321" spans="1:14">
      <c r="A321" s="3" t="s">
        <v>600</v>
      </c>
      <c r="B321" s="4" t="s">
        <v>601</v>
      </c>
      <c r="C321" s="5">
        <f t="shared" si="9"/>
        <v>0</v>
      </c>
      <c r="D321" s="5"/>
      <c r="E321" s="6">
        <f t="shared" si="8"/>
        <v>0</v>
      </c>
      <c r="F321" s="6">
        <f t="shared" si="8"/>
        <v>0</v>
      </c>
      <c r="G321" s="62"/>
      <c r="H321" s="62"/>
      <c r="I321" s="60"/>
      <c r="J321" s="60"/>
      <c r="K321" s="64"/>
      <c r="L321" s="64"/>
      <c r="M321" s="25"/>
      <c r="N321" s="25"/>
    </row>
    <row r="322" spans="1:14">
      <c r="A322" s="3" t="s">
        <v>602</v>
      </c>
      <c r="B322" s="4" t="s">
        <v>603</v>
      </c>
      <c r="C322" s="5">
        <f t="shared" si="9"/>
        <v>0</v>
      </c>
      <c r="D322" s="5"/>
      <c r="E322" s="6">
        <f t="shared" si="8"/>
        <v>0</v>
      </c>
      <c r="F322" s="6">
        <f t="shared" si="8"/>
        <v>0</v>
      </c>
      <c r="G322" s="62"/>
      <c r="H322" s="62"/>
      <c r="I322" s="60"/>
      <c r="J322" s="60"/>
      <c r="K322" s="64"/>
      <c r="L322" s="64"/>
      <c r="M322" s="25"/>
      <c r="N322" s="25"/>
    </row>
    <row r="323" spans="1:14">
      <c r="A323" s="3" t="s">
        <v>604</v>
      </c>
      <c r="B323" s="4" t="s">
        <v>605</v>
      </c>
      <c r="C323" s="5">
        <f t="shared" si="9"/>
        <v>0</v>
      </c>
      <c r="D323" s="5"/>
      <c r="E323" s="6">
        <f t="shared" si="8"/>
        <v>0</v>
      </c>
      <c r="F323" s="6">
        <f t="shared" si="8"/>
        <v>0</v>
      </c>
      <c r="G323" s="62"/>
      <c r="H323" s="62"/>
      <c r="I323" s="60"/>
      <c r="J323" s="60"/>
      <c r="K323" s="64"/>
      <c r="L323" s="64"/>
      <c r="M323" s="25"/>
      <c r="N323" s="25"/>
    </row>
    <row r="324" spans="1:14" s="70" customFormat="1">
      <c r="A324" s="3" t="s">
        <v>606</v>
      </c>
      <c r="B324" s="4" t="s">
        <v>607</v>
      </c>
      <c r="C324" s="5">
        <f t="shared" si="9"/>
        <v>0</v>
      </c>
      <c r="D324" s="5"/>
      <c r="E324" s="6">
        <f t="shared" si="8"/>
        <v>0</v>
      </c>
      <c r="F324" s="6">
        <f t="shared" si="8"/>
        <v>0</v>
      </c>
      <c r="G324" s="62"/>
      <c r="H324" s="62"/>
      <c r="I324" s="60"/>
      <c r="J324" s="60"/>
      <c r="K324" s="64"/>
      <c r="L324" s="64"/>
      <c r="M324" s="25"/>
      <c r="N324" s="25"/>
    </row>
    <row r="325" spans="1:14" s="70" customFormat="1">
      <c r="A325" s="3" t="s">
        <v>608</v>
      </c>
      <c r="B325" s="4" t="s">
        <v>609</v>
      </c>
      <c r="C325" s="5">
        <f t="shared" si="9"/>
        <v>0</v>
      </c>
      <c r="D325" s="5"/>
      <c r="E325" s="6">
        <f t="shared" si="8"/>
        <v>0</v>
      </c>
      <c r="F325" s="6">
        <f t="shared" si="8"/>
        <v>0</v>
      </c>
      <c r="G325" s="62"/>
      <c r="H325" s="62"/>
      <c r="I325" s="60"/>
      <c r="J325" s="60"/>
      <c r="K325" s="64"/>
      <c r="L325" s="64"/>
      <c r="M325" s="25"/>
      <c r="N325" s="25"/>
    </row>
    <row r="326" spans="1:14" s="70" customFormat="1">
      <c r="A326" s="3" t="s">
        <v>610</v>
      </c>
      <c r="B326" s="4" t="s">
        <v>611</v>
      </c>
      <c r="C326" s="5">
        <f t="shared" si="9"/>
        <v>0</v>
      </c>
      <c r="D326" s="5"/>
      <c r="E326" s="6">
        <f t="shared" si="8"/>
        <v>0</v>
      </c>
      <c r="F326" s="6">
        <f t="shared" si="8"/>
        <v>0</v>
      </c>
      <c r="G326" s="62"/>
      <c r="H326" s="62"/>
      <c r="I326" s="60"/>
      <c r="J326" s="60"/>
      <c r="K326" s="64"/>
      <c r="L326" s="64"/>
      <c r="M326" s="25"/>
      <c r="N326" s="25"/>
    </row>
    <row r="327" spans="1:14" s="70" customFormat="1">
      <c r="A327" s="3" t="s">
        <v>612</v>
      </c>
      <c r="B327" s="4" t="s">
        <v>613</v>
      </c>
      <c r="C327" s="5">
        <f t="shared" si="9"/>
        <v>0</v>
      </c>
      <c r="D327" s="5"/>
      <c r="E327" s="6">
        <f t="shared" si="8"/>
        <v>0</v>
      </c>
      <c r="F327" s="6">
        <f t="shared" si="8"/>
        <v>0</v>
      </c>
      <c r="G327" s="62"/>
      <c r="H327" s="62"/>
      <c r="I327" s="60"/>
      <c r="J327" s="60"/>
      <c r="K327" s="64"/>
      <c r="L327" s="64"/>
      <c r="M327" s="25"/>
      <c r="N327" s="25"/>
    </row>
    <row r="328" spans="1:14" s="1" customFormat="1">
      <c r="A328" s="3" t="s">
        <v>614</v>
      </c>
      <c r="B328" s="4" t="s">
        <v>615</v>
      </c>
      <c r="C328" s="5">
        <f t="shared" si="9"/>
        <v>0</v>
      </c>
      <c r="D328" s="5"/>
      <c r="E328" s="6">
        <f t="shared" si="8"/>
        <v>0</v>
      </c>
      <c r="F328" s="6">
        <f t="shared" si="8"/>
        <v>0</v>
      </c>
      <c r="G328" s="62"/>
      <c r="H328" s="62"/>
      <c r="I328" s="60"/>
      <c r="J328" s="60"/>
      <c r="K328" s="64"/>
      <c r="L328" s="64"/>
      <c r="M328" s="25"/>
      <c r="N328" s="25"/>
    </row>
    <row r="329" spans="1:14" s="70" customFormat="1">
      <c r="A329" s="3" t="s">
        <v>616</v>
      </c>
      <c r="B329" s="4" t="s">
        <v>617</v>
      </c>
      <c r="C329" s="5">
        <f t="shared" si="9"/>
        <v>0</v>
      </c>
      <c r="D329" s="5"/>
      <c r="E329" s="6">
        <f t="shared" si="8"/>
        <v>0</v>
      </c>
      <c r="F329" s="6">
        <f t="shared" si="8"/>
        <v>0</v>
      </c>
      <c r="G329" s="62"/>
      <c r="H329" s="62"/>
      <c r="I329" s="60"/>
      <c r="J329" s="60"/>
      <c r="K329" s="64"/>
      <c r="L329" s="64"/>
      <c r="M329" s="25"/>
      <c r="N329" s="25"/>
    </row>
    <row r="330" spans="1:14" s="70" customFormat="1">
      <c r="A330" s="3" t="s">
        <v>618</v>
      </c>
      <c r="B330" s="4" t="s">
        <v>619</v>
      </c>
      <c r="C330" s="5">
        <f t="shared" si="9"/>
        <v>0</v>
      </c>
      <c r="D330" s="5"/>
      <c r="E330" s="6">
        <f t="shared" si="8"/>
        <v>0</v>
      </c>
      <c r="F330" s="6">
        <f t="shared" si="8"/>
        <v>0</v>
      </c>
      <c r="G330" s="62"/>
      <c r="H330" s="62"/>
      <c r="I330" s="60"/>
      <c r="J330" s="60"/>
      <c r="K330" s="64"/>
      <c r="L330" s="64"/>
      <c r="M330" s="25"/>
      <c r="N330" s="25"/>
    </row>
    <row r="331" spans="1:14" s="70" customFormat="1">
      <c r="A331" s="11" t="s">
        <v>620</v>
      </c>
      <c r="B331" s="12" t="s">
        <v>621</v>
      </c>
      <c r="C331" s="5">
        <f t="shared" si="9"/>
        <v>0</v>
      </c>
      <c r="D331" s="5"/>
      <c r="E331" s="6">
        <f t="shared" si="8"/>
        <v>0</v>
      </c>
      <c r="F331" s="6">
        <f t="shared" si="8"/>
        <v>0</v>
      </c>
      <c r="G331" s="62"/>
      <c r="H331" s="62"/>
      <c r="I331" s="60"/>
      <c r="J331" s="60"/>
      <c r="K331" s="64"/>
      <c r="L331" s="64"/>
      <c r="M331" s="25"/>
      <c r="N331" s="25"/>
    </row>
    <row r="332" spans="1:14" s="70" customFormat="1">
      <c r="A332" s="3" t="s">
        <v>622</v>
      </c>
      <c r="B332" s="4" t="s">
        <v>623</v>
      </c>
      <c r="C332" s="5">
        <f t="shared" si="9"/>
        <v>0</v>
      </c>
      <c r="D332" s="5"/>
      <c r="E332" s="6">
        <f t="shared" si="8"/>
        <v>0</v>
      </c>
      <c r="F332" s="6">
        <f t="shared" si="8"/>
        <v>0</v>
      </c>
      <c r="G332" s="62"/>
      <c r="H332" s="62"/>
      <c r="I332" s="60"/>
      <c r="J332" s="60"/>
      <c r="K332" s="64"/>
      <c r="L332" s="64"/>
      <c r="M332" s="25"/>
      <c r="N332" s="25"/>
    </row>
    <row r="333" spans="1:14" s="70" customFormat="1">
      <c r="A333" s="3" t="s">
        <v>624</v>
      </c>
      <c r="B333" s="4" t="s">
        <v>625</v>
      </c>
      <c r="C333" s="5">
        <f t="shared" si="9"/>
        <v>0</v>
      </c>
      <c r="D333" s="5"/>
      <c r="E333" s="6">
        <f t="shared" si="8"/>
        <v>0</v>
      </c>
      <c r="F333" s="6">
        <f t="shared" si="8"/>
        <v>0</v>
      </c>
      <c r="G333" s="62"/>
      <c r="H333" s="62"/>
      <c r="I333" s="60"/>
      <c r="J333" s="60"/>
      <c r="K333" s="64"/>
      <c r="L333" s="64"/>
      <c r="M333" s="25"/>
      <c r="N333" s="25"/>
    </row>
    <row r="334" spans="1:14">
      <c r="A334" s="3" t="s">
        <v>626</v>
      </c>
      <c r="B334" s="4" t="s">
        <v>627</v>
      </c>
      <c r="C334" s="5">
        <f t="shared" si="9"/>
        <v>0</v>
      </c>
      <c r="D334" s="5"/>
      <c r="E334" s="6">
        <f t="shared" ref="E334:F397" si="10">SUM(G334,I334,K334,M334)</f>
        <v>0</v>
      </c>
      <c r="F334" s="6">
        <f t="shared" si="10"/>
        <v>0</v>
      </c>
      <c r="G334" s="62"/>
      <c r="H334" s="62"/>
      <c r="I334" s="60"/>
      <c r="J334" s="60"/>
      <c r="K334" s="64"/>
      <c r="L334" s="64"/>
      <c r="M334" s="25"/>
      <c r="N334" s="25"/>
    </row>
    <row r="335" spans="1:14">
      <c r="A335" s="3" t="s">
        <v>628</v>
      </c>
      <c r="B335" s="4" t="s">
        <v>629</v>
      </c>
      <c r="C335" s="5">
        <f t="shared" si="9"/>
        <v>0</v>
      </c>
      <c r="D335" s="5"/>
      <c r="E335" s="6">
        <f t="shared" si="10"/>
        <v>0</v>
      </c>
      <c r="F335" s="6">
        <f t="shared" si="10"/>
        <v>0</v>
      </c>
      <c r="G335" s="62"/>
      <c r="H335" s="62"/>
      <c r="I335" s="60"/>
      <c r="J335" s="60"/>
      <c r="K335" s="64"/>
      <c r="L335" s="64"/>
      <c r="M335" s="25"/>
      <c r="N335" s="25"/>
    </row>
    <row r="336" spans="1:14">
      <c r="A336" s="3" t="s">
        <v>630</v>
      </c>
      <c r="B336" s="4" t="s">
        <v>631</v>
      </c>
      <c r="C336" s="5">
        <f t="shared" si="9"/>
        <v>0</v>
      </c>
      <c r="D336" s="5"/>
      <c r="E336" s="6">
        <f t="shared" si="10"/>
        <v>0</v>
      </c>
      <c r="F336" s="6">
        <f t="shared" si="10"/>
        <v>0</v>
      </c>
      <c r="G336" s="62"/>
      <c r="H336" s="62"/>
      <c r="I336" s="60"/>
      <c r="J336" s="60"/>
      <c r="K336" s="64"/>
      <c r="L336" s="64"/>
      <c r="M336" s="25"/>
      <c r="N336" s="25"/>
    </row>
    <row r="337" spans="1:14">
      <c r="A337" s="3" t="s">
        <v>632</v>
      </c>
      <c r="B337" s="4" t="s">
        <v>633</v>
      </c>
      <c r="C337" s="5">
        <f t="shared" si="9"/>
        <v>0</v>
      </c>
      <c r="D337" s="5"/>
      <c r="E337" s="6">
        <f t="shared" si="10"/>
        <v>0</v>
      </c>
      <c r="F337" s="6">
        <f t="shared" si="10"/>
        <v>0</v>
      </c>
      <c r="G337" s="62"/>
      <c r="H337" s="62"/>
      <c r="I337" s="60"/>
      <c r="J337" s="60"/>
      <c r="K337" s="64"/>
      <c r="L337" s="64"/>
      <c r="M337" s="25"/>
      <c r="N337" s="25"/>
    </row>
    <row r="338" spans="1:14">
      <c r="A338" s="3" t="s">
        <v>634</v>
      </c>
      <c r="B338" s="4" t="s">
        <v>635</v>
      </c>
      <c r="C338" s="5">
        <f t="shared" si="9"/>
        <v>0</v>
      </c>
      <c r="D338" s="5"/>
      <c r="E338" s="6">
        <f t="shared" si="10"/>
        <v>0</v>
      </c>
      <c r="F338" s="6">
        <f t="shared" si="10"/>
        <v>0</v>
      </c>
      <c r="G338" s="62"/>
      <c r="H338" s="62"/>
      <c r="I338" s="60"/>
      <c r="J338" s="60"/>
      <c r="K338" s="64"/>
      <c r="L338" s="64"/>
      <c r="M338" s="25"/>
      <c r="N338" s="25"/>
    </row>
    <row r="339" spans="1:14">
      <c r="A339" s="3" t="s">
        <v>636</v>
      </c>
      <c r="B339" s="4" t="s">
        <v>637</v>
      </c>
      <c r="C339" s="5">
        <f t="shared" si="9"/>
        <v>0</v>
      </c>
      <c r="D339" s="5"/>
      <c r="E339" s="6">
        <f t="shared" si="10"/>
        <v>0</v>
      </c>
      <c r="F339" s="6">
        <f t="shared" si="10"/>
        <v>0</v>
      </c>
      <c r="G339" s="62"/>
      <c r="H339" s="62"/>
      <c r="I339" s="60"/>
      <c r="J339" s="60"/>
      <c r="K339" s="64"/>
      <c r="L339" s="64"/>
      <c r="M339" s="25"/>
      <c r="N339" s="25"/>
    </row>
    <row r="340" spans="1:14">
      <c r="A340" s="3" t="s">
        <v>638</v>
      </c>
      <c r="B340" s="4" t="s">
        <v>639</v>
      </c>
      <c r="C340" s="5">
        <f t="shared" si="9"/>
        <v>0</v>
      </c>
      <c r="D340" s="5"/>
      <c r="E340" s="6">
        <f t="shared" si="10"/>
        <v>0</v>
      </c>
      <c r="F340" s="6">
        <f t="shared" si="10"/>
        <v>0</v>
      </c>
      <c r="G340" s="62"/>
      <c r="H340" s="62"/>
      <c r="I340" s="60"/>
      <c r="J340" s="60"/>
      <c r="K340" s="64"/>
      <c r="L340" s="64"/>
      <c r="M340" s="25"/>
      <c r="N340" s="25"/>
    </row>
    <row r="341" spans="1:14">
      <c r="A341" s="3" t="s">
        <v>640</v>
      </c>
      <c r="B341" s="4" t="s">
        <v>641</v>
      </c>
      <c r="C341" s="5">
        <f t="shared" si="9"/>
        <v>0</v>
      </c>
      <c r="D341" s="5"/>
      <c r="E341" s="6">
        <f t="shared" si="10"/>
        <v>0</v>
      </c>
      <c r="F341" s="6">
        <f t="shared" si="10"/>
        <v>0</v>
      </c>
      <c r="G341" s="62"/>
      <c r="H341" s="62"/>
      <c r="I341" s="60"/>
      <c r="J341" s="60"/>
      <c r="K341" s="64"/>
      <c r="L341" s="64"/>
      <c r="M341" s="25"/>
      <c r="N341" s="25"/>
    </row>
    <row r="342" spans="1:14">
      <c r="A342" s="3" t="s">
        <v>642</v>
      </c>
      <c r="B342" s="4" t="s">
        <v>643</v>
      </c>
      <c r="C342" s="5">
        <f t="shared" si="9"/>
        <v>0</v>
      </c>
      <c r="D342" s="5"/>
      <c r="E342" s="6">
        <f t="shared" si="10"/>
        <v>0</v>
      </c>
      <c r="F342" s="6">
        <f t="shared" si="10"/>
        <v>0</v>
      </c>
      <c r="G342" s="62"/>
      <c r="H342" s="62"/>
      <c r="I342" s="60"/>
      <c r="J342" s="60"/>
      <c r="K342" s="64"/>
      <c r="L342" s="64"/>
      <c r="M342" s="25"/>
      <c r="N342" s="25"/>
    </row>
    <row r="343" spans="1:14">
      <c r="A343" s="3" t="s">
        <v>644</v>
      </c>
      <c r="B343" s="4" t="s">
        <v>645</v>
      </c>
      <c r="C343" s="5">
        <f t="shared" si="9"/>
        <v>0</v>
      </c>
      <c r="D343" s="5"/>
      <c r="E343" s="6">
        <f t="shared" si="10"/>
        <v>0</v>
      </c>
      <c r="F343" s="6">
        <f t="shared" si="10"/>
        <v>0</v>
      </c>
      <c r="G343" s="62"/>
      <c r="H343" s="62"/>
      <c r="I343" s="60"/>
      <c r="J343" s="60"/>
      <c r="K343" s="64"/>
      <c r="L343" s="64"/>
      <c r="M343" s="25"/>
      <c r="N343" s="25"/>
    </row>
    <row r="344" spans="1:14">
      <c r="A344" s="3" t="s">
        <v>646</v>
      </c>
      <c r="B344" s="4" t="s">
        <v>647</v>
      </c>
      <c r="C344" s="5">
        <f t="shared" si="9"/>
        <v>0</v>
      </c>
      <c r="D344" s="5"/>
      <c r="E344" s="6">
        <f t="shared" si="10"/>
        <v>0</v>
      </c>
      <c r="F344" s="6">
        <f t="shared" si="10"/>
        <v>0</v>
      </c>
      <c r="G344" s="62"/>
      <c r="H344" s="62"/>
      <c r="I344" s="60"/>
      <c r="J344" s="60"/>
      <c r="K344" s="64"/>
      <c r="L344" s="64"/>
      <c r="M344" s="25"/>
      <c r="N344" s="25"/>
    </row>
    <row r="345" spans="1:14">
      <c r="A345" s="3" t="s">
        <v>648</v>
      </c>
      <c r="B345" s="4" t="s">
        <v>649</v>
      </c>
      <c r="C345" s="5">
        <f t="shared" ref="C345:C408" si="11">E345-F345</f>
        <v>0</v>
      </c>
      <c r="D345" s="5"/>
      <c r="E345" s="6">
        <f t="shared" si="10"/>
        <v>0</v>
      </c>
      <c r="F345" s="6">
        <f t="shared" si="10"/>
        <v>0</v>
      </c>
      <c r="G345" s="62"/>
      <c r="H345" s="62"/>
      <c r="I345" s="60"/>
      <c r="J345" s="60"/>
      <c r="K345" s="64"/>
      <c r="L345" s="64"/>
      <c r="M345" s="25"/>
      <c r="N345" s="25"/>
    </row>
    <row r="346" spans="1:14">
      <c r="A346" s="3" t="s">
        <v>650</v>
      </c>
      <c r="B346" s="4" t="s">
        <v>651</v>
      </c>
      <c r="C346" s="5">
        <f t="shared" si="11"/>
        <v>0</v>
      </c>
      <c r="D346" s="5"/>
      <c r="E346" s="6">
        <f t="shared" si="10"/>
        <v>0</v>
      </c>
      <c r="F346" s="6">
        <f t="shared" si="10"/>
        <v>0</v>
      </c>
      <c r="G346" s="62"/>
      <c r="H346" s="62"/>
      <c r="I346" s="60"/>
      <c r="J346" s="60"/>
      <c r="K346" s="64"/>
      <c r="L346" s="64"/>
      <c r="M346" s="25"/>
      <c r="N346" s="25"/>
    </row>
    <row r="347" spans="1:14">
      <c r="A347" s="3" t="s">
        <v>652</v>
      </c>
      <c r="B347" s="4" t="s">
        <v>653</v>
      </c>
      <c r="C347" s="5">
        <f t="shared" si="11"/>
        <v>0</v>
      </c>
      <c r="D347" s="5"/>
      <c r="E347" s="6">
        <f t="shared" si="10"/>
        <v>0</v>
      </c>
      <c r="F347" s="6">
        <f t="shared" si="10"/>
        <v>0</v>
      </c>
      <c r="G347" s="62"/>
      <c r="H347" s="62"/>
      <c r="I347" s="60"/>
      <c r="J347" s="60"/>
      <c r="K347" s="64"/>
      <c r="L347" s="64"/>
      <c r="M347" s="25"/>
      <c r="N347" s="25"/>
    </row>
    <row r="348" spans="1:14">
      <c r="A348" s="3" t="s">
        <v>654</v>
      </c>
      <c r="B348" s="4" t="s">
        <v>655</v>
      </c>
      <c r="C348" s="5">
        <f t="shared" si="11"/>
        <v>0</v>
      </c>
      <c r="D348" s="5"/>
      <c r="E348" s="6">
        <f t="shared" si="10"/>
        <v>0</v>
      </c>
      <c r="F348" s="6">
        <f t="shared" si="10"/>
        <v>0</v>
      </c>
      <c r="G348" s="62"/>
      <c r="H348" s="62"/>
      <c r="I348" s="60"/>
      <c r="J348" s="60"/>
      <c r="K348" s="64"/>
      <c r="L348" s="64"/>
      <c r="M348" s="25"/>
      <c r="N348" s="25"/>
    </row>
    <row r="349" spans="1:14">
      <c r="A349" s="3" t="s">
        <v>656</v>
      </c>
      <c r="B349" s="4" t="s">
        <v>657</v>
      </c>
      <c r="C349" s="5">
        <f t="shared" si="11"/>
        <v>0</v>
      </c>
      <c r="D349" s="5"/>
      <c r="E349" s="6">
        <f t="shared" si="10"/>
        <v>0</v>
      </c>
      <c r="F349" s="6">
        <f t="shared" si="10"/>
        <v>0</v>
      </c>
      <c r="G349" s="62"/>
      <c r="H349" s="62"/>
      <c r="I349" s="60"/>
      <c r="J349" s="60"/>
      <c r="K349" s="64"/>
      <c r="L349" s="64"/>
      <c r="M349" s="25"/>
      <c r="N349" s="25"/>
    </row>
    <row r="350" spans="1:14">
      <c r="A350" s="3" t="s">
        <v>658</v>
      </c>
      <c r="B350" s="4" t="s">
        <v>659</v>
      </c>
      <c r="C350" s="5">
        <f t="shared" si="11"/>
        <v>0</v>
      </c>
      <c r="D350" s="5"/>
      <c r="E350" s="6">
        <f t="shared" si="10"/>
        <v>0</v>
      </c>
      <c r="F350" s="6">
        <f t="shared" si="10"/>
        <v>0</v>
      </c>
      <c r="G350" s="62"/>
      <c r="H350" s="62"/>
      <c r="I350" s="60"/>
      <c r="J350" s="60"/>
      <c r="K350" s="64"/>
      <c r="L350" s="64"/>
      <c r="M350" s="25"/>
      <c r="N350" s="25"/>
    </row>
    <row r="351" spans="1:14">
      <c r="A351" s="3" t="s">
        <v>660</v>
      </c>
      <c r="B351" s="4" t="s">
        <v>661</v>
      </c>
      <c r="C351" s="5">
        <f t="shared" si="11"/>
        <v>0</v>
      </c>
      <c r="D351" s="5"/>
      <c r="E351" s="6">
        <f t="shared" si="10"/>
        <v>0</v>
      </c>
      <c r="F351" s="6">
        <f t="shared" si="10"/>
        <v>0</v>
      </c>
      <c r="G351" s="62"/>
      <c r="H351" s="62"/>
      <c r="I351" s="60"/>
      <c r="J351" s="60"/>
      <c r="K351" s="64"/>
      <c r="L351" s="64"/>
      <c r="M351" s="25"/>
      <c r="N351" s="25"/>
    </row>
    <row r="352" spans="1:14">
      <c r="A352" s="3" t="s">
        <v>662</v>
      </c>
      <c r="B352" s="4" t="s">
        <v>663</v>
      </c>
      <c r="C352" s="5">
        <f t="shared" si="11"/>
        <v>0</v>
      </c>
      <c r="D352" s="5"/>
      <c r="E352" s="6">
        <f t="shared" si="10"/>
        <v>0</v>
      </c>
      <c r="F352" s="6">
        <f t="shared" si="10"/>
        <v>0</v>
      </c>
      <c r="G352" s="62"/>
      <c r="H352" s="62"/>
      <c r="I352" s="60"/>
      <c r="J352" s="60"/>
      <c r="K352" s="64"/>
      <c r="L352" s="64"/>
      <c r="M352" s="25"/>
      <c r="N352" s="25"/>
    </row>
    <row r="353" spans="1:14">
      <c r="A353" s="3" t="s">
        <v>664</v>
      </c>
      <c r="B353" s="4" t="s">
        <v>665</v>
      </c>
      <c r="C353" s="5">
        <f t="shared" si="11"/>
        <v>0</v>
      </c>
      <c r="D353" s="5"/>
      <c r="E353" s="6">
        <f t="shared" si="10"/>
        <v>0</v>
      </c>
      <c r="F353" s="6">
        <f t="shared" si="10"/>
        <v>0</v>
      </c>
      <c r="G353" s="62"/>
      <c r="H353" s="62"/>
      <c r="I353" s="60"/>
      <c r="J353" s="60"/>
      <c r="K353" s="64"/>
      <c r="L353" s="64"/>
      <c r="M353" s="25"/>
      <c r="N353" s="25"/>
    </row>
    <row r="354" spans="1:14">
      <c r="A354" s="3" t="s">
        <v>666</v>
      </c>
      <c r="B354" s="4" t="s">
        <v>667</v>
      </c>
      <c r="C354" s="5">
        <f t="shared" si="11"/>
        <v>0</v>
      </c>
      <c r="D354" s="5"/>
      <c r="E354" s="6">
        <f t="shared" si="10"/>
        <v>0</v>
      </c>
      <c r="F354" s="6">
        <f t="shared" si="10"/>
        <v>0</v>
      </c>
      <c r="G354" s="62"/>
      <c r="H354" s="62"/>
      <c r="I354" s="60"/>
      <c r="J354" s="60"/>
      <c r="K354" s="64"/>
      <c r="L354" s="64"/>
      <c r="M354" s="25"/>
      <c r="N354" s="25"/>
    </row>
    <row r="355" spans="1:14">
      <c r="A355" s="3" t="s">
        <v>668</v>
      </c>
      <c r="B355" s="4" t="s">
        <v>669</v>
      </c>
      <c r="C355" s="5">
        <f t="shared" si="11"/>
        <v>0</v>
      </c>
      <c r="D355" s="5"/>
      <c r="E355" s="6">
        <f t="shared" si="10"/>
        <v>0</v>
      </c>
      <c r="F355" s="6">
        <f t="shared" si="10"/>
        <v>0</v>
      </c>
      <c r="G355" s="62"/>
      <c r="H355" s="62"/>
      <c r="I355" s="60"/>
      <c r="J355" s="60"/>
      <c r="K355" s="64"/>
      <c r="L355" s="64"/>
      <c r="M355" s="25"/>
      <c r="N355" s="25"/>
    </row>
    <row r="356" spans="1:14">
      <c r="A356" s="3" t="s">
        <v>670</v>
      </c>
      <c r="B356" s="4" t="s">
        <v>671</v>
      </c>
      <c r="C356" s="5">
        <f t="shared" si="11"/>
        <v>0</v>
      </c>
      <c r="D356" s="5"/>
      <c r="E356" s="6">
        <f t="shared" si="10"/>
        <v>0</v>
      </c>
      <c r="F356" s="6">
        <f t="shared" si="10"/>
        <v>0</v>
      </c>
      <c r="G356" s="62"/>
      <c r="H356" s="62"/>
      <c r="I356" s="60"/>
      <c r="J356" s="60"/>
      <c r="K356" s="64"/>
      <c r="L356" s="64"/>
      <c r="M356" s="25"/>
      <c r="N356" s="25"/>
    </row>
    <row r="357" spans="1:14">
      <c r="A357" s="3" t="s">
        <v>672</v>
      </c>
      <c r="B357" s="4" t="s">
        <v>673</v>
      </c>
      <c r="C357" s="5">
        <f t="shared" si="11"/>
        <v>0</v>
      </c>
      <c r="D357" s="5"/>
      <c r="E357" s="6">
        <f t="shared" si="10"/>
        <v>0</v>
      </c>
      <c r="F357" s="6">
        <f t="shared" si="10"/>
        <v>0</v>
      </c>
      <c r="G357" s="62"/>
      <c r="H357" s="62"/>
      <c r="I357" s="60"/>
      <c r="J357" s="60"/>
      <c r="K357" s="64"/>
      <c r="L357" s="64"/>
      <c r="M357" s="25"/>
      <c r="N357" s="25"/>
    </row>
    <row r="358" spans="1:14">
      <c r="A358" s="3" t="s">
        <v>674</v>
      </c>
      <c r="B358" s="4" t="s">
        <v>675</v>
      </c>
      <c r="C358" s="5">
        <f t="shared" si="11"/>
        <v>0</v>
      </c>
      <c r="D358" s="5"/>
      <c r="E358" s="6">
        <f t="shared" si="10"/>
        <v>0</v>
      </c>
      <c r="F358" s="6">
        <f t="shared" si="10"/>
        <v>0</v>
      </c>
      <c r="G358" s="62"/>
      <c r="H358" s="62"/>
      <c r="I358" s="60"/>
      <c r="J358" s="60"/>
      <c r="K358" s="64"/>
      <c r="L358" s="64"/>
      <c r="M358" s="25"/>
      <c r="N358" s="25"/>
    </row>
    <row r="359" spans="1:14">
      <c r="A359" s="3" t="s">
        <v>676</v>
      </c>
      <c r="B359" s="4" t="s">
        <v>677</v>
      </c>
      <c r="C359" s="5">
        <f t="shared" si="11"/>
        <v>0</v>
      </c>
      <c r="D359" s="5"/>
      <c r="E359" s="6">
        <f t="shared" si="10"/>
        <v>0</v>
      </c>
      <c r="F359" s="6">
        <f t="shared" si="10"/>
        <v>0</v>
      </c>
      <c r="G359" s="62"/>
      <c r="H359" s="62"/>
      <c r="I359" s="60"/>
      <c r="J359" s="60"/>
      <c r="K359" s="64"/>
      <c r="L359" s="64"/>
      <c r="M359" s="25"/>
      <c r="N359" s="25"/>
    </row>
    <row r="360" spans="1:14">
      <c r="A360" s="3" t="s">
        <v>678</v>
      </c>
      <c r="B360" s="4" t="s">
        <v>679</v>
      </c>
      <c r="C360" s="5">
        <f t="shared" si="11"/>
        <v>0</v>
      </c>
      <c r="D360" s="5"/>
      <c r="E360" s="6">
        <f t="shared" si="10"/>
        <v>0</v>
      </c>
      <c r="F360" s="6">
        <f t="shared" si="10"/>
        <v>0</v>
      </c>
      <c r="G360" s="62"/>
      <c r="H360" s="62"/>
      <c r="I360" s="60"/>
      <c r="J360" s="60"/>
      <c r="K360" s="64"/>
      <c r="L360" s="64"/>
      <c r="M360" s="25"/>
      <c r="N360" s="25"/>
    </row>
    <row r="361" spans="1:14">
      <c r="A361" s="3" t="s">
        <v>680</v>
      </c>
      <c r="B361" s="4" t="s">
        <v>681</v>
      </c>
      <c r="C361" s="5">
        <f t="shared" si="11"/>
        <v>0</v>
      </c>
      <c r="D361" s="5"/>
      <c r="E361" s="6">
        <f t="shared" si="10"/>
        <v>0</v>
      </c>
      <c r="F361" s="6">
        <f t="shared" si="10"/>
        <v>0</v>
      </c>
      <c r="G361" s="62"/>
      <c r="H361" s="62"/>
      <c r="I361" s="60"/>
      <c r="J361" s="60"/>
      <c r="K361" s="64"/>
      <c r="L361" s="64"/>
      <c r="M361" s="25"/>
      <c r="N361" s="25"/>
    </row>
    <row r="362" spans="1:14">
      <c r="A362" s="3" t="s">
        <v>682</v>
      </c>
      <c r="B362" s="4" t="s">
        <v>683</v>
      </c>
      <c r="C362" s="5">
        <f t="shared" si="11"/>
        <v>0</v>
      </c>
      <c r="D362" s="5"/>
      <c r="E362" s="6">
        <f t="shared" si="10"/>
        <v>0</v>
      </c>
      <c r="F362" s="6">
        <f t="shared" si="10"/>
        <v>0</v>
      </c>
      <c r="G362" s="62"/>
      <c r="H362" s="62"/>
      <c r="I362" s="60"/>
      <c r="J362" s="60"/>
      <c r="K362" s="64"/>
      <c r="L362" s="64"/>
      <c r="M362" s="25"/>
      <c r="N362" s="25"/>
    </row>
    <row r="363" spans="1:14">
      <c r="A363" s="3" t="s">
        <v>684</v>
      </c>
      <c r="B363" s="4" t="s">
        <v>685</v>
      </c>
      <c r="C363" s="5">
        <f t="shared" si="11"/>
        <v>0</v>
      </c>
      <c r="D363" s="5"/>
      <c r="E363" s="6">
        <f t="shared" si="10"/>
        <v>0</v>
      </c>
      <c r="F363" s="6">
        <f t="shared" si="10"/>
        <v>0</v>
      </c>
      <c r="G363" s="62"/>
      <c r="H363" s="62"/>
      <c r="I363" s="60"/>
      <c r="J363" s="60"/>
      <c r="K363" s="64"/>
      <c r="L363" s="64"/>
      <c r="M363" s="25"/>
      <c r="N363" s="25"/>
    </row>
    <row r="364" spans="1:14">
      <c r="A364" s="3" t="s">
        <v>686</v>
      </c>
      <c r="B364" s="4" t="s">
        <v>687</v>
      </c>
      <c r="C364" s="5">
        <f t="shared" si="11"/>
        <v>0</v>
      </c>
      <c r="D364" s="5"/>
      <c r="E364" s="6">
        <f t="shared" si="10"/>
        <v>0</v>
      </c>
      <c r="F364" s="6">
        <f t="shared" si="10"/>
        <v>0</v>
      </c>
      <c r="G364" s="62"/>
      <c r="H364" s="62"/>
      <c r="I364" s="60"/>
      <c r="J364" s="60"/>
      <c r="K364" s="64"/>
      <c r="L364" s="64"/>
      <c r="M364" s="25"/>
      <c r="N364" s="25"/>
    </row>
    <row r="365" spans="1:14">
      <c r="A365" s="3" t="s">
        <v>688</v>
      </c>
      <c r="B365" s="4" t="s">
        <v>689</v>
      </c>
      <c r="C365" s="5">
        <f t="shared" si="11"/>
        <v>0</v>
      </c>
      <c r="D365" s="5"/>
      <c r="E365" s="6">
        <f t="shared" si="10"/>
        <v>0</v>
      </c>
      <c r="F365" s="6">
        <f t="shared" si="10"/>
        <v>0</v>
      </c>
      <c r="G365" s="62"/>
      <c r="H365" s="62"/>
      <c r="I365" s="60"/>
      <c r="J365" s="60"/>
      <c r="K365" s="64"/>
      <c r="L365" s="64"/>
      <c r="M365" s="25"/>
      <c r="N365" s="25"/>
    </row>
    <row r="366" spans="1:14">
      <c r="A366" s="3" t="s">
        <v>690</v>
      </c>
      <c r="B366" s="4" t="s">
        <v>691</v>
      </c>
      <c r="C366" s="5">
        <f t="shared" si="11"/>
        <v>0</v>
      </c>
      <c r="D366" s="5"/>
      <c r="E366" s="6">
        <f t="shared" si="10"/>
        <v>0</v>
      </c>
      <c r="F366" s="6">
        <f t="shared" si="10"/>
        <v>0</v>
      </c>
      <c r="G366" s="62"/>
      <c r="H366" s="62"/>
      <c r="I366" s="60"/>
      <c r="J366" s="60"/>
      <c r="K366" s="64"/>
      <c r="L366" s="64"/>
      <c r="M366" s="25"/>
      <c r="N366" s="25"/>
    </row>
    <row r="367" spans="1:14">
      <c r="A367" s="3" t="s">
        <v>692</v>
      </c>
      <c r="B367" s="4" t="s">
        <v>693</v>
      </c>
      <c r="C367" s="5">
        <f t="shared" si="11"/>
        <v>0</v>
      </c>
      <c r="D367" s="5"/>
      <c r="E367" s="6">
        <f t="shared" si="10"/>
        <v>0</v>
      </c>
      <c r="F367" s="6">
        <f t="shared" si="10"/>
        <v>0</v>
      </c>
      <c r="G367" s="62"/>
      <c r="H367" s="62"/>
      <c r="I367" s="60"/>
      <c r="J367" s="60"/>
      <c r="K367" s="64"/>
      <c r="L367" s="64"/>
      <c r="M367" s="25"/>
      <c r="N367" s="25"/>
    </row>
    <row r="368" spans="1:14">
      <c r="A368" s="3" t="s">
        <v>694</v>
      </c>
      <c r="B368" s="4" t="s">
        <v>695</v>
      </c>
      <c r="C368" s="5">
        <f t="shared" si="11"/>
        <v>0</v>
      </c>
      <c r="D368" s="5"/>
      <c r="E368" s="6">
        <f t="shared" si="10"/>
        <v>0</v>
      </c>
      <c r="F368" s="6">
        <f t="shared" si="10"/>
        <v>0</v>
      </c>
      <c r="G368" s="62"/>
      <c r="H368" s="62"/>
      <c r="I368" s="60"/>
      <c r="J368" s="60"/>
      <c r="K368" s="64"/>
      <c r="L368" s="64"/>
      <c r="M368" s="25"/>
      <c r="N368" s="25"/>
    </row>
    <row r="369" spans="1:14">
      <c r="A369" s="3" t="s">
        <v>696</v>
      </c>
      <c r="B369" s="4" t="s">
        <v>697</v>
      </c>
      <c r="C369" s="5">
        <f t="shared" si="11"/>
        <v>0</v>
      </c>
      <c r="D369" s="5"/>
      <c r="E369" s="6">
        <f t="shared" si="10"/>
        <v>0</v>
      </c>
      <c r="F369" s="6">
        <f t="shared" si="10"/>
        <v>0</v>
      </c>
      <c r="G369" s="62"/>
      <c r="H369" s="62"/>
      <c r="I369" s="60"/>
      <c r="J369" s="60"/>
      <c r="K369" s="64"/>
      <c r="L369" s="64"/>
      <c r="M369" s="25"/>
      <c r="N369" s="25"/>
    </row>
    <row r="370" spans="1:14">
      <c r="A370" s="3" t="s">
        <v>698</v>
      </c>
      <c r="B370" s="4" t="s">
        <v>699</v>
      </c>
      <c r="C370" s="5">
        <f t="shared" si="11"/>
        <v>0</v>
      </c>
      <c r="D370" s="5"/>
      <c r="E370" s="6">
        <f t="shared" si="10"/>
        <v>0</v>
      </c>
      <c r="F370" s="6">
        <f t="shared" si="10"/>
        <v>0</v>
      </c>
      <c r="G370" s="62"/>
      <c r="H370" s="62"/>
      <c r="I370" s="60"/>
      <c r="J370" s="60"/>
      <c r="K370" s="64"/>
      <c r="L370" s="64"/>
      <c r="M370" s="25"/>
      <c r="N370" s="25"/>
    </row>
    <row r="371" spans="1:14">
      <c r="A371" s="3" t="s">
        <v>700</v>
      </c>
      <c r="B371" s="4" t="s">
        <v>701</v>
      </c>
      <c r="C371" s="5">
        <f t="shared" si="11"/>
        <v>0</v>
      </c>
      <c r="D371" s="5"/>
      <c r="E371" s="6">
        <f t="shared" si="10"/>
        <v>0</v>
      </c>
      <c r="F371" s="6">
        <f t="shared" si="10"/>
        <v>0</v>
      </c>
      <c r="G371" s="62"/>
      <c r="H371" s="62"/>
      <c r="I371" s="60"/>
      <c r="J371" s="60"/>
      <c r="K371" s="64"/>
      <c r="L371" s="64"/>
      <c r="M371" s="25"/>
      <c r="N371" s="25"/>
    </row>
    <row r="372" spans="1:14">
      <c r="A372" s="3" t="s">
        <v>702</v>
      </c>
      <c r="B372" s="4" t="s">
        <v>703</v>
      </c>
      <c r="C372" s="5">
        <f t="shared" si="11"/>
        <v>0</v>
      </c>
      <c r="D372" s="5"/>
      <c r="E372" s="6">
        <f t="shared" si="10"/>
        <v>0</v>
      </c>
      <c r="F372" s="6">
        <f t="shared" si="10"/>
        <v>0</v>
      </c>
      <c r="G372" s="62"/>
      <c r="H372" s="62"/>
      <c r="I372" s="60"/>
      <c r="J372" s="60"/>
      <c r="K372" s="64"/>
      <c r="L372" s="64"/>
      <c r="M372" s="25"/>
      <c r="N372" s="25"/>
    </row>
    <row r="373" spans="1:14">
      <c r="A373" s="3" t="s">
        <v>704</v>
      </c>
      <c r="B373" s="4" t="s">
        <v>705</v>
      </c>
      <c r="C373" s="5">
        <f t="shared" si="11"/>
        <v>0</v>
      </c>
      <c r="D373" s="5"/>
      <c r="E373" s="6">
        <f t="shared" si="10"/>
        <v>0</v>
      </c>
      <c r="F373" s="6">
        <f t="shared" si="10"/>
        <v>0</v>
      </c>
      <c r="G373" s="62"/>
      <c r="H373" s="62"/>
      <c r="I373" s="60"/>
      <c r="J373" s="60"/>
      <c r="K373" s="64"/>
      <c r="L373" s="64"/>
      <c r="M373" s="25"/>
      <c r="N373" s="25"/>
    </row>
    <row r="374" spans="1:14">
      <c r="A374" s="3" t="s">
        <v>706</v>
      </c>
      <c r="B374" s="4" t="s">
        <v>707</v>
      </c>
      <c r="C374" s="5">
        <f t="shared" si="11"/>
        <v>0</v>
      </c>
      <c r="D374" s="5"/>
      <c r="E374" s="6">
        <f t="shared" si="10"/>
        <v>0</v>
      </c>
      <c r="F374" s="6">
        <f t="shared" si="10"/>
        <v>0</v>
      </c>
      <c r="G374" s="62"/>
      <c r="H374" s="62"/>
      <c r="I374" s="60"/>
      <c r="J374" s="60"/>
      <c r="K374" s="64"/>
      <c r="L374" s="64"/>
      <c r="M374" s="25"/>
      <c r="N374" s="25"/>
    </row>
    <row r="375" spans="1:14">
      <c r="A375" s="3" t="s">
        <v>708</v>
      </c>
      <c r="B375" s="4" t="s">
        <v>709</v>
      </c>
      <c r="C375" s="5">
        <f t="shared" si="11"/>
        <v>0</v>
      </c>
      <c r="D375" s="5"/>
      <c r="E375" s="6">
        <f t="shared" si="10"/>
        <v>0</v>
      </c>
      <c r="F375" s="6">
        <f t="shared" si="10"/>
        <v>0</v>
      </c>
      <c r="G375" s="62"/>
      <c r="H375" s="62"/>
      <c r="I375" s="60"/>
      <c r="J375" s="60"/>
      <c r="K375" s="64"/>
      <c r="L375" s="64"/>
      <c r="M375" s="25"/>
      <c r="N375" s="25"/>
    </row>
    <row r="376" spans="1:14">
      <c r="A376" s="3" t="s">
        <v>710</v>
      </c>
      <c r="B376" s="4" t="s">
        <v>711</v>
      </c>
      <c r="C376" s="5">
        <f t="shared" si="11"/>
        <v>0</v>
      </c>
      <c r="D376" s="5"/>
      <c r="E376" s="6">
        <f t="shared" si="10"/>
        <v>0</v>
      </c>
      <c r="F376" s="6">
        <f t="shared" si="10"/>
        <v>0</v>
      </c>
      <c r="G376" s="62"/>
      <c r="H376" s="62"/>
      <c r="I376" s="60"/>
      <c r="J376" s="60"/>
      <c r="K376" s="64"/>
      <c r="L376" s="64"/>
      <c r="M376" s="25"/>
      <c r="N376" s="25"/>
    </row>
    <row r="377" spans="1:14">
      <c r="A377" s="3" t="s">
        <v>712</v>
      </c>
      <c r="B377" s="4" t="s">
        <v>713</v>
      </c>
      <c r="C377" s="5">
        <f t="shared" si="11"/>
        <v>0</v>
      </c>
      <c r="D377" s="5"/>
      <c r="E377" s="6">
        <f t="shared" si="10"/>
        <v>0</v>
      </c>
      <c r="F377" s="6">
        <f t="shared" si="10"/>
        <v>0</v>
      </c>
      <c r="G377" s="62"/>
      <c r="H377" s="62"/>
      <c r="I377" s="60"/>
      <c r="J377" s="60"/>
      <c r="K377" s="64"/>
      <c r="L377" s="64"/>
      <c r="M377" s="25"/>
      <c r="N377" s="25"/>
    </row>
    <row r="378" spans="1:14">
      <c r="A378" s="3" t="s">
        <v>714</v>
      </c>
      <c r="B378" s="4" t="s">
        <v>715</v>
      </c>
      <c r="C378" s="5">
        <f t="shared" si="11"/>
        <v>0</v>
      </c>
      <c r="D378" s="5"/>
      <c r="E378" s="6">
        <f t="shared" si="10"/>
        <v>0</v>
      </c>
      <c r="F378" s="6">
        <f t="shared" si="10"/>
        <v>0</v>
      </c>
      <c r="G378" s="62"/>
      <c r="H378" s="62"/>
      <c r="I378" s="60"/>
      <c r="J378" s="60"/>
      <c r="K378" s="64"/>
      <c r="L378" s="64"/>
      <c r="M378" s="25"/>
      <c r="N378" s="25"/>
    </row>
    <row r="379" spans="1:14">
      <c r="A379" s="3" t="s">
        <v>716</v>
      </c>
      <c r="B379" s="4" t="s">
        <v>717</v>
      </c>
      <c r="C379" s="5">
        <f t="shared" si="11"/>
        <v>0</v>
      </c>
      <c r="D379" s="5"/>
      <c r="E379" s="6">
        <f t="shared" si="10"/>
        <v>0</v>
      </c>
      <c r="F379" s="6">
        <f t="shared" si="10"/>
        <v>0</v>
      </c>
      <c r="G379" s="62"/>
      <c r="H379" s="62"/>
      <c r="I379" s="60"/>
      <c r="J379" s="60"/>
      <c r="K379" s="64"/>
      <c r="L379" s="64"/>
      <c r="M379" s="25"/>
      <c r="N379" s="25"/>
    </row>
    <row r="380" spans="1:14">
      <c r="A380" s="3" t="s">
        <v>718</v>
      </c>
      <c r="B380" s="4" t="s">
        <v>719</v>
      </c>
      <c r="C380" s="5">
        <f t="shared" si="11"/>
        <v>0</v>
      </c>
      <c r="D380" s="5"/>
      <c r="E380" s="6">
        <f t="shared" si="10"/>
        <v>0</v>
      </c>
      <c r="F380" s="6">
        <f t="shared" si="10"/>
        <v>0</v>
      </c>
      <c r="G380" s="62"/>
      <c r="H380" s="62"/>
      <c r="I380" s="60"/>
      <c r="J380" s="60"/>
      <c r="K380" s="64"/>
      <c r="L380" s="64"/>
      <c r="M380" s="25"/>
      <c r="N380" s="25"/>
    </row>
    <row r="381" spans="1:14">
      <c r="A381" s="3" t="s">
        <v>720</v>
      </c>
      <c r="B381" s="4" t="s">
        <v>721</v>
      </c>
      <c r="C381" s="5">
        <f t="shared" si="11"/>
        <v>0</v>
      </c>
      <c r="D381" s="5"/>
      <c r="E381" s="6">
        <f t="shared" si="10"/>
        <v>0</v>
      </c>
      <c r="F381" s="6">
        <f t="shared" si="10"/>
        <v>0</v>
      </c>
      <c r="G381" s="62"/>
      <c r="H381" s="62"/>
      <c r="I381" s="60"/>
      <c r="J381" s="60"/>
      <c r="K381" s="64"/>
      <c r="L381" s="64"/>
      <c r="M381" s="25"/>
      <c r="N381" s="25"/>
    </row>
    <row r="382" spans="1:14">
      <c r="A382" s="3" t="s">
        <v>722</v>
      </c>
      <c r="B382" s="4" t="s">
        <v>723</v>
      </c>
      <c r="C382" s="5">
        <f t="shared" si="11"/>
        <v>0</v>
      </c>
      <c r="D382" s="5"/>
      <c r="E382" s="6">
        <f t="shared" si="10"/>
        <v>0</v>
      </c>
      <c r="F382" s="6">
        <f t="shared" si="10"/>
        <v>0</v>
      </c>
      <c r="G382" s="62"/>
      <c r="H382" s="62"/>
      <c r="I382" s="60"/>
      <c r="J382" s="60"/>
      <c r="K382" s="64"/>
      <c r="L382" s="64"/>
      <c r="M382" s="25"/>
      <c r="N382" s="25"/>
    </row>
    <row r="383" spans="1:14">
      <c r="A383" s="3" t="s">
        <v>724</v>
      </c>
      <c r="B383" s="4" t="s">
        <v>725</v>
      </c>
      <c r="C383" s="5">
        <f t="shared" si="11"/>
        <v>0</v>
      </c>
      <c r="D383" s="5"/>
      <c r="E383" s="6">
        <f t="shared" si="10"/>
        <v>0</v>
      </c>
      <c r="F383" s="6">
        <f t="shared" si="10"/>
        <v>0</v>
      </c>
      <c r="G383" s="62"/>
      <c r="H383" s="62"/>
      <c r="I383" s="60"/>
      <c r="J383" s="60"/>
      <c r="K383" s="64"/>
      <c r="L383" s="64"/>
      <c r="M383" s="25"/>
      <c r="N383" s="25"/>
    </row>
    <row r="384" spans="1:14">
      <c r="A384" s="3" t="s">
        <v>726</v>
      </c>
      <c r="B384" s="4" t="s">
        <v>727</v>
      </c>
      <c r="C384" s="5">
        <f t="shared" si="11"/>
        <v>0</v>
      </c>
      <c r="D384" s="5"/>
      <c r="E384" s="6">
        <f t="shared" si="10"/>
        <v>0</v>
      </c>
      <c r="F384" s="6">
        <f t="shared" si="10"/>
        <v>0</v>
      </c>
      <c r="G384" s="62"/>
      <c r="H384" s="62"/>
      <c r="I384" s="60"/>
      <c r="J384" s="60"/>
      <c r="K384" s="64"/>
      <c r="L384" s="64"/>
      <c r="M384" s="25"/>
      <c r="N384" s="25"/>
    </row>
    <row r="385" spans="1:14">
      <c r="A385" s="3" t="s">
        <v>728</v>
      </c>
      <c r="B385" s="4" t="s">
        <v>729</v>
      </c>
      <c r="C385" s="5">
        <f t="shared" si="11"/>
        <v>0</v>
      </c>
      <c r="D385" s="5"/>
      <c r="E385" s="6">
        <f t="shared" si="10"/>
        <v>0</v>
      </c>
      <c r="F385" s="6">
        <f t="shared" si="10"/>
        <v>0</v>
      </c>
      <c r="G385" s="62"/>
      <c r="H385" s="62"/>
      <c r="I385" s="60"/>
      <c r="J385" s="60"/>
      <c r="K385" s="64"/>
      <c r="L385" s="64"/>
      <c r="M385" s="25"/>
      <c r="N385" s="25"/>
    </row>
    <row r="386" spans="1:14">
      <c r="A386" s="3" t="s">
        <v>730</v>
      </c>
      <c r="B386" s="4" t="s">
        <v>731</v>
      </c>
      <c r="C386" s="5">
        <f t="shared" si="11"/>
        <v>0</v>
      </c>
      <c r="D386" s="5"/>
      <c r="E386" s="6">
        <f t="shared" si="10"/>
        <v>0</v>
      </c>
      <c r="F386" s="6">
        <f t="shared" si="10"/>
        <v>0</v>
      </c>
      <c r="G386" s="62"/>
      <c r="H386" s="62"/>
      <c r="I386" s="60"/>
      <c r="J386" s="60"/>
      <c r="K386" s="64"/>
      <c r="L386" s="64"/>
      <c r="M386" s="25"/>
      <c r="N386" s="25"/>
    </row>
    <row r="387" spans="1:14">
      <c r="A387" s="3" t="s">
        <v>732</v>
      </c>
      <c r="B387" s="4" t="s">
        <v>733</v>
      </c>
      <c r="C387" s="5">
        <f t="shared" si="11"/>
        <v>0</v>
      </c>
      <c r="D387" s="5"/>
      <c r="E387" s="6">
        <f t="shared" si="10"/>
        <v>0</v>
      </c>
      <c r="F387" s="6">
        <f t="shared" si="10"/>
        <v>0</v>
      </c>
      <c r="G387" s="62"/>
      <c r="H387" s="62"/>
      <c r="I387" s="60"/>
      <c r="J387" s="60"/>
      <c r="K387" s="64"/>
      <c r="L387" s="64"/>
      <c r="M387" s="25"/>
      <c r="N387" s="25"/>
    </row>
    <row r="388" spans="1:14">
      <c r="A388" s="3" t="s">
        <v>734</v>
      </c>
      <c r="B388" s="4" t="s">
        <v>735</v>
      </c>
      <c r="C388" s="5">
        <f t="shared" si="11"/>
        <v>0</v>
      </c>
      <c r="D388" s="5"/>
      <c r="E388" s="6">
        <f t="shared" si="10"/>
        <v>0</v>
      </c>
      <c r="F388" s="6">
        <f t="shared" si="10"/>
        <v>0</v>
      </c>
      <c r="G388" s="62"/>
      <c r="H388" s="62"/>
      <c r="I388" s="60"/>
      <c r="J388" s="60"/>
      <c r="K388" s="64"/>
      <c r="L388" s="64"/>
      <c r="M388" s="25"/>
      <c r="N388" s="25"/>
    </row>
    <row r="389" spans="1:14">
      <c r="A389" s="3" t="s">
        <v>736</v>
      </c>
      <c r="B389" s="4" t="s">
        <v>737</v>
      </c>
      <c r="C389" s="5">
        <f t="shared" si="11"/>
        <v>0</v>
      </c>
      <c r="D389" s="5"/>
      <c r="E389" s="6">
        <f t="shared" si="10"/>
        <v>0</v>
      </c>
      <c r="F389" s="6">
        <f t="shared" si="10"/>
        <v>0</v>
      </c>
      <c r="G389" s="62"/>
      <c r="H389" s="62"/>
      <c r="I389" s="60"/>
      <c r="J389" s="60"/>
      <c r="K389" s="64"/>
      <c r="L389" s="64"/>
      <c r="M389" s="25"/>
      <c r="N389" s="25"/>
    </row>
    <row r="390" spans="1:14">
      <c r="A390" s="3" t="s">
        <v>738</v>
      </c>
      <c r="B390" s="4" t="s">
        <v>739</v>
      </c>
      <c r="C390" s="5">
        <f t="shared" si="11"/>
        <v>0</v>
      </c>
      <c r="D390" s="5"/>
      <c r="E390" s="6">
        <f t="shared" si="10"/>
        <v>0</v>
      </c>
      <c r="F390" s="6">
        <f t="shared" si="10"/>
        <v>0</v>
      </c>
      <c r="G390" s="62"/>
      <c r="H390" s="62"/>
      <c r="I390" s="60"/>
      <c r="J390" s="60"/>
      <c r="K390" s="64"/>
      <c r="L390" s="64"/>
      <c r="M390" s="25"/>
      <c r="N390" s="25"/>
    </row>
    <row r="391" spans="1:14">
      <c r="A391" s="3" t="s">
        <v>740</v>
      </c>
      <c r="B391" s="4" t="s">
        <v>741</v>
      </c>
      <c r="C391" s="5">
        <f t="shared" si="11"/>
        <v>0</v>
      </c>
      <c r="D391" s="5"/>
      <c r="E391" s="6">
        <f t="shared" si="10"/>
        <v>0</v>
      </c>
      <c r="F391" s="6">
        <f t="shared" si="10"/>
        <v>0</v>
      </c>
      <c r="G391" s="62"/>
      <c r="H391" s="62"/>
      <c r="I391" s="60"/>
      <c r="J391" s="60"/>
      <c r="K391" s="64"/>
      <c r="L391" s="64"/>
      <c r="M391" s="25"/>
      <c r="N391" s="25"/>
    </row>
    <row r="392" spans="1:14">
      <c r="A392" s="3" t="s">
        <v>742</v>
      </c>
      <c r="B392" s="4" t="s">
        <v>743</v>
      </c>
      <c r="C392" s="5">
        <f t="shared" si="11"/>
        <v>0</v>
      </c>
      <c r="D392" s="5"/>
      <c r="E392" s="6">
        <f t="shared" si="10"/>
        <v>0</v>
      </c>
      <c r="F392" s="6">
        <f t="shared" si="10"/>
        <v>0</v>
      </c>
      <c r="G392" s="62"/>
      <c r="H392" s="62"/>
      <c r="I392" s="60"/>
      <c r="J392" s="60"/>
      <c r="K392" s="64"/>
      <c r="L392" s="64"/>
      <c r="M392" s="25"/>
      <c r="N392" s="25"/>
    </row>
    <row r="393" spans="1:14">
      <c r="A393" s="3" t="s">
        <v>744</v>
      </c>
      <c r="B393" s="4" t="s">
        <v>745</v>
      </c>
      <c r="C393" s="5">
        <f t="shared" si="11"/>
        <v>0</v>
      </c>
      <c r="D393" s="5"/>
      <c r="E393" s="6">
        <f t="shared" si="10"/>
        <v>0</v>
      </c>
      <c r="F393" s="6">
        <f t="shared" si="10"/>
        <v>0</v>
      </c>
      <c r="G393" s="62"/>
      <c r="H393" s="62"/>
      <c r="I393" s="60"/>
      <c r="J393" s="60"/>
      <c r="K393" s="64"/>
      <c r="L393" s="64"/>
      <c r="M393" s="25"/>
      <c r="N393" s="25"/>
    </row>
    <row r="394" spans="1:14">
      <c r="A394" s="3" t="s">
        <v>746</v>
      </c>
      <c r="B394" s="4" t="s">
        <v>747</v>
      </c>
      <c r="C394" s="5">
        <f t="shared" si="11"/>
        <v>0</v>
      </c>
      <c r="D394" s="5"/>
      <c r="E394" s="6">
        <f t="shared" si="10"/>
        <v>0</v>
      </c>
      <c r="F394" s="6">
        <f t="shared" si="10"/>
        <v>0</v>
      </c>
      <c r="G394" s="62"/>
      <c r="H394" s="62"/>
      <c r="I394" s="60"/>
      <c r="J394" s="60"/>
      <c r="K394" s="64"/>
      <c r="L394" s="64"/>
      <c r="M394" s="25"/>
      <c r="N394" s="25"/>
    </row>
    <row r="395" spans="1:14">
      <c r="A395" s="3" t="s">
        <v>748</v>
      </c>
      <c r="B395" s="4" t="s">
        <v>749</v>
      </c>
      <c r="C395" s="5">
        <f t="shared" si="11"/>
        <v>0</v>
      </c>
      <c r="D395" s="5"/>
      <c r="E395" s="6">
        <f t="shared" si="10"/>
        <v>0</v>
      </c>
      <c r="F395" s="6">
        <f t="shared" si="10"/>
        <v>0</v>
      </c>
      <c r="G395" s="62"/>
      <c r="H395" s="62"/>
      <c r="I395" s="60"/>
      <c r="J395" s="60"/>
      <c r="K395" s="64"/>
      <c r="L395" s="64"/>
      <c r="M395" s="25"/>
      <c r="N395" s="25"/>
    </row>
    <row r="396" spans="1:14">
      <c r="A396" s="3" t="s">
        <v>750</v>
      </c>
      <c r="B396" s="4" t="s">
        <v>751</v>
      </c>
      <c r="C396" s="5">
        <f t="shared" si="11"/>
        <v>0</v>
      </c>
      <c r="D396" s="5"/>
      <c r="E396" s="6">
        <f t="shared" si="10"/>
        <v>0</v>
      </c>
      <c r="F396" s="6">
        <f t="shared" si="10"/>
        <v>0</v>
      </c>
      <c r="G396" s="62"/>
      <c r="H396" s="62"/>
      <c r="I396" s="60"/>
      <c r="J396" s="60"/>
      <c r="K396" s="64"/>
      <c r="L396" s="64"/>
      <c r="M396" s="25"/>
      <c r="N396" s="25"/>
    </row>
    <row r="397" spans="1:14">
      <c r="A397" s="3" t="s">
        <v>752</v>
      </c>
      <c r="B397" s="4" t="s">
        <v>753</v>
      </c>
      <c r="C397" s="5">
        <f t="shared" si="11"/>
        <v>0</v>
      </c>
      <c r="D397" s="5"/>
      <c r="E397" s="6">
        <f t="shared" si="10"/>
        <v>0</v>
      </c>
      <c r="F397" s="6">
        <f t="shared" si="10"/>
        <v>0</v>
      </c>
      <c r="G397" s="62"/>
      <c r="H397" s="62"/>
      <c r="I397" s="60"/>
      <c r="J397" s="60"/>
      <c r="K397" s="64"/>
      <c r="L397" s="64"/>
      <c r="M397" s="25"/>
      <c r="N397" s="25"/>
    </row>
    <row r="398" spans="1:14">
      <c r="A398" s="3" t="s">
        <v>754</v>
      </c>
      <c r="B398" s="4" t="s">
        <v>755</v>
      </c>
      <c r="C398" s="5">
        <f t="shared" si="11"/>
        <v>0</v>
      </c>
      <c r="D398" s="5"/>
      <c r="E398" s="6">
        <f t="shared" ref="E398:F461" si="12">SUM(G398,I398,K398,M398)</f>
        <v>0</v>
      </c>
      <c r="F398" s="6">
        <f t="shared" si="12"/>
        <v>0</v>
      </c>
      <c r="G398" s="62"/>
      <c r="H398" s="62"/>
      <c r="I398" s="60"/>
      <c r="J398" s="60"/>
      <c r="K398" s="64"/>
      <c r="L398" s="64"/>
      <c r="M398" s="25"/>
      <c r="N398" s="25"/>
    </row>
    <row r="399" spans="1:14">
      <c r="A399" s="3" t="s">
        <v>756</v>
      </c>
      <c r="B399" s="4" t="s">
        <v>757</v>
      </c>
      <c r="C399" s="5">
        <f t="shared" si="11"/>
        <v>0</v>
      </c>
      <c r="D399" s="5"/>
      <c r="E399" s="6">
        <f t="shared" si="12"/>
        <v>0</v>
      </c>
      <c r="F399" s="6">
        <f t="shared" si="12"/>
        <v>0</v>
      </c>
      <c r="G399" s="62"/>
      <c r="H399" s="62"/>
      <c r="I399" s="60"/>
      <c r="J399" s="60"/>
      <c r="K399" s="64"/>
      <c r="L399" s="64"/>
      <c r="M399" s="25"/>
      <c r="N399" s="25"/>
    </row>
    <row r="400" spans="1:14">
      <c r="A400" s="3" t="s">
        <v>758</v>
      </c>
      <c r="B400" s="4" t="s">
        <v>759</v>
      </c>
      <c r="C400" s="5">
        <f t="shared" si="11"/>
        <v>0</v>
      </c>
      <c r="D400" s="5"/>
      <c r="E400" s="6">
        <f t="shared" si="12"/>
        <v>0</v>
      </c>
      <c r="F400" s="6">
        <f t="shared" si="12"/>
        <v>0</v>
      </c>
      <c r="G400" s="62"/>
      <c r="H400" s="62"/>
      <c r="I400" s="60"/>
      <c r="J400" s="60"/>
      <c r="K400" s="64"/>
      <c r="L400" s="64"/>
      <c r="M400" s="25"/>
      <c r="N400" s="25"/>
    </row>
    <row r="401" spans="1:14">
      <c r="A401" s="3" t="s">
        <v>760</v>
      </c>
      <c r="B401" s="4" t="s">
        <v>761</v>
      </c>
      <c r="C401" s="5">
        <f t="shared" si="11"/>
        <v>0</v>
      </c>
      <c r="D401" s="5"/>
      <c r="E401" s="6">
        <f t="shared" si="12"/>
        <v>0</v>
      </c>
      <c r="F401" s="6">
        <f t="shared" si="12"/>
        <v>0</v>
      </c>
      <c r="G401" s="62"/>
      <c r="H401" s="62"/>
      <c r="I401" s="60"/>
      <c r="J401" s="60"/>
      <c r="K401" s="64"/>
      <c r="L401" s="64"/>
      <c r="M401" s="25"/>
      <c r="N401" s="25"/>
    </row>
    <row r="402" spans="1:14">
      <c r="A402" s="3" t="s">
        <v>762</v>
      </c>
      <c r="B402" s="4" t="s">
        <v>763</v>
      </c>
      <c r="C402" s="5">
        <f t="shared" si="11"/>
        <v>0</v>
      </c>
      <c r="D402" s="5"/>
      <c r="E402" s="6">
        <f t="shared" si="12"/>
        <v>0</v>
      </c>
      <c r="F402" s="6">
        <f t="shared" si="12"/>
        <v>0</v>
      </c>
      <c r="G402" s="62"/>
      <c r="H402" s="62"/>
      <c r="I402" s="60"/>
      <c r="J402" s="60"/>
      <c r="K402" s="64"/>
      <c r="L402" s="64"/>
      <c r="M402" s="25"/>
      <c r="N402" s="25"/>
    </row>
    <row r="403" spans="1:14">
      <c r="A403" s="3" t="s">
        <v>764</v>
      </c>
      <c r="B403" s="4" t="s">
        <v>765</v>
      </c>
      <c r="C403" s="5">
        <f t="shared" si="11"/>
        <v>0</v>
      </c>
      <c r="D403" s="5"/>
      <c r="E403" s="6">
        <f t="shared" si="12"/>
        <v>0</v>
      </c>
      <c r="F403" s="6">
        <f t="shared" si="12"/>
        <v>0</v>
      </c>
      <c r="G403" s="62"/>
      <c r="H403" s="62"/>
      <c r="I403" s="60"/>
      <c r="J403" s="60"/>
      <c r="K403" s="64"/>
      <c r="L403" s="64"/>
      <c r="M403" s="25"/>
      <c r="N403" s="25"/>
    </row>
    <row r="404" spans="1:14">
      <c r="A404" s="3" t="s">
        <v>766</v>
      </c>
      <c r="B404" s="4" t="s">
        <v>767</v>
      </c>
      <c r="C404" s="5">
        <f t="shared" si="11"/>
        <v>0</v>
      </c>
      <c r="D404" s="5"/>
      <c r="E404" s="6">
        <f t="shared" si="12"/>
        <v>0</v>
      </c>
      <c r="F404" s="6">
        <f t="shared" si="12"/>
        <v>0</v>
      </c>
      <c r="G404" s="62"/>
      <c r="H404" s="62"/>
      <c r="I404" s="60"/>
      <c r="J404" s="60"/>
      <c r="K404" s="64"/>
      <c r="L404" s="64"/>
      <c r="M404" s="25"/>
      <c r="N404" s="25"/>
    </row>
    <row r="405" spans="1:14">
      <c r="A405" s="3" t="s">
        <v>768</v>
      </c>
      <c r="B405" s="4" t="s">
        <v>769</v>
      </c>
      <c r="C405" s="5">
        <f t="shared" si="11"/>
        <v>0</v>
      </c>
      <c r="D405" s="5"/>
      <c r="E405" s="6">
        <f t="shared" si="12"/>
        <v>0</v>
      </c>
      <c r="F405" s="6">
        <f t="shared" si="12"/>
        <v>0</v>
      </c>
      <c r="G405" s="62"/>
      <c r="H405" s="62"/>
      <c r="I405" s="60"/>
      <c r="J405" s="60"/>
      <c r="K405" s="64"/>
      <c r="L405" s="64"/>
      <c r="M405" s="25"/>
      <c r="N405" s="25"/>
    </row>
    <row r="406" spans="1:14">
      <c r="A406" s="3" t="s">
        <v>770</v>
      </c>
      <c r="B406" s="4" t="s">
        <v>771</v>
      </c>
      <c r="C406" s="5">
        <f t="shared" si="11"/>
        <v>0</v>
      </c>
      <c r="D406" s="5"/>
      <c r="E406" s="6">
        <f t="shared" si="12"/>
        <v>0</v>
      </c>
      <c r="F406" s="6">
        <f t="shared" si="12"/>
        <v>0</v>
      </c>
      <c r="G406" s="62"/>
      <c r="H406" s="62"/>
      <c r="I406" s="60"/>
      <c r="J406" s="60"/>
      <c r="K406" s="64"/>
      <c r="L406" s="64"/>
      <c r="M406" s="25"/>
      <c r="N406" s="25"/>
    </row>
    <row r="407" spans="1:14">
      <c r="A407" s="3" t="s">
        <v>772</v>
      </c>
      <c r="B407" s="4" t="s">
        <v>773</v>
      </c>
      <c r="C407" s="5">
        <f t="shared" si="11"/>
        <v>0</v>
      </c>
      <c r="D407" s="5"/>
      <c r="E407" s="6">
        <f t="shared" si="12"/>
        <v>0</v>
      </c>
      <c r="F407" s="6">
        <f t="shared" si="12"/>
        <v>0</v>
      </c>
      <c r="G407" s="62"/>
      <c r="H407" s="62"/>
      <c r="I407" s="60"/>
      <c r="J407" s="60"/>
      <c r="K407" s="64"/>
      <c r="L407" s="64"/>
      <c r="M407" s="25"/>
      <c r="N407" s="25"/>
    </row>
    <row r="408" spans="1:14">
      <c r="A408" s="3" t="s">
        <v>774</v>
      </c>
      <c r="B408" s="4" t="s">
        <v>775</v>
      </c>
      <c r="C408" s="5">
        <f t="shared" si="11"/>
        <v>0</v>
      </c>
      <c r="D408" s="5"/>
      <c r="E408" s="6">
        <f t="shared" si="12"/>
        <v>0</v>
      </c>
      <c r="F408" s="6">
        <f t="shared" si="12"/>
        <v>0</v>
      </c>
      <c r="G408" s="62"/>
      <c r="H408" s="62"/>
      <c r="I408" s="60"/>
      <c r="J408" s="60"/>
      <c r="K408" s="64"/>
      <c r="L408" s="64"/>
      <c r="M408" s="25"/>
      <c r="N408" s="25"/>
    </row>
    <row r="409" spans="1:14">
      <c r="A409" s="3" t="s">
        <v>776</v>
      </c>
      <c r="B409" s="4" t="s">
        <v>777</v>
      </c>
      <c r="C409" s="5">
        <f t="shared" ref="C409:C461" si="13">E409-F409</f>
        <v>0</v>
      </c>
      <c r="D409" s="5"/>
      <c r="E409" s="6">
        <f t="shared" si="12"/>
        <v>0</v>
      </c>
      <c r="F409" s="6">
        <f t="shared" si="12"/>
        <v>0</v>
      </c>
      <c r="G409" s="62"/>
      <c r="H409" s="62"/>
      <c r="I409" s="60"/>
      <c r="J409" s="60"/>
      <c r="K409" s="64"/>
      <c r="L409" s="64"/>
      <c r="M409" s="25"/>
      <c r="N409" s="25"/>
    </row>
    <row r="410" spans="1:14">
      <c r="A410" s="3" t="s">
        <v>778</v>
      </c>
      <c r="B410" s="4" t="s">
        <v>779</v>
      </c>
      <c r="C410" s="5">
        <f t="shared" si="13"/>
        <v>0</v>
      </c>
      <c r="D410" s="5"/>
      <c r="E410" s="6">
        <f t="shared" si="12"/>
        <v>0</v>
      </c>
      <c r="F410" s="6">
        <f t="shared" si="12"/>
        <v>0</v>
      </c>
      <c r="G410" s="62"/>
      <c r="H410" s="62"/>
      <c r="I410" s="60"/>
      <c r="J410" s="60"/>
      <c r="K410" s="64"/>
      <c r="L410" s="64"/>
      <c r="M410" s="25"/>
      <c r="N410" s="25"/>
    </row>
    <row r="411" spans="1:14">
      <c r="A411" s="3" t="s">
        <v>780</v>
      </c>
      <c r="B411" s="4" t="s">
        <v>781</v>
      </c>
      <c r="C411" s="5">
        <f t="shared" si="13"/>
        <v>0</v>
      </c>
      <c r="D411" s="5"/>
      <c r="E411" s="6">
        <f t="shared" si="12"/>
        <v>0</v>
      </c>
      <c r="F411" s="6">
        <f t="shared" si="12"/>
        <v>0</v>
      </c>
      <c r="G411" s="62"/>
      <c r="H411" s="62"/>
      <c r="I411" s="60"/>
      <c r="J411" s="60"/>
      <c r="K411" s="64"/>
      <c r="L411" s="64"/>
      <c r="M411" s="25"/>
      <c r="N411" s="25"/>
    </row>
    <row r="412" spans="1:14">
      <c r="A412" s="3" t="s">
        <v>782</v>
      </c>
      <c r="B412" s="4" t="s">
        <v>783</v>
      </c>
      <c r="C412" s="5">
        <f t="shared" si="13"/>
        <v>0</v>
      </c>
      <c r="D412" s="5"/>
      <c r="E412" s="6">
        <f t="shared" si="12"/>
        <v>0</v>
      </c>
      <c r="F412" s="6">
        <f t="shared" si="12"/>
        <v>0</v>
      </c>
      <c r="G412" s="62"/>
      <c r="H412" s="62"/>
      <c r="I412" s="60"/>
      <c r="J412" s="60"/>
      <c r="K412" s="64"/>
      <c r="L412" s="64"/>
      <c r="M412" s="25"/>
      <c r="N412" s="25"/>
    </row>
    <row r="413" spans="1:14">
      <c r="A413" s="3" t="s">
        <v>784</v>
      </c>
      <c r="B413" s="4" t="s">
        <v>785</v>
      </c>
      <c r="C413" s="5">
        <f t="shared" si="13"/>
        <v>0</v>
      </c>
      <c r="D413" s="5"/>
      <c r="E413" s="6">
        <f t="shared" si="12"/>
        <v>0</v>
      </c>
      <c r="F413" s="6">
        <f t="shared" si="12"/>
        <v>0</v>
      </c>
      <c r="G413" s="62"/>
      <c r="H413" s="62"/>
      <c r="I413" s="60"/>
      <c r="J413" s="60"/>
      <c r="K413" s="64"/>
      <c r="L413" s="64"/>
      <c r="M413" s="25"/>
      <c r="N413" s="25"/>
    </row>
    <row r="414" spans="1:14">
      <c r="A414" s="3" t="s">
        <v>786</v>
      </c>
      <c r="B414" s="4" t="s">
        <v>787</v>
      </c>
      <c r="C414" s="5">
        <f t="shared" si="13"/>
        <v>0</v>
      </c>
      <c r="D414" s="5"/>
      <c r="E414" s="6">
        <f t="shared" si="12"/>
        <v>0</v>
      </c>
      <c r="F414" s="6">
        <f t="shared" si="12"/>
        <v>0</v>
      </c>
      <c r="G414" s="62"/>
      <c r="H414" s="62"/>
      <c r="I414" s="60"/>
      <c r="J414" s="60"/>
      <c r="K414" s="64"/>
      <c r="L414" s="64"/>
      <c r="M414" s="25"/>
      <c r="N414" s="25"/>
    </row>
    <row r="415" spans="1:14">
      <c r="A415" s="3" t="s">
        <v>788</v>
      </c>
      <c r="B415" s="4" t="s">
        <v>789</v>
      </c>
      <c r="C415" s="5">
        <f t="shared" si="13"/>
        <v>0</v>
      </c>
      <c r="D415" s="5"/>
      <c r="E415" s="6">
        <f t="shared" si="12"/>
        <v>0</v>
      </c>
      <c r="F415" s="6">
        <f t="shared" si="12"/>
        <v>0</v>
      </c>
      <c r="G415" s="62"/>
      <c r="H415" s="62"/>
      <c r="I415" s="60"/>
      <c r="J415" s="60"/>
      <c r="K415" s="64"/>
      <c r="L415" s="64"/>
      <c r="M415" s="25"/>
      <c r="N415" s="25"/>
    </row>
    <row r="416" spans="1:14">
      <c r="A416" s="3" t="s">
        <v>790</v>
      </c>
      <c r="B416" s="4" t="s">
        <v>791</v>
      </c>
      <c r="C416" s="5">
        <f t="shared" si="13"/>
        <v>0</v>
      </c>
      <c r="D416" s="5"/>
      <c r="E416" s="6">
        <f t="shared" si="12"/>
        <v>0</v>
      </c>
      <c r="F416" s="6">
        <f t="shared" si="12"/>
        <v>0</v>
      </c>
      <c r="G416" s="62"/>
      <c r="H416" s="62"/>
      <c r="I416" s="60"/>
      <c r="J416" s="60"/>
      <c r="K416" s="64"/>
      <c r="L416" s="64"/>
      <c r="M416" s="25"/>
      <c r="N416" s="25"/>
    </row>
    <row r="417" spans="1:14">
      <c r="A417" s="3" t="s">
        <v>792</v>
      </c>
      <c r="B417" s="4" t="s">
        <v>793</v>
      </c>
      <c r="C417" s="5">
        <f t="shared" si="13"/>
        <v>0</v>
      </c>
      <c r="D417" s="5"/>
      <c r="E417" s="6">
        <f t="shared" si="12"/>
        <v>0</v>
      </c>
      <c r="F417" s="6">
        <f t="shared" si="12"/>
        <v>0</v>
      </c>
      <c r="G417" s="62"/>
      <c r="H417" s="62"/>
      <c r="I417" s="60"/>
      <c r="J417" s="60"/>
      <c r="K417" s="64"/>
      <c r="L417" s="64"/>
      <c r="M417" s="25"/>
      <c r="N417" s="25"/>
    </row>
    <row r="418" spans="1:14">
      <c r="A418" s="3" t="s">
        <v>794</v>
      </c>
      <c r="B418" s="4" t="s">
        <v>795</v>
      </c>
      <c r="C418" s="5">
        <f t="shared" si="13"/>
        <v>0</v>
      </c>
      <c r="D418" s="5"/>
      <c r="E418" s="6">
        <f t="shared" si="12"/>
        <v>0</v>
      </c>
      <c r="F418" s="6">
        <f t="shared" si="12"/>
        <v>0</v>
      </c>
      <c r="G418" s="62"/>
      <c r="H418" s="62"/>
      <c r="I418" s="60"/>
      <c r="J418" s="60"/>
      <c r="K418" s="64"/>
      <c r="L418" s="64"/>
      <c r="M418" s="25"/>
      <c r="N418" s="25"/>
    </row>
    <row r="419" spans="1:14">
      <c r="A419" s="3" t="s">
        <v>796</v>
      </c>
      <c r="B419" s="4" t="s">
        <v>797</v>
      </c>
      <c r="C419" s="5">
        <f t="shared" si="13"/>
        <v>0</v>
      </c>
      <c r="D419" s="5"/>
      <c r="E419" s="6">
        <f t="shared" si="12"/>
        <v>0</v>
      </c>
      <c r="F419" s="6">
        <f t="shared" si="12"/>
        <v>0</v>
      </c>
      <c r="G419" s="62"/>
      <c r="H419" s="62"/>
      <c r="I419" s="60"/>
      <c r="J419" s="60"/>
      <c r="K419" s="64"/>
      <c r="L419" s="64"/>
      <c r="M419" s="25"/>
      <c r="N419" s="25"/>
    </row>
    <row r="420" spans="1:14">
      <c r="A420" s="3" t="s">
        <v>798</v>
      </c>
      <c r="B420" s="4" t="s">
        <v>799</v>
      </c>
      <c r="C420" s="5">
        <f t="shared" si="13"/>
        <v>0</v>
      </c>
      <c r="D420" s="5"/>
      <c r="E420" s="6">
        <f t="shared" si="12"/>
        <v>0</v>
      </c>
      <c r="F420" s="6">
        <f t="shared" si="12"/>
        <v>0</v>
      </c>
      <c r="G420" s="62"/>
      <c r="H420" s="62"/>
      <c r="I420" s="60"/>
      <c r="J420" s="60"/>
      <c r="K420" s="64"/>
      <c r="L420" s="64"/>
      <c r="M420" s="25"/>
      <c r="N420" s="25"/>
    </row>
    <row r="421" spans="1:14">
      <c r="A421" s="3" t="s">
        <v>800</v>
      </c>
      <c r="B421" s="4" t="s">
        <v>801</v>
      </c>
      <c r="C421" s="5">
        <f t="shared" si="13"/>
        <v>0</v>
      </c>
      <c r="D421" s="5"/>
      <c r="E421" s="6">
        <f t="shared" si="12"/>
        <v>0</v>
      </c>
      <c r="F421" s="6">
        <f t="shared" si="12"/>
        <v>0</v>
      </c>
      <c r="G421" s="62"/>
      <c r="H421" s="62"/>
      <c r="I421" s="60"/>
      <c r="J421" s="60"/>
      <c r="K421" s="64"/>
      <c r="L421" s="64"/>
      <c r="M421" s="25"/>
      <c r="N421" s="25"/>
    </row>
    <row r="422" spans="1:14">
      <c r="A422" s="3" t="s">
        <v>802</v>
      </c>
      <c r="B422" s="4" t="s">
        <v>803</v>
      </c>
      <c r="C422" s="5">
        <f t="shared" si="13"/>
        <v>0</v>
      </c>
      <c r="D422" s="5"/>
      <c r="E422" s="6">
        <f t="shared" si="12"/>
        <v>0</v>
      </c>
      <c r="F422" s="6">
        <f t="shared" si="12"/>
        <v>0</v>
      </c>
      <c r="G422" s="62"/>
      <c r="H422" s="62"/>
      <c r="I422" s="60"/>
      <c r="J422" s="60"/>
      <c r="K422" s="64"/>
      <c r="L422" s="64"/>
      <c r="M422" s="25"/>
      <c r="N422" s="25"/>
    </row>
    <row r="423" spans="1:14">
      <c r="A423" s="3" t="s">
        <v>804</v>
      </c>
      <c r="B423" s="4" t="s">
        <v>805</v>
      </c>
      <c r="C423" s="5">
        <f t="shared" si="13"/>
        <v>0</v>
      </c>
      <c r="D423" s="5"/>
      <c r="E423" s="6">
        <f t="shared" si="12"/>
        <v>0</v>
      </c>
      <c r="F423" s="6">
        <f t="shared" si="12"/>
        <v>0</v>
      </c>
      <c r="G423" s="62"/>
      <c r="H423" s="62"/>
      <c r="I423" s="60"/>
      <c r="J423" s="60"/>
      <c r="K423" s="64"/>
      <c r="L423" s="64"/>
      <c r="M423" s="25"/>
      <c r="N423" s="25"/>
    </row>
    <row r="424" spans="1:14">
      <c r="A424" s="3" t="s">
        <v>806</v>
      </c>
      <c r="B424" s="4" t="s">
        <v>807</v>
      </c>
      <c r="C424" s="5">
        <f t="shared" si="13"/>
        <v>0</v>
      </c>
      <c r="D424" s="5"/>
      <c r="E424" s="6">
        <f t="shared" si="12"/>
        <v>0</v>
      </c>
      <c r="F424" s="6">
        <f t="shared" si="12"/>
        <v>0</v>
      </c>
      <c r="G424" s="62"/>
      <c r="H424" s="62"/>
      <c r="I424" s="60"/>
      <c r="J424" s="60"/>
      <c r="K424" s="64"/>
      <c r="L424" s="64"/>
      <c r="M424" s="25"/>
      <c r="N424" s="25"/>
    </row>
    <row r="425" spans="1:14">
      <c r="A425" s="3" t="s">
        <v>808</v>
      </c>
      <c r="B425" s="4" t="s">
        <v>809</v>
      </c>
      <c r="C425" s="5">
        <f t="shared" si="13"/>
        <v>0</v>
      </c>
      <c r="D425" s="5"/>
      <c r="E425" s="6">
        <f t="shared" si="12"/>
        <v>0</v>
      </c>
      <c r="F425" s="6">
        <f t="shared" si="12"/>
        <v>0</v>
      </c>
      <c r="G425" s="62"/>
      <c r="H425" s="62"/>
      <c r="I425" s="60"/>
      <c r="J425" s="60"/>
      <c r="K425" s="64"/>
      <c r="L425" s="64"/>
      <c r="M425" s="25"/>
      <c r="N425" s="25"/>
    </row>
    <row r="426" spans="1:14">
      <c r="A426" s="3" t="s">
        <v>810</v>
      </c>
      <c r="B426" s="4" t="s">
        <v>811</v>
      </c>
      <c r="C426" s="5">
        <f t="shared" si="13"/>
        <v>0</v>
      </c>
      <c r="D426" s="5"/>
      <c r="E426" s="6">
        <f t="shared" si="12"/>
        <v>0</v>
      </c>
      <c r="F426" s="6">
        <f t="shared" si="12"/>
        <v>0</v>
      </c>
      <c r="G426" s="62"/>
      <c r="H426" s="62"/>
      <c r="I426" s="60"/>
      <c r="J426" s="60"/>
      <c r="K426" s="64"/>
      <c r="L426" s="64"/>
      <c r="M426" s="25"/>
      <c r="N426" s="25"/>
    </row>
    <row r="427" spans="1:14">
      <c r="A427" s="3" t="s">
        <v>812</v>
      </c>
      <c r="B427" s="4" t="s">
        <v>813</v>
      </c>
      <c r="C427" s="5">
        <f t="shared" si="13"/>
        <v>0</v>
      </c>
      <c r="D427" s="5"/>
      <c r="E427" s="6">
        <f t="shared" si="12"/>
        <v>0</v>
      </c>
      <c r="F427" s="6">
        <f t="shared" si="12"/>
        <v>0</v>
      </c>
      <c r="G427" s="62"/>
      <c r="H427" s="62"/>
      <c r="I427" s="60"/>
      <c r="J427" s="60"/>
      <c r="K427" s="64"/>
      <c r="L427" s="64"/>
      <c r="M427" s="25"/>
      <c r="N427" s="25"/>
    </row>
    <row r="428" spans="1:14">
      <c r="A428" s="3" t="s">
        <v>814</v>
      </c>
      <c r="B428" s="4" t="s">
        <v>815</v>
      </c>
      <c r="C428" s="5">
        <f t="shared" si="13"/>
        <v>0</v>
      </c>
      <c r="D428" s="5"/>
      <c r="E428" s="6">
        <f t="shared" si="12"/>
        <v>0</v>
      </c>
      <c r="F428" s="6">
        <f t="shared" si="12"/>
        <v>0</v>
      </c>
      <c r="G428" s="62"/>
      <c r="H428" s="62"/>
      <c r="I428" s="60"/>
      <c r="J428" s="60"/>
      <c r="K428" s="64"/>
      <c r="L428" s="64"/>
      <c r="M428" s="25"/>
      <c r="N428" s="25"/>
    </row>
    <row r="429" spans="1:14">
      <c r="A429" s="3" t="s">
        <v>816</v>
      </c>
      <c r="B429" s="4" t="s">
        <v>817</v>
      </c>
      <c r="C429" s="5">
        <f t="shared" si="13"/>
        <v>0</v>
      </c>
      <c r="D429" s="5"/>
      <c r="E429" s="6">
        <f t="shared" si="12"/>
        <v>0</v>
      </c>
      <c r="F429" s="6">
        <f t="shared" si="12"/>
        <v>0</v>
      </c>
      <c r="G429" s="62"/>
      <c r="H429" s="62"/>
      <c r="I429" s="60"/>
      <c r="J429" s="60"/>
      <c r="K429" s="64"/>
      <c r="L429" s="64"/>
      <c r="M429" s="25"/>
      <c r="N429" s="25"/>
    </row>
    <row r="430" spans="1:14">
      <c r="A430" s="3" t="s">
        <v>818</v>
      </c>
      <c r="B430" s="4" t="s">
        <v>819</v>
      </c>
      <c r="C430" s="5">
        <f t="shared" si="13"/>
        <v>0</v>
      </c>
      <c r="D430" s="5"/>
      <c r="E430" s="6">
        <f t="shared" si="12"/>
        <v>0</v>
      </c>
      <c r="F430" s="6">
        <f t="shared" si="12"/>
        <v>0</v>
      </c>
      <c r="G430" s="62"/>
      <c r="H430" s="62"/>
      <c r="I430" s="60"/>
      <c r="J430" s="60"/>
      <c r="K430" s="64"/>
      <c r="L430" s="64"/>
      <c r="M430" s="25"/>
      <c r="N430" s="25"/>
    </row>
    <row r="431" spans="1:14">
      <c r="A431" s="3" t="s">
        <v>820</v>
      </c>
      <c r="B431" s="4" t="s">
        <v>821</v>
      </c>
      <c r="C431" s="5">
        <f t="shared" si="13"/>
        <v>0</v>
      </c>
      <c r="D431" s="5"/>
      <c r="E431" s="6">
        <f t="shared" si="12"/>
        <v>0</v>
      </c>
      <c r="F431" s="6">
        <f t="shared" si="12"/>
        <v>0</v>
      </c>
      <c r="G431" s="62"/>
      <c r="H431" s="62"/>
      <c r="I431" s="60"/>
      <c r="J431" s="60"/>
      <c r="K431" s="64"/>
      <c r="L431" s="64"/>
      <c r="M431" s="25"/>
      <c r="N431" s="25"/>
    </row>
    <row r="432" spans="1:14">
      <c r="A432" s="3" t="s">
        <v>822</v>
      </c>
      <c r="B432" s="4" t="s">
        <v>823</v>
      </c>
      <c r="C432" s="5">
        <f t="shared" si="13"/>
        <v>0</v>
      </c>
      <c r="D432" s="5"/>
      <c r="E432" s="6">
        <f t="shared" si="12"/>
        <v>0</v>
      </c>
      <c r="F432" s="6">
        <f t="shared" si="12"/>
        <v>0</v>
      </c>
      <c r="G432" s="62"/>
      <c r="H432" s="62"/>
      <c r="I432" s="60"/>
      <c r="J432" s="60"/>
      <c r="K432" s="64"/>
      <c r="L432" s="64"/>
      <c r="M432" s="25"/>
      <c r="N432" s="25"/>
    </row>
    <row r="433" spans="1:14">
      <c r="A433" s="3" t="s">
        <v>824</v>
      </c>
      <c r="B433" s="4" t="s">
        <v>825</v>
      </c>
      <c r="C433" s="5">
        <f t="shared" si="13"/>
        <v>0</v>
      </c>
      <c r="D433" s="5"/>
      <c r="E433" s="6">
        <f t="shared" si="12"/>
        <v>0</v>
      </c>
      <c r="F433" s="6">
        <f t="shared" si="12"/>
        <v>0</v>
      </c>
      <c r="G433" s="62"/>
      <c r="H433" s="62"/>
      <c r="I433" s="60"/>
      <c r="J433" s="60"/>
      <c r="K433" s="64"/>
      <c r="L433" s="64"/>
      <c r="M433" s="25"/>
      <c r="N433" s="25"/>
    </row>
    <row r="434" spans="1:14">
      <c r="A434" s="3" t="s">
        <v>826</v>
      </c>
      <c r="B434" s="4" t="s">
        <v>827</v>
      </c>
      <c r="C434" s="5">
        <f t="shared" si="13"/>
        <v>0</v>
      </c>
      <c r="D434" s="5"/>
      <c r="E434" s="6">
        <f t="shared" si="12"/>
        <v>0</v>
      </c>
      <c r="F434" s="6">
        <f t="shared" si="12"/>
        <v>0</v>
      </c>
      <c r="G434" s="62"/>
      <c r="H434" s="62"/>
      <c r="I434" s="60"/>
      <c r="J434" s="60"/>
      <c r="K434" s="64"/>
      <c r="L434" s="64"/>
      <c r="M434" s="25"/>
      <c r="N434" s="25"/>
    </row>
    <row r="435" spans="1:14">
      <c r="A435" s="3" t="s">
        <v>828</v>
      </c>
      <c r="B435" s="4" t="s">
        <v>829</v>
      </c>
      <c r="C435" s="5">
        <f t="shared" si="13"/>
        <v>0</v>
      </c>
      <c r="D435" s="5"/>
      <c r="E435" s="6">
        <f t="shared" si="12"/>
        <v>0</v>
      </c>
      <c r="F435" s="6">
        <f t="shared" si="12"/>
        <v>0</v>
      </c>
      <c r="G435" s="62"/>
      <c r="H435" s="62"/>
      <c r="I435" s="60"/>
      <c r="J435" s="60"/>
      <c r="K435" s="64"/>
      <c r="L435" s="64"/>
      <c r="M435" s="25"/>
      <c r="N435" s="25"/>
    </row>
    <row r="436" spans="1:14">
      <c r="A436" s="3" t="s">
        <v>830</v>
      </c>
      <c r="B436" s="4" t="s">
        <v>831</v>
      </c>
      <c r="C436" s="5">
        <f t="shared" si="13"/>
        <v>0</v>
      </c>
      <c r="D436" s="5"/>
      <c r="E436" s="6">
        <f t="shared" si="12"/>
        <v>0</v>
      </c>
      <c r="F436" s="6">
        <f t="shared" si="12"/>
        <v>0</v>
      </c>
      <c r="G436" s="62"/>
      <c r="H436" s="62"/>
      <c r="I436" s="60"/>
      <c r="J436" s="60"/>
      <c r="K436" s="64"/>
      <c r="L436" s="64"/>
      <c r="M436" s="25"/>
      <c r="N436" s="25"/>
    </row>
    <row r="437" spans="1:14">
      <c r="A437" s="3" t="s">
        <v>832</v>
      </c>
      <c r="B437" s="4" t="s">
        <v>833</v>
      </c>
      <c r="C437" s="5">
        <f t="shared" si="13"/>
        <v>0</v>
      </c>
      <c r="D437" s="5"/>
      <c r="E437" s="6">
        <f t="shared" si="12"/>
        <v>0</v>
      </c>
      <c r="F437" s="6">
        <f t="shared" si="12"/>
        <v>0</v>
      </c>
      <c r="G437" s="62"/>
      <c r="H437" s="62"/>
      <c r="I437" s="60"/>
      <c r="J437" s="60"/>
      <c r="K437" s="64"/>
      <c r="L437" s="64"/>
      <c r="M437" s="25"/>
      <c r="N437" s="25"/>
    </row>
    <row r="438" spans="1:14">
      <c r="A438" s="3" t="s">
        <v>834</v>
      </c>
      <c r="B438" s="4" t="s">
        <v>835</v>
      </c>
      <c r="C438" s="5">
        <f t="shared" si="13"/>
        <v>0</v>
      </c>
      <c r="D438" s="5"/>
      <c r="E438" s="6">
        <f t="shared" si="12"/>
        <v>0</v>
      </c>
      <c r="F438" s="6">
        <f t="shared" si="12"/>
        <v>0</v>
      </c>
      <c r="G438" s="62"/>
      <c r="H438" s="62"/>
      <c r="I438" s="60"/>
      <c r="J438" s="60"/>
      <c r="K438" s="64"/>
      <c r="L438" s="64"/>
      <c r="M438" s="25"/>
      <c r="N438" s="25"/>
    </row>
    <row r="439" spans="1:14">
      <c r="A439" s="3" t="s">
        <v>836</v>
      </c>
      <c r="B439" s="4" t="s">
        <v>837</v>
      </c>
      <c r="C439" s="5">
        <f t="shared" si="13"/>
        <v>0</v>
      </c>
      <c r="D439" s="5"/>
      <c r="E439" s="6">
        <f t="shared" si="12"/>
        <v>0</v>
      </c>
      <c r="F439" s="6">
        <f t="shared" si="12"/>
        <v>0</v>
      </c>
      <c r="G439" s="62"/>
      <c r="H439" s="62"/>
      <c r="I439" s="60"/>
      <c r="J439" s="60"/>
      <c r="K439" s="64"/>
      <c r="L439" s="64"/>
      <c r="M439" s="25"/>
      <c r="N439" s="25"/>
    </row>
    <row r="440" spans="1:14">
      <c r="A440" s="3" t="s">
        <v>838</v>
      </c>
      <c r="B440" s="4" t="s">
        <v>839</v>
      </c>
      <c r="C440" s="5">
        <f t="shared" si="13"/>
        <v>0</v>
      </c>
      <c r="D440" s="5"/>
      <c r="E440" s="6">
        <f t="shared" si="12"/>
        <v>0</v>
      </c>
      <c r="F440" s="6">
        <f t="shared" si="12"/>
        <v>0</v>
      </c>
      <c r="G440" s="62"/>
      <c r="H440" s="62"/>
      <c r="I440" s="60"/>
      <c r="J440" s="60"/>
      <c r="K440" s="64"/>
      <c r="L440" s="64"/>
      <c r="M440" s="25"/>
      <c r="N440" s="25"/>
    </row>
    <row r="441" spans="1:14">
      <c r="A441" s="3" t="s">
        <v>840</v>
      </c>
      <c r="B441" s="4" t="s">
        <v>841</v>
      </c>
      <c r="C441" s="5">
        <f t="shared" si="13"/>
        <v>0</v>
      </c>
      <c r="D441" s="5"/>
      <c r="E441" s="6">
        <f t="shared" si="12"/>
        <v>0</v>
      </c>
      <c r="F441" s="6">
        <f t="shared" si="12"/>
        <v>0</v>
      </c>
      <c r="G441" s="62"/>
      <c r="H441" s="62"/>
      <c r="I441" s="60"/>
      <c r="J441" s="60"/>
      <c r="K441" s="64"/>
      <c r="L441" s="64"/>
      <c r="M441" s="25"/>
      <c r="N441" s="25"/>
    </row>
    <row r="442" spans="1:14">
      <c r="A442" s="3" t="s">
        <v>842</v>
      </c>
      <c r="B442" s="4" t="s">
        <v>843</v>
      </c>
      <c r="C442" s="5">
        <f t="shared" si="13"/>
        <v>0</v>
      </c>
      <c r="D442" s="5"/>
      <c r="E442" s="6">
        <f t="shared" si="12"/>
        <v>0</v>
      </c>
      <c r="F442" s="6">
        <f t="shared" si="12"/>
        <v>0</v>
      </c>
      <c r="G442" s="62"/>
      <c r="H442" s="62"/>
      <c r="I442" s="60"/>
      <c r="J442" s="60"/>
      <c r="K442" s="64"/>
      <c r="L442" s="64"/>
      <c r="M442" s="25"/>
      <c r="N442" s="25"/>
    </row>
    <row r="443" spans="1:14">
      <c r="A443" s="3" t="s">
        <v>844</v>
      </c>
      <c r="B443" s="4" t="s">
        <v>845</v>
      </c>
      <c r="C443" s="5">
        <f t="shared" si="13"/>
        <v>0</v>
      </c>
      <c r="D443" s="5"/>
      <c r="E443" s="6">
        <f t="shared" si="12"/>
        <v>0</v>
      </c>
      <c r="F443" s="6">
        <f t="shared" si="12"/>
        <v>0</v>
      </c>
      <c r="G443" s="62"/>
      <c r="H443" s="62"/>
      <c r="I443" s="60"/>
      <c r="J443" s="60"/>
      <c r="K443" s="64"/>
      <c r="L443" s="64"/>
      <c r="M443" s="25"/>
      <c r="N443" s="25"/>
    </row>
    <row r="444" spans="1:14">
      <c r="A444" s="3" t="s">
        <v>846</v>
      </c>
      <c r="B444" s="4" t="s">
        <v>847</v>
      </c>
      <c r="C444" s="5">
        <f t="shared" si="13"/>
        <v>0</v>
      </c>
      <c r="D444" s="5"/>
      <c r="E444" s="6">
        <f t="shared" si="12"/>
        <v>0</v>
      </c>
      <c r="F444" s="6">
        <f t="shared" si="12"/>
        <v>0</v>
      </c>
      <c r="G444" s="62"/>
      <c r="H444" s="62"/>
      <c r="I444" s="60"/>
      <c r="J444" s="60"/>
      <c r="K444" s="64"/>
      <c r="L444" s="64"/>
      <c r="M444" s="25"/>
      <c r="N444" s="25"/>
    </row>
    <row r="445" spans="1:14">
      <c r="A445" s="3" t="s">
        <v>848</v>
      </c>
      <c r="B445" s="4" t="s">
        <v>849</v>
      </c>
      <c r="C445" s="5">
        <f t="shared" si="13"/>
        <v>0</v>
      </c>
      <c r="D445" s="5"/>
      <c r="E445" s="6">
        <f t="shared" si="12"/>
        <v>0</v>
      </c>
      <c r="F445" s="6">
        <f t="shared" si="12"/>
        <v>0</v>
      </c>
      <c r="G445" s="62"/>
      <c r="H445" s="62"/>
      <c r="I445" s="60"/>
      <c r="J445" s="60"/>
      <c r="K445" s="64"/>
      <c r="L445" s="64"/>
      <c r="M445" s="25"/>
      <c r="N445" s="25"/>
    </row>
    <row r="446" spans="1:14">
      <c r="A446" s="3" t="s">
        <v>850</v>
      </c>
      <c r="B446" s="4" t="s">
        <v>851</v>
      </c>
      <c r="C446" s="5">
        <f t="shared" si="13"/>
        <v>0</v>
      </c>
      <c r="D446" s="5"/>
      <c r="E446" s="6">
        <f t="shared" si="12"/>
        <v>0</v>
      </c>
      <c r="F446" s="6">
        <f t="shared" si="12"/>
        <v>0</v>
      </c>
      <c r="G446" s="62"/>
      <c r="H446" s="62"/>
      <c r="I446" s="60"/>
      <c r="J446" s="60"/>
      <c r="K446" s="64"/>
      <c r="L446" s="64"/>
      <c r="M446" s="25"/>
      <c r="N446" s="25"/>
    </row>
    <row r="447" spans="1:14">
      <c r="A447" s="3" t="s">
        <v>852</v>
      </c>
      <c r="B447" s="4" t="s">
        <v>853</v>
      </c>
      <c r="C447" s="5">
        <f t="shared" si="13"/>
        <v>0</v>
      </c>
      <c r="D447" s="5"/>
      <c r="E447" s="6">
        <f t="shared" si="12"/>
        <v>0</v>
      </c>
      <c r="F447" s="6">
        <f t="shared" si="12"/>
        <v>0</v>
      </c>
      <c r="G447" s="62"/>
      <c r="H447" s="62"/>
      <c r="I447" s="60"/>
      <c r="J447" s="60"/>
      <c r="K447" s="64"/>
      <c r="L447" s="64"/>
      <c r="M447" s="25"/>
      <c r="N447" s="25"/>
    </row>
    <row r="448" spans="1:14">
      <c r="A448" s="3" t="s">
        <v>854</v>
      </c>
      <c r="B448" s="4">
        <v>954</v>
      </c>
      <c r="C448" s="5">
        <f t="shared" si="13"/>
        <v>0</v>
      </c>
      <c r="D448" s="5"/>
      <c r="E448" s="6">
        <f t="shared" si="12"/>
        <v>0</v>
      </c>
      <c r="F448" s="6">
        <f t="shared" si="12"/>
        <v>0</v>
      </c>
      <c r="G448" s="62"/>
      <c r="H448" s="62"/>
      <c r="I448" s="60"/>
      <c r="J448" s="60"/>
      <c r="K448" s="64"/>
      <c r="L448" s="64"/>
      <c r="M448" s="25"/>
      <c r="N448" s="25"/>
    </row>
    <row r="449" spans="1:14">
      <c r="A449" s="3" t="s">
        <v>855</v>
      </c>
      <c r="B449" s="4">
        <v>955</v>
      </c>
      <c r="C449" s="5">
        <f t="shared" si="13"/>
        <v>0</v>
      </c>
      <c r="D449" s="5"/>
      <c r="E449" s="6">
        <f t="shared" si="12"/>
        <v>0</v>
      </c>
      <c r="F449" s="6">
        <f t="shared" si="12"/>
        <v>0</v>
      </c>
      <c r="G449" s="62"/>
      <c r="H449" s="62"/>
      <c r="I449" s="60"/>
      <c r="J449" s="60"/>
      <c r="K449" s="64"/>
      <c r="L449" s="64"/>
      <c r="M449" s="25"/>
      <c r="N449" s="25"/>
    </row>
    <row r="450" spans="1:14">
      <c r="A450" s="3" t="s">
        <v>856</v>
      </c>
      <c r="B450" s="4" t="s">
        <v>857</v>
      </c>
      <c r="C450" s="5">
        <f t="shared" si="13"/>
        <v>0</v>
      </c>
      <c r="D450" s="5"/>
      <c r="E450" s="6">
        <f t="shared" si="12"/>
        <v>0</v>
      </c>
      <c r="F450" s="6">
        <f t="shared" si="12"/>
        <v>0</v>
      </c>
      <c r="G450" s="62"/>
      <c r="H450" s="62"/>
      <c r="I450" s="60"/>
      <c r="J450" s="60"/>
      <c r="K450" s="64"/>
      <c r="L450" s="64"/>
      <c r="M450" s="25"/>
      <c r="N450" s="25"/>
    </row>
    <row r="451" spans="1:14">
      <c r="A451" s="3" t="s">
        <v>858</v>
      </c>
      <c r="B451" s="4" t="s">
        <v>859</v>
      </c>
      <c r="C451" s="5">
        <f t="shared" si="13"/>
        <v>0</v>
      </c>
      <c r="D451" s="5"/>
      <c r="E451" s="6">
        <f t="shared" si="12"/>
        <v>0</v>
      </c>
      <c r="F451" s="6">
        <f t="shared" si="12"/>
        <v>0</v>
      </c>
      <c r="G451" s="62"/>
      <c r="H451" s="62"/>
      <c r="I451" s="60"/>
      <c r="J451" s="60"/>
      <c r="K451" s="64"/>
      <c r="L451" s="64"/>
      <c r="M451" s="25"/>
      <c r="N451" s="25"/>
    </row>
    <row r="452" spans="1:14">
      <c r="A452" s="3" t="s">
        <v>860</v>
      </c>
      <c r="B452" s="4" t="s">
        <v>861</v>
      </c>
      <c r="C452" s="5">
        <f t="shared" si="13"/>
        <v>0</v>
      </c>
      <c r="D452" s="5"/>
      <c r="E452" s="6">
        <f t="shared" si="12"/>
        <v>0</v>
      </c>
      <c r="F452" s="6">
        <f t="shared" si="12"/>
        <v>0</v>
      </c>
      <c r="G452" s="62"/>
      <c r="H452" s="62"/>
      <c r="I452" s="60"/>
      <c r="J452" s="60"/>
      <c r="K452" s="64"/>
      <c r="L452" s="64"/>
      <c r="M452" s="25"/>
      <c r="N452" s="25"/>
    </row>
    <row r="453" spans="1:14">
      <c r="A453" s="3" t="s">
        <v>862</v>
      </c>
      <c r="B453" s="4" t="s">
        <v>863</v>
      </c>
      <c r="C453" s="5">
        <f t="shared" si="13"/>
        <v>0</v>
      </c>
      <c r="D453" s="5"/>
      <c r="E453" s="6">
        <f t="shared" si="12"/>
        <v>0</v>
      </c>
      <c r="F453" s="6">
        <f t="shared" si="12"/>
        <v>0</v>
      </c>
      <c r="G453" s="62"/>
      <c r="H453" s="62"/>
      <c r="I453" s="60"/>
      <c r="J453" s="60"/>
      <c r="K453" s="64"/>
      <c r="L453" s="64"/>
      <c r="M453" s="25"/>
      <c r="N453" s="25"/>
    </row>
    <row r="454" spans="1:14">
      <c r="A454" s="3" t="s">
        <v>864</v>
      </c>
      <c r="B454" s="4" t="s">
        <v>865</v>
      </c>
      <c r="C454" s="5">
        <f t="shared" si="13"/>
        <v>0</v>
      </c>
      <c r="D454" s="5"/>
      <c r="E454" s="6">
        <f t="shared" si="12"/>
        <v>0</v>
      </c>
      <c r="F454" s="6">
        <f t="shared" si="12"/>
        <v>0</v>
      </c>
      <c r="G454" s="62"/>
      <c r="H454" s="62"/>
      <c r="I454" s="60"/>
      <c r="J454" s="60"/>
      <c r="K454" s="64"/>
      <c r="L454" s="64"/>
      <c r="M454" s="25"/>
      <c r="N454" s="25"/>
    </row>
    <row r="455" spans="1:14">
      <c r="A455" s="3" t="s">
        <v>866</v>
      </c>
      <c r="B455" s="4" t="s">
        <v>867</v>
      </c>
      <c r="C455" s="5">
        <f t="shared" si="13"/>
        <v>0</v>
      </c>
      <c r="D455" s="5"/>
      <c r="E455" s="6">
        <f t="shared" si="12"/>
        <v>0</v>
      </c>
      <c r="F455" s="6">
        <f t="shared" si="12"/>
        <v>0</v>
      </c>
      <c r="G455" s="62"/>
      <c r="H455" s="62"/>
      <c r="I455" s="60"/>
      <c r="J455" s="60"/>
      <c r="K455" s="64"/>
      <c r="L455" s="64"/>
      <c r="M455" s="25"/>
      <c r="N455" s="25"/>
    </row>
    <row r="456" spans="1:14">
      <c r="A456" s="3" t="s">
        <v>868</v>
      </c>
      <c r="B456" s="4" t="s">
        <v>869</v>
      </c>
      <c r="C456" s="5">
        <f t="shared" si="13"/>
        <v>0</v>
      </c>
      <c r="D456" s="5"/>
      <c r="E456" s="6">
        <f t="shared" si="12"/>
        <v>0</v>
      </c>
      <c r="F456" s="6">
        <f t="shared" si="12"/>
        <v>0</v>
      </c>
      <c r="G456" s="62"/>
      <c r="H456" s="62"/>
      <c r="I456" s="60"/>
      <c r="J456" s="60"/>
      <c r="K456" s="64"/>
      <c r="L456" s="64"/>
      <c r="M456" s="25"/>
      <c r="N456" s="25"/>
    </row>
    <row r="457" spans="1:14">
      <c r="A457" s="3" t="s">
        <v>870</v>
      </c>
      <c r="B457" s="4" t="s">
        <v>871</v>
      </c>
      <c r="C457" s="5">
        <f t="shared" si="13"/>
        <v>0</v>
      </c>
      <c r="D457" s="5"/>
      <c r="E457" s="6">
        <f t="shared" si="12"/>
        <v>0</v>
      </c>
      <c r="F457" s="6">
        <f t="shared" si="12"/>
        <v>0</v>
      </c>
      <c r="G457" s="62"/>
      <c r="H457" s="62"/>
      <c r="I457" s="60"/>
      <c r="J457" s="60"/>
      <c r="K457" s="64"/>
      <c r="L457" s="64"/>
      <c r="M457" s="25"/>
      <c r="N457" s="25"/>
    </row>
    <row r="458" spans="1:14">
      <c r="A458" s="3" t="s">
        <v>872</v>
      </c>
      <c r="B458" s="4" t="s">
        <v>873</v>
      </c>
      <c r="C458" s="5">
        <f t="shared" si="13"/>
        <v>0</v>
      </c>
      <c r="D458" s="5"/>
      <c r="E458" s="6">
        <f t="shared" si="12"/>
        <v>0</v>
      </c>
      <c r="F458" s="6">
        <f t="shared" si="12"/>
        <v>0</v>
      </c>
      <c r="G458" s="62"/>
      <c r="H458" s="62"/>
      <c r="I458" s="60"/>
      <c r="J458" s="60"/>
      <c r="K458" s="64"/>
      <c r="L458" s="64"/>
      <c r="M458" s="25"/>
      <c r="N458" s="25"/>
    </row>
    <row r="459" spans="1:14" s="67" customFormat="1" ht="15">
      <c r="A459" s="3" t="s">
        <v>874</v>
      </c>
      <c r="B459" s="4" t="s">
        <v>875</v>
      </c>
      <c r="C459" s="5">
        <f t="shared" si="13"/>
        <v>0</v>
      </c>
      <c r="D459" s="5"/>
      <c r="E459" s="6">
        <f t="shared" si="12"/>
        <v>0</v>
      </c>
      <c r="F459" s="6">
        <f t="shared" si="12"/>
        <v>0</v>
      </c>
      <c r="G459" s="62"/>
      <c r="H459" s="62"/>
      <c r="I459" s="60"/>
      <c r="J459" s="60"/>
      <c r="K459" s="64"/>
      <c r="L459" s="64"/>
      <c r="M459" s="25"/>
      <c r="N459" s="25"/>
    </row>
    <row r="460" spans="1:14">
      <c r="A460" s="3" t="s">
        <v>876</v>
      </c>
      <c r="B460" s="4" t="s">
        <v>877</v>
      </c>
      <c r="C460" s="5">
        <f t="shared" si="13"/>
        <v>0</v>
      </c>
      <c r="D460" s="5"/>
      <c r="E460" s="6">
        <f t="shared" si="12"/>
        <v>0</v>
      </c>
      <c r="F460" s="6">
        <f t="shared" si="12"/>
        <v>0</v>
      </c>
      <c r="G460" s="62"/>
      <c r="H460" s="62"/>
      <c r="I460" s="60"/>
      <c r="J460" s="60"/>
      <c r="K460" s="64"/>
      <c r="L460" s="64"/>
      <c r="M460" s="25"/>
      <c r="N460" s="25"/>
    </row>
    <row r="461" spans="1:14" s="1" customFormat="1">
      <c r="A461" s="3" t="s">
        <v>878</v>
      </c>
      <c r="B461" s="4" t="s">
        <v>879</v>
      </c>
      <c r="C461" s="5">
        <f t="shared" si="13"/>
        <v>0</v>
      </c>
      <c r="D461" s="5"/>
      <c r="E461" s="6">
        <f t="shared" si="12"/>
        <v>0</v>
      </c>
      <c r="F461" s="6">
        <f t="shared" si="12"/>
        <v>0</v>
      </c>
      <c r="G461" s="62"/>
      <c r="H461" s="62"/>
      <c r="I461" s="60"/>
      <c r="J461" s="60"/>
      <c r="K461" s="64"/>
      <c r="L461" s="64"/>
      <c r="M461" s="25"/>
      <c r="N461" s="25"/>
    </row>
    <row r="462" spans="1:14" ht="17.25">
      <c r="A462" s="13" t="s">
        <v>880</v>
      </c>
      <c r="B462" s="14"/>
      <c r="C462" s="15">
        <f>SUM(C13:C461)</f>
        <v>0</v>
      </c>
      <c r="D462" s="15">
        <f>SUM(D13:D461)</f>
        <v>0</v>
      </c>
      <c r="E462" s="16">
        <f>SUM(E13:E461)</f>
        <v>0</v>
      </c>
      <c r="F462" s="16">
        <f>SUM(F13:F461)</f>
        <v>0</v>
      </c>
      <c r="G462" s="71">
        <f>SUM(G13:G461)</f>
        <v>0</v>
      </c>
      <c r="H462" s="71">
        <f t="shared" ref="H462:N462" si="14">SUM(H13:H461)</f>
        <v>0</v>
      </c>
      <c r="I462" s="72">
        <f t="shared" si="14"/>
        <v>0</v>
      </c>
      <c r="J462" s="72">
        <f t="shared" si="14"/>
        <v>0</v>
      </c>
      <c r="K462" s="73">
        <f t="shared" si="14"/>
        <v>0</v>
      </c>
      <c r="L462" s="73">
        <f t="shared" si="14"/>
        <v>0</v>
      </c>
      <c r="M462" s="74">
        <f t="shared" si="14"/>
        <v>0</v>
      </c>
      <c r="N462" s="74">
        <f t="shared" si="14"/>
        <v>0</v>
      </c>
    </row>
    <row r="463" spans="1:14" hidden="1">
      <c r="A463" s="17" t="s">
        <v>881</v>
      </c>
      <c r="B463" s="18"/>
    </row>
    <row r="464" spans="1:14" hidden="1">
      <c r="A464" s="20" t="s">
        <v>882</v>
      </c>
      <c r="B464" s="21"/>
    </row>
    <row r="465" spans="1:14" hidden="1">
      <c r="A465" s="20" t="s">
        <v>883</v>
      </c>
      <c r="B465" s="21"/>
    </row>
    <row r="466" spans="1:14" hidden="1">
      <c r="A466" s="22" t="s">
        <v>884</v>
      </c>
      <c r="B466" s="21"/>
    </row>
    <row r="467" spans="1:14" hidden="1">
      <c r="A467" s="22" t="s">
        <v>885</v>
      </c>
      <c r="B467" s="21"/>
    </row>
    <row r="468" spans="1:14" hidden="1">
      <c r="A468" s="20" t="s">
        <v>886</v>
      </c>
      <c r="B468" s="21"/>
    </row>
    <row r="469" spans="1:14" hidden="1">
      <c r="A469" s="20" t="s">
        <v>887</v>
      </c>
      <c r="B469" s="21"/>
    </row>
    <row r="470" spans="1:14" hidden="1">
      <c r="A470" s="20" t="s">
        <v>888</v>
      </c>
      <c r="B470" s="21"/>
    </row>
    <row r="471" spans="1:14" hidden="1">
      <c r="A471" s="22" t="s">
        <v>889</v>
      </c>
      <c r="B471" s="21"/>
    </row>
    <row r="472" spans="1:14" hidden="1">
      <c r="A472" s="22" t="s">
        <v>890</v>
      </c>
      <c r="B472" s="21"/>
    </row>
    <row r="473" spans="1:14" hidden="1">
      <c r="A473" s="20" t="s">
        <v>891</v>
      </c>
      <c r="B473" s="21"/>
    </row>
    <row r="474" spans="1:14" hidden="1">
      <c r="A474" s="20" t="s">
        <v>892</v>
      </c>
      <c r="B474" s="21"/>
    </row>
    <row r="475" spans="1:14">
      <c r="A475" s="23"/>
      <c r="B475" s="24"/>
      <c r="D475" s="19">
        <f>D462-C462</f>
        <v>0</v>
      </c>
      <c r="F475" s="19">
        <f>F462-E462</f>
        <v>0</v>
      </c>
      <c r="H475" s="19">
        <f>H462-G462</f>
        <v>0</v>
      </c>
      <c r="J475" s="19">
        <f>J462-I462</f>
        <v>0</v>
      </c>
      <c r="L475" s="19">
        <f>L462-K462</f>
        <v>0</v>
      </c>
      <c r="N475" s="19">
        <f>N462-M462</f>
        <v>0</v>
      </c>
    </row>
    <row r="476" spans="1:14">
      <c r="A476" s="23"/>
      <c r="B476" s="24"/>
    </row>
    <row r="477" spans="1:14">
      <c r="A477" s="23"/>
      <c r="B477" s="24"/>
    </row>
    <row r="478" spans="1:14">
      <c r="A478" s="23"/>
      <c r="B478" s="75" t="s">
        <v>893</v>
      </c>
    </row>
    <row r="479" spans="1:14">
      <c r="A479" s="23"/>
      <c r="B479" s="24"/>
    </row>
    <row r="480" spans="1:14">
      <c r="A480" s="23"/>
      <c r="B480" s="24"/>
    </row>
    <row r="481" spans="1:2">
      <c r="A481" s="23"/>
      <c r="B481" s="24"/>
    </row>
    <row r="482" spans="1:2">
      <c r="A482" s="23"/>
      <c r="B482" s="24"/>
    </row>
    <row r="483" spans="1:2">
      <c r="A483" s="23"/>
      <c r="B483" s="24"/>
    </row>
  </sheetData>
  <mergeCells count="28">
    <mergeCell ref="L11:L12"/>
    <mergeCell ref="M11:M12"/>
    <mergeCell ref="K9:L10"/>
    <mergeCell ref="M9:N10"/>
    <mergeCell ref="C10:D10"/>
    <mergeCell ref="F11:F12"/>
    <mergeCell ref="G11:G12"/>
    <mergeCell ref="I9:J10"/>
    <mergeCell ref="N11:N12"/>
    <mergeCell ref="H11:H12"/>
    <mergeCell ref="I11:I12"/>
    <mergeCell ref="J11:J12"/>
    <mergeCell ref="K11:K12"/>
    <mergeCell ref="A7:D7"/>
    <mergeCell ref="A8:D8"/>
    <mergeCell ref="E9:F10"/>
    <mergeCell ref="G9:H10"/>
    <mergeCell ref="A11:A12"/>
    <mergeCell ref="B11:B12"/>
    <mergeCell ref="C11:C12"/>
    <mergeCell ref="D11:D12"/>
    <mergeCell ref="E11:E12"/>
    <mergeCell ref="A6:D6"/>
    <mergeCell ref="A1:D1"/>
    <mergeCell ref="A2:D2"/>
    <mergeCell ref="A3:D3"/>
    <mergeCell ref="A4:D4"/>
    <mergeCell ref="A5:D5"/>
  </mergeCells>
  <printOptions horizontalCentered="1"/>
  <pageMargins left="1" right="1" top="1" bottom="1" header="0.5" footer="0.5"/>
  <pageSetup paperSize="149" scale="85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B050"/>
  </sheetPr>
  <dimension ref="A1:N483"/>
  <sheetViews>
    <sheetView workbookViewId="0">
      <selection sqref="A1:D1"/>
    </sheetView>
  </sheetViews>
  <sheetFormatPr defaultRowHeight="14.25"/>
  <cols>
    <col min="1" max="1" width="49.7109375" style="19" customWidth="1"/>
    <col min="2" max="2" width="9.7109375" style="69" customWidth="1"/>
    <col min="3" max="6" width="18.7109375" style="19" customWidth="1"/>
    <col min="7" max="7" width="20" style="19" customWidth="1"/>
    <col min="8" max="8" width="18.7109375" style="19" customWidth="1"/>
    <col min="9" max="9" width="20.28515625" style="19" bestFit="1" customWidth="1"/>
    <col min="10" max="10" width="18.7109375" style="19" customWidth="1"/>
    <col min="11" max="11" width="20" style="19" customWidth="1"/>
    <col min="12" max="12" width="18.7109375" style="19" customWidth="1"/>
    <col min="13" max="13" width="20.28515625" style="19" bestFit="1" customWidth="1"/>
    <col min="14" max="14" width="18.7109375" style="19" customWidth="1"/>
    <col min="15" max="16384" width="9.140625" style="19"/>
  </cols>
  <sheetData>
    <row r="1" spans="1:14">
      <c r="A1" s="238" t="s">
        <v>0</v>
      </c>
      <c r="B1" s="238"/>
      <c r="C1" s="238"/>
      <c r="D1" s="238"/>
    </row>
    <row r="2" spans="1:14">
      <c r="A2" s="238" t="s">
        <v>1</v>
      </c>
      <c r="B2" s="238"/>
      <c r="C2" s="238"/>
      <c r="D2" s="238"/>
    </row>
    <row r="3" spans="1:14">
      <c r="A3" s="238" t="s">
        <v>2</v>
      </c>
      <c r="B3" s="238"/>
      <c r="C3" s="238"/>
      <c r="D3" s="238"/>
    </row>
    <row r="4" spans="1:14">
      <c r="A4" s="238"/>
      <c r="B4" s="238"/>
      <c r="C4" s="238"/>
      <c r="D4" s="238"/>
    </row>
    <row r="5" spans="1:14" ht="15">
      <c r="A5" s="238" t="s">
        <v>3</v>
      </c>
      <c r="B5" s="239"/>
      <c r="C5" s="238"/>
      <c r="D5" s="238"/>
    </row>
    <row r="6" spans="1:14" ht="15">
      <c r="A6" s="238" t="s">
        <v>4</v>
      </c>
      <c r="B6" s="239"/>
      <c r="C6" s="238"/>
      <c r="D6" s="238"/>
    </row>
    <row r="7" spans="1:14">
      <c r="A7" s="238" t="s">
        <v>1015</v>
      </c>
      <c r="B7" s="240"/>
      <c r="C7" s="238"/>
      <c r="D7" s="238"/>
    </row>
    <row r="8" spans="1:14">
      <c r="A8" s="238"/>
      <c r="B8" s="240"/>
      <c r="C8" s="238"/>
      <c r="D8" s="238"/>
    </row>
    <row r="9" spans="1:14" s="67" customFormat="1" ht="15">
      <c r="A9" s="66"/>
      <c r="B9" s="66"/>
      <c r="E9" s="250" t="str">
        <f>A7</f>
        <v>As of December 31, 2011</v>
      </c>
      <c r="F9" s="251"/>
      <c r="G9" s="261" t="s">
        <v>10</v>
      </c>
      <c r="H9" s="262"/>
      <c r="I9" s="254" t="s">
        <v>1009</v>
      </c>
      <c r="J9" s="255"/>
      <c r="K9" s="265" t="s">
        <v>1010</v>
      </c>
      <c r="L9" s="265"/>
      <c r="M9" s="267" t="s">
        <v>11</v>
      </c>
      <c r="N9" s="267"/>
    </row>
    <row r="10" spans="1:14" ht="14.25" customHeight="1">
      <c r="A10" s="68"/>
      <c r="C10" s="241"/>
      <c r="D10" s="242"/>
      <c r="E10" s="252"/>
      <c r="F10" s="253"/>
      <c r="G10" s="263"/>
      <c r="H10" s="264"/>
      <c r="I10" s="256"/>
      <c r="J10" s="257"/>
      <c r="K10" s="265"/>
      <c r="L10" s="265"/>
      <c r="M10" s="267"/>
      <c r="N10" s="267"/>
    </row>
    <row r="11" spans="1:14" ht="15" customHeight="1">
      <c r="A11" s="243" t="s">
        <v>6</v>
      </c>
      <c r="B11" s="245" t="s">
        <v>7</v>
      </c>
      <c r="C11" s="243" t="s">
        <v>8</v>
      </c>
      <c r="D11" s="243" t="s">
        <v>9</v>
      </c>
      <c r="E11" s="247" t="s">
        <v>8</v>
      </c>
      <c r="F11" s="259" t="s">
        <v>9</v>
      </c>
      <c r="G11" s="249" t="s">
        <v>8</v>
      </c>
      <c r="H11" s="249" t="s">
        <v>9</v>
      </c>
      <c r="I11" s="258" t="s">
        <v>8</v>
      </c>
      <c r="J11" s="258" t="s">
        <v>9</v>
      </c>
      <c r="K11" s="266" t="s">
        <v>8</v>
      </c>
      <c r="L11" s="266" t="s">
        <v>9</v>
      </c>
      <c r="M11" s="268" t="s">
        <v>8</v>
      </c>
      <c r="N11" s="268" t="s">
        <v>9</v>
      </c>
    </row>
    <row r="12" spans="1:14">
      <c r="A12" s="244"/>
      <c r="B12" s="246"/>
      <c r="C12" s="244"/>
      <c r="D12" s="244"/>
      <c r="E12" s="248"/>
      <c r="F12" s="260"/>
      <c r="G12" s="249"/>
      <c r="H12" s="249"/>
      <c r="I12" s="258"/>
      <c r="J12" s="258"/>
      <c r="K12" s="266"/>
      <c r="L12" s="266"/>
      <c r="M12" s="268"/>
      <c r="N12" s="268"/>
    </row>
    <row r="13" spans="1:14">
      <c r="A13" s="3" t="s">
        <v>12</v>
      </c>
      <c r="B13" s="4">
        <v>101</v>
      </c>
      <c r="C13" s="5">
        <f>E13-F13</f>
        <v>0</v>
      </c>
      <c r="D13" s="5"/>
      <c r="E13" s="6">
        <f>SUM(G13,I13,K13,M13)</f>
        <v>0</v>
      </c>
      <c r="F13" s="6">
        <f>SUM(H13,J13,L13,N13)</f>
        <v>0</v>
      </c>
      <c r="G13" s="62"/>
      <c r="H13" s="62"/>
      <c r="I13" s="60"/>
      <c r="J13" s="60"/>
      <c r="K13" s="64"/>
      <c r="L13" s="64"/>
      <c r="M13" s="25"/>
      <c r="N13" s="25"/>
    </row>
    <row r="14" spans="1:14">
      <c r="A14" s="3" t="s">
        <v>13</v>
      </c>
      <c r="B14" s="4" t="s">
        <v>14</v>
      </c>
      <c r="C14" s="5">
        <f>E14-F14</f>
        <v>0</v>
      </c>
      <c r="D14" s="5"/>
      <c r="E14" s="6">
        <f t="shared" ref="E14:F77" si="0">SUM(G14,I14,K14,M14)</f>
        <v>0</v>
      </c>
      <c r="F14" s="6">
        <f t="shared" si="0"/>
        <v>0</v>
      </c>
      <c r="G14" s="62"/>
      <c r="H14" s="62"/>
      <c r="I14" s="60"/>
      <c r="J14" s="60"/>
      <c r="K14" s="64"/>
      <c r="L14" s="64"/>
      <c r="M14" s="25"/>
      <c r="N14" s="25"/>
    </row>
    <row r="15" spans="1:14">
      <c r="A15" s="3" t="s">
        <v>15</v>
      </c>
      <c r="B15" s="4" t="s">
        <v>16</v>
      </c>
      <c r="C15" s="5">
        <f>E15-F15</f>
        <v>0</v>
      </c>
      <c r="D15" s="5"/>
      <c r="E15" s="6">
        <f t="shared" si="0"/>
        <v>0</v>
      </c>
      <c r="F15" s="6">
        <f t="shared" si="0"/>
        <v>0</v>
      </c>
      <c r="G15" s="63"/>
      <c r="H15" s="63"/>
      <c r="I15" s="61"/>
      <c r="J15" s="61"/>
      <c r="K15" s="65"/>
      <c r="L15" s="65"/>
      <c r="M15" s="26"/>
      <c r="N15" s="26"/>
    </row>
    <row r="16" spans="1:14">
      <c r="A16" s="3" t="s">
        <v>17</v>
      </c>
      <c r="B16" s="4" t="s">
        <v>18</v>
      </c>
      <c r="C16" s="5">
        <f>E16-F16</f>
        <v>0</v>
      </c>
      <c r="D16" s="5"/>
      <c r="E16" s="6">
        <f t="shared" si="0"/>
        <v>0</v>
      </c>
      <c r="F16" s="6">
        <f t="shared" si="0"/>
        <v>0</v>
      </c>
      <c r="G16" s="62"/>
      <c r="H16" s="62"/>
      <c r="I16" s="60"/>
      <c r="J16" s="60"/>
      <c r="K16" s="64"/>
      <c r="L16" s="64"/>
      <c r="M16" s="25"/>
      <c r="N16" s="25"/>
    </row>
    <row r="17" spans="1:14">
      <c r="A17" s="3" t="s">
        <v>19</v>
      </c>
      <c r="B17" s="4" t="s">
        <v>20</v>
      </c>
      <c r="C17" s="7">
        <f>E17-F17</f>
        <v>0</v>
      </c>
      <c r="D17" s="7"/>
      <c r="E17" s="6">
        <f t="shared" si="0"/>
        <v>0</v>
      </c>
      <c r="F17" s="6">
        <f t="shared" si="0"/>
        <v>0</v>
      </c>
      <c r="G17" s="62"/>
      <c r="H17" s="62"/>
      <c r="I17" s="60"/>
      <c r="J17" s="60"/>
      <c r="K17" s="64"/>
      <c r="L17" s="64"/>
      <c r="M17" s="25"/>
      <c r="N17" s="25"/>
    </row>
    <row r="18" spans="1:14">
      <c r="A18" s="3" t="s">
        <v>21</v>
      </c>
      <c r="B18" s="4">
        <v>110</v>
      </c>
      <c r="C18" s="7">
        <f t="shared" ref="C18:C80" si="1">E18-F18</f>
        <v>0</v>
      </c>
      <c r="D18" s="7"/>
      <c r="E18" s="6">
        <f t="shared" si="0"/>
        <v>0</v>
      </c>
      <c r="F18" s="6">
        <f t="shared" si="0"/>
        <v>0</v>
      </c>
      <c r="G18" s="62"/>
      <c r="H18" s="62"/>
      <c r="I18" s="60"/>
      <c r="J18" s="60"/>
      <c r="K18" s="64"/>
      <c r="L18" s="64"/>
      <c r="M18" s="25"/>
      <c r="N18" s="25"/>
    </row>
    <row r="19" spans="1:14">
      <c r="A19" s="8" t="s">
        <v>22</v>
      </c>
      <c r="B19" s="4">
        <v>111</v>
      </c>
      <c r="C19" s="7">
        <f t="shared" si="1"/>
        <v>0</v>
      </c>
      <c r="D19" s="7"/>
      <c r="E19" s="6">
        <f t="shared" si="0"/>
        <v>0</v>
      </c>
      <c r="F19" s="6">
        <f t="shared" si="0"/>
        <v>0</v>
      </c>
      <c r="G19" s="62"/>
      <c r="H19" s="62"/>
      <c r="I19" s="60"/>
      <c r="J19" s="60"/>
      <c r="K19" s="64"/>
      <c r="L19" s="64"/>
      <c r="M19" s="25"/>
      <c r="N19" s="25"/>
    </row>
    <row r="20" spans="1:14">
      <c r="A20" s="8" t="s">
        <v>23</v>
      </c>
      <c r="B20" s="4">
        <v>112</v>
      </c>
      <c r="C20" s="7">
        <f t="shared" si="1"/>
        <v>0</v>
      </c>
      <c r="D20" s="7"/>
      <c r="E20" s="6">
        <f t="shared" si="0"/>
        <v>0</v>
      </c>
      <c r="F20" s="6">
        <f t="shared" si="0"/>
        <v>0</v>
      </c>
      <c r="G20" s="62"/>
      <c r="H20" s="62"/>
      <c r="I20" s="60"/>
      <c r="J20" s="60"/>
      <c r="K20" s="64"/>
      <c r="L20" s="64"/>
      <c r="M20" s="25"/>
      <c r="N20" s="25"/>
    </row>
    <row r="21" spans="1:14">
      <c r="A21" s="3" t="s">
        <v>24</v>
      </c>
      <c r="B21" s="4">
        <v>113</v>
      </c>
      <c r="C21" s="7">
        <f t="shared" si="1"/>
        <v>0</v>
      </c>
      <c r="D21" s="7"/>
      <c r="E21" s="6">
        <f t="shared" si="0"/>
        <v>0</v>
      </c>
      <c r="F21" s="6">
        <f t="shared" si="0"/>
        <v>0</v>
      </c>
      <c r="G21" s="62"/>
      <c r="H21" s="62"/>
      <c r="I21" s="60"/>
      <c r="J21" s="60"/>
      <c r="K21" s="64"/>
      <c r="L21" s="64"/>
      <c r="M21" s="25"/>
      <c r="N21" s="25"/>
    </row>
    <row r="22" spans="1:14">
      <c r="A22" s="3" t="s">
        <v>21</v>
      </c>
      <c r="B22" s="4">
        <v>114</v>
      </c>
      <c r="C22" s="7">
        <f t="shared" si="1"/>
        <v>0</v>
      </c>
      <c r="D22" s="7"/>
      <c r="E22" s="6">
        <f t="shared" si="0"/>
        <v>0</v>
      </c>
      <c r="F22" s="6">
        <f t="shared" si="0"/>
        <v>0</v>
      </c>
      <c r="G22" s="62"/>
      <c r="H22" s="62"/>
      <c r="I22" s="60"/>
      <c r="J22" s="60"/>
      <c r="K22" s="64"/>
      <c r="L22" s="64"/>
      <c r="M22" s="25"/>
      <c r="N22" s="25"/>
    </row>
    <row r="23" spans="1:14">
      <c r="A23" s="3" t="s">
        <v>25</v>
      </c>
      <c r="B23" s="4">
        <v>115</v>
      </c>
      <c r="C23" s="7">
        <f t="shared" si="1"/>
        <v>0</v>
      </c>
      <c r="D23" s="7"/>
      <c r="E23" s="6">
        <f t="shared" si="0"/>
        <v>0</v>
      </c>
      <c r="F23" s="6">
        <f t="shared" si="0"/>
        <v>0</v>
      </c>
      <c r="G23" s="62"/>
      <c r="H23" s="62"/>
      <c r="I23" s="60"/>
      <c r="J23" s="60"/>
      <c r="K23" s="64"/>
      <c r="L23" s="64"/>
      <c r="M23" s="25"/>
      <c r="N23" s="25"/>
    </row>
    <row r="24" spans="1:14">
      <c r="A24" s="3" t="s">
        <v>26</v>
      </c>
      <c r="B24" s="4" t="s">
        <v>27</v>
      </c>
      <c r="C24" s="7">
        <f t="shared" si="1"/>
        <v>0</v>
      </c>
      <c r="D24" s="7"/>
      <c r="E24" s="6">
        <f t="shared" si="0"/>
        <v>0</v>
      </c>
      <c r="F24" s="6">
        <f t="shared" si="0"/>
        <v>0</v>
      </c>
      <c r="G24" s="62"/>
      <c r="H24" s="62"/>
      <c r="I24" s="60"/>
      <c r="J24" s="60"/>
      <c r="K24" s="64"/>
      <c r="L24" s="64"/>
      <c r="M24" s="25"/>
      <c r="N24" s="25"/>
    </row>
    <row r="25" spans="1:14">
      <c r="A25" s="3" t="s">
        <v>28</v>
      </c>
      <c r="B25" s="4" t="s">
        <v>29</v>
      </c>
      <c r="C25" s="7">
        <f t="shared" si="1"/>
        <v>0</v>
      </c>
      <c r="D25" s="7"/>
      <c r="E25" s="6">
        <f t="shared" si="0"/>
        <v>0</v>
      </c>
      <c r="F25" s="6">
        <f t="shared" si="0"/>
        <v>0</v>
      </c>
      <c r="G25" s="62"/>
      <c r="H25" s="62"/>
      <c r="I25" s="60"/>
      <c r="J25" s="60"/>
      <c r="K25" s="64"/>
      <c r="L25" s="64"/>
      <c r="M25" s="25"/>
      <c r="N25" s="25"/>
    </row>
    <row r="26" spans="1:14">
      <c r="A26" s="3" t="s">
        <v>30</v>
      </c>
      <c r="B26" s="4" t="s">
        <v>31</v>
      </c>
      <c r="C26" s="7">
        <f t="shared" si="1"/>
        <v>0</v>
      </c>
      <c r="D26" s="7"/>
      <c r="E26" s="6">
        <f t="shared" si="0"/>
        <v>0</v>
      </c>
      <c r="F26" s="6">
        <f t="shared" si="0"/>
        <v>0</v>
      </c>
      <c r="G26" s="62"/>
      <c r="H26" s="62"/>
      <c r="I26" s="60"/>
      <c r="J26" s="60"/>
      <c r="K26" s="64"/>
      <c r="L26" s="64"/>
      <c r="M26" s="25"/>
      <c r="N26" s="25"/>
    </row>
    <row r="27" spans="1:14">
      <c r="A27" s="3" t="s">
        <v>32</v>
      </c>
      <c r="B27" s="4" t="s">
        <v>33</v>
      </c>
      <c r="C27" s="7">
        <f t="shared" si="1"/>
        <v>0</v>
      </c>
      <c r="D27" s="7"/>
      <c r="E27" s="6">
        <f t="shared" si="0"/>
        <v>0</v>
      </c>
      <c r="F27" s="6">
        <f t="shared" si="0"/>
        <v>0</v>
      </c>
      <c r="G27" s="62"/>
      <c r="H27" s="62"/>
      <c r="I27" s="60"/>
      <c r="J27" s="60"/>
      <c r="K27" s="64"/>
      <c r="L27" s="64"/>
      <c r="M27" s="25"/>
      <c r="N27" s="25"/>
    </row>
    <row r="28" spans="1:14">
      <c r="A28" s="3" t="s">
        <v>34</v>
      </c>
      <c r="B28" s="4" t="s">
        <v>35</v>
      </c>
      <c r="C28" s="7">
        <f t="shared" si="1"/>
        <v>0</v>
      </c>
      <c r="D28" s="7"/>
      <c r="E28" s="6">
        <f t="shared" si="0"/>
        <v>0</v>
      </c>
      <c r="F28" s="6">
        <f t="shared" si="0"/>
        <v>0</v>
      </c>
      <c r="G28" s="62"/>
      <c r="H28" s="62"/>
      <c r="I28" s="60"/>
      <c r="J28" s="60"/>
      <c r="K28" s="64"/>
      <c r="L28" s="64"/>
      <c r="M28" s="25"/>
      <c r="N28" s="25"/>
    </row>
    <row r="29" spans="1:14">
      <c r="A29" s="3" t="s">
        <v>36</v>
      </c>
      <c r="B29" s="4" t="s">
        <v>37</v>
      </c>
      <c r="C29" s="7">
        <f t="shared" si="1"/>
        <v>0</v>
      </c>
      <c r="D29" s="7"/>
      <c r="E29" s="6">
        <f t="shared" si="0"/>
        <v>0</v>
      </c>
      <c r="F29" s="6">
        <f t="shared" si="0"/>
        <v>0</v>
      </c>
      <c r="G29" s="62"/>
      <c r="H29" s="62"/>
      <c r="I29" s="60"/>
      <c r="J29" s="60"/>
      <c r="K29" s="64"/>
      <c r="L29" s="64"/>
      <c r="M29" s="25"/>
      <c r="N29" s="25"/>
    </row>
    <row r="30" spans="1:14">
      <c r="A30" s="3" t="s">
        <v>38</v>
      </c>
      <c r="B30" s="4" t="s">
        <v>39</v>
      </c>
      <c r="C30" s="7">
        <f t="shared" si="1"/>
        <v>0</v>
      </c>
      <c r="D30" s="7"/>
      <c r="E30" s="6">
        <f t="shared" si="0"/>
        <v>0</v>
      </c>
      <c r="F30" s="6">
        <f t="shared" si="0"/>
        <v>0</v>
      </c>
      <c r="G30" s="62"/>
      <c r="H30" s="62"/>
      <c r="I30" s="60"/>
      <c r="J30" s="60"/>
      <c r="K30" s="64"/>
      <c r="L30" s="64"/>
      <c r="M30" s="25"/>
      <c r="N30" s="25"/>
    </row>
    <row r="31" spans="1:14">
      <c r="A31" s="3" t="s">
        <v>40</v>
      </c>
      <c r="B31" s="4" t="s">
        <v>41</v>
      </c>
      <c r="C31" s="7">
        <f t="shared" si="1"/>
        <v>0</v>
      </c>
      <c r="D31" s="7"/>
      <c r="E31" s="6">
        <f t="shared" si="0"/>
        <v>0</v>
      </c>
      <c r="F31" s="6">
        <f t="shared" si="0"/>
        <v>0</v>
      </c>
      <c r="G31" s="62"/>
      <c r="H31" s="62"/>
      <c r="I31" s="60"/>
      <c r="J31" s="60"/>
      <c r="K31" s="64"/>
      <c r="L31" s="64"/>
      <c r="M31" s="25"/>
      <c r="N31" s="25"/>
    </row>
    <row r="32" spans="1:14">
      <c r="A32" s="3" t="s">
        <v>42</v>
      </c>
      <c r="B32" s="4" t="s">
        <v>43</v>
      </c>
      <c r="C32" s="7">
        <f t="shared" si="1"/>
        <v>0</v>
      </c>
      <c r="D32" s="7"/>
      <c r="E32" s="6">
        <f t="shared" si="0"/>
        <v>0</v>
      </c>
      <c r="F32" s="6">
        <f t="shared" si="0"/>
        <v>0</v>
      </c>
      <c r="G32" s="62"/>
      <c r="H32" s="62"/>
      <c r="I32" s="60"/>
      <c r="J32" s="60"/>
      <c r="K32" s="64"/>
      <c r="L32" s="64"/>
      <c r="M32" s="25"/>
      <c r="N32" s="25"/>
    </row>
    <row r="33" spans="1:14">
      <c r="A33" s="3" t="s">
        <v>44</v>
      </c>
      <c r="B33" s="4" t="s">
        <v>45</v>
      </c>
      <c r="C33" s="7">
        <f t="shared" si="1"/>
        <v>0</v>
      </c>
      <c r="D33" s="7"/>
      <c r="E33" s="6">
        <f t="shared" si="0"/>
        <v>0</v>
      </c>
      <c r="F33" s="6">
        <f t="shared" si="0"/>
        <v>0</v>
      </c>
      <c r="G33" s="62"/>
      <c r="H33" s="62"/>
      <c r="I33" s="60"/>
      <c r="J33" s="60"/>
      <c r="K33" s="64"/>
      <c r="L33" s="64"/>
      <c r="M33" s="25"/>
      <c r="N33" s="25"/>
    </row>
    <row r="34" spans="1:14">
      <c r="A34" s="3" t="s">
        <v>46</v>
      </c>
      <c r="B34" s="4" t="s">
        <v>47</v>
      </c>
      <c r="C34" s="7">
        <f t="shared" si="1"/>
        <v>0</v>
      </c>
      <c r="D34" s="7"/>
      <c r="E34" s="6">
        <f t="shared" si="0"/>
        <v>0</v>
      </c>
      <c r="F34" s="6">
        <f t="shared" si="0"/>
        <v>0</v>
      </c>
      <c r="G34" s="62"/>
      <c r="H34" s="62"/>
      <c r="I34" s="60"/>
      <c r="J34" s="60"/>
      <c r="K34" s="64"/>
      <c r="L34" s="64"/>
      <c r="M34" s="25"/>
      <c r="N34" s="25"/>
    </row>
    <row r="35" spans="1:14">
      <c r="A35" s="3" t="s">
        <v>48</v>
      </c>
      <c r="B35" s="4" t="s">
        <v>49</v>
      </c>
      <c r="C35" s="7">
        <f t="shared" si="1"/>
        <v>0</v>
      </c>
      <c r="D35" s="7"/>
      <c r="E35" s="6">
        <f t="shared" si="0"/>
        <v>0</v>
      </c>
      <c r="F35" s="6">
        <f t="shared" si="0"/>
        <v>0</v>
      </c>
      <c r="G35" s="62"/>
      <c r="H35" s="62"/>
      <c r="I35" s="60"/>
      <c r="J35" s="60"/>
      <c r="K35" s="64"/>
      <c r="L35" s="64"/>
      <c r="M35" s="25"/>
      <c r="N35" s="25"/>
    </row>
    <row r="36" spans="1:14">
      <c r="A36" s="3" t="s">
        <v>50</v>
      </c>
      <c r="B36" s="4" t="s">
        <v>51</v>
      </c>
      <c r="C36" s="7">
        <f t="shared" si="1"/>
        <v>0</v>
      </c>
      <c r="D36" s="7"/>
      <c r="E36" s="6">
        <f t="shared" si="0"/>
        <v>0</v>
      </c>
      <c r="F36" s="6">
        <f t="shared" si="0"/>
        <v>0</v>
      </c>
      <c r="G36" s="62"/>
      <c r="H36" s="62"/>
      <c r="I36" s="60"/>
      <c r="J36" s="60"/>
      <c r="K36" s="64"/>
      <c r="L36" s="64"/>
      <c r="M36" s="25"/>
      <c r="N36" s="25"/>
    </row>
    <row r="37" spans="1:14">
      <c r="A37" s="3" t="s">
        <v>52</v>
      </c>
      <c r="B37" s="4" t="s">
        <v>53</v>
      </c>
      <c r="C37" s="7">
        <f t="shared" si="1"/>
        <v>0</v>
      </c>
      <c r="D37" s="7"/>
      <c r="E37" s="6">
        <f t="shared" si="0"/>
        <v>0</v>
      </c>
      <c r="F37" s="6">
        <f t="shared" si="0"/>
        <v>0</v>
      </c>
      <c r="G37" s="62"/>
      <c r="H37" s="62"/>
      <c r="I37" s="60"/>
      <c r="J37" s="60"/>
      <c r="K37" s="64"/>
      <c r="L37" s="64"/>
      <c r="M37" s="25"/>
      <c r="N37" s="25"/>
    </row>
    <row r="38" spans="1:14">
      <c r="A38" s="3" t="s">
        <v>54</v>
      </c>
      <c r="B38" s="9">
        <v>138</v>
      </c>
      <c r="C38" s="7">
        <f t="shared" si="1"/>
        <v>0</v>
      </c>
      <c r="D38" s="7"/>
      <c r="E38" s="6">
        <f t="shared" si="0"/>
        <v>0</v>
      </c>
      <c r="F38" s="6">
        <f t="shared" si="0"/>
        <v>0</v>
      </c>
      <c r="G38" s="62"/>
      <c r="H38" s="62"/>
      <c r="I38" s="60"/>
      <c r="J38" s="60"/>
      <c r="K38" s="64"/>
      <c r="L38" s="64"/>
      <c r="M38" s="25"/>
      <c r="N38" s="25"/>
    </row>
    <row r="39" spans="1:14">
      <c r="A39" s="3" t="s">
        <v>55</v>
      </c>
      <c r="B39" s="4" t="s">
        <v>56</v>
      </c>
      <c r="C39" s="7">
        <f t="shared" si="1"/>
        <v>0</v>
      </c>
      <c r="D39" s="7"/>
      <c r="E39" s="6">
        <f t="shared" si="0"/>
        <v>0</v>
      </c>
      <c r="F39" s="6">
        <f t="shared" si="0"/>
        <v>0</v>
      </c>
      <c r="G39" s="62"/>
      <c r="H39" s="62"/>
      <c r="I39" s="60"/>
      <c r="J39" s="60"/>
      <c r="K39" s="64"/>
      <c r="L39" s="64"/>
      <c r="M39" s="25"/>
      <c r="N39" s="25"/>
    </row>
    <row r="40" spans="1:14">
      <c r="A40" s="3" t="s">
        <v>57</v>
      </c>
      <c r="B40" s="9">
        <v>144</v>
      </c>
      <c r="C40" s="7">
        <f t="shared" si="1"/>
        <v>0</v>
      </c>
      <c r="D40" s="7"/>
      <c r="E40" s="6">
        <f t="shared" si="0"/>
        <v>0</v>
      </c>
      <c r="F40" s="6">
        <f t="shared" si="0"/>
        <v>0</v>
      </c>
      <c r="G40" s="62"/>
      <c r="H40" s="62"/>
      <c r="I40" s="60"/>
      <c r="J40" s="60"/>
      <c r="K40" s="64"/>
      <c r="L40" s="64"/>
      <c r="M40" s="25"/>
      <c r="N40" s="25"/>
    </row>
    <row r="41" spans="1:14">
      <c r="A41" s="3" t="s">
        <v>58</v>
      </c>
      <c r="B41" s="4" t="s">
        <v>59</v>
      </c>
      <c r="C41" s="7">
        <f t="shared" si="1"/>
        <v>0</v>
      </c>
      <c r="D41" s="7"/>
      <c r="E41" s="6">
        <f t="shared" si="0"/>
        <v>0</v>
      </c>
      <c r="F41" s="6">
        <f t="shared" si="0"/>
        <v>0</v>
      </c>
      <c r="G41" s="62"/>
      <c r="H41" s="62"/>
      <c r="I41" s="60"/>
      <c r="J41" s="60"/>
      <c r="K41" s="64"/>
      <c r="L41" s="64"/>
      <c r="M41" s="25"/>
      <c r="N41" s="25"/>
    </row>
    <row r="42" spans="1:14">
      <c r="A42" s="3" t="s">
        <v>60</v>
      </c>
      <c r="B42" s="4" t="s">
        <v>61</v>
      </c>
      <c r="C42" s="7">
        <f t="shared" si="1"/>
        <v>0</v>
      </c>
      <c r="D42" s="7"/>
      <c r="E42" s="6">
        <f t="shared" si="0"/>
        <v>0</v>
      </c>
      <c r="F42" s="6">
        <f t="shared" si="0"/>
        <v>0</v>
      </c>
      <c r="G42" s="62"/>
      <c r="H42" s="62"/>
      <c r="I42" s="60"/>
      <c r="J42" s="60"/>
      <c r="K42" s="64"/>
      <c r="L42" s="64"/>
      <c r="M42" s="25"/>
      <c r="N42" s="25"/>
    </row>
    <row r="43" spans="1:14">
      <c r="A43" s="3" t="s">
        <v>62</v>
      </c>
      <c r="B43" s="4" t="s">
        <v>63</v>
      </c>
      <c r="C43" s="7">
        <f t="shared" si="1"/>
        <v>0</v>
      </c>
      <c r="D43" s="7"/>
      <c r="E43" s="6">
        <f t="shared" si="0"/>
        <v>0</v>
      </c>
      <c r="F43" s="6">
        <f t="shared" si="0"/>
        <v>0</v>
      </c>
      <c r="G43" s="62"/>
      <c r="H43" s="62"/>
      <c r="I43" s="60"/>
      <c r="J43" s="60"/>
      <c r="K43" s="64"/>
      <c r="L43" s="64"/>
      <c r="M43" s="25"/>
      <c r="N43" s="25"/>
    </row>
    <row r="44" spans="1:14">
      <c r="A44" s="3" t="s">
        <v>64</v>
      </c>
      <c r="B44" s="4" t="s">
        <v>65</v>
      </c>
      <c r="C44" s="7">
        <f t="shared" si="1"/>
        <v>0</v>
      </c>
      <c r="D44" s="7"/>
      <c r="E44" s="6">
        <f t="shared" si="0"/>
        <v>0</v>
      </c>
      <c r="F44" s="6">
        <f t="shared" si="0"/>
        <v>0</v>
      </c>
      <c r="G44" s="62"/>
      <c r="H44" s="62"/>
      <c r="I44" s="60"/>
      <c r="J44" s="60"/>
      <c r="K44" s="64"/>
      <c r="L44" s="64"/>
      <c r="M44" s="25"/>
      <c r="N44" s="25"/>
    </row>
    <row r="45" spans="1:14">
      <c r="A45" s="3" t="s">
        <v>66</v>
      </c>
      <c r="B45" s="4" t="s">
        <v>67</v>
      </c>
      <c r="C45" s="7">
        <f t="shared" si="1"/>
        <v>0</v>
      </c>
      <c r="D45" s="7"/>
      <c r="E45" s="6">
        <f t="shared" si="0"/>
        <v>0</v>
      </c>
      <c r="F45" s="6">
        <f t="shared" si="0"/>
        <v>0</v>
      </c>
      <c r="G45" s="62"/>
      <c r="H45" s="62"/>
      <c r="I45" s="60"/>
      <c r="J45" s="60"/>
      <c r="K45" s="64"/>
      <c r="L45" s="64"/>
      <c r="M45" s="25"/>
      <c r="N45" s="25"/>
    </row>
    <row r="46" spans="1:14">
      <c r="A46" s="3" t="s">
        <v>68</v>
      </c>
      <c r="B46" s="4" t="s">
        <v>69</v>
      </c>
      <c r="C46" s="7">
        <f t="shared" si="1"/>
        <v>0</v>
      </c>
      <c r="D46" s="7"/>
      <c r="E46" s="6">
        <f t="shared" si="0"/>
        <v>0</v>
      </c>
      <c r="F46" s="6">
        <f t="shared" si="0"/>
        <v>0</v>
      </c>
      <c r="G46" s="62"/>
      <c r="H46" s="62"/>
      <c r="I46" s="60"/>
      <c r="J46" s="60"/>
      <c r="K46" s="64"/>
      <c r="L46" s="64"/>
      <c r="M46" s="25"/>
      <c r="N46" s="25"/>
    </row>
    <row r="47" spans="1:14">
      <c r="A47" s="3" t="s">
        <v>70</v>
      </c>
      <c r="B47" s="4" t="s">
        <v>71</v>
      </c>
      <c r="C47" s="7">
        <f t="shared" si="1"/>
        <v>0</v>
      </c>
      <c r="D47" s="7"/>
      <c r="E47" s="6">
        <f t="shared" si="0"/>
        <v>0</v>
      </c>
      <c r="F47" s="6">
        <f t="shared" si="0"/>
        <v>0</v>
      </c>
      <c r="G47" s="62"/>
      <c r="H47" s="62"/>
      <c r="I47" s="60"/>
      <c r="J47" s="60"/>
      <c r="K47" s="64"/>
      <c r="L47" s="64"/>
      <c r="M47" s="25"/>
      <c r="N47" s="25"/>
    </row>
    <row r="48" spans="1:14">
      <c r="A48" s="3" t="s">
        <v>72</v>
      </c>
      <c r="B48" s="4" t="s">
        <v>73</v>
      </c>
      <c r="C48" s="7">
        <f t="shared" si="1"/>
        <v>0</v>
      </c>
      <c r="D48" s="7"/>
      <c r="E48" s="6">
        <f t="shared" si="0"/>
        <v>0</v>
      </c>
      <c r="F48" s="6">
        <f t="shared" si="0"/>
        <v>0</v>
      </c>
      <c r="G48" s="62"/>
      <c r="H48" s="62"/>
      <c r="I48" s="60"/>
      <c r="J48" s="60"/>
      <c r="K48" s="64"/>
      <c r="L48" s="64"/>
      <c r="M48" s="25"/>
      <c r="N48" s="25"/>
    </row>
    <row r="49" spans="1:14">
      <c r="A49" s="3" t="s">
        <v>74</v>
      </c>
      <c r="B49" s="4" t="s">
        <v>75</v>
      </c>
      <c r="C49" s="7">
        <f t="shared" si="1"/>
        <v>0</v>
      </c>
      <c r="D49" s="7"/>
      <c r="E49" s="6">
        <f t="shared" si="0"/>
        <v>0</v>
      </c>
      <c r="F49" s="6">
        <f t="shared" si="0"/>
        <v>0</v>
      </c>
      <c r="G49" s="62"/>
      <c r="H49" s="62"/>
      <c r="I49" s="60"/>
      <c r="J49" s="60"/>
      <c r="K49" s="64"/>
      <c r="L49" s="64"/>
      <c r="M49" s="25"/>
      <c r="N49" s="25"/>
    </row>
    <row r="50" spans="1:14">
      <c r="A50" s="3" t="s">
        <v>76</v>
      </c>
      <c r="B50" s="4" t="s">
        <v>77</v>
      </c>
      <c r="C50" s="7">
        <f t="shared" si="1"/>
        <v>0</v>
      </c>
      <c r="D50" s="7"/>
      <c r="E50" s="6">
        <f t="shared" si="0"/>
        <v>0</v>
      </c>
      <c r="F50" s="6">
        <f t="shared" si="0"/>
        <v>0</v>
      </c>
      <c r="G50" s="62"/>
      <c r="H50" s="62"/>
      <c r="I50" s="60"/>
      <c r="J50" s="60"/>
      <c r="K50" s="64"/>
      <c r="L50" s="64"/>
      <c r="M50" s="25"/>
      <c r="N50" s="25"/>
    </row>
    <row r="51" spans="1:14">
      <c r="A51" s="3" t="s">
        <v>78</v>
      </c>
      <c r="B51" s="4" t="s">
        <v>79</v>
      </c>
      <c r="C51" s="7">
        <f t="shared" si="1"/>
        <v>0</v>
      </c>
      <c r="D51" s="7"/>
      <c r="E51" s="6">
        <f t="shared" si="0"/>
        <v>0</v>
      </c>
      <c r="F51" s="6">
        <f t="shared" si="0"/>
        <v>0</v>
      </c>
      <c r="G51" s="62"/>
      <c r="H51" s="62"/>
      <c r="I51" s="60"/>
      <c r="J51" s="60"/>
      <c r="K51" s="64"/>
      <c r="L51" s="64"/>
      <c r="M51" s="25"/>
      <c r="N51" s="25"/>
    </row>
    <row r="52" spans="1:14">
      <c r="A52" s="3" t="s">
        <v>80</v>
      </c>
      <c r="B52" s="4" t="s">
        <v>81</v>
      </c>
      <c r="C52" s="7">
        <f t="shared" si="1"/>
        <v>0</v>
      </c>
      <c r="D52" s="7"/>
      <c r="E52" s="6">
        <f t="shared" si="0"/>
        <v>0</v>
      </c>
      <c r="F52" s="6">
        <f t="shared" si="0"/>
        <v>0</v>
      </c>
      <c r="G52" s="62"/>
      <c r="H52" s="62"/>
      <c r="I52" s="60"/>
      <c r="J52" s="60"/>
      <c r="K52" s="64"/>
      <c r="L52" s="64"/>
      <c r="M52" s="25"/>
      <c r="N52" s="25"/>
    </row>
    <row r="53" spans="1:14">
      <c r="A53" s="8" t="s">
        <v>82</v>
      </c>
      <c r="B53" s="4" t="s">
        <v>83</v>
      </c>
      <c r="C53" s="7">
        <f t="shared" si="1"/>
        <v>0</v>
      </c>
      <c r="D53" s="7"/>
      <c r="E53" s="6">
        <f t="shared" si="0"/>
        <v>0</v>
      </c>
      <c r="F53" s="6">
        <f t="shared" si="0"/>
        <v>0</v>
      </c>
      <c r="G53" s="62"/>
      <c r="H53" s="62"/>
      <c r="I53" s="60"/>
      <c r="J53" s="60"/>
      <c r="K53" s="64"/>
      <c r="L53" s="64"/>
      <c r="M53" s="25"/>
      <c r="N53" s="25"/>
    </row>
    <row r="54" spans="1:14">
      <c r="A54" s="3" t="s">
        <v>84</v>
      </c>
      <c r="B54" s="4" t="s">
        <v>85</v>
      </c>
      <c r="C54" s="7">
        <f t="shared" si="1"/>
        <v>0</v>
      </c>
      <c r="D54" s="7"/>
      <c r="E54" s="6">
        <f t="shared" si="0"/>
        <v>0</v>
      </c>
      <c r="F54" s="6">
        <f t="shared" si="0"/>
        <v>0</v>
      </c>
      <c r="G54" s="62"/>
      <c r="H54" s="62"/>
      <c r="I54" s="60"/>
      <c r="J54" s="60"/>
      <c r="K54" s="64"/>
      <c r="L54" s="64"/>
      <c r="M54" s="25"/>
      <c r="N54" s="25"/>
    </row>
    <row r="55" spans="1:14">
      <c r="A55" s="3" t="s">
        <v>86</v>
      </c>
      <c r="B55" s="4" t="s">
        <v>87</v>
      </c>
      <c r="C55" s="7">
        <f t="shared" si="1"/>
        <v>0</v>
      </c>
      <c r="D55" s="7"/>
      <c r="E55" s="6">
        <f t="shared" si="0"/>
        <v>0</v>
      </c>
      <c r="F55" s="6">
        <f t="shared" si="0"/>
        <v>0</v>
      </c>
      <c r="G55" s="62"/>
      <c r="H55" s="62"/>
      <c r="I55" s="60"/>
      <c r="J55" s="60"/>
      <c r="K55" s="64"/>
      <c r="L55" s="64"/>
      <c r="M55" s="25"/>
      <c r="N55" s="25"/>
    </row>
    <row r="56" spans="1:14">
      <c r="A56" s="8" t="s">
        <v>88</v>
      </c>
      <c r="B56" s="4" t="s">
        <v>89</v>
      </c>
      <c r="C56" s="7">
        <f t="shared" si="1"/>
        <v>0</v>
      </c>
      <c r="D56" s="7"/>
      <c r="E56" s="6">
        <f t="shared" si="0"/>
        <v>0</v>
      </c>
      <c r="F56" s="6">
        <f t="shared" si="0"/>
        <v>0</v>
      </c>
      <c r="G56" s="62"/>
      <c r="H56" s="62"/>
      <c r="I56" s="60"/>
      <c r="J56" s="60"/>
      <c r="K56" s="64"/>
      <c r="L56" s="64"/>
      <c r="M56" s="25"/>
      <c r="N56" s="25"/>
    </row>
    <row r="57" spans="1:14">
      <c r="A57" s="3" t="s">
        <v>90</v>
      </c>
      <c r="B57" s="4" t="s">
        <v>91</v>
      </c>
      <c r="C57" s="7">
        <f t="shared" si="1"/>
        <v>0</v>
      </c>
      <c r="D57" s="7"/>
      <c r="E57" s="6">
        <f t="shared" si="0"/>
        <v>0</v>
      </c>
      <c r="F57" s="6">
        <f t="shared" si="0"/>
        <v>0</v>
      </c>
      <c r="G57" s="62"/>
      <c r="H57" s="62"/>
      <c r="I57" s="60"/>
      <c r="J57" s="60"/>
      <c r="K57" s="64"/>
      <c r="L57" s="64"/>
      <c r="M57" s="25"/>
      <c r="N57" s="25"/>
    </row>
    <row r="58" spans="1:14">
      <c r="A58" s="3" t="s">
        <v>92</v>
      </c>
      <c r="B58" s="4">
        <v>165</v>
      </c>
      <c r="C58" s="7">
        <f t="shared" si="1"/>
        <v>0</v>
      </c>
      <c r="D58" s="7"/>
      <c r="E58" s="6">
        <f t="shared" si="0"/>
        <v>0</v>
      </c>
      <c r="F58" s="6">
        <f t="shared" si="0"/>
        <v>0</v>
      </c>
      <c r="G58" s="62"/>
      <c r="H58" s="62"/>
      <c r="I58" s="60"/>
      <c r="J58" s="60"/>
      <c r="K58" s="64"/>
      <c r="L58" s="64"/>
      <c r="M58" s="25"/>
      <c r="N58" s="25"/>
    </row>
    <row r="59" spans="1:14">
      <c r="A59" s="3" t="s">
        <v>93</v>
      </c>
      <c r="B59" s="4">
        <v>166</v>
      </c>
      <c r="C59" s="7">
        <f t="shared" si="1"/>
        <v>0</v>
      </c>
      <c r="D59" s="7"/>
      <c r="E59" s="6">
        <f t="shared" si="0"/>
        <v>0</v>
      </c>
      <c r="F59" s="6">
        <f t="shared" si="0"/>
        <v>0</v>
      </c>
      <c r="G59" s="62"/>
      <c r="H59" s="62"/>
      <c r="I59" s="60"/>
      <c r="J59" s="60"/>
      <c r="K59" s="64"/>
      <c r="L59" s="64"/>
      <c r="M59" s="25"/>
      <c r="N59" s="25"/>
    </row>
    <row r="60" spans="1:14">
      <c r="A60" s="3" t="s">
        <v>94</v>
      </c>
      <c r="B60" s="4">
        <v>167</v>
      </c>
      <c r="C60" s="7">
        <f t="shared" si="1"/>
        <v>0</v>
      </c>
      <c r="D60" s="7"/>
      <c r="E60" s="6">
        <f t="shared" si="0"/>
        <v>0</v>
      </c>
      <c r="F60" s="6">
        <f t="shared" si="0"/>
        <v>0</v>
      </c>
      <c r="G60" s="62"/>
      <c r="H60" s="62"/>
      <c r="I60" s="60"/>
      <c r="J60" s="60"/>
      <c r="K60" s="64"/>
      <c r="L60" s="64"/>
      <c r="M60" s="25"/>
      <c r="N60" s="25"/>
    </row>
    <row r="61" spans="1:14">
      <c r="A61" s="3" t="s">
        <v>95</v>
      </c>
      <c r="B61" s="4" t="s">
        <v>96</v>
      </c>
      <c r="C61" s="7">
        <f t="shared" si="1"/>
        <v>0</v>
      </c>
      <c r="D61" s="7"/>
      <c r="E61" s="6">
        <f t="shared" si="0"/>
        <v>0</v>
      </c>
      <c r="F61" s="6">
        <f t="shared" si="0"/>
        <v>0</v>
      </c>
      <c r="G61" s="62"/>
      <c r="H61" s="62"/>
      <c r="I61" s="60"/>
      <c r="J61" s="60"/>
      <c r="K61" s="64"/>
      <c r="L61" s="64"/>
      <c r="M61" s="25"/>
      <c r="N61" s="25"/>
    </row>
    <row r="62" spans="1:14">
      <c r="A62" s="3" t="s">
        <v>97</v>
      </c>
      <c r="B62" s="4" t="s">
        <v>98</v>
      </c>
      <c r="C62" s="7">
        <f t="shared" si="1"/>
        <v>0</v>
      </c>
      <c r="D62" s="7"/>
      <c r="E62" s="6">
        <f t="shared" si="0"/>
        <v>0</v>
      </c>
      <c r="F62" s="6">
        <f t="shared" si="0"/>
        <v>0</v>
      </c>
      <c r="G62" s="62"/>
      <c r="H62" s="62"/>
      <c r="I62" s="60"/>
      <c r="J62" s="60"/>
      <c r="K62" s="64"/>
      <c r="L62" s="64"/>
      <c r="M62" s="25"/>
      <c r="N62" s="25"/>
    </row>
    <row r="63" spans="1:14">
      <c r="A63" s="3" t="s">
        <v>99</v>
      </c>
      <c r="B63" s="4" t="s">
        <v>100</v>
      </c>
      <c r="C63" s="7">
        <f t="shared" si="1"/>
        <v>0</v>
      </c>
      <c r="D63" s="7"/>
      <c r="E63" s="6">
        <f t="shared" si="0"/>
        <v>0</v>
      </c>
      <c r="F63" s="6">
        <f t="shared" si="0"/>
        <v>0</v>
      </c>
      <c r="G63" s="62"/>
      <c r="H63" s="62"/>
      <c r="I63" s="60"/>
      <c r="J63" s="60"/>
      <c r="K63" s="64"/>
      <c r="L63" s="64"/>
      <c r="M63" s="25"/>
      <c r="N63" s="25"/>
    </row>
    <row r="64" spans="1:14">
      <c r="A64" s="3" t="s">
        <v>101</v>
      </c>
      <c r="B64" s="4" t="s">
        <v>102</v>
      </c>
      <c r="C64" s="7">
        <f t="shared" si="1"/>
        <v>0</v>
      </c>
      <c r="D64" s="7"/>
      <c r="E64" s="6">
        <f t="shared" si="0"/>
        <v>0</v>
      </c>
      <c r="F64" s="6">
        <f t="shared" si="0"/>
        <v>0</v>
      </c>
      <c r="G64" s="62"/>
      <c r="H64" s="62"/>
      <c r="I64" s="60"/>
      <c r="J64" s="60"/>
      <c r="K64" s="64"/>
      <c r="L64" s="64"/>
      <c r="M64" s="25"/>
      <c r="N64" s="25"/>
    </row>
    <row r="65" spans="1:14">
      <c r="A65" s="3" t="s">
        <v>103</v>
      </c>
      <c r="B65" s="4" t="s">
        <v>104</v>
      </c>
      <c r="C65" s="7">
        <f t="shared" si="1"/>
        <v>0</v>
      </c>
      <c r="D65" s="7"/>
      <c r="E65" s="6">
        <f t="shared" si="0"/>
        <v>0</v>
      </c>
      <c r="F65" s="6">
        <f t="shared" si="0"/>
        <v>0</v>
      </c>
      <c r="G65" s="62"/>
      <c r="H65" s="62"/>
      <c r="I65" s="60"/>
      <c r="J65" s="60"/>
      <c r="K65" s="64"/>
      <c r="L65" s="64"/>
      <c r="M65" s="25"/>
      <c r="N65" s="25"/>
    </row>
    <row r="66" spans="1:14">
      <c r="A66" s="3" t="s">
        <v>105</v>
      </c>
      <c r="B66" s="9">
        <v>178</v>
      </c>
      <c r="C66" s="7">
        <f t="shared" si="1"/>
        <v>0</v>
      </c>
      <c r="D66" s="7"/>
      <c r="E66" s="6">
        <f t="shared" si="0"/>
        <v>0</v>
      </c>
      <c r="F66" s="6">
        <f t="shared" si="0"/>
        <v>0</v>
      </c>
      <c r="G66" s="62"/>
      <c r="H66" s="62"/>
      <c r="I66" s="60"/>
      <c r="J66" s="60"/>
      <c r="K66" s="64"/>
      <c r="L66" s="64"/>
      <c r="M66" s="25"/>
      <c r="N66" s="25"/>
    </row>
    <row r="67" spans="1:14">
      <c r="A67" s="3" t="s">
        <v>106</v>
      </c>
      <c r="B67" s="4">
        <v>179</v>
      </c>
      <c r="C67" s="7">
        <f t="shared" si="1"/>
        <v>0</v>
      </c>
      <c r="D67" s="7"/>
      <c r="E67" s="6">
        <f t="shared" si="0"/>
        <v>0</v>
      </c>
      <c r="F67" s="6">
        <f t="shared" si="0"/>
        <v>0</v>
      </c>
      <c r="G67" s="62"/>
      <c r="H67" s="62"/>
      <c r="I67" s="60"/>
      <c r="J67" s="60"/>
      <c r="K67" s="64"/>
      <c r="L67" s="64"/>
      <c r="M67" s="25"/>
      <c r="N67" s="25"/>
    </row>
    <row r="68" spans="1:14">
      <c r="A68" s="3" t="s">
        <v>107</v>
      </c>
      <c r="B68" s="9">
        <v>180</v>
      </c>
      <c r="C68" s="7">
        <f t="shared" si="1"/>
        <v>0</v>
      </c>
      <c r="D68" s="7"/>
      <c r="E68" s="6">
        <f t="shared" si="0"/>
        <v>0</v>
      </c>
      <c r="F68" s="6">
        <f t="shared" si="0"/>
        <v>0</v>
      </c>
      <c r="G68" s="62"/>
      <c r="H68" s="62"/>
      <c r="I68" s="60"/>
      <c r="J68" s="60"/>
      <c r="K68" s="64"/>
      <c r="L68" s="64"/>
      <c r="M68" s="25"/>
      <c r="N68" s="25"/>
    </row>
    <row r="69" spans="1:14">
      <c r="A69" s="3" t="s">
        <v>108</v>
      </c>
      <c r="B69" s="9">
        <v>181</v>
      </c>
      <c r="C69" s="7">
        <f t="shared" si="1"/>
        <v>0</v>
      </c>
      <c r="D69" s="7"/>
      <c r="E69" s="6">
        <f t="shared" si="0"/>
        <v>0</v>
      </c>
      <c r="F69" s="6">
        <f t="shared" si="0"/>
        <v>0</v>
      </c>
      <c r="G69" s="62"/>
      <c r="H69" s="62"/>
      <c r="I69" s="60"/>
      <c r="J69" s="60"/>
      <c r="K69" s="64"/>
      <c r="L69" s="64"/>
      <c r="M69" s="25"/>
      <c r="N69" s="25"/>
    </row>
    <row r="70" spans="1:14">
      <c r="A70" s="3" t="s">
        <v>109</v>
      </c>
      <c r="B70" s="9">
        <v>182</v>
      </c>
      <c r="C70" s="7">
        <f t="shared" si="1"/>
        <v>0</v>
      </c>
      <c r="D70" s="7"/>
      <c r="E70" s="6">
        <f t="shared" si="0"/>
        <v>0</v>
      </c>
      <c r="F70" s="6">
        <f t="shared" si="0"/>
        <v>0</v>
      </c>
      <c r="G70" s="62"/>
      <c r="H70" s="62"/>
      <c r="I70" s="60"/>
      <c r="J70" s="60"/>
      <c r="K70" s="64"/>
      <c r="L70" s="64"/>
      <c r="M70" s="25"/>
      <c r="N70" s="25"/>
    </row>
    <row r="71" spans="1:14">
      <c r="A71" s="3" t="s">
        <v>110</v>
      </c>
      <c r="B71" s="9">
        <v>185</v>
      </c>
      <c r="C71" s="7">
        <f t="shared" si="1"/>
        <v>0</v>
      </c>
      <c r="D71" s="7"/>
      <c r="E71" s="6">
        <f t="shared" si="0"/>
        <v>0</v>
      </c>
      <c r="F71" s="6">
        <f t="shared" si="0"/>
        <v>0</v>
      </c>
      <c r="G71" s="62"/>
      <c r="H71" s="62"/>
      <c r="I71" s="60"/>
      <c r="J71" s="60"/>
      <c r="K71" s="64"/>
      <c r="L71" s="64"/>
      <c r="M71" s="25"/>
      <c r="N71" s="25"/>
    </row>
    <row r="72" spans="1:14">
      <c r="A72" s="3" t="s">
        <v>111</v>
      </c>
      <c r="B72" s="4" t="s">
        <v>112</v>
      </c>
      <c r="C72" s="7">
        <f t="shared" si="1"/>
        <v>0</v>
      </c>
      <c r="D72" s="7"/>
      <c r="E72" s="6">
        <f t="shared" si="0"/>
        <v>0</v>
      </c>
      <c r="F72" s="6">
        <f t="shared" si="0"/>
        <v>0</v>
      </c>
      <c r="G72" s="62"/>
      <c r="H72" s="62"/>
      <c r="I72" s="60"/>
      <c r="J72" s="60"/>
      <c r="K72" s="64"/>
      <c r="L72" s="64"/>
      <c r="M72" s="25"/>
      <c r="N72" s="25"/>
    </row>
    <row r="73" spans="1:14">
      <c r="A73" s="3" t="s">
        <v>113</v>
      </c>
      <c r="B73" s="4" t="s">
        <v>114</v>
      </c>
      <c r="C73" s="7">
        <f t="shared" si="1"/>
        <v>0</v>
      </c>
      <c r="D73" s="7"/>
      <c r="E73" s="6">
        <f t="shared" si="0"/>
        <v>0</v>
      </c>
      <c r="F73" s="6">
        <f t="shared" si="0"/>
        <v>0</v>
      </c>
      <c r="G73" s="62"/>
      <c r="H73" s="62"/>
      <c r="I73" s="60"/>
      <c r="J73" s="60"/>
      <c r="K73" s="64"/>
      <c r="L73" s="64"/>
      <c r="M73" s="25"/>
      <c r="N73" s="25"/>
    </row>
    <row r="74" spans="1:14">
      <c r="A74" s="3" t="s">
        <v>115</v>
      </c>
      <c r="B74" s="4" t="s">
        <v>116</v>
      </c>
      <c r="C74" s="7">
        <f t="shared" si="1"/>
        <v>0</v>
      </c>
      <c r="D74" s="7"/>
      <c r="E74" s="6">
        <f t="shared" si="0"/>
        <v>0</v>
      </c>
      <c r="F74" s="6">
        <f t="shared" si="0"/>
        <v>0</v>
      </c>
      <c r="G74" s="62"/>
      <c r="H74" s="62"/>
      <c r="I74" s="60"/>
      <c r="J74" s="60"/>
      <c r="K74" s="64"/>
      <c r="L74" s="64"/>
      <c r="M74" s="25"/>
      <c r="N74" s="25"/>
    </row>
    <row r="75" spans="1:14">
      <c r="A75" s="3" t="s">
        <v>117</v>
      </c>
      <c r="B75" s="4" t="s">
        <v>118</v>
      </c>
      <c r="C75" s="7">
        <f t="shared" si="1"/>
        <v>0</v>
      </c>
      <c r="D75" s="7"/>
      <c r="E75" s="6">
        <f t="shared" si="0"/>
        <v>0</v>
      </c>
      <c r="F75" s="6">
        <f t="shared" si="0"/>
        <v>0</v>
      </c>
      <c r="G75" s="62"/>
      <c r="H75" s="62"/>
      <c r="I75" s="60"/>
      <c r="J75" s="60"/>
      <c r="K75" s="64"/>
      <c r="L75" s="64"/>
      <c r="M75" s="25"/>
      <c r="N75" s="25"/>
    </row>
    <row r="76" spans="1:14">
      <c r="A76" s="3" t="s">
        <v>119</v>
      </c>
      <c r="B76" s="4" t="s">
        <v>120</v>
      </c>
      <c r="C76" s="7">
        <f t="shared" si="1"/>
        <v>0</v>
      </c>
      <c r="D76" s="7"/>
      <c r="E76" s="6">
        <f t="shared" si="0"/>
        <v>0</v>
      </c>
      <c r="F76" s="6">
        <f t="shared" si="0"/>
        <v>0</v>
      </c>
      <c r="G76" s="62"/>
      <c r="H76" s="62"/>
      <c r="I76" s="60"/>
      <c r="J76" s="60"/>
      <c r="K76" s="64"/>
      <c r="L76" s="64"/>
      <c r="M76" s="25"/>
      <c r="N76" s="25"/>
    </row>
    <row r="77" spans="1:14">
      <c r="A77" s="3" t="s">
        <v>121</v>
      </c>
      <c r="B77" s="4" t="s">
        <v>122</v>
      </c>
      <c r="C77" s="7">
        <f t="shared" si="1"/>
        <v>0</v>
      </c>
      <c r="D77" s="7"/>
      <c r="E77" s="6">
        <f t="shared" si="0"/>
        <v>0</v>
      </c>
      <c r="F77" s="6">
        <f t="shared" si="0"/>
        <v>0</v>
      </c>
      <c r="G77" s="62"/>
      <c r="H77" s="62"/>
      <c r="I77" s="60"/>
      <c r="J77" s="60"/>
      <c r="K77" s="64"/>
      <c r="L77" s="64"/>
      <c r="M77" s="25"/>
      <c r="N77" s="25"/>
    </row>
    <row r="78" spans="1:14">
      <c r="A78" s="3" t="s">
        <v>123</v>
      </c>
      <c r="B78" s="4" t="s">
        <v>124</v>
      </c>
      <c r="C78" s="7">
        <f t="shared" si="1"/>
        <v>0</v>
      </c>
      <c r="D78" s="7"/>
      <c r="E78" s="6">
        <f t="shared" ref="E78:F141" si="2">SUM(G78,I78,K78,M78)</f>
        <v>0</v>
      </c>
      <c r="F78" s="6">
        <f t="shared" si="2"/>
        <v>0</v>
      </c>
      <c r="G78" s="62"/>
      <c r="H78" s="62"/>
      <c r="I78" s="60"/>
      <c r="J78" s="60"/>
      <c r="K78" s="64"/>
      <c r="L78" s="64"/>
      <c r="M78" s="25"/>
      <c r="N78" s="25"/>
    </row>
    <row r="79" spans="1:14">
      <c r="A79" s="3" t="s">
        <v>125</v>
      </c>
      <c r="B79" s="4">
        <v>201</v>
      </c>
      <c r="C79" s="7">
        <f t="shared" si="1"/>
        <v>0</v>
      </c>
      <c r="D79" s="7"/>
      <c r="E79" s="6">
        <f t="shared" si="2"/>
        <v>0</v>
      </c>
      <c r="F79" s="6">
        <f t="shared" si="2"/>
        <v>0</v>
      </c>
      <c r="G79" s="62"/>
      <c r="H79" s="62"/>
      <c r="I79" s="60"/>
      <c r="J79" s="60"/>
      <c r="K79" s="64"/>
      <c r="L79" s="64"/>
      <c r="M79" s="25"/>
      <c r="N79" s="25"/>
    </row>
    <row r="80" spans="1:14">
      <c r="A80" s="3" t="s">
        <v>126</v>
      </c>
      <c r="B80" s="4">
        <v>202</v>
      </c>
      <c r="C80" s="7">
        <f t="shared" si="1"/>
        <v>0</v>
      </c>
      <c r="D80" s="7"/>
      <c r="E80" s="6">
        <f t="shared" si="2"/>
        <v>0</v>
      </c>
      <c r="F80" s="6">
        <f t="shared" si="2"/>
        <v>0</v>
      </c>
      <c r="G80" s="62"/>
      <c r="H80" s="62"/>
      <c r="I80" s="60"/>
      <c r="J80" s="60"/>
      <c r="K80" s="64"/>
      <c r="L80" s="64"/>
      <c r="M80" s="25"/>
      <c r="N80" s="25"/>
    </row>
    <row r="81" spans="1:14">
      <c r="A81" s="8" t="s">
        <v>127</v>
      </c>
      <c r="B81" s="4">
        <v>302</v>
      </c>
      <c r="C81" s="7"/>
      <c r="D81" s="7">
        <f>F81-E81</f>
        <v>0</v>
      </c>
      <c r="E81" s="6">
        <f t="shared" si="2"/>
        <v>0</v>
      </c>
      <c r="F81" s="6">
        <f t="shared" si="2"/>
        <v>0</v>
      </c>
      <c r="G81" s="62"/>
      <c r="H81" s="62"/>
      <c r="I81" s="60"/>
      <c r="J81" s="60"/>
      <c r="K81" s="64"/>
      <c r="L81" s="64"/>
      <c r="M81" s="25"/>
      <c r="N81" s="25"/>
    </row>
    <row r="82" spans="1:14">
      <c r="A82" s="3" t="s">
        <v>128</v>
      </c>
      <c r="B82" s="4">
        <v>203</v>
      </c>
      <c r="C82" s="7">
        <f>E82-F82</f>
        <v>0</v>
      </c>
      <c r="D82" s="7"/>
      <c r="E82" s="6">
        <f t="shared" si="2"/>
        <v>0</v>
      </c>
      <c r="F82" s="6">
        <f t="shared" si="2"/>
        <v>0</v>
      </c>
      <c r="G82" s="62"/>
      <c r="H82" s="62"/>
      <c r="I82" s="60"/>
      <c r="J82" s="60"/>
      <c r="K82" s="64"/>
      <c r="L82" s="64"/>
      <c r="M82" s="25"/>
      <c r="N82" s="25"/>
    </row>
    <row r="83" spans="1:14">
      <c r="A83" s="3" t="s">
        <v>129</v>
      </c>
      <c r="B83" s="4">
        <v>303</v>
      </c>
      <c r="C83" s="7"/>
      <c r="D83" s="7">
        <f>F83-E83</f>
        <v>0</v>
      </c>
      <c r="E83" s="6">
        <f t="shared" si="2"/>
        <v>0</v>
      </c>
      <c r="F83" s="6">
        <f t="shared" si="2"/>
        <v>0</v>
      </c>
      <c r="G83" s="62"/>
      <c r="H83" s="62"/>
      <c r="I83" s="60"/>
      <c r="J83" s="60"/>
      <c r="K83" s="64"/>
      <c r="L83" s="64"/>
      <c r="M83" s="25"/>
      <c r="N83" s="25"/>
    </row>
    <row r="84" spans="1:14">
      <c r="A84" s="3" t="s">
        <v>130</v>
      </c>
      <c r="B84" s="4">
        <v>204</v>
      </c>
      <c r="C84" s="7">
        <f>E84-F84</f>
        <v>0</v>
      </c>
      <c r="D84" s="7"/>
      <c r="E84" s="6">
        <f t="shared" si="2"/>
        <v>0</v>
      </c>
      <c r="F84" s="6">
        <f t="shared" si="2"/>
        <v>0</v>
      </c>
      <c r="G84" s="62"/>
      <c r="H84" s="62"/>
      <c r="I84" s="60"/>
      <c r="J84" s="60"/>
      <c r="K84" s="64"/>
      <c r="L84" s="64"/>
      <c r="M84" s="25"/>
      <c r="N84" s="25"/>
    </row>
    <row r="85" spans="1:14">
      <c r="A85" s="3" t="s">
        <v>131</v>
      </c>
      <c r="B85" s="4">
        <v>304</v>
      </c>
      <c r="C85" s="7"/>
      <c r="D85" s="7">
        <f>F85-E85</f>
        <v>0</v>
      </c>
      <c r="E85" s="6">
        <f t="shared" si="2"/>
        <v>0</v>
      </c>
      <c r="F85" s="6">
        <f t="shared" si="2"/>
        <v>0</v>
      </c>
      <c r="G85" s="62"/>
      <c r="H85" s="62"/>
      <c r="I85" s="60"/>
      <c r="J85" s="60"/>
      <c r="K85" s="64"/>
      <c r="L85" s="64"/>
      <c r="M85" s="25"/>
      <c r="N85" s="25"/>
    </row>
    <row r="86" spans="1:14">
      <c r="A86" s="3" t="s">
        <v>132</v>
      </c>
      <c r="B86" s="4">
        <v>205</v>
      </c>
      <c r="C86" s="7">
        <f>E86-F86</f>
        <v>0</v>
      </c>
      <c r="D86" s="7"/>
      <c r="E86" s="6">
        <f t="shared" si="2"/>
        <v>0</v>
      </c>
      <c r="F86" s="6">
        <f t="shared" si="2"/>
        <v>0</v>
      </c>
      <c r="G86" s="62"/>
      <c r="H86" s="62"/>
      <c r="I86" s="60"/>
      <c r="J86" s="60"/>
      <c r="K86" s="64"/>
      <c r="L86" s="64"/>
      <c r="M86" s="25"/>
      <c r="N86" s="25"/>
    </row>
    <row r="87" spans="1:14" ht="28.5">
      <c r="A87" s="8" t="s">
        <v>133</v>
      </c>
      <c r="B87" s="4">
        <v>305</v>
      </c>
      <c r="C87" s="7"/>
      <c r="D87" s="7">
        <f>F87-E87</f>
        <v>0</v>
      </c>
      <c r="E87" s="6">
        <f t="shared" si="2"/>
        <v>0</v>
      </c>
      <c r="F87" s="6">
        <f t="shared" si="2"/>
        <v>0</v>
      </c>
      <c r="G87" s="62"/>
      <c r="H87" s="62"/>
      <c r="I87" s="60"/>
      <c r="J87" s="60"/>
      <c r="K87" s="64"/>
      <c r="L87" s="64"/>
      <c r="M87" s="25"/>
      <c r="N87" s="25"/>
    </row>
    <row r="88" spans="1:14">
      <c r="A88" s="8" t="s">
        <v>134</v>
      </c>
      <c r="B88" s="4" t="s">
        <v>135</v>
      </c>
      <c r="C88" s="7">
        <f>E88-F88</f>
        <v>0</v>
      </c>
      <c r="D88" s="7"/>
      <c r="E88" s="6">
        <f t="shared" si="2"/>
        <v>0</v>
      </c>
      <c r="F88" s="6">
        <f t="shared" si="2"/>
        <v>0</v>
      </c>
      <c r="G88" s="62"/>
      <c r="H88" s="62"/>
      <c r="I88" s="60"/>
      <c r="J88" s="60"/>
      <c r="K88" s="64"/>
      <c r="L88" s="64"/>
      <c r="M88" s="25"/>
      <c r="N88" s="25"/>
    </row>
    <row r="89" spans="1:14">
      <c r="A89" s="8" t="s">
        <v>136</v>
      </c>
      <c r="B89" s="4" t="s">
        <v>137</v>
      </c>
      <c r="C89" s="7"/>
      <c r="D89" s="7">
        <f>F89-E89</f>
        <v>0</v>
      </c>
      <c r="E89" s="6">
        <f t="shared" si="2"/>
        <v>0</v>
      </c>
      <c r="F89" s="6">
        <f t="shared" si="2"/>
        <v>0</v>
      </c>
      <c r="G89" s="62"/>
      <c r="H89" s="62"/>
      <c r="I89" s="60"/>
      <c r="J89" s="60"/>
      <c r="K89" s="64"/>
      <c r="L89" s="64"/>
      <c r="M89" s="25"/>
      <c r="N89" s="25"/>
    </row>
    <row r="90" spans="1:14">
      <c r="A90" s="8" t="s">
        <v>138</v>
      </c>
      <c r="B90" s="4" t="s">
        <v>139</v>
      </c>
      <c r="C90" s="7">
        <f>E90-F90</f>
        <v>0</v>
      </c>
      <c r="D90" s="7"/>
      <c r="E90" s="6">
        <f t="shared" si="2"/>
        <v>0</v>
      </c>
      <c r="F90" s="6">
        <f t="shared" si="2"/>
        <v>0</v>
      </c>
      <c r="G90" s="62"/>
      <c r="H90" s="62"/>
      <c r="I90" s="60"/>
      <c r="J90" s="60"/>
      <c r="K90" s="64"/>
      <c r="L90" s="64"/>
      <c r="M90" s="25"/>
      <c r="N90" s="25"/>
    </row>
    <row r="91" spans="1:14">
      <c r="A91" s="8" t="s">
        <v>140</v>
      </c>
      <c r="B91" s="4" t="s">
        <v>141</v>
      </c>
      <c r="C91" s="7"/>
      <c r="D91" s="7">
        <f>F91-E91</f>
        <v>0</v>
      </c>
      <c r="E91" s="6">
        <f t="shared" si="2"/>
        <v>0</v>
      </c>
      <c r="F91" s="6">
        <f t="shared" si="2"/>
        <v>0</v>
      </c>
      <c r="G91" s="62"/>
      <c r="H91" s="62"/>
      <c r="I91" s="60"/>
      <c r="J91" s="60"/>
      <c r="K91" s="64"/>
      <c r="L91" s="64"/>
      <c r="M91" s="25"/>
      <c r="N91" s="25"/>
    </row>
    <row r="92" spans="1:14">
      <c r="A92" s="8" t="s">
        <v>142</v>
      </c>
      <c r="B92" s="4" t="s">
        <v>143</v>
      </c>
      <c r="C92" s="7">
        <f>E92-F92</f>
        <v>0</v>
      </c>
      <c r="D92" s="7"/>
      <c r="E92" s="6">
        <f t="shared" si="2"/>
        <v>0</v>
      </c>
      <c r="F92" s="6">
        <f t="shared" si="2"/>
        <v>0</v>
      </c>
      <c r="G92" s="62"/>
      <c r="H92" s="62"/>
      <c r="I92" s="60"/>
      <c r="J92" s="60"/>
      <c r="K92" s="64"/>
      <c r="L92" s="64"/>
      <c r="M92" s="25"/>
      <c r="N92" s="25"/>
    </row>
    <row r="93" spans="1:14" ht="28.5">
      <c r="A93" s="8" t="s">
        <v>144</v>
      </c>
      <c r="B93" s="4" t="s">
        <v>145</v>
      </c>
      <c r="C93" s="7"/>
      <c r="D93" s="7">
        <f>F93-E93</f>
        <v>0</v>
      </c>
      <c r="E93" s="6">
        <f t="shared" si="2"/>
        <v>0</v>
      </c>
      <c r="F93" s="6">
        <f t="shared" si="2"/>
        <v>0</v>
      </c>
      <c r="G93" s="62"/>
      <c r="H93" s="62"/>
      <c r="I93" s="60"/>
      <c r="J93" s="60"/>
      <c r="K93" s="64"/>
      <c r="L93" s="64"/>
      <c r="M93" s="25"/>
      <c r="N93" s="25"/>
    </row>
    <row r="94" spans="1:14">
      <c r="A94" s="8" t="s">
        <v>146</v>
      </c>
      <c r="B94" s="4" t="s">
        <v>147</v>
      </c>
      <c r="C94" s="7">
        <f>E94-F94</f>
        <v>0</v>
      </c>
      <c r="D94" s="7"/>
      <c r="E94" s="6">
        <f t="shared" si="2"/>
        <v>0</v>
      </c>
      <c r="F94" s="6">
        <f t="shared" si="2"/>
        <v>0</v>
      </c>
      <c r="G94" s="62"/>
      <c r="H94" s="62"/>
      <c r="I94" s="60"/>
      <c r="J94" s="60"/>
      <c r="K94" s="64"/>
      <c r="L94" s="64"/>
      <c r="M94" s="25"/>
      <c r="N94" s="25"/>
    </row>
    <row r="95" spans="1:14" ht="28.5">
      <c r="A95" s="8" t="s">
        <v>148</v>
      </c>
      <c r="B95" s="4" t="s">
        <v>149</v>
      </c>
      <c r="C95" s="7"/>
      <c r="D95" s="7">
        <f>F95-E95</f>
        <v>0</v>
      </c>
      <c r="E95" s="6">
        <f t="shared" si="2"/>
        <v>0</v>
      </c>
      <c r="F95" s="6">
        <f t="shared" si="2"/>
        <v>0</v>
      </c>
      <c r="G95" s="62"/>
      <c r="H95" s="62"/>
      <c r="I95" s="60"/>
      <c r="J95" s="60"/>
      <c r="K95" s="64"/>
      <c r="L95" s="64"/>
      <c r="M95" s="25"/>
      <c r="N95" s="25"/>
    </row>
    <row r="96" spans="1:14">
      <c r="A96" s="8" t="s">
        <v>150</v>
      </c>
      <c r="B96" s="4" t="s">
        <v>151</v>
      </c>
      <c r="C96" s="7">
        <f>E96-F96</f>
        <v>0</v>
      </c>
      <c r="D96" s="7"/>
      <c r="E96" s="6">
        <f t="shared" si="2"/>
        <v>0</v>
      </c>
      <c r="F96" s="6">
        <f t="shared" si="2"/>
        <v>0</v>
      </c>
      <c r="G96" s="62"/>
      <c r="H96" s="62"/>
      <c r="I96" s="60"/>
      <c r="J96" s="60"/>
      <c r="K96" s="64"/>
      <c r="L96" s="64"/>
      <c r="M96" s="25"/>
      <c r="N96" s="25"/>
    </row>
    <row r="97" spans="1:14">
      <c r="A97" s="8" t="s">
        <v>152</v>
      </c>
      <c r="B97" s="4" t="s">
        <v>153</v>
      </c>
      <c r="C97" s="7"/>
      <c r="D97" s="7">
        <f>F97-E97</f>
        <v>0</v>
      </c>
      <c r="E97" s="6">
        <f t="shared" si="2"/>
        <v>0</v>
      </c>
      <c r="F97" s="6">
        <f t="shared" si="2"/>
        <v>0</v>
      </c>
      <c r="G97" s="62"/>
      <c r="H97" s="62"/>
      <c r="I97" s="60"/>
      <c r="J97" s="60"/>
      <c r="K97" s="64"/>
      <c r="L97" s="64"/>
      <c r="M97" s="25"/>
      <c r="N97" s="25"/>
    </row>
    <row r="98" spans="1:14">
      <c r="A98" s="8" t="s">
        <v>154</v>
      </c>
      <c r="B98" s="4" t="s">
        <v>155</v>
      </c>
      <c r="C98" s="7">
        <f>E98-F98</f>
        <v>0</v>
      </c>
      <c r="D98" s="7"/>
      <c r="E98" s="6">
        <f t="shared" si="2"/>
        <v>0</v>
      </c>
      <c r="F98" s="6">
        <f t="shared" si="2"/>
        <v>0</v>
      </c>
      <c r="G98" s="62"/>
      <c r="H98" s="62"/>
      <c r="I98" s="60"/>
      <c r="J98" s="60"/>
      <c r="K98" s="64"/>
      <c r="L98" s="64"/>
      <c r="M98" s="25"/>
      <c r="N98" s="25"/>
    </row>
    <row r="99" spans="1:14" ht="28.5">
      <c r="A99" s="8" t="s">
        <v>156</v>
      </c>
      <c r="B99" s="4" t="s">
        <v>157</v>
      </c>
      <c r="C99" s="7"/>
      <c r="D99" s="7">
        <f>F99-E99</f>
        <v>0</v>
      </c>
      <c r="E99" s="6">
        <f t="shared" si="2"/>
        <v>0</v>
      </c>
      <c r="F99" s="6">
        <f t="shared" si="2"/>
        <v>0</v>
      </c>
      <c r="G99" s="62"/>
      <c r="H99" s="62"/>
      <c r="I99" s="60"/>
      <c r="J99" s="60"/>
      <c r="K99" s="64"/>
      <c r="L99" s="64"/>
      <c r="M99" s="25"/>
      <c r="N99" s="25"/>
    </row>
    <row r="100" spans="1:14">
      <c r="A100" s="8" t="s">
        <v>158</v>
      </c>
      <c r="B100" s="4" t="s">
        <v>159</v>
      </c>
      <c r="C100" s="7">
        <f>E100-F100</f>
        <v>0</v>
      </c>
      <c r="D100" s="7"/>
      <c r="E100" s="6">
        <f t="shared" si="2"/>
        <v>0</v>
      </c>
      <c r="F100" s="6">
        <f t="shared" si="2"/>
        <v>0</v>
      </c>
      <c r="G100" s="62"/>
      <c r="H100" s="62"/>
      <c r="I100" s="60"/>
      <c r="J100" s="60"/>
      <c r="K100" s="64"/>
      <c r="L100" s="64"/>
      <c r="M100" s="25"/>
      <c r="N100" s="25"/>
    </row>
    <row r="101" spans="1:14" ht="28.5">
      <c r="A101" s="8" t="s">
        <v>160</v>
      </c>
      <c r="B101" s="4" t="s">
        <v>161</v>
      </c>
      <c r="C101" s="7"/>
      <c r="D101" s="7">
        <f>F101-E101</f>
        <v>0</v>
      </c>
      <c r="E101" s="6">
        <f t="shared" si="2"/>
        <v>0</v>
      </c>
      <c r="F101" s="6">
        <f t="shared" si="2"/>
        <v>0</v>
      </c>
      <c r="G101" s="62"/>
      <c r="H101" s="62"/>
      <c r="I101" s="60"/>
      <c r="J101" s="60"/>
      <c r="K101" s="64"/>
      <c r="L101" s="64"/>
      <c r="M101" s="25"/>
      <c r="N101" s="25"/>
    </row>
    <row r="102" spans="1:14">
      <c r="A102" s="8" t="s">
        <v>162</v>
      </c>
      <c r="B102" s="4" t="s">
        <v>163</v>
      </c>
      <c r="C102" s="7">
        <f>E102-F102</f>
        <v>0</v>
      </c>
      <c r="D102" s="7"/>
      <c r="E102" s="6">
        <f t="shared" si="2"/>
        <v>0</v>
      </c>
      <c r="F102" s="6">
        <f t="shared" si="2"/>
        <v>0</v>
      </c>
      <c r="G102" s="62"/>
      <c r="H102" s="62"/>
      <c r="I102" s="60"/>
      <c r="J102" s="60"/>
      <c r="K102" s="64"/>
      <c r="L102" s="64"/>
      <c r="M102" s="25"/>
      <c r="N102" s="25"/>
    </row>
    <row r="103" spans="1:14" ht="28.5">
      <c r="A103" s="8" t="s">
        <v>164</v>
      </c>
      <c r="B103" s="4" t="s">
        <v>165</v>
      </c>
      <c r="C103" s="7"/>
      <c r="D103" s="7">
        <f>F103-E103</f>
        <v>0</v>
      </c>
      <c r="E103" s="6">
        <f t="shared" si="2"/>
        <v>0</v>
      </c>
      <c r="F103" s="6">
        <f t="shared" si="2"/>
        <v>0</v>
      </c>
      <c r="G103" s="62"/>
      <c r="H103" s="62"/>
      <c r="I103" s="60"/>
      <c r="J103" s="60"/>
      <c r="K103" s="64"/>
      <c r="L103" s="64"/>
      <c r="M103" s="25"/>
      <c r="N103" s="25"/>
    </row>
    <row r="104" spans="1:14">
      <c r="A104" s="8" t="s">
        <v>166</v>
      </c>
      <c r="B104" s="4" t="s">
        <v>167</v>
      </c>
      <c r="C104" s="7">
        <f>E104-F104</f>
        <v>0</v>
      </c>
      <c r="D104" s="7"/>
      <c r="E104" s="6">
        <f t="shared" si="2"/>
        <v>0</v>
      </c>
      <c r="F104" s="6">
        <f t="shared" si="2"/>
        <v>0</v>
      </c>
      <c r="G104" s="62"/>
      <c r="H104" s="62"/>
      <c r="I104" s="60"/>
      <c r="J104" s="60"/>
      <c r="K104" s="64"/>
      <c r="L104" s="64"/>
      <c r="M104" s="25"/>
      <c r="N104" s="25"/>
    </row>
    <row r="105" spans="1:14">
      <c r="A105" s="8" t="s">
        <v>168</v>
      </c>
      <c r="B105" s="4" t="s">
        <v>169</v>
      </c>
      <c r="C105" s="7"/>
      <c r="D105" s="7">
        <f>F105-E105</f>
        <v>0</v>
      </c>
      <c r="E105" s="6">
        <f t="shared" si="2"/>
        <v>0</v>
      </c>
      <c r="F105" s="6">
        <f t="shared" si="2"/>
        <v>0</v>
      </c>
      <c r="G105" s="62"/>
      <c r="H105" s="62"/>
      <c r="I105" s="60"/>
      <c r="J105" s="60"/>
      <c r="K105" s="64"/>
      <c r="L105" s="64"/>
      <c r="M105" s="25"/>
      <c r="N105" s="25"/>
    </row>
    <row r="106" spans="1:14">
      <c r="A106" s="8" t="s">
        <v>170</v>
      </c>
      <c r="B106" s="4" t="s">
        <v>171</v>
      </c>
      <c r="C106" s="7">
        <f>E106-F106</f>
        <v>0</v>
      </c>
      <c r="D106" s="7"/>
      <c r="E106" s="6">
        <f t="shared" si="2"/>
        <v>0</v>
      </c>
      <c r="F106" s="6">
        <f t="shared" si="2"/>
        <v>0</v>
      </c>
      <c r="G106" s="62"/>
      <c r="H106" s="62"/>
      <c r="I106" s="60"/>
      <c r="J106" s="60"/>
      <c r="K106" s="64"/>
      <c r="L106" s="64"/>
      <c r="M106" s="25"/>
      <c r="N106" s="25"/>
    </row>
    <row r="107" spans="1:14" ht="28.5">
      <c r="A107" s="8" t="s">
        <v>172</v>
      </c>
      <c r="B107" s="4" t="s">
        <v>173</v>
      </c>
      <c r="C107" s="7"/>
      <c r="D107" s="7">
        <f>F107-E107</f>
        <v>0</v>
      </c>
      <c r="E107" s="6">
        <f t="shared" si="2"/>
        <v>0</v>
      </c>
      <c r="F107" s="6">
        <f t="shared" si="2"/>
        <v>0</v>
      </c>
      <c r="G107" s="62"/>
      <c r="H107" s="62"/>
      <c r="I107" s="60"/>
      <c r="J107" s="60"/>
      <c r="K107" s="64"/>
      <c r="L107" s="64"/>
      <c r="M107" s="25"/>
      <c r="N107" s="25"/>
    </row>
    <row r="108" spans="1:14">
      <c r="A108" s="8" t="s">
        <v>174</v>
      </c>
      <c r="B108" s="4" t="s">
        <v>175</v>
      </c>
      <c r="C108" s="7">
        <f>E108-F108</f>
        <v>0</v>
      </c>
      <c r="D108" s="7"/>
      <c r="E108" s="6">
        <f t="shared" si="2"/>
        <v>0</v>
      </c>
      <c r="F108" s="6">
        <f t="shared" si="2"/>
        <v>0</v>
      </c>
      <c r="G108" s="62"/>
      <c r="H108" s="62"/>
      <c r="I108" s="60"/>
      <c r="J108" s="60"/>
      <c r="K108" s="64"/>
      <c r="L108" s="64"/>
      <c r="M108" s="25"/>
      <c r="N108" s="25"/>
    </row>
    <row r="109" spans="1:14">
      <c r="A109" s="8" t="s">
        <v>176</v>
      </c>
      <c r="B109" s="4" t="s">
        <v>177</v>
      </c>
      <c r="C109" s="7"/>
      <c r="D109" s="7">
        <f>F109-E109</f>
        <v>0</v>
      </c>
      <c r="E109" s="6">
        <f t="shared" si="2"/>
        <v>0</v>
      </c>
      <c r="F109" s="6">
        <f t="shared" si="2"/>
        <v>0</v>
      </c>
      <c r="G109" s="62"/>
      <c r="H109" s="62"/>
      <c r="I109" s="60"/>
      <c r="J109" s="60"/>
      <c r="K109" s="64"/>
      <c r="L109" s="64"/>
      <c r="M109" s="25"/>
      <c r="N109" s="25"/>
    </row>
    <row r="110" spans="1:14">
      <c r="A110" s="8" t="s">
        <v>178</v>
      </c>
      <c r="B110" s="4" t="s">
        <v>179</v>
      </c>
      <c r="C110" s="7">
        <f>E110-F110</f>
        <v>0</v>
      </c>
      <c r="D110" s="7"/>
      <c r="E110" s="6">
        <f t="shared" si="2"/>
        <v>0</v>
      </c>
      <c r="F110" s="6">
        <f t="shared" si="2"/>
        <v>0</v>
      </c>
      <c r="G110" s="62"/>
      <c r="H110" s="62"/>
      <c r="I110" s="60"/>
      <c r="J110" s="60"/>
      <c r="K110" s="64"/>
      <c r="L110" s="64"/>
      <c r="M110" s="25"/>
      <c r="N110" s="25"/>
    </row>
    <row r="111" spans="1:14">
      <c r="A111" s="8" t="s">
        <v>180</v>
      </c>
      <c r="B111" s="4" t="s">
        <v>181</v>
      </c>
      <c r="C111" s="7"/>
      <c r="D111" s="7">
        <f>F111-E111</f>
        <v>0</v>
      </c>
      <c r="E111" s="6">
        <f t="shared" si="2"/>
        <v>0</v>
      </c>
      <c r="F111" s="6">
        <f t="shared" si="2"/>
        <v>0</v>
      </c>
      <c r="G111" s="62"/>
      <c r="H111" s="62"/>
      <c r="I111" s="60"/>
      <c r="J111" s="60"/>
      <c r="K111" s="64"/>
      <c r="L111" s="64"/>
      <c r="M111" s="25"/>
      <c r="N111" s="25"/>
    </row>
    <row r="112" spans="1:14">
      <c r="A112" s="8" t="s">
        <v>182</v>
      </c>
      <c r="B112" s="4" t="s">
        <v>183</v>
      </c>
      <c r="C112" s="7">
        <f>E112-F112</f>
        <v>0</v>
      </c>
      <c r="D112" s="7"/>
      <c r="E112" s="6">
        <f t="shared" si="2"/>
        <v>0</v>
      </c>
      <c r="F112" s="6">
        <f t="shared" si="2"/>
        <v>0</v>
      </c>
      <c r="G112" s="62"/>
      <c r="H112" s="62"/>
      <c r="I112" s="60"/>
      <c r="J112" s="60"/>
      <c r="K112" s="64"/>
      <c r="L112" s="64"/>
      <c r="M112" s="25"/>
      <c r="N112" s="25"/>
    </row>
    <row r="113" spans="1:14">
      <c r="A113" s="8" t="s">
        <v>184</v>
      </c>
      <c r="B113" s="4" t="s">
        <v>185</v>
      </c>
      <c r="C113" s="7"/>
      <c r="D113" s="7">
        <f>F113-E113</f>
        <v>0</v>
      </c>
      <c r="E113" s="6">
        <f t="shared" si="2"/>
        <v>0</v>
      </c>
      <c r="F113" s="6">
        <f t="shared" si="2"/>
        <v>0</v>
      </c>
      <c r="G113" s="62"/>
      <c r="H113" s="62"/>
      <c r="I113" s="60"/>
      <c r="J113" s="60"/>
      <c r="K113" s="64"/>
      <c r="L113" s="64"/>
      <c r="M113" s="25"/>
      <c r="N113" s="25"/>
    </row>
    <row r="114" spans="1:14">
      <c r="A114" s="8" t="s">
        <v>186</v>
      </c>
      <c r="B114" s="4" t="s">
        <v>187</v>
      </c>
      <c r="C114" s="7">
        <f>E114-F114</f>
        <v>0</v>
      </c>
      <c r="D114" s="7"/>
      <c r="E114" s="6">
        <f t="shared" si="2"/>
        <v>0</v>
      </c>
      <c r="F114" s="6">
        <f t="shared" si="2"/>
        <v>0</v>
      </c>
      <c r="G114" s="62"/>
      <c r="H114" s="62"/>
      <c r="I114" s="60"/>
      <c r="J114" s="60"/>
      <c r="K114" s="64"/>
      <c r="L114" s="64"/>
      <c r="M114" s="25"/>
      <c r="N114" s="25"/>
    </row>
    <row r="115" spans="1:14" ht="28.5">
      <c r="A115" s="8" t="s">
        <v>188</v>
      </c>
      <c r="B115" s="4" t="s">
        <v>189</v>
      </c>
      <c r="C115" s="7"/>
      <c r="D115" s="7">
        <f>F115-E115</f>
        <v>0</v>
      </c>
      <c r="E115" s="6">
        <f t="shared" si="2"/>
        <v>0</v>
      </c>
      <c r="F115" s="6">
        <f t="shared" si="2"/>
        <v>0</v>
      </c>
      <c r="G115" s="62"/>
      <c r="H115" s="62"/>
      <c r="I115" s="60"/>
      <c r="J115" s="60"/>
      <c r="K115" s="64"/>
      <c r="L115" s="64"/>
      <c r="M115" s="25"/>
      <c r="N115" s="25"/>
    </row>
    <row r="116" spans="1:14">
      <c r="A116" s="8" t="s">
        <v>190</v>
      </c>
      <c r="B116" s="4" t="s">
        <v>191</v>
      </c>
      <c r="C116" s="7">
        <f>E116-F116</f>
        <v>0</v>
      </c>
      <c r="D116" s="7"/>
      <c r="E116" s="6">
        <f t="shared" si="2"/>
        <v>0</v>
      </c>
      <c r="F116" s="6">
        <f t="shared" si="2"/>
        <v>0</v>
      </c>
      <c r="G116" s="62"/>
      <c r="H116" s="62"/>
      <c r="I116" s="60"/>
      <c r="J116" s="60"/>
      <c r="K116" s="64"/>
      <c r="L116" s="64"/>
      <c r="M116" s="25"/>
      <c r="N116" s="25"/>
    </row>
    <row r="117" spans="1:14">
      <c r="A117" s="8" t="s">
        <v>192</v>
      </c>
      <c r="B117" s="4" t="s">
        <v>193</v>
      </c>
      <c r="C117" s="7"/>
      <c r="D117" s="7">
        <f>F117-E117</f>
        <v>0</v>
      </c>
      <c r="E117" s="6">
        <f t="shared" si="2"/>
        <v>0</v>
      </c>
      <c r="F117" s="6">
        <f t="shared" si="2"/>
        <v>0</v>
      </c>
      <c r="G117" s="62"/>
      <c r="H117" s="62"/>
      <c r="I117" s="60"/>
      <c r="J117" s="60"/>
      <c r="K117" s="64"/>
      <c r="L117" s="64"/>
      <c r="M117" s="25"/>
      <c r="N117" s="25"/>
    </row>
    <row r="118" spans="1:14">
      <c r="A118" s="8" t="s">
        <v>194</v>
      </c>
      <c r="B118" s="4" t="s">
        <v>195</v>
      </c>
      <c r="C118" s="7">
        <f>E118-F118</f>
        <v>0</v>
      </c>
      <c r="D118" s="7"/>
      <c r="E118" s="6">
        <f t="shared" si="2"/>
        <v>0</v>
      </c>
      <c r="F118" s="6">
        <f t="shared" si="2"/>
        <v>0</v>
      </c>
      <c r="G118" s="62"/>
      <c r="H118" s="62"/>
      <c r="I118" s="60"/>
      <c r="J118" s="60"/>
      <c r="K118" s="64"/>
      <c r="L118" s="64"/>
      <c r="M118" s="25"/>
      <c r="N118" s="25"/>
    </row>
    <row r="119" spans="1:14" ht="28.5">
      <c r="A119" s="8" t="s">
        <v>196</v>
      </c>
      <c r="B119" s="4" t="s">
        <v>197</v>
      </c>
      <c r="C119" s="7"/>
      <c r="D119" s="7">
        <f>F119-E119</f>
        <v>0</v>
      </c>
      <c r="E119" s="6">
        <f t="shared" si="2"/>
        <v>0</v>
      </c>
      <c r="F119" s="6">
        <f t="shared" si="2"/>
        <v>0</v>
      </c>
      <c r="G119" s="62"/>
      <c r="H119" s="62"/>
      <c r="I119" s="60"/>
      <c r="J119" s="60"/>
      <c r="K119" s="64"/>
      <c r="L119" s="64"/>
      <c r="M119" s="25"/>
      <c r="N119" s="25"/>
    </row>
    <row r="120" spans="1:14">
      <c r="A120" s="8" t="s">
        <v>198</v>
      </c>
      <c r="B120" s="4" t="s">
        <v>199</v>
      </c>
      <c r="C120" s="7">
        <f>E120-F120</f>
        <v>0</v>
      </c>
      <c r="D120" s="7"/>
      <c r="E120" s="6">
        <f t="shared" si="2"/>
        <v>0</v>
      </c>
      <c r="F120" s="6">
        <f t="shared" si="2"/>
        <v>0</v>
      </c>
      <c r="G120" s="62"/>
      <c r="H120" s="62"/>
      <c r="I120" s="60"/>
      <c r="J120" s="60"/>
      <c r="K120" s="64"/>
      <c r="L120" s="64"/>
      <c r="M120" s="25"/>
      <c r="N120" s="25"/>
    </row>
    <row r="121" spans="1:14" ht="28.5">
      <c r="A121" s="8" t="s">
        <v>200</v>
      </c>
      <c r="B121" s="4" t="s">
        <v>201</v>
      </c>
      <c r="C121" s="7"/>
      <c r="D121" s="7">
        <f>F121-E121</f>
        <v>0</v>
      </c>
      <c r="E121" s="6">
        <f t="shared" si="2"/>
        <v>0</v>
      </c>
      <c r="F121" s="6">
        <f t="shared" si="2"/>
        <v>0</v>
      </c>
      <c r="G121" s="62"/>
      <c r="H121" s="62"/>
      <c r="I121" s="60"/>
      <c r="J121" s="60"/>
      <c r="K121" s="64"/>
      <c r="L121" s="64"/>
      <c r="M121" s="25"/>
      <c r="N121" s="25"/>
    </row>
    <row r="122" spans="1:14">
      <c r="A122" s="8" t="s">
        <v>202</v>
      </c>
      <c r="B122" s="4" t="s">
        <v>203</v>
      </c>
      <c r="C122" s="7">
        <f>E122-F122</f>
        <v>0</v>
      </c>
      <c r="D122" s="7"/>
      <c r="E122" s="6">
        <f t="shared" si="2"/>
        <v>0</v>
      </c>
      <c r="F122" s="6">
        <f t="shared" si="2"/>
        <v>0</v>
      </c>
      <c r="G122" s="62"/>
      <c r="H122" s="62"/>
      <c r="I122" s="60"/>
      <c r="J122" s="60"/>
      <c r="K122" s="64"/>
      <c r="L122" s="64"/>
      <c r="M122" s="25"/>
      <c r="N122" s="25"/>
    </row>
    <row r="123" spans="1:14" ht="28.5">
      <c r="A123" s="8" t="s">
        <v>204</v>
      </c>
      <c r="B123" s="4" t="s">
        <v>205</v>
      </c>
      <c r="C123" s="7"/>
      <c r="D123" s="7">
        <f>F123-E123</f>
        <v>0</v>
      </c>
      <c r="E123" s="6">
        <f t="shared" si="2"/>
        <v>0</v>
      </c>
      <c r="F123" s="6">
        <f t="shared" si="2"/>
        <v>0</v>
      </c>
      <c r="G123" s="62"/>
      <c r="H123" s="62"/>
      <c r="I123" s="60"/>
      <c r="J123" s="60"/>
      <c r="K123" s="64"/>
      <c r="L123" s="64"/>
      <c r="M123" s="25"/>
      <c r="N123" s="25"/>
    </row>
    <row r="124" spans="1:14">
      <c r="A124" s="8" t="s">
        <v>206</v>
      </c>
      <c r="B124" s="4" t="s">
        <v>207</v>
      </c>
      <c r="C124" s="7">
        <f>E124-F124</f>
        <v>0</v>
      </c>
      <c r="D124" s="7"/>
      <c r="E124" s="6">
        <f t="shared" si="2"/>
        <v>0</v>
      </c>
      <c r="F124" s="6">
        <f t="shared" si="2"/>
        <v>0</v>
      </c>
      <c r="G124" s="62"/>
      <c r="H124" s="62"/>
      <c r="I124" s="60"/>
      <c r="J124" s="60"/>
      <c r="K124" s="64"/>
      <c r="L124" s="64"/>
      <c r="M124" s="25"/>
      <c r="N124" s="25"/>
    </row>
    <row r="125" spans="1:14">
      <c r="A125" s="8" t="s">
        <v>208</v>
      </c>
      <c r="B125" s="4" t="s">
        <v>209</v>
      </c>
      <c r="C125" s="7"/>
      <c r="D125" s="7">
        <f>F125-E125</f>
        <v>0</v>
      </c>
      <c r="E125" s="6">
        <f t="shared" si="2"/>
        <v>0</v>
      </c>
      <c r="F125" s="6">
        <f t="shared" si="2"/>
        <v>0</v>
      </c>
      <c r="G125" s="62"/>
      <c r="H125" s="62"/>
      <c r="I125" s="60"/>
      <c r="J125" s="60"/>
      <c r="K125" s="64"/>
      <c r="L125" s="64"/>
      <c r="M125" s="25"/>
      <c r="N125" s="25"/>
    </row>
    <row r="126" spans="1:14">
      <c r="A126" s="8" t="s">
        <v>210</v>
      </c>
      <c r="B126" s="4" t="s">
        <v>211</v>
      </c>
      <c r="C126" s="7">
        <f>E126-F126</f>
        <v>0</v>
      </c>
      <c r="D126" s="7"/>
      <c r="E126" s="6">
        <f t="shared" si="2"/>
        <v>0</v>
      </c>
      <c r="F126" s="6">
        <f t="shared" si="2"/>
        <v>0</v>
      </c>
      <c r="G126" s="62"/>
      <c r="H126" s="62"/>
      <c r="I126" s="60"/>
      <c r="J126" s="60"/>
      <c r="K126" s="64"/>
      <c r="L126" s="64"/>
      <c r="M126" s="25"/>
      <c r="N126" s="25"/>
    </row>
    <row r="127" spans="1:14" ht="28.5">
      <c r="A127" s="8" t="s">
        <v>212</v>
      </c>
      <c r="B127" s="4" t="s">
        <v>213</v>
      </c>
      <c r="C127" s="7"/>
      <c r="D127" s="7">
        <f>F127-E127</f>
        <v>0</v>
      </c>
      <c r="E127" s="6">
        <f t="shared" si="2"/>
        <v>0</v>
      </c>
      <c r="F127" s="6">
        <f t="shared" si="2"/>
        <v>0</v>
      </c>
      <c r="G127" s="62"/>
      <c r="H127" s="62"/>
      <c r="I127" s="60"/>
      <c r="J127" s="60"/>
      <c r="K127" s="64"/>
      <c r="L127" s="64"/>
      <c r="M127" s="25"/>
      <c r="N127" s="25"/>
    </row>
    <row r="128" spans="1:14">
      <c r="A128" s="8" t="s">
        <v>214</v>
      </c>
      <c r="B128" s="4" t="s">
        <v>215</v>
      </c>
      <c r="C128" s="7">
        <f>E128-F128</f>
        <v>0</v>
      </c>
      <c r="D128" s="7"/>
      <c r="E128" s="6">
        <f t="shared" si="2"/>
        <v>0</v>
      </c>
      <c r="F128" s="6">
        <f t="shared" si="2"/>
        <v>0</v>
      </c>
      <c r="G128" s="62"/>
      <c r="H128" s="62"/>
      <c r="I128" s="60"/>
      <c r="J128" s="60"/>
      <c r="K128" s="64"/>
      <c r="L128" s="64"/>
      <c r="M128" s="25"/>
      <c r="N128" s="25"/>
    </row>
    <row r="129" spans="1:14" ht="28.5">
      <c r="A129" s="8" t="s">
        <v>216</v>
      </c>
      <c r="B129" s="4" t="s">
        <v>217</v>
      </c>
      <c r="C129" s="7"/>
      <c r="D129" s="7">
        <f>F129-E129</f>
        <v>0</v>
      </c>
      <c r="E129" s="6">
        <f t="shared" si="2"/>
        <v>0</v>
      </c>
      <c r="F129" s="6">
        <f t="shared" si="2"/>
        <v>0</v>
      </c>
      <c r="G129" s="62"/>
      <c r="H129" s="62"/>
      <c r="I129" s="60"/>
      <c r="J129" s="60"/>
      <c r="K129" s="64"/>
      <c r="L129" s="64"/>
      <c r="M129" s="25"/>
      <c r="N129" s="25"/>
    </row>
    <row r="130" spans="1:14">
      <c r="A130" s="8" t="s">
        <v>218</v>
      </c>
      <c r="B130" s="4" t="s">
        <v>219</v>
      </c>
      <c r="C130" s="7">
        <f>E130-F130</f>
        <v>0</v>
      </c>
      <c r="D130" s="7"/>
      <c r="E130" s="6">
        <f t="shared" si="2"/>
        <v>0</v>
      </c>
      <c r="F130" s="6">
        <f t="shared" si="2"/>
        <v>0</v>
      </c>
      <c r="G130" s="62"/>
      <c r="H130" s="62"/>
      <c r="I130" s="60"/>
      <c r="J130" s="60"/>
      <c r="K130" s="64"/>
      <c r="L130" s="64"/>
      <c r="M130" s="25"/>
      <c r="N130" s="25"/>
    </row>
    <row r="131" spans="1:14">
      <c r="A131" s="8" t="s">
        <v>220</v>
      </c>
      <c r="B131" s="4" t="s">
        <v>221</v>
      </c>
      <c r="C131" s="7"/>
      <c r="D131" s="7">
        <f>F131-E131</f>
        <v>0</v>
      </c>
      <c r="E131" s="6">
        <f t="shared" si="2"/>
        <v>0</v>
      </c>
      <c r="F131" s="6">
        <f t="shared" si="2"/>
        <v>0</v>
      </c>
      <c r="G131" s="62"/>
      <c r="H131" s="62"/>
      <c r="I131" s="60"/>
      <c r="J131" s="60"/>
      <c r="K131" s="64"/>
      <c r="L131" s="64"/>
      <c r="M131" s="25"/>
      <c r="N131" s="25"/>
    </row>
    <row r="132" spans="1:14">
      <c r="A132" s="8" t="s">
        <v>222</v>
      </c>
      <c r="B132" s="4" t="s">
        <v>223</v>
      </c>
      <c r="C132" s="7">
        <f>E132-F132</f>
        <v>0</v>
      </c>
      <c r="D132" s="7"/>
      <c r="E132" s="6">
        <f t="shared" si="2"/>
        <v>0</v>
      </c>
      <c r="F132" s="6">
        <f t="shared" si="2"/>
        <v>0</v>
      </c>
      <c r="G132" s="62"/>
      <c r="H132" s="62"/>
      <c r="I132" s="60"/>
      <c r="J132" s="60"/>
      <c r="K132" s="64"/>
      <c r="L132" s="64"/>
      <c r="M132" s="25"/>
      <c r="N132" s="25"/>
    </row>
    <row r="133" spans="1:14" ht="28.5">
      <c r="A133" s="8" t="s">
        <v>224</v>
      </c>
      <c r="B133" s="4" t="s">
        <v>225</v>
      </c>
      <c r="C133" s="7"/>
      <c r="D133" s="7">
        <f>F133-E133</f>
        <v>0</v>
      </c>
      <c r="E133" s="6">
        <f t="shared" si="2"/>
        <v>0</v>
      </c>
      <c r="F133" s="6">
        <f t="shared" si="2"/>
        <v>0</v>
      </c>
      <c r="G133" s="62"/>
      <c r="H133" s="62"/>
      <c r="I133" s="60"/>
      <c r="J133" s="60"/>
      <c r="K133" s="64"/>
      <c r="L133" s="64"/>
      <c r="M133" s="25"/>
      <c r="N133" s="25"/>
    </row>
    <row r="134" spans="1:14">
      <c r="A134" s="8" t="s">
        <v>226</v>
      </c>
      <c r="B134" s="4" t="s">
        <v>227</v>
      </c>
      <c r="C134" s="7">
        <f>E134-F134</f>
        <v>0</v>
      </c>
      <c r="D134" s="7"/>
      <c r="E134" s="6">
        <f t="shared" si="2"/>
        <v>0</v>
      </c>
      <c r="F134" s="6">
        <f t="shared" si="2"/>
        <v>0</v>
      </c>
      <c r="G134" s="62"/>
      <c r="H134" s="62"/>
      <c r="I134" s="60"/>
      <c r="J134" s="60"/>
      <c r="K134" s="64"/>
      <c r="L134" s="64"/>
      <c r="M134" s="25"/>
      <c r="N134" s="25"/>
    </row>
    <row r="135" spans="1:14" ht="28.5">
      <c r="A135" s="8" t="s">
        <v>228</v>
      </c>
      <c r="B135" s="4" t="s">
        <v>229</v>
      </c>
      <c r="C135" s="7"/>
      <c r="D135" s="7">
        <f>F135-E135</f>
        <v>0</v>
      </c>
      <c r="E135" s="6">
        <f t="shared" si="2"/>
        <v>0</v>
      </c>
      <c r="F135" s="6">
        <f t="shared" si="2"/>
        <v>0</v>
      </c>
      <c r="G135" s="62"/>
      <c r="H135" s="62"/>
      <c r="I135" s="60"/>
      <c r="J135" s="60"/>
      <c r="K135" s="64"/>
      <c r="L135" s="64"/>
      <c r="M135" s="25"/>
      <c r="N135" s="25"/>
    </row>
    <row r="136" spans="1:14">
      <c r="A136" s="8" t="s">
        <v>230</v>
      </c>
      <c r="B136" s="4" t="s">
        <v>231</v>
      </c>
      <c r="C136" s="7">
        <f>E136-F136</f>
        <v>0</v>
      </c>
      <c r="D136" s="7"/>
      <c r="E136" s="6">
        <f t="shared" si="2"/>
        <v>0</v>
      </c>
      <c r="F136" s="6">
        <f t="shared" si="2"/>
        <v>0</v>
      </c>
      <c r="G136" s="62"/>
      <c r="H136" s="62"/>
      <c r="I136" s="60"/>
      <c r="J136" s="60"/>
      <c r="K136" s="64"/>
      <c r="L136" s="64"/>
      <c r="M136" s="25"/>
      <c r="N136" s="25"/>
    </row>
    <row r="137" spans="1:14">
      <c r="A137" s="8" t="s">
        <v>232</v>
      </c>
      <c r="B137" s="4" t="s">
        <v>233</v>
      </c>
      <c r="C137" s="7"/>
      <c r="D137" s="7">
        <f>F137-E137</f>
        <v>0</v>
      </c>
      <c r="E137" s="6">
        <f t="shared" si="2"/>
        <v>0</v>
      </c>
      <c r="F137" s="6">
        <f t="shared" si="2"/>
        <v>0</v>
      </c>
      <c r="G137" s="62"/>
      <c r="H137" s="62"/>
      <c r="I137" s="60"/>
      <c r="J137" s="60"/>
      <c r="K137" s="64"/>
      <c r="L137" s="64"/>
      <c r="M137" s="25"/>
      <c r="N137" s="25"/>
    </row>
    <row r="138" spans="1:14">
      <c r="A138" s="8" t="s">
        <v>234</v>
      </c>
      <c r="B138" s="4" t="s">
        <v>235</v>
      </c>
      <c r="C138" s="7">
        <f>E138-F138</f>
        <v>0</v>
      </c>
      <c r="D138" s="7"/>
      <c r="E138" s="6">
        <f t="shared" si="2"/>
        <v>0</v>
      </c>
      <c r="F138" s="6">
        <f t="shared" si="2"/>
        <v>0</v>
      </c>
      <c r="G138" s="62"/>
      <c r="H138" s="62"/>
      <c r="I138" s="60"/>
      <c r="J138" s="60"/>
      <c r="K138" s="64"/>
      <c r="L138" s="64"/>
      <c r="M138" s="25"/>
      <c r="N138" s="25"/>
    </row>
    <row r="139" spans="1:14">
      <c r="A139" s="8" t="s">
        <v>236</v>
      </c>
      <c r="B139" s="4" t="s">
        <v>237</v>
      </c>
      <c r="C139" s="7"/>
      <c r="D139" s="7">
        <f>F139-E139</f>
        <v>0</v>
      </c>
      <c r="E139" s="6">
        <f t="shared" si="2"/>
        <v>0</v>
      </c>
      <c r="F139" s="6">
        <f t="shared" si="2"/>
        <v>0</v>
      </c>
      <c r="G139" s="62"/>
      <c r="H139" s="62"/>
      <c r="I139" s="60"/>
      <c r="J139" s="60"/>
      <c r="K139" s="64"/>
      <c r="L139" s="64"/>
      <c r="M139" s="25"/>
      <c r="N139" s="25"/>
    </row>
    <row r="140" spans="1:14">
      <c r="A140" s="8" t="s">
        <v>238</v>
      </c>
      <c r="B140" s="4" t="s">
        <v>239</v>
      </c>
      <c r="C140" s="7">
        <f>E140-F140</f>
        <v>0</v>
      </c>
      <c r="D140" s="7"/>
      <c r="E140" s="6">
        <f t="shared" si="2"/>
        <v>0</v>
      </c>
      <c r="F140" s="6">
        <f t="shared" si="2"/>
        <v>0</v>
      </c>
      <c r="G140" s="62"/>
      <c r="H140" s="62"/>
      <c r="I140" s="60"/>
      <c r="J140" s="60"/>
      <c r="K140" s="64"/>
      <c r="L140" s="64"/>
      <c r="M140" s="25"/>
      <c r="N140" s="25"/>
    </row>
    <row r="141" spans="1:14" ht="28.5">
      <c r="A141" s="8" t="s">
        <v>240</v>
      </c>
      <c r="B141" s="4" t="s">
        <v>241</v>
      </c>
      <c r="C141" s="7"/>
      <c r="D141" s="7">
        <f>F141-E141</f>
        <v>0</v>
      </c>
      <c r="E141" s="6">
        <f t="shared" si="2"/>
        <v>0</v>
      </c>
      <c r="F141" s="6">
        <f t="shared" si="2"/>
        <v>0</v>
      </c>
      <c r="G141" s="62"/>
      <c r="H141" s="62"/>
      <c r="I141" s="60"/>
      <c r="J141" s="60"/>
      <c r="K141" s="64"/>
      <c r="L141" s="64"/>
      <c r="M141" s="25"/>
      <c r="N141" s="25"/>
    </row>
    <row r="142" spans="1:14">
      <c r="A142" s="8" t="s">
        <v>242</v>
      </c>
      <c r="B142" s="4" t="s">
        <v>243</v>
      </c>
      <c r="C142" s="7">
        <f>E142-F142</f>
        <v>0</v>
      </c>
      <c r="D142" s="7"/>
      <c r="E142" s="6">
        <f t="shared" ref="E142:F205" si="3">SUM(G142,I142,K142,M142)</f>
        <v>0</v>
      </c>
      <c r="F142" s="6">
        <f t="shared" si="3"/>
        <v>0</v>
      </c>
      <c r="G142" s="62"/>
      <c r="H142" s="62"/>
      <c r="I142" s="60"/>
      <c r="J142" s="60"/>
      <c r="K142" s="64"/>
      <c r="L142" s="64"/>
      <c r="M142" s="25"/>
      <c r="N142" s="25"/>
    </row>
    <row r="143" spans="1:14">
      <c r="A143" s="8" t="s">
        <v>244</v>
      </c>
      <c r="B143" s="4" t="s">
        <v>245</v>
      </c>
      <c r="C143" s="7"/>
      <c r="D143" s="7">
        <f>F143-E143</f>
        <v>0</v>
      </c>
      <c r="E143" s="6">
        <f t="shared" si="3"/>
        <v>0</v>
      </c>
      <c r="F143" s="6">
        <f t="shared" si="3"/>
        <v>0</v>
      </c>
      <c r="G143" s="62"/>
      <c r="H143" s="62"/>
      <c r="I143" s="60"/>
      <c r="J143" s="60"/>
      <c r="K143" s="64"/>
      <c r="L143" s="64"/>
      <c r="M143" s="25"/>
      <c r="N143" s="25"/>
    </row>
    <row r="144" spans="1:14">
      <c r="A144" s="8" t="s">
        <v>246</v>
      </c>
      <c r="B144" s="4" t="s">
        <v>247</v>
      </c>
      <c r="C144" s="7">
        <f>E144-F144</f>
        <v>0</v>
      </c>
      <c r="D144" s="7"/>
      <c r="E144" s="6">
        <f t="shared" si="3"/>
        <v>0</v>
      </c>
      <c r="F144" s="6">
        <f t="shared" si="3"/>
        <v>0</v>
      </c>
      <c r="G144" s="62"/>
      <c r="H144" s="62"/>
      <c r="I144" s="60"/>
      <c r="J144" s="60"/>
      <c r="K144" s="64"/>
      <c r="L144" s="64"/>
      <c r="M144" s="25"/>
      <c r="N144" s="25"/>
    </row>
    <row r="145" spans="1:14" ht="28.5">
      <c r="A145" s="8" t="s">
        <v>248</v>
      </c>
      <c r="B145" s="4" t="s">
        <v>249</v>
      </c>
      <c r="C145" s="7"/>
      <c r="D145" s="7">
        <f>F145-E145</f>
        <v>0</v>
      </c>
      <c r="E145" s="6">
        <f t="shared" si="3"/>
        <v>0</v>
      </c>
      <c r="F145" s="6">
        <f t="shared" si="3"/>
        <v>0</v>
      </c>
      <c r="G145" s="62"/>
      <c r="H145" s="62"/>
      <c r="I145" s="60"/>
      <c r="J145" s="60"/>
      <c r="K145" s="64"/>
      <c r="L145" s="64"/>
      <c r="M145" s="25"/>
      <c r="N145" s="25"/>
    </row>
    <row r="146" spans="1:14">
      <c r="A146" s="8" t="s">
        <v>250</v>
      </c>
      <c r="B146" s="4" t="s">
        <v>251</v>
      </c>
      <c r="C146" s="7">
        <f>E146-F146</f>
        <v>0</v>
      </c>
      <c r="D146" s="7"/>
      <c r="E146" s="6">
        <f t="shared" si="3"/>
        <v>0</v>
      </c>
      <c r="F146" s="6">
        <f t="shared" si="3"/>
        <v>0</v>
      </c>
      <c r="G146" s="62"/>
      <c r="H146" s="62"/>
      <c r="I146" s="60"/>
      <c r="J146" s="60"/>
      <c r="K146" s="64"/>
      <c r="L146" s="64"/>
      <c r="M146" s="25"/>
      <c r="N146" s="25"/>
    </row>
    <row r="147" spans="1:14" ht="28.5">
      <c r="A147" s="8" t="s">
        <v>252</v>
      </c>
      <c r="B147" s="4" t="s">
        <v>253</v>
      </c>
      <c r="C147" s="7"/>
      <c r="D147" s="7">
        <f>F147-E147</f>
        <v>0</v>
      </c>
      <c r="E147" s="6">
        <f t="shared" si="3"/>
        <v>0</v>
      </c>
      <c r="F147" s="6">
        <f t="shared" si="3"/>
        <v>0</v>
      </c>
      <c r="G147" s="62"/>
      <c r="H147" s="62"/>
      <c r="I147" s="60"/>
      <c r="J147" s="60"/>
      <c r="K147" s="64"/>
      <c r="L147" s="64"/>
      <c r="M147" s="25"/>
      <c r="N147" s="25"/>
    </row>
    <row r="148" spans="1:14">
      <c r="A148" s="8" t="s">
        <v>254</v>
      </c>
      <c r="B148" s="4" t="s">
        <v>255</v>
      </c>
      <c r="C148" s="7">
        <f t="shared" ref="C148:C173" si="4">E148-F148</f>
        <v>0</v>
      </c>
      <c r="D148" s="7"/>
      <c r="E148" s="6">
        <f t="shared" si="3"/>
        <v>0</v>
      </c>
      <c r="F148" s="6">
        <f t="shared" si="3"/>
        <v>0</v>
      </c>
      <c r="G148" s="62"/>
      <c r="H148" s="62"/>
      <c r="I148" s="60"/>
      <c r="J148" s="60"/>
      <c r="K148" s="64"/>
      <c r="L148" s="64"/>
      <c r="M148" s="25"/>
      <c r="N148" s="25"/>
    </row>
    <row r="149" spans="1:14">
      <c r="A149" s="8" t="s">
        <v>256</v>
      </c>
      <c r="B149" s="4" t="s">
        <v>257</v>
      </c>
      <c r="C149" s="7">
        <f t="shared" si="4"/>
        <v>0</v>
      </c>
      <c r="D149" s="7"/>
      <c r="E149" s="6">
        <f t="shared" si="3"/>
        <v>0</v>
      </c>
      <c r="F149" s="6">
        <f t="shared" si="3"/>
        <v>0</v>
      </c>
      <c r="G149" s="62"/>
      <c r="H149" s="62"/>
      <c r="I149" s="60"/>
      <c r="J149" s="60"/>
      <c r="K149" s="64"/>
      <c r="L149" s="64"/>
      <c r="M149" s="25"/>
      <c r="N149" s="25"/>
    </row>
    <row r="150" spans="1:14">
      <c r="A150" s="8" t="s">
        <v>258</v>
      </c>
      <c r="B150" s="4" t="s">
        <v>259</v>
      </c>
      <c r="C150" s="7">
        <f t="shared" si="4"/>
        <v>0</v>
      </c>
      <c r="D150" s="7"/>
      <c r="E150" s="6">
        <f t="shared" si="3"/>
        <v>0</v>
      </c>
      <c r="F150" s="6">
        <f t="shared" si="3"/>
        <v>0</v>
      </c>
      <c r="G150" s="62"/>
      <c r="H150" s="62"/>
      <c r="I150" s="60"/>
      <c r="J150" s="60"/>
      <c r="K150" s="64"/>
      <c r="L150" s="64"/>
      <c r="M150" s="25"/>
      <c r="N150" s="25"/>
    </row>
    <row r="151" spans="1:14" ht="28.5">
      <c r="A151" s="8" t="s">
        <v>260</v>
      </c>
      <c r="B151" s="4" t="s">
        <v>261</v>
      </c>
      <c r="C151" s="7">
        <f t="shared" si="4"/>
        <v>0</v>
      </c>
      <c r="D151" s="7"/>
      <c r="E151" s="6">
        <f t="shared" si="3"/>
        <v>0</v>
      </c>
      <c r="F151" s="6">
        <f t="shared" si="3"/>
        <v>0</v>
      </c>
      <c r="G151" s="62"/>
      <c r="H151" s="62"/>
      <c r="I151" s="60"/>
      <c r="J151" s="60"/>
      <c r="K151" s="64"/>
      <c r="L151" s="64"/>
      <c r="M151" s="25"/>
      <c r="N151" s="25"/>
    </row>
    <row r="152" spans="1:14">
      <c r="A152" s="8" t="s">
        <v>262</v>
      </c>
      <c r="B152" s="4" t="s">
        <v>263</v>
      </c>
      <c r="C152" s="7">
        <f t="shared" si="4"/>
        <v>0</v>
      </c>
      <c r="D152" s="7"/>
      <c r="E152" s="6">
        <f t="shared" si="3"/>
        <v>0</v>
      </c>
      <c r="F152" s="6">
        <f t="shared" si="3"/>
        <v>0</v>
      </c>
      <c r="G152" s="62"/>
      <c r="H152" s="62"/>
      <c r="I152" s="60"/>
      <c r="J152" s="60"/>
      <c r="K152" s="64"/>
      <c r="L152" s="64"/>
      <c r="M152" s="25"/>
      <c r="N152" s="25"/>
    </row>
    <row r="153" spans="1:14">
      <c r="A153" s="8" t="s">
        <v>264</v>
      </c>
      <c r="B153" s="4" t="s">
        <v>265</v>
      </c>
      <c r="C153" s="7">
        <f t="shared" si="4"/>
        <v>0</v>
      </c>
      <c r="D153" s="7"/>
      <c r="E153" s="6">
        <f t="shared" si="3"/>
        <v>0</v>
      </c>
      <c r="F153" s="6">
        <f t="shared" si="3"/>
        <v>0</v>
      </c>
      <c r="G153" s="62"/>
      <c r="H153" s="62"/>
      <c r="I153" s="60"/>
      <c r="J153" s="60"/>
      <c r="K153" s="64"/>
      <c r="L153" s="64"/>
      <c r="M153" s="25"/>
      <c r="N153" s="25"/>
    </row>
    <row r="154" spans="1:14" ht="28.5">
      <c r="A154" s="8" t="s">
        <v>266</v>
      </c>
      <c r="B154" s="4" t="s">
        <v>267</v>
      </c>
      <c r="C154" s="7">
        <f t="shared" si="4"/>
        <v>0</v>
      </c>
      <c r="D154" s="7"/>
      <c r="E154" s="6">
        <f t="shared" si="3"/>
        <v>0</v>
      </c>
      <c r="F154" s="6">
        <f t="shared" si="3"/>
        <v>0</v>
      </c>
      <c r="G154" s="62"/>
      <c r="H154" s="62"/>
      <c r="I154" s="60"/>
      <c r="J154" s="60"/>
      <c r="K154" s="64"/>
      <c r="L154" s="64"/>
      <c r="M154" s="25"/>
      <c r="N154" s="25"/>
    </row>
    <row r="155" spans="1:14">
      <c r="A155" s="8" t="s">
        <v>268</v>
      </c>
      <c r="B155" s="4" t="s">
        <v>269</v>
      </c>
      <c r="C155" s="7">
        <f t="shared" si="4"/>
        <v>0</v>
      </c>
      <c r="D155" s="7"/>
      <c r="E155" s="6">
        <f t="shared" si="3"/>
        <v>0</v>
      </c>
      <c r="F155" s="6">
        <f t="shared" si="3"/>
        <v>0</v>
      </c>
      <c r="G155" s="62"/>
      <c r="H155" s="62"/>
      <c r="I155" s="60"/>
      <c r="J155" s="60"/>
      <c r="K155" s="64"/>
      <c r="L155" s="64"/>
      <c r="M155" s="25"/>
      <c r="N155" s="25"/>
    </row>
    <row r="156" spans="1:14">
      <c r="A156" s="8" t="s">
        <v>270</v>
      </c>
      <c r="B156" s="4" t="s">
        <v>271</v>
      </c>
      <c r="C156" s="7">
        <f t="shared" si="4"/>
        <v>0</v>
      </c>
      <c r="D156" s="7"/>
      <c r="E156" s="6">
        <f t="shared" si="3"/>
        <v>0</v>
      </c>
      <c r="F156" s="6">
        <f t="shared" si="3"/>
        <v>0</v>
      </c>
      <c r="G156" s="62"/>
      <c r="H156" s="62"/>
      <c r="I156" s="60"/>
      <c r="J156" s="60"/>
      <c r="K156" s="64"/>
      <c r="L156" s="64"/>
      <c r="M156" s="25"/>
      <c r="N156" s="25"/>
    </row>
    <row r="157" spans="1:14">
      <c r="A157" s="8" t="s">
        <v>272</v>
      </c>
      <c r="B157" s="4" t="s">
        <v>273</v>
      </c>
      <c r="C157" s="7">
        <f t="shared" si="4"/>
        <v>0</v>
      </c>
      <c r="D157" s="7"/>
      <c r="E157" s="6">
        <f t="shared" si="3"/>
        <v>0</v>
      </c>
      <c r="F157" s="6">
        <f t="shared" si="3"/>
        <v>0</v>
      </c>
      <c r="G157" s="62"/>
      <c r="H157" s="62"/>
      <c r="I157" s="60"/>
      <c r="J157" s="60"/>
      <c r="K157" s="64"/>
      <c r="L157" s="64"/>
      <c r="M157" s="25"/>
      <c r="N157" s="25"/>
    </row>
    <row r="158" spans="1:14">
      <c r="A158" s="8" t="s">
        <v>274</v>
      </c>
      <c r="B158" s="4" t="s">
        <v>275</v>
      </c>
      <c r="C158" s="7">
        <f t="shared" si="4"/>
        <v>0</v>
      </c>
      <c r="D158" s="7"/>
      <c r="E158" s="6">
        <f t="shared" si="3"/>
        <v>0</v>
      </c>
      <c r="F158" s="6">
        <f t="shared" si="3"/>
        <v>0</v>
      </c>
      <c r="G158" s="62"/>
      <c r="H158" s="62"/>
      <c r="I158" s="60"/>
      <c r="J158" s="60"/>
      <c r="K158" s="64"/>
      <c r="L158" s="64"/>
      <c r="M158" s="25"/>
      <c r="N158" s="25"/>
    </row>
    <row r="159" spans="1:14" ht="28.5">
      <c r="A159" s="8" t="s">
        <v>276</v>
      </c>
      <c r="B159" s="4" t="s">
        <v>277</v>
      </c>
      <c r="C159" s="7">
        <f t="shared" si="4"/>
        <v>0</v>
      </c>
      <c r="D159" s="7"/>
      <c r="E159" s="6">
        <f t="shared" si="3"/>
        <v>0</v>
      </c>
      <c r="F159" s="6">
        <f t="shared" si="3"/>
        <v>0</v>
      </c>
      <c r="G159" s="62"/>
      <c r="H159" s="62"/>
      <c r="I159" s="60"/>
      <c r="J159" s="60"/>
      <c r="K159" s="64"/>
      <c r="L159" s="64"/>
      <c r="M159" s="25"/>
      <c r="N159" s="25"/>
    </row>
    <row r="160" spans="1:14" ht="28.5">
      <c r="A160" s="8" t="s">
        <v>278</v>
      </c>
      <c r="B160" s="4" t="s">
        <v>279</v>
      </c>
      <c r="C160" s="7">
        <f t="shared" si="4"/>
        <v>0</v>
      </c>
      <c r="D160" s="7"/>
      <c r="E160" s="6">
        <f t="shared" si="3"/>
        <v>0</v>
      </c>
      <c r="F160" s="6">
        <f t="shared" si="3"/>
        <v>0</v>
      </c>
      <c r="G160" s="62"/>
      <c r="H160" s="62"/>
      <c r="I160" s="60"/>
      <c r="J160" s="60"/>
      <c r="K160" s="64"/>
      <c r="L160" s="64"/>
      <c r="M160" s="25"/>
      <c r="N160" s="25"/>
    </row>
    <row r="161" spans="1:14" ht="28.5">
      <c r="A161" s="8" t="s">
        <v>280</v>
      </c>
      <c r="B161" s="4" t="s">
        <v>281</v>
      </c>
      <c r="C161" s="7">
        <f t="shared" si="4"/>
        <v>0</v>
      </c>
      <c r="D161" s="7"/>
      <c r="E161" s="6">
        <f t="shared" si="3"/>
        <v>0</v>
      </c>
      <c r="F161" s="6">
        <f t="shared" si="3"/>
        <v>0</v>
      </c>
      <c r="G161" s="62"/>
      <c r="H161" s="62"/>
      <c r="I161" s="60"/>
      <c r="J161" s="60"/>
      <c r="K161" s="64"/>
      <c r="L161" s="64"/>
      <c r="M161" s="25"/>
      <c r="N161" s="25"/>
    </row>
    <row r="162" spans="1:14" ht="28.5">
      <c r="A162" s="8" t="s">
        <v>282</v>
      </c>
      <c r="B162" s="4" t="s">
        <v>283</v>
      </c>
      <c r="C162" s="7">
        <f t="shared" si="4"/>
        <v>0</v>
      </c>
      <c r="D162" s="7"/>
      <c r="E162" s="6">
        <f t="shared" si="3"/>
        <v>0</v>
      </c>
      <c r="F162" s="6">
        <f t="shared" si="3"/>
        <v>0</v>
      </c>
      <c r="G162" s="62"/>
      <c r="H162" s="62"/>
      <c r="I162" s="60"/>
      <c r="J162" s="60"/>
      <c r="K162" s="64"/>
      <c r="L162" s="64"/>
      <c r="M162" s="25"/>
      <c r="N162" s="25"/>
    </row>
    <row r="163" spans="1:14" ht="28.5">
      <c r="A163" s="8" t="s">
        <v>284</v>
      </c>
      <c r="B163" s="4" t="s">
        <v>285</v>
      </c>
      <c r="C163" s="7">
        <f t="shared" si="4"/>
        <v>0</v>
      </c>
      <c r="D163" s="7"/>
      <c r="E163" s="6">
        <f t="shared" si="3"/>
        <v>0</v>
      </c>
      <c r="F163" s="6">
        <f t="shared" si="3"/>
        <v>0</v>
      </c>
      <c r="G163" s="62"/>
      <c r="H163" s="62"/>
      <c r="I163" s="60"/>
      <c r="J163" s="60"/>
      <c r="K163" s="64"/>
      <c r="L163" s="64"/>
      <c r="M163" s="25"/>
      <c r="N163" s="25"/>
    </row>
    <row r="164" spans="1:14">
      <c r="A164" s="8" t="s">
        <v>286</v>
      </c>
      <c r="B164" s="4" t="s">
        <v>287</v>
      </c>
      <c r="C164" s="7">
        <f t="shared" si="4"/>
        <v>0</v>
      </c>
      <c r="D164" s="7"/>
      <c r="E164" s="6">
        <f t="shared" si="3"/>
        <v>0</v>
      </c>
      <c r="F164" s="6">
        <f t="shared" si="3"/>
        <v>0</v>
      </c>
      <c r="G164" s="62"/>
      <c r="H164" s="62"/>
      <c r="I164" s="60"/>
      <c r="J164" s="60"/>
      <c r="K164" s="64"/>
      <c r="L164" s="64"/>
      <c r="M164" s="25"/>
      <c r="N164" s="25"/>
    </row>
    <row r="165" spans="1:14" ht="28.5">
      <c r="A165" s="8" t="s">
        <v>288</v>
      </c>
      <c r="B165" s="4" t="s">
        <v>289</v>
      </c>
      <c r="C165" s="7">
        <f t="shared" si="4"/>
        <v>0</v>
      </c>
      <c r="D165" s="7"/>
      <c r="E165" s="6">
        <f t="shared" si="3"/>
        <v>0</v>
      </c>
      <c r="F165" s="6">
        <f t="shared" si="3"/>
        <v>0</v>
      </c>
      <c r="G165" s="62"/>
      <c r="H165" s="62"/>
      <c r="I165" s="60"/>
      <c r="J165" s="60"/>
      <c r="K165" s="64"/>
      <c r="L165" s="64"/>
      <c r="M165" s="25"/>
      <c r="N165" s="25"/>
    </row>
    <row r="166" spans="1:14" ht="28.5">
      <c r="A166" s="8" t="s">
        <v>290</v>
      </c>
      <c r="B166" s="4" t="s">
        <v>291</v>
      </c>
      <c r="C166" s="7">
        <f t="shared" si="4"/>
        <v>0</v>
      </c>
      <c r="D166" s="7"/>
      <c r="E166" s="6">
        <f t="shared" si="3"/>
        <v>0</v>
      </c>
      <c r="F166" s="6">
        <f t="shared" si="3"/>
        <v>0</v>
      </c>
      <c r="G166" s="62"/>
      <c r="H166" s="62"/>
      <c r="I166" s="60"/>
      <c r="J166" s="60"/>
      <c r="K166" s="64"/>
      <c r="L166" s="64"/>
      <c r="M166" s="25"/>
      <c r="N166" s="25"/>
    </row>
    <row r="167" spans="1:14">
      <c r="A167" s="3" t="s">
        <v>292</v>
      </c>
      <c r="B167" s="4" t="s">
        <v>293</v>
      </c>
      <c r="C167" s="7">
        <f t="shared" si="4"/>
        <v>0</v>
      </c>
      <c r="D167" s="7"/>
      <c r="E167" s="6">
        <f t="shared" si="3"/>
        <v>0</v>
      </c>
      <c r="F167" s="6">
        <f t="shared" si="3"/>
        <v>0</v>
      </c>
      <c r="G167" s="62"/>
      <c r="H167" s="62"/>
      <c r="I167" s="60"/>
      <c r="J167" s="60"/>
      <c r="K167" s="64"/>
      <c r="L167" s="64"/>
      <c r="M167" s="25"/>
      <c r="N167" s="25"/>
    </row>
    <row r="168" spans="1:14">
      <c r="A168" s="3" t="s">
        <v>294</v>
      </c>
      <c r="B168" s="4" t="s">
        <v>295</v>
      </c>
      <c r="C168" s="7">
        <f t="shared" si="4"/>
        <v>0</v>
      </c>
      <c r="D168" s="7"/>
      <c r="E168" s="6">
        <f t="shared" si="3"/>
        <v>0</v>
      </c>
      <c r="F168" s="6">
        <f t="shared" si="3"/>
        <v>0</v>
      </c>
      <c r="G168" s="62"/>
      <c r="H168" s="62"/>
      <c r="I168" s="60"/>
      <c r="J168" s="60"/>
      <c r="K168" s="64"/>
      <c r="L168" s="64"/>
      <c r="M168" s="25"/>
      <c r="N168" s="25"/>
    </row>
    <row r="169" spans="1:14">
      <c r="A169" s="3" t="s">
        <v>296</v>
      </c>
      <c r="B169" s="10" t="s">
        <v>297</v>
      </c>
      <c r="C169" s="7">
        <f t="shared" si="4"/>
        <v>0</v>
      </c>
      <c r="D169" s="7"/>
      <c r="E169" s="6">
        <f t="shared" si="3"/>
        <v>0</v>
      </c>
      <c r="F169" s="6">
        <f t="shared" si="3"/>
        <v>0</v>
      </c>
      <c r="G169" s="62"/>
      <c r="H169" s="62"/>
      <c r="I169" s="60"/>
      <c r="J169" s="60"/>
      <c r="K169" s="64"/>
      <c r="L169" s="64"/>
      <c r="M169" s="25"/>
      <c r="N169" s="25"/>
    </row>
    <row r="170" spans="1:14">
      <c r="A170" s="3" t="s">
        <v>298</v>
      </c>
      <c r="B170" s="10" t="s">
        <v>299</v>
      </c>
      <c r="C170" s="7">
        <f t="shared" si="4"/>
        <v>0</v>
      </c>
      <c r="D170" s="7"/>
      <c r="E170" s="6">
        <f t="shared" si="3"/>
        <v>0</v>
      </c>
      <c r="F170" s="6">
        <f t="shared" si="3"/>
        <v>0</v>
      </c>
      <c r="G170" s="62"/>
      <c r="H170" s="62"/>
      <c r="I170" s="60"/>
      <c r="J170" s="60"/>
      <c r="K170" s="64"/>
      <c r="L170" s="64"/>
      <c r="M170" s="25"/>
      <c r="N170" s="25"/>
    </row>
    <row r="171" spans="1:14">
      <c r="A171" s="3" t="s">
        <v>300</v>
      </c>
      <c r="B171" s="10" t="s">
        <v>301</v>
      </c>
      <c r="C171" s="7">
        <f t="shared" si="4"/>
        <v>0</v>
      </c>
      <c r="D171" s="7"/>
      <c r="E171" s="6">
        <f t="shared" si="3"/>
        <v>0</v>
      </c>
      <c r="F171" s="6">
        <f t="shared" si="3"/>
        <v>0</v>
      </c>
      <c r="G171" s="62"/>
      <c r="H171" s="62"/>
      <c r="I171" s="60"/>
      <c r="J171" s="60"/>
      <c r="K171" s="64"/>
      <c r="L171" s="64"/>
      <c r="M171" s="25"/>
      <c r="N171" s="25"/>
    </row>
    <row r="172" spans="1:14">
      <c r="A172" s="3" t="s">
        <v>302</v>
      </c>
      <c r="B172" s="10" t="s">
        <v>303</v>
      </c>
      <c r="C172" s="7">
        <f t="shared" si="4"/>
        <v>0</v>
      </c>
      <c r="D172" s="7"/>
      <c r="E172" s="6">
        <f t="shared" si="3"/>
        <v>0</v>
      </c>
      <c r="F172" s="6">
        <f t="shared" si="3"/>
        <v>0</v>
      </c>
      <c r="G172" s="62"/>
      <c r="H172" s="62"/>
      <c r="I172" s="60"/>
      <c r="J172" s="60"/>
      <c r="K172" s="64"/>
      <c r="L172" s="64"/>
      <c r="M172" s="25"/>
      <c r="N172" s="25"/>
    </row>
    <row r="173" spans="1:14">
      <c r="A173" s="3" t="s">
        <v>304</v>
      </c>
      <c r="B173" s="10" t="s">
        <v>305</v>
      </c>
      <c r="C173" s="7">
        <f t="shared" si="4"/>
        <v>0</v>
      </c>
      <c r="D173" s="7"/>
      <c r="E173" s="6">
        <f t="shared" si="3"/>
        <v>0</v>
      </c>
      <c r="F173" s="6">
        <f t="shared" si="3"/>
        <v>0</v>
      </c>
      <c r="G173" s="62"/>
      <c r="H173" s="62"/>
      <c r="I173" s="60"/>
      <c r="J173" s="60"/>
      <c r="K173" s="64"/>
      <c r="L173" s="64"/>
      <c r="M173" s="25"/>
      <c r="N173" s="25"/>
    </row>
    <row r="174" spans="1:14">
      <c r="A174" s="3" t="s">
        <v>306</v>
      </c>
      <c r="B174" s="10" t="s">
        <v>307</v>
      </c>
      <c r="C174" s="7"/>
      <c r="D174" s="7">
        <f t="shared" ref="D174:D237" si="5">F174-E174</f>
        <v>0</v>
      </c>
      <c r="E174" s="6">
        <f t="shared" si="3"/>
        <v>0</v>
      </c>
      <c r="F174" s="6">
        <f t="shared" si="3"/>
        <v>0</v>
      </c>
      <c r="G174" s="62"/>
      <c r="H174" s="62"/>
      <c r="I174" s="60"/>
      <c r="J174" s="60"/>
      <c r="K174" s="64"/>
      <c r="L174" s="64"/>
      <c r="M174" s="25"/>
      <c r="N174" s="25"/>
    </row>
    <row r="175" spans="1:14">
      <c r="A175" s="3" t="s">
        <v>308</v>
      </c>
      <c r="B175" s="10" t="s">
        <v>309</v>
      </c>
      <c r="C175" s="7"/>
      <c r="D175" s="7">
        <f t="shared" si="5"/>
        <v>0</v>
      </c>
      <c r="E175" s="6">
        <f t="shared" si="3"/>
        <v>0</v>
      </c>
      <c r="F175" s="6">
        <f t="shared" si="3"/>
        <v>0</v>
      </c>
      <c r="G175" s="62"/>
      <c r="H175" s="62"/>
      <c r="I175" s="60"/>
      <c r="J175" s="60"/>
      <c r="K175" s="64"/>
      <c r="L175" s="64"/>
      <c r="M175" s="25"/>
      <c r="N175" s="25"/>
    </row>
    <row r="176" spans="1:14">
      <c r="A176" s="3" t="s">
        <v>310</v>
      </c>
      <c r="B176" s="10" t="s">
        <v>311</v>
      </c>
      <c r="C176" s="7"/>
      <c r="D176" s="7">
        <f t="shared" si="5"/>
        <v>0</v>
      </c>
      <c r="E176" s="6">
        <f t="shared" si="3"/>
        <v>0</v>
      </c>
      <c r="F176" s="6">
        <f t="shared" si="3"/>
        <v>0</v>
      </c>
      <c r="G176" s="62"/>
      <c r="H176" s="62"/>
      <c r="I176" s="60"/>
      <c r="J176" s="60"/>
      <c r="K176" s="64"/>
      <c r="L176" s="64"/>
      <c r="M176" s="25"/>
      <c r="N176" s="25"/>
    </row>
    <row r="177" spans="1:14">
      <c r="A177" s="3" t="s">
        <v>312</v>
      </c>
      <c r="B177" s="10" t="s">
        <v>313</v>
      </c>
      <c r="C177" s="7"/>
      <c r="D177" s="7">
        <f t="shared" si="5"/>
        <v>0</v>
      </c>
      <c r="E177" s="6">
        <f t="shared" si="3"/>
        <v>0</v>
      </c>
      <c r="F177" s="6">
        <f t="shared" si="3"/>
        <v>0</v>
      </c>
      <c r="G177" s="62"/>
      <c r="H177" s="62"/>
      <c r="I177" s="60"/>
      <c r="J177" s="60"/>
      <c r="K177" s="64"/>
      <c r="L177" s="64"/>
      <c r="M177" s="25"/>
      <c r="N177" s="25"/>
    </row>
    <row r="178" spans="1:14">
      <c r="A178" s="3" t="s">
        <v>314</v>
      </c>
      <c r="B178" s="10" t="s">
        <v>315</v>
      </c>
      <c r="C178" s="7"/>
      <c r="D178" s="7">
        <f t="shared" si="5"/>
        <v>0</v>
      </c>
      <c r="E178" s="6">
        <f t="shared" si="3"/>
        <v>0</v>
      </c>
      <c r="F178" s="6">
        <f t="shared" si="3"/>
        <v>0</v>
      </c>
      <c r="G178" s="62"/>
      <c r="H178" s="62"/>
      <c r="I178" s="60"/>
      <c r="J178" s="60"/>
      <c r="K178" s="64"/>
      <c r="L178" s="64"/>
      <c r="M178" s="25"/>
      <c r="N178" s="25"/>
    </row>
    <row r="179" spans="1:14">
      <c r="A179" s="3" t="s">
        <v>316</v>
      </c>
      <c r="B179" s="10" t="s">
        <v>317</v>
      </c>
      <c r="C179" s="7"/>
      <c r="D179" s="7">
        <f t="shared" si="5"/>
        <v>0</v>
      </c>
      <c r="E179" s="6">
        <f t="shared" si="3"/>
        <v>0</v>
      </c>
      <c r="F179" s="6">
        <f t="shared" si="3"/>
        <v>0</v>
      </c>
      <c r="G179" s="62"/>
      <c r="H179" s="62"/>
      <c r="I179" s="60"/>
      <c r="J179" s="60"/>
      <c r="K179" s="64"/>
      <c r="L179" s="64"/>
      <c r="M179" s="25"/>
      <c r="N179" s="25"/>
    </row>
    <row r="180" spans="1:14">
      <c r="A180" s="3" t="s">
        <v>318</v>
      </c>
      <c r="B180" s="10" t="s">
        <v>319</v>
      </c>
      <c r="C180" s="7"/>
      <c r="D180" s="7">
        <f t="shared" si="5"/>
        <v>0</v>
      </c>
      <c r="E180" s="6">
        <f t="shared" si="3"/>
        <v>0</v>
      </c>
      <c r="F180" s="6">
        <f t="shared" si="3"/>
        <v>0</v>
      </c>
      <c r="G180" s="62"/>
      <c r="H180" s="62"/>
      <c r="I180" s="60"/>
      <c r="J180" s="60"/>
      <c r="K180" s="64"/>
      <c r="L180" s="64"/>
      <c r="M180" s="25"/>
      <c r="N180" s="25"/>
    </row>
    <row r="181" spans="1:14">
      <c r="A181" s="3" t="s">
        <v>320</v>
      </c>
      <c r="B181" s="10" t="s">
        <v>321</v>
      </c>
      <c r="C181" s="7"/>
      <c r="D181" s="7">
        <f t="shared" si="5"/>
        <v>0</v>
      </c>
      <c r="E181" s="6">
        <f t="shared" si="3"/>
        <v>0</v>
      </c>
      <c r="F181" s="6">
        <f t="shared" si="3"/>
        <v>0</v>
      </c>
      <c r="G181" s="62"/>
      <c r="H181" s="62"/>
      <c r="I181" s="60"/>
      <c r="J181" s="60"/>
      <c r="K181" s="64"/>
      <c r="L181" s="64"/>
      <c r="M181" s="25"/>
      <c r="N181" s="25"/>
    </row>
    <row r="182" spans="1:14">
      <c r="A182" s="3" t="s">
        <v>322</v>
      </c>
      <c r="B182" s="10" t="s">
        <v>323</v>
      </c>
      <c r="C182" s="7"/>
      <c r="D182" s="7">
        <f t="shared" si="5"/>
        <v>0</v>
      </c>
      <c r="E182" s="6">
        <f t="shared" si="3"/>
        <v>0</v>
      </c>
      <c r="F182" s="6">
        <f t="shared" si="3"/>
        <v>0</v>
      </c>
      <c r="G182" s="62"/>
      <c r="H182" s="62"/>
      <c r="I182" s="60"/>
      <c r="J182" s="60"/>
      <c r="K182" s="64"/>
      <c r="L182" s="64"/>
      <c r="M182" s="25"/>
      <c r="N182" s="25"/>
    </row>
    <row r="183" spans="1:14">
      <c r="A183" s="3" t="s">
        <v>324</v>
      </c>
      <c r="B183" s="10" t="s">
        <v>325</v>
      </c>
      <c r="C183" s="7"/>
      <c r="D183" s="7">
        <f t="shared" si="5"/>
        <v>0</v>
      </c>
      <c r="E183" s="6">
        <f t="shared" si="3"/>
        <v>0</v>
      </c>
      <c r="F183" s="6">
        <f t="shared" si="3"/>
        <v>0</v>
      </c>
      <c r="G183" s="62"/>
      <c r="H183" s="62"/>
      <c r="I183" s="60"/>
      <c r="J183" s="60"/>
      <c r="K183" s="64"/>
      <c r="L183" s="64"/>
      <c r="M183" s="25"/>
      <c r="N183" s="25"/>
    </row>
    <row r="184" spans="1:14">
      <c r="A184" s="3" t="s">
        <v>326</v>
      </c>
      <c r="B184" s="10" t="s">
        <v>327</v>
      </c>
      <c r="C184" s="7"/>
      <c r="D184" s="7">
        <f t="shared" si="5"/>
        <v>0</v>
      </c>
      <c r="E184" s="6">
        <f t="shared" si="3"/>
        <v>0</v>
      </c>
      <c r="F184" s="6">
        <f t="shared" si="3"/>
        <v>0</v>
      </c>
      <c r="G184" s="62"/>
      <c r="H184" s="62"/>
      <c r="I184" s="60"/>
      <c r="J184" s="60"/>
      <c r="K184" s="64"/>
      <c r="L184" s="64"/>
      <c r="M184" s="25"/>
      <c r="N184" s="25"/>
    </row>
    <row r="185" spans="1:14">
      <c r="A185" s="3" t="s">
        <v>328</v>
      </c>
      <c r="B185" s="10" t="s">
        <v>329</v>
      </c>
      <c r="C185" s="7"/>
      <c r="D185" s="7">
        <f t="shared" si="5"/>
        <v>0</v>
      </c>
      <c r="E185" s="6">
        <f t="shared" si="3"/>
        <v>0</v>
      </c>
      <c r="F185" s="6">
        <f t="shared" si="3"/>
        <v>0</v>
      </c>
      <c r="G185" s="62"/>
      <c r="H185" s="62"/>
      <c r="I185" s="60"/>
      <c r="J185" s="60"/>
      <c r="K185" s="64"/>
      <c r="L185" s="64"/>
      <c r="M185" s="25"/>
      <c r="N185" s="25"/>
    </row>
    <row r="186" spans="1:14">
      <c r="A186" s="3" t="s">
        <v>330</v>
      </c>
      <c r="B186" s="10" t="s">
        <v>331</v>
      </c>
      <c r="C186" s="7"/>
      <c r="D186" s="7">
        <f t="shared" si="5"/>
        <v>0</v>
      </c>
      <c r="E186" s="6">
        <f t="shared" si="3"/>
        <v>0</v>
      </c>
      <c r="F186" s="6">
        <f t="shared" si="3"/>
        <v>0</v>
      </c>
      <c r="G186" s="62"/>
      <c r="H186" s="62"/>
      <c r="I186" s="60"/>
      <c r="J186" s="60"/>
      <c r="K186" s="64"/>
      <c r="L186" s="64"/>
      <c r="M186" s="25"/>
      <c r="N186" s="25"/>
    </row>
    <row r="187" spans="1:14">
      <c r="A187" s="3" t="s">
        <v>332</v>
      </c>
      <c r="B187" s="10" t="s">
        <v>333</v>
      </c>
      <c r="C187" s="5"/>
      <c r="D187" s="5">
        <f t="shared" si="5"/>
        <v>0</v>
      </c>
      <c r="E187" s="6">
        <f t="shared" si="3"/>
        <v>0</v>
      </c>
      <c r="F187" s="6">
        <f t="shared" si="3"/>
        <v>0</v>
      </c>
      <c r="G187" s="62"/>
      <c r="H187" s="62"/>
      <c r="I187" s="60"/>
      <c r="J187" s="60"/>
      <c r="K187" s="64"/>
      <c r="L187" s="64"/>
      <c r="M187" s="25"/>
      <c r="N187" s="25"/>
    </row>
    <row r="188" spans="1:14">
      <c r="A188" s="3" t="s">
        <v>334</v>
      </c>
      <c r="B188" s="10" t="s">
        <v>335</v>
      </c>
      <c r="C188" s="5"/>
      <c r="D188" s="5">
        <f t="shared" si="5"/>
        <v>0</v>
      </c>
      <c r="E188" s="6">
        <f t="shared" si="3"/>
        <v>0</v>
      </c>
      <c r="F188" s="6">
        <f t="shared" si="3"/>
        <v>0</v>
      </c>
      <c r="G188" s="62"/>
      <c r="H188" s="62"/>
      <c r="I188" s="60"/>
      <c r="J188" s="60"/>
      <c r="K188" s="64"/>
      <c r="L188" s="64"/>
      <c r="M188" s="25"/>
      <c r="N188" s="25"/>
    </row>
    <row r="189" spans="1:14">
      <c r="A189" s="3" t="s">
        <v>336</v>
      </c>
      <c r="B189" s="10" t="s">
        <v>337</v>
      </c>
      <c r="C189" s="5"/>
      <c r="D189" s="5">
        <f t="shared" si="5"/>
        <v>0</v>
      </c>
      <c r="E189" s="6">
        <f t="shared" si="3"/>
        <v>0</v>
      </c>
      <c r="F189" s="6">
        <f t="shared" si="3"/>
        <v>0</v>
      </c>
      <c r="G189" s="62"/>
      <c r="H189" s="62"/>
      <c r="I189" s="60"/>
      <c r="J189" s="60"/>
      <c r="K189" s="64"/>
      <c r="L189" s="64"/>
      <c r="M189" s="25"/>
      <c r="N189" s="25"/>
    </row>
    <row r="190" spans="1:14">
      <c r="A190" s="3" t="s">
        <v>338</v>
      </c>
      <c r="B190" s="10" t="s">
        <v>339</v>
      </c>
      <c r="C190" s="5"/>
      <c r="D190" s="5">
        <f t="shared" si="5"/>
        <v>0</v>
      </c>
      <c r="E190" s="6">
        <f t="shared" si="3"/>
        <v>0</v>
      </c>
      <c r="F190" s="6">
        <f t="shared" si="3"/>
        <v>0</v>
      </c>
      <c r="G190" s="62"/>
      <c r="H190" s="62"/>
      <c r="I190" s="60"/>
      <c r="J190" s="60"/>
      <c r="K190" s="64"/>
      <c r="L190" s="64"/>
      <c r="M190" s="25"/>
      <c r="N190" s="25"/>
    </row>
    <row r="191" spans="1:14">
      <c r="A191" s="3" t="s">
        <v>340</v>
      </c>
      <c r="B191" s="10" t="s">
        <v>341</v>
      </c>
      <c r="C191" s="5"/>
      <c r="D191" s="5">
        <f t="shared" si="5"/>
        <v>0</v>
      </c>
      <c r="E191" s="6">
        <f t="shared" si="3"/>
        <v>0</v>
      </c>
      <c r="F191" s="6">
        <f t="shared" si="3"/>
        <v>0</v>
      </c>
      <c r="G191" s="62"/>
      <c r="H191" s="62"/>
      <c r="I191" s="60"/>
      <c r="J191" s="60"/>
      <c r="K191" s="64"/>
      <c r="L191" s="64"/>
      <c r="M191" s="25"/>
      <c r="N191" s="25"/>
    </row>
    <row r="192" spans="1:14">
      <c r="A192" s="3" t="s">
        <v>342</v>
      </c>
      <c r="B192" s="10" t="s">
        <v>343</v>
      </c>
      <c r="C192" s="5"/>
      <c r="D192" s="5">
        <f t="shared" si="5"/>
        <v>0</v>
      </c>
      <c r="E192" s="6">
        <f t="shared" si="3"/>
        <v>0</v>
      </c>
      <c r="F192" s="6">
        <f t="shared" si="3"/>
        <v>0</v>
      </c>
      <c r="G192" s="62"/>
      <c r="H192" s="62"/>
      <c r="I192" s="60"/>
      <c r="J192" s="60"/>
      <c r="K192" s="64"/>
      <c r="L192" s="64"/>
      <c r="M192" s="25"/>
      <c r="N192" s="25"/>
    </row>
    <row r="193" spans="1:14">
      <c r="A193" s="3" t="s">
        <v>344</v>
      </c>
      <c r="B193" s="10" t="s">
        <v>345</v>
      </c>
      <c r="C193" s="5"/>
      <c r="D193" s="5">
        <f t="shared" si="5"/>
        <v>0</v>
      </c>
      <c r="E193" s="6">
        <f t="shared" si="3"/>
        <v>0</v>
      </c>
      <c r="F193" s="6">
        <f t="shared" si="3"/>
        <v>0</v>
      </c>
      <c r="G193" s="62"/>
      <c r="H193" s="62"/>
      <c r="I193" s="60"/>
      <c r="J193" s="60"/>
      <c r="K193" s="64"/>
      <c r="L193" s="64"/>
      <c r="M193" s="25"/>
      <c r="N193" s="25"/>
    </row>
    <row r="194" spans="1:14">
      <c r="A194" s="3" t="s">
        <v>346</v>
      </c>
      <c r="B194" s="10" t="s">
        <v>347</v>
      </c>
      <c r="C194" s="5"/>
      <c r="D194" s="5">
        <f t="shared" si="5"/>
        <v>0</v>
      </c>
      <c r="E194" s="6">
        <f t="shared" si="3"/>
        <v>0</v>
      </c>
      <c r="F194" s="6">
        <f t="shared" si="3"/>
        <v>0</v>
      </c>
      <c r="G194" s="62"/>
      <c r="H194" s="62"/>
      <c r="I194" s="60"/>
      <c r="J194" s="60"/>
      <c r="K194" s="64"/>
      <c r="L194" s="64"/>
      <c r="M194" s="25"/>
      <c r="N194" s="25"/>
    </row>
    <row r="195" spans="1:14">
      <c r="A195" s="3" t="s">
        <v>348</v>
      </c>
      <c r="B195" s="10" t="s">
        <v>349</v>
      </c>
      <c r="C195" s="5"/>
      <c r="D195" s="5">
        <f t="shared" si="5"/>
        <v>0</v>
      </c>
      <c r="E195" s="6">
        <f t="shared" si="3"/>
        <v>0</v>
      </c>
      <c r="F195" s="6">
        <f t="shared" si="3"/>
        <v>0</v>
      </c>
      <c r="G195" s="62"/>
      <c r="H195" s="62"/>
      <c r="I195" s="60"/>
      <c r="J195" s="60"/>
      <c r="K195" s="64"/>
      <c r="L195" s="64"/>
      <c r="M195" s="25"/>
      <c r="N195" s="25"/>
    </row>
    <row r="196" spans="1:14">
      <c r="A196" s="3" t="s">
        <v>350</v>
      </c>
      <c r="B196" s="10" t="s">
        <v>351</v>
      </c>
      <c r="C196" s="5"/>
      <c r="D196" s="5">
        <f t="shared" si="5"/>
        <v>0</v>
      </c>
      <c r="E196" s="6">
        <f t="shared" si="3"/>
        <v>0</v>
      </c>
      <c r="F196" s="6">
        <f t="shared" si="3"/>
        <v>0</v>
      </c>
      <c r="G196" s="62"/>
      <c r="H196" s="62"/>
      <c r="I196" s="60"/>
      <c r="J196" s="60"/>
      <c r="K196" s="64"/>
      <c r="L196" s="64"/>
      <c r="M196" s="25"/>
      <c r="N196" s="25"/>
    </row>
    <row r="197" spans="1:14">
      <c r="A197" s="3" t="s">
        <v>352</v>
      </c>
      <c r="B197" s="10" t="s">
        <v>353</v>
      </c>
      <c r="C197" s="5"/>
      <c r="D197" s="5">
        <f t="shared" si="5"/>
        <v>0</v>
      </c>
      <c r="E197" s="6">
        <f t="shared" si="3"/>
        <v>0</v>
      </c>
      <c r="F197" s="6">
        <f t="shared" si="3"/>
        <v>0</v>
      </c>
      <c r="G197" s="62"/>
      <c r="H197" s="62"/>
      <c r="I197" s="60"/>
      <c r="J197" s="60"/>
      <c r="K197" s="64"/>
      <c r="L197" s="64"/>
      <c r="M197" s="25"/>
      <c r="N197" s="25"/>
    </row>
    <row r="198" spans="1:14">
      <c r="A198" s="3" t="s">
        <v>354</v>
      </c>
      <c r="B198" s="10" t="s">
        <v>355</v>
      </c>
      <c r="C198" s="5"/>
      <c r="D198" s="5">
        <f t="shared" si="5"/>
        <v>0</v>
      </c>
      <c r="E198" s="6">
        <f t="shared" si="3"/>
        <v>0</v>
      </c>
      <c r="F198" s="6">
        <f t="shared" si="3"/>
        <v>0</v>
      </c>
      <c r="G198" s="62"/>
      <c r="H198" s="62"/>
      <c r="I198" s="60"/>
      <c r="J198" s="60"/>
      <c r="K198" s="64"/>
      <c r="L198" s="64"/>
      <c r="M198" s="25"/>
      <c r="N198" s="25"/>
    </row>
    <row r="199" spans="1:14">
      <c r="A199" s="3" t="s">
        <v>356</v>
      </c>
      <c r="B199" s="10" t="s">
        <v>357</v>
      </c>
      <c r="C199" s="5"/>
      <c r="D199" s="5">
        <f t="shared" si="5"/>
        <v>0</v>
      </c>
      <c r="E199" s="6">
        <f t="shared" si="3"/>
        <v>0</v>
      </c>
      <c r="F199" s="6">
        <f t="shared" si="3"/>
        <v>0</v>
      </c>
      <c r="G199" s="62"/>
      <c r="H199" s="62"/>
      <c r="I199" s="60"/>
      <c r="J199" s="60"/>
      <c r="K199" s="64"/>
      <c r="L199" s="64"/>
      <c r="M199" s="25"/>
      <c r="N199" s="25"/>
    </row>
    <row r="200" spans="1:14">
      <c r="A200" s="3" t="s">
        <v>358</v>
      </c>
      <c r="B200" s="10" t="s">
        <v>359</v>
      </c>
      <c r="C200" s="5"/>
      <c r="D200" s="5">
        <f t="shared" si="5"/>
        <v>0</v>
      </c>
      <c r="E200" s="6">
        <f t="shared" si="3"/>
        <v>0</v>
      </c>
      <c r="F200" s="6">
        <f t="shared" si="3"/>
        <v>0</v>
      </c>
      <c r="G200" s="62"/>
      <c r="H200" s="62"/>
      <c r="I200" s="60"/>
      <c r="J200" s="60"/>
      <c r="K200" s="64"/>
      <c r="L200" s="64"/>
      <c r="M200" s="25"/>
      <c r="N200" s="25"/>
    </row>
    <row r="201" spans="1:14">
      <c r="A201" s="3" t="s">
        <v>360</v>
      </c>
      <c r="B201" s="10" t="s">
        <v>361</v>
      </c>
      <c r="C201" s="5"/>
      <c r="D201" s="5">
        <f t="shared" si="5"/>
        <v>0</v>
      </c>
      <c r="E201" s="6">
        <f t="shared" si="3"/>
        <v>0</v>
      </c>
      <c r="F201" s="6">
        <f t="shared" si="3"/>
        <v>0</v>
      </c>
      <c r="G201" s="62"/>
      <c r="H201" s="62"/>
      <c r="I201" s="60"/>
      <c r="J201" s="60"/>
      <c r="K201" s="64"/>
      <c r="L201" s="64"/>
      <c r="M201" s="25"/>
      <c r="N201" s="25"/>
    </row>
    <row r="202" spans="1:14">
      <c r="A202" s="3" t="s">
        <v>362</v>
      </c>
      <c r="B202" s="10" t="s">
        <v>363</v>
      </c>
      <c r="C202" s="5"/>
      <c r="D202" s="5">
        <f t="shared" si="5"/>
        <v>0</v>
      </c>
      <c r="E202" s="6">
        <f t="shared" si="3"/>
        <v>0</v>
      </c>
      <c r="F202" s="6">
        <f t="shared" si="3"/>
        <v>0</v>
      </c>
      <c r="G202" s="62"/>
      <c r="H202" s="62"/>
      <c r="I202" s="60"/>
      <c r="J202" s="60"/>
      <c r="K202" s="64"/>
      <c r="L202" s="64"/>
      <c r="M202" s="25"/>
      <c r="N202" s="25"/>
    </row>
    <row r="203" spans="1:14">
      <c r="A203" s="3" t="s">
        <v>364</v>
      </c>
      <c r="B203" s="10" t="s">
        <v>365</v>
      </c>
      <c r="C203" s="5"/>
      <c r="D203" s="5">
        <f t="shared" si="5"/>
        <v>0</v>
      </c>
      <c r="E203" s="6">
        <f t="shared" si="3"/>
        <v>0</v>
      </c>
      <c r="F203" s="6">
        <f t="shared" si="3"/>
        <v>0</v>
      </c>
      <c r="G203" s="62"/>
      <c r="H203" s="62"/>
      <c r="I203" s="60"/>
      <c r="J203" s="60"/>
      <c r="K203" s="64"/>
      <c r="L203" s="64"/>
      <c r="M203" s="25"/>
      <c r="N203" s="25"/>
    </row>
    <row r="204" spans="1:14">
      <c r="A204" s="3" t="s">
        <v>366</v>
      </c>
      <c r="B204" s="10" t="s">
        <v>367</v>
      </c>
      <c r="C204" s="5"/>
      <c r="D204" s="5">
        <f t="shared" si="5"/>
        <v>0</v>
      </c>
      <c r="E204" s="6">
        <f t="shared" si="3"/>
        <v>0</v>
      </c>
      <c r="F204" s="6">
        <f t="shared" si="3"/>
        <v>0</v>
      </c>
      <c r="G204" s="62"/>
      <c r="H204" s="62"/>
      <c r="I204" s="60"/>
      <c r="J204" s="60"/>
      <c r="K204" s="64"/>
      <c r="L204" s="64"/>
      <c r="M204" s="25"/>
      <c r="N204" s="25"/>
    </row>
    <row r="205" spans="1:14">
      <c r="A205" s="3" t="s">
        <v>368</v>
      </c>
      <c r="B205" s="10" t="s">
        <v>369</v>
      </c>
      <c r="C205" s="5"/>
      <c r="D205" s="5">
        <f t="shared" si="5"/>
        <v>0</v>
      </c>
      <c r="E205" s="6">
        <f t="shared" si="3"/>
        <v>0</v>
      </c>
      <c r="F205" s="6">
        <f t="shared" si="3"/>
        <v>0</v>
      </c>
      <c r="G205" s="62"/>
      <c r="H205" s="62"/>
      <c r="I205" s="60"/>
      <c r="J205" s="60"/>
      <c r="K205" s="64"/>
      <c r="L205" s="64"/>
      <c r="M205" s="25"/>
      <c r="N205" s="25"/>
    </row>
    <row r="206" spans="1:14">
      <c r="A206" s="3" t="s">
        <v>370</v>
      </c>
      <c r="B206" s="10" t="s">
        <v>371</v>
      </c>
      <c r="C206" s="5"/>
      <c r="D206" s="5">
        <f t="shared" si="5"/>
        <v>0</v>
      </c>
      <c r="E206" s="6">
        <f t="shared" ref="E206:F269" si="6">SUM(G206,I206,K206,M206)</f>
        <v>0</v>
      </c>
      <c r="F206" s="6">
        <f t="shared" si="6"/>
        <v>0</v>
      </c>
      <c r="G206" s="62"/>
      <c r="H206" s="62"/>
      <c r="I206" s="60"/>
      <c r="J206" s="60"/>
      <c r="K206" s="64"/>
      <c r="L206" s="64"/>
      <c r="M206" s="25"/>
      <c r="N206" s="25"/>
    </row>
    <row r="207" spans="1:14">
      <c r="A207" s="3" t="s">
        <v>372</v>
      </c>
      <c r="B207" s="10" t="s">
        <v>373</v>
      </c>
      <c r="C207" s="5"/>
      <c r="D207" s="5">
        <f t="shared" si="5"/>
        <v>0</v>
      </c>
      <c r="E207" s="6">
        <f t="shared" si="6"/>
        <v>0</v>
      </c>
      <c r="F207" s="6">
        <f t="shared" si="6"/>
        <v>0</v>
      </c>
      <c r="G207" s="62"/>
      <c r="H207" s="62"/>
      <c r="I207" s="60"/>
      <c r="J207" s="60"/>
      <c r="K207" s="64"/>
      <c r="L207" s="64"/>
      <c r="M207" s="25"/>
      <c r="N207" s="25"/>
    </row>
    <row r="208" spans="1:14">
      <c r="A208" s="3" t="s">
        <v>374</v>
      </c>
      <c r="B208" s="10" t="s">
        <v>375</v>
      </c>
      <c r="C208" s="5"/>
      <c r="D208" s="5">
        <f t="shared" si="5"/>
        <v>0</v>
      </c>
      <c r="E208" s="6">
        <f t="shared" si="6"/>
        <v>0</v>
      </c>
      <c r="F208" s="6">
        <f t="shared" si="6"/>
        <v>0</v>
      </c>
      <c r="G208" s="62"/>
      <c r="H208" s="62"/>
      <c r="I208" s="60"/>
      <c r="J208" s="60"/>
      <c r="K208" s="64"/>
      <c r="L208" s="64"/>
      <c r="M208" s="25"/>
      <c r="N208" s="25"/>
    </row>
    <row r="209" spans="1:14">
      <c r="A209" s="3" t="s">
        <v>376</v>
      </c>
      <c r="B209" s="10" t="s">
        <v>377</v>
      </c>
      <c r="C209" s="5"/>
      <c r="D209" s="5">
        <f t="shared" si="5"/>
        <v>0</v>
      </c>
      <c r="E209" s="6">
        <f t="shared" si="6"/>
        <v>0</v>
      </c>
      <c r="F209" s="6">
        <f t="shared" si="6"/>
        <v>0</v>
      </c>
      <c r="G209" s="62"/>
      <c r="H209" s="62"/>
      <c r="I209" s="60"/>
      <c r="J209" s="60"/>
      <c r="K209" s="64"/>
      <c r="L209" s="64"/>
      <c r="M209" s="25"/>
      <c r="N209" s="25"/>
    </row>
    <row r="210" spans="1:14">
      <c r="A210" s="3" t="s">
        <v>378</v>
      </c>
      <c r="B210" s="10" t="s">
        <v>379</v>
      </c>
      <c r="C210" s="5"/>
      <c r="D210" s="5">
        <f t="shared" si="5"/>
        <v>0</v>
      </c>
      <c r="E210" s="6">
        <f t="shared" si="6"/>
        <v>0</v>
      </c>
      <c r="F210" s="6">
        <f t="shared" si="6"/>
        <v>0</v>
      </c>
      <c r="G210" s="62"/>
      <c r="H210" s="62"/>
      <c r="I210" s="60"/>
      <c r="J210" s="60"/>
      <c r="K210" s="64"/>
      <c r="L210" s="64"/>
      <c r="M210" s="25"/>
      <c r="N210" s="25"/>
    </row>
    <row r="211" spans="1:14">
      <c r="A211" s="3" t="s">
        <v>380</v>
      </c>
      <c r="B211" s="10" t="s">
        <v>381</v>
      </c>
      <c r="C211" s="5"/>
      <c r="D211" s="5">
        <f t="shared" si="5"/>
        <v>0</v>
      </c>
      <c r="E211" s="6">
        <f t="shared" si="6"/>
        <v>0</v>
      </c>
      <c r="F211" s="6">
        <f t="shared" si="6"/>
        <v>0</v>
      </c>
      <c r="G211" s="62"/>
      <c r="H211" s="62"/>
      <c r="I211" s="60"/>
      <c r="J211" s="60"/>
      <c r="K211" s="64"/>
      <c r="L211" s="64"/>
      <c r="M211" s="25"/>
      <c r="N211" s="25"/>
    </row>
    <row r="212" spans="1:14">
      <c r="A212" s="3" t="s">
        <v>382</v>
      </c>
      <c r="B212" s="10" t="s">
        <v>383</v>
      </c>
      <c r="C212" s="5"/>
      <c r="D212" s="5">
        <f t="shared" si="5"/>
        <v>0</v>
      </c>
      <c r="E212" s="6">
        <f t="shared" si="6"/>
        <v>0</v>
      </c>
      <c r="F212" s="6">
        <f t="shared" si="6"/>
        <v>0</v>
      </c>
      <c r="G212" s="62"/>
      <c r="H212" s="62"/>
      <c r="I212" s="60"/>
      <c r="J212" s="60"/>
      <c r="K212" s="64"/>
      <c r="L212" s="64"/>
      <c r="M212" s="25"/>
      <c r="N212" s="25"/>
    </row>
    <row r="213" spans="1:14">
      <c r="A213" s="3" t="s">
        <v>384</v>
      </c>
      <c r="B213" s="10" t="s">
        <v>385</v>
      </c>
      <c r="C213" s="5"/>
      <c r="D213" s="5">
        <f t="shared" si="5"/>
        <v>0</v>
      </c>
      <c r="E213" s="6">
        <f t="shared" si="6"/>
        <v>0</v>
      </c>
      <c r="F213" s="6">
        <f t="shared" si="6"/>
        <v>0</v>
      </c>
      <c r="G213" s="62"/>
      <c r="H213" s="62"/>
      <c r="I213" s="60"/>
      <c r="J213" s="60"/>
      <c r="K213" s="64"/>
      <c r="L213" s="64"/>
      <c r="M213" s="25"/>
      <c r="N213" s="25"/>
    </row>
    <row r="214" spans="1:14">
      <c r="A214" s="3" t="s">
        <v>386</v>
      </c>
      <c r="B214" s="10" t="s">
        <v>387</v>
      </c>
      <c r="C214" s="5"/>
      <c r="D214" s="5">
        <f t="shared" si="5"/>
        <v>0</v>
      </c>
      <c r="E214" s="6">
        <f t="shared" si="6"/>
        <v>0</v>
      </c>
      <c r="F214" s="6">
        <f t="shared" si="6"/>
        <v>0</v>
      </c>
      <c r="G214" s="62"/>
      <c r="H214" s="62"/>
      <c r="I214" s="60"/>
      <c r="J214" s="60"/>
      <c r="K214" s="64"/>
      <c r="L214" s="64"/>
      <c r="M214" s="25"/>
      <c r="N214" s="25"/>
    </row>
    <row r="215" spans="1:14">
      <c r="A215" s="3" t="s">
        <v>388</v>
      </c>
      <c r="B215" s="10" t="s">
        <v>389</v>
      </c>
      <c r="C215" s="5"/>
      <c r="D215" s="5">
        <f t="shared" si="5"/>
        <v>0</v>
      </c>
      <c r="E215" s="6">
        <f t="shared" si="6"/>
        <v>0</v>
      </c>
      <c r="F215" s="6">
        <f t="shared" si="6"/>
        <v>0</v>
      </c>
      <c r="G215" s="62"/>
      <c r="H215" s="62"/>
      <c r="I215" s="60"/>
      <c r="J215" s="60"/>
      <c r="K215" s="64"/>
      <c r="L215" s="64"/>
      <c r="M215" s="25"/>
      <c r="N215" s="25"/>
    </row>
    <row r="216" spans="1:14">
      <c r="A216" s="3" t="s">
        <v>390</v>
      </c>
      <c r="B216" s="10" t="s">
        <v>391</v>
      </c>
      <c r="C216" s="5"/>
      <c r="D216" s="5">
        <f t="shared" si="5"/>
        <v>0</v>
      </c>
      <c r="E216" s="6">
        <f t="shared" si="6"/>
        <v>0</v>
      </c>
      <c r="F216" s="6">
        <f t="shared" si="6"/>
        <v>0</v>
      </c>
      <c r="G216" s="62"/>
      <c r="H216" s="62"/>
      <c r="I216" s="60"/>
      <c r="J216" s="60"/>
      <c r="K216" s="64"/>
      <c r="L216" s="64"/>
      <c r="M216" s="25"/>
      <c r="N216" s="25"/>
    </row>
    <row r="217" spans="1:14">
      <c r="A217" s="3" t="s">
        <v>392</v>
      </c>
      <c r="B217" s="10" t="s">
        <v>393</v>
      </c>
      <c r="C217" s="5"/>
      <c r="D217" s="5">
        <f t="shared" si="5"/>
        <v>0</v>
      </c>
      <c r="E217" s="6">
        <f t="shared" si="6"/>
        <v>0</v>
      </c>
      <c r="F217" s="6">
        <f t="shared" si="6"/>
        <v>0</v>
      </c>
      <c r="G217" s="62"/>
      <c r="H217" s="62"/>
      <c r="I217" s="60"/>
      <c r="J217" s="60"/>
      <c r="K217" s="64"/>
      <c r="L217" s="64"/>
      <c r="M217" s="25"/>
      <c r="N217" s="25"/>
    </row>
    <row r="218" spans="1:14">
      <c r="A218" s="3" t="s">
        <v>394</v>
      </c>
      <c r="B218" s="10" t="s">
        <v>395</v>
      </c>
      <c r="C218" s="5"/>
      <c r="D218" s="5">
        <f t="shared" si="5"/>
        <v>0</v>
      </c>
      <c r="E218" s="6">
        <f t="shared" si="6"/>
        <v>0</v>
      </c>
      <c r="F218" s="6">
        <f t="shared" si="6"/>
        <v>0</v>
      </c>
      <c r="G218" s="62"/>
      <c r="H218" s="62"/>
      <c r="I218" s="60"/>
      <c r="J218" s="60"/>
      <c r="K218" s="64"/>
      <c r="L218" s="64"/>
      <c r="M218" s="25"/>
      <c r="N218" s="25"/>
    </row>
    <row r="219" spans="1:14">
      <c r="A219" s="3" t="s">
        <v>396</v>
      </c>
      <c r="B219" s="10" t="s">
        <v>397</v>
      </c>
      <c r="C219" s="5"/>
      <c r="D219" s="5">
        <f t="shared" si="5"/>
        <v>0</v>
      </c>
      <c r="E219" s="6">
        <f t="shared" si="6"/>
        <v>0</v>
      </c>
      <c r="F219" s="6">
        <f t="shared" si="6"/>
        <v>0</v>
      </c>
      <c r="G219" s="62"/>
      <c r="H219" s="62"/>
      <c r="I219" s="60"/>
      <c r="J219" s="60"/>
      <c r="K219" s="64"/>
      <c r="L219" s="64"/>
      <c r="M219" s="25"/>
      <c r="N219" s="25"/>
    </row>
    <row r="220" spans="1:14">
      <c r="A220" s="3" t="s">
        <v>398</v>
      </c>
      <c r="B220" s="10" t="s">
        <v>399</v>
      </c>
      <c r="C220" s="5"/>
      <c r="D220" s="5">
        <f t="shared" si="5"/>
        <v>0</v>
      </c>
      <c r="E220" s="6">
        <f t="shared" si="6"/>
        <v>0</v>
      </c>
      <c r="F220" s="6">
        <f t="shared" si="6"/>
        <v>0</v>
      </c>
      <c r="G220" s="62"/>
      <c r="H220" s="62"/>
      <c r="I220" s="60"/>
      <c r="J220" s="60"/>
      <c r="K220" s="64"/>
      <c r="L220" s="64"/>
      <c r="M220" s="25"/>
      <c r="N220" s="25"/>
    </row>
    <row r="221" spans="1:14">
      <c r="A221" s="3" t="s">
        <v>400</v>
      </c>
      <c r="B221" s="10" t="s">
        <v>401</v>
      </c>
      <c r="C221" s="5"/>
      <c r="D221" s="5">
        <f t="shared" si="5"/>
        <v>0</v>
      </c>
      <c r="E221" s="6">
        <f t="shared" si="6"/>
        <v>0</v>
      </c>
      <c r="F221" s="6">
        <f t="shared" si="6"/>
        <v>0</v>
      </c>
      <c r="G221" s="62"/>
      <c r="H221" s="62"/>
      <c r="I221" s="60"/>
      <c r="J221" s="60"/>
      <c r="K221" s="64"/>
      <c r="L221" s="64"/>
      <c r="M221" s="25"/>
      <c r="N221" s="25"/>
    </row>
    <row r="222" spans="1:14">
      <c r="A222" s="3" t="s">
        <v>402</v>
      </c>
      <c r="B222" s="10" t="s">
        <v>403</v>
      </c>
      <c r="C222" s="5"/>
      <c r="D222" s="5">
        <f t="shared" si="5"/>
        <v>0</v>
      </c>
      <c r="E222" s="6">
        <f t="shared" si="6"/>
        <v>0</v>
      </c>
      <c r="F222" s="6">
        <f t="shared" si="6"/>
        <v>0</v>
      </c>
      <c r="G222" s="62"/>
      <c r="H222" s="62"/>
      <c r="I222" s="60"/>
      <c r="J222" s="60"/>
      <c r="K222" s="64"/>
      <c r="L222" s="64"/>
      <c r="M222" s="25"/>
      <c r="N222" s="25"/>
    </row>
    <row r="223" spans="1:14">
      <c r="A223" s="3" t="s">
        <v>404</v>
      </c>
      <c r="B223" s="10" t="s">
        <v>405</v>
      </c>
      <c r="C223" s="5"/>
      <c r="D223" s="5">
        <f t="shared" si="5"/>
        <v>0</v>
      </c>
      <c r="E223" s="6">
        <f t="shared" si="6"/>
        <v>0</v>
      </c>
      <c r="F223" s="6">
        <f t="shared" si="6"/>
        <v>0</v>
      </c>
      <c r="G223" s="62"/>
      <c r="H223" s="62"/>
      <c r="I223" s="60"/>
      <c r="J223" s="60"/>
      <c r="K223" s="64"/>
      <c r="L223" s="64"/>
      <c r="M223" s="25"/>
      <c r="N223" s="25"/>
    </row>
    <row r="224" spans="1:14">
      <c r="A224" s="3" t="s">
        <v>406</v>
      </c>
      <c r="B224" s="10" t="s">
        <v>407</v>
      </c>
      <c r="C224" s="5"/>
      <c r="D224" s="5">
        <f t="shared" si="5"/>
        <v>0</v>
      </c>
      <c r="E224" s="6">
        <f t="shared" si="6"/>
        <v>0</v>
      </c>
      <c r="F224" s="6">
        <f t="shared" si="6"/>
        <v>0</v>
      </c>
      <c r="G224" s="62"/>
      <c r="H224" s="62"/>
      <c r="I224" s="60"/>
      <c r="J224" s="60"/>
      <c r="K224" s="64"/>
      <c r="L224" s="64"/>
      <c r="M224" s="25"/>
      <c r="N224" s="25"/>
    </row>
    <row r="225" spans="1:14">
      <c r="A225" s="3" t="s">
        <v>408</v>
      </c>
      <c r="B225" s="10" t="s">
        <v>409</v>
      </c>
      <c r="C225" s="5"/>
      <c r="D225" s="5">
        <f t="shared" si="5"/>
        <v>0</v>
      </c>
      <c r="E225" s="6">
        <f t="shared" si="6"/>
        <v>0</v>
      </c>
      <c r="F225" s="6">
        <f t="shared" si="6"/>
        <v>0</v>
      </c>
      <c r="G225" s="62"/>
      <c r="H225" s="62"/>
      <c r="I225" s="60"/>
      <c r="J225" s="60"/>
      <c r="K225" s="64"/>
      <c r="L225" s="64"/>
      <c r="M225" s="25"/>
      <c r="N225" s="25"/>
    </row>
    <row r="226" spans="1:14">
      <c r="A226" s="3" t="s">
        <v>410</v>
      </c>
      <c r="B226" s="10" t="s">
        <v>411</v>
      </c>
      <c r="C226" s="5"/>
      <c r="D226" s="5">
        <f t="shared" si="5"/>
        <v>0</v>
      </c>
      <c r="E226" s="6">
        <f t="shared" si="6"/>
        <v>0</v>
      </c>
      <c r="F226" s="6">
        <f t="shared" si="6"/>
        <v>0</v>
      </c>
      <c r="G226" s="62"/>
      <c r="H226" s="62"/>
      <c r="I226" s="60"/>
      <c r="J226" s="60"/>
      <c r="K226" s="64"/>
      <c r="L226" s="64"/>
      <c r="M226" s="25"/>
      <c r="N226" s="25"/>
    </row>
    <row r="227" spans="1:14">
      <c r="A227" s="3" t="s">
        <v>412</v>
      </c>
      <c r="B227" s="10" t="s">
        <v>413</v>
      </c>
      <c r="C227" s="5"/>
      <c r="D227" s="5">
        <f t="shared" si="5"/>
        <v>0</v>
      </c>
      <c r="E227" s="6">
        <f t="shared" si="6"/>
        <v>0</v>
      </c>
      <c r="F227" s="6">
        <f t="shared" si="6"/>
        <v>0</v>
      </c>
      <c r="G227" s="62"/>
      <c r="H227" s="62"/>
      <c r="I227" s="60"/>
      <c r="J227" s="60"/>
      <c r="K227" s="64"/>
      <c r="L227" s="64"/>
      <c r="M227" s="25"/>
      <c r="N227" s="25"/>
    </row>
    <row r="228" spans="1:14">
      <c r="A228" s="3" t="s">
        <v>414</v>
      </c>
      <c r="B228" s="10" t="s">
        <v>415</v>
      </c>
      <c r="C228" s="5"/>
      <c r="D228" s="5">
        <f t="shared" si="5"/>
        <v>0</v>
      </c>
      <c r="E228" s="6">
        <f t="shared" si="6"/>
        <v>0</v>
      </c>
      <c r="F228" s="6">
        <f t="shared" si="6"/>
        <v>0</v>
      </c>
      <c r="G228" s="62"/>
      <c r="H228" s="62"/>
      <c r="I228" s="60"/>
      <c r="J228" s="60"/>
      <c r="K228" s="64"/>
      <c r="L228" s="64"/>
      <c r="M228" s="25"/>
      <c r="N228" s="25"/>
    </row>
    <row r="229" spans="1:14">
      <c r="A229" s="3" t="s">
        <v>416</v>
      </c>
      <c r="B229" s="10" t="s">
        <v>417</v>
      </c>
      <c r="C229" s="5"/>
      <c r="D229" s="5">
        <f t="shared" si="5"/>
        <v>0</v>
      </c>
      <c r="E229" s="6">
        <f t="shared" si="6"/>
        <v>0</v>
      </c>
      <c r="F229" s="6">
        <f t="shared" si="6"/>
        <v>0</v>
      </c>
      <c r="G229" s="62"/>
      <c r="H229" s="62"/>
      <c r="I229" s="60"/>
      <c r="J229" s="60"/>
      <c r="K229" s="64"/>
      <c r="L229" s="64"/>
      <c r="M229" s="25"/>
      <c r="N229" s="25"/>
    </row>
    <row r="230" spans="1:14">
      <c r="A230" s="3" t="s">
        <v>418</v>
      </c>
      <c r="B230" s="10" t="s">
        <v>419</v>
      </c>
      <c r="C230" s="5"/>
      <c r="D230" s="5">
        <f t="shared" si="5"/>
        <v>0</v>
      </c>
      <c r="E230" s="6">
        <f t="shared" si="6"/>
        <v>0</v>
      </c>
      <c r="F230" s="6">
        <f t="shared" si="6"/>
        <v>0</v>
      </c>
      <c r="G230" s="62"/>
      <c r="H230" s="62"/>
      <c r="I230" s="60"/>
      <c r="J230" s="60"/>
      <c r="K230" s="64"/>
      <c r="L230" s="64"/>
      <c r="M230" s="25"/>
      <c r="N230" s="25"/>
    </row>
    <row r="231" spans="1:14">
      <c r="A231" s="3" t="s">
        <v>420</v>
      </c>
      <c r="B231" s="10" t="s">
        <v>421</v>
      </c>
      <c r="C231" s="5"/>
      <c r="D231" s="5">
        <f t="shared" si="5"/>
        <v>0</v>
      </c>
      <c r="E231" s="6">
        <f t="shared" si="6"/>
        <v>0</v>
      </c>
      <c r="F231" s="6">
        <f t="shared" si="6"/>
        <v>0</v>
      </c>
      <c r="G231" s="62"/>
      <c r="H231" s="62"/>
      <c r="I231" s="60"/>
      <c r="J231" s="60"/>
      <c r="K231" s="64"/>
      <c r="L231" s="64"/>
      <c r="M231" s="25"/>
      <c r="N231" s="25"/>
    </row>
    <row r="232" spans="1:14">
      <c r="A232" s="3" t="s">
        <v>422</v>
      </c>
      <c r="B232" s="10" t="s">
        <v>423</v>
      </c>
      <c r="C232" s="5"/>
      <c r="D232" s="5">
        <f t="shared" si="5"/>
        <v>0</v>
      </c>
      <c r="E232" s="6">
        <f t="shared" si="6"/>
        <v>0</v>
      </c>
      <c r="F232" s="6">
        <f t="shared" si="6"/>
        <v>0</v>
      </c>
      <c r="G232" s="62"/>
      <c r="H232" s="62"/>
      <c r="I232" s="60"/>
      <c r="J232" s="60"/>
      <c r="K232" s="64"/>
      <c r="L232" s="64"/>
      <c r="M232" s="25"/>
      <c r="N232" s="25"/>
    </row>
    <row r="233" spans="1:14">
      <c r="A233" s="3" t="s">
        <v>424</v>
      </c>
      <c r="B233" s="10" t="s">
        <v>425</v>
      </c>
      <c r="C233" s="5"/>
      <c r="D233" s="5">
        <f t="shared" si="5"/>
        <v>0</v>
      </c>
      <c r="E233" s="6">
        <f t="shared" si="6"/>
        <v>0</v>
      </c>
      <c r="F233" s="6">
        <f t="shared" si="6"/>
        <v>0</v>
      </c>
      <c r="G233" s="62"/>
      <c r="H233" s="62"/>
      <c r="I233" s="60"/>
      <c r="J233" s="60"/>
      <c r="K233" s="64"/>
      <c r="L233" s="64"/>
      <c r="M233" s="25"/>
      <c r="N233" s="25"/>
    </row>
    <row r="234" spans="1:14">
      <c r="A234" s="3" t="s">
        <v>426</v>
      </c>
      <c r="B234" s="10" t="s">
        <v>427</v>
      </c>
      <c r="C234" s="5"/>
      <c r="D234" s="5">
        <f t="shared" si="5"/>
        <v>0</v>
      </c>
      <c r="E234" s="6">
        <f t="shared" si="6"/>
        <v>0</v>
      </c>
      <c r="F234" s="6">
        <f t="shared" si="6"/>
        <v>0</v>
      </c>
      <c r="G234" s="62"/>
      <c r="H234" s="62"/>
      <c r="I234" s="60"/>
      <c r="J234" s="60"/>
      <c r="K234" s="64"/>
      <c r="L234" s="64"/>
      <c r="M234" s="25"/>
      <c r="N234" s="25"/>
    </row>
    <row r="235" spans="1:14">
      <c r="A235" s="3" t="s">
        <v>428</v>
      </c>
      <c r="B235" s="10" t="s">
        <v>429</v>
      </c>
      <c r="C235" s="5"/>
      <c r="D235" s="5">
        <f t="shared" si="5"/>
        <v>0</v>
      </c>
      <c r="E235" s="6">
        <f t="shared" si="6"/>
        <v>0</v>
      </c>
      <c r="F235" s="6">
        <f t="shared" si="6"/>
        <v>0</v>
      </c>
      <c r="G235" s="62"/>
      <c r="H235" s="62"/>
      <c r="I235" s="60"/>
      <c r="J235" s="60"/>
      <c r="K235" s="64"/>
      <c r="L235" s="64"/>
      <c r="M235" s="25"/>
      <c r="N235" s="25"/>
    </row>
    <row r="236" spans="1:14">
      <c r="A236" s="3" t="s">
        <v>430</v>
      </c>
      <c r="B236" s="10" t="s">
        <v>431</v>
      </c>
      <c r="C236" s="5"/>
      <c r="D236" s="5">
        <f t="shared" si="5"/>
        <v>0</v>
      </c>
      <c r="E236" s="6">
        <f t="shared" si="6"/>
        <v>0</v>
      </c>
      <c r="F236" s="6">
        <f t="shared" si="6"/>
        <v>0</v>
      </c>
      <c r="G236" s="62"/>
      <c r="H236" s="62"/>
      <c r="I236" s="60"/>
      <c r="J236" s="60"/>
      <c r="K236" s="64"/>
      <c r="L236" s="64"/>
      <c r="M236" s="25"/>
      <c r="N236" s="25"/>
    </row>
    <row r="237" spans="1:14">
      <c r="A237" s="3" t="s">
        <v>432</v>
      </c>
      <c r="B237" s="10" t="s">
        <v>433</v>
      </c>
      <c r="C237" s="5"/>
      <c r="D237" s="5">
        <f t="shared" si="5"/>
        <v>0</v>
      </c>
      <c r="E237" s="6">
        <f t="shared" si="6"/>
        <v>0</v>
      </c>
      <c r="F237" s="6">
        <f t="shared" si="6"/>
        <v>0</v>
      </c>
      <c r="G237" s="62"/>
      <c r="H237" s="62"/>
      <c r="I237" s="60"/>
      <c r="J237" s="60"/>
      <c r="K237" s="64"/>
      <c r="L237" s="64"/>
      <c r="M237" s="25"/>
      <c r="N237" s="25"/>
    </row>
    <row r="238" spans="1:14">
      <c r="A238" s="3" t="s">
        <v>434</v>
      </c>
      <c r="B238" s="10" t="s">
        <v>435</v>
      </c>
      <c r="C238" s="5"/>
      <c r="D238" s="5">
        <f t="shared" ref="D238:D280" si="7">F238-E238</f>
        <v>0</v>
      </c>
      <c r="E238" s="6">
        <f t="shared" si="6"/>
        <v>0</v>
      </c>
      <c r="F238" s="6">
        <f t="shared" si="6"/>
        <v>0</v>
      </c>
      <c r="G238" s="62"/>
      <c r="H238" s="62"/>
      <c r="I238" s="60"/>
      <c r="J238" s="60"/>
      <c r="K238" s="64"/>
      <c r="L238" s="64"/>
      <c r="M238" s="25"/>
      <c r="N238" s="25"/>
    </row>
    <row r="239" spans="1:14">
      <c r="A239" s="3" t="s">
        <v>436</v>
      </c>
      <c r="B239" s="10" t="s">
        <v>437</v>
      </c>
      <c r="C239" s="5"/>
      <c r="D239" s="5">
        <f t="shared" si="7"/>
        <v>0</v>
      </c>
      <c r="E239" s="6">
        <f t="shared" si="6"/>
        <v>0</v>
      </c>
      <c r="F239" s="6">
        <f t="shared" si="6"/>
        <v>0</v>
      </c>
      <c r="G239" s="62"/>
      <c r="H239" s="62"/>
      <c r="I239" s="60"/>
      <c r="J239" s="60"/>
      <c r="K239" s="64"/>
      <c r="L239" s="64"/>
      <c r="M239" s="25"/>
      <c r="N239" s="25"/>
    </row>
    <row r="240" spans="1:14">
      <c r="A240" s="3" t="s">
        <v>438</v>
      </c>
      <c r="B240" s="10" t="s">
        <v>439</v>
      </c>
      <c r="C240" s="5"/>
      <c r="D240" s="5">
        <f t="shared" si="7"/>
        <v>0</v>
      </c>
      <c r="E240" s="6">
        <f t="shared" si="6"/>
        <v>0</v>
      </c>
      <c r="F240" s="6">
        <f t="shared" si="6"/>
        <v>0</v>
      </c>
      <c r="G240" s="62"/>
      <c r="H240" s="62"/>
      <c r="I240" s="60"/>
      <c r="J240" s="60"/>
      <c r="K240" s="64"/>
      <c r="L240" s="64"/>
      <c r="M240" s="25"/>
      <c r="N240" s="25"/>
    </row>
    <row r="241" spans="1:14">
      <c r="A241" s="3" t="s">
        <v>440</v>
      </c>
      <c r="B241" s="10" t="s">
        <v>441</v>
      </c>
      <c r="C241" s="5"/>
      <c r="D241" s="5">
        <f t="shared" si="7"/>
        <v>0</v>
      </c>
      <c r="E241" s="6">
        <f t="shared" si="6"/>
        <v>0</v>
      </c>
      <c r="F241" s="6">
        <f t="shared" si="6"/>
        <v>0</v>
      </c>
      <c r="G241" s="62"/>
      <c r="H241" s="62"/>
      <c r="I241" s="60"/>
      <c r="J241" s="60"/>
      <c r="K241" s="64"/>
      <c r="L241" s="64"/>
      <c r="M241" s="25"/>
      <c r="N241" s="25"/>
    </row>
    <row r="242" spans="1:14">
      <c r="A242" s="3" t="s">
        <v>442</v>
      </c>
      <c r="B242" s="10" t="s">
        <v>443</v>
      </c>
      <c r="C242" s="5"/>
      <c r="D242" s="5">
        <f t="shared" si="7"/>
        <v>0</v>
      </c>
      <c r="E242" s="6">
        <f t="shared" si="6"/>
        <v>0</v>
      </c>
      <c r="F242" s="6">
        <f t="shared" si="6"/>
        <v>0</v>
      </c>
      <c r="G242" s="62"/>
      <c r="H242" s="62"/>
      <c r="I242" s="60"/>
      <c r="J242" s="60"/>
      <c r="K242" s="64"/>
      <c r="L242" s="64"/>
      <c r="M242" s="25"/>
      <c r="N242" s="25"/>
    </row>
    <row r="243" spans="1:14">
      <c r="A243" s="3" t="s">
        <v>444</v>
      </c>
      <c r="B243" s="10" t="s">
        <v>445</v>
      </c>
      <c r="C243" s="5"/>
      <c r="D243" s="5">
        <f t="shared" si="7"/>
        <v>0</v>
      </c>
      <c r="E243" s="6">
        <f t="shared" si="6"/>
        <v>0</v>
      </c>
      <c r="F243" s="6">
        <f t="shared" si="6"/>
        <v>0</v>
      </c>
      <c r="G243" s="62"/>
      <c r="H243" s="62"/>
      <c r="I243" s="60"/>
      <c r="J243" s="60"/>
      <c r="K243" s="64"/>
      <c r="L243" s="64"/>
      <c r="M243" s="25"/>
      <c r="N243" s="25"/>
    </row>
    <row r="244" spans="1:14">
      <c r="A244" s="3" t="s">
        <v>446</v>
      </c>
      <c r="B244" s="10" t="s">
        <v>447</v>
      </c>
      <c r="C244" s="5"/>
      <c r="D244" s="5">
        <f t="shared" si="7"/>
        <v>0</v>
      </c>
      <c r="E244" s="6">
        <f t="shared" si="6"/>
        <v>0</v>
      </c>
      <c r="F244" s="6">
        <f t="shared" si="6"/>
        <v>0</v>
      </c>
      <c r="G244" s="62"/>
      <c r="H244" s="62"/>
      <c r="I244" s="60"/>
      <c r="J244" s="60"/>
      <c r="K244" s="64"/>
      <c r="L244" s="64"/>
      <c r="M244" s="25"/>
      <c r="N244" s="25"/>
    </row>
    <row r="245" spans="1:14">
      <c r="A245" s="3" t="s">
        <v>448</v>
      </c>
      <c r="B245" s="10" t="s">
        <v>449</v>
      </c>
      <c r="C245" s="5"/>
      <c r="D245" s="5">
        <f t="shared" si="7"/>
        <v>0</v>
      </c>
      <c r="E245" s="6">
        <f t="shared" si="6"/>
        <v>0</v>
      </c>
      <c r="F245" s="6">
        <f t="shared" si="6"/>
        <v>0</v>
      </c>
      <c r="G245" s="62"/>
      <c r="H245" s="62"/>
      <c r="I245" s="60"/>
      <c r="J245" s="60"/>
      <c r="K245" s="64"/>
      <c r="L245" s="64"/>
      <c r="M245" s="25"/>
      <c r="N245" s="25"/>
    </row>
    <row r="246" spans="1:14">
      <c r="A246" s="3" t="s">
        <v>450</v>
      </c>
      <c r="B246" s="10" t="s">
        <v>451</v>
      </c>
      <c r="C246" s="5"/>
      <c r="D246" s="5">
        <f t="shared" si="7"/>
        <v>0</v>
      </c>
      <c r="E246" s="6">
        <f t="shared" si="6"/>
        <v>0</v>
      </c>
      <c r="F246" s="6">
        <f t="shared" si="6"/>
        <v>0</v>
      </c>
      <c r="G246" s="62"/>
      <c r="H246" s="62"/>
      <c r="I246" s="60"/>
      <c r="J246" s="60"/>
      <c r="K246" s="64"/>
      <c r="L246" s="64"/>
      <c r="M246" s="25"/>
      <c r="N246" s="25"/>
    </row>
    <row r="247" spans="1:14">
      <c r="A247" s="3" t="s">
        <v>452</v>
      </c>
      <c r="B247" s="10" t="s">
        <v>453</v>
      </c>
      <c r="C247" s="5"/>
      <c r="D247" s="5">
        <f t="shared" si="7"/>
        <v>0</v>
      </c>
      <c r="E247" s="6">
        <f t="shared" si="6"/>
        <v>0</v>
      </c>
      <c r="F247" s="6">
        <f t="shared" si="6"/>
        <v>0</v>
      </c>
      <c r="G247" s="62"/>
      <c r="H247" s="62"/>
      <c r="I247" s="60"/>
      <c r="J247" s="60"/>
      <c r="K247" s="64"/>
      <c r="L247" s="64"/>
      <c r="M247" s="25"/>
      <c r="N247" s="25"/>
    </row>
    <row r="248" spans="1:14">
      <c r="A248" s="3" t="s">
        <v>454</v>
      </c>
      <c r="B248" s="10" t="s">
        <v>455</v>
      </c>
      <c r="C248" s="5"/>
      <c r="D248" s="5">
        <f t="shared" si="7"/>
        <v>0</v>
      </c>
      <c r="E248" s="6">
        <f t="shared" si="6"/>
        <v>0</v>
      </c>
      <c r="F248" s="6">
        <f t="shared" si="6"/>
        <v>0</v>
      </c>
      <c r="G248" s="62"/>
      <c r="H248" s="62"/>
      <c r="I248" s="60"/>
      <c r="J248" s="60"/>
      <c r="K248" s="64"/>
      <c r="L248" s="64"/>
      <c r="M248" s="25"/>
      <c r="N248" s="25"/>
    </row>
    <row r="249" spans="1:14">
      <c r="A249" s="3" t="s">
        <v>456</v>
      </c>
      <c r="B249" s="10" t="s">
        <v>457</v>
      </c>
      <c r="C249" s="5"/>
      <c r="D249" s="5">
        <f t="shared" si="7"/>
        <v>0</v>
      </c>
      <c r="E249" s="6">
        <f t="shared" si="6"/>
        <v>0</v>
      </c>
      <c r="F249" s="6">
        <f t="shared" si="6"/>
        <v>0</v>
      </c>
      <c r="G249" s="62"/>
      <c r="H249" s="62"/>
      <c r="I249" s="60"/>
      <c r="J249" s="60"/>
      <c r="K249" s="64"/>
      <c r="L249" s="64"/>
      <c r="M249" s="25"/>
      <c r="N249" s="25"/>
    </row>
    <row r="250" spans="1:14">
      <c r="A250" s="3" t="s">
        <v>458</v>
      </c>
      <c r="B250" s="10" t="s">
        <v>459</v>
      </c>
      <c r="C250" s="5"/>
      <c r="D250" s="5">
        <f t="shared" si="7"/>
        <v>0</v>
      </c>
      <c r="E250" s="6">
        <f t="shared" si="6"/>
        <v>0</v>
      </c>
      <c r="F250" s="6">
        <f t="shared" si="6"/>
        <v>0</v>
      </c>
      <c r="G250" s="62"/>
      <c r="H250" s="62"/>
      <c r="I250" s="60"/>
      <c r="J250" s="60"/>
      <c r="K250" s="64"/>
      <c r="L250" s="64"/>
      <c r="M250" s="25"/>
      <c r="N250" s="25"/>
    </row>
    <row r="251" spans="1:14">
      <c r="A251" s="3" t="s">
        <v>460</v>
      </c>
      <c r="B251" s="10" t="s">
        <v>461</v>
      </c>
      <c r="C251" s="5"/>
      <c r="D251" s="5">
        <f t="shared" si="7"/>
        <v>0</v>
      </c>
      <c r="E251" s="6">
        <f t="shared" si="6"/>
        <v>0</v>
      </c>
      <c r="F251" s="6">
        <f t="shared" si="6"/>
        <v>0</v>
      </c>
      <c r="G251" s="62"/>
      <c r="H251" s="62"/>
      <c r="I251" s="60"/>
      <c r="J251" s="60"/>
      <c r="K251" s="64"/>
      <c r="L251" s="64"/>
      <c r="M251" s="25"/>
      <c r="N251" s="25"/>
    </row>
    <row r="252" spans="1:14">
      <c r="A252" s="3" t="s">
        <v>462</v>
      </c>
      <c r="B252" s="10" t="s">
        <v>463</v>
      </c>
      <c r="C252" s="5"/>
      <c r="D252" s="5">
        <f t="shared" si="7"/>
        <v>0</v>
      </c>
      <c r="E252" s="6">
        <f t="shared" si="6"/>
        <v>0</v>
      </c>
      <c r="F252" s="6">
        <f t="shared" si="6"/>
        <v>0</v>
      </c>
      <c r="G252" s="62"/>
      <c r="H252" s="62"/>
      <c r="I252" s="60"/>
      <c r="J252" s="60"/>
      <c r="K252" s="64"/>
      <c r="L252" s="64"/>
      <c r="M252" s="25"/>
      <c r="N252" s="25"/>
    </row>
    <row r="253" spans="1:14">
      <c r="A253" s="3" t="s">
        <v>464</v>
      </c>
      <c r="B253" s="10" t="s">
        <v>465</v>
      </c>
      <c r="C253" s="5"/>
      <c r="D253" s="5">
        <f t="shared" si="7"/>
        <v>0</v>
      </c>
      <c r="E253" s="6">
        <f t="shared" si="6"/>
        <v>0</v>
      </c>
      <c r="F253" s="6">
        <f t="shared" si="6"/>
        <v>0</v>
      </c>
      <c r="G253" s="62"/>
      <c r="H253" s="62"/>
      <c r="I253" s="60"/>
      <c r="J253" s="60"/>
      <c r="K253" s="64"/>
      <c r="L253" s="64"/>
      <c r="M253" s="25"/>
      <c r="N253" s="25"/>
    </row>
    <row r="254" spans="1:14">
      <c r="A254" s="3" t="s">
        <v>466</v>
      </c>
      <c r="B254" s="10" t="s">
        <v>467</v>
      </c>
      <c r="C254" s="5"/>
      <c r="D254" s="5">
        <f t="shared" si="7"/>
        <v>0</v>
      </c>
      <c r="E254" s="6">
        <f t="shared" si="6"/>
        <v>0</v>
      </c>
      <c r="F254" s="6">
        <f t="shared" si="6"/>
        <v>0</v>
      </c>
      <c r="G254" s="62"/>
      <c r="H254" s="62"/>
      <c r="I254" s="60"/>
      <c r="J254" s="60"/>
      <c r="K254" s="64"/>
      <c r="L254" s="64"/>
      <c r="M254" s="25"/>
      <c r="N254" s="25"/>
    </row>
    <row r="255" spans="1:14">
      <c r="A255" s="3" t="s">
        <v>468</v>
      </c>
      <c r="B255" s="10" t="s">
        <v>469</v>
      </c>
      <c r="C255" s="5"/>
      <c r="D255" s="5">
        <f t="shared" si="7"/>
        <v>0</v>
      </c>
      <c r="E255" s="6">
        <f t="shared" si="6"/>
        <v>0</v>
      </c>
      <c r="F255" s="6">
        <f t="shared" si="6"/>
        <v>0</v>
      </c>
      <c r="G255" s="62"/>
      <c r="H255" s="62"/>
      <c r="I255" s="60"/>
      <c r="J255" s="60"/>
      <c r="K255" s="64"/>
      <c r="L255" s="64"/>
      <c r="M255" s="25"/>
      <c r="N255" s="25"/>
    </row>
    <row r="256" spans="1:14">
      <c r="A256" s="3" t="s">
        <v>470</v>
      </c>
      <c r="B256" s="10" t="s">
        <v>471</v>
      </c>
      <c r="C256" s="5"/>
      <c r="D256" s="5">
        <f t="shared" si="7"/>
        <v>0</v>
      </c>
      <c r="E256" s="6">
        <f t="shared" si="6"/>
        <v>0</v>
      </c>
      <c r="F256" s="6">
        <f t="shared" si="6"/>
        <v>0</v>
      </c>
      <c r="G256" s="62"/>
      <c r="H256" s="62"/>
      <c r="I256" s="60"/>
      <c r="J256" s="60"/>
      <c r="K256" s="64"/>
      <c r="L256" s="64"/>
      <c r="M256" s="25"/>
      <c r="N256" s="25"/>
    </row>
    <row r="257" spans="1:14">
      <c r="A257" s="3" t="s">
        <v>472</v>
      </c>
      <c r="B257" s="10" t="s">
        <v>473</v>
      </c>
      <c r="C257" s="5"/>
      <c r="D257" s="5">
        <f t="shared" si="7"/>
        <v>0</v>
      </c>
      <c r="E257" s="6">
        <f t="shared" si="6"/>
        <v>0</v>
      </c>
      <c r="F257" s="6">
        <f t="shared" si="6"/>
        <v>0</v>
      </c>
      <c r="G257" s="62"/>
      <c r="H257" s="62"/>
      <c r="I257" s="60"/>
      <c r="J257" s="60"/>
      <c r="K257" s="64"/>
      <c r="L257" s="64"/>
      <c r="M257" s="25"/>
      <c r="N257" s="25"/>
    </row>
    <row r="258" spans="1:14">
      <c r="A258" s="3" t="s">
        <v>474</v>
      </c>
      <c r="B258" s="10" t="s">
        <v>475</v>
      </c>
      <c r="C258" s="5"/>
      <c r="D258" s="5">
        <f t="shared" si="7"/>
        <v>0</v>
      </c>
      <c r="E258" s="6">
        <f t="shared" si="6"/>
        <v>0</v>
      </c>
      <c r="F258" s="6">
        <f t="shared" si="6"/>
        <v>0</v>
      </c>
      <c r="G258" s="62"/>
      <c r="H258" s="62"/>
      <c r="I258" s="60"/>
      <c r="J258" s="60"/>
      <c r="K258" s="64"/>
      <c r="L258" s="64"/>
      <c r="M258" s="25"/>
      <c r="N258" s="25"/>
    </row>
    <row r="259" spans="1:14">
      <c r="A259" s="3" t="s">
        <v>476</v>
      </c>
      <c r="B259" s="10" t="s">
        <v>477</v>
      </c>
      <c r="C259" s="5"/>
      <c r="D259" s="5">
        <f t="shared" si="7"/>
        <v>0</v>
      </c>
      <c r="E259" s="6">
        <f t="shared" si="6"/>
        <v>0</v>
      </c>
      <c r="F259" s="6">
        <f t="shared" si="6"/>
        <v>0</v>
      </c>
      <c r="G259" s="62"/>
      <c r="H259" s="62"/>
      <c r="I259" s="60"/>
      <c r="J259" s="60"/>
      <c r="K259" s="64"/>
      <c r="L259" s="64"/>
      <c r="M259" s="25"/>
      <c r="N259" s="25"/>
    </row>
    <row r="260" spans="1:14">
      <c r="A260" s="3" t="s">
        <v>478</v>
      </c>
      <c r="B260" s="10" t="s">
        <v>479</v>
      </c>
      <c r="C260" s="5"/>
      <c r="D260" s="5">
        <f t="shared" si="7"/>
        <v>0</v>
      </c>
      <c r="E260" s="6">
        <f t="shared" si="6"/>
        <v>0</v>
      </c>
      <c r="F260" s="6">
        <f t="shared" si="6"/>
        <v>0</v>
      </c>
      <c r="G260" s="62"/>
      <c r="H260" s="62"/>
      <c r="I260" s="60"/>
      <c r="J260" s="60"/>
      <c r="K260" s="64"/>
      <c r="L260" s="64"/>
      <c r="M260" s="25"/>
      <c r="N260" s="25"/>
    </row>
    <row r="261" spans="1:14">
      <c r="A261" s="3" t="s">
        <v>480</v>
      </c>
      <c r="B261" s="10" t="s">
        <v>481</v>
      </c>
      <c r="C261" s="5"/>
      <c r="D261" s="5">
        <f t="shared" si="7"/>
        <v>0</v>
      </c>
      <c r="E261" s="6">
        <f t="shared" si="6"/>
        <v>0</v>
      </c>
      <c r="F261" s="6">
        <f t="shared" si="6"/>
        <v>0</v>
      </c>
      <c r="G261" s="62"/>
      <c r="H261" s="62"/>
      <c r="I261" s="60"/>
      <c r="J261" s="60"/>
      <c r="K261" s="64"/>
      <c r="L261" s="64"/>
      <c r="M261" s="25"/>
      <c r="N261" s="25"/>
    </row>
    <row r="262" spans="1:14">
      <c r="A262" s="3" t="s">
        <v>482</v>
      </c>
      <c r="B262" s="10" t="s">
        <v>483</v>
      </c>
      <c r="C262" s="5"/>
      <c r="D262" s="5">
        <f t="shared" si="7"/>
        <v>0</v>
      </c>
      <c r="E262" s="6">
        <f t="shared" si="6"/>
        <v>0</v>
      </c>
      <c r="F262" s="6">
        <f t="shared" si="6"/>
        <v>0</v>
      </c>
      <c r="G262" s="62"/>
      <c r="H262" s="62"/>
      <c r="I262" s="60"/>
      <c r="J262" s="60"/>
      <c r="K262" s="64"/>
      <c r="L262" s="64"/>
      <c r="M262" s="25"/>
      <c r="N262" s="25"/>
    </row>
    <row r="263" spans="1:14">
      <c r="A263" s="3" t="s">
        <v>484</v>
      </c>
      <c r="B263" s="10" t="s">
        <v>485</v>
      </c>
      <c r="C263" s="5"/>
      <c r="D263" s="5">
        <f t="shared" si="7"/>
        <v>0</v>
      </c>
      <c r="E263" s="6">
        <f t="shared" si="6"/>
        <v>0</v>
      </c>
      <c r="F263" s="6">
        <f t="shared" si="6"/>
        <v>0</v>
      </c>
      <c r="G263" s="62"/>
      <c r="H263" s="62"/>
      <c r="I263" s="60"/>
      <c r="J263" s="60"/>
      <c r="K263" s="64"/>
      <c r="L263" s="64"/>
      <c r="M263" s="25"/>
      <c r="N263" s="25"/>
    </row>
    <row r="264" spans="1:14">
      <c r="A264" s="3" t="s">
        <v>486</v>
      </c>
      <c r="B264" s="10" t="s">
        <v>487</v>
      </c>
      <c r="C264" s="5"/>
      <c r="D264" s="5">
        <f t="shared" si="7"/>
        <v>0</v>
      </c>
      <c r="E264" s="6">
        <f t="shared" si="6"/>
        <v>0</v>
      </c>
      <c r="F264" s="6">
        <f t="shared" si="6"/>
        <v>0</v>
      </c>
      <c r="G264" s="62"/>
      <c r="H264" s="62"/>
      <c r="I264" s="60"/>
      <c r="J264" s="60"/>
      <c r="K264" s="64"/>
      <c r="L264" s="64"/>
      <c r="M264" s="25"/>
      <c r="N264" s="25"/>
    </row>
    <row r="265" spans="1:14">
      <c r="A265" s="3" t="s">
        <v>488</v>
      </c>
      <c r="B265" s="10" t="s">
        <v>489</v>
      </c>
      <c r="C265" s="5"/>
      <c r="D265" s="5">
        <f t="shared" si="7"/>
        <v>0</v>
      </c>
      <c r="E265" s="6">
        <f t="shared" si="6"/>
        <v>0</v>
      </c>
      <c r="F265" s="6">
        <f t="shared" si="6"/>
        <v>0</v>
      </c>
      <c r="G265" s="62"/>
      <c r="H265" s="62"/>
      <c r="I265" s="60"/>
      <c r="J265" s="60"/>
      <c r="K265" s="64"/>
      <c r="L265" s="64"/>
      <c r="M265" s="25"/>
      <c r="N265" s="25"/>
    </row>
    <row r="266" spans="1:14">
      <c r="A266" s="3" t="s">
        <v>490</v>
      </c>
      <c r="B266" s="10" t="s">
        <v>491</v>
      </c>
      <c r="C266" s="5"/>
      <c r="D266" s="5">
        <f t="shared" si="7"/>
        <v>0</v>
      </c>
      <c r="E266" s="6">
        <f t="shared" si="6"/>
        <v>0</v>
      </c>
      <c r="F266" s="6">
        <f t="shared" si="6"/>
        <v>0</v>
      </c>
      <c r="G266" s="62"/>
      <c r="H266" s="62"/>
      <c r="I266" s="60"/>
      <c r="J266" s="60"/>
      <c r="K266" s="64"/>
      <c r="L266" s="64"/>
      <c r="M266" s="25"/>
      <c r="N266" s="25"/>
    </row>
    <row r="267" spans="1:14">
      <c r="A267" s="3" t="s">
        <v>492</v>
      </c>
      <c r="B267" s="10" t="s">
        <v>493</v>
      </c>
      <c r="C267" s="5"/>
      <c r="D267" s="5">
        <f t="shared" si="7"/>
        <v>0</v>
      </c>
      <c r="E267" s="6">
        <f t="shared" si="6"/>
        <v>0</v>
      </c>
      <c r="F267" s="6">
        <f t="shared" si="6"/>
        <v>0</v>
      </c>
      <c r="G267" s="62"/>
      <c r="H267" s="62"/>
      <c r="I267" s="60"/>
      <c r="J267" s="60"/>
      <c r="K267" s="64"/>
      <c r="L267" s="64"/>
      <c r="M267" s="25"/>
      <c r="N267" s="25"/>
    </row>
    <row r="268" spans="1:14">
      <c r="A268" s="3" t="s">
        <v>494</v>
      </c>
      <c r="B268" s="10" t="s">
        <v>495</v>
      </c>
      <c r="C268" s="5"/>
      <c r="D268" s="5">
        <f t="shared" si="7"/>
        <v>0</v>
      </c>
      <c r="E268" s="6">
        <f t="shared" si="6"/>
        <v>0</v>
      </c>
      <c r="F268" s="6">
        <f t="shared" si="6"/>
        <v>0</v>
      </c>
      <c r="G268" s="62"/>
      <c r="H268" s="62"/>
      <c r="I268" s="60"/>
      <c r="J268" s="60"/>
      <c r="K268" s="64"/>
      <c r="L268" s="64"/>
      <c r="M268" s="25"/>
      <c r="N268" s="25"/>
    </row>
    <row r="269" spans="1:14">
      <c r="A269" s="3" t="s">
        <v>496</v>
      </c>
      <c r="B269" s="10" t="s">
        <v>497</v>
      </c>
      <c r="C269" s="5"/>
      <c r="D269" s="5">
        <f t="shared" si="7"/>
        <v>0</v>
      </c>
      <c r="E269" s="6">
        <f t="shared" si="6"/>
        <v>0</v>
      </c>
      <c r="F269" s="6">
        <f t="shared" si="6"/>
        <v>0</v>
      </c>
      <c r="G269" s="62"/>
      <c r="H269" s="62"/>
      <c r="I269" s="60"/>
      <c r="J269" s="60"/>
      <c r="K269" s="64"/>
      <c r="L269" s="64"/>
      <c r="M269" s="25"/>
      <c r="N269" s="25"/>
    </row>
    <row r="270" spans="1:14">
      <c r="A270" s="3" t="s">
        <v>498</v>
      </c>
      <c r="B270" s="10" t="s">
        <v>499</v>
      </c>
      <c r="C270" s="5"/>
      <c r="D270" s="5">
        <f t="shared" si="7"/>
        <v>0</v>
      </c>
      <c r="E270" s="6">
        <f t="shared" ref="E270:F333" si="8">SUM(G270,I270,K270,M270)</f>
        <v>0</v>
      </c>
      <c r="F270" s="6">
        <f t="shared" si="8"/>
        <v>0</v>
      </c>
      <c r="G270" s="62"/>
      <c r="H270" s="62"/>
      <c r="I270" s="60"/>
      <c r="J270" s="60"/>
      <c r="K270" s="64"/>
      <c r="L270" s="64"/>
      <c r="M270" s="25"/>
      <c r="N270" s="25"/>
    </row>
    <row r="271" spans="1:14">
      <c r="A271" s="3" t="s">
        <v>500</v>
      </c>
      <c r="B271" s="10" t="s">
        <v>501</v>
      </c>
      <c r="C271" s="5"/>
      <c r="D271" s="5">
        <f t="shared" si="7"/>
        <v>0</v>
      </c>
      <c r="E271" s="6">
        <f t="shared" si="8"/>
        <v>0</v>
      </c>
      <c r="F271" s="6">
        <f t="shared" si="8"/>
        <v>0</v>
      </c>
      <c r="G271" s="62"/>
      <c r="H271" s="62"/>
      <c r="I271" s="60"/>
      <c r="J271" s="60"/>
      <c r="K271" s="64"/>
      <c r="L271" s="64"/>
      <c r="M271" s="25"/>
      <c r="N271" s="25"/>
    </row>
    <row r="272" spans="1:14">
      <c r="A272" s="3" t="s">
        <v>502</v>
      </c>
      <c r="B272" s="10" t="s">
        <v>503</v>
      </c>
      <c r="C272" s="5"/>
      <c r="D272" s="5">
        <f t="shared" si="7"/>
        <v>0</v>
      </c>
      <c r="E272" s="6">
        <f t="shared" si="8"/>
        <v>0</v>
      </c>
      <c r="F272" s="6">
        <f t="shared" si="8"/>
        <v>0</v>
      </c>
      <c r="G272" s="62"/>
      <c r="H272" s="62"/>
      <c r="I272" s="60"/>
      <c r="J272" s="60"/>
      <c r="K272" s="64"/>
      <c r="L272" s="64"/>
      <c r="M272" s="25"/>
      <c r="N272" s="25"/>
    </row>
    <row r="273" spans="1:14">
      <c r="A273" s="3" t="s">
        <v>504</v>
      </c>
      <c r="B273" s="10" t="s">
        <v>505</v>
      </c>
      <c r="C273" s="5"/>
      <c r="D273" s="5">
        <f t="shared" si="7"/>
        <v>0</v>
      </c>
      <c r="E273" s="6">
        <f t="shared" si="8"/>
        <v>0</v>
      </c>
      <c r="F273" s="6">
        <f t="shared" si="8"/>
        <v>0</v>
      </c>
      <c r="G273" s="62"/>
      <c r="H273" s="62"/>
      <c r="I273" s="60"/>
      <c r="J273" s="60"/>
      <c r="K273" s="64"/>
      <c r="L273" s="64"/>
      <c r="M273" s="25"/>
      <c r="N273" s="25"/>
    </row>
    <row r="274" spans="1:14">
      <c r="A274" s="3" t="s">
        <v>506</v>
      </c>
      <c r="B274" s="10" t="s">
        <v>507</v>
      </c>
      <c r="C274" s="5"/>
      <c r="D274" s="5">
        <f t="shared" si="7"/>
        <v>0</v>
      </c>
      <c r="E274" s="6">
        <f t="shared" si="8"/>
        <v>0</v>
      </c>
      <c r="F274" s="6">
        <f t="shared" si="8"/>
        <v>0</v>
      </c>
      <c r="G274" s="62"/>
      <c r="H274" s="62"/>
      <c r="I274" s="60"/>
      <c r="J274" s="60"/>
      <c r="K274" s="64"/>
      <c r="L274" s="64"/>
      <c r="M274" s="25"/>
      <c r="N274" s="25"/>
    </row>
    <row r="275" spans="1:14">
      <c r="A275" s="3" t="s">
        <v>508</v>
      </c>
      <c r="B275" s="10" t="s">
        <v>509</v>
      </c>
      <c r="C275" s="5"/>
      <c r="D275" s="5">
        <f t="shared" si="7"/>
        <v>0</v>
      </c>
      <c r="E275" s="6">
        <f t="shared" si="8"/>
        <v>0</v>
      </c>
      <c r="F275" s="6">
        <f t="shared" si="8"/>
        <v>0</v>
      </c>
      <c r="G275" s="62"/>
      <c r="H275" s="62"/>
      <c r="I275" s="60"/>
      <c r="J275" s="60"/>
      <c r="K275" s="64"/>
      <c r="L275" s="64"/>
      <c r="M275" s="25"/>
      <c r="N275" s="25"/>
    </row>
    <row r="276" spans="1:14">
      <c r="A276" s="3" t="s">
        <v>510</v>
      </c>
      <c r="B276" s="10" t="s">
        <v>511</v>
      </c>
      <c r="C276" s="5"/>
      <c r="D276" s="5">
        <f t="shared" si="7"/>
        <v>0</v>
      </c>
      <c r="E276" s="6">
        <f t="shared" si="8"/>
        <v>0</v>
      </c>
      <c r="F276" s="6">
        <f t="shared" si="8"/>
        <v>0</v>
      </c>
      <c r="G276" s="62"/>
      <c r="H276" s="62"/>
      <c r="I276" s="60"/>
      <c r="J276" s="60"/>
      <c r="K276" s="64"/>
      <c r="L276" s="64"/>
      <c r="M276" s="25"/>
      <c r="N276" s="25"/>
    </row>
    <row r="277" spans="1:14">
      <c r="A277" s="3" t="s">
        <v>512</v>
      </c>
      <c r="B277" s="10" t="s">
        <v>513</v>
      </c>
      <c r="C277" s="5"/>
      <c r="D277" s="5">
        <f t="shared" si="7"/>
        <v>0</v>
      </c>
      <c r="E277" s="6">
        <f t="shared" si="8"/>
        <v>0</v>
      </c>
      <c r="F277" s="6">
        <f t="shared" si="8"/>
        <v>0</v>
      </c>
      <c r="G277" s="62"/>
      <c r="H277" s="62"/>
      <c r="I277" s="60"/>
      <c r="J277" s="60"/>
      <c r="K277" s="64"/>
      <c r="L277" s="64"/>
      <c r="M277" s="25"/>
      <c r="N277" s="25"/>
    </row>
    <row r="278" spans="1:14">
      <c r="A278" s="3" t="s">
        <v>514</v>
      </c>
      <c r="B278" s="10" t="s">
        <v>515</v>
      </c>
      <c r="C278" s="5"/>
      <c r="D278" s="5">
        <f t="shared" si="7"/>
        <v>0</v>
      </c>
      <c r="E278" s="6">
        <f t="shared" si="8"/>
        <v>0</v>
      </c>
      <c r="F278" s="6">
        <f t="shared" si="8"/>
        <v>0</v>
      </c>
      <c r="G278" s="62"/>
      <c r="H278" s="62"/>
      <c r="I278" s="60"/>
      <c r="J278" s="60"/>
      <c r="K278" s="64"/>
      <c r="L278" s="64"/>
      <c r="M278" s="25"/>
      <c r="N278" s="25"/>
    </row>
    <row r="279" spans="1:14">
      <c r="A279" s="3" t="s">
        <v>516</v>
      </c>
      <c r="B279" s="10" t="s">
        <v>517</v>
      </c>
      <c r="C279" s="5"/>
      <c r="D279" s="5">
        <f t="shared" si="7"/>
        <v>0</v>
      </c>
      <c r="E279" s="6">
        <f t="shared" si="8"/>
        <v>0</v>
      </c>
      <c r="F279" s="6">
        <f t="shared" si="8"/>
        <v>0</v>
      </c>
      <c r="G279" s="62"/>
      <c r="H279" s="62"/>
      <c r="I279" s="60"/>
      <c r="J279" s="60"/>
      <c r="K279" s="64"/>
      <c r="L279" s="64"/>
      <c r="M279" s="25"/>
      <c r="N279" s="25"/>
    </row>
    <row r="280" spans="1:14">
      <c r="A280" s="3" t="s">
        <v>518</v>
      </c>
      <c r="B280" s="10" t="s">
        <v>519</v>
      </c>
      <c r="C280" s="5"/>
      <c r="D280" s="5">
        <f t="shared" si="7"/>
        <v>0</v>
      </c>
      <c r="E280" s="6">
        <f t="shared" si="8"/>
        <v>0</v>
      </c>
      <c r="F280" s="6">
        <f t="shared" si="8"/>
        <v>0</v>
      </c>
      <c r="G280" s="62"/>
      <c r="H280" s="62"/>
      <c r="I280" s="60"/>
      <c r="J280" s="60"/>
      <c r="K280" s="64"/>
      <c r="L280" s="64"/>
      <c r="M280" s="25"/>
      <c r="N280" s="25"/>
    </row>
    <row r="281" spans="1:14">
      <c r="A281" s="3" t="s">
        <v>520</v>
      </c>
      <c r="B281" s="4" t="s">
        <v>521</v>
      </c>
      <c r="C281" s="5">
        <f t="shared" ref="C281:C344" si="9">E281-F281</f>
        <v>0</v>
      </c>
      <c r="D281" s="5"/>
      <c r="E281" s="6">
        <f t="shared" si="8"/>
        <v>0</v>
      </c>
      <c r="F281" s="6">
        <f t="shared" si="8"/>
        <v>0</v>
      </c>
      <c r="G281" s="62"/>
      <c r="H281" s="62"/>
      <c r="I281" s="60"/>
      <c r="J281" s="60"/>
      <c r="K281" s="64"/>
      <c r="L281" s="64"/>
      <c r="M281" s="25"/>
      <c r="N281" s="25"/>
    </row>
    <row r="282" spans="1:14">
      <c r="A282" s="3" t="s">
        <v>522</v>
      </c>
      <c r="B282" s="4" t="s">
        <v>523</v>
      </c>
      <c r="C282" s="5">
        <f t="shared" si="9"/>
        <v>0</v>
      </c>
      <c r="D282" s="5"/>
      <c r="E282" s="6">
        <f t="shared" si="8"/>
        <v>0</v>
      </c>
      <c r="F282" s="6">
        <f t="shared" si="8"/>
        <v>0</v>
      </c>
      <c r="G282" s="62"/>
      <c r="H282" s="62"/>
      <c r="I282" s="60"/>
      <c r="J282" s="60"/>
      <c r="K282" s="64"/>
      <c r="L282" s="64"/>
      <c r="M282" s="25"/>
      <c r="N282" s="25"/>
    </row>
    <row r="283" spans="1:14">
      <c r="A283" s="3" t="s">
        <v>524</v>
      </c>
      <c r="B283" s="4" t="s">
        <v>525</v>
      </c>
      <c r="C283" s="5">
        <f t="shared" si="9"/>
        <v>0</v>
      </c>
      <c r="D283" s="5"/>
      <c r="E283" s="6">
        <f t="shared" si="8"/>
        <v>0</v>
      </c>
      <c r="F283" s="6">
        <f t="shared" si="8"/>
        <v>0</v>
      </c>
      <c r="G283" s="62"/>
      <c r="H283" s="62"/>
      <c r="I283" s="60"/>
      <c r="J283" s="60"/>
      <c r="K283" s="64"/>
      <c r="L283" s="64"/>
      <c r="M283" s="25"/>
      <c r="N283" s="25"/>
    </row>
    <row r="284" spans="1:14">
      <c r="A284" s="3" t="s">
        <v>526</v>
      </c>
      <c r="B284" s="4" t="s">
        <v>527</v>
      </c>
      <c r="C284" s="5">
        <f t="shared" si="9"/>
        <v>0</v>
      </c>
      <c r="D284" s="5"/>
      <c r="E284" s="6">
        <f t="shared" si="8"/>
        <v>0</v>
      </c>
      <c r="F284" s="6">
        <f t="shared" si="8"/>
        <v>0</v>
      </c>
      <c r="G284" s="62"/>
      <c r="H284" s="62"/>
      <c r="I284" s="60"/>
      <c r="J284" s="60"/>
      <c r="K284" s="64"/>
      <c r="L284" s="64"/>
      <c r="M284" s="25"/>
      <c r="N284" s="25"/>
    </row>
    <row r="285" spans="1:14">
      <c r="A285" s="3" t="s">
        <v>528</v>
      </c>
      <c r="B285" s="4" t="s">
        <v>529</v>
      </c>
      <c r="C285" s="5">
        <f t="shared" si="9"/>
        <v>0</v>
      </c>
      <c r="D285" s="5"/>
      <c r="E285" s="6">
        <f t="shared" si="8"/>
        <v>0</v>
      </c>
      <c r="F285" s="6">
        <f t="shared" si="8"/>
        <v>0</v>
      </c>
      <c r="G285" s="62"/>
      <c r="H285" s="62"/>
      <c r="I285" s="60"/>
      <c r="J285" s="60"/>
      <c r="K285" s="64"/>
      <c r="L285" s="64"/>
      <c r="M285" s="25"/>
      <c r="N285" s="25"/>
    </row>
    <row r="286" spans="1:14">
      <c r="A286" s="3" t="s">
        <v>530</v>
      </c>
      <c r="B286" s="4" t="s">
        <v>531</v>
      </c>
      <c r="C286" s="5">
        <f t="shared" si="9"/>
        <v>0</v>
      </c>
      <c r="D286" s="5"/>
      <c r="E286" s="6">
        <f t="shared" si="8"/>
        <v>0</v>
      </c>
      <c r="F286" s="6">
        <f t="shared" si="8"/>
        <v>0</v>
      </c>
      <c r="G286" s="62"/>
      <c r="H286" s="62"/>
      <c r="I286" s="60"/>
      <c r="J286" s="60"/>
      <c r="K286" s="64"/>
      <c r="L286" s="64"/>
      <c r="M286" s="25"/>
      <c r="N286" s="25"/>
    </row>
    <row r="287" spans="1:14">
      <c r="A287" s="3" t="s">
        <v>532</v>
      </c>
      <c r="B287" s="4" t="s">
        <v>533</v>
      </c>
      <c r="C287" s="5">
        <f t="shared" si="9"/>
        <v>0</v>
      </c>
      <c r="D287" s="5"/>
      <c r="E287" s="6">
        <f t="shared" si="8"/>
        <v>0</v>
      </c>
      <c r="F287" s="6">
        <f t="shared" si="8"/>
        <v>0</v>
      </c>
      <c r="G287" s="62"/>
      <c r="H287" s="62"/>
      <c r="I287" s="60"/>
      <c r="J287" s="60"/>
      <c r="K287" s="64"/>
      <c r="L287" s="64"/>
      <c r="M287" s="25"/>
      <c r="N287" s="25"/>
    </row>
    <row r="288" spans="1:14">
      <c r="A288" s="3" t="s">
        <v>534</v>
      </c>
      <c r="B288" s="4" t="s">
        <v>535</v>
      </c>
      <c r="C288" s="5">
        <f t="shared" si="9"/>
        <v>0</v>
      </c>
      <c r="D288" s="5"/>
      <c r="E288" s="6">
        <f t="shared" si="8"/>
        <v>0</v>
      </c>
      <c r="F288" s="6">
        <f t="shared" si="8"/>
        <v>0</v>
      </c>
      <c r="G288" s="62"/>
      <c r="H288" s="62"/>
      <c r="I288" s="60"/>
      <c r="J288" s="60"/>
      <c r="K288" s="64"/>
      <c r="L288" s="64"/>
      <c r="M288" s="25"/>
      <c r="N288" s="25"/>
    </row>
    <row r="289" spans="1:14">
      <c r="A289" s="3" t="s">
        <v>536</v>
      </c>
      <c r="B289" s="4" t="s">
        <v>537</v>
      </c>
      <c r="C289" s="5">
        <f t="shared" si="9"/>
        <v>0</v>
      </c>
      <c r="D289" s="5"/>
      <c r="E289" s="6">
        <f t="shared" si="8"/>
        <v>0</v>
      </c>
      <c r="F289" s="6">
        <f t="shared" si="8"/>
        <v>0</v>
      </c>
      <c r="G289" s="62"/>
      <c r="H289" s="62"/>
      <c r="I289" s="60"/>
      <c r="J289" s="60"/>
      <c r="K289" s="64"/>
      <c r="L289" s="64"/>
      <c r="M289" s="25"/>
      <c r="N289" s="25"/>
    </row>
    <row r="290" spans="1:14">
      <c r="A290" s="3" t="s">
        <v>538</v>
      </c>
      <c r="B290" s="4" t="s">
        <v>539</v>
      </c>
      <c r="C290" s="5">
        <f t="shared" si="9"/>
        <v>0</v>
      </c>
      <c r="D290" s="5"/>
      <c r="E290" s="6">
        <f t="shared" si="8"/>
        <v>0</v>
      </c>
      <c r="F290" s="6">
        <f t="shared" si="8"/>
        <v>0</v>
      </c>
      <c r="G290" s="62"/>
      <c r="H290" s="62"/>
      <c r="I290" s="60"/>
      <c r="J290" s="60"/>
      <c r="K290" s="64"/>
      <c r="L290" s="64"/>
      <c r="M290" s="25"/>
      <c r="N290" s="25"/>
    </row>
    <row r="291" spans="1:14">
      <c r="A291" s="3" t="s">
        <v>540</v>
      </c>
      <c r="B291" s="4" t="s">
        <v>541</v>
      </c>
      <c r="C291" s="5">
        <f t="shared" si="9"/>
        <v>0</v>
      </c>
      <c r="D291" s="5"/>
      <c r="E291" s="6">
        <f t="shared" si="8"/>
        <v>0</v>
      </c>
      <c r="F291" s="6">
        <f t="shared" si="8"/>
        <v>0</v>
      </c>
      <c r="G291" s="62"/>
      <c r="H291" s="62"/>
      <c r="I291" s="60"/>
      <c r="J291" s="60"/>
      <c r="K291" s="64"/>
      <c r="L291" s="64"/>
      <c r="M291" s="25"/>
      <c r="N291" s="25"/>
    </row>
    <row r="292" spans="1:14">
      <c r="A292" s="3" t="s">
        <v>542</v>
      </c>
      <c r="B292" s="4" t="s">
        <v>543</v>
      </c>
      <c r="C292" s="5">
        <f t="shared" si="9"/>
        <v>0</v>
      </c>
      <c r="D292" s="5"/>
      <c r="E292" s="6">
        <f t="shared" si="8"/>
        <v>0</v>
      </c>
      <c r="F292" s="6">
        <f t="shared" si="8"/>
        <v>0</v>
      </c>
      <c r="G292" s="62"/>
      <c r="H292" s="62"/>
      <c r="I292" s="60"/>
      <c r="J292" s="60"/>
      <c r="K292" s="64"/>
      <c r="L292" s="64"/>
      <c r="M292" s="25"/>
      <c r="N292" s="25"/>
    </row>
    <row r="293" spans="1:14">
      <c r="A293" s="3" t="s">
        <v>544</v>
      </c>
      <c r="B293" s="4" t="s">
        <v>545</v>
      </c>
      <c r="C293" s="5">
        <f t="shared" si="9"/>
        <v>0</v>
      </c>
      <c r="D293" s="5"/>
      <c r="E293" s="6">
        <f t="shared" si="8"/>
        <v>0</v>
      </c>
      <c r="F293" s="6">
        <f t="shared" si="8"/>
        <v>0</v>
      </c>
      <c r="G293" s="62"/>
      <c r="H293" s="62"/>
      <c r="I293" s="60"/>
      <c r="J293" s="60"/>
      <c r="K293" s="64"/>
      <c r="L293" s="64"/>
      <c r="M293" s="25"/>
      <c r="N293" s="25"/>
    </row>
    <row r="294" spans="1:14">
      <c r="A294" s="3" t="s">
        <v>546</v>
      </c>
      <c r="B294" s="4" t="s">
        <v>547</v>
      </c>
      <c r="C294" s="5">
        <f t="shared" si="9"/>
        <v>0</v>
      </c>
      <c r="D294" s="5"/>
      <c r="E294" s="6">
        <f t="shared" si="8"/>
        <v>0</v>
      </c>
      <c r="F294" s="6">
        <f t="shared" si="8"/>
        <v>0</v>
      </c>
      <c r="G294" s="62"/>
      <c r="H294" s="62"/>
      <c r="I294" s="60"/>
      <c r="J294" s="60"/>
      <c r="K294" s="64"/>
      <c r="L294" s="64"/>
      <c r="M294" s="25"/>
      <c r="N294" s="25"/>
    </row>
    <row r="295" spans="1:14">
      <c r="A295" s="3" t="s">
        <v>548</v>
      </c>
      <c r="B295" s="4" t="s">
        <v>549</v>
      </c>
      <c r="C295" s="5">
        <f t="shared" si="9"/>
        <v>0</v>
      </c>
      <c r="D295" s="5"/>
      <c r="E295" s="6">
        <f t="shared" si="8"/>
        <v>0</v>
      </c>
      <c r="F295" s="6">
        <f t="shared" si="8"/>
        <v>0</v>
      </c>
      <c r="G295" s="62"/>
      <c r="H295" s="62"/>
      <c r="I295" s="60"/>
      <c r="J295" s="60"/>
      <c r="K295" s="64"/>
      <c r="L295" s="64"/>
      <c r="M295" s="25"/>
      <c r="N295" s="25"/>
    </row>
    <row r="296" spans="1:14">
      <c r="A296" s="3" t="s">
        <v>550</v>
      </c>
      <c r="B296" s="4" t="s">
        <v>551</v>
      </c>
      <c r="C296" s="5">
        <f t="shared" si="9"/>
        <v>0</v>
      </c>
      <c r="D296" s="5"/>
      <c r="E296" s="6">
        <f t="shared" si="8"/>
        <v>0</v>
      </c>
      <c r="F296" s="6">
        <f t="shared" si="8"/>
        <v>0</v>
      </c>
      <c r="G296" s="62"/>
      <c r="H296" s="62"/>
      <c r="I296" s="60"/>
      <c r="J296" s="60"/>
      <c r="K296" s="64"/>
      <c r="L296" s="64"/>
      <c r="M296" s="25"/>
      <c r="N296" s="25"/>
    </row>
    <row r="297" spans="1:14">
      <c r="A297" s="3" t="s">
        <v>552</v>
      </c>
      <c r="B297" s="4" t="s">
        <v>553</v>
      </c>
      <c r="C297" s="5">
        <f t="shared" si="9"/>
        <v>0</v>
      </c>
      <c r="D297" s="5"/>
      <c r="E297" s="6">
        <f t="shared" si="8"/>
        <v>0</v>
      </c>
      <c r="F297" s="6">
        <f t="shared" si="8"/>
        <v>0</v>
      </c>
      <c r="G297" s="62"/>
      <c r="H297" s="62"/>
      <c r="I297" s="60"/>
      <c r="J297" s="60"/>
      <c r="K297" s="64"/>
      <c r="L297" s="64"/>
      <c r="M297" s="25"/>
      <c r="N297" s="25"/>
    </row>
    <row r="298" spans="1:14">
      <c r="A298" s="3" t="s">
        <v>554</v>
      </c>
      <c r="B298" s="4" t="s">
        <v>555</v>
      </c>
      <c r="C298" s="5">
        <f t="shared" si="9"/>
        <v>0</v>
      </c>
      <c r="D298" s="5"/>
      <c r="E298" s="6">
        <f t="shared" si="8"/>
        <v>0</v>
      </c>
      <c r="F298" s="6">
        <f t="shared" si="8"/>
        <v>0</v>
      </c>
      <c r="G298" s="62"/>
      <c r="H298" s="62"/>
      <c r="I298" s="60"/>
      <c r="J298" s="60"/>
      <c r="K298" s="64"/>
      <c r="L298" s="64"/>
      <c r="M298" s="25"/>
      <c r="N298" s="25"/>
    </row>
    <row r="299" spans="1:14">
      <c r="A299" s="3" t="s">
        <v>556</v>
      </c>
      <c r="B299" s="4" t="s">
        <v>557</v>
      </c>
      <c r="C299" s="5">
        <f t="shared" si="9"/>
        <v>0</v>
      </c>
      <c r="D299" s="5"/>
      <c r="E299" s="6">
        <f t="shared" si="8"/>
        <v>0</v>
      </c>
      <c r="F299" s="6">
        <f t="shared" si="8"/>
        <v>0</v>
      </c>
      <c r="G299" s="62"/>
      <c r="H299" s="62"/>
      <c r="I299" s="60"/>
      <c r="J299" s="60"/>
      <c r="K299" s="64"/>
      <c r="L299" s="64"/>
      <c r="M299" s="25"/>
      <c r="N299" s="25"/>
    </row>
    <row r="300" spans="1:14">
      <c r="A300" s="3" t="s">
        <v>558</v>
      </c>
      <c r="B300" s="4" t="s">
        <v>559</v>
      </c>
      <c r="C300" s="5">
        <f t="shared" si="9"/>
        <v>0</v>
      </c>
      <c r="D300" s="5"/>
      <c r="E300" s="6">
        <f t="shared" si="8"/>
        <v>0</v>
      </c>
      <c r="F300" s="6">
        <f t="shared" si="8"/>
        <v>0</v>
      </c>
      <c r="G300" s="62"/>
      <c r="H300" s="62"/>
      <c r="I300" s="60"/>
      <c r="J300" s="60"/>
      <c r="K300" s="64"/>
      <c r="L300" s="64"/>
      <c r="M300" s="25"/>
      <c r="N300" s="25"/>
    </row>
    <row r="301" spans="1:14">
      <c r="A301" s="3" t="s">
        <v>560</v>
      </c>
      <c r="B301" s="4" t="s">
        <v>561</v>
      </c>
      <c r="C301" s="5">
        <f t="shared" si="9"/>
        <v>0</v>
      </c>
      <c r="D301" s="5"/>
      <c r="E301" s="6">
        <f t="shared" si="8"/>
        <v>0</v>
      </c>
      <c r="F301" s="6">
        <f t="shared" si="8"/>
        <v>0</v>
      </c>
      <c r="G301" s="62"/>
      <c r="H301" s="62"/>
      <c r="I301" s="60"/>
      <c r="J301" s="60"/>
      <c r="K301" s="64"/>
      <c r="L301" s="64"/>
      <c r="M301" s="25"/>
      <c r="N301" s="25"/>
    </row>
    <row r="302" spans="1:14">
      <c r="A302" s="3" t="s">
        <v>562</v>
      </c>
      <c r="B302" s="4" t="s">
        <v>563</v>
      </c>
      <c r="C302" s="5">
        <f t="shared" si="9"/>
        <v>0</v>
      </c>
      <c r="D302" s="5"/>
      <c r="E302" s="6">
        <f t="shared" si="8"/>
        <v>0</v>
      </c>
      <c r="F302" s="6">
        <f t="shared" si="8"/>
        <v>0</v>
      </c>
      <c r="G302" s="62"/>
      <c r="H302" s="62"/>
      <c r="I302" s="60"/>
      <c r="J302" s="60"/>
      <c r="K302" s="64"/>
      <c r="L302" s="64"/>
      <c r="M302" s="25"/>
      <c r="N302" s="25"/>
    </row>
    <row r="303" spans="1:14">
      <c r="A303" s="3" t="s">
        <v>564</v>
      </c>
      <c r="B303" s="4" t="s">
        <v>565</v>
      </c>
      <c r="C303" s="5">
        <f t="shared" si="9"/>
        <v>0</v>
      </c>
      <c r="D303" s="5"/>
      <c r="E303" s="6">
        <f t="shared" si="8"/>
        <v>0</v>
      </c>
      <c r="F303" s="6">
        <f t="shared" si="8"/>
        <v>0</v>
      </c>
      <c r="G303" s="62"/>
      <c r="H303" s="62"/>
      <c r="I303" s="60"/>
      <c r="J303" s="60"/>
      <c r="K303" s="64"/>
      <c r="L303" s="64"/>
      <c r="M303" s="25"/>
      <c r="N303" s="25"/>
    </row>
    <row r="304" spans="1:14">
      <c r="A304" s="3" t="s">
        <v>566</v>
      </c>
      <c r="B304" s="4" t="s">
        <v>567</v>
      </c>
      <c r="C304" s="5">
        <f t="shared" si="9"/>
        <v>0</v>
      </c>
      <c r="D304" s="5"/>
      <c r="E304" s="6">
        <f t="shared" si="8"/>
        <v>0</v>
      </c>
      <c r="F304" s="6">
        <f t="shared" si="8"/>
        <v>0</v>
      </c>
      <c r="G304" s="62"/>
      <c r="H304" s="62"/>
      <c r="I304" s="60"/>
      <c r="J304" s="60"/>
      <c r="K304" s="64"/>
      <c r="L304" s="64"/>
      <c r="M304" s="25"/>
      <c r="N304" s="25"/>
    </row>
    <row r="305" spans="1:14">
      <c r="A305" s="3" t="s">
        <v>568</v>
      </c>
      <c r="B305" s="4" t="s">
        <v>569</v>
      </c>
      <c r="C305" s="5">
        <f t="shared" si="9"/>
        <v>0</v>
      </c>
      <c r="D305" s="5"/>
      <c r="E305" s="6">
        <f t="shared" si="8"/>
        <v>0</v>
      </c>
      <c r="F305" s="6">
        <f t="shared" si="8"/>
        <v>0</v>
      </c>
      <c r="G305" s="62"/>
      <c r="H305" s="62"/>
      <c r="I305" s="60"/>
      <c r="J305" s="60"/>
      <c r="K305" s="64"/>
      <c r="L305" s="64"/>
      <c r="M305" s="25"/>
      <c r="N305" s="25"/>
    </row>
    <row r="306" spans="1:14">
      <c r="A306" s="3" t="s">
        <v>570</v>
      </c>
      <c r="B306" s="4" t="s">
        <v>571</v>
      </c>
      <c r="C306" s="5">
        <f t="shared" si="9"/>
        <v>0</v>
      </c>
      <c r="D306" s="5"/>
      <c r="E306" s="6">
        <f t="shared" si="8"/>
        <v>0</v>
      </c>
      <c r="F306" s="6">
        <f t="shared" si="8"/>
        <v>0</v>
      </c>
      <c r="G306" s="62"/>
      <c r="H306" s="62"/>
      <c r="I306" s="60"/>
      <c r="J306" s="60"/>
      <c r="K306" s="64"/>
      <c r="L306" s="64"/>
      <c r="M306" s="25"/>
      <c r="N306" s="25"/>
    </row>
    <row r="307" spans="1:14">
      <c r="A307" s="3" t="s">
        <v>572</v>
      </c>
      <c r="B307" s="4" t="s">
        <v>573</v>
      </c>
      <c r="C307" s="5">
        <f t="shared" si="9"/>
        <v>0</v>
      </c>
      <c r="D307" s="5"/>
      <c r="E307" s="6">
        <f t="shared" si="8"/>
        <v>0</v>
      </c>
      <c r="F307" s="6">
        <f t="shared" si="8"/>
        <v>0</v>
      </c>
      <c r="G307" s="62"/>
      <c r="H307" s="62"/>
      <c r="I307" s="60"/>
      <c r="J307" s="60"/>
      <c r="K307" s="64"/>
      <c r="L307" s="64"/>
      <c r="M307" s="25"/>
      <c r="N307" s="25"/>
    </row>
    <row r="308" spans="1:14">
      <c r="A308" s="3" t="s">
        <v>574</v>
      </c>
      <c r="B308" s="4" t="s">
        <v>575</v>
      </c>
      <c r="C308" s="5">
        <f t="shared" si="9"/>
        <v>0</v>
      </c>
      <c r="D308" s="5"/>
      <c r="E308" s="6">
        <f t="shared" si="8"/>
        <v>0</v>
      </c>
      <c r="F308" s="6">
        <f t="shared" si="8"/>
        <v>0</v>
      </c>
      <c r="G308" s="62"/>
      <c r="H308" s="62"/>
      <c r="I308" s="60"/>
      <c r="J308" s="60"/>
      <c r="K308" s="64"/>
      <c r="L308" s="64"/>
      <c r="M308" s="25"/>
      <c r="N308" s="25"/>
    </row>
    <row r="309" spans="1:14">
      <c r="A309" s="3" t="s">
        <v>576</v>
      </c>
      <c r="B309" s="4" t="s">
        <v>577</v>
      </c>
      <c r="C309" s="5">
        <f t="shared" si="9"/>
        <v>0</v>
      </c>
      <c r="D309" s="5"/>
      <c r="E309" s="6">
        <f t="shared" si="8"/>
        <v>0</v>
      </c>
      <c r="F309" s="6">
        <f t="shared" si="8"/>
        <v>0</v>
      </c>
      <c r="G309" s="62"/>
      <c r="H309" s="62"/>
      <c r="I309" s="60"/>
      <c r="J309" s="60"/>
      <c r="K309" s="64"/>
      <c r="L309" s="64"/>
      <c r="M309" s="25"/>
      <c r="N309" s="25"/>
    </row>
    <row r="310" spans="1:14">
      <c r="A310" s="3" t="s">
        <v>578</v>
      </c>
      <c r="B310" s="4" t="s">
        <v>579</v>
      </c>
      <c r="C310" s="5">
        <f t="shared" si="9"/>
        <v>0</v>
      </c>
      <c r="D310" s="5"/>
      <c r="E310" s="6">
        <f t="shared" si="8"/>
        <v>0</v>
      </c>
      <c r="F310" s="6">
        <f t="shared" si="8"/>
        <v>0</v>
      </c>
      <c r="G310" s="62"/>
      <c r="H310" s="62"/>
      <c r="I310" s="60"/>
      <c r="J310" s="60"/>
      <c r="K310" s="64"/>
      <c r="L310" s="64"/>
      <c r="M310" s="25"/>
      <c r="N310" s="25"/>
    </row>
    <row r="311" spans="1:14">
      <c r="A311" s="3" t="s">
        <v>580</v>
      </c>
      <c r="B311" s="4" t="s">
        <v>581</v>
      </c>
      <c r="C311" s="5">
        <f t="shared" si="9"/>
        <v>0</v>
      </c>
      <c r="D311" s="5"/>
      <c r="E311" s="6">
        <f t="shared" si="8"/>
        <v>0</v>
      </c>
      <c r="F311" s="6">
        <f t="shared" si="8"/>
        <v>0</v>
      </c>
      <c r="G311" s="62"/>
      <c r="H311" s="62"/>
      <c r="I311" s="60"/>
      <c r="J311" s="60"/>
      <c r="K311" s="64"/>
      <c r="L311" s="64"/>
      <c r="M311" s="25"/>
      <c r="N311" s="25"/>
    </row>
    <row r="312" spans="1:14">
      <c r="A312" s="3" t="s">
        <v>582</v>
      </c>
      <c r="B312" s="4" t="s">
        <v>583</v>
      </c>
      <c r="C312" s="5">
        <f t="shared" si="9"/>
        <v>0</v>
      </c>
      <c r="D312" s="5"/>
      <c r="E312" s="6">
        <f t="shared" si="8"/>
        <v>0</v>
      </c>
      <c r="F312" s="6">
        <f t="shared" si="8"/>
        <v>0</v>
      </c>
      <c r="G312" s="62"/>
      <c r="H312" s="62"/>
      <c r="I312" s="60"/>
      <c r="J312" s="60"/>
      <c r="K312" s="64"/>
      <c r="L312" s="64"/>
      <c r="M312" s="25"/>
      <c r="N312" s="25"/>
    </row>
    <row r="313" spans="1:14">
      <c r="A313" s="3" t="s">
        <v>584</v>
      </c>
      <c r="B313" s="4" t="s">
        <v>585</v>
      </c>
      <c r="C313" s="5">
        <f t="shared" si="9"/>
        <v>0</v>
      </c>
      <c r="D313" s="5"/>
      <c r="E313" s="6">
        <f t="shared" si="8"/>
        <v>0</v>
      </c>
      <c r="F313" s="6">
        <f t="shared" si="8"/>
        <v>0</v>
      </c>
      <c r="G313" s="62"/>
      <c r="H313" s="62"/>
      <c r="I313" s="60"/>
      <c r="J313" s="60"/>
      <c r="K313" s="64"/>
      <c r="L313" s="64"/>
      <c r="M313" s="25"/>
      <c r="N313" s="25"/>
    </row>
    <row r="314" spans="1:14">
      <c r="A314" s="3" t="s">
        <v>586</v>
      </c>
      <c r="B314" s="4" t="s">
        <v>587</v>
      </c>
      <c r="C314" s="5">
        <f t="shared" si="9"/>
        <v>0</v>
      </c>
      <c r="D314" s="5"/>
      <c r="E314" s="6">
        <f t="shared" si="8"/>
        <v>0</v>
      </c>
      <c r="F314" s="6">
        <f t="shared" si="8"/>
        <v>0</v>
      </c>
      <c r="G314" s="62"/>
      <c r="H314" s="62"/>
      <c r="I314" s="60"/>
      <c r="J314" s="60"/>
      <c r="K314" s="64"/>
      <c r="L314" s="64"/>
      <c r="M314" s="25"/>
      <c r="N314" s="25"/>
    </row>
    <row r="315" spans="1:14">
      <c r="A315" s="3" t="s">
        <v>588</v>
      </c>
      <c r="B315" s="4" t="s">
        <v>589</v>
      </c>
      <c r="C315" s="5">
        <f t="shared" si="9"/>
        <v>0</v>
      </c>
      <c r="D315" s="5"/>
      <c r="E315" s="6">
        <f t="shared" si="8"/>
        <v>0</v>
      </c>
      <c r="F315" s="6">
        <f t="shared" si="8"/>
        <v>0</v>
      </c>
      <c r="G315" s="62"/>
      <c r="H315" s="62"/>
      <c r="I315" s="60"/>
      <c r="J315" s="60"/>
      <c r="K315" s="64"/>
      <c r="L315" s="64"/>
      <c r="M315" s="25"/>
      <c r="N315" s="25"/>
    </row>
    <row r="316" spans="1:14">
      <c r="A316" s="3" t="s">
        <v>590</v>
      </c>
      <c r="B316" s="4" t="s">
        <v>591</v>
      </c>
      <c r="C316" s="5">
        <f t="shared" si="9"/>
        <v>0</v>
      </c>
      <c r="D316" s="5"/>
      <c r="E316" s="6">
        <f t="shared" si="8"/>
        <v>0</v>
      </c>
      <c r="F316" s="6">
        <f t="shared" si="8"/>
        <v>0</v>
      </c>
      <c r="G316" s="62"/>
      <c r="H316" s="62"/>
      <c r="I316" s="60"/>
      <c r="J316" s="60"/>
      <c r="K316" s="64"/>
      <c r="L316" s="64"/>
      <c r="M316" s="25"/>
      <c r="N316" s="25"/>
    </row>
    <row r="317" spans="1:14">
      <c r="A317" s="3" t="s">
        <v>592</v>
      </c>
      <c r="B317" s="4" t="s">
        <v>593</v>
      </c>
      <c r="C317" s="5">
        <f t="shared" si="9"/>
        <v>0</v>
      </c>
      <c r="D317" s="5"/>
      <c r="E317" s="6">
        <f t="shared" si="8"/>
        <v>0</v>
      </c>
      <c r="F317" s="6">
        <f t="shared" si="8"/>
        <v>0</v>
      </c>
      <c r="G317" s="62"/>
      <c r="H317" s="62"/>
      <c r="I317" s="60"/>
      <c r="J317" s="60"/>
      <c r="K317" s="64"/>
      <c r="L317" s="64"/>
      <c r="M317" s="25"/>
      <c r="N317" s="25"/>
    </row>
    <row r="318" spans="1:14">
      <c r="A318" s="3" t="s">
        <v>594</v>
      </c>
      <c r="B318" s="4" t="s">
        <v>595</v>
      </c>
      <c r="C318" s="5">
        <f t="shared" si="9"/>
        <v>0</v>
      </c>
      <c r="D318" s="5"/>
      <c r="E318" s="6">
        <f t="shared" si="8"/>
        <v>0</v>
      </c>
      <c r="F318" s="6">
        <f t="shared" si="8"/>
        <v>0</v>
      </c>
      <c r="G318" s="62"/>
      <c r="H318" s="62"/>
      <c r="I318" s="60"/>
      <c r="J318" s="60"/>
      <c r="K318" s="64"/>
      <c r="L318" s="64"/>
      <c r="M318" s="25"/>
      <c r="N318" s="25"/>
    </row>
    <row r="319" spans="1:14">
      <c r="A319" s="3" t="s">
        <v>596</v>
      </c>
      <c r="B319" s="4" t="s">
        <v>597</v>
      </c>
      <c r="C319" s="5">
        <f t="shared" si="9"/>
        <v>0</v>
      </c>
      <c r="D319" s="5"/>
      <c r="E319" s="6">
        <f t="shared" si="8"/>
        <v>0</v>
      </c>
      <c r="F319" s="6">
        <f t="shared" si="8"/>
        <v>0</v>
      </c>
      <c r="G319" s="62"/>
      <c r="H319" s="62"/>
      <c r="I319" s="60"/>
      <c r="J319" s="60"/>
      <c r="K319" s="64"/>
      <c r="L319" s="64"/>
      <c r="M319" s="25"/>
      <c r="N319" s="25"/>
    </row>
    <row r="320" spans="1:14">
      <c r="A320" s="3" t="s">
        <v>598</v>
      </c>
      <c r="B320" s="4" t="s">
        <v>599</v>
      </c>
      <c r="C320" s="5">
        <f t="shared" si="9"/>
        <v>0</v>
      </c>
      <c r="D320" s="5"/>
      <c r="E320" s="6">
        <f t="shared" si="8"/>
        <v>0</v>
      </c>
      <c r="F320" s="6">
        <f t="shared" si="8"/>
        <v>0</v>
      </c>
      <c r="G320" s="62"/>
      <c r="H320" s="62"/>
      <c r="I320" s="60"/>
      <c r="J320" s="60"/>
      <c r="K320" s="64"/>
      <c r="L320" s="64"/>
      <c r="M320" s="25"/>
      <c r="N320" s="25"/>
    </row>
    <row r="321" spans="1:14">
      <c r="A321" s="3" t="s">
        <v>600</v>
      </c>
      <c r="B321" s="4" t="s">
        <v>601</v>
      </c>
      <c r="C321" s="5">
        <f t="shared" si="9"/>
        <v>0</v>
      </c>
      <c r="D321" s="5"/>
      <c r="E321" s="6">
        <f t="shared" si="8"/>
        <v>0</v>
      </c>
      <c r="F321" s="6">
        <f t="shared" si="8"/>
        <v>0</v>
      </c>
      <c r="G321" s="62"/>
      <c r="H321" s="62"/>
      <c r="I321" s="60"/>
      <c r="J321" s="60"/>
      <c r="K321" s="64"/>
      <c r="L321" s="64"/>
      <c r="M321" s="25"/>
      <c r="N321" s="25"/>
    </row>
    <row r="322" spans="1:14">
      <c r="A322" s="3" t="s">
        <v>602</v>
      </c>
      <c r="B322" s="4" t="s">
        <v>603</v>
      </c>
      <c r="C322" s="5">
        <f t="shared" si="9"/>
        <v>0</v>
      </c>
      <c r="D322" s="5"/>
      <c r="E322" s="6">
        <f t="shared" si="8"/>
        <v>0</v>
      </c>
      <c r="F322" s="6">
        <f t="shared" si="8"/>
        <v>0</v>
      </c>
      <c r="G322" s="62"/>
      <c r="H322" s="62"/>
      <c r="I322" s="60"/>
      <c r="J322" s="60"/>
      <c r="K322" s="64"/>
      <c r="L322" s="64"/>
      <c r="M322" s="25"/>
      <c r="N322" s="25"/>
    </row>
    <row r="323" spans="1:14">
      <c r="A323" s="3" t="s">
        <v>604</v>
      </c>
      <c r="B323" s="4" t="s">
        <v>605</v>
      </c>
      <c r="C323" s="5">
        <f t="shared" si="9"/>
        <v>0</v>
      </c>
      <c r="D323" s="5"/>
      <c r="E323" s="6">
        <f t="shared" si="8"/>
        <v>0</v>
      </c>
      <c r="F323" s="6">
        <f t="shared" si="8"/>
        <v>0</v>
      </c>
      <c r="G323" s="62"/>
      <c r="H323" s="62"/>
      <c r="I323" s="60"/>
      <c r="J323" s="60"/>
      <c r="K323" s="64"/>
      <c r="L323" s="64"/>
      <c r="M323" s="25"/>
      <c r="N323" s="25"/>
    </row>
    <row r="324" spans="1:14" s="70" customFormat="1">
      <c r="A324" s="3" t="s">
        <v>606</v>
      </c>
      <c r="B324" s="4" t="s">
        <v>607</v>
      </c>
      <c r="C324" s="5">
        <f t="shared" si="9"/>
        <v>0</v>
      </c>
      <c r="D324" s="5"/>
      <c r="E324" s="6">
        <f t="shared" si="8"/>
        <v>0</v>
      </c>
      <c r="F324" s="6">
        <f t="shared" si="8"/>
        <v>0</v>
      </c>
      <c r="G324" s="62"/>
      <c r="H324" s="62"/>
      <c r="I324" s="60"/>
      <c r="J324" s="60"/>
      <c r="K324" s="64"/>
      <c r="L324" s="64"/>
      <c r="M324" s="25"/>
      <c r="N324" s="25"/>
    </row>
    <row r="325" spans="1:14" s="70" customFormat="1">
      <c r="A325" s="3" t="s">
        <v>608</v>
      </c>
      <c r="B325" s="4" t="s">
        <v>609</v>
      </c>
      <c r="C325" s="5">
        <f t="shared" si="9"/>
        <v>0</v>
      </c>
      <c r="D325" s="5"/>
      <c r="E325" s="6">
        <f t="shared" si="8"/>
        <v>0</v>
      </c>
      <c r="F325" s="6">
        <f t="shared" si="8"/>
        <v>0</v>
      </c>
      <c r="G325" s="62"/>
      <c r="H325" s="62"/>
      <c r="I325" s="60"/>
      <c r="J325" s="60"/>
      <c r="K325" s="64"/>
      <c r="L325" s="64"/>
      <c r="M325" s="25"/>
      <c r="N325" s="25"/>
    </row>
    <row r="326" spans="1:14" s="70" customFormat="1">
      <c r="A326" s="3" t="s">
        <v>610</v>
      </c>
      <c r="B326" s="4" t="s">
        <v>611</v>
      </c>
      <c r="C326" s="5">
        <f t="shared" si="9"/>
        <v>0</v>
      </c>
      <c r="D326" s="5"/>
      <c r="E326" s="6">
        <f t="shared" si="8"/>
        <v>0</v>
      </c>
      <c r="F326" s="6">
        <f t="shared" si="8"/>
        <v>0</v>
      </c>
      <c r="G326" s="62"/>
      <c r="H326" s="62"/>
      <c r="I326" s="60"/>
      <c r="J326" s="60"/>
      <c r="K326" s="64"/>
      <c r="L326" s="64"/>
      <c r="M326" s="25"/>
      <c r="N326" s="25"/>
    </row>
    <row r="327" spans="1:14" s="70" customFormat="1">
      <c r="A327" s="3" t="s">
        <v>612</v>
      </c>
      <c r="B327" s="4" t="s">
        <v>613</v>
      </c>
      <c r="C327" s="5">
        <f t="shared" si="9"/>
        <v>0</v>
      </c>
      <c r="D327" s="5"/>
      <c r="E327" s="6">
        <f t="shared" si="8"/>
        <v>0</v>
      </c>
      <c r="F327" s="6">
        <f t="shared" si="8"/>
        <v>0</v>
      </c>
      <c r="G327" s="62"/>
      <c r="H327" s="62"/>
      <c r="I327" s="60"/>
      <c r="J327" s="60"/>
      <c r="K327" s="64"/>
      <c r="L327" s="64"/>
      <c r="M327" s="25"/>
      <c r="N327" s="25"/>
    </row>
    <row r="328" spans="1:14" s="1" customFormat="1">
      <c r="A328" s="3" t="s">
        <v>614</v>
      </c>
      <c r="B328" s="4" t="s">
        <v>615</v>
      </c>
      <c r="C328" s="5">
        <f t="shared" si="9"/>
        <v>0</v>
      </c>
      <c r="D328" s="5"/>
      <c r="E328" s="6">
        <f t="shared" si="8"/>
        <v>0</v>
      </c>
      <c r="F328" s="6">
        <f t="shared" si="8"/>
        <v>0</v>
      </c>
      <c r="G328" s="62"/>
      <c r="H328" s="62"/>
      <c r="I328" s="60"/>
      <c r="J328" s="60"/>
      <c r="K328" s="64"/>
      <c r="L328" s="64"/>
      <c r="M328" s="25"/>
      <c r="N328" s="25"/>
    </row>
    <row r="329" spans="1:14" s="70" customFormat="1">
      <c r="A329" s="3" t="s">
        <v>616</v>
      </c>
      <c r="B329" s="4" t="s">
        <v>617</v>
      </c>
      <c r="C329" s="5">
        <f t="shared" si="9"/>
        <v>0</v>
      </c>
      <c r="D329" s="5"/>
      <c r="E329" s="6">
        <f t="shared" si="8"/>
        <v>0</v>
      </c>
      <c r="F329" s="6">
        <f t="shared" si="8"/>
        <v>0</v>
      </c>
      <c r="G329" s="62"/>
      <c r="H329" s="62"/>
      <c r="I329" s="60"/>
      <c r="J329" s="60"/>
      <c r="K329" s="64"/>
      <c r="L329" s="64"/>
      <c r="M329" s="25"/>
      <c r="N329" s="25"/>
    </row>
    <row r="330" spans="1:14" s="70" customFormat="1">
      <c r="A330" s="3" t="s">
        <v>618</v>
      </c>
      <c r="B330" s="4" t="s">
        <v>619</v>
      </c>
      <c r="C330" s="5">
        <f t="shared" si="9"/>
        <v>0</v>
      </c>
      <c r="D330" s="5"/>
      <c r="E330" s="6">
        <f t="shared" si="8"/>
        <v>0</v>
      </c>
      <c r="F330" s="6">
        <f t="shared" si="8"/>
        <v>0</v>
      </c>
      <c r="G330" s="62"/>
      <c r="H330" s="62"/>
      <c r="I330" s="60"/>
      <c r="J330" s="60"/>
      <c r="K330" s="64"/>
      <c r="L330" s="64"/>
      <c r="M330" s="25"/>
      <c r="N330" s="25"/>
    </row>
    <row r="331" spans="1:14" s="70" customFormat="1">
      <c r="A331" s="11" t="s">
        <v>620</v>
      </c>
      <c r="B331" s="12" t="s">
        <v>621</v>
      </c>
      <c r="C331" s="5">
        <f t="shared" si="9"/>
        <v>0</v>
      </c>
      <c r="D331" s="5"/>
      <c r="E331" s="6">
        <f t="shared" si="8"/>
        <v>0</v>
      </c>
      <c r="F331" s="6">
        <f t="shared" si="8"/>
        <v>0</v>
      </c>
      <c r="G331" s="62"/>
      <c r="H331" s="62"/>
      <c r="I331" s="60"/>
      <c r="J331" s="60"/>
      <c r="K331" s="64"/>
      <c r="L331" s="64"/>
      <c r="M331" s="25"/>
      <c r="N331" s="25"/>
    </row>
    <row r="332" spans="1:14" s="70" customFormat="1">
      <c r="A332" s="3" t="s">
        <v>622</v>
      </c>
      <c r="B332" s="4" t="s">
        <v>623</v>
      </c>
      <c r="C332" s="5">
        <f t="shared" si="9"/>
        <v>0</v>
      </c>
      <c r="D332" s="5"/>
      <c r="E332" s="6">
        <f t="shared" si="8"/>
        <v>0</v>
      </c>
      <c r="F332" s="6">
        <f t="shared" si="8"/>
        <v>0</v>
      </c>
      <c r="G332" s="62"/>
      <c r="H332" s="62"/>
      <c r="I332" s="60"/>
      <c r="J332" s="60"/>
      <c r="K332" s="64"/>
      <c r="L332" s="64"/>
      <c r="M332" s="25"/>
      <c r="N332" s="25"/>
    </row>
    <row r="333" spans="1:14" s="70" customFormat="1">
      <c r="A333" s="3" t="s">
        <v>624</v>
      </c>
      <c r="B333" s="4" t="s">
        <v>625</v>
      </c>
      <c r="C333" s="5">
        <f t="shared" si="9"/>
        <v>0</v>
      </c>
      <c r="D333" s="5"/>
      <c r="E333" s="6">
        <f t="shared" si="8"/>
        <v>0</v>
      </c>
      <c r="F333" s="6">
        <f t="shared" si="8"/>
        <v>0</v>
      </c>
      <c r="G333" s="62"/>
      <c r="H333" s="62"/>
      <c r="I333" s="60"/>
      <c r="J333" s="60"/>
      <c r="K333" s="64"/>
      <c r="L333" s="64"/>
      <c r="M333" s="25"/>
      <c r="N333" s="25"/>
    </row>
    <row r="334" spans="1:14">
      <c r="A334" s="3" t="s">
        <v>626</v>
      </c>
      <c r="B334" s="4" t="s">
        <v>627</v>
      </c>
      <c r="C334" s="5">
        <f t="shared" si="9"/>
        <v>0</v>
      </c>
      <c r="D334" s="5"/>
      <c r="E334" s="6">
        <f t="shared" ref="E334:F397" si="10">SUM(G334,I334,K334,M334)</f>
        <v>0</v>
      </c>
      <c r="F334" s="6">
        <f t="shared" si="10"/>
        <v>0</v>
      </c>
      <c r="G334" s="62"/>
      <c r="H334" s="62"/>
      <c r="I334" s="60"/>
      <c r="J334" s="60"/>
      <c r="K334" s="64"/>
      <c r="L334" s="64"/>
      <c r="M334" s="25"/>
      <c r="N334" s="25"/>
    </row>
    <row r="335" spans="1:14">
      <c r="A335" s="3" t="s">
        <v>628</v>
      </c>
      <c r="B335" s="4" t="s">
        <v>629</v>
      </c>
      <c r="C335" s="5">
        <f t="shared" si="9"/>
        <v>0</v>
      </c>
      <c r="D335" s="5"/>
      <c r="E335" s="6">
        <f t="shared" si="10"/>
        <v>0</v>
      </c>
      <c r="F335" s="6">
        <f t="shared" si="10"/>
        <v>0</v>
      </c>
      <c r="G335" s="62"/>
      <c r="H335" s="62"/>
      <c r="I335" s="60"/>
      <c r="J335" s="60"/>
      <c r="K335" s="64"/>
      <c r="L335" s="64"/>
      <c r="M335" s="25"/>
      <c r="N335" s="25"/>
    </row>
    <row r="336" spans="1:14">
      <c r="A336" s="3" t="s">
        <v>630</v>
      </c>
      <c r="B336" s="4" t="s">
        <v>631</v>
      </c>
      <c r="C336" s="5">
        <f t="shared" si="9"/>
        <v>0</v>
      </c>
      <c r="D336" s="5"/>
      <c r="E336" s="6">
        <f t="shared" si="10"/>
        <v>0</v>
      </c>
      <c r="F336" s="6">
        <f t="shared" si="10"/>
        <v>0</v>
      </c>
      <c r="G336" s="62"/>
      <c r="H336" s="62"/>
      <c r="I336" s="60"/>
      <c r="J336" s="60"/>
      <c r="K336" s="64"/>
      <c r="L336" s="64"/>
      <c r="M336" s="25"/>
      <c r="N336" s="25"/>
    </row>
    <row r="337" spans="1:14">
      <c r="A337" s="3" t="s">
        <v>632</v>
      </c>
      <c r="B337" s="4" t="s">
        <v>633</v>
      </c>
      <c r="C337" s="5">
        <f t="shared" si="9"/>
        <v>0</v>
      </c>
      <c r="D337" s="5"/>
      <c r="E337" s="6">
        <f t="shared" si="10"/>
        <v>0</v>
      </c>
      <c r="F337" s="6">
        <f t="shared" si="10"/>
        <v>0</v>
      </c>
      <c r="G337" s="62"/>
      <c r="H337" s="62"/>
      <c r="I337" s="60"/>
      <c r="J337" s="60"/>
      <c r="K337" s="64"/>
      <c r="L337" s="64"/>
      <c r="M337" s="25"/>
      <c r="N337" s="25"/>
    </row>
    <row r="338" spans="1:14">
      <c r="A338" s="3" t="s">
        <v>634</v>
      </c>
      <c r="B338" s="4" t="s">
        <v>635</v>
      </c>
      <c r="C338" s="5">
        <f t="shared" si="9"/>
        <v>0</v>
      </c>
      <c r="D338" s="5"/>
      <c r="E338" s="6">
        <f t="shared" si="10"/>
        <v>0</v>
      </c>
      <c r="F338" s="6">
        <f t="shared" si="10"/>
        <v>0</v>
      </c>
      <c r="G338" s="62"/>
      <c r="H338" s="62"/>
      <c r="I338" s="60"/>
      <c r="J338" s="60"/>
      <c r="K338" s="64"/>
      <c r="L338" s="64"/>
      <c r="M338" s="25"/>
      <c r="N338" s="25"/>
    </row>
    <row r="339" spans="1:14">
      <c r="A339" s="3" t="s">
        <v>636</v>
      </c>
      <c r="B339" s="4" t="s">
        <v>637</v>
      </c>
      <c r="C339" s="5">
        <f t="shared" si="9"/>
        <v>0</v>
      </c>
      <c r="D339" s="5"/>
      <c r="E339" s="6">
        <f t="shared" si="10"/>
        <v>0</v>
      </c>
      <c r="F339" s="6">
        <f t="shared" si="10"/>
        <v>0</v>
      </c>
      <c r="G339" s="62"/>
      <c r="H339" s="62"/>
      <c r="I339" s="60"/>
      <c r="J339" s="60"/>
      <c r="K339" s="64"/>
      <c r="L339" s="64"/>
      <c r="M339" s="25"/>
      <c r="N339" s="25"/>
    </row>
    <row r="340" spans="1:14">
      <c r="A340" s="3" t="s">
        <v>638</v>
      </c>
      <c r="B340" s="4" t="s">
        <v>639</v>
      </c>
      <c r="C340" s="5">
        <f t="shared" si="9"/>
        <v>0</v>
      </c>
      <c r="D340" s="5"/>
      <c r="E340" s="6">
        <f t="shared" si="10"/>
        <v>0</v>
      </c>
      <c r="F340" s="6">
        <f t="shared" si="10"/>
        <v>0</v>
      </c>
      <c r="G340" s="62"/>
      <c r="H340" s="62"/>
      <c r="I340" s="60"/>
      <c r="J340" s="60"/>
      <c r="K340" s="64"/>
      <c r="L340" s="64"/>
      <c r="M340" s="25"/>
      <c r="N340" s="25"/>
    </row>
    <row r="341" spans="1:14">
      <c r="A341" s="3" t="s">
        <v>640</v>
      </c>
      <c r="B341" s="4" t="s">
        <v>641</v>
      </c>
      <c r="C341" s="5">
        <f t="shared" si="9"/>
        <v>0</v>
      </c>
      <c r="D341" s="5"/>
      <c r="E341" s="6">
        <f t="shared" si="10"/>
        <v>0</v>
      </c>
      <c r="F341" s="6">
        <f t="shared" si="10"/>
        <v>0</v>
      </c>
      <c r="G341" s="62"/>
      <c r="H341" s="62"/>
      <c r="I341" s="60"/>
      <c r="J341" s="60"/>
      <c r="K341" s="64"/>
      <c r="L341" s="64"/>
      <c r="M341" s="25"/>
      <c r="N341" s="25"/>
    </row>
    <row r="342" spans="1:14">
      <c r="A342" s="3" t="s">
        <v>642</v>
      </c>
      <c r="B342" s="4" t="s">
        <v>643</v>
      </c>
      <c r="C342" s="5">
        <f t="shared" si="9"/>
        <v>0</v>
      </c>
      <c r="D342" s="5"/>
      <c r="E342" s="6">
        <f t="shared" si="10"/>
        <v>0</v>
      </c>
      <c r="F342" s="6">
        <f t="shared" si="10"/>
        <v>0</v>
      </c>
      <c r="G342" s="62"/>
      <c r="H342" s="62"/>
      <c r="I342" s="60"/>
      <c r="J342" s="60"/>
      <c r="K342" s="64"/>
      <c r="L342" s="64"/>
      <c r="M342" s="25"/>
      <c r="N342" s="25"/>
    </row>
    <row r="343" spans="1:14">
      <c r="A343" s="3" t="s">
        <v>644</v>
      </c>
      <c r="B343" s="4" t="s">
        <v>645</v>
      </c>
      <c r="C343" s="5">
        <f t="shared" si="9"/>
        <v>0</v>
      </c>
      <c r="D343" s="5"/>
      <c r="E343" s="6">
        <f t="shared" si="10"/>
        <v>0</v>
      </c>
      <c r="F343" s="6">
        <f t="shared" si="10"/>
        <v>0</v>
      </c>
      <c r="G343" s="62"/>
      <c r="H343" s="62"/>
      <c r="I343" s="60"/>
      <c r="J343" s="60"/>
      <c r="K343" s="64"/>
      <c r="L343" s="64"/>
      <c r="M343" s="25"/>
      <c r="N343" s="25"/>
    </row>
    <row r="344" spans="1:14">
      <c r="A344" s="3" t="s">
        <v>646</v>
      </c>
      <c r="B344" s="4" t="s">
        <v>647</v>
      </c>
      <c r="C344" s="5">
        <f t="shared" si="9"/>
        <v>0</v>
      </c>
      <c r="D344" s="5"/>
      <c r="E344" s="6">
        <f t="shared" si="10"/>
        <v>0</v>
      </c>
      <c r="F344" s="6">
        <f t="shared" si="10"/>
        <v>0</v>
      </c>
      <c r="G344" s="62"/>
      <c r="H344" s="62"/>
      <c r="I344" s="60"/>
      <c r="J344" s="60"/>
      <c r="K344" s="64"/>
      <c r="L344" s="64"/>
      <c r="M344" s="25"/>
      <c r="N344" s="25"/>
    </row>
    <row r="345" spans="1:14">
      <c r="A345" s="3" t="s">
        <v>648</v>
      </c>
      <c r="B345" s="4" t="s">
        <v>649</v>
      </c>
      <c r="C345" s="5">
        <f t="shared" ref="C345:C408" si="11">E345-F345</f>
        <v>0</v>
      </c>
      <c r="D345" s="5"/>
      <c r="E345" s="6">
        <f t="shared" si="10"/>
        <v>0</v>
      </c>
      <c r="F345" s="6">
        <f t="shared" si="10"/>
        <v>0</v>
      </c>
      <c r="G345" s="62"/>
      <c r="H345" s="62"/>
      <c r="I345" s="60"/>
      <c r="J345" s="60"/>
      <c r="K345" s="64"/>
      <c r="L345" s="64"/>
      <c r="M345" s="25"/>
      <c r="N345" s="25"/>
    </row>
    <row r="346" spans="1:14">
      <c r="A346" s="3" t="s">
        <v>650</v>
      </c>
      <c r="B346" s="4" t="s">
        <v>651</v>
      </c>
      <c r="C346" s="5">
        <f t="shared" si="11"/>
        <v>0</v>
      </c>
      <c r="D346" s="5"/>
      <c r="E346" s="6">
        <f t="shared" si="10"/>
        <v>0</v>
      </c>
      <c r="F346" s="6">
        <f t="shared" si="10"/>
        <v>0</v>
      </c>
      <c r="G346" s="62"/>
      <c r="H346" s="62"/>
      <c r="I346" s="60"/>
      <c r="J346" s="60"/>
      <c r="K346" s="64"/>
      <c r="L346" s="64"/>
      <c r="M346" s="25"/>
      <c r="N346" s="25"/>
    </row>
    <row r="347" spans="1:14">
      <c r="A347" s="3" t="s">
        <v>652</v>
      </c>
      <c r="B347" s="4" t="s">
        <v>653</v>
      </c>
      <c r="C347" s="5">
        <f t="shared" si="11"/>
        <v>0</v>
      </c>
      <c r="D347" s="5"/>
      <c r="E347" s="6">
        <f t="shared" si="10"/>
        <v>0</v>
      </c>
      <c r="F347" s="6">
        <f t="shared" si="10"/>
        <v>0</v>
      </c>
      <c r="G347" s="62"/>
      <c r="H347" s="62"/>
      <c r="I347" s="60"/>
      <c r="J347" s="60"/>
      <c r="K347" s="64"/>
      <c r="L347" s="64"/>
      <c r="M347" s="25"/>
      <c r="N347" s="25"/>
    </row>
    <row r="348" spans="1:14">
      <c r="A348" s="3" t="s">
        <v>654</v>
      </c>
      <c r="B348" s="4" t="s">
        <v>655</v>
      </c>
      <c r="C348" s="5">
        <f t="shared" si="11"/>
        <v>0</v>
      </c>
      <c r="D348" s="5"/>
      <c r="E348" s="6">
        <f t="shared" si="10"/>
        <v>0</v>
      </c>
      <c r="F348" s="6">
        <f t="shared" si="10"/>
        <v>0</v>
      </c>
      <c r="G348" s="62"/>
      <c r="H348" s="62"/>
      <c r="I348" s="60"/>
      <c r="J348" s="60"/>
      <c r="K348" s="64"/>
      <c r="L348" s="64"/>
      <c r="M348" s="25"/>
      <c r="N348" s="25"/>
    </row>
    <row r="349" spans="1:14">
      <c r="A349" s="3" t="s">
        <v>656</v>
      </c>
      <c r="B349" s="4" t="s">
        <v>657</v>
      </c>
      <c r="C349" s="5">
        <f t="shared" si="11"/>
        <v>0</v>
      </c>
      <c r="D349" s="5"/>
      <c r="E349" s="6">
        <f t="shared" si="10"/>
        <v>0</v>
      </c>
      <c r="F349" s="6">
        <f t="shared" si="10"/>
        <v>0</v>
      </c>
      <c r="G349" s="62"/>
      <c r="H349" s="62"/>
      <c r="I349" s="60"/>
      <c r="J349" s="60"/>
      <c r="K349" s="64"/>
      <c r="L349" s="64"/>
      <c r="M349" s="25"/>
      <c r="N349" s="25"/>
    </row>
    <row r="350" spans="1:14">
      <c r="A350" s="3" t="s">
        <v>658</v>
      </c>
      <c r="B350" s="4" t="s">
        <v>659</v>
      </c>
      <c r="C350" s="5">
        <f t="shared" si="11"/>
        <v>0</v>
      </c>
      <c r="D350" s="5"/>
      <c r="E350" s="6">
        <f t="shared" si="10"/>
        <v>0</v>
      </c>
      <c r="F350" s="6">
        <f t="shared" si="10"/>
        <v>0</v>
      </c>
      <c r="G350" s="62"/>
      <c r="H350" s="62"/>
      <c r="I350" s="60"/>
      <c r="J350" s="60"/>
      <c r="K350" s="64"/>
      <c r="L350" s="64"/>
      <c r="M350" s="25"/>
      <c r="N350" s="25"/>
    </row>
    <row r="351" spans="1:14">
      <c r="A351" s="3" t="s">
        <v>660</v>
      </c>
      <c r="B351" s="4" t="s">
        <v>661</v>
      </c>
      <c r="C351" s="5">
        <f t="shared" si="11"/>
        <v>0</v>
      </c>
      <c r="D351" s="5"/>
      <c r="E351" s="6">
        <f t="shared" si="10"/>
        <v>0</v>
      </c>
      <c r="F351" s="6">
        <f t="shared" si="10"/>
        <v>0</v>
      </c>
      <c r="G351" s="62"/>
      <c r="H351" s="62"/>
      <c r="I351" s="60"/>
      <c r="J351" s="60"/>
      <c r="K351" s="64"/>
      <c r="L351" s="64"/>
      <c r="M351" s="25"/>
      <c r="N351" s="25"/>
    </row>
    <row r="352" spans="1:14">
      <c r="A352" s="3" t="s">
        <v>662</v>
      </c>
      <c r="B352" s="4" t="s">
        <v>663</v>
      </c>
      <c r="C352" s="5">
        <f t="shared" si="11"/>
        <v>0</v>
      </c>
      <c r="D352" s="5"/>
      <c r="E352" s="6">
        <f t="shared" si="10"/>
        <v>0</v>
      </c>
      <c r="F352" s="6">
        <f t="shared" si="10"/>
        <v>0</v>
      </c>
      <c r="G352" s="62"/>
      <c r="H352" s="62"/>
      <c r="I352" s="60"/>
      <c r="J352" s="60"/>
      <c r="K352" s="64"/>
      <c r="L352" s="64"/>
      <c r="M352" s="25"/>
      <c r="N352" s="25"/>
    </row>
    <row r="353" spans="1:14">
      <c r="A353" s="3" t="s">
        <v>664</v>
      </c>
      <c r="B353" s="4" t="s">
        <v>665</v>
      </c>
      <c r="C353" s="5">
        <f t="shared" si="11"/>
        <v>0</v>
      </c>
      <c r="D353" s="5"/>
      <c r="E353" s="6">
        <f t="shared" si="10"/>
        <v>0</v>
      </c>
      <c r="F353" s="6">
        <f t="shared" si="10"/>
        <v>0</v>
      </c>
      <c r="G353" s="62"/>
      <c r="H353" s="62"/>
      <c r="I353" s="60"/>
      <c r="J353" s="60"/>
      <c r="K353" s="64"/>
      <c r="L353" s="64"/>
      <c r="M353" s="25"/>
      <c r="N353" s="25"/>
    </row>
    <row r="354" spans="1:14">
      <c r="A354" s="3" t="s">
        <v>666</v>
      </c>
      <c r="B354" s="4" t="s">
        <v>667</v>
      </c>
      <c r="C354" s="5">
        <f t="shared" si="11"/>
        <v>0</v>
      </c>
      <c r="D354" s="5"/>
      <c r="E354" s="6">
        <f t="shared" si="10"/>
        <v>0</v>
      </c>
      <c r="F354" s="6">
        <f t="shared" si="10"/>
        <v>0</v>
      </c>
      <c r="G354" s="62"/>
      <c r="H354" s="62"/>
      <c r="I354" s="60"/>
      <c r="J354" s="60"/>
      <c r="K354" s="64"/>
      <c r="L354" s="64"/>
      <c r="M354" s="25"/>
      <c r="N354" s="25"/>
    </row>
    <row r="355" spans="1:14">
      <c r="A355" s="3" t="s">
        <v>668</v>
      </c>
      <c r="B355" s="4" t="s">
        <v>669</v>
      </c>
      <c r="C355" s="5">
        <f t="shared" si="11"/>
        <v>0</v>
      </c>
      <c r="D355" s="5"/>
      <c r="E355" s="6">
        <f t="shared" si="10"/>
        <v>0</v>
      </c>
      <c r="F355" s="6">
        <f t="shared" si="10"/>
        <v>0</v>
      </c>
      <c r="G355" s="62"/>
      <c r="H355" s="62"/>
      <c r="I355" s="60"/>
      <c r="J355" s="60"/>
      <c r="K355" s="64"/>
      <c r="L355" s="64"/>
      <c r="M355" s="25"/>
      <c r="N355" s="25"/>
    </row>
    <row r="356" spans="1:14">
      <c r="A356" s="3" t="s">
        <v>670</v>
      </c>
      <c r="B356" s="4" t="s">
        <v>671</v>
      </c>
      <c r="C356" s="5">
        <f t="shared" si="11"/>
        <v>0</v>
      </c>
      <c r="D356" s="5"/>
      <c r="E356" s="6">
        <f t="shared" si="10"/>
        <v>0</v>
      </c>
      <c r="F356" s="6">
        <f t="shared" si="10"/>
        <v>0</v>
      </c>
      <c r="G356" s="62"/>
      <c r="H356" s="62"/>
      <c r="I356" s="60"/>
      <c r="J356" s="60"/>
      <c r="K356" s="64"/>
      <c r="L356" s="64"/>
      <c r="M356" s="25"/>
      <c r="N356" s="25"/>
    </row>
    <row r="357" spans="1:14">
      <c r="A357" s="3" t="s">
        <v>672</v>
      </c>
      <c r="B357" s="4" t="s">
        <v>673</v>
      </c>
      <c r="C357" s="5">
        <f t="shared" si="11"/>
        <v>0</v>
      </c>
      <c r="D357" s="5"/>
      <c r="E357" s="6">
        <f t="shared" si="10"/>
        <v>0</v>
      </c>
      <c r="F357" s="6">
        <f t="shared" si="10"/>
        <v>0</v>
      </c>
      <c r="G357" s="62"/>
      <c r="H357" s="62"/>
      <c r="I357" s="60"/>
      <c r="J357" s="60"/>
      <c r="K357" s="64"/>
      <c r="L357" s="64"/>
      <c r="M357" s="25"/>
      <c r="N357" s="25"/>
    </row>
    <row r="358" spans="1:14">
      <c r="A358" s="3" t="s">
        <v>674</v>
      </c>
      <c r="B358" s="4" t="s">
        <v>675</v>
      </c>
      <c r="C358" s="5">
        <f t="shared" si="11"/>
        <v>0</v>
      </c>
      <c r="D358" s="5"/>
      <c r="E358" s="6">
        <f t="shared" si="10"/>
        <v>0</v>
      </c>
      <c r="F358" s="6">
        <f t="shared" si="10"/>
        <v>0</v>
      </c>
      <c r="G358" s="62"/>
      <c r="H358" s="62"/>
      <c r="I358" s="60"/>
      <c r="J358" s="60"/>
      <c r="K358" s="64"/>
      <c r="L358" s="64"/>
      <c r="M358" s="25"/>
      <c r="N358" s="25"/>
    </row>
    <row r="359" spans="1:14">
      <c r="A359" s="3" t="s">
        <v>676</v>
      </c>
      <c r="B359" s="4" t="s">
        <v>677</v>
      </c>
      <c r="C359" s="5">
        <f t="shared" si="11"/>
        <v>0</v>
      </c>
      <c r="D359" s="5"/>
      <c r="E359" s="6">
        <f t="shared" si="10"/>
        <v>0</v>
      </c>
      <c r="F359" s="6">
        <f t="shared" si="10"/>
        <v>0</v>
      </c>
      <c r="G359" s="62"/>
      <c r="H359" s="62"/>
      <c r="I359" s="60"/>
      <c r="J359" s="60"/>
      <c r="K359" s="64"/>
      <c r="L359" s="64"/>
      <c r="M359" s="25"/>
      <c r="N359" s="25"/>
    </row>
    <row r="360" spans="1:14">
      <c r="A360" s="3" t="s">
        <v>678</v>
      </c>
      <c r="B360" s="4" t="s">
        <v>679</v>
      </c>
      <c r="C360" s="5">
        <f t="shared" si="11"/>
        <v>0</v>
      </c>
      <c r="D360" s="5"/>
      <c r="E360" s="6">
        <f t="shared" si="10"/>
        <v>0</v>
      </c>
      <c r="F360" s="6">
        <f t="shared" si="10"/>
        <v>0</v>
      </c>
      <c r="G360" s="62"/>
      <c r="H360" s="62"/>
      <c r="I360" s="60"/>
      <c r="J360" s="60"/>
      <c r="K360" s="64"/>
      <c r="L360" s="64"/>
      <c r="M360" s="25"/>
      <c r="N360" s="25"/>
    </row>
    <row r="361" spans="1:14">
      <c r="A361" s="3" t="s">
        <v>680</v>
      </c>
      <c r="B361" s="4" t="s">
        <v>681</v>
      </c>
      <c r="C361" s="5">
        <f t="shared" si="11"/>
        <v>0</v>
      </c>
      <c r="D361" s="5"/>
      <c r="E361" s="6">
        <f t="shared" si="10"/>
        <v>0</v>
      </c>
      <c r="F361" s="6">
        <f t="shared" si="10"/>
        <v>0</v>
      </c>
      <c r="G361" s="62"/>
      <c r="H361" s="62"/>
      <c r="I361" s="60"/>
      <c r="J361" s="60"/>
      <c r="K361" s="64"/>
      <c r="L361" s="64"/>
      <c r="M361" s="25"/>
      <c r="N361" s="25"/>
    </row>
    <row r="362" spans="1:14">
      <c r="A362" s="3" t="s">
        <v>682</v>
      </c>
      <c r="B362" s="4" t="s">
        <v>683</v>
      </c>
      <c r="C362" s="5">
        <f t="shared" si="11"/>
        <v>0</v>
      </c>
      <c r="D362" s="5"/>
      <c r="E362" s="6">
        <f t="shared" si="10"/>
        <v>0</v>
      </c>
      <c r="F362" s="6">
        <f t="shared" si="10"/>
        <v>0</v>
      </c>
      <c r="G362" s="62"/>
      <c r="H362" s="62"/>
      <c r="I362" s="60"/>
      <c r="J362" s="60"/>
      <c r="K362" s="64"/>
      <c r="L362" s="64"/>
      <c r="M362" s="25"/>
      <c r="N362" s="25"/>
    </row>
    <row r="363" spans="1:14">
      <c r="A363" s="3" t="s">
        <v>684</v>
      </c>
      <c r="B363" s="4" t="s">
        <v>685</v>
      </c>
      <c r="C363" s="5">
        <f t="shared" si="11"/>
        <v>0</v>
      </c>
      <c r="D363" s="5"/>
      <c r="E363" s="6">
        <f t="shared" si="10"/>
        <v>0</v>
      </c>
      <c r="F363" s="6">
        <f t="shared" si="10"/>
        <v>0</v>
      </c>
      <c r="G363" s="62"/>
      <c r="H363" s="62"/>
      <c r="I363" s="60"/>
      <c r="J363" s="60"/>
      <c r="K363" s="64"/>
      <c r="L363" s="64"/>
      <c r="M363" s="25"/>
      <c r="N363" s="25"/>
    </row>
    <row r="364" spans="1:14">
      <c r="A364" s="3" t="s">
        <v>686</v>
      </c>
      <c r="B364" s="4" t="s">
        <v>687</v>
      </c>
      <c r="C364" s="5">
        <f t="shared" si="11"/>
        <v>0</v>
      </c>
      <c r="D364" s="5"/>
      <c r="E364" s="6">
        <f t="shared" si="10"/>
        <v>0</v>
      </c>
      <c r="F364" s="6">
        <f t="shared" si="10"/>
        <v>0</v>
      </c>
      <c r="G364" s="62"/>
      <c r="H364" s="62"/>
      <c r="I364" s="60"/>
      <c r="J364" s="60"/>
      <c r="K364" s="64"/>
      <c r="L364" s="64"/>
      <c r="M364" s="25"/>
      <c r="N364" s="25"/>
    </row>
    <row r="365" spans="1:14">
      <c r="A365" s="3" t="s">
        <v>688</v>
      </c>
      <c r="B365" s="4" t="s">
        <v>689</v>
      </c>
      <c r="C365" s="5">
        <f t="shared" si="11"/>
        <v>0</v>
      </c>
      <c r="D365" s="5"/>
      <c r="E365" s="6">
        <f t="shared" si="10"/>
        <v>0</v>
      </c>
      <c r="F365" s="6">
        <f t="shared" si="10"/>
        <v>0</v>
      </c>
      <c r="G365" s="62"/>
      <c r="H365" s="62"/>
      <c r="I365" s="60"/>
      <c r="J365" s="60"/>
      <c r="K365" s="64"/>
      <c r="L365" s="64"/>
      <c r="M365" s="25"/>
      <c r="N365" s="25"/>
    </row>
    <row r="366" spans="1:14">
      <c r="A366" s="3" t="s">
        <v>690</v>
      </c>
      <c r="B366" s="4" t="s">
        <v>691</v>
      </c>
      <c r="C366" s="5">
        <f t="shared" si="11"/>
        <v>0</v>
      </c>
      <c r="D366" s="5"/>
      <c r="E366" s="6">
        <f t="shared" si="10"/>
        <v>0</v>
      </c>
      <c r="F366" s="6">
        <f t="shared" si="10"/>
        <v>0</v>
      </c>
      <c r="G366" s="62"/>
      <c r="H366" s="62"/>
      <c r="I366" s="60"/>
      <c r="J366" s="60"/>
      <c r="K366" s="64"/>
      <c r="L366" s="64"/>
      <c r="M366" s="25"/>
      <c r="N366" s="25"/>
    </row>
    <row r="367" spans="1:14">
      <c r="A367" s="3" t="s">
        <v>692</v>
      </c>
      <c r="B367" s="4" t="s">
        <v>693</v>
      </c>
      <c r="C367" s="5">
        <f t="shared" si="11"/>
        <v>0</v>
      </c>
      <c r="D367" s="5"/>
      <c r="E367" s="6">
        <f t="shared" si="10"/>
        <v>0</v>
      </c>
      <c r="F367" s="6">
        <f t="shared" si="10"/>
        <v>0</v>
      </c>
      <c r="G367" s="62"/>
      <c r="H367" s="62"/>
      <c r="I367" s="60"/>
      <c r="J367" s="60"/>
      <c r="K367" s="64"/>
      <c r="L367" s="64"/>
      <c r="M367" s="25"/>
      <c r="N367" s="25"/>
    </row>
    <row r="368" spans="1:14">
      <c r="A368" s="3" t="s">
        <v>694</v>
      </c>
      <c r="B368" s="4" t="s">
        <v>695</v>
      </c>
      <c r="C368" s="5">
        <f t="shared" si="11"/>
        <v>0</v>
      </c>
      <c r="D368" s="5"/>
      <c r="E368" s="6">
        <f t="shared" si="10"/>
        <v>0</v>
      </c>
      <c r="F368" s="6">
        <f t="shared" si="10"/>
        <v>0</v>
      </c>
      <c r="G368" s="62"/>
      <c r="H368" s="62"/>
      <c r="I368" s="60"/>
      <c r="J368" s="60"/>
      <c r="K368" s="64"/>
      <c r="L368" s="64"/>
      <c r="M368" s="25"/>
      <c r="N368" s="25"/>
    </row>
    <row r="369" spans="1:14">
      <c r="A369" s="3" t="s">
        <v>696</v>
      </c>
      <c r="B369" s="4" t="s">
        <v>697</v>
      </c>
      <c r="C369" s="5">
        <f t="shared" si="11"/>
        <v>0</v>
      </c>
      <c r="D369" s="5"/>
      <c r="E369" s="6">
        <f t="shared" si="10"/>
        <v>0</v>
      </c>
      <c r="F369" s="6">
        <f t="shared" si="10"/>
        <v>0</v>
      </c>
      <c r="G369" s="62"/>
      <c r="H369" s="62"/>
      <c r="I369" s="60"/>
      <c r="J369" s="60"/>
      <c r="K369" s="64"/>
      <c r="L369" s="64"/>
      <c r="M369" s="25"/>
      <c r="N369" s="25"/>
    </row>
    <row r="370" spans="1:14">
      <c r="A370" s="3" t="s">
        <v>698</v>
      </c>
      <c r="B370" s="4" t="s">
        <v>699</v>
      </c>
      <c r="C370" s="5">
        <f t="shared" si="11"/>
        <v>0</v>
      </c>
      <c r="D370" s="5"/>
      <c r="E370" s="6">
        <f t="shared" si="10"/>
        <v>0</v>
      </c>
      <c r="F370" s="6">
        <f t="shared" si="10"/>
        <v>0</v>
      </c>
      <c r="G370" s="62"/>
      <c r="H370" s="62"/>
      <c r="I370" s="60"/>
      <c r="J370" s="60"/>
      <c r="K370" s="64"/>
      <c r="L370" s="64"/>
      <c r="M370" s="25"/>
      <c r="N370" s="25"/>
    </row>
    <row r="371" spans="1:14">
      <c r="A371" s="3" t="s">
        <v>700</v>
      </c>
      <c r="B371" s="4" t="s">
        <v>701</v>
      </c>
      <c r="C371" s="5">
        <f t="shared" si="11"/>
        <v>0</v>
      </c>
      <c r="D371" s="5"/>
      <c r="E371" s="6">
        <f t="shared" si="10"/>
        <v>0</v>
      </c>
      <c r="F371" s="6">
        <f t="shared" si="10"/>
        <v>0</v>
      </c>
      <c r="G371" s="62"/>
      <c r="H371" s="62"/>
      <c r="I371" s="60"/>
      <c r="J371" s="60"/>
      <c r="K371" s="64"/>
      <c r="L371" s="64"/>
      <c r="M371" s="25"/>
      <c r="N371" s="25"/>
    </row>
    <row r="372" spans="1:14">
      <c r="A372" s="3" t="s">
        <v>702</v>
      </c>
      <c r="B372" s="4" t="s">
        <v>703</v>
      </c>
      <c r="C372" s="5">
        <f t="shared" si="11"/>
        <v>0</v>
      </c>
      <c r="D372" s="5"/>
      <c r="E372" s="6">
        <f t="shared" si="10"/>
        <v>0</v>
      </c>
      <c r="F372" s="6">
        <f t="shared" si="10"/>
        <v>0</v>
      </c>
      <c r="G372" s="62"/>
      <c r="H372" s="62"/>
      <c r="I372" s="60"/>
      <c r="J372" s="60"/>
      <c r="K372" s="64"/>
      <c r="L372" s="64"/>
      <c r="M372" s="25"/>
      <c r="N372" s="25"/>
    </row>
    <row r="373" spans="1:14">
      <c r="A373" s="3" t="s">
        <v>704</v>
      </c>
      <c r="B373" s="4" t="s">
        <v>705</v>
      </c>
      <c r="C373" s="5">
        <f t="shared" si="11"/>
        <v>0</v>
      </c>
      <c r="D373" s="5"/>
      <c r="E373" s="6">
        <f t="shared" si="10"/>
        <v>0</v>
      </c>
      <c r="F373" s="6">
        <f t="shared" si="10"/>
        <v>0</v>
      </c>
      <c r="G373" s="62"/>
      <c r="H373" s="62"/>
      <c r="I373" s="60"/>
      <c r="J373" s="60"/>
      <c r="K373" s="64"/>
      <c r="L373" s="64"/>
      <c r="M373" s="25"/>
      <c r="N373" s="25"/>
    </row>
    <row r="374" spans="1:14">
      <c r="A374" s="3" t="s">
        <v>706</v>
      </c>
      <c r="B374" s="4" t="s">
        <v>707</v>
      </c>
      <c r="C374" s="5">
        <f t="shared" si="11"/>
        <v>0</v>
      </c>
      <c r="D374" s="5"/>
      <c r="E374" s="6">
        <f t="shared" si="10"/>
        <v>0</v>
      </c>
      <c r="F374" s="6">
        <f t="shared" si="10"/>
        <v>0</v>
      </c>
      <c r="G374" s="62"/>
      <c r="H374" s="62"/>
      <c r="I374" s="60"/>
      <c r="J374" s="60"/>
      <c r="K374" s="64"/>
      <c r="L374" s="64"/>
      <c r="M374" s="25"/>
      <c r="N374" s="25"/>
    </row>
    <row r="375" spans="1:14">
      <c r="A375" s="3" t="s">
        <v>708</v>
      </c>
      <c r="B375" s="4" t="s">
        <v>709</v>
      </c>
      <c r="C375" s="5">
        <f t="shared" si="11"/>
        <v>0</v>
      </c>
      <c r="D375" s="5"/>
      <c r="E375" s="6">
        <f t="shared" si="10"/>
        <v>0</v>
      </c>
      <c r="F375" s="6">
        <f t="shared" si="10"/>
        <v>0</v>
      </c>
      <c r="G375" s="62"/>
      <c r="H375" s="62"/>
      <c r="I375" s="60"/>
      <c r="J375" s="60"/>
      <c r="K375" s="64"/>
      <c r="L375" s="64"/>
      <c r="M375" s="25"/>
      <c r="N375" s="25"/>
    </row>
    <row r="376" spans="1:14">
      <c r="A376" s="3" t="s">
        <v>710</v>
      </c>
      <c r="B376" s="4" t="s">
        <v>711</v>
      </c>
      <c r="C376" s="5">
        <f t="shared" si="11"/>
        <v>0</v>
      </c>
      <c r="D376" s="5"/>
      <c r="E376" s="6">
        <f t="shared" si="10"/>
        <v>0</v>
      </c>
      <c r="F376" s="6">
        <f t="shared" si="10"/>
        <v>0</v>
      </c>
      <c r="G376" s="62"/>
      <c r="H376" s="62"/>
      <c r="I376" s="60"/>
      <c r="J376" s="60"/>
      <c r="K376" s="64"/>
      <c r="L376" s="64"/>
      <c r="M376" s="25"/>
      <c r="N376" s="25"/>
    </row>
    <row r="377" spans="1:14">
      <c r="A377" s="3" t="s">
        <v>712</v>
      </c>
      <c r="B377" s="4" t="s">
        <v>713</v>
      </c>
      <c r="C377" s="5">
        <f t="shared" si="11"/>
        <v>0</v>
      </c>
      <c r="D377" s="5"/>
      <c r="E377" s="6">
        <f t="shared" si="10"/>
        <v>0</v>
      </c>
      <c r="F377" s="6">
        <f t="shared" si="10"/>
        <v>0</v>
      </c>
      <c r="G377" s="62"/>
      <c r="H377" s="62"/>
      <c r="I377" s="60"/>
      <c r="J377" s="60"/>
      <c r="K377" s="64"/>
      <c r="L377" s="64"/>
      <c r="M377" s="25"/>
      <c r="N377" s="25"/>
    </row>
    <row r="378" spans="1:14">
      <c r="A378" s="3" t="s">
        <v>714</v>
      </c>
      <c r="B378" s="4" t="s">
        <v>715</v>
      </c>
      <c r="C378" s="5">
        <f t="shared" si="11"/>
        <v>0</v>
      </c>
      <c r="D378" s="5"/>
      <c r="E378" s="6">
        <f t="shared" si="10"/>
        <v>0</v>
      </c>
      <c r="F378" s="6">
        <f t="shared" si="10"/>
        <v>0</v>
      </c>
      <c r="G378" s="62"/>
      <c r="H378" s="62"/>
      <c r="I378" s="60"/>
      <c r="J378" s="60"/>
      <c r="K378" s="64"/>
      <c r="L378" s="64"/>
      <c r="M378" s="25"/>
      <c r="N378" s="25"/>
    </row>
    <row r="379" spans="1:14">
      <c r="A379" s="3" t="s">
        <v>716</v>
      </c>
      <c r="B379" s="4" t="s">
        <v>717</v>
      </c>
      <c r="C379" s="5">
        <f t="shared" si="11"/>
        <v>0</v>
      </c>
      <c r="D379" s="5"/>
      <c r="E379" s="6">
        <f t="shared" si="10"/>
        <v>0</v>
      </c>
      <c r="F379" s="6">
        <f t="shared" si="10"/>
        <v>0</v>
      </c>
      <c r="G379" s="62"/>
      <c r="H379" s="62"/>
      <c r="I379" s="60"/>
      <c r="J379" s="60"/>
      <c r="K379" s="64"/>
      <c r="L379" s="64"/>
      <c r="M379" s="25"/>
      <c r="N379" s="25"/>
    </row>
    <row r="380" spans="1:14">
      <c r="A380" s="3" t="s">
        <v>718</v>
      </c>
      <c r="B380" s="4" t="s">
        <v>719</v>
      </c>
      <c r="C380" s="5">
        <f t="shared" si="11"/>
        <v>0</v>
      </c>
      <c r="D380" s="5"/>
      <c r="E380" s="6">
        <f t="shared" si="10"/>
        <v>0</v>
      </c>
      <c r="F380" s="6">
        <f t="shared" si="10"/>
        <v>0</v>
      </c>
      <c r="G380" s="62"/>
      <c r="H380" s="62"/>
      <c r="I380" s="60"/>
      <c r="J380" s="60"/>
      <c r="K380" s="64"/>
      <c r="L380" s="64"/>
      <c r="M380" s="25"/>
      <c r="N380" s="25"/>
    </row>
    <row r="381" spans="1:14">
      <c r="A381" s="3" t="s">
        <v>720</v>
      </c>
      <c r="B381" s="4" t="s">
        <v>721</v>
      </c>
      <c r="C381" s="5">
        <f t="shared" si="11"/>
        <v>0</v>
      </c>
      <c r="D381" s="5"/>
      <c r="E381" s="6">
        <f t="shared" si="10"/>
        <v>0</v>
      </c>
      <c r="F381" s="6">
        <f t="shared" si="10"/>
        <v>0</v>
      </c>
      <c r="G381" s="62"/>
      <c r="H381" s="62"/>
      <c r="I381" s="60"/>
      <c r="J381" s="60"/>
      <c r="K381" s="64"/>
      <c r="L381" s="64"/>
      <c r="M381" s="25"/>
      <c r="N381" s="25"/>
    </row>
    <row r="382" spans="1:14">
      <c r="A382" s="3" t="s">
        <v>722</v>
      </c>
      <c r="B382" s="4" t="s">
        <v>723</v>
      </c>
      <c r="C382" s="5">
        <f t="shared" si="11"/>
        <v>0</v>
      </c>
      <c r="D382" s="5"/>
      <c r="E382" s="6">
        <f t="shared" si="10"/>
        <v>0</v>
      </c>
      <c r="F382" s="6">
        <f t="shared" si="10"/>
        <v>0</v>
      </c>
      <c r="G382" s="62"/>
      <c r="H382" s="62"/>
      <c r="I382" s="60"/>
      <c r="J382" s="60"/>
      <c r="K382" s="64"/>
      <c r="L382" s="64"/>
      <c r="M382" s="25"/>
      <c r="N382" s="25"/>
    </row>
    <row r="383" spans="1:14">
      <c r="A383" s="3" t="s">
        <v>724</v>
      </c>
      <c r="B383" s="4" t="s">
        <v>725</v>
      </c>
      <c r="C383" s="5">
        <f t="shared" si="11"/>
        <v>0</v>
      </c>
      <c r="D383" s="5"/>
      <c r="E383" s="6">
        <f t="shared" si="10"/>
        <v>0</v>
      </c>
      <c r="F383" s="6">
        <f t="shared" si="10"/>
        <v>0</v>
      </c>
      <c r="G383" s="62"/>
      <c r="H383" s="62"/>
      <c r="I383" s="60"/>
      <c r="J383" s="60"/>
      <c r="K383" s="64"/>
      <c r="L383" s="64"/>
      <c r="M383" s="25"/>
      <c r="N383" s="25"/>
    </row>
    <row r="384" spans="1:14">
      <c r="A384" s="3" t="s">
        <v>726</v>
      </c>
      <c r="B384" s="4" t="s">
        <v>727</v>
      </c>
      <c r="C384" s="5">
        <f t="shared" si="11"/>
        <v>0</v>
      </c>
      <c r="D384" s="5"/>
      <c r="E384" s="6">
        <f t="shared" si="10"/>
        <v>0</v>
      </c>
      <c r="F384" s="6">
        <f t="shared" si="10"/>
        <v>0</v>
      </c>
      <c r="G384" s="62"/>
      <c r="H384" s="62"/>
      <c r="I384" s="60"/>
      <c r="J384" s="60"/>
      <c r="K384" s="64"/>
      <c r="L384" s="64"/>
      <c r="M384" s="25"/>
      <c r="N384" s="25"/>
    </row>
    <row r="385" spans="1:14">
      <c r="A385" s="3" t="s">
        <v>728</v>
      </c>
      <c r="B385" s="4" t="s">
        <v>729</v>
      </c>
      <c r="C385" s="5">
        <f t="shared" si="11"/>
        <v>0</v>
      </c>
      <c r="D385" s="5"/>
      <c r="E385" s="6">
        <f t="shared" si="10"/>
        <v>0</v>
      </c>
      <c r="F385" s="6">
        <f t="shared" si="10"/>
        <v>0</v>
      </c>
      <c r="G385" s="62"/>
      <c r="H385" s="62"/>
      <c r="I385" s="60"/>
      <c r="J385" s="60"/>
      <c r="K385" s="64"/>
      <c r="L385" s="64"/>
      <c r="M385" s="25"/>
      <c r="N385" s="25"/>
    </row>
    <row r="386" spans="1:14">
      <c r="A386" s="3" t="s">
        <v>730</v>
      </c>
      <c r="B386" s="4" t="s">
        <v>731</v>
      </c>
      <c r="C386" s="5">
        <f t="shared" si="11"/>
        <v>0</v>
      </c>
      <c r="D386" s="5"/>
      <c r="E386" s="6">
        <f t="shared" si="10"/>
        <v>0</v>
      </c>
      <c r="F386" s="6">
        <f t="shared" si="10"/>
        <v>0</v>
      </c>
      <c r="G386" s="62"/>
      <c r="H386" s="62"/>
      <c r="I386" s="60"/>
      <c r="J386" s="60"/>
      <c r="K386" s="64"/>
      <c r="L386" s="64"/>
      <c r="M386" s="25"/>
      <c r="N386" s="25"/>
    </row>
    <row r="387" spans="1:14">
      <c r="A387" s="3" t="s">
        <v>732</v>
      </c>
      <c r="B387" s="4" t="s">
        <v>733</v>
      </c>
      <c r="C387" s="5">
        <f t="shared" si="11"/>
        <v>0</v>
      </c>
      <c r="D387" s="5"/>
      <c r="E387" s="6">
        <f t="shared" si="10"/>
        <v>0</v>
      </c>
      <c r="F387" s="6">
        <f t="shared" si="10"/>
        <v>0</v>
      </c>
      <c r="G387" s="62"/>
      <c r="H387" s="62"/>
      <c r="I387" s="60"/>
      <c r="J387" s="60"/>
      <c r="K387" s="64"/>
      <c r="L387" s="64"/>
      <c r="M387" s="25"/>
      <c r="N387" s="25"/>
    </row>
    <row r="388" spans="1:14">
      <c r="A388" s="3" t="s">
        <v>734</v>
      </c>
      <c r="B388" s="4" t="s">
        <v>735</v>
      </c>
      <c r="C388" s="5">
        <f t="shared" si="11"/>
        <v>0</v>
      </c>
      <c r="D388" s="5"/>
      <c r="E388" s="6">
        <f t="shared" si="10"/>
        <v>0</v>
      </c>
      <c r="F388" s="6">
        <f t="shared" si="10"/>
        <v>0</v>
      </c>
      <c r="G388" s="62"/>
      <c r="H388" s="62"/>
      <c r="I388" s="60"/>
      <c r="J388" s="60"/>
      <c r="K388" s="64"/>
      <c r="L388" s="64"/>
      <c r="M388" s="25"/>
      <c r="N388" s="25"/>
    </row>
    <row r="389" spans="1:14">
      <c r="A389" s="3" t="s">
        <v>736</v>
      </c>
      <c r="B389" s="4" t="s">
        <v>737</v>
      </c>
      <c r="C389" s="5">
        <f t="shared" si="11"/>
        <v>0</v>
      </c>
      <c r="D389" s="5"/>
      <c r="E389" s="6">
        <f t="shared" si="10"/>
        <v>0</v>
      </c>
      <c r="F389" s="6">
        <f t="shared" si="10"/>
        <v>0</v>
      </c>
      <c r="G389" s="62"/>
      <c r="H389" s="62"/>
      <c r="I389" s="60"/>
      <c r="J389" s="60"/>
      <c r="K389" s="64"/>
      <c r="L389" s="64"/>
      <c r="M389" s="25"/>
      <c r="N389" s="25"/>
    </row>
    <row r="390" spans="1:14">
      <c r="A390" s="3" t="s">
        <v>738</v>
      </c>
      <c r="B390" s="4" t="s">
        <v>739</v>
      </c>
      <c r="C390" s="5">
        <f t="shared" si="11"/>
        <v>0</v>
      </c>
      <c r="D390" s="5"/>
      <c r="E390" s="6">
        <f t="shared" si="10"/>
        <v>0</v>
      </c>
      <c r="F390" s="6">
        <f t="shared" si="10"/>
        <v>0</v>
      </c>
      <c r="G390" s="62"/>
      <c r="H390" s="62"/>
      <c r="I390" s="60"/>
      <c r="J390" s="60"/>
      <c r="K390" s="64"/>
      <c r="L390" s="64"/>
      <c r="M390" s="25"/>
      <c r="N390" s="25"/>
    </row>
    <row r="391" spans="1:14">
      <c r="A391" s="3" t="s">
        <v>740</v>
      </c>
      <c r="B391" s="4" t="s">
        <v>741</v>
      </c>
      <c r="C391" s="5">
        <f t="shared" si="11"/>
        <v>0</v>
      </c>
      <c r="D391" s="5"/>
      <c r="E391" s="6">
        <f t="shared" si="10"/>
        <v>0</v>
      </c>
      <c r="F391" s="6">
        <f t="shared" si="10"/>
        <v>0</v>
      </c>
      <c r="G391" s="62"/>
      <c r="H391" s="62"/>
      <c r="I391" s="60"/>
      <c r="J391" s="60"/>
      <c r="K391" s="64"/>
      <c r="L391" s="64"/>
      <c r="M391" s="25"/>
      <c r="N391" s="25"/>
    </row>
    <row r="392" spans="1:14">
      <c r="A392" s="3" t="s">
        <v>742</v>
      </c>
      <c r="B392" s="4" t="s">
        <v>743</v>
      </c>
      <c r="C392" s="5">
        <f t="shared" si="11"/>
        <v>0</v>
      </c>
      <c r="D392" s="5"/>
      <c r="E392" s="6">
        <f t="shared" si="10"/>
        <v>0</v>
      </c>
      <c r="F392" s="6">
        <f t="shared" si="10"/>
        <v>0</v>
      </c>
      <c r="G392" s="62"/>
      <c r="H392" s="62"/>
      <c r="I392" s="60"/>
      <c r="J392" s="60"/>
      <c r="K392" s="64"/>
      <c r="L392" s="64"/>
      <c r="M392" s="25"/>
      <c r="N392" s="25"/>
    </row>
    <row r="393" spans="1:14">
      <c r="A393" s="3" t="s">
        <v>744</v>
      </c>
      <c r="B393" s="4" t="s">
        <v>745</v>
      </c>
      <c r="C393" s="5">
        <f t="shared" si="11"/>
        <v>0</v>
      </c>
      <c r="D393" s="5"/>
      <c r="E393" s="6">
        <f t="shared" si="10"/>
        <v>0</v>
      </c>
      <c r="F393" s="6">
        <f t="shared" si="10"/>
        <v>0</v>
      </c>
      <c r="G393" s="62"/>
      <c r="H393" s="62"/>
      <c r="I393" s="60"/>
      <c r="J393" s="60"/>
      <c r="K393" s="64"/>
      <c r="L393" s="64"/>
      <c r="M393" s="25"/>
      <c r="N393" s="25"/>
    </row>
    <row r="394" spans="1:14">
      <c r="A394" s="3" t="s">
        <v>746</v>
      </c>
      <c r="B394" s="4" t="s">
        <v>747</v>
      </c>
      <c r="C394" s="5">
        <f t="shared" si="11"/>
        <v>0</v>
      </c>
      <c r="D394" s="5"/>
      <c r="E394" s="6">
        <f t="shared" si="10"/>
        <v>0</v>
      </c>
      <c r="F394" s="6">
        <f t="shared" si="10"/>
        <v>0</v>
      </c>
      <c r="G394" s="62"/>
      <c r="H394" s="62"/>
      <c r="I394" s="60"/>
      <c r="J394" s="60"/>
      <c r="K394" s="64"/>
      <c r="L394" s="64"/>
      <c r="M394" s="25"/>
      <c r="N394" s="25"/>
    </row>
    <row r="395" spans="1:14">
      <c r="A395" s="3" t="s">
        <v>748</v>
      </c>
      <c r="B395" s="4" t="s">
        <v>749</v>
      </c>
      <c r="C395" s="5">
        <f t="shared" si="11"/>
        <v>0</v>
      </c>
      <c r="D395" s="5"/>
      <c r="E395" s="6">
        <f t="shared" si="10"/>
        <v>0</v>
      </c>
      <c r="F395" s="6">
        <f t="shared" si="10"/>
        <v>0</v>
      </c>
      <c r="G395" s="62"/>
      <c r="H395" s="62"/>
      <c r="I395" s="60"/>
      <c r="J395" s="60"/>
      <c r="K395" s="64"/>
      <c r="L395" s="64"/>
      <c r="M395" s="25"/>
      <c r="N395" s="25"/>
    </row>
    <row r="396" spans="1:14">
      <c r="A396" s="3" t="s">
        <v>750</v>
      </c>
      <c r="B396" s="4" t="s">
        <v>751</v>
      </c>
      <c r="C396" s="5">
        <f t="shared" si="11"/>
        <v>0</v>
      </c>
      <c r="D396" s="5"/>
      <c r="E396" s="6">
        <f t="shared" si="10"/>
        <v>0</v>
      </c>
      <c r="F396" s="6">
        <f t="shared" si="10"/>
        <v>0</v>
      </c>
      <c r="G396" s="62"/>
      <c r="H396" s="62"/>
      <c r="I396" s="60"/>
      <c r="J396" s="60"/>
      <c r="K396" s="64"/>
      <c r="L396" s="64"/>
      <c r="M396" s="25"/>
      <c r="N396" s="25"/>
    </row>
    <row r="397" spans="1:14">
      <c r="A397" s="3" t="s">
        <v>752</v>
      </c>
      <c r="B397" s="4" t="s">
        <v>753</v>
      </c>
      <c r="C397" s="5">
        <f t="shared" si="11"/>
        <v>0</v>
      </c>
      <c r="D397" s="5"/>
      <c r="E397" s="6">
        <f t="shared" si="10"/>
        <v>0</v>
      </c>
      <c r="F397" s="6">
        <f t="shared" si="10"/>
        <v>0</v>
      </c>
      <c r="G397" s="62"/>
      <c r="H397" s="62"/>
      <c r="I397" s="60"/>
      <c r="J397" s="60"/>
      <c r="K397" s="64"/>
      <c r="L397" s="64"/>
      <c r="M397" s="25"/>
      <c r="N397" s="25"/>
    </row>
    <row r="398" spans="1:14">
      <c r="A398" s="3" t="s">
        <v>754</v>
      </c>
      <c r="B398" s="4" t="s">
        <v>755</v>
      </c>
      <c r="C398" s="5">
        <f t="shared" si="11"/>
        <v>0</v>
      </c>
      <c r="D398" s="5"/>
      <c r="E398" s="6">
        <f t="shared" ref="E398:F461" si="12">SUM(G398,I398,K398,M398)</f>
        <v>0</v>
      </c>
      <c r="F398" s="6">
        <f t="shared" si="12"/>
        <v>0</v>
      </c>
      <c r="G398" s="62"/>
      <c r="H398" s="62"/>
      <c r="I398" s="60"/>
      <c r="J398" s="60"/>
      <c r="K398" s="64"/>
      <c r="L398" s="64"/>
      <c r="M398" s="25"/>
      <c r="N398" s="25"/>
    </row>
    <row r="399" spans="1:14">
      <c r="A399" s="3" t="s">
        <v>756</v>
      </c>
      <c r="B399" s="4" t="s">
        <v>757</v>
      </c>
      <c r="C399" s="5">
        <f t="shared" si="11"/>
        <v>0</v>
      </c>
      <c r="D399" s="5"/>
      <c r="E399" s="6">
        <f t="shared" si="12"/>
        <v>0</v>
      </c>
      <c r="F399" s="6">
        <f t="shared" si="12"/>
        <v>0</v>
      </c>
      <c r="G399" s="62"/>
      <c r="H399" s="62"/>
      <c r="I399" s="60"/>
      <c r="J399" s="60"/>
      <c r="K399" s="64"/>
      <c r="L399" s="64"/>
      <c r="M399" s="25"/>
      <c r="N399" s="25"/>
    </row>
    <row r="400" spans="1:14">
      <c r="A400" s="3" t="s">
        <v>758</v>
      </c>
      <c r="B400" s="4" t="s">
        <v>759</v>
      </c>
      <c r="C400" s="5">
        <f t="shared" si="11"/>
        <v>0</v>
      </c>
      <c r="D400" s="5"/>
      <c r="E400" s="6">
        <f t="shared" si="12"/>
        <v>0</v>
      </c>
      <c r="F400" s="6">
        <f t="shared" si="12"/>
        <v>0</v>
      </c>
      <c r="G400" s="62"/>
      <c r="H400" s="62"/>
      <c r="I400" s="60"/>
      <c r="J400" s="60"/>
      <c r="K400" s="64"/>
      <c r="L400" s="64"/>
      <c r="M400" s="25"/>
      <c r="N400" s="25"/>
    </row>
    <row r="401" spans="1:14">
      <c r="A401" s="3" t="s">
        <v>760</v>
      </c>
      <c r="B401" s="4" t="s">
        <v>761</v>
      </c>
      <c r="C401" s="5">
        <f t="shared" si="11"/>
        <v>0</v>
      </c>
      <c r="D401" s="5"/>
      <c r="E401" s="6">
        <f t="shared" si="12"/>
        <v>0</v>
      </c>
      <c r="F401" s="6">
        <f t="shared" si="12"/>
        <v>0</v>
      </c>
      <c r="G401" s="62"/>
      <c r="H401" s="62"/>
      <c r="I401" s="60"/>
      <c r="J401" s="60"/>
      <c r="K401" s="64"/>
      <c r="L401" s="64"/>
      <c r="M401" s="25"/>
      <c r="N401" s="25"/>
    </row>
    <row r="402" spans="1:14">
      <c r="A402" s="3" t="s">
        <v>762</v>
      </c>
      <c r="B402" s="4" t="s">
        <v>763</v>
      </c>
      <c r="C402" s="5">
        <f t="shared" si="11"/>
        <v>0</v>
      </c>
      <c r="D402" s="5"/>
      <c r="E402" s="6">
        <f t="shared" si="12"/>
        <v>0</v>
      </c>
      <c r="F402" s="6">
        <f t="shared" si="12"/>
        <v>0</v>
      </c>
      <c r="G402" s="62"/>
      <c r="H402" s="62"/>
      <c r="I402" s="60"/>
      <c r="J402" s="60"/>
      <c r="K402" s="64"/>
      <c r="L402" s="64"/>
      <c r="M402" s="25"/>
      <c r="N402" s="25"/>
    </row>
    <row r="403" spans="1:14">
      <c r="A403" s="3" t="s">
        <v>764</v>
      </c>
      <c r="B403" s="4" t="s">
        <v>765</v>
      </c>
      <c r="C403" s="5">
        <f t="shared" si="11"/>
        <v>0</v>
      </c>
      <c r="D403" s="5"/>
      <c r="E403" s="6">
        <f t="shared" si="12"/>
        <v>0</v>
      </c>
      <c r="F403" s="6">
        <f t="shared" si="12"/>
        <v>0</v>
      </c>
      <c r="G403" s="62"/>
      <c r="H403" s="62"/>
      <c r="I403" s="60"/>
      <c r="J403" s="60"/>
      <c r="K403" s="64"/>
      <c r="L403" s="64"/>
      <c r="M403" s="25"/>
      <c r="N403" s="25"/>
    </row>
    <row r="404" spans="1:14">
      <c r="A404" s="3" t="s">
        <v>766</v>
      </c>
      <c r="B404" s="4" t="s">
        <v>767</v>
      </c>
      <c r="C404" s="5">
        <f t="shared" si="11"/>
        <v>0</v>
      </c>
      <c r="D404" s="5"/>
      <c r="E404" s="6">
        <f t="shared" si="12"/>
        <v>0</v>
      </c>
      <c r="F404" s="6">
        <f t="shared" si="12"/>
        <v>0</v>
      </c>
      <c r="G404" s="62"/>
      <c r="H404" s="62"/>
      <c r="I404" s="60"/>
      <c r="J404" s="60"/>
      <c r="K404" s="64"/>
      <c r="L404" s="64"/>
      <c r="M404" s="25"/>
      <c r="N404" s="25"/>
    </row>
    <row r="405" spans="1:14">
      <c r="A405" s="3" t="s">
        <v>768</v>
      </c>
      <c r="B405" s="4" t="s">
        <v>769</v>
      </c>
      <c r="C405" s="5">
        <f t="shared" si="11"/>
        <v>0</v>
      </c>
      <c r="D405" s="5"/>
      <c r="E405" s="6">
        <f t="shared" si="12"/>
        <v>0</v>
      </c>
      <c r="F405" s="6">
        <f t="shared" si="12"/>
        <v>0</v>
      </c>
      <c r="G405" s="62"/>
      <c r="H405" s="62"/>
      <c r="I405" s="60"/>
      <c r="J405" s="60"/>
      <c r="K405" s="64"/>
      <c r="L405" s="64"/>
      <c r="M405" s="25"/>
      <c r="N405" s="25"/>
    </row>
    <row r="406" spans="1:14">
      <c r="A406" s="3" t="s">
        <v>770</v>
      </c>
      <c r="B406" s="4" t="s">
        <v>771</v>
      </c>
      <c r="C406" s="5">
        <f t="shared" si="11"/>
        <v>0</v>
      </c>
      <c r="D406" s="5"/>
      <c r="E406" s="6">
        <f t="shared" si="12"/>
        <v>0</v>
      </c>
      <c r="F406" s="6">
        <f t="shared" si="12"/>
        <v>0</v>
      </c>
      <c r="G406" s="62"/>
      <c r="H406" s="62"/>
      <c r="I406" s="60"/>
      <c r="J406" s="60"/>
      <c r="K406" s="64"/>
      <c r="L406" s="64"/>
      <c r="M406" s="25"/>
      <c r="N406" s="25"/>
    </row>
    <row r="407" spans="1:14">
      <c r="A407" s="3" t="s">
        <v>772</v>
      </c>
      <c r="B407" s="4" t="s">
        <v>773</v>
      </c>
      <c r="C407" s="5">
        <f t="shared" si="11"/>
        <v>0</v>
      </c>
      <c r="D407" s="5"/>
      <c r="E407" s="6">
        <f t="shared" si="12"/>
        <v>0</v>
      </c>
      <c r="F407" s="6">
        <f t="shared" si="12"/>
        <v>0</v>
      </c>
      <c r="G407" s="62"/>
      <c r="H407" s="62"/>
      <c r="I407" s="60"/>
      <c r="J407" s="60"/>
      <c r="K407" s="64"/>
      <c r="L407" s="64"/>
      <c r="M407" s="25"/>
      <c r="N407" s="25"/>
    </row>
    <row r="408" spans="1:14">
      <c r="A408" s="3" t="s">
        <v>774</v>
      </c>
      <c r="B408" s="4" t="s">
        <v>775</v>
      </c>
      <c r="C408" s="5">
        <f t="shared" si="11"/>
        <v>0</v>
      </c>
      <c r="D408" s="5"/>
      <c r="E408" s="6">
        <f t="shared" si="12"/>
        <v>0</v>
      </c>
      <c r="F408" s="6">
        <f t="shared" si="12"/>
        <v>0</v>
      </c>
      <c r="G408" s="62"/>
      <c r="H408" s="62"/>
      <c r="I408" s="60"/>
      <c r="J408" s="60"/>
      <c r="K408" s="64"/>
      <c r="L408" s="64"/>
      <c r="M408" s="25"/>
      <c r="N408" s="25"/>
    </row>
    <row r="409" spans="1:14">
      <c r="A409" s="3" t="s">
        <v>776</v>
      </c>
      <c r="B409" s="4" t="s">
        <v>777</v>
      </c>
      <c r="C409" s="5">
        <f t="shared" ref="C409:C461" si="13">E409-F409</f>
        <v>0</v>
      </c>
      <c r="D409" s="5"/>
      <c r="E409" s="6">
        <f t="shared" si="12"/>
        <v>0</v>
      </c>
      <c r="F409" s="6">
        <f t="shared" si="12"/>
        <v>0</v>
      </c>
      <c r="G409" s="62"/>
      <c r="H409" s="62"/>
      <c r="I409" s="60"/>
      <c r="J409" s="60"/>
      <c r="K409" s="64"/>
      <c r="L409" s="64"/>
      <c r="M409" s="25"/>
      <c r="N409" s="25"/>
    </row>
    <row r="410" spans="1:14">
      <c r="A410" s="3" t="s">
        <v>778</v>
      </c>
      <c r="B410" s="4" t="s">
        <v>779</v>
      </c>
      <c r="C410" s="5">
        <f t="shared" si="13"/>
        <v>0</v>
      </c>
      <c r="D410" s="5"/>
      <c r="E410" s="6">
        <f t="shared" si="12"/>
        <v>0</v>
      </c>
      <c r="F410" s="6">
        <f t="shared" si="12"/>
        <v>0</v>
      </c>
      <c r="G410" s="62"/>
      <c r="H410" s="62"/>
      <c r="I410" s="60"/>
      <c r="J410" s="60"/>
      <c r="K410" s="64"/>
      <c r="L410" s="64"/>
      <c r="M410" s="25"/>
      <c r="N410" s="25"/>
    </row>
    <row r="411" spans="1:14">
      <c r="A411" s="3" t="s">
        <v>780</v>
      </c>
      <c r="B411" s="4" t="s">
        <v>781</v>
      </c>
      <c r="C411" s="5">
        <f t="shared" si="13"/>
        <v>0</v>
      </c>
      <c r="D411" s="5"/>
      <c r="E411" s="6">
        <f t="shared" si="12"/>
        <v>0</v>
      </c>
      <c r="F411" s="6">
        <f t="shared" si="12"/>
        <v>0</v>
      </c>
      <c r="G411" s="62"/>
      <c r="H411" s="62"/>
      <c r="I411" s="60"/>
      <c r="J411" s="60"/>
      <c r="K411" s="64"/>
      <c r="L411" s="64"/>
      <c r="M411" s="25"/>
      <c r="N411" s="25"/>
    </row>
    <row r="412" spans="1:14">
      <c r="A412" s="3" t="s">
        <v>782</v>
      </c>
      <c r="B412" s="4" t="s">
        <v>783</v>
      </c>
      <c r="C412" s="5">
        <f t="shared" si="13"/>
        <v>0</v>
      </c>
      <c r="D412" s="5"/>
      <c r="E412" s="6">
        <f t="shared" si="12"/>
        <v>0</v>
      </c>
      <c r="F412" s="6">
        <f t="shared" si="12"/>
        <v>0</v>
      </c>
      <c r="G412" s="62"/>
      <c r="H412" s="62"/>
      <c r="I412" s="60"/>
      <c r="J412" s="60"/>
      <c r="K412" s="64"/>
      <c r="L412" s="64"/>
      <c r="M412" s="25"/>
      <c r="N412" s="25"/>
    </row>
    <row r="413" spans="1:14">
      <c r="A413" s="3" t="s">
        <v>784</v>
      </c>
      <c r="B413" s="4" t="s">
        <v>785</v>
      </c>
      <c r="C413" s="5">
        <f t="shared" si="13"/>
        <v>0</v>
      </c>
      <c r="D413" s="5"/>
      <c r="E413" s="6">
        <f t="shared" si="12"/>
        <v>0</v>
      </c>
      <c r="F413" s="6">
        <f t="shared" si="12"/>
        <v>0</v>
      </c>
      <c r="G413" s="62"/>
      <c r="H413" s="62"/>
      <c r="I413" s="60"/>
      <c r="J413" s="60"/>
      <c r="K413" s="64"/>
      <c r="L413" s="64"/>
      <c r="M413" s="25"/>
      <c r="N413" s="25"/>
    </row>
    <row r="414" spans="1:14">
      <c r="A414" s="3" t="s">
        <v>786</v>
      </c>
      <c r="B414" s="4" t="s">
        <v>787</v>
      </c>
      <c r="C414" s="5">
        <f t="shared" si="13"/>
        <v>0</v>
      </c>
      <c r="D414" s="5"/>
      <c r="E414" s="6">
        <f t="shared" si="12"/>
        <v>0</v>
      </c>
      <c r="F414" s="6">
        <f t="shared" si="12"/>
        <v>0</v>
      </c>
      <c r="G414" s="62"/>
      <c r="H414" s="62"/>
      <c r="I414" s="60"/>
      <c r="J414" s="60"/>
      <c r="K414" s="64"/>
      <c r="L414" s="64"/>
      <c r="M414" s="25"/>
      <c r="N414" s="25"/>
    </row>
    <row r="415" spans="1:14">
      <c r="A415" s="3" t="s">
        <v>788</v>
      </c>
      <c r="B415" s="4" t="s">
        <v>789</v>
      </c>
      <c r="C415" s="5">
        <f t="shared" si="13"/>
        <v>0</v>
      </c>
      <c r="D415" s="5"/>
      <c r="E415" s="6">
        <f t="shared" si="12"/>
        <v>0</v>
      </c>
      <c r="F415" s="6">
        <f t="shared" si="12"/>
        <v>0</v>
      </c>
      <c r="G415" s="62"/>
      <c r="H415" s="62"/>
      <c r="I415" s="60"/>
      <c r="J415" s="60"/>
      <c r="K415" s="64"/>
      <c r="L415" s="64"/>
      <c r="M415" s="25"/>
      <c r="N415" s="25"/>
    </row>
    <row r="416" spans="1:14">
      <c r="A416" s="3" t="s">
        <v>790</v>
      </c>
      <c r="B416" s="4" t="s">
        <v>791</v>
      </c>
      <c r="C416" s="5">
        <f t="shared" si="13"/>
        <v>0</v>
      </c>
      <c r="D416" s="5"/>
      <c r="E416" s="6">
        <f t="shared" si="12"/>
        <v>0</v>
      </c>
      <c r="F416" s="6">
        <f t="shared" si="12"/>
        <v>0</v>
      </c>
      <c r="G416" s="62"/>
      <c r="H416" s="62"/>
      <c r="I416" s="60"/>
      <c r="J416" s="60"/>
      <c r="K416" s="64"/>
      <c r="L416" s="64"/>
      <c r="M416" s="25"/>
      <c r="N416" s="25"/>
    </row>
    <row r="417" spans="1:14">
      <c r="A417" s="3" t="s">
        <v>792</v>
      </c>
      <c r="B417" s="4" t="s">
        <v>793</v>
      </c>
      <c r="C417" s="5">
        <f t="shared" si="13"/>
        <v>0</v>
      </c>
      <c r="D417" s="5"/>
      <c r="E417" s="6">
        <f t="shared" si="12"/>
        <v>0</v>
      </c>
      <c r="F417" s="6">
        <f t="shared" si="12"/>
        <v>0</v>
      </c>
      <c r="G417" s="62"/>
      <c r="H417" s="62"/>
      <c r="I417" s="60"/>
      <c r="J417" s="60"/>
      <c r="K417" s="64"/>
      <c r="L417" s="64"/>
      <c r="M417" s="25"/>
      <c r="N417" s="25"/>
    </row>
    <row r="418" spans="1:14">
      <c r="A418" s="3" t="s">
        <v>794</v>
      </c>
      <c r="B418" s="4" t="s">
        <v>795</v>
      </c>
      <c r="C418" s="5">
        <f t="shared" si="13"/>
        <v>0</v>
      </c>
      <c r="D418" s="5"/>
      <c r="E418" s="6">
        <f t="shared" si="12"/>
        <v>0</v>
      </c>
      <c r="F418" s="6">
        <f t="shared" si="12"/>
        <v>0</v>
      </c>
      <c r="G418" s="62"/>
      <c r="H418" s="62"/>
      <c r="I418" s="60"/>
      <c r="J418" s="60"/>
      <c r="K418" s="64"/>
      <c r="L418" s="64"/>
      <c r="M418" s="25"/>
      <c r="N418" s="25"/>
    </row>
    <row r="419" spans="1:14">
      <c r="A419" s="3" t="s">
        <v>796</v>
      </c>
      <c r="B419" s="4" t="s">
        <v>797</v>
      </c>
      <c r="C419" s="5">
        <f t="shared" si="13"/>
        <v>0</v>
      </c>
      <c r="D419" s="5"/>
      <c r="E419" s="6">
        <f t="shared" si="12"/>
        <v>0</v>
      </c>
      <c r="F419" s="6">
        <f t="shared" si="12"/>
        <v>0</v>
      </c>
      <c r="G419" s="62"/>
      <c r="H419" s="62"/>
      <c r="I419" s="60"/>
      <c r="J419" s="60"/>
      <c r="K419" s="64"/>
      <c r="L419" s="64"/>
      <c r="M419" s="25"/>
      <c r="N419" s="25"/>
    </row>
    <row r="420" spans="1:14">
      <c r="A420" s="3" t="s">
        <v>798</v>
      </c>
      <c r="B420" s="4" t="s">
        <v>799</v>
      </c>
      <c r="C420" s="5">
        <f t="shared" si="13"/>
        <v>0</v>
      </c>
      <c r="D420" s="5"/>
      <c r="E420" s="6">
        <f t="shared" si="12"/>
        <v>0</v>
      </c>
      <c r="F420" s="6">
        <f t="shared" si="12"/>
        <v>0</v>
      </c>
      <c r="G420" s="62"/>
      <c r="H420" s="62"/>
      <c r="I420" s="60"/>
      <c r="J420" s="60"/>
      <c r="K420" s="64"/>
      <c r="L420" s="64"/>
      <c r="M420" s="25"/>
      <c r="N420" s="25"/>
    </row>
    <row r="421" spans="1:14">
      <c r="A421" s="3" t="s">
        <v>800</v>
      </c>
      <c r="B421" s="4" t="s">
        <v>801</v>
      </c>
      <c r="C421" s="5">
        <f t="shared" si="13"/>
        <v>0</v>
      </c>
      <c r="D421" s="5"/>
      <c r="E421" s="6">
        <f t="shared" si="12"/>
        <v>0</v>
      </c>
      <c r="F421" s="6">
        <f t="shared" si="12"/>
        <v>0</v>
      </c>
      <c r="G421" s="62"/>
      <c r="H421" s="62"/>
      <c r="I421" s="60"/>
      <c r="J421" s="60"/>
      <c r="K421" s="64"/>
      <c r="L421" s="64"/>
      <c r="M421" s="25"/>
      <c r="N421" s="25"/>
    </row>
    <row r="422" spans="1:14">
      <c r="A422" s="3" t="s">
        <v>802</v>
      </c>
      <c r="B422" s="4" t="s">
        <v>803</v>
      </c>
      <c r="C422" s="5">
        <f t="shared" si="13"/>
        <v>0</v>
      </c>
      <c r="D422" s="5"/>
      <c r="E422" s="6">
        <f t="shared" si="12"/>
        <v>0</v>
      </c>
      <c r="F422" s="6">
        <f t="shared" si="12"/>
        <v>0</v>
      </c>
      <c r="G422" s="62"/>
      <c r="H422" s="62"/>
      <c r="I422" s="60"/>
      <c r="J422" s="60"/>
      <c r="K422" s="64"/>
      <c r="L422" s="64"/>
      <c r="M422" s="25"/>
      <c r="N422" s="25"/>
    </row>
    <row r="423" spans="1:14">
      <c r="A423" s="3" t="s">
        <v>804</v>
      </c>
      <c r="B423" s="4" t="s">
        <v>805</v>
      </c>
      <c r="C423" s="5">
        <f t="shared" si="13"/>
        <v>0</v>
      </c>
      <c r="D423" s="5"/>
      <c r="E423" s="6">
        <f t="shared" si="12"/>
        <v>0</v>
      </c>
      <c r="F423" s="6">
        <f t="shared" si="12"/>
        <v>0</v>
      </c>
      <c r="G423" s="62"/>
      <c r="H423" s="62"/>
      <c r="I423" s="60"/>
      <c r="J423" s="60"/>
      <c r="K423" s="64"/>
      <c r="L423" s="64"/>
      <c r="M423" s="25"/>
      <c r="N423" s="25"/>
    </row>
    <row r="424" spans="1:14">
      <c r="A424" s="3" t="s">
        <v>806</v>
      </c>
      <c r="B424" s="4" t="s">
        <v>807</v>
      </c>
      <c r="C424" s="5">
        <f t="shared" si="13"/>
        <v>0</v>
      </c>
      <c r="D424" s="5"/>
      <c r="E424" s="6">
        <f t="shared" si="12"/>
        <v>0</v>
      </c>
      <c r="F424" s="6">
        <f t="shared" si="12"/>
        <v>0</v>
      </c>
      <c r="G424" s="62"/>
      <c r="H424" s="62"/>
      <c r="I424" s="60"/>
      <c r="J424" s="60"/>
      <c r="K424" s="64"/>
      <c r="L424" s="64"/>
      <c r="M424" s="25"/>
      <c r="N424" s="25"/>
    </row>
    <row r="425" spans="1:14">
      <c r="A425" s="3" t="s">
        <v>808</v>
      </c>
      <c r="B425" s="4" t="s">
        <v>809</v>
      </c>
      <c r="C425" s="5">
        <f t="shared" si="13"/>
        <v>0</v>
      </c>
      <c r="D425" s="5"/>
      <c r="E425" s="6">
        <f t="shared" si="12"/>
        <v>0</v>
      </c>
      <c r="F425" s="6">
        <f t="shared" si="12"/>
        <v>0</v>
      </c>
      <c r="G425" s="62"/>
      <c r="H425" s="62"/>
      <c r="I425" s="60"/>
      <c r="J425" s="60"/>
      <c r="K425" s="64"/>
      <c r="L425" s="64"/>
      <c r="M425" s="25"/>
      <c r="N425" s="25"/>
    </row>
    <row r="426" spans="1:14">
      <c r="A426" s="3" t="s">
        <v>810</v>
      </c>
      <c r="B426" s="4" t="s">
        <v>811</v>
      </c>
      <c r="C426" s="5">
        <f t="shared" si="13"/>
        <v>0</v>
      </c>
      <c r="D426" s="5"/>
      <c r="E426" s="6">
        <f t="shared" si="12"/>
        <v>0</v>
      </c>
      <c r="F426" s="6">
        <f t="shared" si="12"/>
        <v>0</v>
      </c>
      <c r="G426" s="62"/>
      <c r="H426" s="62"/>
      <c r="I426" s="60"/>
      <c r="J426" s="60"/>
      <c r="K426" s="64"/>
      <c r="L426" s="64"/>
      <c r="M426" s="25"/>
      <c r="N426" s="25"/>
    </row>
    <row r="427" spans="1:14">
      <c r="A427" s="3" t="s">
        <v>812</v>
      </c>
      <c r="B427" s="4" t="s">
        <v>813</v>
      </c>
      <c r="C427" s="5">
        <f t="shared" si="13"/>
        <v>0</v>
      </c>
      <c r="D427" s="5"/>
      <c r="E427" s="6">
        <f t="shared" si="12"/>
        <v>0</v>
      </c>
      <c r="F427" s="6">
        <f t="shared" si="12"/>
        <v>0</v>
      </c>
      <c r="G427" s="62"/>
      <c r="H427" s="62"/>
      <c r="I427" s="60"/>
      <c r="J427" s="60"/>
      <c r="K427" s="64"/>
      <c r="L427" s="64"/>
      <c r="M427" s="25"/>
      <c r="N427" s="25"/>
    </row>
    <row r="428" spans="1:14">
      <c r="A428" s="3" t="s">
        <v>814</v>
      </c>
      <c r="B428" s="4" t="s">
        <v>815</v>
      </c>
      <c r="C428" s="5">
        <f t="shared" si="13"/>
        <v>0</v>
      </c>
      <c r="D428" s="5"/>
      <c r="E428" s="6">
        <f t="shared" si="12"/>
        <v>0</v>
      </c>
      <c r="F428" s="6">
        <f t="shared" si="12"/>
        <v>0</v>
      </c>
      <c r="G428" s="62"/>
      <c r="H428" s="62"/>
      <c r="I428" s="60"/>
      <c r="J428" s="60"/>
      <c r="K428" s="64"/>
      <c r="L428" s="64"/>
      <c r="M428" s="25"/>
      <c r="N428" s="25"/>
    </row>
    <row r="429" spans="1:14">
      <c r="A429" s="3" t="s">
        <v>816</v>
      </c>
      <c r="B429" s="4" t="s">
        <v>817</v>
      </c>
      <c r="C429" s="5">
        <f t="shared" si="13"/>
        <v>0</v>
      </c>
      <c r="D429" s="5"/>
      <c r="E429" s="6">
        <f t="shared" si="12"/>
        <v>0</v>
      </c>
      <c r="F429" s="6">
        <f t="shared" si="12"/>
        <v>0</v>
      </c>
      <c r="G429" s="62"/>
      <c r="H429" s="62"/>
      <c r="I429" s="60"/>
      <c r="J429" s="60"/>
      <c r="K429" s="64"/>
      <c r="L429" s="64"/>
      <c r="M429" s="25"/>
      <c r="N429" s="25"/>
    </row>
    <row r="430" spans="1:14">
      <c r="A430" s="3" t="s">
        <v>818</v>
      </c>
      <c r="B430" s="4" t="s">
        <v>819</v>
      </c>
      <c r="C430" s="5">
        <f t="shared" si="13"/>
        <v>0</v>
      </c>
      <c r="D430" s="5"/>
      <c r="E430" s="6">
        <f t="shared" si="12"/>
        <v>0</v>
      </c>
      <c r="F430" s="6">
        <f t="shared" si="12"/>
        <v>0</v>
      </c>
      <c r="G430" s="62"/>
      <c r="H430" s="62"/>
      <c r="I430" s="60"/>
      <c r="J430" s="60"/>
      <c r="K430" s="64"/>
      <c r="L430" s="64"/>
      <c r="M430" s="25"/>
      <c r="N430" s="25"/>
    </row>
    <row r="431" spans="1:14">
      <c r="A431" s="3" t="s">
        <v>820</v>
      </c>
      <c r="B431" s="4" t="s">
        <v>821</v>
      </c>
      <c r="C431" s="5">
        <f t="shared" si="13"/>
        <v>0</v>
      </c>
      <c r="D431" s="5"/>
      <c r="E431" s="6">
        <f t="shared" si="12"/>
        <v>0</v>
      </c>
      <c r="F431" s="6">
        <f t="shared" si="12"/>
        <v>0</v>
      </c>
      <c r="G431" s="62"/>
      <c r="H431" s="62"/>
      <c r="I431" s="60"/>
      <c r="J431" s="60"/>
      <c r="K431" s="64"/>
      <c r="L431" s="64"/>
      <c r="M431" s="25"/>
      <c r="N431" s="25"/>
    </row>
    <row r="432" spans="1:14">
      <c r="A432" s="3" t="s">
        <v>822</v>
      </c>
      <c r="B432" s="4" t="s">
        <v>823</v>
      </c>
      <c r="C432" s="5">
        <f t="shared" si="13"/>
        <v>0</v>
      </c>
      <c r="D432" s="5"/>
      <c r="E432" s="6">
        <f t="shared" si="12"/>
        <v>0</v>
      </c>
      <c r="F432" s="6">
        <f t="shared" si="12"/>
        <v>0</v>
      </c>
      <c r="G432" s="62"/>
      <c r="H432" s="62"/>
      <c r="I432" s="60"/>
      <c r="J432" s="60"/>
      <c r="K432" s="64"/>
      <c r="L432" s="64"/>
      <c r="M432" s="25"/>
      <c r="N432" s="25"/>
    </row>
    <row r="433" spans="1:14">
      <c r="A433" s="3" t="s">
        <v>824</v>
      </c>
      <c r="B433" s="4" t="s">
        <v>825</v>
      </c>
      <c r="C433" s="5">
        <f t="shared" si="13"/>
        <v>0</v>
      </c>
      <c r="D433" s="5"/>
      <c r="E433" s="6">
        <f t="shared" si="12"/>
        <v>0</v>
      </c>
      <c r="F433" s="6">
        <f t="shared" si="12"/>
        <v>0</v>
      </c>
      <c r="G433" s="62"/>
      <c r="H433" s="62"/>
      <c r="I433" s="60"/>
      <c r="J433" s="60"/>
      <c r="K433" s="64"/>
      <c r="L433" s="64"/>
      <c r="M433" s="25"/>
      <c r="N433" s="25"/>
    </row>
    <row r="434" spans="1:14">
      <c r="A434" s="3" t="s">
        <v>826</v>
      </c>
      <c r="B434" s="4" t="s">
        <v>827</v>
      </c>
      <c r="C434" s="5">
        <f t="shared" si="13"/>
        <v>0</v>
      </c>
      <c r="D434" s="5"/>
      <c r="E434" s="6">
        <f t="shared" si="12"/>
        <v>0</v>
      </c>
      <c r="F434" s="6">
        <f t="shared" si="12"/>
        <v>0</v>
      </c>
      <c r="G434" s="62"/>
      <c r="H434" s="62"/>
      <c r="I434" s="60"/>
      <c r="J434" s="60"/>
      <c r="K434" s="64"/>
      <c r="L434" s="64"/>
      <c r="M434" s="25"/>
      <c r="N434" s="25"/>
    </row>
    <row r="435" spans="1:14">
      <c r="A435" s="3" t="s">
        <v>828</v>
      </c>
      <c r="B435" s="4" t="s">
        <v>829</v>
      </c>
      <c r="C435" s="5">
        <f t="shared" si="13"/>
        <v>0</v>
      </c>
      <c r="D435" s="5"/>
      <c r="E435" s="6">
        <f t="shared" si="12"/>
        <v>0</v>
      </c>
      <c r="F435" s="6">
        <f t="shared" si="12"/>
        <v>0</v>
      </c>
      <c r="G435" s="62"/>
      <c r="H435" s="62"/>
      <c r="I435" s="60"/>
      <c r="J435" s="60"/>
      <c r="K435" s="64"/>
      <c r="L435" s="64"/>
      <c r="M435" s="25"/>
      <c r="N435" s="25"/>
    </row>
    <row r="436" spans="1:14">
      <c r="A436" s="3" t="s">
        <v>830</v>
      </c>
      <c r="B436" s="4" t="s">
        <v>831</v>
      </c>
      <c r="C436" s="5">
        <f t="shared" si="13"/>
        <v>0</v>
      </c>
      <c r="D436" s="5"/>
      <c r="E436" s="6">
        <f t="shared" si="12"/>
        <v>0</v>
      </c>
      <c r="F436" s="6">
        <f t="shared" si="12"/>
        <v>0</v>
      </c>
      <c r="G436" s="62"/>
      <c r="H436" s="62"/>
      <c r="I436" s="60"/>
      <c r="J436" s="60"/>
      <c r="K436" s="64"/>
      <c r="L436" s="64"/>
      <c r="M436" s="25"/>
      <c r="N436" s="25"/>
    </row>
    <row r="437" spans="1:14">
      <c r="A437" s="3" t="s">
        <v>832</v>
      </c>
      <c r="B437" s="4" t="s">
        <v>833</v>
      </c>
      <c r="C437" s="5">
        <f t="shared" si="13"/>
        <v>0</v>
      </c>
      <c r="D437" s="5"/>
      <c r="E437" s="6">
        <f t="shared" si="12"/>
        <v>0</v>
      </c>
      <c r="F437" s="6">
        <f t="shared" si="12"/>
        <v>0</v>
      </c>
      <c r="G437" s="62"/>
      <c r="H437" s="62"/>
      <c r="I437" s="60"/>
      <c r="J437" s="60"/>
      <c r="K437" s="64"/>
      <c r="L437" s="64"/>
      <c r="M437" s="25"/>
      <c r="N437" s="25"/>
    </row>
    <row r="438" spans="1:14">
      <c r="A438" s="3" t="s">
        <v>834</v>
      </c>
      <c r="B438" s="4" t="s">
        <v>835</v>
      </c>
      <c r="C438" s="5">
        <f t="shared" si="13"/>
        <v>0</v>
      </c>
      <c r="D438" s="5"/>
      <c r="E438" s="6">
        <f t="shared" si="12"/>
        <v>0</v>
      </c>
      <c r="F438" s="6">
        <f t="shared" si="12"/>
        <v>0</v>
      </c>
      <c r="G438" s="62"/>
      <c r="H438" s="62"/>
      <c r="I438" s="60"/>
      <c r="J438" s="60"/>
      <c r="K438" s="64"/>
      <c r="L438" s="64"/>
      <c r="M438" s="25"/>
      <c r="N438" s="25"/>
    </row>
    <row r="439" spans="1:14">
      <c r="A439" s="3" t="s">
        <v>836</v>
      </c>
      <c r="B439" s="4" t="s">
        <v>837</v>
      </c>
      <c r="C439" s="5">
        <f t="shared" si="13"/>
        <v>0</v>
      </c>
      <c r="D439" s="5"/>
      <c r="E439" s="6">
        <f t="shared" si="12"/>
        <v>0</v>
      </c>
      <c r="F439" s="6">
        <f t="shared" si="12"/>
        <v>0</v>
      </c>
      <c r="G439" s="62"/>
      <c r="H439" s="62"/>
      <c r="I439" s="60"/>
      <c r="J439" s="60"/>
      <c r="K439" s="64"/>
      <c r="L439" s="64"/>
      <c r="M439" s="25"/>
      <c r="N439" s="25"/>
    </row>
    <row r="440" spans="1:14">
      <c r="A440" s="3" t="s">
        <v>838</v>
      </c>
      <c r="B440" s="4" t="s">
        <v>839</v>
      </c>
      <c r="C440" s="5">
        <f t="shared" si="13"/>
        <v>0</v>
      </c>
      <c r="D440" s="5"/>
      <c r="E440" s="6">
        <f t="shared" si="12"/>
        <v>0</v>
      </c>
      <c r="F440" s="6">
        <f t="shared" si="12"/>
        <v>0</v>
      </c>
      <c r="G440" s="62"/>
      <c r="H440" s="62"/>
      <c r="I440" s="60"/>
      <c r="J440" s="60"/>
      <c r="K440" s="64"/>
      <c r="L440" s="64"/>
      <c r="M440" s="25"/>
      <c r="N440" s="25"/>
    </row>
    <row r="441" spans="1:14">
      <c r="A441" s="3" t="s">
        <v>840</v>
      </c>
      <c r="B441" s="4" t="s">
        <v>841</v>
      </c>
      <c r="C441" s="5">
        <f t="shared" si="13"/>
        <v>0</v>
      </c>
      <c r="D441" s="5"/>
      <c r="E441" s="6">
        <f t="shared" si="12"/>
        <v>0</v>
      </c>
      <c r="F441" s="6">
        <f t="shared" si="12"/>
        <v>0</v>
      </c>
      <c r="G441" s="62"/>
      <c r="H441" s="62"/>
      <c r="I441" s="60"/>
      <c r="J441" s="60"/>
      <c r="K441" s="64"/>
      <c r="L441" s="64"/>
      <c r="M441" s="25"/>
      <c r="N441" s="25"/>
    </row>
    <row r="442" spans="1:14">
      <c r="A442" s="3" t="s">
        <v>842</v>
      </c>
      <c r="B442" s="4" t="s">
        <v>843</v>
      </c>
      <c r="C442" s="5">
        <f t="shared" si="13"/>
        <v>0</v>
      </c>
      <c r="D442" s="5"/>
      <c r="E442" s="6">
        <f t="shared" si="12"/>
        <v>0</v>
      </c>
      <c r="F442" s="6">
        <f t="shared" si="12"/>
        <v>0</v>
      </c>
      <c r="G442" s="62"/>
      <c r="H442" s="62"/>
      <c r="I442" s="60"/>
      <c r="J442" s="60"/>
      <c r="K442" s="64"/>
      <c r="L442" s="64"/>
      <c r="M442" s="25"/>
      <c r="N442" s="25"/>
    </row>
    <row r="443" spans="1:14">
      <c r="A443" s="3" t="s">
        <v>844</v>
      </c>
      <c r="B443" s="4" t="s">
        <v>845</v>
      </c>
      <c r="C443" s="5">
        <f t="shared" si="13"/>
        <v>0</v>
      </c>
      <c r="D443" s="5"/>
      <c r="E443" s="6">
        <f t="shared" si="12"/>
        <v>0</v>
      </c>
      <c r="F443" s="6">
        <f t="shared" si="12"/>
        <v>0</v>
      </c>
      <c r="G443" s="62"/>
      <c r="H443" s="62"/>
      <c r="I443" s="60"/>
      <c r="J443" s="60"/>
      <c r="K443" s="64"/>
      <c r="L443" s="64"/>
      <c r="M443" s="25"/>
      <c r="N443" s="25"/>
    </row>
    <row r="444" spans="1:14">
      <c r="A444" s="3" t="s">
        <v>846</v>
      </c>
      <c r="B444" s="4" t="s">
        <v>847</v>
      </c>
      <c r="C444" s="5">
        <f t="shared" si="13"/>
        <v>0</v>
      </c>
      <c r="D444" s="5"/>
      <c r="E444" s="6">
        <f t="shared" si="12"/>
        <v>0</v>
      </c>
      <c r="F444" s="6">
        <f t="shared" si="12"/>
        <v>0</v>
      </c>
      <c r="G444" s="62"/>
      <c r="H444" s="62"/>
      <c r="I444" s="60"/>
      <c r="J444" s="60"/>
      <c r="K444" s="64"/>
      <c r="L444" s="64"/>
      <c r="M444" s="25"/>
      <c r="N444" s="25"/>
    </row>
    <row r="445" spans="1:14">
      <c r="A445" s="3" t="s">
        <v>848</v>
      </c>
      <c r="B445" s="4" t="s">
        <v>849</v>
      </c>
      <c r="C445" s="5">
        <f t="shared" si="13"/>
        <v>0</v>
      </c>
      <c r="D445" s="5"/>
      <c r="E445" s="6">
        <f t="shared" si="12"/>
        <v>0</v>
      </c>
      <c r="F445" s="6">
        <f t="shared" si="12"/>
        <v>0</v>
      </c>
      <c r="G445" s="62"/>
      <c r="H445" s="62"/>
      <c r="I445" s="60"/>
      <c r="J445" s="60"/>
      <c r="K445" s="64"/>
      <c r="L445" s="64"/>
      <c r="M445" s="25"/>
      <c r="N445" s="25"/>
    </row>
    <row r="446" spans="1:14">
      <c r="A446" s="3" t="s">
        <v>850</v>
      </c>
      <c r="B446" s="4" t="s">
        <v>851</v>
      </c>
      <c r="C446" s="5">
        <f t="shared" si="13"/>
        <v>0</v>
      </c>
      <c r="D446" s="5"/>
      <c r="E446" s="6">
        <f t="shared" si="12"/>
        <v>0</v>
      </c>
      <c r="F446" s="6">
        <f t="shared" si="12"/>
        <v>0</v>
      </c>
      <c r="G446" s="62"/>
      <c r="H446" s="62"/>
      <c r="I446" s="60"/>
      <c r="J446" s="60"/>
      <c r="K446" s="64"/>
      <c r="L446" s="64"/>
      <c r="M446" s="25"/>
      <c r="N446" s="25"/>
    </row>
    <row r="447" spans="1:14">
      <c r="A447" s="3" t="s">
        <v>852</v>
      </c>
      <c r="B447" s="4" t="s">
        <v>853</v>
      </c>
      <c r="C447" s="5">
        <f t="shared" si="13"/>
        <v>0</v>
      </c>
      <c r="D447" s="5"/>
      <c r="E447" s="6">
        <f t="shared" si="12"/>
        <v>0</v>
      </c>
      <c r="F447" s="6">
        <f t="shared" si="12"/>
        <v>0</v>
      </c>
      <c r="G447" s="62"/>
      <c r="H447" s="62"/>
      <c r="I447" s="60"/>
      <c r="J447" s="60"/>
      <c r="K447" s="64"/>
      <c r="L447" s="64"/>
      <c r="M447" s="25"/>
      <c r="N447" s="25"/>
    </row>
    <row r="448" spans="1:14">
      <c r="A448" s="3" t="s">
        <v>854</v>
      </c>
      <c r="B448" s="4">
        <v>954</v>
      </c>
      <c r="C448" s="5">
        <f t="shared" si="13"/>
        <v>0</v>
      </c>
      <c r="D448" s="5"/>
      <c r="E448" s="6">
        <f t="shared" si="12"/>
        <v>0</v>
      </c>
      <c r="F448" s="6">
        <f t="shared" si="12"/>
        <v>0</v>
      </c>
      <c r="G448" s="62"/>
      <c r="H448" s="62"/>
      <c r="I448" s="60"/>
      <c r="J448" s="60"/>
      <c r="K448" s="64"/>
      <c r="L448" s="64"/>
      <c r="M448" s="25"/>
      <c r="N448" s="25"/>
    </row>
    <row r="449" spans="1:14">
      <c r="A449" s="3" t="s">
        <v>855</v>
      </c>
      <c r="B449" s="4">
        <v>955</v>
      </c>
      <c r="C449" s="5">
        <f t="shared" si="13"/>
        <v>0</v>
      </c>
      <c r="D449" s="5"/>
      <c r="E449" s="6">
        <f t="shared" si="12"/>
        <v>0</v>
      </c>
      <c r="F449" s="6">
        <f t="shared" si="12"/>
        <v>0</v>
      </c>
      <c r="G449" s="62"/>
      <c r="H449" s="62"/>
      <c r="I449" s="60"/>
      <c r="J449" s="60"/>
      <c r="K449" s="64"/>
      <c r="L449" s="64"/>
      <c r="M449" s="25"/>
      <c r="N449" s="25"/>
    </row>
    <row r="450" spans="1:14">
      <c r="A450" s="3" t="s">
        <v>856</v>
      </c>
      <c r="B450" s="4" t="s">
        <v>857</v>
      </c>
      <c r="C450" s="5">
        <f t="shared" si="13"/>
        <v>0</v>
      </c>
      <c r="D450" s="5"/>
      <c r="E450" s="6">
        <f t="shared" si="12"/>
        <v>0</v>
      </c>
      <c r="F450" s="6">
        <f t="shared" si="12"/>
        <v>0</v>
      </c>
      <c r="G450" s="62"/>
      <c r="H450" s="62"/>
      <c r="I450" s="60"/>
      <c r="J450" s="60"/>
      <c r="K450" s="64"/>
      <c r="L450" s="64"/>
      <c r="M450" s="25"/>
      <c r="N450" s="25"/>
    </row>
    <row r="451" spans="1:14">
      <c r="A451" s="3" t="s">
        <v>858</v>
      </c>
      <c r="B451" s="4" t="s">
        <v>859</v>
      </c>
      <c r="C451" s="5">
        <f t="shared" si="13"/>
        <v>0</v>
      </c>
      <c r="D451" s="5"/>
      <c r="E451" s="6">
        <f t="shared" si="12"/>
        <v>0</v>
      </c>
      <c r="F451" s="6">
        <f t="shared" si="12"/>
        <v>0</v>
      </c>
      <c r="G451" s="62"/>
      <c r="H451" s="62"/>
      <c r="I451" s="60"/>
      <c r="J451" s="60"/>
      <c r="K451" s="64"/>
      <c r="L451" s="64"/>
      <c r="M451" s="25"/>
      <c r="N451" s="25"/>
    </row>
    <row r="452" spans="1:14">
      <c r="A452" s="3" t="s">
        <v>860</v>
      </c>
      <c r="B452" s="4" t="s">
        <v>861</v>
      </c>
      <c r="C452" s="5">
        <f t="shared" si="13"/>
        <v>0</v>
      </c>
      <c r="D452" s="5"/>
      <c r="E452" s="6">
        <f t="shared" si="12"/>
        <v>0</v>
      </c>
      <c r="F452" s="6">
        <f t="shared" si="12"/>
        <v>0</v>
      </c>
      <c r="G452" s="62"/>
      <c r="H452" s="62"/>
      <c r="I452" s="60"/>
      <c r="J452" s="60"/>
      <c r="K452" s="64"/>
      <c r="L452" s="64"/>
      <c r="M452" s="25"/>
      <c r="N452" s="25"/>
    </row>
    <row r="453" spans="1:14">
      <c r="A453" s="3" t="s">
        <v>862</v>
      </c>
      <c r="B453" s="4" t="s">
        <v>863</v>
      </c>
      <c r="C453" s="5">
        <f t="shared" si="13"/>
        <v>0</v>
      </c>
      <c r="D453" s="5"/>
      <c r="E453" s="6">
        <f t="shared" si="12"/>
        <v>0</v>
      </c>
      <c r="F453" s="6">
        <f t="shared" si="12"/>
        <v>0</v>
      </c>
      <c r="G453" s="62"/>
      <c r="H453" s="62"/>
      <c r="I453" s="60"/>
      <c r="J453" s="60"/>
      <c r="K453" s="64"/>
      <c r="L453" s="64"/>
      <c r="M453" s="25"/>
      <c r="N453" s="25"/>
    </row>
    <row r="454" spans="1:14">
      <c r="A454" s="3" t="s">
        <v>864</v>
      </c>
      <c r="B454" s="4" t="s">
        <v>865</v>
      </c>
      <c r="C454" s="5">
        <f t="shared" si="13"/>
        <v>0</v>
      </c>
      <c r="D454" s="5"/>
      <c r="E454" s="6">
        <f t="shared" si="12"/>
        <v>0</v>
      </c>
      <c r="F454" s="6">
        <f t="shared" si="12"/>
        <v>0</v>
      </c>
      <c r="G454" s="62"/>
      <c r="H454" s="62"/>
      <c r="I454" s="60"/>
      <c r="J454" s="60"/>
      <c r="K454" s="64"/>
      <c r="L454" s="64"/>
      <c r="M454" s="25"/>
      <c r="N454" s="25"/>
    </row>
    <row r="455" spans="1:14">
      <c r="A455" s="3" t="s">
        <v>866</v>
      </c>
      <c r="B455" s="4" t="s">
        <v>867</v>
      </c>
      <c r="C455" s="5">
        <f t="shared" si="13"/>
        <v>0</v>
      </c>
      <c r="D455" s="5"/>
      <c r="E455" s="6">
        <f t="shared" si="12"/>
        <v>0</v>
      </c>
      <c r="F455" s="6">
        <f t="shared" si="12"/>
        <v>0</v>
      </c>
      <c r="G455" s="62"/>
      <c r="H455" s="62"/>
      <c r="I455" s="60"/>
      <c r="J455" s="60"/>
      <c r="K455" s="64"/>
      <c r="L455" s="64"/>
      <c r="M455" s="25"/>
      <c r="N455" s="25"/>
    </row>
    <row r="456" spans="1:14">
      <c r="A456" s="3" t="s">
        <v>868</v>
      </c>
      <c r="B456" s="4" t="s">
        <v>869</v>
      </c>
      <c r="C456" s="5">
        <f t="shared" si="13"/>
        <v>0</v>
      </c>
      <c r="D456" s="5"/>
      <c r="E456" s="6">
        <f t="shared" si="12"/>
        <v>0</v>
      </c>
      <c r="F456" s="6">
        <f t="shared" si="12"/>
        <v>0</v>
      </c>
      <c r="G456" s="62"/>
      <c r="H456" s="62"/>
      <c r="I456" s="60"/>
      <c r="J456" s="60"/>
      <c r="K456" s="64"/>
      <c r="L456" s="64"/>
      <c r="M456" s="25"/>
      <c r="N456" s="25"/>
    </row>
    <row r="457" spans="1:14">
      <c r="A457" s="3" t="s">
        <v>870</v>
      </c>
      <c r="B457" s="4" t="s">
        <v>871</v>
      </c>
      <c r="C457" s="5">
        <f t="shared" si="13"/>
        <v>0</v>
      </c>
      <c r="D457" s="5"/>
      <c r="E457" s="6">
        <f t="shared" si="12"/>
        <v>0</v>
      </c>
      <c r="F457" s="6">
        <f t="shared" si="12"/>
        <v>0</v>
      </c>
      <c r="G457" s="62"/>
      <c r="H457" s="62"/>
      <c r="I457" s="60"/>
      <c r="J457" s="60"/>
      <c r="K457" s="64"/>
      <c r="L457" s="64"/>
      <c r="M457" s="25"/>
      <c r="N457" s="25"/>
    </row>
    <row r="458" spans="1:14">
      <c r="A458" s="3" t="s">
        <v>872</v>
      </c>
      <c r="B458" s="4" t="s">
        <v>873</v>
      </c>
      <c r="C458" s="5">
        <f t="shared" si="13"/>
        <v>0</v>
      </c>
      <c r="D458" s="5"/>
      <c r="E458" s="6">
        <f t="shared" si="12"/>
        <v>0</v>
      </c>
      <c r="F458" s="6">
        <f t="shared" si="12"/>
        <v>0</v>
      </c>
      <c r="G458" s="62"/>
      <c r="H458" s="62"/>
      <c r="I458" s="60"/>
      <c r="J458" s="60"/>
      <c r="K458" s="64"/>
      <c r="L458" s="64"/>
      <c r="M458" s="25"/>
      <c r="N458" s="25"/>
    </row>
    <row r="459" spans="1:14" s="67" customFormat="1" ht="15">
      <c r="A459" s="3" t="s">
        <v>874</v>
      </c>
      <c r="B459" s="4" t="s">
        <v>875</v>
      </c>
      <c r="C459" s="5">
        <f t="shared" si="13"/>
        <v>0</v>
      </c>
      <c r="D459" s="5"/>
      <c r="E459" s="6">
        <f t="shared" si="12"/>
        <v>0</v>
      </c>
      <c r="F459" s="6">
        <f t="shared" si="12"/>
        <v>0</v>
      </c>
      <c r="G459" s="62"/>
      <c r="H459" s="62"/>
      <c r="I459" s="60"/>
      <c r="J459" s="60"/>
      <c r="K459" s="64"/>
      <c r="L459" s="64"/>
      <c r="M459" s="25"/>
      <c r="N459" s="25"/>
    </row>
    <row r="460" spans="1:14">
      <c r="A460" s="3" t="s">
        <v>876</v>
      </c>
      <c r="B460" s="4" t="s">
        <v>877</v>
      </c>
      <c r="C460" s="5">
        <f t="shared" si="13"/>
        <v>0</v>
      </c>
      <c r="D460" s="5"/>
      <c r="E460" s="6">
        <f t="shared" si="12"/>
        <v>0</v>
      </c>
      <c r="F460" s="6">
        <f t="shared" si="12"/>
        <v>0</v>
      </c>
      <c r="G460" s="62"/>
      <c r="H460" s="62"/>
      <c r="I460" s="60"/>
      <c r="J460" s="60"/>
      <c r="K460" s="64"/>
      <c r="L460" s="64"/>
      <c r="M460" s="25"/>
      <c r="N460" s="25"/>
    </row>
    <row r="461" spans="1:14" s="1" customFormat="1">
      <c r="A461" s="3" t="s">
        <v>878</v>
      </c>
      <c r="B461" s="4" t="s">
        <v>879</v>
      </c>
      <c r="C461" s="5">
        <f t="shared" si="13"/>
        <v>0</v>
      </c>
      <c r="D461" s="5"/>
      <c r="E461" s="6">
        <f t="shared" si="12"/>
        <v>0</v>
      </c>
      <c r="F461" s="6">
        <f t="shared" si="12"/>
        <v>0</v>
      </c>
      <c r="G461" s="62"/>
      <c r="H461" s="62"/>
      <c r="I461" s="60"/>
      <c r="J461" s="60"/>
      <c r="K461" s="64"/>
      <c r="L461" s="64"/>
      <c r="M461" s="25"/>
      <c r="N461" s="25"/>
    </row>
    <row r="462" spans="1:14" ht="17.25">
      <c r="A462" s="13" t="s">
        <v>880</v>
      </c>
      <c r="B462" s="14"/>
      <c r="C462" s="15">
        <f>SUM(C13:C461)</f>
        <v>0</v>
      </c>
      <c r="D462" s="15">
        <f>SUM(D13:D461)</f>
        <v>0</v>
      </c>
      <c r="E462" s="16">
        <f>SUM(E13:E461)</f>
        <v>0</v>
      </c>
      <c r="F462" s="16">
        <f>SUM(F13:F461)</f>
        <v>0</v>
      </c>
      <c r="G462" s="71">
        <f>SUM(G13:G461)</f>
        <v>0</v>
      </c>
      <c r="H462" s="71">
        <f t="shared" ref="H462:N462" si="14">SUM(H13:H461)</f>
        <v>0</v>
      </c>
      <c r="I462" s="72">
        <f t="shared" si="14"/>
        <v>0</v>
      </c>
      <c r="J462" s="72">
        <f t="shared" si="14"/>
        <v>0</v>
      </c>
      <c r="K462" s="73">
        <f t="shared" si="14"/>
        <v>0</v>
      </c>
      <c r="L462" s="73">
        <f t="shared" si="14"/>
        <v>0</v>
      </c>
      <c r="M462" s="74">
        <f t="shared" si="14"/>
        <v>0</v>
      </c>
      <c r="N462" s="74">
        <f t="shared" si="14"/>
        <v>0</v>
      </c>
    </row>
    <row r="463" spans="1:14" hidden="1">
      <c r="A463" s="17" t="s">
        <v>881</v>
      </c>
      <c r="B463" s="18"/>
    </row>
    <row r="464" spans="1:14" hidden="1">
      <c r="A464" s="20" t="s">
        <v>882</v>
      </c>
      <c r="B464" s="21"/>
    </row>
    <row r="465" spans="1:14" hidden="1">
      <c r="A465" s="20" t="s">
        <v>883</v>
      </c>
      <c r="B465" s="21"/>
    </row>
    <row r="466" spans="1:14" hidden="1">
      <c r="A466" s="22" t="s">
        <v>884</v>
      </c>
      <c r="B466" s="21"/>
    </row>
    <row r="467" spans="1:14" hidden="1">
      <c r="A467" s="22" t="s">
        <v>885</v>
      </c>
      <c r="B467" s="21"/>
    </row>
    <row r="468" spans="1:14" hidden="1">
      <c r="A468" s="20" t="s">
        <v>886</v>
      </c>
      <c r="B468" s="21"/>
    </row>
    <row r="469" spans="1:14" hidden="1">
      <c r="A469" s="20" t="s">
        <v>887</v>
      </c>
      <c r="B469" s="21"/>
    </row>
    <row r="470" spans="1:14" hidden="1">
      <c r="A470" s="20" t="s">
        <v>888</v>
      </c>
      <c r="B470" s="21"/>
    </row>
    <row r="471" spans="1:14" hidden="1">
      <c r="A471" s="22" t="s">
        <v>889</v>
      </c>
      <c r="B471" s="21"/>
    </row>
    <row r="472" spans="1:14" hidden="1">
      <c r="A472" s="22" t="s">
        <v>890</v>
      </c>
      <c r="B472" s="21"/>
    </row>
    <row r="473" spans="1:14" hidden="1">
      <c r="A473" s="20" t="s">
        <v>891</v>
      </c>
      <c r="B473" s="21"/>
    </row>
    <row r="474" spans="1:14" hidden="1">
      <c r="A474" s="20" t="s">
        <v>892</v>
      </c>
      <c r="B474" s="21"/>
    </row>
    <row r="475" spans="1:14">
      <c r="A475" s="23"/>
      <c r="B475" s="24"/>
      <c r="D475" s="19">
        <f>D462-C462</f>
        <v>0</v>
      </c>
      <c r="F475" s="19">
        <f>F462-E462</f>
        <v>0</v>
      </c>
      <c r="H475" s="19">
        <f>H462-G462</f>
        <v>0</v>
      </c>
      <c r="J475" s="19">
        <f>J462-I462</f>
        <v>0</v>
      </c>
      <c r="L475" s="19">
        <f>L462-K462</f>
        <v>0</v>
      </c>
      <c r="N475" s="19">
        <f>N462-M462</f>
        <v>0</v>
      </c>
    </row>
    <row r="476" spans="1:14">
      <c r="A476" s="23"/>
      <c r="B476" s="24"/>
    </row>
    <row r="477" spans="1:14">
      <c r="A477" s="23"/>
      <c r="B477" s="24"/>
    </row>
    <row r="478" spans="1:14">
      <c r="A478" s="23"/>
      <c r="B478" s="75" t="s">
        <v>893</v>
      </c>
    </row>
    <row r="479" spans="1:14">
      <c r="A479" s="23"/>
      <c r="B479" s="24"/>
    </row>
    <row r="480" spans="1:14">
      <c r="A480" s="23"/>
      <c r="B480" s="24"/>
    </row>
    <row r="481" spans="1:2">
      <c r="A481" s="23"/>
      <c r="B481" s="24"/>
    </row>
    <row r="482" spans="1:2">
      <c r="A482" s="23"/>
      <c r="B482" s="24"/>
    </row>
    <row r="483" spans="1:2">
      <c r="A483" s="23"/>
      <c r="B483" s="24"/>
    </row>
  </sheetData>
  <mergeCells count="28">
    <mergeCell ref="A1:D1"/>
    <mergeCell ref="A2:D2"/>
    <mergeCell ref="A3:D3"/>
    <mergeCell ref="A4:D4"/>
    <mergeCell ref="A5:D5"/>
    <mergeCell ref="A7:D7"/>
    <mergeCell ref="A8:D8"/>
    <mergeCell ref="E9:F10"/>
    <mergeCell ref="G9:H10"/>
    <mergeCell ref="A6:D6"/>
    <mergeCell ref="A11:A12"/>
    <mergeCell ref="B11:B12"/>
    <mergeCell ref="C11:C12"/>
    <mergeCell ref="D11:D12"/>
    <mergeCell ref="E11:E12"/>
    <mergeCell ref="L11:L12"/>
    <mergeCell ref="M11:M12"/>
    <mergeCell ref="K9:L10"/>
    <mergeCell ref="M9:N10"/>
    <mergeCell ref="C10:D10"/>
    <mergeCell ref="F11:F12"/>
    <mergeCell ref="G11:G12"/>
    <mergeCell ref="I9:J10"/>
    <mergeCell ref="N11:N12"/>
    <mergeCell ref="H11:H12"/>
    <mergeCell ref="I11:I12"/>
    <mergeCell ref="J11:J12"/>
    <mergeCell ref="K11:K12"/>
  </mergeCells>
  <printOptions horizontalCentered="1"/>
  <pageMargins left="1" right="1" top="1" bottom="1" header="0.5" footer="0.5"/>
  <pageSetup paperSize="149" scale="85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B050"/>
  </sheetPr>
  <dimension ref="A1:N486"/>
  <sheetViews>
    <sheetView topLeftCell="A142" workbookViewId="0">
      <selection activeCell="C19" sqref="C19"/>
    </sheetView>
  </sheetViews>
  <sheetFormatPr defaultRowHeight="14.25"/>
  <cols>
    <col min="1" max="1" width="49.7109375" style="19" customWidth="1"/>
    <col min="2" max="2" width="9.7109375" style="69" customWidth="1"/>
    <col min="3" max="3" width="18.5703125" style="19" customWidth="1"/>
    <col min="4" max="4" width="19" style="19" customWidth="1"/>
    <col min="5" max="6" width="18.7109375" style="19" customWidth="1"/>
    <col min="7" max="7" width="20" style="19" customWidth="1"/>
    <col min="8" max="8" width="18.7109375" style="19" customWidth="1"/>
    <col min="9" max="9" width="20.28515625" style="19" bestFit="1" customWidth="1"/>
    <col min="10" max="10" width="18.7109375" style="19" customWidth="1"/>
    <col min="11" max="11" width="20" style="19" customWidth="1"/>
    <col min="12" max="12" width="18.7109375" style="19" customWidth="1"/>
    <col min="13" max="13" width="20.28515625" style="19" bestFit="1" customWidth="1"/>
    <col min="14" max="14" width="18.7109375" style="19" customWidth="1"/>
    <col min="15" max="16384" width="9.140625" style="19"/>
  </cols>
  <sheetData>
    <row r="1" spans="1:14">
      <c r="A1" s="238" t="s">
        <v>0</v>
      </c>
      <c r="B1" s="238"/>
      <c r="C1" s="238"/>
      <c r="D1" s="238"/>
    </row>
    <row r="2" spans="1:14" ht="15">
      <c r="A2" s="271" t="s">
        <v>1</v>
      </c>
      <c r="B2" s="271"/>
      <c r="C2" s="271"/>
      <c r="D2" s="271"/>
    </row>
    <row r="3" spans="1:14">
      <c r="A3" s="238" t="s">
        <v>2</v>
      </c>
      <c r="B3" s="238"/>
      <c r="C3" s="238"/>
      <c r="D3" s="238"/>
    </row>
    <row r="4" spans="1:14">
      <c r="A4" s="238"/>
      <c r="B4" s="238"/>
      <c r="C4" s="238"/>
      <c r="D4" s="238"/>
    </row>
    <row r="5" spans="1:14" ht="15">
      <c r="A5" s="271" t="s">
        <v>3</v>
      </c>
      <c r="B5" s="239"/>
      <c r="C5" s="271"/>
      <c r="D5" s="271"/>
    </row>
    <row r="6" spans="1:14" ht="15">
      <c r="A6" s="271" t="s">
        <v>4</v>
      </c>
      <c r="B6" s="239"/>
      <c r="C6" s="271"/>
      <c r="D6" s="271"/>
    </row>
    <row r="7" spans="1:14" ht="15">
      <c r="A7" s="271" t="s">
        <v>2339</v>
      </c>
      <c r="B7" s="239"/>
      <c r="C7" s="271"/>
      <c r="D7" s="271"/>
    </row>
    <row r="8" spans="1:14">
      <c r="A8" s="238"/>
      <c r="B8" s="240"/>
      <c r="C8" s="238"/>
      <c r="D8" s="238"/>
    </row>
    <row r="9" spans="1:14" s="67" customFormat="1" ht="15">
      <c r="A9" s="66"/>
      <c r="B9" s="66"/>
      <c r="E9" s="250"/>
      <c r="F9" s="251"/>
      <c r="G9" s="261" t="s">
        <v>10</v>
      </c>
      <c r="H9" s="262"/>
      <c r="I9" s="254" t="s">
        <v>1009</v>
      </c>
      <c r="J9" s="255"/>
      <c r="K9" s="265" t="s">
        <v>1010</v>
      </c>
      <c r="L9" s="265"/>
      <c r="M9" s="267" t="s">
        <v>11</v>
      </c>
      <c r="N9" s="267"/>
    </row>
    <row r="10" spans="1:14" ht="14.25" customHeight="1">
      <c r="A10" s="68"/>
      <c r="C10" s="241"/>
      <c r="D10" s="242"/>
      <c r="E10" s="252"/>
      <c r="F10" s="253"/>
      <c r="G10" s="263"/>
      <c r="H10" s="264"/>
      <c r="I10" s="256"/>
      <c r="J10" s="257"/>
      <c r="K10" s="265"/>
      <c r="L10" s="265"/>
      <c r="M10" s="267"/>
      <c r="N10" s="267"/>
    </row>
    <row r="11" spans="1:14" ht="15" customHeight="1">
      <c r="A11" s="243" t="s">
        <v>6</v>
      </c>
      <c r="B11" s="245" t="s">
        <v>7</v>
      </c>
      <c r="C11" s="243" t="s">
        <v>8</v>
      </c>
      <c r="D11" s="243" t="s">
        <v>9</v>
      </c>
      <c r="E11" s="247" t="s">
        <v>8</v>
      </c>
      <c r="F11" s="259" t="s">
        <v>9</v>
      </c>
      <c r="G11" s="249" t="s">
        <v>8</v>
      </c>
      <c r="H11" s="249" t="s">
        <v>9</v>
      </c>
      <c r="I11" s="258" t="s">
        <v>8</v>
      </c>
      <c r="J11" s="258" t="s">
        <v>9</v>
      </c>
      <c r="K11" s="266" t="s">
        <v>8</v>
      </c>
      <c r="L11" s="266" t="s">
        <v>9</v>
      </c>
      <c r="M11" s="268" t="s">
        <v>8</v>
      </c>
      <c r="N11" s="268" t="s">
        <v>9</v>
      </c>
    </row>
    <row r="12" spans="1:14">
      <c r="A12" s="244"/>
      <c r="B12" s="246"/>
      <c r="C12" s="244"/>
      <c r="D12" s="244"/>
      <c r="E12" s="248"/>
      <c r="F12" s="260"/>
      <c r="G12" s="249"/>
      <c r="H12" s="249"/>
      <c r="I12" s="258"/>
      <c r="J12" s="258"/>
      <c r="K12" s="266"/>
      <c r="L12" s="266"/>
      <c r="M12" s="268"/>
      <c r="N12" s="268"/>
    </row>
    <row r="13" spans="1:14" hidden="1">
      <c r="A13" s="3" t="s">
        <v>12</v>
      </c>
      <c r="B13" s="4">
        <v>101</v>
      </c>
      <c r="C13" s="5">
        <f>E13-F13</f>
        <v>0</v>
      </c>
      <c r="D13" s="5"/>
      <c r="E13" s="6">
        <f>SUM(G13,I13,K13,M13)</f>
        <v>44928692.510000005</v>
      </c>
      <c r="F13" s="6">
        <f>SUM(H13,J13,L13,N13)</f>
        <v>44928692.510000005</v>
      </c>
      <c r="G13" s="94">
        <f>'TB-Jan'!G13+'TB-Feb'!G13+'TB-Mar'!G13+'TB-Apr'!G13+'TB-May'!G13+'TB-Jun'!G13+'TB-Jul'!G13+'TB-Aug'!G13+'TB-Sep'!G13+'TB-Oct'!G13+'TB-Nov'!G13+'TB-Dec'!G13</f>
        <v>0</v>
      </c>
      <c r="H13" s="94">
        <f>'TB-Jan'!H13+'TB-Feb'!H13+'TB-Mar'!H13+'TB-Apr'!H13+'TB-May'!H13+'TB-Jun'!H13+'TB-Jul'!H13+'TB-Aug'!H13+'TB-Sep'!H13+'TB-Oct'!H13+'TB-Nov'!H13+'TB-Dec'!H13</f>
        <v>0</v>
      </c>
      <c r="I13" s="95">
        <f>'TB-Jan'!I13+'TB-Feb'!I13+'TB-Mar'!I13+'TB-Apr'!I13+'TB-May'!I13+'TB-Jun'!I13+'TB-Jul'!I13+'TB-Aug'!I13+'TB-Sep'!I13+'TB-Oct'!I13+'TB-Nov'!I13+'TB-Dec'!I13</f>
        <v>0</v>
      </c>
      <c r="J13" s="95">
        <f>'TB-Jan'!J13+'TB-Feb'!J13+'TB-Mar'!J13+'TB-Apr'!J13+'TB-May'!J13+'TB-Jun'!J13+'TB-Jul'!J13+'TB-Aug'!J13+'TB-Sep'!J13+'TB-Oct'!J13+'TB-Nov'!J13+'TB-Dec'!J13</f>
        <v>0</v>
      </c>
      <c r="K13" s="96">
        <f>'TB-Jan'!K13+'TB-Feb'!K13+'TB-Mar'!K13+'TB-Apr'!K13+'TB-May'!K13+'TB-Jun'!K13+'TB-Jul'!K13+'TB-Aug'!K13+'TB-Sep'!K13+'TB-Oct'!K13+'TB-Nov'!K13+'TB-Dec'!K13</f>
        <v>44928692.510000005</v>
      </c>
      <c r="L13" s="96">
        <f>'TB-Jan'!L13+'TB-Feb'!L13+'TB-Mar'!L13+'TB-Apr'!L13+'TB-May'!L13+'TB-Jun'!L13+'TB-Jul'!L13+'TB-Aug'!L13+'TB-Sep'!L13+'TB-Oct'!L13+'TB-Nov'!L13+'TB-Dec'!L13</f>
        <v>44928692.510000005</v>
      </c>
      <c r="M13" s="97">
        <f>'TB-Jan'!M13+'TB-Feb'!M13+'TB-Mar'!M13+'TB-Apr'!M13+'TB-May'!M13+'TB-Jun'!M13+'TB-Jul'!M13+'TB-Aug'!M13+'TB-Sep'!M13+'TB-Oct'!M13+'TB-Nov'!M13+'TB-Dec'!M13</f>
        <v>0</v>
      </c>
      <c r="N13" s="97">
        <f>'TB-Jan'!N13+'TB-Feb'!N13+'TB-Mar'!N13+'TB-Apr'!N13+'TB-May'!N13+'TB-Jun'!N13+'TB-Jul'!N13+'TB-Aug'!N13+'TB-Sep'!N13+'TB-Oct'!N13+'TB-Nov'!N13+'TB-Dec'!N13</f>
        <v>0</v>
      </c>
    </row>
    <row r="14" spans="1:14" hidden="1">
      <c r="A14" s="3" t="s">
        <v>13</v>
      </c>
      <c r="B14" s="4" t="s">
        <v>14</v>
      </c>
      <c r="C14" s="5">
        <f>E14-F14</f>
        <v>0</v>
      </c>
      <c r="D14" s="5"/>
      <c r="E14" s="6">
        <f t="shared" ref="E14:F77" si="0">SUM(G14,I14,K14,M14)</f>
        <v>0</v>
      </c>
      <c r="F14" s="6">
        <f t="shared" si="0"/>
        <v>0</v>
      </c>
      <c r="G14" s="94">
        <f>'TB-Jan'!G14+'TB-Feb'!G14+'TB-Mar'!G14+'TB-Apr'!G14+'TB-May'!G14+'TB-Jun'!G14+'TB-Jul'!G14+'TB-Aug'!G14+'TB-Sep'!G14+'TB-Oct'!G14+'TB-Nov'!G14+'TB-Dec'!G14</f>
        <v>0</v>
      </c>
      <c r="H14" s="94">
        <f>'TB-Jan'!H14+'TB-Feb'!H14+'TB-Mar'!H14+'TB-Apr'!H14+'TB-May'!H14+'TB-Jun'!H14+'TB-Jul'!H14+'TB-Aug'!H14+'TB-Sep'!H14+'TB-Oct'!H14+'TB-Nov'!H14+'TB-Dec'!H14</f>
        <v>0</v>
      </c>
      <c r="I14" s="95">
        <f>'TB-Jan'!I14+'TB-Feb'!I14+'TB-Mar'!I14+'TB-Apr'!I14+'TB-May'!I14+'TB-Jun'!I14+'TB-Jul'!I14+'TB-Aug'!I14+'TB-Sep'!I14+'TB-Oct'!I14+'TB-Nov'!I14+'TB-Dec'!I14</f>
        <v>0</v>
      </c>
      <c r="J14" s="95">
        <f>'TB-Jan'!J14+'TB-Feb'!J14+'TB-Mar'!J14+'TB-Apr'!J14+'TB-May'!J14+'TB-Jun'!J14+'TB-Jul'!J14+'TB-Aug'!J14+'TB-Sep'!J14+'TB-Oct'!J14+'TB-Nov'!J14+'TB-Dec'!J14</f>
        <v>0</v>
      </c>
      <c r="K14" s="96">
        <f>'TB-Jan'!K14+'TB-Feb'!K14+'TB-Mar'!K14+'TB-Apr'!K14+'TB-May'!K14+'TB-Jun'!K14+'TB-Jul'!K14+'TB-Aug'!K14+'TB-Sep'!K14+'TB-Oct'!K14+'TB-Nov'!K14+'TB-Dec'!K14</f>
        <v>0</v>
      </c>
      <c r="L14" s="96">
        <f>'TB-Jan'!L14+'TB-Feb'!L14+'TB-Mar'!L14+'TB-Apr'!L14+'TB-May'!L14+'TB-Jun'!L14+'TB-Jul'!L14+'TB-Aug'!L14+'TB-Sep'!L14+'TB-Oct'!L14+'TB-Nov'!L14+'TB-Dec'!L14</f>
        <v>0</v>
      </c>
      <c r="M14" s="97">
        <f>'TB-Jan'!M14+'TB-Feb'!M14+'TB-Mar'!M14+'TB-Apr'!M14+'TB-May'!M14+'TB-Jun'!M14+'TB-Jul'!M14+'TB-Aug'!M14+'TB-Sep'!M14+'TB-Oct'!M14+'TB-Nov'!M14+'TB-Dec'!M14</f>
        <v>0</v>
      </c>
      <c r="N14" s="97">
        <f>'TB-Jan'!N14+'TB-Feb'!N14+'TB-Mar'!N14+'TB-Apr'!N14+'TB-May'!N14+'TB-Jun'!N14+'TB-Jul'!N14+'TB-Aug'!N14+'TB-Sep'!N14+'TB-Oct'!N14+'TB-Nov'!N14+'TB-Dec'!N14</f>
        <v>0</v>
      </c>
    </row>
    <row r="15" spans="1:14" hidden="1">
      <c r="A15" s="3" t="s">
        <v>15</v>
      </c>
      <c r="B15" s="4" t="s">
        <v>16</v>
      </c>
      <c r="C15" s="5">
        <f>E15-F15</f>
        <v>0</v>
      </c>
      <c r="D15" s="5"/>
      <c r="E15" s="6">
        <f t="shared" si="0"/>
        <v>0</v>
      </c>
      <c r="F15" s="6">
        <f t="shared" si="0"/>
        <v>0</v>
      </c>
      <c r="G15" s="94">
        <f>'TB-Jan'!G15+'TB-Feb'!G15+'TB-Mar'!G15+'TB-Apr'!G15+'TB-May'!G15+'TB-Jun'!G15+'TB-Jul'!G15+'TB-Aug'!G15+'TB-Sep'!G15+'TB-Oct'!G15+'TB-Nov'!G15+'TB-Dec'!G15</f>
        <v>0</v>
      </c>
      <c r="H15" s="94">
        <f>'TB-Jan'!H15+'TB-Feb'!H15+'TB-Mar'!H15+'TB-Apr'!H15+'TB-May'!H15+'TB-Jun'!H15+'TB-Jul'!H15+'TB-Aug'!H15+'TB-Sep'!H15+'TB-Oct'!H15+'TB-Nov'!H15+'TB-Dec'!H15</f>
        <v>0</v>
      </c>
      <c r="I15" s="95">
        <f>'TB-Jan'!I15+'TB-Feb'!I15+'TB-Mar'!I15+'TB-Apr'!I15+'TB-May'!I15+'TB-Jun'!I15+'TB-Jul'!I15+'TB-Aug'!I15+'TB-Sep'!I15+'TB-Oct'!I15+'TB-Nov'!I15+'TB-Dec'!I15</f>
        <v>0</v>
      </c>
      <c r="J15" s="95">
        <f>'TB-Jan'!J15+'TB-Feb'!J15+'TB-Mar'!J15+'TB-Apr'!J15+'TB-May'!J15+'TB-Jun'!J15+'TB-Jul'!J15+'TB-Aug'!J15+'TB-Sep'!J15+'TB-Oct'!J15+'TB-Nov'!J15+'TB-Dec'!J15</f>
        <v>0</v>
      </c>
      <c r="K15" s="96">
        <f>'TB-Jan'!K15+'TB-Feb'!K15+'TB-Mar'!K15+'TB-Apr'!K15+'TB-May'!K15+'TB-Jun'!K15+'TB-Jul'!K15+'TB-Aug'!K15+'TB-Sep'!K15+'TB-Oct'!K15+'TB-Nov'!K15+'TB-Dec'!K15</f>
        <v>0</v>
      </c>
      <c r="L15" s="96">
        <f>'TB-Jan'!L15+'TB-Feb'!L15+'TB-Mar'!L15+'TB-Apr'!L15+'TB-May'!L15+'TB-Jun'!L15+'TB-Jul'!L15+'TB-Aug'!L15+'TB-Sep'!L15+'TB-Oct'!L15+'TB-Nov'!L15+'TB-Dec'!L15</f>
        <v>0</v>
      </c>
      <c r="M15" s="97">
        <f>'TB-Jan'!M15+'TB-Feb'!M15+'TB-Mar'!M15+'TB-Apr'!M15+'TB-May'!M15+'TB-Jun'!M15+'TB-Jul'!M15+'TB-Aug'!M15+'TB-Sep'!M15+'TB-Oct'!M15+'TB-Nov'!M15+'TB-Dec'!M15</f>
        <v>0</v>
      </c>
      <c r="N15" s="97">
        <f>'TB-Jan'!N15+'TB-Feb'!N15+'TB-Mar'!N15+'TB-Apr'!N15+'TB-May'!N15+'TB-Jun'!N15+'TB-Jul'!N15+'TB-Aug'!N15+'TB-Sep'!N15+'TB-Oct'!N15+'TB-Nov'!N15+'TB-Dec'!N15</f>
        <v>0</v>
      </c>
    </row>
    <row r="16" spans="1:14">
      <c r="A16" s="3" t="s">
        <v>17</v>
      </c>
      <c r="B16" s="4" t="s">
        <v>18</v>
      </c>
      <c r="C16" s="5">
        <f>E16-F16</f>
        <v>50000</v>
      </c>
      <c r="D16" s="5"/>
      <c r="E16" s="6">
        <f t="shared" si="0"/>
        <v>50000</v>
      </c>
      <c r="F16" s="6">
        <f t="shared" si="0"/>
        <v>0</v>
      </c>
      <c r="G16" s="94">
        <f>'TB-Jan'!G16+'TB-Feb'!G16+'TB-Mar'!G16+'TB-Apr'!G16+'TB-May'!G16+'TB-Jun'!G16+'TB-Jul'!G16+'TB-Aug'!G16+'TB-Sep'!G16+'TB-Oct'!G16+'TB-Nov'!G16+'TB-Dec'!G16</f>
        <v>50000</v>
      </c>
      <c r="H16" s="94">
        <f>'TB-Jan'!H16+'TB-Feb'!H16+'TB-Mar'!H16+'TB-Apr'!H16+'TB-May'!H16+'TB-Jun'!H16+'TB-Jul'!H16+'TB-Aug'!H16+'TB-Sep'!H16+'TB-Oct'!H16+'TB-Nov'!H16+'TB-Dec'!H16</f>
        <v>0</v>
      </c>
      <c r="I16" s="95">
        <f>'TB-Jan'!I16+'TB-Feb'!I16+'TB-Mar'!I16+'TB-Apr'!I16+'TB-May'!I16+'TB-Jun'!I16+'TB-Jul'!I16+'TB-Aug'!I16+'TB-Sep'!I16+'TB-Oct'!I16+'TB-Nov'!I16+'TB-Dec'!I16</f>
        <v>0</v>
      </c>
      <c r="J16" s="95">
        <f>'TB-Jan'!J16+'TB-Feb'!J16+'TB-Mar'!J16+'TB-Apr'!J16+'TB-May'!J16+'TB-Jun'!J16+'TB-Jul'!J16+'TB-Aug'!J16+'TB-Sep'!J16+'TB-Oct'!J16+'TB-Nov'!J16+'TB-Dec'!J16</f>
        <v>0</v>
      </c>
      <c r="K16" s="96">
        <f>'TB-Jan'!K16+'TB-Feb'!K16+'TB-Mar'!K16+'TB-Apr'!K16+'TB-May'!K16+'TB-Jun'!K16+'TB-Jul'!K16+'TB-Aug'!K16+'TB-Sep'!K16+'TB-Oct'!K16+'TB-Nov'!K16+'TB-Dec'!K16</f>
        <v>0</v>
      </c>
      <c r="L16" s="96">
        <f>'TB-Jan'!L16+'TB-Feb'!L16+'TB-Mar'!L16+'TB-Apr'!L16+'TB-May'!L16+'TB-Jun'!L16+'TB-Jul'!L16+'TB-Aug'!L16+'TB-Sep'!L16+'TB-Oct'!L16+'TB-Nov'!L16+'TB-Dec'!L16</f>
        <v>0</v>
      </c>
      <c r="M16" s="97">
        <f>'TB-Jan'!M16+'TB-Feb'!M16+'TB-Mar'!M16+'TB-Apr'!M16+'TB-May'!M16+'TB-Jun'!M16+'TB-Jul'!M16+'TB-Aug'!M16+'TB-Sep'!M16+'TB-Oct'!M16+'TB-Nov'!M16+'TB-Dec'!M16</f>
        <v>0</v>
      </c>
      <c r="N16" s="97">
        <f>'TB-Jan'!N16+'TB-Feb'!N16+'TB-Mar'!N16+'TB-Apr'!N16+'TB-May'!N16+'TB-Jun'!N16+'TB-Jul'!N16+'TB-Aug'!N16+'TB-Sep'!N16+'TB-Oct'!N16+'TB-Nov'!N16+'TB-Dec'!N16</f>
        <v>0</v>
      </c>
    </row>
    <row r="17" spans="1:14">
      <c r="A17" s="3" t="s">
        <v>19</v>
      </c>
      <c r="B17" s="4" t="s">
        <v>20</v>
      </c>
      <c r="C17" s="7">
        <f>E17-F17</f>
        <v>8774.7900000000373</v>
      </c>
      <c r="D17" s="7"/>
      <c r="E17" s="6">
        <f t="shared" si="0"/>
        <v>4661147.1399999997</v>
      </c>
      <c r="F17" s="6">
        <f t="shared" si="0"/>
        <v>4652372.3499999996</v>
      </c>
      <c r="G17" s="94">
        <f>'TB-Jan'!G17+'TB-Feb'!G17+'TB-Mar'!G17+'TB-Apr'!G17+'TB-May'!G17+'TB-Jun'!G17+'TB-Jul'!G17+'TB-Aug'!G17+'TB-Sep'!G17+'TB-Oct'!G17+'TB-Nov'!G17+'TB-Dec'!G17</f>
        <v>4661146.84</v>
      </c>
      <c r="H17" s="94">
        <f>'TB-Jan'!H17+'TB-Feb'!H17+'TB-Mar'!H17+'TB-Apr'!H17+'TB-May'!H17+'TB-Jun'!H17+'TB-Jul'!H17+'TB-Aug'!H17+'TB-Sep'!H17+'TB-Oct'!H17+'TB-Nov'!H17+'TB-Dec'!H17</f>
        <v>0</v>
      </c>
      <c r="I17" s="95">
        <f>'TB-Jan'!I17+'TB-Feb'!I17+'TB-Mar'!I17+'TB-Apr'!I17+'TB-May'!I17+'TB-Jun'!I17+'TB-Jul'!I17+'TB-Aug'!I17+'TB-Sep'!I17+'TB-Oct'!I17+'TB-Nov'!I17+'TB-Dec'!I17</f>
        <v>0</v>
      </c>
      <c r="J17" s="95">
        <f>'TB-Jan'!J17+'TB-Feb'!J17+'TB-Mar'!J17+'TB-Apr'!J17+'TB-May'!J17+'TB-Jun'!J17+'TB-Jul'!J17+'TB-Aug'!J17+'TB-Sep'!J17+'TB-Oct'!J17+'TB-Nov'!J17+'TB-Dec'!J17</f>
        <v>4648567.21</v>
      </c>
      <c r="K17" s="96">
        <f>'TB-Jan'!K17+'TB-Feb'!K17+'TB-Mar'!K17+'TB-Apr'!K17+'TB-May'!K17+'TB-Jun'!K17+'TB-Jul'!K17+'TB-Aug'!K17+'TB-Sep'!K17+'TB-Oct'!K17+'TB-Nov'!K17+'TB-Dec'!K17</f>
        <v>0</v>
      </c>
      <c r="L17" s="96">
        <f>'TB-Jan'!L17+'TB-Feb'!L17+'TB-Mar'!L17+'TB-Apr'!L17+'TB-May'!L17+'TB-Jun'!L17+'TB-Jul'!L17+'TB-Aug'!L17+'TB-Sep'!L17+'TB-Oct'!L17+'TB-Nov'!L17+'TB-Dec'!L17</f>
        <v>3804.84</v>
      </c>
      <c r="M17" s="97">
        <f>'TB-Jan'!M17+'TB-Feb'!M17+'TB-Mar'!M17+'TB-Apr'!M17+'TB-May'!M17+'TB-Jun'!M17+'TB-Jul'!M17+'TB-Aug'!M17+'TB-Sep'!M17+'TB-Oct'!M17+'TB-Nov'!M17+'TB-Dec'!M17</f>
        <v>0.3</v>
      </c>
      <c r="N17" s="97">
        <f>'TB-Jan'!N17+'TB-Feb'!N17+'TB-Mar'!N17+'TB-Apr'!N17+'TB-May'!N17+'TB-Jun'!N17+'TB-Jul'!N17+'TB-Aug'!N17+'TB-Sep'!N17+'TB-Oct'!N17+'TB-Nov'!N17+'TB-Dec'!N17</f>
        <v>0.3</v>
      </c>
    </row>
    <row r="18" spans="1:14" hidden="1">
      <c r="A18" s="3" t="s">
        <v>21</v>
      </c>
      <c r="B18" s="4">
        <v>110</v>
      </c>
      <c r="C18" s="7">
        <f t="shared" ref="C18:C80" si="1">E18-F18</f>
        <v>0</v>
      </c>
      <c r="D18" s="7"/>
      <c r="E18" s="6">
        <f t="shared" si="0"/>
        <v>0</v>
      </c>
      <c r="F18" s="6">
        <f t="shared" si="0"/>
        <v>0</v>
      </c>
      <c r="G18" s="94">
        <f>'TB-Jan'!G18+'TB-Feb'!G18+'TB-Mar'!G18+'TB-Apr'!G18+'TB-May'!G18+'TB-Jun'!G18+'TB-Jul'!G18+'TB-Aug'!G18+'TB-Sep'!G18+'TB-Oct'!G18+'TB-Nov'!G18+'TB-Dec'!G18</f>
        <v>0</v>
      </c>
      <c r="H18" s="94">
        <f>'TB-Jan'!H18+'TB-Feb'!H18+'TB-Mar'!H18+'TB-Apr'!H18+'TB-May'!H18+'TB-Jun'!H18+'TB-Jul'!H18+'TB-Aug'!H18+'TB-Sep'!H18+'TB-Oct'!H18+'TB-Nov'!H18+'TB-Dec'!H18</f>
        <v>0</v>
      </c>
      <c r="I18" s="95">
        <f>'TB-Jan'!I18+'TB-Feb'!I18+'TB-Mar'!I18+'TB-Apr'!I18+'TB-May'!I18+'TB-Jun'!I18+'TB-Jul'!I18+'TB-Aug'!I18+'TB-Sep'!I18+'TB-Oct'!I18+'TB-Nov'!I18+'TB-Dec'!I18</f>
        <v>0</v>
      </c>
      <c r="J18" s="95">
        <f>'TB-Jan'!J18+'TB-Feb'!J18+'TB-Mar'!J18+'TB-Apr'!J18+'TB-May'!J18+'TB-Jun'!J18+'TB-Jul'!J18+'TB-Aug'!J18+'TB-Sep'!J18+'TB-Oct'!J18+'TB-Nov'!J18+'TB-Dec'!J18</f>
        <v>0</v>
      </c>
      <c r="K18" s="96">
        <f>'TB-Jan'!K18+'TB-Feb'!K18+'TB-Mar'!K18+'TB-Apr'!K18+'TB-May'!K18+'TB-Jun'!K18+'TB-Jul'!K18+'TB-Aug'!K18+'TB-Sep'!K18+'TB-Oct'!K18+'TB-Nov'!K18+'TB-Dec'!K18</f>
        <v>0</v>
      </c>
      <c r="L18" s="96">
        <f>'TB-Jan'!L18+'TB-Feb'!L18+'TB-Mar'!L18+'TB-Apr'!L18+'TB-May'!L18+'TB-Jun'!L18+'TB-Jul'!L18+'TB-Aug'!L18+'TB-Sep'!L18+'TB-Oct'!L18+'TB-Nov'!L18+'TB-Dec'!L18</f>
        <v>0</v>
      </c>
      <c r="M18" s="97">
        <f>'TB-Jan'!M18+'TB-Feb'!M18+'TB-Mar'!M18+'TB-Apr'!M18+'TB-May'!M18+'TB-Jun'!M18+'TB-Jul'!M18+'TB-Aug'!M18+'TB-Sep'!M18+'TB-Oct'!M18+'TB-Nov'!M18+'TB-Dec'!M18</f>
        <v>0</v>
      </c>
      <c r="N18" s="97">
        <f>'TB-Jan'!N18+'TB-Feb'!N18+'TB-Mar'!N18+'TB-Apr'!N18+'TB-May'!N18+'TB-Jun'!N18+'TB-Jul'!N18+'TB-Aug'!N18+'TB-Sep'!N18+'TB-Oct'!N18+'TB-Nov'!N18+'TB-Dec'!N18</f>
        <v>0</v>
      </c>
    </row>
    <row r="19" spans="1:14">
      <c r="A19" s="8" t="s">
        <v>22</v>
      </c>
      <c r="B19" s="4">
        <v>111</v>
      </c>
      <c r="C19" s="7">
        <f t="shared" si="1"/>
        <v>105582679.71999997</v>
      </c>
      <c r="D19" s="7"/>
      <c r="E19" s="6">
        <f t="shared" si="0"/>
        <v>140107294.03999996</v>
      </c>
      <c r="F19" s="6">
        <f t="shared" si="0"/>
        <v>34524614.32</v>
      </c>
      <c r="G19" s="94">
        <f>'TB-Jan'!G19+'TB-Feb'!G19+'TB-Mar'!G19+'TB-Apr'!G19+'TB-May'!G19+'TB-Jun'!G19+'TB-Jul'!G19+'TB-Aug'!G19+'TB-Sep'!G19+'TB-Oct'!G19+'TB-Nov'!G19+'TB-Dec'!G19</f>
        <v>75809617.73999998</v>
      </c>
      <c r="H19" s="94">
        <f>'TB-Jan'!H19+'TB-Feb'!H19+'TB-Mar'!H19+'TB-Apr'!H19+'TB-May'!H19+'TB-Jun'!H19+'TB-Jul'!H19+'TB-Aug'!H19+'TB-Sep'!H19+'TB-Oct'!H19+'TB-Nov'!H19+'TB-Dec'!H19</f>
        <v>34487153.869999997</v>
      </c>
      <c r="I19" s="95">
        <f>'TB-Jan'!I19+'TB-Feb'!I19+'TB-Mar'!I19+'TB-Apr'!I19+'TB-May'!I19+'TB-Jun'!I19+'TB-Jul'!I19+'TB-Aug'!I19+'TB-Sep'!I19+'TB-Oct'!I19+'TB-Nov'!I19+'TB-Dec'!I19</f>
        <v>0</v>
      </c>
      <c r="J19" s="95">
        <f>'TB-Jan'!J19+'TB-Feb'!J19+'TB-Mar'!J19+'TB-Apr'!J19+'TB-May'!J19+'TB-Jun'!J19+'TB-Jul'!J19+'TB-Aug'!J19+'TB-Sep'!J19+'TB-Oct'!J19+'TB-Nov'!J19+'TB-Dec'!J19</f>
        <v>0</v>
      </c>
      <c r="K19" s="96">
        <f>'TB-Jan'!K19+'TB-Feb'!K19+'TB-Mar'!K19+'TB-Apr'!K19+'TB-May'!K19+'TB-Jun'!K19+'TB-Jul'!K19+'TB-Aug'!K19+'TB-Sep'!K19+'TB-Oct'!K19+'TB-Nov'!K19+'TB-Dec'!K19</f>
        <v>44961658.519999996</v>
      </c>
      <c r="L19" s="96">
        <f>'TB-Jan'!L19+'TB-Feb'!L19+'TB-Mar'!L19+'TB-Apr'!L19+'TB-May'!L19+'TB-Jun'!L19+'TB-Jul'!L19+'TB-Aug'!L19+'TB-Sep'!L19+'TB-Oct'!L19+'TB-Nov'!L19+'TB-Dec'!L19</f>
        <v>0</v>
      </c>
      <c r="M19" s="97">
        <f>'TB-Jan'!M19+'TB-Feb'!M19+'TB-Mar'!M19+'TB-Apr'!M19+'TB-May'!M19+'TB-Jun'!M19+'TB-Jul'!M19+'TB-Aug'!M19+'TB-Sep'!M19+'TB-Oct'!M19+'TB-Nov'!M19+'TB-Dec'!M19</f>
        <v>19336017.780000001</v>
      </c>
      <c r="N19" s="97">
        <f>'TB-Jan'!N19+'TB-Feb'!N19+'TB-Mar'!N19+'TB-Apr'!N19+'TB-May'!N19+'TB-Jun'!N19+'TB-Jul'!N19+'TB-Aug'!N19+'TB-Sep'!N19+'TB-Oct'!N19+'TB-Nov'!N19+'TB-Dec'!N19</f>
        <v>37460.449999999997</v>
      </c>
    </row>
    <row r="20" spans="1:14">
      <c r="A20" s="8" t="s">
        <v>23</v>
      </c>
      <c r="B20" s="4">
        <v>112</v>
      </c>
      <c r="C20" s="7">
        <f t="shared" si="1"/>
        <v>4335118.08</v>
      </c>
      <c r="D20" s="7"/>
      <c r="E20" s="6">
        <f t="shared" si="0"/>
        <v>4335118.08</v>
      </c>
      <c r="F20" s="6">
        <f t="shared" si="0"/>
        <v>0</v>
      </c>
      <c r="G20" s="94">
        <f>'TB-Jan'!G20+'TB-Feb'!G20+'TB-Mar'!G20+'TB-Apr'!G20+'TB-May'!G20+'TB-Jun'!G20+'TB-Jul'!G20+'TB-Aug'!G20+'TB-Sep'!G20+'TB-Oct'!G20+'TB-Nov'!G20+'TB-Dec'!G20</f>
        <v>4335118.08</v>
      </c>
      <c r="H20" s="94">
        <f>'TB-Jan'!H20+'TB-Feb'!H20+'TB-Mar'!H20+'TB-Apr'!H20+'TB-May'!H20+'TB-Jun'!H20+'TB-Jul'!H20+'TB-Aug'!H20+'TB-Sep'!H20+'TB-Oct'!H20+'TB-Nov'!H20+'TB-Dec'!H20</f>
        <v>0</v>
      </c>
      <c r="I20" s="95">
        <f>'TB-Jan'!I20+'TB-Feb'!I20+'TB-Mar'!I20+'TB-Apr'!I20+'TB-May'!I20+'TB-Jun'!I20+'TB-Jul'!I20+'TB-Aug'!I20+'TB-Sep'!I20+'TB-Oct'!I20+'TB-Nov'!I20+'TB-Dec'!I20</f>
        <v>0</v>
      </c>
      <c r="J20" s="95">
        <f>'TB-Jan'!J20+'TB-Feb'!J20+'TB-Mar'!J20+'TB-Apr'!J20+'TB-May'!J20+'TB-Jun'!J20+'TB-Jul'!J20+'TB-Aug'!J20+'TB-Sep'!J20+'TB-Oct'!J20+'TB-Nov'!J20+'TB-Dec'!J20</f>
        <v>0</v>
      </c>
      <c r="K20" s="96">
        <f>'TB-Jan'!K20+'TB-Feb'!K20+'TB-Mar'!K20+'TB-Apr'!K20+'TB-May'!K20+'TB-Jun'!K20+'TB-Jul'!K20+'TB-Aug'!K20+'TB-Sep'!K20+'TB-Oct'!K20+'TB-Nov'!K20+'TB-Dec'!K20</f>
        <v>0</v>
      </c>
      <c r="L20" s="96">
        <f>'TB-Jan'!L20+'TB-Feb'!L20+'TB-Mar'!L20+'TB-Apr'!L20+'TB-May'!L20+'TB-Jun'!L20+'TB-Jul'!L20+'TB-Aug'!L20+'TB-Sep'!L20+'TB-Oct'!L20+'TB-Nov'!L20+'TB-Dec'!L20</f>
        <v>0</v>
      </c>
      <c r="M20" s="97">
        <f>'TB-Jan'!M20+'TB-Feb'!M20+'TB-Mar'!M20+'TB-Apr'!M20+'TB-May'!M20+'TB-Jun'!M20+'TB-Jul'!M20+'TB-Aug'!M20+'TB-Sep'!M20+'TB-Oct'!M20+'TB-Nov'!M20+'TB-Dec'!M20</f>
        <v>0</v>
      </c>
      <c r="N20" s="97">
        <f>'TB-Jan'!N20+'TB-Feb'!N20+'TB-Mar'!N20+'TB-Apr'!N20+'TB-May'!N20+'TB-Jun'!N20+'TB-Jul'!N20+'TB-Aug'!N20+'TB-Sep'!N20+'TB-Oct'!N20+'TB-Nov'!N20+'TB-Dec'!N20</f>
        <v>0</v>
      </c>
    </row>
    <row r="21" spans="1:14" hidden="1">
      <c r="A21" s="3" t="s">
        <v>24</v>
      </c>
      <c r="B21" s="4">
        <v>113</v>
      </c>
      <c r="C21" s="7">
        <f t="shared" si="1"/>
        <v>0</v>
      </c>
      <c r="D21" s="7"/>
      <c r="E21" s="6">
        <f t="shared" si="0"/>
        <v>0</v>
      </c>
      <c r="F21" s="6">
        <f t="shared" si="0"/>
        <v>0</v>
      </c>
      <c r="G21" s="94">
        <f>'TB-Jan'!G21+'TB-Feb'!G21+'TB-Mar'!G21+'TB-Apr'!G21+'TB-May'!G21+'TB-Jun'!G21+'TB-Jul'!G21+'TB-Aug'!G21+'TB-Sep'!G21+'TB-Oct'!G21+'TB-Nov'!G21+'TB-Dec'!G21</f>
        <v>0</v>
      </c>
      <c r="H21" s="94">
        <f>'TB-Jan'!H21+'TB-Feb'!H21+'TB-Mar'!H21+'TB-Apr'!H21+'TB-May'!H21+'TB-Jun'!H21+'TB-Jul'!H21+'TB-Aug'!H21+'TB-Sep'!H21+'TB-Oct'!H21+'TB-Nov'!H21+'TB-Dec'!H21</f>
        <v>0</v>
      </c>
      <c r="I21" s="95">
        <f>'TB-Jan'!I21+'TB-Feb'!I21+'TB-Mar'!I21+'TB-Apr'!I21+'TB-May'!I21+'TB-Jun'!I21+'TB-Jul'!I21+'TB-Aug'!I21+'TB-Sep'!I21+'TB-Oct'!I21+'TB-Nov'!I21+'TB-Dec'!I21</f>
        <v>0</v>
      </c>
      <c r="J21" s="95">
        <f>'TB-Jan'!J21+'TB-Feb'!J21+'TB-Mar'!J21+'TB-Apr'!J21+'TB-May'!J21+'TB-Jun'!J21+'TB-Jul'!J21+'TB-Aug'!J21+'TB-Sep'!J21+'TB-Oct'!J21+'TB-Nov'!J21+'TB-Dec'!J21</f>
        <v>0</v>
      </c>
      <c r="K21" s="96">
        <f>'TB-Jan'!K21+'TB-Feb'!K21+'TB-Mar'!K21+'TB-Apr'!K21+'TB-May'!K21+'TB-Jun'!K21+'TB-Jul'!K21+'TB-Aug'!K21+'TB-Sep'!K21+'TB-Oct'!K21+'TB-Nov'!K21+'TB-Dec'!K21</f>
        <v>0</v>
      </c>
      <c r="L21" s="96">
        <f>'TB-Jan'!L21+'TB-Feb'!L21+'TB-Mar'!L21+'TB-Apr'!L21+'TB-May'!L21+'TB-Jun'!L21+'TB-Jul'!L21+'TB-Aug'!L21+'TB-Sep'!L21+'TB-Oct'!L21+'TB-Nov'!L21+'TB-Dec'!L21</f>
        <v>0</v>
      </c>
      <c r="M21" s="97">
        <f>'TB-Jan'!M21+'TB-Feb'!M21+'TB-Mar'!M21+'TB-Apr'!M21+'TB-May'!M21+'TB-Jun'!M21+'TB-Jul'!M21+'TB-Aug'!M21+'TB-Sep'!M21+'TB-Oct'!M21+'TB-Nov'!M21+'TB-Dec'!M21</f>
        <v>0</v>
      </c>
      <c r="N21" s="97">
        <f>'TB-Jan'!N21+'TB-Feb'!N21+'TB-Mar'!N21+'TB-Apr'!N21+'TB-May'!N21+'TB-Jun'!N21+'TB-Jul'!N21+'TB-Aug'!N21+'TB-Sep'!N21+'TB-Oct'!N21+'TB-Nov'!N21+'TB-Dec'!N21</f>
        <v>0</v>
      </c>
    </row>
    <row r="22" spans="1:14" hidden="1">
      <c r="A22" s="3" t="s">
        <v>21</v>
      </c>
      <c r="B22" s="4">
        <v>114</v>
      </c>
      <c r="C22" s="7">
        <f t="shared" si="1"/>
        <v>0</v>
      </c>
      <c r="D22" s="7"/>
      <c r="E22" s="6">
        <f t="shared" si="0"/>
        <v>0</v>
      </c>
      <c r="F22" s="6">
        <f t="shared" si="0"/>
        <v>0</v>
      </c>
      <c r="G22" s="94">
        <f>'TB-Jan'!G22+'TB-Feb'!G22+'TB-Mar'!G22+'TB-Apr'!G22+'TB-May'!G22+'TB-Jun'!G22+'TB-Jul'!G22+'TB-Aug'!G22+'TB-Sep'!G22+'TB-Oct'!G22+'TB-Nov'!G22+'TB-Dec'!G22</f>
        <v>0</v>
      </c>
      <c r="H22" s="94">
        <f>'TB-Jan'!H22+'TB-Feb'!H22+'TB-Mar'!H22+'TB-Apr'!H22+'TB-May'!H22+'TB-Jun'!H22+'TB-Jul'!H22+'TB-Aug'!H22+'TB-Sep'!H22+'TB-Oct'!H22+'TB-Nov'!H22+'TB-Dec'!H22</f>
        <v>0</v>
      </c>
      <c r="I22" s="95">
        <f>'TB-Jan'!I22+'TB-Feb'!I22+'TB-Mar'!I22+'TB-Apr'!I22+'TB-May'!I22+'TB-Jun'!I22+'TB-Jul'!I22+'TB-Aug'!I22+'TB-Sep'!I22+'TB-Oct'!I22+'TB-Nov'!I22+'TB-Dec'!I22</f>
        <v>0</v>
      </c>
      <c r="J22" s="95">
        <f>'TB-Jan'!J22+'TB-Feb'!J22+'TB-Mar'!J22+'TB-Apr'!J22+'TB-May'!J22+'TB-Jun'!J22+'TB-Jul'!J22+'TB-Aug'!J22+'TB-Sep'!J22+'TB-Oct'!J22+'TB-Nov'!J22+'TB-Dec'!J22</f>
        <v>0</v>
      </c>
      <c r="K22" s="96">
        <f>'TB-Jan'!K22+'TB-Feb'!K22+'TB-Mar'!K22+'TB-Apr'!K22+'TB-May'!K22+'TB-Jun'!K22+'TB-Jul'!K22+'TB-Aug'!K22+'TB-Sep'!K22+'TB-Oct'!K22+'TB-Nov'!K22+'TB-Dec'!K22</f>
        <v>0</v>
      </c>
      <c r="L22" s="96">
        <f>'TB-Jan'!L22+'TB-Feb'!L22+'TB-Mar'!L22+'TB-Apr'!L22+'TB-May'!L22+'TB-Jun'!L22+'TB-Jul'!L22+'TB-Aug'!L22+'TB-Sep'!L22+'TB-Oct'!L22+'TB-Nov'!L22+'TB-Dec'!L22</f>
        <v>0</v>
      </c>
      <c r="M22" s="97">
        <f>'TB-Jan'!M22+'TB-Feb'!M22+'TB-Mar'!M22+'TB-Apr'!M22+'TB-May'!M22+'TB-Jun'!M22+'TB-Jul'!M22+'TB-Aug'!M22+'TB-Sep'!M22+'TB-Oct'!M22+'TB-Nov'!M22+'TB-Dec'!M22</f>
        <v>0</v>
      </c>
      <c r="N22" s="97">
        <f>'TB-Jan'!N22+'TB-Feb'!N22+'TB-Mar'!N22+'TB-Apr'!N22+'TB-May'!N22+'TB-Jun'!N22+'TB-Jul'!N22+'TB-Aug'!N22+'TB-Sep'!N22+'TB-Oct'!N22+'TB-Nov'!N22+'TB-Dec'!N22</f>
        <v>0</v>
      </c>
    </row>
    <row r="23" spans="1:14" hidden="1">
      <c r="A23" s="3" t="s">
        <v>25</v>
      </c>
      <c r="B23" s="4">
        <v>115</v>
      </c>
      <c r="C23" s="7">
        <f t="shared" si="1"/>
        <v>0</v>
      </c>
      <c r="D23" s="7"/>
      <c r="E23" s="6">
        <f t="shared" si="0"/>
        <v>0</v>
      </c>
      <c r="F23" s="6">
        <f t="shared" si="0"/>
        <v>0</v>
      </c>
      <c r="G23" s="94">
        <f>'TB-Jan'!G23+'TB-Feb'!G23+'TB-Mar'!G23+'TB-Apr'!G23+'TB-May'!G23+'TB-Jun'!G23+'TB-Jul'!G23+'TB-Aug'!G23+'TB-Sep'!G23+'TB-Oct'!G23+'TB-Nov'!G23+'TB-Dec'!G23</f>
        <v>0</v>
      </c>
      <c r="H23" s="94">
        <f>'TB-Jan'!H23+'TB-Feb'!H23+'TB-Mar'!H23+'TB-Apr'!H23+'TB-May'!H23+'TB-Jun'!H23+'TB-Jul'!H23+'TB-Aug'!H23+'TB-Sep'!H23+'TB-Oct'!H23+'TB-Nov'!H23+'TB-Dec'!H23</f>
        <v>0</v>
      </c>
      <c r="I23" s="95">
        <f>'TB-Jan'!I23+'TB-Feb'!I23+'TB-Mar'!I23+'TB-Apr'!I23+'TB-May'!I23+'TB-Jun'!I23+'TB-Jul'!I23+'TB-Aug'!I23+'TB-Sep'!I23+'TB-Oct'!I23+'TB-Nov'!I23+'TB-Dec'!I23</f>
        <v>0</v>
      </c>
      <c r="J23" s="95">
        <f>'TB-Jan'!J23+'TB-Feb'!J23+'TB-Mar'!J23+'TB-Apr'!J23+'TB-May'!J23+'TB-Jun'!J23+'TB-Jul'!J23+'TB-Aug'!J23+'TB-Sep'!J23+'TB-Oct'!J23+'TB-Nov'!J23+'TB-Dec'!J23</f>
        <v>0</v>
      </c>
      <c r="K23" s="96">
        <f>'TB-Jan'!K23+'TB-Feb'!K23+'TB-Mar'!K23+'TB-Apr'!K23+'TB-May'!K23+'TB-Jun'!K23+'TB-Jul'!K23+'TB-Aug'!K23+'TB-Sep'!K23+'TB-Oct'!K23+'TB-Nov'!K23+'TB-Dec'!K23</f>
        <v>0</v>
      </c>
      <c r="L23" s="96">
        <f>'TB-Jan'!L23+'TB-Feb'!L23+'TB-Mar'!L23+'TB-Apr'!L23+'TB-May'!L23+'TB-Jun'!L23+'TB-Jul'!L23+'TB-Aug'!L23+'TB-Sep'!L23+'TB-Oct'!L23+'TB-Nov'!L23+'TB-Dec'!L23</f>
        <v>0</v>
      </c>
      <c r="M23" s="97">
        <f>'TB-Jan'!M23+'TB-Feb'!M23+'TB-Mar'!M23+'TB-Apr'!M23+'TB-May'!M23+'TB-Jun'!M23+'TB-Jul'!M23+'TB-Aug'!M23+'TB-Sep'!M23+'TB-Oct'!M23+'TB-Nov'!M23+'TB-Dec'!M23</f>
        <v>0</v>
      </c>
      <c r="N23" s="97">
        <f>'TB-Jan'!N23+'TB-Feb'!N23+'TB-Mar'!N23+'TB-Apr'!N23+'TB-May'!N23+'TB-Jun'!N23+'TB-Jul'!N23+'TB-Aug'!N23+'TB-Sep'!N23+'TB-Oct'!N23+'TB-Nov'!N23+'TB-Dec'!N23</f>
        <v>0</v>
      </c>
    </row>
    <row r="24" spans="1:14" hidden="1">
      <c r="A24" s="3" t="s">
        <v>26</v>
      </c>
      <c r="B24" s="4" t="s">
        <v>27</v>
      </c>
      <c r="C24" s="7">
        <f t="shared" si="1"/>
        <v>0</v>
      </c>
      <c r="D24" s="7"/>
      <c r="E24" s="6">
        <f t="shared" si="0"/>
        <v>0</v>
      </c>
      <c r="F24" s="6">
        <f t="shared" si="0"/>
        <v>0</v>
      </c>
      <c r="G24" s="94">
        <f>'TB-Jan'!G24+'TB-Feb'!G24+'TB-Mar'!G24+'TB-Apr'!G24+'TB-May'!G24+'TB-Jun'!G24+'TB-Jul'!G24+'TB-Aug'!G24+'TB-Sep'!G24+'TB-Oct'!G24+'TB-Nov'!G24+'TB-Dec'!G24</f>
        <v>0</v>
      </c>
      <c r="H24" s="94">
        <f>'TB-Jan'!H24+'TB-Feb'!H24+'TB-Mar'!H24+'TB-Apr'!H24+'TB-May'!H24+'TB-Jun'!H24+'TB-Jul'!H24+'TB-Aug'!H24+'TB-Sep'!H24+'TB-Oct'!H24+'TB-Nov'!H24+'TB-Dec'!H24</f>
        <v>0</v>
      </c>
      <c r="I24" s="95">
        <f>'TB-Jan'!I24+'TB-Feb'!I24+'TB-Mar'!I24+'TB-Apr'!I24+'TB-May'!I24+'TB-Jun'!I24+'TB-Jul'!I24+'TB-Aug'!I24+'TB-Sep'!I24+'TB-Oct'!I24+'TB-Nov'!I24+'TB-Dec'!I24</f>
        <v>0</v>
      </c>
      <c r="J24" s="95">
        <f>'TB-Jan'!J24+'TB-Feb'!J24+'TB-Mar'!J24+'TB-Apr'!J24+'TB-May'!J24+'TB-Jun'!J24+'TB-Jul'!J24+'TB-Aug'!J24+'TB-Sep'!J24+'TB-Oct'!J24+'TB-Nov'!J24+'TB-Dec'!J24</f>
        <v>0</v>
      </c>
      <c r="K24" s="96">
        <f>'TB-Jan'!K24+'TB-Feb'!K24+'TB-Mar'!K24+'TB-Apr'!K24+'TB-May'!K24+'TB-Jun'!K24+'TB-Jul'!K24+'TB-Aug'!K24+'TB-Sep'!K24+'TB-Oct'!K24+'TB-Nov'!K24+'TB-Dec'!K24</f>
        <v>0</v>
      </c>
      <c r="L24" s="96">
        <f>'TB-Jan'!L24+'TB-Feb'!L24+'TB-Mar'!L24+'TB-Apr'!L24+'TB-May'!L24+'TB-Jun'!L24+'TB-Jul'!L24+'TB-Aug'!L24+'TB-Sep'!L24+'TB-Oct'!L24+'TB-Nov'!L24+'TB-Dec'!L24</f>
        <v>0</v>
      </c>
      <c r="M24" s="97">
        <f>'TB-Jan'!M24+'TB-Feb'!M24+'TB-Mar'!M24+'TB-Apr'!M24+'TB-May'!M24+'TB-Jun'!M24+'TB-Jul'!M24+'TB-Aug'!M24+'TB-Sep'!M24+'TB-Oct'!M24+'TB-Nov'!M24+'TB-Dec'!M24</f>
        <v>0</v>
      </c>
      <c r="N24" s="97">
        <f>'TB-Jan'!N24+'TB-Feb'!N24+'TB-Mar'!N24+'TB-Apr'!N24+'TB-May'!N24+'TB-Jun'!N24+'TB-Jul'!N24+'TB-Aug'!N24+'TB-Sep'!N24+'TB-Oct'!N24+'TB-Nov'!N24+'TB-Dec'!N24</f>
        <v>0</v>
      </c>
    </row>
    <row r="25" spans="1:14" hidden="1">
      <c r="A25" s="3" t="s">
        <v>28</v>
      </c>
      <c r="B25" s="4" t="s">
        <v>29</v>
      </c>
      <c r="C25" s="7">
        <f t="shared" si="1"/>
        <v>0</v>
      </c>
      <c r="D25" s="7"/>
      <c r="E25" s="6">
        <f t="shared" si="0"/>
        <v>0</v>
      </c>
      <c r="F25" s="6">
        <f t="shared" si="0"/>
        <v>0</v>
      </c>
      <c r="G25" s="94">
        <f>'TB-Jan'!G25+'TB-Feb'!G25+'TB-Mar'!G25+'TB-Apr'!G25+'TB-May'!G25+'TB-Jun'!G25+'TB-Jul'!G25+'TB-Aug'!G25+'TB-Sep'!G25+'TB-Oct'!G25+'TB-Nov'!G25+'TB-Dec'!G25</f>
        <v>0</v>
      </c>
      <c r="H25" s="94">
        <f>'TB-Jan'!H25+'TB-Feb'!H25+'TB-Mar'!H25+'TB-Apr'!H25+'TB-May'!H25+'TB-Jun'!H25+'TB-Jul'!H25+'TB-Aug'!H25+'TB-Sep'!H25+'TB-Oct'!H25+'TB-Nov'!H25+'TB-Dec'!H25</f>
        <v>0</v>
      </c>
      <c r="I25" s="95">
        <f>'TB-Jan'!I25+'TB-Feb'!I25+'TB-Mar'!I25+'TB-Apr'!I25+'TB-May'!I25+'TB-Jun'!I25+'TB-Jul'!I25+'TB-Aug'!I25+'TB-Sep'!I25+'TB-Oct'!I25+'TB-Nov'!I25+'TB-Dec'!I25</f>
        <v>0</v>
      </c>
      <c r="J25" s="95">
        <f>'TB-Jan'!J25+'TB-Feb'!J25+'TB-Mar'!J25+'TB-Apr'!J25+'TB-May'!J25+'TB-Jun'!J25+'TB-Jul'!J25+'TB-Aug'!J25+'TB-Sep'!J25+'TB-Oct'!J25+'TB-Nov'!J25+'TB-Dec'!J25</f>
        <v>0</v>
      </c>
      <c r="K25" s="96">
        <f>'TB-Jan'!K25+'TB-Feb'!K25+'TB-Mar'!K25+'TB-Apr'!K25+'TB-May'!K25+'TB-Jun'!K25+'TB-Jul'!K25+'TB-Aug'!K25+'TB-Sep'!K25+'TB-Oct'!K25+'TB-Nov'!K25+'TB-Dec'!K25</f>
        <v>0</v>
      </c>
      <c r="L25" s="96">
        <f>'TB-Jan'!L25+'TB-Feb'!L25+'TB-Mar'!L25+'TB-Apr'!L25+'TB-May'!L25+'TB-Jun'!L25+'TB-Jul'!L25+'TB-Aug'!L25+'TB-Sep'!L25+'TB-Oct'!L25+'TB-Nov'!L25+'TB-Dec'!L25</f>
        <v>0</v>
      </c>
      <c r="M25" s="97">
        <f>'TB-Jan'!M25+'TB-Feb'!M25+'TB-Mar'!M25+'TB-Apr'!M25+'TB-May'!M25+'TB-Jun'!M25+'TB-Jul'!M25+'TB-Aug'!M25+'TB-Sep'!M25+'TB-Oct'!M25+'TB-Nov'!M25+'TB-Dec'!M25</f>
        <v>0</v>
      </c>
      <c r="N25" s="97">
        <f>'TB-Jan'!N25+'TB-Feb'!N25+'TB-Mar'!N25+'TB-Apr'!N25+'TB-May'!N25+'TB-Jun'!N25+'TB-Jul'!N25+'TB-Aug'!N25+'TB-Sep'!N25+'TB-Oct'!N25+'TB-Nov'!N25+'TB-Dec'!N25</f>
        <v>0</v>
      </c>
    </row>
    <row r="26" spans="1:14" hidden="1">
      <c r="A26" s="3" t="s">
        <v>30</v>
      </c>
      <c r="B26" s="4" t="s">
        <v>31</v>
      </c>
      <c r="C26" s="7">
        <f t="shared" si="1"/>
        <v>0</v>
      </c>
      <c r="D26" s="7"/>
      <c r="E26" s="6">
        <f t="shared" si="0"/>
        <v>0</v>
      </c>
      <c r="F26" s="6">
        <f t="shared" si="0"/>
        <v>0</v>
      </c>
      <c r="G26" s="94">
        <f>'TB-Jan'!G26+'TB-Feb'!G26+'TB-Mar'!G26+'TB-Apr'!G26+'TB-May'!G26+'TB-Jun'!G26+'TB-Jul'!G26+'TB-Aug'!G26+'TB-Sep'!G26+'TB-Oct'!G26+'TB-Nov'!G26+'TB-Dec'!G26</f>
        <v>0</v>
      </c>
      <c r="H26" s="94">
        <f>'TB-Jan'!H26+'TB-Feb'!H26+'TB-Mar'!H26+'TB-Apr'!H26+'TB-May'!H26+'TB-Jun'!H26+'TB-Jul'!H26+'TB-Aug'!H26+'TB-Sep'!H26+'TB-Oct'!H26+'TB-Nov'!H26+'TB-Dec'!H26</f>
        <v>0</v>
      </c>
      <c r="I26" s="95">
        <f>'TB-Jan'!I26+'TB-Feb'!I26+'TB-Mar'!I26+'TB-Apr'!I26+'TB-May'!I26+'TB-Jun'!I26+'TB-Jul'!I26+'TB-Aug'!I26+'TB-Sep'!I26+'TB-Oct'!I26+'TB-Nov'!I26+'TB-Dec'!I26</f>
        <v>0</v>
      </c>
      <c r="J26" s="95">
        <f>'TB-Jan'!J26+'TB-Feb'!J26+'TB-Mar'!J26+'TB-Apr'!J26+'TB-May'!J26+'TB-Jun'!J26+'TB-Jul'!J26+'TB-Aug'!J26+'TB-Sep'!J26+'TB-Oct'!J26+'TB-Nov'!J26+'TB-Dec'!J26</f>
        <v>0</v>
      </c>
      <c r="K26" s="96">
        <f>'TB-Jan'!K26+'TB-Feb'!K26+'TB-Mar'!K26+'TB-Apr'!K26+'TB-May'!K26+'TB-Jun'!K26+'TB-Jul'!K26+'TB-Aug'!K26+'TB-Sep'!K26+'TB-Oct'!K26+'TB-Nov'!K26+'TB-Dec'!K26</f>
        <v>0</v>
      </c>
      <c r="L26" s="96">
        <f>'TB-Jan'!L26+'TB-Feb'!L26+'TB-Mar'!L26+'TB-Apr'!L26+'TB-May'!L26+'TB-Jun'!L26+'TB-Jul'!L26+'TB-Aug'!L26+'TB-Sep'!L26+'TB-Oct'!L26+'TB-Nov'!L26+'TB-Dec'!L26</f>
        <v>0</v>
      </c>
      <c r="M26" s="97">
        <f>'TB-Jan'!M26+'TB-Feb'!M26+'TB-Mar'!M26+'TB-Apr'!M26+'TB-May'!M26+'TB-Jun'!M26+'TB-Jul'!M26+'TB-Aug'!M26+'TB-Sep'!M26+'TB-Oct'!M26+'TB-Nov'!M26+'TB-Dec'!M26</f>
        <v>0</v>
      </c>
      <c r="N26" s="97">
        <f>'TB-Jan'!N26+'TB-Feb'!N26+'TB-Mar'!N26+'TB-Apr'!N26+'TB-May'!N26+'TB-Jun'!N26+'TB-Jul'!N26+'TB-Aug'!N26+'TB-Sep'!N26+'TB-Oct'!N26+'TB-Nov'!N26+'TB-Dec'!N26</f>
        <v>0</v>
      </c>
    </row>
    <row r="27" spans="1:14" hidden="1">
      <c r="A27" s="3" t="s">
        <v>32</v>
      </c>
      <c r="B27" s="4" t="s">
        <v>33</v>
      </c>
      <c r="C27" s="7">
        <f t="shared" si="1"/>
        <v>0</v>
      </c>
      <c r="D27" s="7"/>
      <c r="E27" s="6">
        <f t="shared" si="0"/>
        <v>0</v>
      </c>
      <c r="F27" s="6">
        <f t="shared" si="0"/>
        <v>0</v>
      </c>
      <c r="G27" s="94">
        <f>'TB-Jan'!G27+'TB-Feb'!G27+'TB-Mar'!G27+'TB-Apr'!G27+'TB-May'!G27+'TB-Jun'!G27+'TB-Jul'!G27+'TB-Aug'!G27+'TB-Sep'!G27+'TB-Oct'!G27+'TB-Nov'!G27+'TB-Dec'!G27</f>
        <v>0</v>
      </c>
      <c r="H27" s="94">
        <f>'TB-Jan'!H27+'TB-Feb'!H27+'TB-Mar'!H27+'TB-Apr'!H27+'TB-May'!H27+'TB-Jun'!H27+'TB-Jul'!H27+'TB-Aug'!H27+'TB-Sep'!H27+'TB-Oct'!H27+'TB-Nov'!H27+'TB-Dec'!H27</f>
        <v>0</v>
      </c>
      <c r="I27" s="95">
        <f>'TB-Jan'!I27+'TB-Feb'!I27+'TB-Mar'!I27+'TB-Apr'!I27+'TB-May'!I27+'TB-Jun'!I27+'TB-Jul'!I27+'TB-Aug'!I27+'TB-Sep'!I27+'TB-Oct'!I27+'TB-Nov'!I27+'TB-Dec'!I27</f>
        <v>0</v>
      </c>
      <c r="J27" s="95">
        <f>'TB-Jan'!J27+'TB-Feb'!J27+'TB-Mar'!J27+'TB-Apr'!J27+'TB-May'!J27+'TB-Jun'!J27+'TB-Jul'!J27+'TB-Aug'!J27+'TB-Sep'!J27+'TB-Oct'!J27+'TB-Nov'!J27+'TB-Dec'!J27</f>
        <v>0</v>
      </c>
      <c r="K27" s="96">
        <f>'TB-Jan'!K27+'TB-Feb'!K27+'TB-Mar'!K27+'TB-Apr'!K27+'TB-May'!K27+'TB-Jun'!K27+'TB-Jul'!K27+'TB-Aug'!K27+'TB-Sep'!K27+'TB-Oct'!K27+'TB-Nov'!K27+'TB-Dec'!K27</f>
        <v>0</v>
      </c>
      <c r="L27" s="96">
        <f>'TB-Jan'!L27+'TB-Feb'!L27+'TB-Mar'!L27+'TB-Apr'!L27+'TB-May'!L27+'TB-Jun'!L27+'TB-Jul'!L27+'TB-Aug'!L27+'TB-Sep'!L27+'TB-Oct'!L27+'TB-Nov'!L27+'TB-Dec'!L27</f>
        <v>0</v>
      </c>
      <c r="M27" s="97">
        <f>'TB-Jan'!M27+'TB-Feb'!M27+'TB-Mar'!M27+'TB-Apr'!M27+'TB-May'!M27+'TB-Jun'!M27+'TB-Jul'!M27+'TB-Aug'!M27+'TB-Sep'!M27+'TB-Oct'!M27+'TB-Nov'!M27+'TB-Dec'!M27</f>
        <v>0</v>
      </c>
      <c r="N27" s="97">
        <f>'TB-Jan'!N27+'TB-Feb'!N27+'TB-Mar'!N27+'TB-Apr'!N27+'TB-May'!N27+'TB-Jun'!N27+'TB-Jul'!N27+'TB-Aug'!N27+'TB-Sep'!N27+'TB-Oct'!N27+'TB-Nov'!N27+'TB-Dec'!N27</f>
        <v>0</v>
      </c>
    </row>
    <row r="28" spans="1:14" hidden="1">
      <c r="A28" s="3" t="s">
        <v>34</v>
      </c>
      <c r="B28" s="4" t="s">
        <v>35</v>
      </c>
      <c r="C28" s="7">
        <f t="shared" si="1"/>
        <v>0</v>
      </c>
      <c r="D28" s="7"/>
      <c r="E28" s="6">
        <f t="shared" si="0"/>
        <v>0</v>
      </c>
      <c r="F28" s="6">
        <f t="shared" si="0"/>
        <v>0</v>
      </c>
      <c r="G28" s="94">
        <f>'TB-Jan'!G28+'TB-Feb'!G28+'TB-Mar'!G28+'TB-Apr'!G28+'TB-May'!G28+'TB-Jun'!G28+'TB-Jul'!G28+'TB-Aug'!G28+'TB-Sep'!G28+'TB-Oct'!G28+'TB-Nov'!G28+'TB-Dec'!G28</f>
        <v>0</v>
      </c>
      <c r="H28" s="94">
        <f>'TB-Jan'!H28+'TB-Feb'!H28+'TB-Mar'!H28+'TB-Apr'!H28+'TB-May'!H28+'TB-Jun'!H28+'TB-Jul'!H28+'TB-Aug'!H28+'TB-Sep'!H28+'TB-Oct'!H28+'TB-Nov'!H28+'TB-Dec'!H28</f>
        <v>0</v>
      </c>
      <c r="I28" s="95">
        <f>'TB-Jan'!I28+'TB-Feb'!I28+'TB-Mar'!I28+'TB-Apr'!I28+'TB-May'!I28+'TB-Jun'!I28+'TB-Jul'!I28+'TB-Aug'!I28+'TB-Sep'!I28+'TB-Oct'!I28+'TB-Nov'!I28+'TB-Dec'!I28</f>
        <v>0</v>
      </c>
      <c r="J28" s="95">
        <f>'TB-Jan'!J28+'TB-Feb'!J28+'TB-Mar'!J28+'TB-Apr'!J28+'TB-May'!J28+'TB-Jun'!J28+'TB-Jul'!J28+'TB-Aug'!J28+'TB-Sep'!J28+'TB-Oct'!J28+'TB-Nov'!J28+'TB-Dec'!J28</f>
        <v>0</v>
      </c>
      <c r="K28" s="96">
        <f>'TB-Jan'!K28+'TB-Feb'!K28+'TB-Mar'!K28+'TB-Apr'!K28+'TB-May'!K28+'TB-Jun'!K28+'TB-Jul'!K28+'TB-Aug'!K28+'TB-Sep'!K28+'TB-Oct'!K28+'TB-Nov'!K28+'TB-Dec'!K28</f>
        <v>0</v>
      </c>
      <c r="L28" s="96">
        <f>'TB-Jan'!L28+'TB-Feb'!L28+'TB-Mar'!L28+'TB-Apr'!L28+'TB-May'!L28+'TB-Jun'!L28+'TB-Jul'!L28+'TB-Aug'!L28+'TB-Sep'!L28+'TB-Oct'!L28+'TB-Nov'!L28+'TB-Dec'!L28</f>
        <v>0</v>
      </c>
      <c r="M28" s="97">
        <f>'TB-Jan'!M28+'TB-Feb'!M28+'TB-Mar'!M28+'TB-Apr'!M28+'TB-May'!M28+'TB-Jun'!M28+'TB-Jul'!M28+'TB-Aug'!M28+'TB-Sep'!M28+'TB-Oct'!M28+'TB-Nov'!M28+'TB-Dec'!M28</f>
        <v>0</v>
      </c>
      <c r="N28" s="97">
        <f>'TB-Jan'!N28+'TB-Feb'!N28+'TB-Mar'!N28+'TB-Apr'!N28+'TB-May'!N28+'TB-Jun'!N28+'TB-Jul'!N28+'TB-Aug'!N28+'TB-Sep'!N28+'TB-Oct'!N28+'TB-Nov'!N28+'TB-Dec'!N28</f>
        <v>0</v>
      </c>
    </row>
    <row r="29" spans="1:14" hidden="1">
      <c r="A29" s="3" t="s">
        <v>36</v>
      </c>
      <c r="B29" s="4" t="s">
        <v>37</v>
      </c>
      <c r="C29" s="7">
        <f t="shared" si="1"/>
        <v>0</v>
      </c>
      <c r="D29" s="7"/>
      <c r="E29" s="6">
        <f t="shared" si="0"/>
        <v>0</v>
      </c>
      <c r="F29" s="6">
        <f t="shared" si="0"/>
        <v>0</v>
      </c>
      <c r="G29" s="94">
        <f>'TB-Jan'!G29+'TB-Feb'!G29+'TB-Mar'!G29+'TB-Apr'!G29+'TB-May'!G29+'TB-Jun'!G29+'TB-Jul'!G29+'TB-Aug'!G29+'TB-Sep'!G29+'TB-Oct'!G29+'TB-Nov'!G29+'TB-Dec'!G29</f>
        <v>0</v>
      </c>
      <c r="H29" s="94">
        <f>'TB-Jan'!H29+'TB-Feb'!H29+'TB-Mar'!H29+'TB-Apr'!H29+'TB-May'!H29+'TB-Jun'!H29+'TB-Jul'!H29+'TB-Aug'!H29+'TB-Sep'!H29+'TB-Oct'!H29+'TB-Nov'!H29+'TB-Dec'!H29</f>
        <v>0</v>
      </c>
      <c r="I29" s="95">
        <f>'TB-Jan'!I29+'TB-Feb'!I29+'TB-Mar'!I29+'TB-Apr'!I29+'TB-May'!I29+'TB-Jun'!I29+'TB-Jul'!I29+'TB-Aug'!I29+'TB-Sep'!I29+'TB-Oct'!I29+'TB-Nov'!I29+'TB-Dec'!I29</f>
        <v>0</v>
      </c>
      <c r="J29" s="95">
        <f>'TB-Jan'!J29+'TB-Feb'!J29+'TB-Mar'!J29+'TB-Apr'!J29+'TB-May'!J29+'TB-Jun'!J29+'TB-Jul'!J29+'TB-Aug'!J29+'TB-Sep'!J29+'TB-Oct'!J29+'TB-Nov'!J29+'TB-Dec'!J29</f>
        <v>0</v>
      </c>
      <c r="K29" s="96">
        <f>'TB-Jan'!K29+'TB-Feb'!K29+'TB-Mar'!K29+'TB-Apr'!K29+'TB-May'!K29+'TB-Jun'!K29+'TB-Jul'!K29+'TB-Aug'!K29+'TB-Sep'!K29+'TB-Oct'!K29+'TB-Nov'!K29+'TB-Dec'!K29</f>
        <v>0</v>
      </c>
      <c r="L29" s="96">
        <f>'TB-Jan'!L29+'TB-Feb'!L29+'TB-Mar'!L29+'TB-Apr'!L29+'TB-May'!L29+'TB-Jun'!L29+'TB-Jul'!L29+'TB-Aug'!L29+'TB-Sep'!L29+'TB-Oct'!L29+'TB-Nov'!L29+'TB-Dec'!L29</f>
        <v>0</v>
      </c>
      <c r="M29" s="97">
        <f>'TB-Jan'!M29+'TB-Feb'!M29+'TB-Mar'!M29+'TB-Apr'!M29+'TB-May'!M29+'TB-Jun'!M29+'TB-Jul'!M29+'TB-Aug'!M29+'TB-Sep'!M29+'TB-Oct'!M29+'TB-Nov'!M29+'TB-Dec'!M29</f>
        <v>0</v>
      </c>
      <c r="N29" s="97">
        <f>'TB-Jan'!N29+'TB-Feb'!N29+'TB-Mar'!N29+'TB-Apr'!N29+'TB-May'!N29+'TB-Jun'!N29+'TB-Jul'!N29+'TB-Aug'!N29+'TB-Sep'!N29+'TB-Oct'!N29+'TB-Nov'!N29+'TB-Dec'!N29</f>
        <v>0</v>
      </c>
    </row>
    <row r="30" spans="1:14" hidden="1">
      <c r="A30" s="3" t="s">
        <v>38</v>
      </c>
      <c r="B30" s="4" t="s">
        <v>39</v>
      </c>
      <c r="C30" s="7">
        <f t="shared" si="1"/>
        <v>0</v>
      </c>
      <c r="D30" s="7"/>
      <c r="E30" s="6">
        <f t="shared" si="0"/>
        <v>0</v>
      </c>
      <c r="F30" s="6">
        <f t="shared" si="0"/>
        <v>0</v>
      </c>
      <c r="G30" s="94">
        <f>'TB-Jan'!G30+'TB-Feb'!G30+'TB-Mar'!G30+'TB-Apr'!G30+'TB-May'!G30+'TB-Jun'!G30+'TB-Jul'!G30+'TB-Aug'!G30+'TB-Sep'!G30+'TB-Oct'!G30+'TB-Nov'!G30+'TB-Dec'!G30</f>
        <v>0</v>
      </c>
      <c r="H30" s="94">
        <f>'TB-Jan'!H30+'TB-Feb'!H30+'TB-Mar'!H30+'TB-Apr'!H30+'TB-May'!H30+'TB-Jun'!H30+'TB-Jul'!H30+'TB-Aug'!H30+'TB-Sep'!H30+'TB-Oct'!H30+'TB-Nov'!H30+'TB-Dec'!H30</f>
        <v>0</v>
      </c>
      <c r="I30" s="95">
        <f>'TB-Jan'!I30+'TB-Feb'!I30+'TB-Mar'!I30+'TB-Apr'!I30+'TB-May'!I30+'TB-Jun'!I30+'TB-Jul'!I30+'TB-Aug'!I30+'TB-Sep'!I30+'TB-Oct'!I30+'TB-Nov'!I30+'TB-Dec'!I30</f>
        <v>0</v>
      </c>
      <c r="J30" s="95">
        <f>'TB-Jan'!J30+'TB-Feb'!J30+'TB-Mar'!J30+'TB-Apr'!J30+'TB-May'!J30+'TB-Jun'!J30+'TB-Jul'!J30+'TB-Aug'!J30+'TB-Sep'!J30+'TB-Oct'!J30+'TB-Nov'!J30+'TB-Dec'!J30</f>
        <v>0</v>
      </c>
      <c r="K30" s="96">
        <f>'TB-Jan'!K30+'TB-Feb'!K30+'TB-Mar'!K30+'TB-Apr'!K30+'TB-May'!K30+'TB-Jun'!K30+'TB-Jul'!K30+'TB-Aug'!K30+'TB-Sep'!K30+'TB-Oct'!K30+'TB-Nov'!K30+'TB-Dec'!K30</f>
        <v>0</v>
      </c>
      <c r="L30" s="96">
        <f>'TB-Jan'!L30+'TB-Feb'!L30+'TB-Mar'!L30+'TB-Apr'!L30+'TB-May'!L30+'TB-Jun'!L30+'TB-Jul'!L30+'TB-Aug'!L30+'TB-Sep'!L30+'TB-Oct'!L30+'TB-Nov'!L30+'TB-Dec'!L30</f>
        <v>0</v>
      </c>
      <c r="M30" s="97">
        <f>'TB-Jan'!M30+'TB-Feb'!M30+'TB-Mar'!M30+'TB-Apr'!M30+'TB-May'!M30+'TB-Jun'!M30+'TB-Jul'!M30+'TB-Aug'!M30+'TB-Sep'!M30+'TB-Oct'!M30+'TB-Nov'!M30+'TB-Dec'!M30</f>
        <v>0</v>
      </c>
      <c r="N30" s="97">
        <f>'TB-Jan'!N30+'TB-Feb'!N30+'TB-Mar'!N30+'TB-Apr'!N30+'TB-May'!N30+'TB-Jun'!N30+'TB-Jul'!N30+'TB-Aug'!N30+'TB-Sep'!N30+'TB-Oct'!N30+'TB-Nov'!N30+'TB-Dec'!N30</f>
        <v>0</v>
      </c>
    </row>
    <row r="31" spans="1:14" hidden="1">
      <c r="A31" s="3" t="s">
        <v>40</v>
      </c>
      <c r="B31" s="4" t="s">
        <v>41</v>
      </c>
      <c r="C31" s="7">
        <f t="shared" si="1"/>
        <v>0</v>
      </c>
      <c r="D31" s="7"/>
      <c r="E31" s="6">
        <f t="shared" si="0"/>
        <v>0</v>
      </c>
      <c r="F31" s="6">
        <f t="shared" si="0"/>
        <v>0</v>
      </c>
      <c r="G31" s="94">
        <f>'TB-Jan'!G31+'TB-Feb'!G31+'TB-Mar'!G31+'TB-Apr'!G31+'TB-May'!G31+'TB-Jun'!G31+'TB-Jul'!G31+'TB-Aug'!G31+'TB-Sep'!G31+'TB-Oct'!G31+'TB-Nov'!G31+'TB-Dec'!G31</f>
        <v>0</v>
      </c>
      <c r="H31" s="94">
        <f>'TB-Jan'!H31+'TB-Feb'!H31+'TB-Mar'!H31+'TB-Apr'!H31+'TB-May'!H31+'TB-Jun'!H31+'TB-Jul'!H31+'TB-Aug'!H31+'TB-Sep'!H31+'TB-Oct'!H31+'TB-Nov'!H31+'TB-Dec'!H31</f>
        <v>0</v>
      </c>
      <c r="I31" s="95">
        <f>'TB-Jan'!I31+'TB-Feb'!I31+'TB-Mar'!I31+'TB-Apr'!I31+'TB-May'!I31+'TB-Jun'!I31+'TB-Jul'!I31+'TB-Aug'!I31+'TB-Sep'!I31+'TB-Oct'!I31+'TB-Nov'!I31+'TB-Dec'!I31</f>
        <v>0</v>
      </c>
      <c r="J31" s="95">
        <f>'TB-Jan'!J31+'TB-Feb'!J31+'TB-Mar'!J31+'TB-Apr'!J31+'TB-May'!J31+'TB-Jun'!J31+'TB-Jul'!J31+'TB-Aug'!J31+'TB-Sep'!J31+'TB-Oct'!J31+'TB-Nov'!J31+'TB-Dec'!J31</f>
        <v>0</v>
      </c>
      <c r="K31" s="96">
        <f>'TB-Jan'!K31+'TB-Feb'!K31+'TB-Mar'!K31+'TB-Apr'!K31+'TB-May'!K31+'TB-Jun'!K31+'TB-Jul'!K31+'TB-Aug'!K31+'TB-Sep'!K31+'TB-Oct'!K31+'TB-Nov'!K31+'TB-Dec'!K31</f>
        <v>0</v>
      </c>
      <c r="L31" s="96">
        <f>'TB-Jan'!L31+'TB-Feb'!L31+'TB-Mar'!L31+'TB-Apr'!L31+'TB-May'!L31+'TB-Jun'!L31+'TB-Jul'!L31+'TB-Aug'!L31+'TB-Sep'!L31+'TB-Oct'!L31+'TB-Nov'!L31+'TB-Dec'!L31</f>
        <v>0</v>
      </c>
      <c r="M31" s="97">
        <f>'TB-Jan'!M31+'TB-Feb'!M31+'TB-Mar'!M31+'TB-Apr'!M31+'TB-May'!M31+'TB-Jun'!M31+'TB-Jul'!M31+'TB-Aug'!M31+'TB-Sep'!M31+'TB-Oct'!M31+'TB-Nov'!M31+'TB-Dec'!M31</f>
        <v>0</v>
      </c>
      <c r="N31" s="97">
        <f>'TB-Jan'!N31+'TB-Feb'!N31+'TB-Mar'!N31+'TB-Apr'!N31+'TB-May'!N31+'TB-Jun'!N31+'TB-Jul'!N31+'TB-Aug'!N31+'TB-Sep'!N31+'TB-Oct'!N31+'TB-Nov'!N31+'TB-Dec'!N31</f>
        <v>0</v>
      </c>
    </row>
    <row r="32" spans="1:14" hidden="1">
      <c r="A32" s="3" t="s">
        <v>42</v>
      </c>
      <c r="B32" s="4" t="s">
        <v>43</v>
      </c>
      <c r="C32" s="7">
        <f t="shared" si="1"/>
        <v>0</v>
      </c>
      <c r="D32" s="7"/>
      <c r="E32" s="6">
        <f t="shared" si="0"/>
        <v>0</v>
      </c>
      <c r="F32" s="6">
        <f t="shared" si="0"/>
        <v>0</v>
      </c>
      <c r="G32" s="94">
        <f>'TB-Jan'!G32+'TB-Feb'!G32+'TB-Mar'!G32+'TB-Apr'!G32+'TB-May'!G32+'TB-Jun'!G32+'TB-Jul'!G32+'TB-Aug'!G32+'TB-Sep'!G32+'TB-Oct'!G32+'TB-Nov'!G32+'TB-Dec'!G32</f>
        <v>0</v>
      </c>
      <c r="H32" s="94">
        <f>'TB-Jan'!H32+'TB-Feb'!H32+'TB-Mar'!H32+'TB-Apr'!H32+'TB-May'!H32+'TB-Jun'!H32+'TB-Jul'!H32+'TB-Aug'!H32+'TB-Sep'!H32+'TB-Oct'!H32+'TB-Nov'!H32+'TB-Dec'!H32</f>
        <v>0</v>
      </c>
      <c r="I32" s="95">
        <f>'TB-Jan'!I32+'TB-Feb'!I32+'TB-Mar'!I32+'TB-Apr'!I32+'TB-May'!I32+'TB-Jun'!I32+'TB-Jul'!I32+'TB-Aug'!I32+'TB-Sep'!I32+'TB-Oct'!I32+'TB-Nov'!I32+'TB-Dec'!I32</f>
        <v>0</v>
      </c>
      <c r="J32" s="95">
        <f>'TB-Jan'!J32+'TB-Feb'!J32+'TB-Mar'!J32+'TB-Apr'!J32+'TB-May'!J32+'TB-Jun'!J32+'TB-Jul'!J32+'TB-Aug'!J32+'TB-Sep'!J32+'TB-Oct'!J32+'TB-Nov'!J32+'TB-Dec'!J32</f>
        <v>0</v>
      </c>
      <c r="K32" s="96">
        <f>'TB-Jan'!K32+'TB-Feb'!K32+'TB-Mar'!K32+'TB-Apr'!K32+'TB-May'!K32+'TB-Jun'!K32+'TB-Jul'!K32+'TB-Aug'!K32+'TB-Sep'!K32+'TB-Oct'!K32+'TB-Nov'!K32+'TB-Dec'!K32</f>
        <v>0</v>
      </c>
      <c r="L32" s="96">
        <f>'TB-Jan'!L32+'TB-Feb'!L32+'TB-Mar'!L32+'TB-Apr'!L32+'TB-May'!L32+'TB-Jun'!L32+'TB-Jul'!L32+'TB-Aug'!L32+'TB-Sep'!L32+'TB-Oct'!L32+'TB-Nov'!L32+'TB-Dec'!L32</f>
        <v>0</v>
      </c>
      <c r="M32" s="97">
        <f>'TB-Jan'!M32+'TB-Feb'!M32+'TB-Mar'!M32+'TB-Apr'!M32+'TB-May'!M32+'TB-Jun'!M32+'TB-Jul'!M32+'TB-Aug'!M32+'TB-Sep'!M32+'TB-Oct'!M32+'TB-Nov'!M32+'TB-Dec'!M32</f>
        <v>0</v>
      </c>
      <c r="N32" s="97">
        <f>'TB-Jan'!N32+'TB-Feb'!N32+'TB-Mar'!N32+'TB-Apr'!N32+'TB-May'!N32+'TB-Jun'!N32+'TB-Jul'!N32+'TB-Aug'!N32+'TB-Sep'!N32+'TB-Oct'!N32+'TB-Nov'!N32+'TB-Dec'!N32</f>
        <v>0</v>
      </c>
    </row>
    <row r="33" spans="1:14" hidden="1">
      <c r="A33" s="3" t="s">
        <v>44</v>
      </c>
      <c r="B33" s="4" t="s">
        <v>45</v>
      </c>
      <c r="C33" s="7">
        <f t="shared" si="1"/>
        <v>0</v>
      </c>
      <c r="D33" s="7"/>
      <c r="E33" s="6">
        <f t="shared" si="0"/>
        <v>0</v>
      </c>
      <c r="F33" s="6">
        <f t="shared" si="0"/>
        <v>0</v>
      </c>
      <c r="G33" s="94">
        <f>'TB-Jan'!G33+'TB-Feb'!G33+'TB-Mar'!G33+'TB-Apr'!G33+'TB-May'!G33+'TB-Jun'!G33+'TB-Jul'!G33+'TB-Aug'!G33+'TB-Sep'!G33+'TB-Oct'!G33+'TB-Nov'!G33+'TB-Dec'!G33</f>
        <v>0</v>
      </c>
      <c r="H33" s="94">
        <f>'TB-Jan'!H33+'TB-Feb'!H33+'TB-Mar'!H33+'TB-Apr'!H33+'TB-May'!H33+'TB-Jun'!H33+'TB-Jul'!H33+'TB-Aug'!H33+'TB-Sep'!H33+'TB-Oct'!H33+'TB-Nov'!H33+'TB-Dec'!H33</f>
        <v>0</v>
      </c>
      <c r="I33" s="95">
        <f>'TB-Jan'!I33+'TB-Feb'!I33+'TB-Mar'!I33+'TB-Apr'!I33+'TB-May'!I33+'TB-Jun'!I33+'TB-Jul'!I33+'TB-Aug'!I33+'TB-Sep'!I33+'TB-Oct'!I33+'TB-Nov'!I33+'TB-Dec'!I33</f>
        <v>0</v>
      </c>
      <c r="J33" s="95">
        <f>'TB-Jan'!J33+'TB-Feb'!J33+'TB-Mar'!J33+'TB-Apr'!J33+'TB-May'!J33+'TB-Jun'!J33+'TB-Jul'!J33+'TB-Aug'!J33+'TB-Sep'!J33+'TB-Oct'!J33+'TB-Nov'!J33+'TB-Dec'!J33</f>
        <v>0</v>
      </c>
      <c r="K33" s="96">
        <f>'TB-Jan'!K33+'TB-Feb'!K33+'TB-Mar'!K33+'TB-Apr'!K33+'TB-May'!K33+'TB-Jun'!K33+'TB-Jul'!K33+'TB-Aug'!K33+'TB-Sep'!K33+'TB-Oct'!K33+'TB-Nov'!K33+'TB-Dec'!K33</f>
        <v>0</v>
      </c>
      <c r="L33" s="96">
        <f>'TB-Jan'!L33+'TB-Feb'!L33+'TB-Mar'!L33+'TB-Apr'!L33+'TB-May'!L33+'TB-Jun'!L33+'TB-Jul'!L33+'TB-Aug'!L33+'TB-Sep'!L33+'TB-Oct'!L33+'TB-Nov'!L33+'TB-Dec'!L33</f>
        <v>0</v>
      </c>
      <c r="M33" s="97">
        <f>'TB-Jan'!M33+'TB-Feb'!M33+'TB-Mar'!M33+'TB-Apr'!M33+'TB-May'!M33+'TB-Jun'!M33+'TB-Jul'!M33+'TB-Aug'!M33+'TB-Sep'!M33+'TB-Oct'!M33+'TB-Nov'!M33+'TB-Dec'!M33</f>
        <v>0</v>
      </c>
      <c r="N33" s="97">
        <f>'TB-Jan'!N33+'TB-Feb'!N33+'TB-Mar'!N33+'TB-Apr'!N33+'TB-May'!N33+'TB-Jun'!N33+'TB-Jul'!N33+'TB-Aug'!N33+'TB-Sep'!N33+'TB-Oct'!N33+'TB-Nov'!N33+'TB-Dec'!N33</f>
        <v>0</v>
      </c>
    </row>
    <row r="34" spans="1:14" hidden="1">
      <c r="A34" s="3" t="s">
        <v>46</v>
      </c>
      <c r="B34" s="4" t="s">
        <v>47</v>
      </c>
      <c r="C34" s="7">
        <f t="shared" si="1"/>
        <v>0</v>
      </c>
      <c r="D34" s="7"/>
      <c r="E34" s="6">
        <f t="shared" si="0"/>
        <v>0</v>
      </c>
      <c r="F34" s="6">
        <f t="shared" si="0"/>
        <v>0</v>
      </c>
      <c r="G34" s="94">
        <f>'TB-Jan'!G34+'TB-Feb'!G34+'TB-Mar'!G34+'TB-Apr'!G34+'TB-May'!G34+'TB-Jun'!G34+'TB-Jul'!G34+'TB-Aug'!G34+'TB-Sep'!G34+'TB-Oct'!G34+'TB-Nov'!G34+'TB-Dec'!G34</f>
        <v>0</v>
      </c>
      <c r="H34" s="94">
        <f>'TB-Jan'!H34+'TB-Feb'!H34+'TB-Mar'!H34+'TB-Apr'!H34+'TB-May'!H34+'TB-Jun'!H34+'TB-Jul'!H34+'TB-Aug'!H34+'TB-Sep'!H34+'TB-Oct'!H34+'TB-Nov'!H34+'TB-Dec'!H34</f>
        <v>0</v>
      </c>
      <c r="I34" s="95">
        <f>'TB-Jan'!I34+'TB-Feb'!I34+'TB-Mar'!I34+'TB-Apr'!I34+'TB-May'!I34+'TB-Jun'!I34+'TB-Jul'!I34+'TB-Aug'!I34+'TB-Sep'!I34+'TB-Oct'!I34+'TB-Nov'!I34+'TB-Dec'!I34</f>
        <v>0</v>
      </c>
      <c r="J34" s="95">
        <f>'TB-Jan'!J34+'TB-Feb'!J34+'TB-Mar'!J34+'TB-Apr'!J34+'TB-May'!J34+'TB-Jun'!J34+'TB-Jul'!J34+'TB-Aug'!J34+'TB-Sep'!J34+'TB-Oct'!J34+'TB-Nov'!J34+'TB-Dec'!J34</f>
        <v>0</v>
      </c>
      <c r="K34" s="96">
        <f>'TB-Jan'!K34+'TB-Feb'!K34+'TB-Mar'!K34+'TB-Apr'!K34+'TB-May'!K34+'TB-Jun'!K34+'TB-Jul'!K34+'TB-Aug'!K34+'TB-Sep'!K34+'TB-Oct'!K34+'TB-Nov'!K34+'TB-Dec'!K34</f>
        <v>0</v>
      </c>
      <c r="L34" s="96">
        <f>'TB-Jan'!L34+'TB-Feb'!L34+'TB-Mar'!L34+'TB-Apr'!L34+'TB-May'!L34+'TB-Jun'!L34+'TB-Jul'!L34+'TB-Aug'!L34+'TB-Sep'!L34+'TB-Oct'!L34+'TB-Nov'!L34+'TB-Dec'!L34</f>
        <v>0</v>
      </c>
      <c r="M34" s="97">
        <f>'TB-Jan'!M34+'TB-Feb'!M34+'TB-Mar'!M34+'TB-Apr'!M34+'TB-May'!M34+'TB-Jun'!M34+'TB-Jul'!M34+'TB-Aug'!M34+'TB-Sep'!M34+'TB-Oct'!M34+'TB-Nov'!M34+'TB-Dec'!M34</f>
        <v>0</v>
      </c>
      <c r="N34" s="97">
        <f>'TB-Jan'!N34+'TB-Feb'!N34+'TB-Mar'!N34+'TB-Apr'!N34+'TB-May'!N34+'TB-Jun'!N34+'TB-Jul'!N34+'TB-Aug'!N34+'TB-Sep'!N34+'TB-Oct'!N34+'TB-Nov'!N34+'TB-Dec'!N34</f>
        <v>0</v>
      </c>
    </row>
    <row r="35" spans="1:14" hidden="1">
      <c r="A35" s="3" t="s">
        <v>48</v>
      </c>
      <c r="B35" s="4" t="s">
        <v>49</v>
      </c>
      <c r="C35" s="7">
        <f t="shared" si="1"/>
        <v>0</v>
      </c>
      <c r="D35" s="7"/>
      <c r="E35" s="6">
        <f t="shared" si="0"/>
        <v>0</v>
      </c>
      <c r="F35" s="6">
        <f t="shared" si="0"/>
        <v>0</v>
      </c>
      <c r="G35" s="94">
        <f>'TB-Jan'!G35+'TB-Feb'!G35+'TB-Mar'!G35+'TB-Apr'!G35+'TB-May'!G35+'TB-Jun'!G35+'TB-Jul'!G35+'TB-Aug'!G35+'TB-Sep'!G35+'TB-Oct'!G35+'TB-Nov'!G35+'TB-Dec'!G35</f>
        <v>0</v>
      </c>
      <c r="H35" s="94">
        <f>'TB-Jan'!H35+'TB-Feb'!H35+'TB-Mar'!H35+'TB-Apr'!H35+'TB-May'!H35+'TB-Jun'!H35+'TB-Jul'!H35+'TB-Aug'!H35+'TB-Sep'!H35+'TB-Oct'!H35+'TB-Nov'!H35+'TB-Dec'!H35</f>
        <v>0</v>
      </c>
      <c r="I35" s="95">
        <f>'TB-Jan'!I35+'TB-Feb'!I35+'TB-Mar'!I35+'TB-Apr'!I35+'TB-May'!I35+'TB-Jun'!I35+'TB-Jul'!I35+'TB-Aug'!I35+'TB-Sep'!I35+'TB-Oct'!I35+'TB-Nov'!I35+'TB-Dec'!I35</f>
        <v>0</v>
      </c>
      <c r="J35" s="95">
        <f>'TB-Jan'!J35+'TB-Feb'!J35+'TB-Mar'!J35+'TB-Apr'!J35+'TB-May'!J35+'TB-Jun'!J35+'TB-Jul'!J35+'TB-Aug'!J35+'TB-Sep'!J35+'TB-Oct'!J35+'TB-Nov'!J35+'TB-Dec'!J35</f>
        <v>0</v>
      </c>
      <c r="K35" s="96">
        <f>'TB-Jan'!K35+'TB-Feb'!K35+'TB-Mar'!K35+'TB-Apr'!K35+'TB-May'!K35+'TB-Jun'!K35+'TB-Jul'!K35+'TB-Aug'!K35+'TB-Sep'!K35+'TB-Oct'!K35+'TB-Nov'!K35+'TB-Dec'!K35</f>
        <v>0</v>
      </c>
      <c r="L35" s="96">
        <f>'TB-Jan'!L35+'TB-Feb'!L35+'TB-Mar'!L35+'TB-Apr'!L35+'TB-May'!L35+'TB-Jun'!L35+'TB-Jul'!L35+'TB-Aug'!L35+'TB-Sep'!L35+'TB-Oct'!L35+'TB-Nov'!L35+'TB-Dec'!L35</f>
        <v>0</v>
      </c>
      <c r="M35" s="97">
        <f>'TB-Jan'!M35+'TB-Feb'!M35+'TB-Mar'!M35+'TB-Apr'!M35+'TB-May'!M35+'TB-Jun'!M35+'TB-Jul'!M35+'TB-Aug'!M35+'TB-Sep'!M35+'TB-Oct'!M35+'TB-Nov'!M35+'TB-Dec'!M35</f>
        <v>0</v>
      </c>
      <c r="N35" s="97">
        <f>'TB-Jan'!N35+'TB-Feb'!N35+'TB-Mar'!N35+'TB-Apr'!N35+'TB-May'!N35+'TB-Jun'!N35+'TB-Jul'!N35+'TB-Aug'!N35+'TB-Sep'!N35+'TB-Oct'!N35+'TB-Nov'!N35+'TB-Dec'!N35</f>
        <v>0</v>
      </c>
    </row>
    <row r="36" spans="1:14" hidden="1">
      <c r="A36" s="3" t="s">
        <v>50</v>
      </c>
      <c r="B36" s="4" t="s">
        <v>51</v>
      </c>
      <c r="C36" s="7">
        <f t="shared" si="1"/>
        <v>0</v>
      </c>
      <c r="D36" s="7"/>
      <c r="E36" s="6">
        <f t="shared" si="0"/>
        <v>0</v>
      </c>
      <c r="F36" s="6">
        <f t="shared" si="0"/>
        <v>0</v>
      </c>
      <c r="G36" s="94">
        <f>'TB-Jan'!G36+'TB-Feb'!G36+'TB-Mar'!G36+'TB-Apr'!G36+'TB-May'!G36+'TB-Jun'!G36+'TB-Jul'!G36+'TB-Aug'!G36+'TB-Sep'!G36+'TB-Oct'!G36+'TB-Nov'!G36+'TB-Dec'!G36</f>
        <v>0</v>
      </c>
      <c r="H36" s="94">
        <f>'TB-Jan'!H36+'TB-Feb'!H36+'TB-Mar'!H36+'TB-Apr'!H36+'TB-May'!H36+'TB-Jun'!H36+'TB-Jul'!H36+'TB-Aug'!H36+'TB-Sep'!H36+'TB-Oct'!H36+'TB-Nov'!H36+'TB-Dec'!H36</f>
        <v>0</v>
      </c>
      <c r="I36" s="95">
        <f>'TB-Jan'!I36+'TB-Feb'!I36+'TB-Mar'!I36+'TB-Apr'!I36+'TB-May'!I36+'TB-Jun'!I36+'TB-Jul'!I36+'TB-Aug'!I36+'TB-Sep'!I36+'TB-Oct'!I36+'TB-Nov'!I36+'TB-Dec'!I36</f>
        <v>0</v>
      </c>
      <c r="J36" s="95">
        <f>'TB-Jan'!J36+'TB-Feb'!J36+'TB-Mar'!J36+'TB-Apr'!J36+'TB-May'!J36+'TB-Jun'!J36+'TB-Jul'!J36+'TB-Aug'!J36+'TB-Sep'!J36+'TB-Oct'!J36+'TB-Nov'!J36+'TB-Dec'!J36</f>
        <v>0</v>
      </c>
      <c r="K36" s="96">
        <f>'TB-Jan'!K36+'TB-Feb'!K36+'TB-Mar'!K36+'TB-Apr'!K36+'TB-May'!K36+'TB-Jun'!K36+'TB-Jul'!K36+'TB-Aug'!K36+'TB-Sep'!K36+'TB-Oct'!K36+'TB-Nov'!K36+'TB-Dec'!K36</f>
        <v>0</v>
      </c>
      <c r="L36" s="96">
        <f>'TB-Jan'!L36+'TB-Feb'!L36+'TB-Mar'!L36+'TB-Apr'!L36+'TB-May'!L36+'TB-Jun'!L36+'TB-Jul'!L36+'TB-Aug'!L36+'TB-Sep'!L36+'TB-Oct'!L36+'TB-Nov'!L36+'TB-Dec'!L36</f>
        <v>0</v>
      </c>
      <c r="M36" s="97">
        <f>'TB-Jan'!M36+'TB-Feb'!M36+'TB-Mar'!M36+'TB-Apr'!M36+'TB-May'!M36+'TB-Jun'!M36+'TB-Jul'!M36+'TB-Aug'!M36+'TB-Sep'!M36+'TB-Oct'!M36+'TB-Nov'!M36+'TB-Dec'!M36</f>
        <v>0</v>
      </c>
      <c r="N36" s="97">
        <f>'TB-Jan'!N36+'TB-Feb'!N36+'TB-Mar'!N36+'TB-Apr'!N36+'TB-May'!N36+'TB-Jun'!N36+'TB-Jul'!N36+'TB-Aug'!N36+'TB-Sep'!N36+'TB-Oct'!N36+'TB-Nov'!N36+'TB-Dec'!N36</f>
        <v>0</v>
      </c>
    </row>
    <row r="37" spans="1:14" hidden="1">
      <c r="A37" s="3" t="s">
        <v>52</v>
      </c>
      <c r="B37" s="4" t="s">
        <v>53</v>
      </c>
      <c r="C37" s="7">
        <f t="shared" si="1"/>
        <v>0</v>
      </c>
      <c r="D37" s="7"/>
      <c r="E37" s="6">
        <f t="shared" si="0"/>
        <v>0</v>
      </c>
      <c r="F37" s="6">
        <f t="shared" si="0"/>
        <v>0</v>
      </c>
      <c r="G37" s="94">
        <f>'TB-Jan'!G37+'TB-Feb'!G37+'TB-Mar'!G37+'TB-Apr'!G37+'TB-May'!G37+'TB-Jun'!G37+'TB-Jul'!G37+'TB-Aug'!G37+'TB-Sep'!G37+'TB-Oct'!G37+'TB-Nov'!G37+'TB-Dec'!G37</f>
        <v>0</v>
      </c>
      <c r="H37" s="94">
        <f>'TB-Jan'!H37+'TB-Feb'!H37+'TB-Mar'!H37+'TB-Apr'!H37+'TB-May'!H37+'TB-Jun'!H37+'TB-Jul'!H37+'TB-Aug'!H37+'TB-Sep'!H37+'TB-Oct'!H37+'TB-Nov'!H37+'TB-Dec'!H37</f>
        <v>0</v>
      </c>
      <c r="I37" s="95">
        <f>'TB-Jan'!I37+'TB-Feb'!I37+'TB-Mar'!I37+'TB-Apr'!I37+'TB-May'!I37+'TB-Jun'!I37+'TB-Jul'!I37+'TB-Aug'!I37+'TB-Sep'!I37+'TB-Oct'!I37+'TB-Nov'!I37+'TB-Dec'!I37</f>
        <v>0</v>
      </c>
      <c r="J37" s="95">
        <f>'TB-Jan'!J37+'TB-Feb'!J37+'TB-Mar'!J37+'TB-Apr'!J37+'TB-May'!J37+'TB-Jun'!J37+'TB-Jul'!J37+'TB-Aug'!J37+'TB-Sep'!J37+'TB-Oct'!J37+'TB-Nov'!J37+'TB-Dec'!J37</f>
        <v>0</v>
      </c>
      <c r="K37" s="96">
        <f>'TB-Jan'!K37+'TB-Feb'!K37+'TB-Mar'!K37+'TB-Apr'!K37+'TB-May'!K37+'TB-Jun'!K37+'TB-Jul'!K37+'TB-Aug'!K37+'TB-Sep'!K37+'TB-Oct'!K37+'TB-Nov'!K37+'TB-Dec'!K37</f>
        <v>0</v>
      </c>
      <c r="L37" s="96">
        <f>'TB-Jan'!L37+'TB-Feb'!L37+'TB-Mar'!L37+'TB-Apr'!L37+'TB-May'!L37+'TB-Jun'!L37+'TB-Jul'!L37+'TB-Aug'!L37+'TB-Sep'!L37+'TB-Oct'!L37+'TB-Nov'!L37+'TB-Dec'!L37</f>
        <v>0</v>
      </c>
      <c r="M37" s="97">
        <f>'TB-Jan'!M37+'TB-Feb'!M37+'TB-Mar'!M37+'TB-Apr'!M37+'TB-May'!M37+'TB-Jun'!M37+'TB-Jul'!M37+'TB-Aug'!M37+'TB-Sep'!M37+'TB-Oct'!M37+'TB-Nov'!M37+'TB-Dec'!M37</f>
        <v>0</v>
      </c>
      <c r="N37" s="97">
        <f>'TB-Jan'!N37+'TB-Feb'!N37+'TB-Mar'!N37+'TB-Apr'!N37+'TB-May'!N37+'TB-Jun'!N37+'TB-Jul'!N37+'TB-Aug'!N37+'TB-Sep'!N37+'TB-Oct'!N37+'TB-Nov'!N37+'TB-Dec'!N37</f>
        <v>0</v>
      </c>
    </row>
    <row r="38" spans="1:14">
      <c r="A38" s="3" t="s">
        <v>54</v>
      </c>
      <c r="B38" s="9">
        <v>138</v>
      </c>
      <c r="C38" s="7">
        <f t="shared" si="1"/>
        <v>1183464.43</v>
      </c>
      <c r="D38" s="7"/>
      <c r="E38" s="6">
        <f t="shared" si="0"/>
        <v>1183464.43</v>
      </c>
      <c r="F38" s="6">
        <f t="shared" si="0"/>
        <v>0</v>
      </c>
      <c r="G38" s="94">
        <f>'TB-Jan'!G38+'TB-Feb'!G38+'TB-Mar'!G38+'TB-Apr'!G38+'TB-May'!G38+'TB-Jun'!G38+'TB-Jul'!G38+'TB-Aug'!G38+'TB-Sep'!G38+'TB-Oct'!G38+'TB-Nov'!G38+'TB-Dec'!G38</f>
        <v>1183464.43</v>
      </c>
      <c r="H38" s="94">
        <f>'TB-Jan'!H38+'TB-Feb'!H38+'TB-Mar'!H38+'TB-Apr'!H38+'TB-May'!H38+'TB-Jun'!H38+'TB-Jul'!H38+'TB-Aug'!H38+'TB-Sep'!H38+'TB-Oct'!H38+'TB-Nov'!H38+'TB-Dec'!H38</f>
        <v>0</v>
      </c>
      <c r="I38" s="95">
        <f>'TB-Jan'!I38+'TB-Feb'!I38+'TB-Mar'!I38+'TB-Apr'!I38+'TB-May'!I38+'TB-Jun'!I38+'TB-Jul'!I38+'TB-Aug'!I38+'TB-Sep'!I38+'TB-Oct'!I38+'TB-Nov'!I38+'TB-Dec'!I38</f>
        <v>0</v>
      </c>
      <c r="J38" s="95">
        <f>'TB-Jan'!J38+'TB-Feb'!J38+'TB-Mar'!J38+'TB-Apr'!J38+'TB-May'!J38+'TB-Jun'!J38+'TB-Jul'!J38+'TB-Aug'!J38+'TB-Sep'!J38+'TB-Oct'!J38+'TB-Nov'!J38+'TB-Dec'!J38</f>
        <v>0</v>
      </c>
      <c r="K38" s="96">
        <f>'TB-Jan'!K38+'TB-Feb'!K38+'TB-Mar'!K38+'TB-Apr'!K38+'TB-May'!K38+'TB-Jun'!K38+'TB-Jul'!K38+'TB-Aug'!K38+'TB-Sep'!K38+'TB-Oct'!K38+'TB-Nov'!K38+'TB-Dec'!K38</f>
        <v>0</v>
      </c>
      <c r="L38" s="96">
        <f>'TB-Jan'!L38+'TB-Feb'!L38+'TB-Mar'!L38+'TB-Apr'!L38+'TB-May'!L38+'TB-Jun'!L38+'TB-Jul'!L38+'TB-Aug'!L38+'TB-Sep'!L38+'TB-Oct'!L38+'TB-Nov'!L38+'TB-Dec'!L38</f>
        <v>0</v>
      </c>
      <c r="M38" s="97">
        <f>'TB-Jan'!M38+'TB-Feb'!M38+'TB-Mar'!M38+'TB-Apr'!M38+'TB-May'!M38+'TB-Jun'!M38+'TB-Jul'!M38+'TB-Aug'!M38+'TB-Sep'!M38+'TB-Oct'!M38+'TB-Nov'!M38+'TB-Dec'!M38</f>
        <v>0</v>
      </c>
      <c r="N38" s="97">
        <f>'TB-Jan'!N38+'TB-Feb'!N38+'TB-Mar'!N38+'TB-Apr'!N38+'TB-May'!N38+'TB-Jun'!N38+'TB-Jul'!N38+'TB-Aug'!N38+'TB-Sep'!N38+'TB-Oct'!N38+'TB-Nov'!N38+'TB-Dec'!N38</f>
        <v>0</v>
      </c>
    </row>
    <row r="39" spans="1:14">
      <c r="A39" s="3" t="s">
        <v>55</v>
      </c>
      <c r="B39" s="4" t="s">
        <v>56</v>
      </c>
      <c r="C39" s="7">
        <f t="shared" si="1"/>
        <v>1897625</v>
      </c>
      <c r="D39" s="7"/>
      <c r="E39" s="6">
        <f t="shared" si="0"/>
        <v>1897625</v>
      </c>
      <c r="F39" s="6">
        <f t="shared" si="0"/>
        <v>0</v>
      </c>
      <c r="G39" s="94">
        <f>'TB-Jan'!G39+'TB-Feb'!G39+'TB-Mar'!G39+'TB-Apr'!G39+'TB-May'!G39+'TB-Jun'!G39+'TB-Jul'!G39+'TB-Aug'!G39+'TB-Sep'!G39+'TB-Oct'!G39+'TB-Nov'!G39+'TB-Dec'!G39</f>
        <v>1897625</v>
      </c>
      <c r="H39" s="94">
        <f>'TB-Jan'!H39+'TB-Feb'!H39+'TB-Mar'!H39+'TB-Apr'!H39+'TB-May'!H39+'TB-Jun'!H39+'TB-Jul'!H39+'TB-Aug'!H39+'TB-Sep'!H39+'TB-Oct'!H39+'TB-Nov'!H39+'TB-Dec'!H39</f>
        <v>0</v>
      </c>
      <c r="I39" s="95">
        <f>'TB-Jan'!I39+'TB-Feb'!I39+'TB-Mar'!I39+'TB-Apr'!I39+'TB-May'!I39+'TB-Jun'!I39+'TB-Jul'!I39+'TB-Aug'!I39+'TB-Sep'!I39+'TB-Oct'!I39+'TB-Nov'!I39+'TB-Dec'!I39</f>
        <v>0</v>
      </c>
      <c r="J39" s="95">
        <f>'TB-Jan'!J39+'TB-Feb'!J39+'TB-Mar'!J39+'TB-Apr'!J39+'TB-May'!J39+'TB-Jun'!J39+'TB-Jul'!J39+'TB-Aug'!J39+'TB-Sep'!J39+'TB-Oct'!J39+'TB-Nov'!J39+'TB-Dec'!J39</f>
        <v>0</v>
      </c>
      <c r="K39" s="96">
        <f>'TB-Jan'!K39+'TB-Feb'!K39+'TB-Mar'!K39+'TB-Apr'!K39+'TB-May'!K39+'TB-Jun'!K39+'TB-Jul'!K39+'TB-Aug'!K39+'TB-Sep'!K39+'TB-Oct'!K39+'TB-Nov'!K39+'TB-Dec'!K39</f>
        <v>0</v>
      </c>
      <c r="L39" s="96">
        <f>'TB-Jan'!L39+'TB-Feb'!L39+'TB-Mar'!L39+'TB-Apr'!L39+'TB-May'!L39+'TB-Jun'!L39+'TB-Jul'!L39+'TB-Aug'!L39+'TB-Sep'!L39+'TB-Oct'!L39+'TB-Nov'!L39+'TB-Dec'!L39</f>
        <v>0</v>
      </c>
      <c r="M39" s="97">
        <f>'TB-Jan'!M39+'TB-Feb'!M39+'TB-Mar'!M39+'TB-Apr'!M39+'TB-May'!M39+'TB-Jun'!M39+'TB-Jul'!M39+'TB-Aug'!M39+'TB-Sep'!M39+'TB-Oct'!M39+'TB-Nov'!M39+'TB-Dec'!M39</f>
        <v>0</v>
      </c>
      <c r="N39" s="97">
        <f>'TB-Jan'!N39+'TB-Feb'!N39+'TB-Mar'!N39+'TB-Apr'!N39+'TB-May'!N39+'TB-Jun'!N39+'TB-Jul'!N39+'TB-Aug'!N39+'TB-Sep'!N39+'TB-Oct'!N39+'TB-Nov'!N39+'TB-Dec'!N39</f>
        <v>0</v>
      </c>
    </row>
    <row r="40" spans="1:14" hidden="1">
      <c r="A40" s="3" t="s">
        <v>57</v>
      </c>
      <c r="B40" s="9">
        <v>144</v>
      </c>
      <c r="C40" s="7">
        <f t="shared" si="1"/>
        <v>0</v>
      </c>
      <c r="D40" s="7"/>
      <c r="E40" s="6">
        <f t="shared" si="0"/>
        <v>0</v>
      </c>
      <c r="F40" s="6">
        <f t="shared" si="0"/>
        <v>0</v>
      </c>
      <c r="G40" s="94">
        <f>'TB-Jan'!G40+'TB-Feb'!G40+'TB-Mar'!G40+'TB-Apr'!G40+'TB-May'!G40+'TB-Jun'!G40+'TB-Jul'!G40+'TB-Aug'!G40+'TB-Sep'!G40+'TB-Oct'!G40+'TB-Nov'!G40+'TB-Dec'!G40</f>
        <v>0</v>
      </c>
      <c r="H40" s="94">
        <f>'TB-Jan'!H40+'TB-Feb'!H40+'TB-Mar'!H40+'TB-Apr'!H40+'TB-May'!H40+'TB-Jun'!H40+'TB-Jul'!H40+'TB-Aug'!H40+'TB-Sep'!H40+'TB-Oct'!H40+'TB-Nov'!H40+'TB-Dec'!H40</f>
        <v>0</v>
      </c>
      <c r="I40" s="95">
        <f>'TB-Jan'!I40+'TB-Feb'!I40+'TB-Mar'!I40+'TB-Apr'!I40+'TB-May'!I40+'TB-Jun'!I40+'TB-Jul'!I40+'TB-Aug'!I40+'TB-Sep'!I40+'TB-Oct'!I40+'TB-Nov'!I40+'TB-Dec'!I40</f>
        <v>0</v>
      </c>
      <c r="J40" s="95">
        <f>'TB-Jan'!J40+'TB-Feb'!J40+'TB-Mar'!J40+'TB-Apr'!J40+'TB-May'!J40+'TB-Jun'!J40+'TB-Jul'!J40+'TB-Aug'!J40+'TB-Sep'!J40+'TB-Oct'!J40+'TB-Nov'!J40+'TB-Dec'!J40</f>
        <v>0</v>
      </c>
      <c r="K40" s="96">
        <f>'TB-Jan'!K40+'TB-Feb'!K40+'TB-Mar'!K40+'TB-Apr'!K40+'TB-May'!K40+'TB-Jun'!K40+'TB-Jul'!K40+'TB-Aug'!K40+'TB-Sep'!K40+'TB-Oct'!K40+'TB-Nov'!K40+'TB-Dec'!K40</f>
        <v>0</v>
      </c>
      <c r="L40" s="96">
        <f>'TB-Jan'!L40+'TB-Feb'!L40+'TB-Mar'!L40+'TB-Apr'!L40+'TB-May'!L40+'TB-Jun'!L40+'TB-Jul'!L40+'TB-Aug'!L40+'TB-Sep'!L40+'TB-Oct'!L40+'TB-Nov'!L40+'TB-Dec'!L40</f>
        <v>0</v>
      </c>
      <c r="M40" s="97">
        <f>'TB-Jan'!M40+'TB-Feb'!M40+'TB-Mar'!M40+'TB-Apr'!M40+'TB-May'!M40+'TB-Jun'!M40+'TB-Jul'!M40+'TB-Aug'!M40+'TB-Sep'!M40+'TB-Oct'!M40+'TB-Nov'!M40+'TB-Dec'!M40</f>
        <v>0</v>
      </c>
      <c r="N40" s="97">
        <f>'TB-Jan'!N40+'TB-Feb'!N40+'TB-Mar'!N40+'TB-Apr'!N40+'TB-May'!N40+'TB-Jun'!N40+'TB-Jul'!N40+'TB-Aug'!N40+'TB-Sep'!N40+'TB-Oct'!N40+'TB-Nov'!N40+'TB-Dec'!N40</f>
        <v>0</v>
      </c>
    </row>
    <row r="41" spans="1:14" hidden="1">
      <c r="A41" s="3" t="s">
        <v>58</v>
      </c>
      <c r="B41" s="4" t="s">
        <v>59</v>
      </c>
      <c r="C41" s="7">
        <f t="shared" si="1"/>
        <v>0</v>
      </c>
      <c r="D41" s="7"/>
      <c r="E41" s="6">
        <f t="shared" si="0"/>
        <v>0</v>
      </c>
      <c r="F41" s="6">
        <f t="shared" si="0"/>
        <v>0</v>
      </c>
      <c r="G41" s="94">
        <f>'TB-Jan'!G41+'TB-Feb'!G41+'TB-Mar'!G41+'TB-Apr'!G41+'TB-May'!G41+'TB-Jun'!G41+'TB-Jul'!G41+'TB-Aug'!G41+'TB-Sep'!G41+'TB-Oct'!G41+'TB-Nov'!G41+'TB-Dec'!G41</f>
        <v>0</v>
      </c>
      <c r="H41" s="94">
        <f>'TB-Jan'!H41+'TB-Feb'!H41+'TB-Mar'!H41+'TB-Apr'!H41+'TB-May'!H41+'TB-Jun'!H41+'TB-Jul'!H41+'TB-Aug'!H41+'TB-Sep'!H41+'TB-Oct'!H41+'TB-Nov'!H41+'TB-Dec'!H41</f>
        <v>0</v>
      </c>
      <c r="I41" s="95">
        <f>'TB-Jan'!I41+'TB-Feb'!I41+'TB-Mar'!I41+'TB-Apr'!I41+'TB-May'!I41+'TB-Jun'!I41+'TB-Jul'!I41+'TB-Aug'!I41+'TB-Sep'!I41+'TB-Oct'!I41+'TB-Nov'!I41+'TB-Dec'!I41</f>
        <v>0</v>
      </c>
      <c r="J41" s="95">
        <f>'TB-Jan'!J41+'TB-Feb'!J41+'TB-Mar'!J41+'TB-Apr'!J41+'TB-May'!J41+'TB-Jun'!J41+'TB-Jul'!J41+'TB-Aug'!J41+'TB-Sep'!J41+'TB-Oct'!J41+'TB-Nov'!J41+'TB-Dec'!J41</f>
        <v>0</v>
      </c>
      <c r="K41" s="96">
        <f>'TB-Jan'!K41+'TB-Feb'!K41+'TB-Mar'!K41+'TB-Apr'!K41+'TB-May'!K41+'TB-Jun'!K41+'TB-Jul'!K41+'TB-Aug'!K41+'TB-Sep'!K41+'TB-Oct'!K41+'TB-Nov'!K41+'TB-Dec'!K41</f>
        <v>0</v>
      </c>
      <c r="L41" s="96">
        <f>'TB-Jan'!L41+'TB-Feb'!L41+'TB-Mar'!L41+'TB-Apr'!L41+'TB-May'!L41+'TB-Jun'!L41+'TB-Jul'!L41+'TB-Aug'!L41+'TB-Sep'!L41+'TB-Oct'!L41+'TB-Nov'!L41+'TB-Dec'!L41</f>
        <v>0</v>
      </c>
      <c r="M41" s="97">
        <f>'TB-Jan'!M41+'TB-Feb'!M41+'TB-Mar'!M41+'TB-Apr'!M41+'TB-May'!M41+'TB-Jun'!M41+'TB-Jul'!M41+'TB-Aug'!M41+'TB-Sep'!M41+'TB-Oct'!M41+'TB-Nov'!M41+'TB-Dec'!M41</f>
        <v>0</v>
      </c>
      <c r="N41" s="97">
        <f>'TB-Jan'!N41+'TB-Feb'!N41+'TB-Mar'!N41+'TB-Apr'!N41+'TB-May'!N41+'TB-Jun'!N41+'TB-Jul'!N41+'TB-Aug'!N41+'TB-Sep'!N41+'TB-Oct'!N41+'TB-Nov'!N41+'TB-Dec'!N41</f>
        <v>0</v>
      </c>
    </row>
    <row r="42" spans="1:14">
      <c r="A42" s="3" t="s">
        <v>60</v>
      </c>
      <c r="B42" s="4" t="s">
        <v>61</v>
      </c>
      <c r="C42" s="7">
        <f t="shared" si="1"/>
        <v>30461098.579999987</v>
      </c>
      <c r="D42" s="7"/>
      <c r="E42" s="6">
        <f t="shared" si="0"/>
        <v>30652384.059999987</v>
      </c>
      <c r="F42" s="6">
        <f t="shared" si="0"/>
        <v>191285.48</v>
      </c>
      <c r="G42" s="94">
        <f>'TB-Jan'!G42+'TB-Feb'!G42+'TB-Mar'!G42+'TB-Apr'!G42+'TB-May'!G42+'TB-Jun'!G42+'TB-Jul'!G42+'TB-Aug'!G42+'TB-Sep'!G42+'TB-Oct'!G42+'TB-Nov'!G42+'TB-Dec'!G42</f>
        <v>30652384.059999987</v>
      </c>
      <c r="H42" s="94">
        <f>'TB-Jan'!H42+'TB-Feb'!H42+'TB-Mar'!H42+'TB-Apr'!H42+'TB-May'!H42+'TB-Jun'!H42+'TB-Jul'!H42+'TB-Aug'!H42+'TB-Sep'!H42+'TB-Oct'!H42+'TB-Nov'!H42+'TB-Dec'!H42</f>
        <v>0</v>
      </c>
      <c r="I42" s="95">
        <f>'TB-Jan'!I42+'TB-Feb'!I42+'TB-Mar'!I42+'TB-Apr'!I42+'TB-May'!I42+'TB-Jun'!I42+'TB-Jul'!I42+'TB-Aug'!I42+'TB-Sep'!I42+'TB-Oct'!I42+'TB-Nov'!I42+'TB-Dec'!I42</f>
        <v>0</v>
      </c>
      <c r="J42" s="95">
        <f>'TB-Jan'!J42+'TB-Feb'!J42+'TB-Mar'!J42+'TB-Apr'!J42+'TB-May'!J42+'TB-Jun'!J42+'TB-Jul'!J42+'TB-Aug'!J42+'TB-Sep'!J42+'TB-Oct'!J42+'TB-Nov'!J42+'TB-Dec'!J42</f>
        <v>0</v>
      </c>
      <c r="K42" s="96">
        <f>'TB-Jan'!K42+'TB-Feb'!K42+'TB-Mar'!K42+'TB-Apr'!K42+'TB-May'!K42+'TB-Jun'!K42+'TB-Jul'!K42+'TB-Aug'!K42+'TB-Sep'!K42+'TB-Oct'!K42+'TB-Nov'!K42+'TB-Dec'!K42</f>
        <v>0</v>
      </c>
      <c r="L42" s="96">
        <f>'TB-Jan'!L42+'TB-Feb'!L42+'TB-Mar'!L42+'TB-Apr'!L42+'TB-May'!L42+'TB-Jun'!L42+'TB-Jul'!L42+'TB-Aug'!L42+'TB-Sep'!L42+'TB-Oct'!L42+'TB-Nov'!L42+'TB-Dec'!L42</f>
        <v>24792.48</v>
      </c>
      <c r="M42" s="97">
        <f>'TB-Jan'!M42+'TB-Feb'!M42+'TB-Mar'!M42+'TB-Apr'!M42+'TB-May'!M42+'TB-Jun'!M42+'TB-Jul'!M42+'TB-Aug'!M42+'TB-Sep'!M42+'TB-Oct'!M42+'TB-Nov'!M42+'TB-Dec'!M42</f>
        <v>0</v>
      </c>
      <c r="N42" s="97">
        <f>'TB-Jan'!N42+'TB-Feb'!N42+'TB-Mar'!N42+'TB-Apr'!N42+'TB-May'!N42+'TB-Jun'!N42+'TB-Jul'!N42+'TB-Aug'!N42+'TB-Sep'!N42+'TB-Oct'!N42+'TB-Nov'!N42+'TB-Dec'!N42</f>
        <v>166493</v>
      </c>
    </row>
    <row r="43" spans="1:14">
      <c r="A43" s="3" t="s">
        <v>62</v>
      </c>
      <c r="B43" s="4" t="s">
        <v>63</v>
      </c>
      <c r="C43" s="7">
        <f t="shared" si="1"/>
        <v>377433.89</v>
      </c>
      <c r="D43" s="7"/>
      <c r="E43" s="6">
        <f t="shared" si="0"/>
        <v>377433.89</v>
      </c>
      <c r="F43" s="6">
        <f t="shared" si="0"/>
        <v>0</v>
      </c>
      <c r="G43" s="94">
        <f>'TB-Jan'!G43+'TB-Feb'!G43+'TB-Mar'!G43+'TB-Apr'!G43+'TB-May'!G43+'TB-Jun'!G43+'TB-Jul'!G43+'TB-Aug'!G43+'TB-Sep'!G43+'TB-Oct'!G43+'TB-Nov'!G43+'TB-Dec'!G43</f>
        <v>377433.89</v>
      </c>
      <c r="H43" s="94">
        <f>'TB-Jan'!H43+'TB-Feb'!H43+'TB-Mar'!H43+'TB-Apr'!H43+'TB-May'!H43+'TB-Jun'!H43+'TB-Jul'!H43+'TB-Aug'!H43+'TB-Sep'!H43+'TB-Oct'!H43+'TB-Nov'!H43+'TB-Dec'!H43</f>
        <v>0</v>
      </c>
      <c r="I43" s="95">
        <f>'TB-Jan'!I43+'TB-Feb'!I43+'TB-Mar'!I43+'TB-Apr'!I43+'TB-May'!I43+'TB-Jun'!I43+'TB-Jul'!I43+'TB-Aug'!I43+'TB-Sep'!I43+'TB-Oct'!I43+'TB-Nov'!I43+'TB-Dec'!I43</f>
        <v>0</v>
      </c>
      <c r="J43" s="95">
        <f>'TB-Jan'!J43+'TB-Feb'!J43+'TB-Mar'!J43+'TB-Apr'!J43+'TB-May'!J43+'TB-Jun'!J43+'TB-Jul'!J43+'TB-Aug'!J43+'TB-Sep'!J43+'TB-Oct'!J43+'TB-Nov'!J43+'TB-Dec'!J43</f>
        <v>0</v>
      </c>
      <c r="K43" s="96">
        <f>'TB-Jan'!K43+'TB-Feb'!K43+'TB-Mar'!K43+'TB-Apr'!K43+'TB-May'!K43+'TB-Jun'!K43+'TB-Jul'!K43+'TB-Aug'!K43+'TB-Sep'!K43+'TB-Oct'!K43+'TB-Nov'!K43+'TB-Dec'!K43</f>
        <v>0</v>
      </c>
      <c r="L43" s="96">
        <f>'TB-Jan'!L43+'TB-Feb'!L43+'TB-Mar'!L43+'TB-Apr'!L43+'TB-May'!L43+'TB-Jun'!L43+'TB-Jul'!L43+'TB-Aug'!L43+'TB-Sep'!L43+'TB-Oct'!L43+'TB-Nov'!L43+'TB-Dec'!L43</f>
        <v>0</v>
      </c>
      <c r="M43" s="97">
        <f>'TB-Jan'!M43+'TB-Feb'!M43+'TB-Mar'!M43+'TB-Apr'!M43+'TB-May'!M43+'TB-Jun'!M43+'TB-Jul'!M43+'TB-Aug'!M43+'TB-Sep'!M43+'TB-Oct'!M43+'TB-Nov'!M43+'TB-Dec'!M43</f>
        <v>0</v>
      </c>
      <c r="N43" s="97">
        <f>'TB-Jan'!N43+'TB-Feb'!N43+'TB-Mar'!N43+'TB-Apr'!N43+'TB-May'!N43+'TB-Jun'!N43+'TB-Jul'!N43+'TB-Aug'!N43+'TB-Sep'!N43+'TB-Oct'!N43+'TB-Nov'!N43+'TB-Dec'!N43</f>
        <v>0</v>
      </c>
    </row>
    <row r="44" spans="1:14" hidden="1">
      <c r="A44" s="3" t="s">
        <v>64</v>
      </c>
      <c r="B44" s="4" t="s">
        <v>65</v>
      </c>
      <c r="C44" s="7">
        <f t="shared" si="1"/>
        <v>0</v>
      </c>
      <c r="D44" s="7"/>
      <c r="E44" s="6">
        <f t="shared" si="0"/>
        <v>0</v>
      </c>
      <c r="F44" s="6">
        <f t="shared" si="0"/>
        <v>0</v>
      </c>
      <c r="G44" s="94">
        <f>'TB-Jan'!G44+'TB-Feb'!G44+'TB-Mar'!G44+'TB-Apr'!G44+'TB-May'!G44+'TB-Jun'!G44+'TB-Jul'!G44+'TB-Aug'!G44+'TB-Sep'!G44+'TB-Oct'!G44+'TB-Nov'!G44+'TB-Dec'!G44</f>
        <v>0</v>
      </c>
      <c r="H44" s="94">
        <f>'TB-Jan'!H44+'TB-Feb'!H44+'TB-Mar'!H44+'TB-Apr'!H44+'TB-May'!H44+'TB-Jun'!H44+'TB-Jul'!H44+'TB-Aug'!H44+'TB-Sep'!H44+'TB-Oct'!H44+'TB-Nov'!H44+'TB-Dec'!H44</f>
        <v>0</v>
      </c>
      <c r="I44" s="95">
        <f>'TB-Jan'!I44+'TB-Feb'!I44+'TB-Mar'!I44+'TB-Apr'!I44+'TB-May'!I44+'TB-Jun'!I44+'TB-Jul'!I44+'TB-Aug'!I44+'TB-Sep'!I44+'TB-Oct'!I44+'TB-Nov'!I44+'TB-Dec'!I44</f>
        <v>0</v>
      </c>
      <c r="J44" s="95">
        <f>'TB-Jan'!J44+'TB-Feb'!J44+'TB-Mar'!J44+'TB-Apr'!J44+'TB-May'!J44+'TB-Jun'!J44+'TB-Jul'!J44+'TB-Aug'!J44+'TB-Sep'!J44+'TB-Oct'!J44+'TB-Nov'!J44+'TB-Dec'!J44</f>
        <v>0</v>
      </c>
      <c r="K44" s="96">
        <f>'TB-Jan'!K44+'TB-Feb'!K44+'TB-Mar'!K44+'TB-Apr'!K44+'TB-May'!K44+'TB-Jun'!K44+'TB-Jul'!K44+'TB-Aug'!K44+'TB-Sep'!K44+'TB-Oct'!K44+'TB-Nov'!K44+'TB-Dec'!K44</f>
        <v>0</v>
      </c>
      <c r="L44" s="96">
        <f>'TB-Jan'!L44+'TB-Feb'!L44+'TB-Mar'!L44+'TB-Apr'!L44+'TB-May'!L44+'TB-Jun'!L44+'TB-Jul'!L44+'TB-Aug'!L44+'TB-Sep'!L44+'TB-Oct'!L44+'TB-Nov'!L44+'TB-Dec'!L44</f>
        <v>0</v>
      </c>
      <c r="M44" s="97">
        <f>'TB-Jan'!M44+'TB-Feb'!M44+'TB-Mar'!M44+'TB-Apr'!M44+'TB-May'!M44+'TB-Jun'!M44+'TB-Jul'!M44+'TB-Aug'!M44+'TB-Sep'!M44+'TB-Oct'!M44+'TB-Nov'!M44+'TB-Dec'!M44</f>
        <v>0</v>
      </c>
      <c r="N44" s="97">
        <f>'TB-Jan'!N44+'TB-Feb'!N44+'TB-Mar'!N44+'TB-Apr'!N44+'TB-May'!N44+'TB-Jun'!N44+'TB-Jul'!N44+'TB-Aug'!N44+'TB-Sep'!N44+'TB-Oct'!N44+'TB-Nov'!N44+'TB-Dec'!N44</f>
        <v>0</v>
      </c>
    </row>
    <row r="45" spans="1:14" hidden="1">
      <c r="A45" s="3" t="s">
        <v>66</v>
      </c>
      <c r="B45" s="4" t="s">
        <v>67</v>
      </c>
      <c r="C45" s="7">
        <f t="shared" si="1"/>
        <v>0</v>
      </c>
      <c r="D45" s="7"/>
      <c r="E45" s="6">
        <f t="shared" si="0"/>
        <v>0</v>
      </c>
      <c r="F45" s="6">
        <f t="shared" si="0"/>
        <v>0</v>
      </c>
      <c r="G45" s="94">
        <f>'TB-Jan'!G45+'TB-Feb'!G45+'TB-Mar'!G45+'TB-Apr'!G45+'TB-May'!G45+'TB-Jun'!G45+'TB-Jul'!G45+'TB-Aug'!G45+'TB-Sep'!G45+'TB-Oct'!G45+'TB-Nov'!G45+'TB-Dec'!G45</f>
        <v>0</v>
      </c>
      <c r="H45" s="94">
        <f>'TB-Jan'!H45+'TB-Feb'!H45+'TB-Mar'!H45+'TB-Apr'!H45+'TB-May'!H45+'TB-Jun'!H45+'TB-Jul'!H45+'TB-Aug'!H45+'TB-Sep'!H45+'TB-Oct'!H45+'TB-Nov'!H45+'TB-Dec'!H45</f>
        <v>0</v>
      </c>
      <c r="I45" s="95">
        <f>'TB-Jan'!I45+'TB-Feb'!I45+'TB-Mar'!I45+'TB-Apr'!I45+'TB-May'!I45+'TB-Jun'!I45+'TB-Jul'!I45+'TB-Aug'!I45+'TB-Sep'!I45+'TB-Oct'!I45+'TB-Nov'!I45+'TB-Dec'!I45</f>
        <v>0</v>
      </c>
      <c r="J45" s="95">
        <f>'TB-Jan'!J45+'TB-Feb'!J45+'TB-Mar'!J45+'TB-Apr'!J45+'TB-May'!J45+'TB-Jun'!J45+'TB-Jul'!J45+'TB-Aug'!J45+'TB-Sep'!J45+'TB-Oct'!J45+'TB-Nov'!J45+'TB-Dec'!J45</f>
        <v>0</v>
      </c>
      <c r="K45" s="96">
        <f>'TB-Jan'!K45+'TB-Feb'!K45+'TB-Mar'!K45+'TB-Apr'!K45+'TB-May'!K45+'TB-Jun'!K45+'TB-Jul'!K45+'TB-Aug'!K45+'TB-Sep'!K45+'TB-Oct'!K45+'TB-Nov'!K45+'TB-Dec'!K45</f>
        <v>0</v>
      </c>
      <c r="L45" s="96">
        <f>'TB-Jan'!L45+'TB-Feb'!L45+'TB-Mar'!L45+'TB-Apr'!L45+'TB-May'!L45+'TB-Jun'!L45+'TB-Jul'!L45+'TB-Aug'!L45+'TB-Sep'!L45+'TB-Oct'!L45+'TB-Nov'!L45+'TB-Dec'!L45</f>
        <v>0</v>
      </c>
      <c r="M45" s="97">
        <f>'TB-Jan'!M45+'TB-Feb'!M45+'TB-Mar'!M45+'TB-Apr'!M45+'TB-May'!M45+'TB-Jun'!M45+'TB-Jul'!M45+'TB-Aug'!M45+'TB-Sep'!M45+'TB-Oct'!M45+'TB-Nov'!M45+'TB-Dec'!M45</f>
        <v>0</v>
      </c>
      <c r="N45" s="97">
        <f>'TB-Jan'!N45+'TB-Feb'!N45+'TB-Mar'!N45+'TB-Apr'!N45+'TB-May'!N45+'TB-Jun'!N45+'TB-Jul'!N45+'TB-Aug'!N45+'TB-Sep'!N45+'TB-Oct'!N45+'TB-Nov'!N45+'TB-Dec'!N45</f>
        <v>0</v>
      </c>
    </row>
    <row r="46" spans="1:14" hidden="1">
      <c r="A46" s="3" t="s">
        <v>68</v>
      </c>
      <c r="B46" s="4" t="s">
        <v>69</v>
      </c>
      <c r="C46" s="7">
        <f t="shared" si="1"/>
        <v>0</v>
      </c>
      <c r="D46" s="7"/>
      <c r="E46" s="6">
        <f t="shared" si="0"/>
        <v>0</v>
      </c>
      <c r="F46" s="6">
        <f t="shared" si="0"/>
        <v>0</v>
      </c>
      <c r="G46" s="94">
        <f>'TB-Jan'!G46+'TB-Feb'!G46+'TB-Mar'!G46+'TB-Apr'!G46+'TB-May'!G46+'TB-Jun'!G46+'TB-Jul'!G46+'TB-Aug'!G46+'TB-Sep'!G46+'TB-Oct'!G46+'TB-Nov'!G46+'TB-Dec'!G46</f>
        <v>0</v>
      </c>
      <c r="H46" s="94">
        <f>'TB-Jan'!H46+'TB-Feb'!H46+'TB-Mar'!H46+'TB-Apr'!H46+'TB-May'!H46+'TB-Jun'!H46+'TB-Jul'!H46+'TB-Aug'!H46+'TB-Sep'!H46+'TB-Oct'!H46+'TB-Nov'!H46+'TB-Dec'!H46</f>
        <v>0</v>
      </c>
      <c r="I46" s="95">
        <f>'TB-Jan'!I46+'TB-Feb'!I46+'TB-Mar'!I46+'TB-Apr'!I46+'TB-May'!I46+'TB-Jun'!I46+'TB-Jul'!I46+'TB-Aug'!I46+'TB-Sep'!I46+'TB-Oct'!I46+'TB-Nov'!I46+'TB-Dec'!I46</f>
        <v>0</v>
      </c>
      <c r="J46" s="95">
        <f>'TB-Jan'!J46+'TB-Feb'!J46+'TB-Mar'!J46+'TB-Apr'!J46+'TB-May'!J46+'TB-Jun'!J46+'TB-Jul'!J46+'TB-Aug'!J46+'TB-Sep'!J46+'TB-Oct'!J46+'TB-Nov'!J46+'TB-Dec'!J46</f>
        <v>0</v>
      </c>
      <c r="K46" s="96">
        <f>'TB-Jan'!K46+'TB-Feb'!K46+'TB-Mar'!K46+'TB-Apr'!K46+'TB-May'!K46+'TB-Jun'!K46+'TB-Jul'!K46+'TB-Aug'!K46+'TB-Sep'!K46+'TB-Oct'!K46+'TB-Nov'!K46+'TB-Dec'!K46</f>
        <v>0</v>
      </c>
      <c r="L46" s="96">
        <f>'TB-Jan'!L46+'TB-Feb'!L46+'TB-Mar'!L46+'TB-Apr'!L46+'TB-May'!L46+'TB-Jun'!L46+'TB-Jul'!L46+'TB-Aug'!L46+'TB-Sep'!L46+'TB-Oct'!L46+'TB-Nov'!L46+'TB-Dec'!L46</f>
        <v>0</v>
      </c>
      <c r="M46" s="97">
        <f>'TB-Jan'!M46+'TB-Feb'!M46+'TB-Mar'!M46+'TB-Apr'!M46+'TB-May'!M46+'TB-Jun'!M46+'TB-Jul'!M46+'TB-Aug'!M46+'TB-Sep'!M46+'TB-Oct'!M46+'TB-Nov'!M46+'TB-Dec'!M46</f>
        <v>0</v>
      </c>
      <c r="N46" s="97">
        <f>'TB-Jan'!N46+'TB-Feb'!N46+'TB-Mar'!N46+'TB-Apr'!N46+'TB-May'!N46+'TB-Jun'!N46+'TB-Jul'!N46+'TB-Aug'!N46+'TB-Sep'!N46+'TB-Oct'!N46+'TB-Nov'!N46+'TB-Dec'!N46</f>
        <v>0</v>
      </c>
    </row>
    <row r="47" spans="1:14" hidden="1">
      <c r="A47" s="3" t="s">
        <v>70</v>
      </c>
      <c r="B47" s="4" t="s">
        <v>71</v>
      </c>
      <c r="C47" s="7">
        <f t="shared" si="1"/>
        <v>0</v>
      </c>
      <c r="D47" s="7"/>
      <c r="E47" s="6">
        <f t="shared" si="0"/>
        <v>0</v>
      </c>
      <c r="F47" s="6">
        <f t="shared" si="0"/>
        <v>0</v>
      </c>
      <c r="G47" s="94">
        <f>'TB-Jan'!G47+'TB-Feb'!G47+'TB-Mar'!G47+'TB-Apr'!G47+'TB-May'!G47+'TB-Jun'!G47+'TB-Jul'!G47+'TB-Aug'!G47+'TB-Sep'!G47+'TB-Oct'!G47+'TB-Nov'!G47+'TB-Dec'!G47</f>
        <v>0</v>
      </c>
      <c r="H47" s="94">
        <f>'TB-Jan'!H47+'TB-Feb'!H47+'TB-Mar'!H47+'TB-Apr'!H47+'TB-May'!H47+'TB-Jun'!H47+'TB-Jul'!H47+'TB-Aug'!H47+'TB-Sep'!H47+'TB-Oct'!H47+'TB-Nov'!H47+'TB-Dec'!H47</f>
        <v>0</v>
      </c>
      <c r="I47" s="95">
        <f>'TB-Jan'!I47+'TB-Feb'!I47+'TB-Mar'!I47+'TB-Apr'!I47+'TB-May'!I47+'TB-Jun'!I47+'TB-Jul'!I47+'TB-Aug'!I47+'TB-Sep'!I47+'TB-Oct'!I47+'TB-Nov'!I47+'TB-Dec'!I47</f>
        <v>0</v>
      </c>
      <c r="J47" s="95">
        <f>'TB-Jan'!J47+'TB-Feb'!J47+'TB-Mar'!J47+'TB-Apr'!J47+'TB-May'!J47+'TB-Jun'!J47+'TB-Jul'!J47+'TB-Aug'!J47+'TB-Sep'!J47+'TB-Oct'!J47+'TB-Nov'!J47+'TB-Dec'!J47</f>
        <v>0</v>
      </c>
      <c r="K47" s="96">
        <f>'TB-Jan'!K47+'TB-Feb'!K47+'TB-Mar'!K47+'TB-Apr'!K47+'TB-May'!K47+'TB-Jun'!K47+'TB-Jul'!K47+'TB-Aug'!K47+'TB-Sep'!K47+'TB-Oct'!K47+'TB-Nov'!K47+'TB-Dec'!K47</f>
        <v>0</v>
      </c>
      <c r="L47" s="96">
        <f>'TB-Jan'!L47+'TB-Feb'!L47+'TB-Mar'!L47+'TB-Apr'!L47+'TB-May'!L47+'TB-Jun'!L47+'TB-Jul'!L47+'TB-Aug'!L47+'TB-Sep'!L47+'TB-Oct'!L47+'TB-Nov'!L47+'TB-Dec'!L47</f>
        <v>0</v>
      </c>
      <c r="M47" s="97">
        <f>'TB-Jan'!M47+'TB-Feb'!M47+'TB-Mar'!M47+'TB-Apr'!M47+'TB-May'!M47+'TB-Jun'!M47+'TB-Jul'!M47+'TB-Aug'!M47+'TB-Sep'!M47+'TB-Oct'!M47+'TB-Nov'!M47+'TB-Dec'!M47</f>
        <v>0</v>
      </c>
      <c r="N47" s="97">
        <f>'TB-Jan'!N47+'TB-Feb'!N47+'TB-Mar'!N47+'TB-Apr'!N47+'TB-May'!N47+'TB-Jun'!N47+'TB-Jul'!N47+'TB-Aug'!N47+'TB-Sep'!N47+'TB-Oct'!N47+'TB-Nov'!N47+'TB-Dec'!N47</f>
        <v>0</v>
      </c>
    </row>
    <row r="48" spans="1:14" hidden="1">
      <c r="A48" s="3" t="s">
        <v>72</v>
      </c>
      <c r="B48" s="4" t="s">
        <v>73</v>
      </c>
      <c r="C48" s="7">
        <f t="shared" si="1"/>
        <v>0</v>
      </c>
      <c r="D48" s="7"/>
      <c r="E48" s="6">
        <f t="shared" si="0"/>
        <v>0</v>
      </c>
      <c r="F48" s="6">
        <f t="shared" si="0"/>
        <v>0</v>
      </c>
      <c r="G48" s="94">
        <f>'TB-Jan'!G48+'TB-Feb'!G48+'TB-Mar'!G48+'TB-Apr'!G48+'TB-May'!G48+'TB-Jun'!G48+'TB-Jul'!G48+'TB-Aug'!G48+'TB-Sep'!G48+'TB-Oct'!G48+'TB-Nov'!G48+'TB-Dec'!G48</f>
        <v>0</v>
      </c>
      <c r="H48" s="94">
        <f>'TB-Jan'!H48+'TB-Feb'!H48+'TB-Mar'!H48+'TB-Apr'!H48+'TB-May'!H48+'TB-Jun'!H48+'TB-Jul'!H48+'TB-Aug'!H48+'TB-Sep'!H48+'TB-Oct'!H48+'TB-Nov'!H48+'TB-Dec'!H48</f>
        <v>0</v>
      </c>
      <c r="I48" s="95">
        <f>'TB-Jan'!I48+'TB-Feb'!I48+'TB-Mar'!I48+'TB-Apr'!I48+'TB-May'!I48+'TB-Jun'!I48+'TB-Jul'!I48+'TB-Aug'!I48+'TB-Sep'!I48+'TB-Oct'!I48+'TB-Nov'!I48+'TB-Dec'!I48</f>
        <v>0</v>
      </c>
      <c r="J48" s="95">
        <f>'TB-Jan'!J48+'TB-Feb'!J48+'TB-Mar'!J48+'TB-Apr'!J48+'TB-May'!J48+'TB-Jun'!J48+'TB-Jul'!J48+'TB-Aug'!J48+'TB-Sep'!J48+'TB-Oct'!J48+'TB-Nov'!J48+'TB-Dec'!J48</f>
        <v>0</v>
      </c>
      <c r="K48" s="96">
        <f>'TB-Jan'!K48+'TB-Feb'!K48+'TB-Mar'!K48+'TB-Apr'!K48+'TB-May'!K48+'TB-Jun'!K48+'TB-Jul'!K48+'TB-Aug'!K48+'TB-Sep'!K48+'TB-Oct'!K48+'TB-Nov'!K48+'TB-Dec'!K48</f>
        <v>0</v>
      </c>
      <c r="L48" s="96">
        <f>'TB-Jan'!L48+'TB-Feb'!L48+'TB-Mar'!L48+'TB-Apr'!L48+'TB-May'!L48+'TB-Jun'!L48+'TB-Jul'!L48+'TB-Aug'!L48+'TB-Sep'!L48+'TB-Oct'!L48+'TB-Nov'!L48+'TB-Dec'!L48</f>
        <v>0</v>
      </c>
      <c r="M48" s="97">
        <f>'TB-Jan'!M48+'TB-Feb'!M48+'TB-Mar'!M48+'TB-Apr'!M48+'TB-May'!M48+'TB-Jun'!M48+'TB-Jul'!M48+'TB-Aug'!M48+'TB-Sep'!M48+'TB-Oct'!M48+'TB-Nov'!M48+'TB-Dec'!M48</f>
        <v>0</v>
      </c>
      <c r="N48" s="97">
        <f>'TB-Jan'!N48+'TB-Feb'!N48+'TB-Mar'!N48+'TB-Apr'!N48+'TB-May'!N48+'TB-Jun'!N48+'TB-Jul'!N48+'TB-Aug'!N48+'TB-Sep'!N48+'TB-Oct'!N48+'TB-Nov'!N48+'TB-Dec'!N48</f>
        <v>0</v>
      </c>
    </row>
    <row r="49" spans="1:14" hidden="1">
      <c r="A49" s="3" t="s">
        <v>74</v>
      </c>
      <c r="B49" s="4" t="s">
        <v>75</v>
      </c>
      <c r="C49" s="7">
        <f t="shared" si="1"/>
        <v>0</v>
      </c>
      <c r="D49" s="7"/>
      <c r="E49" s="6">
        <f t="shared" si="0"/>
        <v>0</v>
      </c>
      <c r="F49" s="6">
        <f t="shared" si="0"/>
        <v>0</v>
      </c>
      <c r="G49" s="94">
        <f>'TB-Jan'!G49+'TB-Feb'!G49+'TB-Mar'!G49+'TB-Apr'!G49+'TB-May'!G49+'TB-Jun'!G49+'TB-Jul'!G49+'TB-Aug'!G49+'TB-Sep'!G49+'TB-Oct'!G49+'TB-Nov'!G49+'TB-Dec'!G49</f>
        <v>0</v>
      </c>
      <c r="H49" s="94">
        <f>'TB-Jan'!H49+'TB-Feb'!H49+'TB-Mar'!H49+'TB-Apr'!H49+'TB-May'!H49+'TB-Jun'!H49+'TB-Jul'!H49+'TB-Aug'!H49+'TB-Sep'!H49+'TB-Oct'!H49+'TB-Nov'!H49+'TB-Dec'!H49</f>
        <v>0</v>
      </c>
      <c r="I49" s="95">
        <f>'TB-Jan'!I49+'TB-Feb'!I49+'TB-Mar'!I49+'TB-Apr'!I49+'TB-May'!I49+'TB-Jun'!I49+'TB-Jul'!I49+'TB-Aug'!I49+'TB-Sep'!I49+'TB-Oct'!I49+'TB-Nov'!I49+'TB-Dec'!I49</f>
        <v>0</v>
      </c>
      <c r="J49" s="95">
        <f>'TB-Jan'!J49+'TB-Feb'!J49+'TB-Mar'!J49+'TB-Apr'!J49+'TB-May'!J49+'TB-Jun'!J49+'TB-Jul'!J49+'TB-Aug'!J49+'TB-Sep'!J49+'TB-Oct'!J49+'TB-Nov'!J49+'TB-Dec'!J49</f>
        <v>0</v>
      </c>
      <c r="K49" s="96">
        <f>'TB-Jan'!K49+'TB-Feb'!K49+'TB-Mar'!K49+'TB-Apr'!K49+'TB-May'!K49+'TB-Jun'!K49+'TB-Jul'!K49+'TB-Aug'!K49+'TB-Sep'!K49+'TB-Oct'!K49+'TB-Nov'!K49+'TB-Dec'!K49</f>
        <v>0</v>
      </c>
      <c r="L49" s="96">
        <f>'TB-Jan'!L49+'TB-Feb'!L49+'TB-Mar'!L49+'TB-Apr'!L49+'TB-May'!L49+'TB-Jun'!L49+'TB-Jul'!L49+'TB-Aug'!L49+'TB-Sep'!L49+'TB-Oct'!L49+'TB-Nov'!L49+'TB-Dec'!L49</f>
        <v>0</v>
      </c>
      <c r="M49" s="97">
        <f>'TB-Jan'!M49+'TB-Feb'!M49+'TB-Mar'!M49+'TB-Apr'!M49+'TB-May'!M49+'TB-Jun'!M49+'TB-Jul'!M49+'TB-Aug'!M49+'TB-Sep'!M49+'TB-Oct'!M49+'TB-Nov'!M49+'TB-Dec'!M49</f>
        <v>0</v>
      </c>
      <c r="N49" s="97">
        <f>'TB-Jan'!N49+'TB-Feb'!N49+'TB-Mar'!N49+'TB-Apr'!N49+'TB-May'!N49+'TB-Jun'!N49+'TB-Jul'!N49+'TB-Aug'!N49+'TB-Sep'!N49+'TB-Oct'!N49+'TB-Nov'!N49+'TB-Dec'!N49</f>
        <v>0</v>
      </c>
    </row>
    <row r="50" spans="1:14" hidden="1">
      <c r="A50" s="3" t="s">
        <v>76</v>
      </c>
      <c r="B50" s="4" t="s">
        <v>77</v>
      </c>
      <c r="C50" s="7">
        <f t="shared" si="1"/>
        <v>0</v>
      </c>
      <c r="D50" s="7"/>
      <c r="E50" s="6">
        <f t="shared" si="0"/>
        <v>0</v>
      </c>
      <c r="F50" s="6">
        <f t="shared" si="0"/>
        <v>0</v>
      </c>
      <c r="G50" s="94">
        <f>'TB-Jan'!G50+'TB-Feb'!G50+'TB-Mar'!G50+'TB-Apr'!G50+'TB-May'!G50+'TB-Jun'!G50+'TB-Jul'!G50+'TB-Aug'!G50+'TB-Sep'!G50+'TB-Oct'!G50+'TB-Nov'!G50+'TB-Dec'!G50</f>
        <v>0</v>
      </c>
      <c r="H50" s="94">
        <f>'TB-Jan'!H50+'TB-Feb'!H50+'TB-Mar'!H50+'TB-Apr'!H50+'TB-May'!H50+'TB-Jun'!H50+'TB-Jul'!H50+'TB-Aug'!H50+'TB-Sep'!H50+'TB-Oct'!H50+'TB-Nov'!H50+'TB-Dec'!H50</f>
        <v>0</v>
      </c>
      <c r="I50" s="95">
        <f>'TB-Jan'!I50+'TB-Feb'!I50+'TB-Mar'!I50+'TB-Apr'!I50+'TB-May'!I50+'TB-Jun'!I50+'TB-Jul'!I50+'TB-Aug'!I50+'TB-Sep'!I50+'TB-Oct'!I50+'TB-Nov'!I50+'TB-Dec'!I50</f>
        <v>0</v>
      </c>
      <c r="J50" s="95">
        <f>'TB-Jan'!J50+'TB-Feb'!J50+'TB-Mar'!J50+'TB-Apr'!J50+'TB-May'!J50+'TB-Jun'!J50+'TB-Jul'!J50+'TB-Aug'!J50+'TB-Sep'!J50+'TB-Oct'!J50+'TB-Nov'!J50+'TB-Dec'!J50</f>
        <v>0</v>
      </c>
      <c r="K50" s="96">
        <f>'TB-Jan'!K50+'TB-Feb'!K50+'TB-Mar'!K50+'TB-Apr'!K50+'TB-May'!K50+'TB-Jun'!K50+'TB-Jul'!K50+'TB-Aug'!K50+'TB-Sep'!K50+'TB-Oct'!K50+'TB-Nov'!K50+'TB-Dec'!K50</f>
        <v>0</v>
      </c>
      <c r="L50" s="96">
        <f>'TB-Jan'!L50+'TB-Feb'!L50+'TB-Mar'!L50+'TB-Apr'!L50+'TB-May'!L50+'TB-Jun'!L50+'TB-Jul'!L50+'TB-Aug'!L50+'TB-Sep'!L50+'TB-Oct'!L50+'TB-Nov'!L50+'TB-Dec'!L50</f>
        <v>0</v>
      </c>
      <c r="M50" s="97">
        <f>'TB-Jan'!M50+'TB-Feb'!M50+'TB-Mar'!M50+'TB-Apr'!M50+'TB-May'!M50+'TB-Jun'!M50+'TB-Jul'!M50+'TB-Aug'!M50+'TB-Sep'!M50+'TB-Oct'!M50+'TB-Nov'!M50+'TB-Dec'!M50</f>
        <v>0</v>
      </c>
      <c r="N50" s="97">
        <f>'TB-Jan'!N50+'TB-Feb'!N50+'TB-Mar'!N50+'TB-Apr'!N50+'TB-May'!N50+'TB-Jun'!N50+'TB-Jul'!N50+'TB-Aug'!N50+'TB-Sep'!N50+'TB-Oct'!N50+'TB-Nov'!N50+'TB-Dec'!N50</f>
        <v>0</v>
      </c>
    </row>
    <row r="51" spans="1:14" hidden="1">
      <c r="A51" s="3" t="s">
        <v>78</v>
      </c>
      <c r="B51" s="4" t="s">
        <v>79</v>
      </c>
      <c r="C51" s="7">
        <f t="shared" si="1"/>
        <v>0</v>
      </c>
      <c r="D51" s="7"/>
      <c r="E51" s="6">
        <f t="shared" si="0"/>
        <v>0</v>
      </c>
      <c r="F51" s="6">
        <f t="shared" si="0"/>
        <v>0</v>
      </c>
      <c r="G51" s="94">
        <f>'TB-Jan'!G51+'TB-Feb'!G51+'TB-Mar'!G51+'TB-Apr'!G51+'TB-May'!G51+'TB-Jun'!G51+'TB-Jul'!G51+'TB-Aug'!G51+'TB-Sep'!G51+'TB-Oct'!G51+'TB-Nov'!G51+'TB-Dec'!G51</f>
        <v>0</v>
      </c>
      <c r="H51" s="94">
        <f>'TB-Jan'!H51+'TB-Feb'!H51+'TB-Mar'!H51+'TB-Apr'!H51+'TB-May'!H51+'TB-Jun'!H51+'TB-Jul'!H51+'TB-Aug'!H51+'TB-Sep'!H51+'TB-Oct'!H51+'TB-Nov'!H51+'TB-Dec'!H51</f>
        <v>0</v>
      </c>
      <c r="I51" s="95">
        <f>'TB-Jan'!I51+'TB-Feb'!I51+'TB-Mar'!I51+'TB-Apr'!I51+'TB-May'!I51+'TB-Jun'!I51+'TB-Jul'!I51+'TB-Aug'!I51+'TB-Sep'!I51+'TB-Oct'!I51+'TB-Nov'!I51+'TB-Dec'!I51</f>
        <v>0</v>
      </c>
      <c r="J51" s="95">
        <f>'TB-Jan'!J51+'TB-Feb'!J51+'TB-Mar'!J51+'TB-Apr'!J51+'TB-May'!J51+'TB-Jun'!J51+'TB-Jul'!J51+'TB-Aug'!J51+'TB-Sep'!J51+'TB-Oct'!J51+'TB-Nov'!J51+'TB-Dec'!J51</f>
        <v>0</v>
      </c>
      <c r="K51" s="96">
        <f>'TB-Jan'!K51+'TB-Feb'!K51+'TB-Mar'!K51+'TB-Apr'!K51+'TB-May'!K51+'TB-Jun'!K51+'TB-Jul'!K51+'TB-Aug'!K51+'TB-Sep'!K51+'TB-Oct'!K51+'TB-Nov'!K51+'TB-Dec'!K51</f>
        <v>0</v>
      </c>
      <c r="L51" s="96">
        <f>'TB-Jan'!L51+'TB-Feb'!L51+'TB-Mar'!L51+'TB-Apr'!L51+'TB-May'!L51+'TB-Jun'!L51+'TB-Jul'!L51+'TB-Aug'!L51+'TB-Sep'!L51+'TB-Oct'!L51+'TB-Nov'!L51+'TB-Dec'!L51</f>
        <v>0</v>
      </c>
      <c r="M51" s="97">
        <f>'TB-Jan'!M51+'TB-Feb'!M51+'TB-Mar'!M51+'TB-Apr'!M51+'TB-May'!M51+'TB-Jun'!M51+'TB-Jul'!M51+'TB-Aug'!M51+'TB-Sep'!M51+'TB-Oct'!M51+'TB-Nov'!M51+'TB-Dec'!M51</f>
        <v>0</v>
      </c>
      <c r="N51" s="97">
        <f>'TB-Jan'!N51+'TB-Feb'!N51+'TB-Mar'!N51+'TB-Apr'!N51+'TB-May'!N51+'TB-Jun'!N51+'TB-Jul'!N51+'TB-Aug'!N51+'TB-Sep'!N51+'TB-Oct'!N51+'TB-Nov'!N51+'TB-Dec'!N51</f>
        <v>0</v>
      </c>
    </row>
    <row r="52" spans="1:14">
      <c r="A52" s="3" t="s">
        <v>80</v>
      </c>
      <c r="B52" s="4" t="s">
        <v>81</v>
      </c>
      <c r="C52" s="7">
        <f t="shared" si="1"/>
        <v>3952300.0900000003</v>
      </c>
      <c r="D52" s="7"/>
      <c r="E52" s="6">
        <f t="shared" si="0"/>
        <v>3952300.0900000003</v>
      </c>
      <c r="F52" s="6">
        <f t="shared" si="0"/>
        <v>0</v>
      </c>
      <c r="G52" s="94">
        <f>'TB-Jan'!G52+'TB-Feb'!G52+'TB-Mar'!G52+'TB-Apr'!G52+'TB-May'!G52+'TB-Jun'!G52+'TB-Jul'!G52+'TB-Aug'!G52+'TB-Sep'!G52+'TB-Oct'!G52+'TB-Nov'!G52+'TB-Dec'!G52</f>
        <v>3952300.0900000003</v>
      </c>
      <c r="H52" s="94">
        <f>'TB-Jan'!H52+'TB-Feb'!H52+'TB-Mar'!H52+'TB-Apr'!H52+'TB-May'!H52+'TB-Jun'!H52+'TB-Jul'!H52+'TB-Aug'!H52+'TB-Sep'!H52+'TB-Oct'!H52+'TB-Nov'!H52+'TB-Dec'!H52</f>
        <v>0</v>
      </c>
      <c r="I52" s="95">
        <f>'TB-Jan'!I52+'TB-Feb'!I52+'TB-Mar'!I52+'TB-Apr'!I52+'TB-May'!I52+'TB-Jun'!I52+'TB-Jul'!I52+'TB-Aug'!I52+'TB-Sep'!I52+'TB-Oct'!I52+'TB-Nov'!I52+'TB-Dec'!I52</f>
        <v>0</v>
      </c>
      <c r="J52" s="95">
        <f>'TB-Jan'!J52+'TB-Feb'!J52+'TB-Mar'!J52+'TB-Apr'!J52+'TB-May'!J52+'TB-Jun'!J52+'TB-Jul'!J52+'TB-Aug'!J52+'TB-Sep'!J52+'TB-Oct'!J52+'TB-Nov'!J52+'TB-Dec'!J52</f>
        <v>0</v>
      </c>
      <c r="K52" s="96">
        <f>'TB-Jan'!K52+'TB-Feb'!K52+'TB-Mar'!K52+'TB-Apr'!K52+'TB-May'!K52+'TB-Jun'!K52+'TB-Jul'!K52+'TB-Aug'!K52+'TB-Sep'!K52+'TB-Oct'!K52+'TB-Nov'!K52+'TB-Dec'!K52</f>
        <v>0</v>
      </c>
      <c r="L52" s="96">
        <f>'TB-Jan'!L52+'TB-Feb'!L52+'TB-Mar'!L52+'TB-Apr'!L52+'TB-May'!L52+'TB-Jun'!L52+'TB-Jul'!L52+'TB-Aug'!L52+'TB-Sep'!L52+'TB-Oct'!L52+'TB-Nov'!L52+'TB-Dec'!L52</f>
        <v>0</v>
      </c>
      <c r="M52" s="97">
        <f>'TB-Jan'!M52+'TB-Feb'!M52+'TB-Mar'!M52+'TB-Apr'!M52+'TB-May'!M52+'TB-Jun'!M52+'TB-Jul'!M52+'TB-Aug'!M52+'TB-Sep'!M52+'TB-Oct'!M52+'TB-Nov'!M52+'TB-Dec'!M52</f>
        <v>0</v>
      </c>
      <c r="N52" s="97">
        <f>'TB-Jan'!N52+'TB-Feb'!N52+'TB-Mar'!N52+'TB-Apr'!N52+'TB-May'!N52+'TB-Jun'!N52+'TB-Jul'!N52+'TB-Aug'!N52+'TB-Sep'!N52+'TB-Oct'!N52+'TB-Nov'!N52+'TB-Dec'!N52</f>
        <v>0</v>
      </c>
    </row>
    <row r="53" spans="1:14" hidden="1">
      <c r="A53" s="8" t="s">
        <v>82</v>
      </c>
      <c r="B53" s="4" t="s">
        <v>83</v>
      </c>
      <c r="C53" s="7">
        <f t="shared" si="1"/>
        <v>0</v>
      </c>
      <c r="D53" s="7"/>
      <c r="E53" s="6">
        <f t="shared" si="0"/>
        <v>0</v>
      </c>
      <c r="F53" s="6">
        <f t="shared" si="0"/>
        <v>0</v>
      </c>
      <c r="G53" s="94">
        <f>'TB-Jan'!G53+'TB-Feb'!G53+'TB-Mar'!G53+'TB-Apr'!G53+'TB-May'!G53+'TB-Jun'!G53+'TB-Jul'!G53+'TB-Aug'!G53+'TB-Sep'!G53+'TB-Oct'!G53+'TB-Nov'!G53+'TB-Dec'!G53</f>
        <v>0</v>
      </c>
      <c r="H53" s="94">
        <f>'TB-Jan'!H53+'TB-Feb'!H53+'TB-Mar'!H53+'TB-Apr'!H53+'TB-May'!H53+'TB-Jun'!H53+'TB-Jul'!H53+'TB-Aug'!H53+'TB-Sep'!H53+'TB-Oct'!H53+'TB-Nov'!H53+'TB-Dec'!H53</f>
        <v>0</v>
      </c>
      <c r="I53" s="95">
        <f>'TB-Jan'!I53+'TB-Feb'!I53+'TB-Mar'!I53+'TB-Apr'!I53+'TB-May'!I53+'TB-Jun'!I53+'TB-Jul'!I53+'TB-Aug'!I53+'TB-Sep'!I53+'TB-Oct'!I53+'TB-Nov'!I53+'TB-Dec'!I53</f>
        <v>0</v>
      </c>
      <c r="J53" s="95">
        <f>'TB-Jan'!J53+'TB-Feb'!J53+'TB-Mar'!J53+'TB-Apr'!J53+'TB-May'!J53+'TB-Jun'!J53+'TB-Jul'!J53+'TB-Aug'!J53+'TB-Sep'!J53+'TB-Oct'!J53+'TB-Nov'!J53+'TB-Dec'!J53</f>
        <v>0</v>
      </c>
      <c r="K53" s="96">
        <f>'TB-Jan'!K53+'TB-Feb'!K53+'TB-Mar'!K53+'TB-Apr'!K53+'TB-May'!K53+'TB-Jun'!K53+'TB-Jul'!K53+'TB-Aug'!K53+'TB-Sep'!K53+'TB-Oct'!K53+'TB-Nov'!K53+'TB-Dec'!K53</f>
        <v>0</v>
      </c>
      <c r="L53" s="96">
        <f>'TB-Jan'!L53+'TB-Feb'!L53+'TB-Mar'!L53+'TB-Apr'!L53+'TB-May'!L53+'TB-Jun'!L53+'TB-Jul'!L53+'TB-Aug'!L53+'TB-Sep'!L53+'TB-Oct'!L53+'TB-Nov'!L53+'TB-Dec'!L53</f>
        <v>0</v>
      </c>
      <c r="M53" s="97">
        <f>'TB-Jan'!M53+'TB-Feb'!M53+'TB-Mar'!M53+'TB-Apr'!M53+'TB-May'!M53+'TB-Jun'!M53+'TB-Jul'!M53+'TB-Aug'!M53+'TB-Sep'!M53+'TB-Oct'!M53+'TB-Nov'!M53+'TB-Dec'!M53</f>
        <v>0</v>
      </c>
      <c r="N53" s="97">
        <f>'TB-Jan'!N53+'TB-Feb'!N53+'TB-Mar'!N53+'TB-Apr'!N53+'TB-May'!N53+'TB-Jun'!N53+'TB-Jul'!N53+'TB-Aug'!N53+'TB-Sep'!N53+'TB-Oct'!N53+'TB-Nov'!N53+'TB-Dec'!N53</f>
        <v>0</v>
      </c>
    </row>
    <row r="54" spans="1:14">
      <c r="A54" s="3" t="s">
        <v>84</v>
      </c>
      <c r="B54" s="4" t="s">
        <v>85</v>
      </c>
      <c r="C54" s="7">
        <f t="shared" si="1"/>
        <v>8172015.8499999996</v>
      </c>
      <c r="D54" s="7"/>
      <c r="E54" s="6">
        <f t="shared" si="0"/>
        <v>8172015.8499999996</v>
      </c>
      <c r="F54" s="6">
        <f t="shared" si="0"/>
        <v>0</v>
      </c>
      <c r="G54" s="94">
        <f>'TB-Jan'!G54+'TB-Feb'!G54+'TB-Mar'!G54+'TB-Apr'!G54+'TB-May'!G54+'TB-Jun'!G54+'TB-Jul'!G54+'TB-Aug'!G54+'TB-Sep'!G54+'TB-Oct'!G54+'TB-Nov'!G54+'TB-Dec'!G54</f>
        <v>8172015.8499999996</v>
      </c>
      <c r="H54" s="94">
        <f>'TB-Jan'!H54+'TB-Feb'!H54+'TB-Mar'!H54+'TB-Apr'!H54+'TB-May'!H54+'TB-Jun'!H54+'TB-Jul'!H54+'TB-Aug'!H54+'TB-Sep'!H54+'TB-Oct'!H54+'TB-Nov'!H54+'TB-Dec'!H54</f>
        <v>0</v>
      </c>
      <c r="I54" s="95">
        <f>'TB-Jan'!I54+'TB-Feb'!I54+'TB-Mar'!I54+'TB-Apr'!I54+'TB-May'!I54+'TB-Jun'!I54+'TB-Jul'!I54+'TB-Aug'!I54+'TB-Sep'!I54+'TB-Oct'!I54+'TB-Nov'!I54+'TB-Dec'!I54</f>
        <v>0</v>
      </c>
      <c r="J54" s="95">
        <f>'TB-Jan'!J54+'TB-Feb'!J54+'TB-Mar'!J54+'TB-Apr'!J54+'TB-May'!J54+'TB-Jun'!J54+'TB-Jul'!J54+'TB-Aug'!J54+'TB-Sep'!J54+'TB-Oct'!J54+'TB-Nov'!J54+'TB-Dec'!J54</f>
        <v>0</v>
      </c>
      <c r="K54" s="96">
        <f>'TB-Jan'!K54+'TB-Feb'!K54+'TB-Mar'!K54+'TB-Apr'!K54+'TB-May'!K54+'TB-Jun'!K54+'TB-Jul'!K54+'TB-Aug'!K54+'TB-Sep'!K54+'TB-Oct'!K54+'TB-Nov'!K54+'TB-Dec'!K54</f>
        <v>0</v>
      </c>
      <c r="L54" s="96">
        <f>'TB-Jan'!L54+'TB-Feb'!L54+'TB-Mar'!L54+'TB-Apr'!L54+'TB-May'!L54+'TB-Jun'!L54+'TB-Jul'!L54+'TB-Aug'!L54+'TB-Sep'!L54+'TB-Oct'!L54+'TB-Nov'!L54+'TB-Dec'!L54</f>
        <v>0</v>
      </c>
      <c r="M54" s="97">
        <f>'TB-Jan'!M54+'TB-Feb'!M54+'TB-Mar'!M54+'TB-Apr'!M54+'TB-May'!M54+'TB-Jun'!M54+'TB-Jul'!M54+'TB-Aug'!M54+'TB-Sep'!M54+'TB-Oct'!M54+'TB-Nov'!M54+'TB-Dec'!M54</f>
        <v>0</v>
      </c>
      <c r="N54" s="97">
        <f>'TB-Jan'!N54+'TB-Feb'!N54+'TB-Mar'!N54+'TB-Apr'!N54+'TB-May'!N54+'TB-Jun'!N54+'TB-Jul'!N54+'TB-Aug'!N54+'TB-Sep'!N54+'TB-Oct'!N54+'TB-Nov'!N54+'TB-Dec'!N54</f>
        <v>0</v>
      </c>
    </row>
    <row r="55" spans="1:14" hidden="1">
      <c r="A55" s="3" t="s">
        <v>86</v>
      </c>
      <c r="B55" s="4" t="s">
        <v>87</v>
      </c>
      <c r="C55" s="7">
        <f t="shared" si="1"/>
        <v>0</v>
      </c>
      <c r="D55" s="7"/>
      <c r="E55" s="6">
        <f t="shared" si="0"/>
        <v>0</v>
      </c>
      <c r="F55" s="6">
        <f t="shared" si="0"/>
        <v>0</v>
      </c>
      <c r="G55" s="94">
        <f>'TB-Jan'!G55+'TB-Feb'!G55+'TB-Mar'!G55+'TB-Apr'!G55+'TB-May'!G55+'TB-Jun'!G55+'TB-Jul'!G55+'TB-Aug'!G55+'TB-Sep'!G55+'TB-Oct'!G55+'TB-Nov'!G55+'TB-Dec'!G55</f>
        <v>0</v>
      </c>
      <c r="H55" s="94">
        <f>'TB-Jan'!H55+'TB-Feb'!H55+'TB-Mar'!H55+'TB-Apr'!H55+'TB-May'!H55+'TB-Jun'!H55+'TB-Jul'!H55+'TB-Aug'!H55+'TB-Sep'!H55+'TB-Oct'!H55+'TB-Nov'!H55+'TB-Dec'!H55</f>
        <v>0</v>
      </c>
      <c r="I55" s="95">
        <f>'TB-Jan'!I55+'TB-Feb'!I55+'TB-Mar'!I55+'TB-Apr'!I55+'TB-May'!I55+'TB-Jun'!I55+'TB-Jul'!I55+'TB-Aug'!I55+'TB-Sep'!I55+'TB-Oct'!I55+'TB-Nov'!I55+'TB-Dec'!I55</f>
        <v>0</v>
      </c>
      <c r="J55" s="95">
        <f>'TB-Jan'!J55+'TB-Feb'!J55+'TB-Mar'!J55+'TB-Apr'!J55+'TB-May'!J55+'TB-Jun'!J55+'TB-Jul'!J55+'TB-Aug'!J55+'TB-Sep'!J55+'TB-Oct'!J55+'TB-Nov'!J55+'TB-Dec'!J55</f>
        <v>0</v>
      </c>
      <c r="K55" s="96">
        <f>'TB-Jan'!K55+'TB-Feb'!K55+'TB-Mar'!K55+'TB-Apr'!K55+'TB-May'!K55+'TB-Jun'!K55+'TB-Jul'!K55+'TB-Aug'!K55+'TB-Sep'!K55+'TB-Oct'!K55+'TB-Nov'!K55+'TB-Dec'!K55</f>
        <v>0</v>
      </c>
      <c r="L55" s="96">
        <f>'TB-Jan'!L55+'TB-Feb'!L55+'TB-Mar'!L55+'TB-Apr'!L55+'TB-May'!L55+'TB-Jun'!L55+'TB-Jul'!L55+'TB-Aug'!L55+'TB-Sep'!L55+'TB-Oct'!L55+'TB-Nov'!L55+'TB-Dec'!L55</f>
        <v>0</v>
      </c>
      <c r="M55" s="97">
        <f>'TB-Jan'!M55+'TB-Feb'!M55+'TB-Mar'!M55+'TB-Apr'!M55+'TB-May'!M55+'TB-Jun'!M55+'TB-Jul'!M55+'TB-Aug'!M55+'TB-Sep'!M55+'TB-Oct'!M55+'TB-Nov'!M55+'TB-Dec'!M55</f>
        <v>0</v>
      </c>
      <c r="N55" s="97">
        <f>'TB-Jan'!N55+'TB-Feb'!N55+'TB-Mar'!N55+'TB-Apr'!N55+'TB-May'!N55+'TB-Jun'!N55+'TB-Jul'!N55+'TB-Aug'!N55+'TB-Sep'!N55+'TB-Oct'!N55+'TB-Nov'!N55+'TB-Dec'!N55</f>
        <v>0</v>
      </c>
    </row>
    <row r="56" spans="1:14" hidden="1">
      <c r="A56" s="8" t="s">
        <v>88</v>
      </c>
      <c r="B56" s="4" t="s">
        <v>89</v>
      </c>
      <c r="C56" s="7">
        <f t="shared" si="1"/>
        <v>0</v>
      </c>
      <c r="D56" s="7"/>
      <c r="E56" s="6">
        <f t="shared" si="0"/>
        <v>0</v>
      </c>
      <c r="F56" s="6">
        <f t="shared" si="0"/>
        <v>0</v>
      </c>
      <c r="G56" s="94">
        <f>'TB-Jan'!G56+'TB-Feb'!G56+'TB-Mar'!G56+'TB-Apr'!G56+'TB-May'!G56+'TB-Jun'!G56+'TB-Jul'!G56+'TB-Aug'!G56+'TB-Sep'!G56+'TB-Oct'!G56+'TB-Nov'!G56+'TB-Dec'!G56</f>
        <v>0</v>
      </c>
      <c r="H56" s="94">
        <f>'TB-Jan'!H56+'TB-Feb'!H56+'TB-Mar'!H56+'TB-Apr'!H56+'TB-May'!H56+'TB-Jun'!H56+'TB-Jul'!H56+'TB-Aug'!H56+'TB-Sep'!H56+'TB-Oct'!H56+'TB-Nov'!H56+'TB-Dec'!H56</f>
        <v>0</v>
      </c>
      <c r="I56" s="95">
        <f>'TB-Jan'!I56+'TB-Feb'!I56+'TB-Mar'!I56+'TB-Apr'!I56+'TB-May'!I56+'TB-Jun'!I56+'TB-Jul'!I56+'TB-Aug'!I56+'TB-Sep'!I56+'TB-Oct'!I56+'TB-Nov'!I56+'TB-Dec'!I56</f>
        <v>0</v>
      </c>
      <c r="J56" s="95">
        <f>'TB-Jan'!J56+'TB-Feb'!J56+'TB-Mar'!J56+'TB-Apr'!J56+'TB-May'!J56+'TB-Jun'!J56+'TB-Jul'!J56+'TB-Aug'!J56+'TB-Sep'!J56+'TB-Oct'!J56+'TB-Nov'!J56+'TB-Dec'!J56</f>
        <v>0</v>
      </c>
      <c r="K56" s="96">
        <f>'TB-Jan'!K56+'TB-Feb'!K56+'TB-Mar'!K56+'TB-Apr'!K56+'TB-May'!K56+'TB-Jun'!K56+'TB-Jul'!K56+'TB-Aug'!K56+'TB-Sep'!K56+'TB-Oct'!K56+'TB-Nov'!K56+'TB-Dec'!K56</f>
        <v>0</v>
      </c>
      <c r="L56" s="96">
        <f>'TB-Jan'!L56+'TB-Feb'!L56+'TB-Mar'!L56+'TB-Apr'!L56+'TB-May'!L56+'TB-Jun'!L56+'TB-Jul'!L56+'TB-Aug'!L56+'TB-Sep'!L56+'TB-Oct'!L56+'TB-Nov'!L56+'TB-Dec'!L56</f>
        <v>0</v>
      </c>
      <c r="M56" s="97">
        <f>'TB-Jan'!M56+'TB-Feb'!M56+'TB-Mar'!M56+'TB-Apr'!M56+'TB-May'!M56+'TB-Jun'!M56+'TB-Jul'!M56+'TB-Aug'!M56+'TB-Sep'!M56+'TB-Oct'!M56+'TB-Nov'!M56+'TB-Dec'!M56</f>
        <v>0</v>
      </c>
      <c r="N56" s="97">
        <f>'TB-Jan'!N56+'TB-Feb'!N56+'TB-Mar'!N56+'TB-Apr'!N56+'TB-May'!N56+'TB-Jun'!N56+'TB-Jul'!N56+'TB-Aug'!N56+'TB-Sep'!N56+'TB-Oct'!N56+'TB-Nov'!N56+'TB-Dec'!N56</f>
        <v>0</v>
      </c>
    </row>
    <row r="57" spans="1:14" hidden="1">
      <c r="A57" s="3" t="s">
        <v>90</v>
      </c>
      <c r="B57" s="4" t="s">
        <v>91</v>
      </c>
      <c r="C57" s="7">
        <f t="shared" si="1"/>
        <v>0</v>
      </c>
      <c r="D57" s="7"/>
      <c r="E57" s="6">
        <f t="shared" si="0"/>
        <v>0</v>
      </c>
      <c r="F57" s="6">
        <f t="shared" si="0"/>
        <v>0</v>
      </c>
      <c r="G57" s="94">
        <f>'TB-Jan'!G57+'TB-Feb'!G57+'TB-Mar'!G57+'TB-Apr'!G57+'TB-May'!G57+'TB-Jun'!G57+'TB-Jul'!G57+'TB-Aug'!G57+'TB-Sep'!G57+'TB-Oct'!G57+'TB-Nov'!G57+'TB-Dec'!G57</f>
        <v>0</v>
      </c>
      <c r="H57" s="94">
        <f>'TB-Jan'!H57+'TB-Feb'!H57+'TB-Mar'!H57+'TB-Apr'!H57+'TB-May'!H57+'TB-Jun'!H57+'TB-Jul'!H57+'TB-Aug'!H57+'TB-Sep'!H57+'TB-Oct'!H57+'TB-Nov'!H57+'TB-Dec'!H57</f>
        <v>0</v>
      </c>
      <c r="I57" s="95">
        <f>'TB-Jan'!I57+'TB-Feb'!I57+'TB-Mar'!I57+'TB-Apr'!I57+'TB-May'!I57+'TB-Jun'!I57+'TB-Jul'!I57+'TB-Aug'!I57+'TB-Sep'!I57+'TB-Oct'!I57+'TB-Nov'!I57+'TB-Dec'!I57</f>
        <v>0</v>
      </c>
      <c r="J57" s="95">
        <f>'TB-Jan'!J57+'TB-Feb'!J57+'TB-Mar'!J57+'TB-Apr'!J57+'TB-May'!J57+'TB-Jun'!J57+'TB-Jul'!J57+'TB-Aug'!J57+'TB-Sep'!J57+'TB-Oct'!J57+'TB-Nov'!J57+'TB-Dec'!J57</f>
        <v>0</v>
      </c>
      <c r="K57" s="96">
        <f>'TB-Jan'!K57+'TB-Feb'!K57+'TB-Mar'!K57+'TB-Apr'!K57+'TB-May'!K57+'TB-Jun'!K57+'TB-Jul'!K57+'TB-Aug'!K57+'TB-Sep'!K57+'TB-Oct'!K57+'TB-Nov'!K57+'TB-Dec'!K57</f>
        <v>0</v>
      </c>
      <c r="L57" s="96">
        <f>'TB-Jan'!L57+'TB-Feb'!L57+'TB-Mar'!L57+'TB-Apr'!L57+'TB-May'!L57+'TB-Jun'!L57+'TB-Jul'!L57+'TB-Aug'!L57+'TB-Sep'!L57+'TB-Oct'!L57+'TB-Nov'!L57+'TB-Dec'!L57</f>
        <v>0</v>
      </c>
      <c r="M57" s="97">
        <f>'TB-Jan'!M57+'TB-Feb'!M57+'TB-Mar'!M57+'TB-Apr'!M57+'TB-May'!M57+'TB-Jun'!M57+'TB-Jul'!M57+'TB-Aug'!M57+'TB-Sep'!M57+'TB-Oct'!M57+'TB-Nov'!M57+'TB-Dec'!M57</f>
        <v>0</v>
      </c>
      <c r="N57" s="97">
        <f>'TB-Jan'!N57+'TB-Feb'!N57+'TB-Mar'!N57+'TB-Apr'!N57+'TB-May'!N57+'TB-Jun'!N57+'TB-Jul'!N57+'TB-Aug'!N57+'TB-Sep'!N57+'TB-Oct'!N57+'TB-Nov'!N57+'TB-Dec'!N57</f>
        <v>0</v>
      </c>
    </row>
    <row r="58" spans="1:14" hidden="1">
      <c r="A58" s="3" t="s">
        <v>92</v>
      </c>
      <c r="B58" s="4">
        <v>165</v>
      </c>
      <c r="C58" s="7">
        <f t="shared" si="1"/>
        <v>0</v>
      </c>
      <c r="D58" s="7"/>
      <c r="E58" s="6">
        <f t="shared" si="0"/>
        <v>0</v>
      </c>
      <c r="F58" s="6">
        <f t="shared" si="0"/>
        <v>0</v>
      </c>
      <c r="G58" s="94">
        <f>'TB-Jan'!G58+'TB-Feb'!G58+'TB-Mar'!G58+'TB-Apr'!G58+'TB-May'!G58+'TB-Jun'!G58+'TB-Jul'!G58+'TB-Aug'!G58+'TB-Sep'!G58+'TB-Oct'!G58+'TB-Nov'!G58+'TB-Dec'!G58</f>
        <v>0</v>
      </c>
      <c r="H58" s="94">
        <f>'TB-Jan'!H58+'TB-Feb'!H58+'TB-Mar'!H58+'TB-Apr'!H58+'TB-May'!H58+'TB-Jun'!H58+'TB-Jul'!H58+'TB-Aug'!H58+'TB-Sep'!H58+'TB-Oct'!H58+'TB-Nov'!H58+'TB-Dec'!H58</f>
        <v>0</v>
      </c>
      <c r="I58" s="95">
        <f>'TB-Jan'!I58+'TB-Feb'!I58+'TB-Mar'!I58+'TB-Apr'!I58+'TB-May'!I58+'TB-Jun'!I58+'TB-Jul'!I58+'TB-Aug'!I58+'TB-Sep'!I58+'TB-Oct'!I58+'TB-Nov'!I58+'TB-Dec'!I58</f>
        <v>0</v>
      </c>
      <c r="J58" s="95">
        <f>'TB-Jan'!J58+'TB-Feb'!J58+'TB-Mar'!J58+'TB-Apr'!J58+'TB-May'!J58+'TB-Jun'!J58+'TB-Jul'!J58+'TB-Aug'!J58+'TB-Sep'!J58+'TB-Oct'!J58+'TB-Nov'!J58+'TB-Dec'!J58</f>
        <v>0</v>
      </c>
      <c r="K58" s="96">
        <f>'TB-Jan'!K58+'TB-Feb'!K58+'TB-Mar'!K58+'TB-Apr'!K58+'TB-May'!K58+'TB-Jun'!K58+'TB-Jul'!K58+'TB-Aug'!K58+'TB-Sep'!K58+'TB-Oct'!K58+'TB-Nov'!K58+'TB-Dec'!K58</f>
        <v>0</v>
      </c>
      <c r="L58" s="96">
        <f>'TB-Jan'!L58+'TB-Feb'!L58+'TB-Mar'!L58+'TB-Apr'!L58+'TB-May'!L58+'TB-Jun'!L58+'TB-Jul'!L58+'TB-Aug'!L58+'TB-Sep'!L58+'TB-Oct'!L58+'TB-Nov'!L58+'TB-Dec'!L58</f>
        <v>0</v>
      </c>
      <c r="M58" s="97">
        <f>'TB-Jan'!M58+'TB-Feb'!M58+'TB-Mar'!M58+'TB-Apr'!M58+'TB-May'!M58+'TB-Jun'!M58+'TB-Jul'!M58+'TB-Aug'!M58+'TB-Sep'!M58+'TB-Oct'!M58+'TB-Nov'!M58+'TB-Dec'!M58</f>
        <v>0</v>
      </c>
      <c r="N58" s="97">
        <f>'TB-Jan'!N58+'TB-Feb'!N58+'TB-Mar'!N58+'TB-Apr'!N58+'TB-May'!N58+'TB-Jun'!N58+'TB-Jul'!N58+'TB-Aug'!N58+'TB-Sep'!N58+'TB-Oct'!N58+'TB-Nov'!N58+'TB-Dec'!N58</f>
        <v>0</v>
      </c>
    </row>
    <row r="59" spans="1:14" hidden="1">
      <c r="A59" s="3" t="s">
        <v>93</v>
      </c>
      <c r="B59" s="4">
        <v>166</v>
      </c>
      <c r="C59" s="7">
        <f t="shared" si="1"/>
        <v>0</v>
      </c>
      <c r="D59" s="7"/>
      <c r="E59" s="6">
        <f t="shared" si="0"/>
        <v>0</v>
      </c>
      <c r="F59" s="6">
        <f t="shared" si="0"/>
        <v>0</v>
      </c>
      <c r="G59" s="94">
        <f>'TB-Jan'!G59+'TB-Feb'!G59+'TB-Mar'!G59+'TB-Apr'!G59+'TB-May'!G59+'TB-Jun'!G59+'TB-Jul'!G59+'TB-Aug'!G59+'TB-Sep'!G59+'TB-Oct'!G59+'TB-Nov'!G59+'TB-Dec'!G59</f>
        <v>0</v>
      </c>
      <c r="H59" s="94">
        <f>'TB-Jan'!H59+'TB-Feb'!H59+'TB-Mar'!H59+'TB-Apr'!H59+'TB-May'!H59+'TB-Jun'!H59+'TB-Jul'!H59+'TB-Aug'!H59+'TB-Sep'!H59+'TB-Oct'!H59+'TB-Nov'!H59+'TB-Dec'!H59</f>
        <v>0</v>
      </c>
      <c r="I59" s="95">
        <f>'TB-Jan'!I59+'TB-Feb'!I59+'TB-Mar'!I59+'TB-Apr'!I59+'TB-May'!I59+'TB-Jun'!I59+'TB-Jul'!I59+'TB-Aug'!I59+'TB-Sep'!I59+'TB-Oct'!I59+'TB-Nov'!I59+'TB-Dec'!I59</f>
        <v>0</v>
      </c>
      <c r="J59" s="95">
        <f>'TB-Jan'!J59+'TB-Feb'!J59+'TB-Mar'!J59+'TB-Apr'!J59+'TB-May'!J59+'TB-Jun'!J59+'TB-Jul'!J59+'TB-Aug'!J59+'TB-Sep'!J59+'TB-Oct'!J59+'TB-Nov'!J59+'TB-Dec'!J59</f>
        <v>0</v>
      </c>
      <c r="K59" s="96">
        <f>'TB-Jan'!K59+'TB-Feb'!K59+'TB-Mar'!K59+'TB-Apr'!K59+'TB-May'!K59+'TB-Jun'!K59+'TB-Jul'!K59+'TB-Aug'!K59+'TB-Sep'!K59+'TB-Oct'!K59+'TB-Nov'!K59+'TB-Dec'!K59</f>
        <v>0</v>
      </c>
      <c r="L59" s="96">
        <f>'TB-Jan'!L59+'TB-Feb'!L59+'TB-Mar'!L59+'TB-Apr'!L59+'TB-May'!L59+'TB-Jun'!L59+'TB-Jul'!L59+'TB-Aug'!L59+'TB-Sep'!L59+'TB-Oct'!L59+'TB-Nov'!L59+'TB-Dec'!L59</f>
        <v>0</v>
      </c>
      <c r="M59" s="97">
        <f>'TB-Jan'!M59+'TB-Feb'!M59+'TB-Mar'!M59+'TB-Apr'!M59+'TB-May'!M59+'TB-Jun'!M59+'TB-Jul'!M59+'TB-Aug'!M59+'TB-Sep'!M59+'TB-Oct'!M59+'TB-Nov'!M59+'TB-Dec'!M59</f>
        <v>0</v>
      </c>
      <c r="N59" s="97">
        <f>'TB-Jan'!N59+'TB-Feb'!N59+'TB-Mar'!N59+'TB-Apr'!N59+'TB-May'!N59+'TB-Jun'!N59+'TB-Jul'!N59+'TB-Aug'!N59+'TB-Sep'!N59+'TB-Oct'!N59+'TB-Nov'!N59+'TB-Dec'!N59</f>
        <v>0</v>
      </c>
    </row>
    <row r="60" spans="1:14" hidden="1">
      <c r="A60" s="3" t="s">
        <v>94</v>
      </c>
      <c r="B60" s="4">
        <v>167</v>
      </c>
      <c r="C60" s="7">
        <f t="shared" si="1"/>
        <v>0</v>
      </c>
      <c r="D60" s="7"/>
      <c r="E60" s="6">
        <f t="shared" si="0"/>
        <v>0</v>
      </c>
      <c r="F60" s="6">
        <f t="shared" si="0"/>
        <v>0</v>
      </c>
      <c r="G60" s="94">
        <f>'TB-Jan'!G60+'TB-Feb'!G60+'TB-Mar'!G60+'TB-Apr'!G60+'TB-May'!G60+'TB-Jun'!G60+'TB-Jul'!G60+'TB-Aug'!G60+'TB-Sep'!G60+'TB-Oct'!G60+'TB-Nov'!G60+'TB-Dec'!G60</f>
        <v>0</v>
      </c>
      <c r="H60" s="94">
        <f>'TB-Jan'!H60+'TB-Feb'!H60+'TB-Mar'!H60+'TB-Apr'!H60+'TB-May'!H60+'TB-Jun'!H60+'TB-Jul'!H60+'TB-Aug'!H60+'TB-Sep'!H60+'TB-Oct'!H60+'TB-Nov'!H60+'TB-Dec'!H60</f>
        <v>0</v>
      </c>
      <c r="I60" s="95">
        <f>'TB-Jan'!I60+'TB-Feb'!I60+'TB-Mar'!I60+'TB-Apr'!I60+'TB-May'!I60+'TB-Jun'!I60+'TB-Jul'!I60+'TB-Aug'!I60+'TB-Sep'!I60+'TB-Oct'!I60+'TB-Nov'!I60+'TB-Dec'!I60</f>
        <v>0</v>
      </c>
      <c r="J60" s="95">
        <f>'TB-Jan'!J60+'TB-Feb'!J60+'TB-Mar'!J60+'TB-Apr'!J60+'TB-May'!J60+'TB-Jun'!J60+'TB-Jul'!J60+'TB-Aug'!J60+'TB-Sep'!J60+'TB-Oct'!J60+'TB-Nov'!J60+'TB-Dec'!J60</f>
        <v>0</v>
      </c>
      <c r="K60" s="96">
        <f>'TB-Jan'!K60+'TB-Feb'!K60+'TB-Mar'!K60+'TB-Apr'!K60+'TB-May'!K60+'TB-Jun'!K60+'TB-Jul'!K60+'TB-Aug'!K60+'TB-Sep'!K60+'TB-Oct'!K60+'TB-Nov'!K60+'TB-Dec'!K60</f>
        <v>0</v>
      </c>
      <c r="L60" s="96">
        <f>'TB-Jan'!L60+'TB-Feb'!L60+'TB-Mar'!L60+'TB-Apr'!L60+'TB-May'!L60+'TB-Jun'!L60+'TB-Jul'!L60+'TB-Aug'!L60+'TB-Sep'!L60+'TB-Oct'!L60+'TB-Nov'!L60+'TB-Dec'!L60</f>
        <v>0</v>
      </c>
      <c r="M60" s="97">
        <f>'TB-Jan'!M60+'TB-Feb'!M60+'TB-Mar'!M60+'TB-Apr'!M60+'TB-May'!M60+'TB-Jun'!M60+'TB-Jul'!M60+'TB-Aug'!M60+'TB-Sep'!M60+'TB-Oct'!M60+'TB-Nov'!M60+'TB-Dec'!M60</f>
        <v>0</v>
      </c>
      <c r="N60" s="97">
        <f>'TB-Jan'!N60+'TB-Feb'!N60+'TB-Mar'!N60+'TB-Apr'!N60+'TB-May'!N60+'TB-Jun'!N60+'TB-Jul'!N60+'TB-Aug'!N60+'TB-Sep'!N60+'TB-Oct'!N60+'TB-Nov'!N60+'TB-Dec'!N60</f>
        <v>0</v>
      </c>
    </row>
    <row r="61" spans="1:14" hidden="1">
      <c r="A61" s="3" t="s">
        <v>95</v>
      </c>
      <c r="B61" s="4" t="s">
        <v>96</v>
      </c>
      <c r="C61" s="7">
        <f t="shared" si="1"/>
        <v>0</v>
      </c>
      <c r="D61" s="7"/>
      <c r="E61" s="6">
        <f t="shared" si="0"/>
        <v>0</v>
      </c>
      <c r="F61" s="6">
        <f t="shared" si="0"/>
        <v>0</v>
      </c>
      <c r="G61" s="94">
        <f>'TB-Jan'!G61+'TB-Feb'!G61+'TB-Mar'!G61+'TB-Apr'!G61+'TB-May'!G61+'TB-Jun'!G61+'TB-Jul'!G61+'TB-Aug'!G61+'TB-Sep'!G61+'TB-Oct'!G61+'TB-Nov'!G61+'TB-Dec'!G61</f>
        <v>0</v>
      </c>
      <c r="H61" s="94">
        <f>'TB-Jan'!H61+'TB-Feb'!H61+'TB-Mar'!H61+'TB-Apr'!H61+'TB-May'!H61+'TB-Jun'!H61+'TB-Jul'!H61+'TB-Aug'!H61+'TB-Sep'!H61+'TB-Oct'!H61+'TB-Nov'!H61+'TB-Dec'!H61</f>
        <v>0</v>
      </c>
      <c r="I61" s="95">
        <f>'TB-Jan'!I61+'TB-Feb'!I61+'TB-Mar'!I61+'TB-Apr'!I61+'TB-May'!I61+'TB-Jun'!I61+'TB-Jul'!I61+'TB-Aug'!I61+'TB-Sep'!I61+'TB-Oct'!I61+'TB-Nov'!I61+'TB-Dec'!I61</f>
        <v>0</v>
      </c>
      <c r="J61" s="95">
        <f>'TB-Jan'!J61+'TB-Feb'!J61+'TB-Mar'!J61+'TB-Apr'!J61+'TB-May'!J61+'TB-Jun'!J61+'TB-Jul'!J61+'TB-Aug'!J61+'TB-Sep'!J61+'TB-Oct'!J61+'TB-Nov'!J61+'TB-Dec'!J61</f>
        <v>0</v>
      </c>
      <c r="K61" s="96">
        <f>'TB-Jan'!K61+'TB-Feb'!K61+'TB-Mar'!K61+'TB-Apr'!K61+'TB-May'!K61+'TB-Jun'!K61+'TB-Jul'!K61+'TB-Aug'!K61+'TB-Sep'!K61+'TB-Oct'!K61+'TB-Nov'!K61+'TB-Dec'!K61</f>
        <v>0</v>
      </c>
      <c r="L61" s="96">
        <f>'TB-Jan'!L61+'TB-Feb'!L61+'TB-Mar'!L61+'TB-Apr'!L61+'TB-May'!L61+'TB-Jun'!L61+'TB-Jul'!L61+'TB-Aug'!L61+'TB-Sep'!L61+'TB-Oct'!L61+'TB-Nov'!L61+'TB-Dec'!L61</f>
        <v>0</v>
      </c>
      <c r="M61" s="97">
        <f>'TB-Jan'!M61+'TB-Feb'!M61+'TB-Mar'!M61+'TB-Apr'!M61+'TB-May'!M61+'TB-Jun'!M61+'TB-Jul'!M61+'TB-Aug'!M61+'TB-Sep'!M61+'TB-Oct'!M61+'TB-Nov'!M61+'TB-Dec'!M61</f>
        <v>0</v>
      </c>
      <c r="N61" s="97">
        <f>'TB-Jan'!N61+'TB-Feb'!N61+'TB-Mar'!N61+'TB-Apr'!N61+'TB-May'!N61+'TB-Jun'!N61+'TB-Jul'!N61+'TB-Aug'!N61+'TB-Sep'!N61+'TB-Oct'!N61+'TB-Nov'!N61+'TB-Dec'!N61</f>
        <v>0</v>
      </c>
    </row>
    <row r="62" spans="1:14" hidden="1">
      <c r="A62" s="3" t="s">
        <v>97</v>
      </c>
      <c r="B62" s="4" t="s">
        <v>98</v>
      </c>
      <c r="C62" s="7">
        <f t="shared" si="1"/>
        <v>0</v>
      </c>
      <c r="D62" s="7"/>
      <c r="E62" s="6">
        <f t="shared" si="0"/>
        <v>0</v>
      </c>
      <c r="F62" s="6">
        <f t="shared" si="0"/>
        <v>0</v>
      </c>
      <c r="G62" s="94">
        <f>'TB-Jan'!G62+'TB-Feb'!G62+'TB-Mar'!G62+'TB-Apr'!G62+'TB-May'!G62+'TB-Jun'!G62+'TB-Jul'!G62+'TB-Aug'!G62+'TB-Sep'!G62+'TB-Oct'!G62+'TB-Nov'!G62+'TB-Dec'!G62</f>
        <v>0</v>
      </c>
      <c r="H62" s="94">
        <f>'TB-Jan'!H62+'TB-Feb'!H62+'TB-Mar'!H62+'TB-Apr'!H62+'TB-May'!H62+'TB-Jun'!H62+'TB-Jul'!H62+'TB-Aug'!H62+'TB-Sep'!H62+'TB-Oct'!H62+'TB-Nov'!H62+'TB-Dec'!H62</f>
        <v>0</v>
      </c>
      <c r="I62" s="95">
        <f>'TB-Jan'!I62+'TB-Feb'!I62+'TB-Mar'!I62+'TB-Apr'!I62+'TB-May'!I62+'TB-Jun'!I62+'TB-Jul'!I62+'TB-Aug'!I62+'TB-Sep'!I62+'TB-Oct'!I62+'TB-Nov'!I62+'TB-Dec'!I62</f>
        <v>0</v>
      </c>
      <c r="J62" s="95">
        <f>'TB-Jan'!J62+'TB-Feb'!J62+'TB-Mar'!J62+'TB-Apr'!J62+'TB-May'!J62+'TB-Jun'!J62+'TB-Jul'!J62+'TB-Aug'!J62+'TB-Sep'!J62+'TB-Oct'!J62+'TB-Nov'!J62+'TB-Dec'!J62</f>
        <v>0</v>
      </c>
      <c r="K62" s="96">
        <f>'TB-Jan'!K62+'TB-Feb'!K62+'TB-Mar'!K62+'TB-Apr'!K62+'TB-May'!K62+'TB-Jun'!K62+'TB-Jul'!K62+'TB-Aug'!K62+'TB-Sep'!K62+'TB-Oct'!K62+'TB-Nov'!K62+'TB-Dec'!K62</f>
        <v>0</v>
      </c>
      <c r="L62" s="96">
        <f>'TB-Jan'!L62+'TB-Feb'!L62+'TB-Mar'!L62+'TB-Apr'!L62+'TB-May'!L62+'TB-Jun'!L62+'TB-Jul'!L62+'TB-Aug'!L62+'TB-Sep'!L62+'TB-Oct'!L62+'TB-Nov'!L62+'TB-Dec'!L62</f>
        <v>0</v>
      </c>
      <c r="M62" s="97">
        <f>'TB-Jan'!M62+'TB-Feb'!M62+'TB-Mar'!M62+'TB-Apr'!M62+'TB-May'!M62+'TB-Jun'!M62+'TB-Jul'!M62+'TB-Aug'!M62+'TB-Sep'!M62+'TB-Oct'!M62+'TB-Nov'!M62+'TB-Dec'!M62</f>
        <v>0</v>
      </c>
      <c r="N62" s="97">
        <f>'TB-Jan'!N62+'TB-Feb'!N62+'TB-Mar'!N62+'TB-Apr'!N62+'TB-May'!N62+'TB-Jun'!N62+'TB-Jul'!N62+'TB-Aug'!N62+'TB-Sep'!N62+'TB-Oct'!N62+'TB-Nov'!N62+'TB-Dec'!N62</f>
        <v>0</v>
      </c>
    </row>
    <row r="63" spans="1:14" hidden="1">
      <c r="A63" s="3" t="s">
        <v>99</v>
      </c>
      <c r="B63" s="4" t="s">
        <v>100</v>
      </c>
      <c r="C63" s="7">
        <f t="shared" si="1"/>
        <v>0</v>
      </c>
      <c r="D63" s="7"/>
      <c r="E63" s="6">
        <f t="shared" si="0"/>
        <v>0</v>
      </c>
      <c r="F63" s="6">
        <f t="shared" si="0"/>
        <v>0</v>
      </c>
      <c r="G63" s="94">
        <f>'TB-Jan'!G63+'TB-Feb'!G63+'TB-Mar'!G63+'TB-Apr'!G63+'TB-May'!G63+'TB-Jun'!G63+'TB-Jul'!G63+'TB-Aug'!G63+'TB-Sep'!G63+'TB-Oct'!G63+'TB-Nov'!G63+'TB-Dec'!G63</f>
        <v>0</v>
      </c>
      <c r="H63" s="94">
        <f>'TB-Jan'!H63+'TB-Feb'!H63+'TB-Mar'!H63+'TB-Apr'!H63+'TB-May'!H63+'TB-Jun'!H63+'TB-Jul'!H63+'TB-Aug'!H63+'TB-Sep'!H63+'TB-Oct'!H63+'TB-Nov'!H63+'TB-Dec'!H63</f>
        <v>0</v>
      </c>
      <c r="I63" s="95">
        <f>'TB-Jan'!I63+'TB-Feb'!I63+'TB-Mar'!I63+'TB-Apr'!I63+'TB-May'!I63+'TB-Jun'!I63+'TB-Jul'!I63+'TB-Aug'!I63+'TB-Sep'!I63+'TB-Oct'!I63+'TB-Nov'!I63+'TB-Dec'!I63</f>
        <v>0</v>
      </c>
      <c r="J63" s="95">
        <f>'TB-Jan'!J63+'TB-Feb'!J63+'TB-Mar'!J63+'TB-Apr'!J63+'TB-May'!J63+'TB-Jun'!J63+'TB-Jul'!J63+'TB-Aug'!J63+'TB-Sep'!J63+'TB-Oct'!J63+'TB-Nov'!J63+'TB-Dec'!J63</f>
        <v>0</v>
      </c>
      <c r="K63" s="96">
        <f>'TB-Jan'!K63+'TB-Feb'!K63+'TB-Mar'!K63+'TB-Apr'!K63+'TB-May'!K63+'TB-Jun'!K63+'TB-Jul'!K63+'TB-Aug'!K63+'TB-Sep'!K63+'TB-Oct'!K63+'TB-Nov'!K63+'TB-Dec'!K63</f>
        <v>0</v>
      </c>
      <c r="L63" s="96">
        <f>'TB-Jan'!L63+'TB-Feb'!L63+'TB-Mar'!L63+'TB-Apr'!L63+'TB-May'!L63+'TB-Jun'!L63+'TB-Jul'!L63+'TB-Aug'!L63+'TB-Sep'!L63+'TB-Oct'!L63+'TB-Nov'!L63+'TB-Dec'!L63</f>
        <v>0</v>
      </c>
      <c r="M63" s="97">
        <f>'TB-Jan'!M63+'TB-Feb'!M63+'TB-Mar'!M63+'TB-Apr'!M63+'TB-May'!M63+'TB-Jun'!M63+'TB-Jul'!M63+'TB-Aug'!M63+'TB-Sep'!M63+'TB-Oct'!M63+'TB-Nov'!M63+'TB-Dec'!M63</f>
        <v>0</v>
      </c>
      <c r="N63" s="97">
        <f>'TB-Jan'!N63+'TB-Feb'!N63+'TB-Mar'!N63+'TB-Apr'!N63+'TB-May'!N63+'TB-Jun'!N63+'TB-Jul'!N63+'TB-Aug'!N63+'TB-Sep'!N63+'TB-Oct'!N63+'TB-Nov'!N63+'TB-Dec'!N63</f>
        <v>0</v>
      </c>
    </row>
    <row r="64" spans="1:14" hidden="1">
      <c r="A64" s="3" t="s">
        <v>101</v>
      </c>
      <c r="B64" s="4" t="s">
        <v>102</v>
      </c>
      <c r="C64" s="7">
        <f t="shared" si="1"/>
        <v>0</v>
      </c>
      <c r="D64" s="7"/>
      <c r="E64" s="6">
        <f t="shared" si="0"/>
        <v>0</v>
      </c>
      <c r="F64" s="6">
        <f t="shared" si="0"/>
        <v>0</v>
      </c>
      <c r="G64" s="94">
        <f>'TB-Jan'!G64+'TB-Feb'!G64+'TB-Mar'!G64+'TB-Apr'!G64+'TB-May'!G64+'TB-Jun'!G64+'TB-Jul'!G64+'TB-Aug'!G64+'TB-Sep'!G64+'TB-Oct'!G64+'TB-Nov'!G64+'TB-Dec'!G64</f>
        <v>0</v>
      </c>
      <c r="H64" s="94">
        <f>'TB-Jan'!H64+'TB-Feb'!H64+'TB-Mar'!H64+'TB-Apr'!H64+'TB-May'!H64+'TB-Jun'!H64+'TB-Jul'!H64+'TB-Aug'!H64+'TB-Sep'!H64+'TB-Oct'!H64+'TB-Nov'!H64+'TB-Dec'!H64</f>
        <v>0</v>
      </c>
      <c r="I64" s="95">
        <f>'TB-Jan'!I64+'TB-Feb'!I64+'TB-Mar'!I64+'TB-Apr'!I64+'TB-May'!I64+'TB-Jun'!I64+'TB-Jul'!I64+'TB-Aug'!I64+'TB-Sep'!I64+'TB-Oct'!I64+'TB-Nov'!I64+'TB-Dec'!I64</f>
        <v>0</v>
      </c>
      <c r="J64" s="95">
        <f>'TB-Jan'!J64+'TB-Feb'!J64+'TB-Mar'!J64+'TB-Apr'!J64+'TB-May'!J64+'TB-Jun'!J64+'TB-Jul'!J64+'TB-Aug'!J64+'TB-Sep'!J64+'TB-Oct'!J64+'TB-Nov'!J64+'TB-Dec'!J64</f>
        <v>0</v>
      </c>
      <c r="K64" s="96">
        <f>'TB-Jan'!K64+'TB-Feb'!K64+'TB-Mar'!K64+'TB-Apr'!K64+'TB-May'!K64+'TB-Jun'!K64+'TB-Jul'!K64+'TB-Aug'!K64+'TB-Sep'!K64+'TB-Oct'!K64+'TB-Nov'!K64+'TB-Dec'!K64</f>
        <v>0</v>
      </c>
      <c r="L64" s="96">
        <f>'TB-Jan'!L64+'TB-Feb'!L64+'TB-Mar'!L64+'TB-Apr'!L64+'TB-May'!L64+'TB-Jun'!L64+'TB-Jul'!L64+'TB-Aug'!L64+'TB-Sep'!L64+'TB-Oct'!L64+'TB-Nov'!L64+'TB-Dec'!L64</f>
        <v>0</v>
      </c>
      <c r="M64" s="97">
        <f>'TB-Jan'!M64+'TB-Feb'!M64+'TB-Mar'!M64+'TB-Apr'!M64+'TB-May'!M64+'TB-Jun'!M64+'TB-Jul'!M64+'TB-Aug'!M64+'TB-Sep'!M64+'TB-Oct'!M64+'TB-Nov'!M64+'TB-Dec'!M64</f>
        <v>0</v>
      </c>
      <c r="N64" s="97">
        <f>'TB-Jan'!N64+'TB-Feb'!N64+'TB-Mar'!N64+'TB-Apr'!N64+'TB-May'!N64+'TB-Jun'!N64+'TB-Jul'!N64+'TB-Aug'!N64+'TB-Sep'!N64+'TB-Oct'!N64+'TB-Nov'!N64+'TB-Dec'!N64</f>
        <v>0</v>
      </c>
    </row>
    <row r="65" spans="1:14" hidden="1">
      <c r="A65" s="3" t="s">
        <v>103</v>
      </c>
      <c r="B65" s="4" t="s">
        <v>104</v>
      </c>
      <c r="C65" s="7">
        <f t="shared" si="1"/>
        <v>0</v>
      </c>
      <c r="D65" s="7"/>
      <c r="E65" s="6">
        <f t="shared" si="0"/>
        <v>0</v>
      </c>
      <c r="F65" s="6">
        <f t="shared" si="0"/>
        <v>0</v>
      </c>
      <c r="G65" s="94">
        <f>'TB-Jan'!G65+'TB-Feb'!G65+'TB-Mar'!G65+'TB-Apr'!G65+'TB-May'!G65+'TB-Jun'!G65+'TB-Jul'!G65+'TB-Aug'!G65+'TB-Sep'!G65+'TB-Oct'!G65+'TB-Nov'!G65+'TB-Dec'!G65</f>
        <v>0</v>
      </c>
      <c r="H65" s="94">
        <f>'TB-Jan'!H65+'TB-Feb'!H65+'TB-Mar'!H65+'TB-Apr'!H65+'TB-May'!H65+'TB-Jun'!H65+'TB-Jul'!H65+'TB-Aug'!H65+'TB-Sep'!H65+'TB-Oct'!H65+'TB-Nov'!H65+'TB-Dec'!H65</f>
        <v>0</v>
      </c>
      <c r="I65" s="95">
        <f>'TB-Jan'!I65+'TB-Feb'!I65+'TB-Mar'!I65+'TB-Apr'!I65+'TB-May'!I65+'TB-Jun'!I65+'TB-Jul'!I65+'TB-Aug'!I65+'TB-Sep'!I65+'TB-Oct'!I65+'TB-Nov'!I65+'TB-Dec'!I65</f>
        <v>0</v>
      </c>
      <c r="J65" s="95">
        <f>'TB-Jan'!J65+'TB-Feb'!J65+'TB-Mar'!J65+'TB-Apr'!J65+'TB-May'!J65+'TB-Jun'!J65+'TB-Jul'!J65+'TB-Aug'!J65+'TB-Sep'!J65+'TB-Oct'!J65+'TB-Nov'!J65+'TB-Dec'!J65</f>
        <v>0</v>
      </c>
      <c r="K65" s="96">
        <f>'TB-Jan'!K65+'TB-Feb'!K65+'TB-Mar'!K65+'TB-Apr'!K65+'TB-May'!K65+'TB-Jun'!K65+'TB-Jul'!K65+'TB-Aug'!K65+'TB-Sep'!K65+'TB-Oct'!K65+'TB-Nov'!K65+'TB-Dec'!K65</f>
        <v>0</v>
      </c>
      <c r="L65" s="96">
        <f>'TB-Jan'!L65+'TB-Feb'!L65+'TB-Mar'!L65+'TB-Apr'!L65+'TB-May'!L65+'TB-Jun'!L65+'TB-Jul'!L65+'TB-Aug'!L65+'TB-Sep'!L65+'TB-Oct'!L65+'TB-Nov'!L65+'TB-Dec'!L65</f>
        <v>0</v>
      </c>
      <c r="M65" s="97">
        <f>'TB-Jan'!M65+'TB-Feb'!M65+'TB-Mar'!M65+'TB-Apr'!M65+'TB-May'!M65+'TB-Jun'!M65+'TB-Jul'!M65+'TB-Aug'!M65+'TB-Sep'!M65+'TB-Oct'!M65+'TB-Nov'!M65+'TB-Dec'!M65</f>
        <v>0</v>
      </c>
      <c r="N65" s="97">
        <f>'TB-Jan'!N65+'TB-Feb'!N65+'TB-Mar'!N65+'TB-Apr'!N65+'TB-May'!N65+'TB-Jun'!N65+'TB-Jul'!N65+'TB-Aug'!N65+'TB-Sep'!N65+'TB-Oct'!N65+'TB-Nov'!N65+'TB-Dec'!N65</f>
        <v>0</v>
      </c>
    </row>
    <row r="66" spans="1:14" hidden="1">
      <c r="A66" s="3" t="s">
        <v>105</v>
      </c>
      <c r="B66" s="9">
        <v>178</v>
      </c>
      <c r="C66" s="7">
        <f t="shared" si="1"/>
        <v>0</v>
      </c>
      <c r="D66" s="7"/>
      <c r="E66" s="6">
        <f t="shared" si="0"/>
        <v>0</v>
      </c>
      <c r="F66" s="6">
        <f t="shared" si="0"/>
        <v>0</v>
      </c>
      <c r="G66" s="94">
        <f>'TB-Jan'!G66+'TB-Feb'!G66+'TB-Mar'!G66+'TB-Apr'!G66+'TB-May'!G66+'TB-Jun'!G66+'TB-Jul'!G66+'TB-Aug'!G66+'TB-Sep'!G66+'TB-Oct'!G66+'TB-Nov'!G66+'TB-Dec'!G66</f>
        <v>0</v>
      </c>
      <c r="H66" s="94">
        <f>'TB-Jan'!H66+'TB-Feb'!H66+'TB-Mar'!H66+'TB-Apr'!H66+'TB-May'!H66+'TB-Jun'!H66+'TB-Jul'!H66+'TB-Aug'!H66+'TB-Sep'!H66+'TB-Oct'!H66+'TB-Nov'!H66+'TB-Dec'!H66</f>
        <v>0</v>
      </c>
      <c r="I66" s="95">
        <f>'TB-Jan'!I66+'TB-Feb'!I66+'TB-Mar'!I66+'TB-Apr'!I66+'TB-May'!I66+'TB-Jun'!I66+'TB-Jul'!I66+'TB-Aug'!I66+'TB-Sep'!I66+'TB-Oct'!I66+'TB-Nov'!I66+'TB-Dec'!I66</f>
        <v>0</v>
      </c>
      <c r="J66" s="95">
        <f>'TB-Jan'!J66+'TB-Feb'!J66+'TB-Mar'!J66+'TB-Apr'!J66+'TB-May'!J66+'TB-Jun'!J66+'TB-Jul'!J66+'TB-Aug'!J66+'TB-Sep'!J66+'TB-Oct'!J66+'TB-Nov'!J66+'TB-Dec'!J66</f>
        <v>0</v>
      </c>
      <c r="K66" s="96">
        <f>'TB-Jan'!K66+'TB-Feb'!K66+'TB-Mar'!K66+'TB-Apr'!K66+'TB-May'!K66+'TB-Jun'!K66+'TB-Jul'!K66+'TB-Aug'!K66+'TB-Sep'!K66+'TB-Oct'!K66+'TB-Nov'!K66+'TB-Dec'!K66</f>
        <v>0</v>
      </c>
      <c r="L66" s="96">
        <f>'TB-Jan'!L66+'TB-Feb'!L66+'TB-Mar'!L66+'TB-Apr'!L66+'TB-May'!L66+'TB-Jun'!L66+'TB-Jul'!L66+'TB-Aug'!L66+'TB-Sep'!L66+'TB-Oct'!L66+'TB-Nov'!L66+'TB-Dec'!L66</f>
        <v>0</v>
      </c>
      <c r="M66" s="97">
        <f>'TB-Jan'!M66+'TB-Feb'!M66+'TB-Mar'!M66+'TB-Apr'!M66+'TB-May'!M66+'TB-Jun'!M66+'TB-Jul'!M66+'TB-Aug'!M66+'TB-Sep'!M66+'TB-Oct'!M66+'TB-Nov'!M66+'TB-Dec'!M66</f>
        <v>0</v>
      </c>
      <c r="N66" s="97">
        <f>'TB-Jan'!N66+'TB-Feb'!N66+'TB-Mar'!N66+'TB-Apr'!N66+'TB-May'!N66+'TB-Jun'!N66+'TB-Jul'!N66+'TB-Aug'!N66+'TB-Sep'!N66+'TB-Oct'!N66+'TB-Nov'!N66+'TB-Dec'!N66</f>
        <v>0</v>
      </c>
    </row>
    <row r="67" spans="1:14" hidden="1">
      <c r="A67" s="3" t="s">
        <v>106</v>
      </c>
      <c r="B67" s="4">
        <v>179</v>
      </c>
      <c r="C67" s="7">
        <f t="shared" si="1"/>
        <v>0</v>
      </c>
      <c r="D67" s="7"/>
      <c r="E67" s="6">
        <f t="shared" si="0"/>
        <v>0</v>
      </c>
      <c r="F67" s="6">
        <f t="shared" si="0"/>
        <v>0</v>
      </c>
      <c r="G67" s="94">
        <f>'TB-Jan'!G67+'TB-Feb'!G67+'TB-Mar'!G67+'TB-Apr'!G67+'TB-May'!G67+'TB-Jun'!G67+'TB-Jul'!G67+'TB-Aug'!G67+'TB-Sep'!G67+'TB-Oct'!G67+'TB-Nov'!G67+'TB-Dec'!G67</f>
        <v>0</v>
      </c>
      <c r="H67" s="94">
        <f>'TB-Jan'!H67+'TB-Feb'!H67+'TB-Mar'!H67+'TB-Apr'!H67+'TB-May'!H67+'TB-Jun'!H67+'TB-Jul'!H67+'TB-Aug'!H67+'TB-Sep'!H67+'TB-Oct'!H67+'TB-Nov'!H67+'TB-Dec'!H67</f>
        <v>0</v>
      </c>
      <c r="I67" s="95">
        <f>'TB-Jan'!I67+'TB-Feb'!I67+'TB-Mar'!I67+'TB-Apr'!I67+'TB-May'!I67+'TB-Jun'!I67+'TB-Jul'!I67+'TB-Aug'!I67+'TB-Sep'!I67+'TB-Oct'!I67+'TB-Nov'!I67+'TB-Dec'!I67</f>
        <v>0</v>
      </c>
      <c r="J67" s="95">
        <f>'TB-Jan'!J67+'TB-Feb'!J67+'TB-Mar'!J67+'TB-Apr'!J67+'TB-May'!J67+'TB-Jun'!J67+'TB-Jul'!J67+'TB-Aug'!J67+'TB-Sep'!J67+'TB-Oct'!J67+'TB-Nov'!J67+'TB-Dec'!J67</f>
        <v>0</v>
      </c>
      <c r="K67" s="96">
        <f>'TB-Jan'!K67+'TB-Feb'!K67+'TB-Mar'!K67+'TB-Apr'!K67+'TB-May'!K67+'TB-Jun'!K67+'TB-Jul'!K67+'TB-Aug'!K67+'TB-Sep'!K67+'TB-Oct'!K67+'TB-Nov'!K67+'TB-Dec'!K67</f>
        <v>0</v>
      </c>
      <c r="L67" s="96">
        <f>'TB-Jan'!L67+'TB-Feb'!L67+'TB-Mar'!L67+'TB-Apr'!L67+'TB-May'!L67+'TB-Jun'!L67+'TB-Jul'!L67+'TB-Aug'!L67+'TB-Sep'!L67+'TB-Oct'!L67+'TB-Nov'!L67+'TB-Dec'!L67</f>
        <v>0</v>
      </c>
      <c r="M67" s="97">
        <f>'TB-Jan'!M67+'TB-Feb'!M67+'TB-Mar'!M67+'TB-Apr'!M67+'TB-May'!M67+'TB-Jun'!M67+'TB-Jul'!M67+'TB-Aug'!M67+'TB-Sep'!M67+'TB-Oct'!M67+'TB-Nov'!M67+'TB-Dec'!M67</f>
        <v>0</v>
      </c>
      <c r="N67" s="97">
        <f>'TB-Jan'!N67+'TB-Feb'!N67+'TB-Mar'!N67+'TB-Apr'!N67+'TB-May'!N67+'TB-Jun'!N67+'TB-Jul'!N67+'TB-Aug'!N67+'TB-Sep'!N67+'TB-Oct'!N67+'TB-Nov'!N67+'TB-Dec'!N67</f>
        <v>0</v>
      </c>
    </row>
    <row r="68" spans="1:14" hidden="1">
      <c r="A68" s="3" t="s">
        <v>107</v>
      </c>
      <c r="B68" s="9">
        <v>180</v>
      </c>
      <c r="C68" s="7">
        <f t="shared" si="1"/>
        <v>0</v>
      </c>
      <c r="D68" s="7"/>
      <c r="E68" s="6">
        <f t="shared" si="0"/>
        <v>0</v>
      </c>
      <c r="F68" s="6">
        <f t="shared" si="0"/>
        <v>0</v>
      </c>
      <c r="G68" s="94">
        <f>'TB-Jan'!G68+'TB-Feb'!G68+'TB-Mar'!G68+'TB-Apr'!G68+'TB-May'!G68+'TB-Jun'!G68+'TB-Jul'!G68+'TB-Aug'!G68+'TB-Sep'!G68+'TB-Oct'!G68+'TB-Nov'!G68+'TB-Dec'!G68</f>
        <v>0</v>
      </c>
      <c r="H68" s="94">
        <f>'TB-Jan'!H68+'TB-Feb'!H68+'TB-Mar'!H68+'TB-Apr'!H68+'TB-May'!H68+'TB-Jun'!H68+'TB-Jul'!H68+'TB-Aug'!H68+'TB-Sep'!H68+'TB-Oct'!H68+'TB-Nov'!H68+'TB-Dec'!H68</f>
        <v>0</v>
      </c>
      <c r="I68" s="95">
        <f>'TB-Jan'!I68+'TB-Feb'!I68+'TB-Mar'!I68+'TB-Apr'!I68+'TB-May'!I68+'TB-Jun'!I68+'TB-Jul'!I68+'TB-Aug'!I68+'TB-Sep'!I68+'TB-Oct'!I68+'TB-Nov'!I68+'TB-Dec'!I68</f>
        <v>0</v>
      </c>
      <c r="J68" s="95">
        <f>'TB-Jan'!J68+'TB-Feb'!J68+'TB-Mar'!J68+'TB-Apr'!J68+'TB-May'!J68+'TB-Jun'!J68+'TB-Jul'!J68+'TB-Aug'!J68+'TB-Sep'!J68+'TB-Oct'!J68+'TB-Nov'!J68+'TB-Dec'!J68</f>
        <v>0</v>
      </c>
      <c r="K68" s="96">
        <f>'TB-Jan'!K68+'TB-Feb'!K68+'TB-Mar'!K68+'TB-Apr'!K68+'TB-May'!K68+'TB-Jun'!K68+'TB-Jul'!K68+'TB-Aug'!K68+'TB-Sep'!K68+'TB-Oct'!K68+'TB-Nov'!K68+'TB-Dec'!K68</f>
        <v>0</v>
      </c>
      <c r="L68" s="96">
        <f>'TB-Jan'!L68+'TB-Feb'!L68+'TB-Mar'!L68+'TB-Apr'!L68+'TB-May'!L68+'TB-Jun'!L68+'TB-Jul'!L68+'TB-Aug'!L68+'TB-Sep'!L68+'TB-Oct'!L68+'TB-Nov'!L68+'TB-Dec'!L68</f>
        <v>0</v>
      </c>
      <c r="M68" s="97">
        <f>'TB-Jan'!M68+'TB-Feb'!M68+'TB-Mar'!M68+'TB-Apr'!M68+'TB-May'!M68+'TB-Jun'!M68+'TB-Jul'!M68+'TB-Aug'!M68+'TB-Sep'!M68+'TB-Oct'!M68+'TB-Nov'!M68+'TB-Dec'!M68</f>
        <v>0</v>
      </c>
      <c r="N68" s="97">
        <f>'TB-Jan'!N68+'TB-Feb'!N68+'TB-Mar'!N68+'TB-Apr'!N68+'TB-May'!N68+'TB-Jun'!N68+'TB-Jul'!N68+'TB-Aug'!N68+'TB-Sep'!N68+'TB-Oct'!N68+'TB-Nov'!N68+'TB-Dec'!N68</f>
        <v>0</v>
      </c>
    </row>
    <row r="69" spans="1:14">
      <c r="A69" s="3" t="s">
        <v>108</v>
      </c>
      <c r="B69" s="9">
        <v>181</v>
      </c>
      <c r="C69" s="7">
        <f t="shared" si="1"/>
        <v>313322.23</v>
      </c>
      <c r="D69" s="7"/>
      <c r="E69" s="6">
        <f t="shared" si="0"/>
        <v>840000</v>
      </c>
      <c r="F69" s="6">
        <f t="shared" si="0"/>
        <v>526677.77</v>
      </c>
      <c r="G69" s="94">
        <f>'TB-Jan'!G69+'TB-Feb'!G69+'TB-Mar'!G69+'TB-Apr'!G69+'TB-May'!G69+'TB-Jun'!G69+'TB-Jul'!G69+'TB-Aug'!G69+'TB-Sep'!G69+'TB-Oct'!G69+'TB-Nov'!G69+'TB-Dec'!G69</f>
        <v>840000</v>
      </c>
      <c r="H69" s="94">
        <f>'TB-Jan'!H69+'TB-Feb'!H69+'TB-Mar'!H69+'TB-Apr'!H69+'TB-May'!H69+'TB-Jun'!H69+'TB-Jul'!H69+'TB-Aug'!H69+'TB-Sep'!H69+'TB-Oct'!H69+'TB-Nov'!H69+'TB-Dec'!H69</f>
        <v>526677.77</v>
      </c>
      <c r="I69" s="95">
        <f>'TB-Jan'!I69+'TB-Feb'!I69+'TB-Mar'!I69+'TB-Apr'!I69+'TB-May'!I69+'TB-Jun'!I69+'TB-Jul'!I69+'TB-Aug'!I69+'TB-Sep'!I69+'TB-Oct'!I69+'TB-Nov'!I69+'TB-Dec'!I69</f>
        <v>0</v>
      </c>
      <c r="J69" s="95">
        <f>'TB-Jan'!J69+'TB-Feb'!J69+'TB-Mar'!J69+'TB-Apr'!J69+'TB-May'!J69+'TB-Jun'!J69+'TB-Jul'!J69+'TB-Aug'!J69+'TB-Sep'!J69+'TB-Oct'!J69+'TB-Nov'!J69+'TB-Dec'!J69</f>
        <v>0</v>
      </c>
      <c r="K69" s="96">
        <f>'TB-Jan'!K69+'TB-Feb'!K69+'TB-Mar'!K69+'TB-Apr'!K69+'TB-May'!K69+'TB-Jun'!K69+'TB-Jul'!K69+'TB-Aug'!K69+'TB-Sep'!K69+'TB-Oct'!K69+'TB-Nov'!K69+'TB-Dec'!K69</f>
        <v>0</v>
      </c>
      <c r="L69" s="96">
        <f>'TB-Jan'!L69+'TB-Feb'!L69+'TB-Mar'!L69+'TB-Apr'!L69+'TB-May'!L69+'TB-Jun'!L69+'TB-Jul'!L69+'TB-Aug'!L69+'TB-Sep'!L69+'TB-Oct'!L69+'TB-Nov'!L69+'TB-Dec'!L69</f>
        <v>0</v>
      </c>
      <c r="M69" s="97">
        <f>'TB-Jan'!M69+'TB-Feb'!M69+'TB-Mar'!M69+'TB-Apr'!M69+'TB-May'!M69+'TB-Jun'!M69+'TB-Jul'!M69+'TB-Aug'!M69+'TB-Sep'!M69+'TB-Oct'!M69+'TB-Nov'!M69+'TB-Dec'!M69</f>
        <v>0</v>
      </c>
      <c r="N69" s="97">
        <f>'TB-Jan'!N69+'TB-Feb'!N69+'TB-Mar'!N69+'TB-Apr'!N69+'TB-May'!N69+'TB-Jun'!N69+'TB-Jul'!N69+'TB-Aug'!N69+'TB-Sep'!N69+'TB-Oct'!N69+'TB-Nov'!N69+'TB-Dec'!N69</f>
        <v>0</v>
      </c>
    </row>
    <row r="70" spans="1:14" hidden="1">
      <c r="A70" s="3" t="s">
        <v>109</v>
      </c>
      <c r="B70" s="9">
        <v>182</v>
      </c>
      <c r="C70" s="7">
        <f t="shared" si="1"/>
        <v>0</v>
      </c>
      <c r="D70" s="7"/>
      <c r="E70" s="6">
        <f t="shared" si="0"/>
        <v>0</v>
      </c>
      <c r="F70" s="6">
        <f t="shared" si="0"/>
        <v>0</v>
      </c>
      <c r="G70" s="94">
        <f>'TB-Jan'!G70+'TB-Feb'!G70+'TB-Mar'!G70+'TB-Apr'!G70+'TB-May'!G70+'TB-Jun'!G70+'TB-Jul'!G70+'TB-Aug'!G70+'TB-Sep'!G70+'TB-Oct'!G70+'TB-Nov'!G70+'TB-Dec'!G70</f>
        <v>0</v>
      </c>
      <c r="H70" s="94">
        <f>'TB-Jan'!H70+'TB-Feb'!H70+'TB-Mar'!H70+'TB-Apr'!H70+'TB-May'!H70+'TB-Jun'!H70+'TB-Jul'!H70+'TB-Aug'!H70+'TB-Sep'!H70+'TB-Oct'!H70+'TB-Nov'!H70+'TB-Dec'!H70</f>
        <v>0</v>
      </c>
      <c r="I70" s="95">
        <f>'TB-Jan'!I70+'TB-Feb'!I70+'TB-Mar'!I70+'TB-Apr'!I70+'TB-May'!I70+'TB-Jun'!I70+'TB-Jul'!I70+'TB-Aug'!I70+'TB-Sep'!I70+'TB-Oct'!I70+'TB-Nov'!I70+'TB-Dec'!I70</f>
        <v>0</v>
      </c>
      <c r="J70" s="95">
        <f>'TB-Jan'!J70+'TB-Feb'!J70+'TB-Mar'!J70+'TB-Apr'!J70+'TB-May'!J70+'TB-Jun'!J70+'TB-Jul'!J70+'TB-Aug'!J70+'TB-Sep'!J70+'TB-Oct'!J70+'TB-Nov'!J70+'TB-Dec'!J70</f>
        <v>0</v>
      </c>
      <c r="K70" s="96">
        <f>'TB-Jan'!K70+'TB-Feb'!K70+'TB-Mar'!K70+'TB-Apr'!K70+'TB-May'!K70+'TB-Jun'!K70+'TB-Jul'!K70+'TB-Aug'!K70+'TB-Sep'!K70+'TB-Oct'!K70+'TB-Nov'!K70+'TB-Dec'!K70</f>
        <v>0</v>
      </c>
      <c r="L70" s="96">
        <f>'TB-Jan'!L70+'TB-Feb'!L70+'TB-Mar'!L70+'TB-Apr'!L70+'TB-May'!L70+'TB-Jun'!L70+'TB-Jul'!L70+'TB-Aug'!L70+'TB-Sep'!L70+'TB-Oct'!L70+'TB-Nov'!L70+'TB-Dec'!L70</f>
        <v>0</v>
      </c>
      <c r="M70" s="97">
        <f>'TB-Jan'!M70+'TB-Feb'!M70+'TB-Mar'!M70+'TB-Apr'!M70+'TB-May'!M70+'TB-Jun'!M70+'TB-Jul'!M70+'TB-Aug'!M70+'TB-Sep'!M70+'TB-Oct'!M70+'TB-Nov'!M70+'TB-Dec'!M70</f>
        <v>0</v>
      </c>
      <c r="N70" s="97">
        <f>'TB-Jan'!N70+'TB-Feb'!N70+'TB-Mar'!N70+'TB-Apr'!N70+'TB-May'!N70+'TB-Jun'!N70+'TB-Jul'!N70+'TB-Aug'!N70+'TB-Sep'!N70+'TB-Oct'!N70+'TB-Nov'!N70+'TB-Dec'!N70</f>
        <v>0</v>
      </c>
    </row>
    <row r="71" spans="1:14" hidden="1">
      <c r="A71" s="3" t="s">
        <v>110</v>
      </c>
      <c r="B71" s="9">
        <v>185</v>
      </c>
      <c r="C71" s="7">
        <f t="shared" si="1"/>
        <v>0</v>
      </c>
      <c r="D71" s="7"/>
      <c r="E71" s="6">
        <f t="shared" si="0"/>
        <v>0</v>
      </c>
      <c r="F71" s="6">
        <f t="shared" si="0"/>
        <v>0</v>
      </c>
      <c r="G71" s="94">
        <f>'TB-Jan'!G71+'TB-Feb'!G71+'TB-Mar'!G71+'TB-Apr'!G71+'TB-May'!G71+'TB-Jun'!G71+'TB-Jul'!G71+'TB-Aug'!G71+'TB-Sep'!G71+'TB-Oct'!G71+'TB-Nov'!G71+'TB-Dec'!G71</f>
        <v>0</v>
      </c>
      <c r="H71" s="94">
        <f>'TB-Jan'!H71+'TB-Feb'!H71+'TB-Mar'!H71+'TB-Apr'!H71+'TB-May'!H71+'TB-Jun'!H71+'TB-Jul'!H71+'TB-Aug'!H71+'TB-Sep'!H71+'TB-Oct'!H71+'TB-Nov'!H71+'TB-Dec'!H71</f>
        <v>0</v>
      </c>
      <c r="I71" s="95">
        <f>'TB-Jan'!I71+'TB-Feb'!I71+'TB-Mar'!I71+'TB-Apr'!I71+'TB-May'!I71+'TB-Jun'!I71+'TB-Jul'!I71+'TB-Aug'!I71+'TB-Sep'!I71+'TB-Oct'!I71+'TB-Nov'!I71+'TB-Dec'!I71</f>
        <v>0</v>
      </c>
      <c r="J71" s="95">
        <f>'TB-Jan'!J71+'TB-Feb'!J71+'TB-Mar'!J71+'TB-Apr'!J71+'TB-May'!J71+'TB-Jun'!J71+'TB-Jul'!J71+'TB-Aug'!J71+'TB-Sep'!J71+'TB-Oct'!J71+'TB-Nov'!J71+'TB-Dec'!J71</f>
        <v>0</v>
      </c>
      <c r="K71" s="96">
        <f>'TB-Jan'!K71+'TB-Feb'!K71+'TB-Mar'!K71+'TB-Apr'!K71+'TB-May'!K71+'TB-Jun'!K71+'TB-Jul'!K71+'TB-Aug'!K71+'TB-Sep'!K71+'TB-Oct'!K71+'TB-Nov'!K71+'TB-Dec'!K71</f>
        <v>0</v>
      </c>
      <c r="L71" s="96">
        <f>'TB-Jan'!L71+'TB-Feb'!L71+'TB-Mar'!L71+'TB-Apr'!L71+'TB-May'!L71+'TB-Jun'!L71+'TB-Jul'!L71+'TB-Aug'!L71+'TB-Sep'!L71+'TB-Oct'!L71+'TB-Nov'!L71+'TB-Dec'!L71</f>
        <v>0</v>
      </c>
      <c r="M71" s="97">
        <f>'TB-Jan'!M71+'TB-Feb'!M71+'TB-Mar'!M71+'TB-Apr'!M71+'TB-May'!M71+'TB-Jun'!M71+'TB-Jul'!M71+'TB-Aug'!M71+'TB-Sep'!M71+'TB-Oct'!M71+'TB-Nov'!M71+'TB-Dec'!M71</f>
        <v>0</v>
      </c>
      <c r="N71" s="97">
        <f>'TB-Jan'!N71+'TB-Feb'!N71+'TB-Mar'!N71+'TB-Apr'!N71+'TB-May'!N71+'TB-Jun'!N71+'TB-Jul'!N71+'TB-Aug'!N71+'TB-Sep'!N71+'TB-Oct'!N71+'TB-Nov'!N71+'TB-Dec'!N71</f>
        <v>0</v>
      </c>
    </row>
    <row r="72" spans="1:14" hidden="1">
      <c r="A72" s="3" t="s">
        <v>111</v>
      </c>
      <c r="B72" s="4" t="s">
        <v>112</v>
      </c>
      <c r="C72" s="7">
        <f t="shared" si="1"/>
        <v>0</v>
      </c>
      <c r="D72" s="7"/>
      <c r="E72" s="6">
        <f t="shared" si="0"/>
        <v>0</v>
      </c>
      <c r="F72" s="6">
        <f t="shared" si="0"/>
        <v>0</v>
      </c>
      <c r="G72" s="94">
        <f>'TB-Jan'!G72+'TB-Feb'!G72+'TB-Mar'!G72+'TB-Apr'!G72+'TB-May'!G72+'TB-Jun'!G72+'TB-Jul'!G72+'TB-Aug'!G72+'TB-Sep'!G72+'TB-Oct'!G72+'TB-Nov'!G72+'TB-Dec'!G72</f>
        <v>0</v>
      </c>
      <c r="H72" s="94">
        <f>'TB-Jan'!H72+'TB-Feb'!H72+'TB-Mar'!H72+'TB-Apr'!H72+'TB-May'!H72+'TB-Jun'!H72+'TB-Jul'!H72+'TB-Aug'!H72+'TB-Sep'!H72+'TB-Oct'!H72+'TB-Nov'!H72+'TB-Dec'!H72</f>
        <v>0</v>
      </c>
      <c r="I72" s="95">
        <f>'TB-Jan'!I72+'TB-Feb'!I72+'TB-Mar'!I72+'TB-Apr'!I72+'TB-May'!I72+'TB-Jun'!I72+'TB-Jul'!I72+'TB-Aug'!I72+'TB-Sep'!I72+'TB-Oct'!I72+'TB-Nov'!I72+'TB-Dec'!I72</f>
        <v>0</v>
      </c>
      <c r="J72" s="95">
        <f>'TB-Jan'!J72+'TB-Feb'!J72+'TB-Mar'!J72+'TB-Apr'!J72+'TB-May'!J72+'TB-Jun'!J72+'TB-Jul'!J72+'TB-Aug'!J72+'TB-Sep'!J72+'TB-Oct'!J72+'TB-Nov'!J72+'TB-Dec'!J72</f>
        <v>0</v>
      </c>
      <c r="K72" s="96">
        <f>'TB-Jan'!K72+'TB-Feb'!K72+'TB-Mar'!K72+'TB-Apr'!K72+'TB-May'!K72+'TB-Jun'!K72+'TB-Jul'!K72+'TB-Aug'!K72+'TB-Sep'!K72+'TB-Oct'!K72+'TB-Nov'!K72+'TB-Dec'!K72</f>
        <v>0</v>
      </c>
      <c r="L72" s="96">
        <f>'TB-Jan'!L72+'TB-Feb'!L72+'TB-Mar'!L72+'TB-Apr'!L72+'TB-May'!L72+'TB-Jun'!L72+'TB-Jul'!L72+'TB-Aug'!L72+'TB-Sep'!L72+'TB-Oct'!L72+'TB-Nov'!L72+'TB-Dec'!L72</f>
        <v>0</v>
      </c>
      <c r="M72" s="97">
        <f>'TB-Jan'!M72+'TB-Feb'!M72+'TB-Mar'!M72+'TB-Apr'!M72+'TB-May'!M72+'TB-Jun'!M72+'TB-Jul'!M72+'TB-Aug'!M72+'TB-Sep'!M72+'TB-Oct'!M72+'TB-Nov'!M72+'TB-Dec'!M72</f>
        <v>0</v>
      </c>
      <c r="N72" s="97">
        <f>'TB-Jan'!N72+'TB-Feb'!N72+'TB-Mar'!N72+'TB-Apr'!N72+'TB-May'!N72+'TB-Jun'!N72+'TB-Jul'!N72+'TB-Aug'!N72+'TB-Sep'!N72+'TB-Oct'!N72+'TB-Nov'!N72+'TB-Dec'!N72</f>
        <v>0</v>
      </c>
    </row>
    <row r="73" spans="1:14" hidden="1">
      <c r="A73" s="3" t="s">
        <v>113</v>
      </c>
      <c r="B73" s="4" t="s">
        <v>114</v>
      </c>
      <c r="C73" s="7">
        <f t="shared" si="1"/>
        <v>0</v>
      </c>
      <c r="D73" s="7"/>
      <c r="E73" s="6">
        <f t="shared" si="0"/>
        <v>0</v>
      </c>
      <c r="F73" s="6">
        <f t="shared" si="0"/>
        <v>0</v>
      </c>
      <c r="G73" s="94">
        <f>'TB-Jan'!G73+'TB-Feb'!G73+'TB-Mar'!G73+'TB-Apr'!G73+'TB-May'!G73+'TB-Jun'!G73+'TB-Jul'!G73+'TB-Aug'!G73+'TB-Sep'!G73+'TB-Oct'!G73+'TB-Nov'!G73+'TB-Dec'!G73</f>
        <v>0</v>
      </c>
      <c r="H73" s="94">
        <f>'TB-Jan'!H73+'TB-Feb'!H73+'TB-Mar'!H73+'TB-Apr'!H73+'TB-May'!H73+'TB-Jun'!H73+'TB-Jul'!H73+'TB-Aug'!H73+'TB-Sep'!H73+'TB-Oct'!H73+'TB-Nov'!H73+'TB-Dec'!H73</f>
        <v>0</v>
      </c>
      <c r="I73" s="95">
        <f>'TB-Jan'!I73+'TB-Feb'!I73+'TB-Mar'!I73+'TB-Apr'!I73+'TB-May'!I73+'TB-Jun'!I73+'TB-Jul'!I73+'TB-Aug'!I73+'TB-Sep'!I73+'TB-Oct'!I73+'TB-Nov'!I73+'TB-Dec'!I73</f>
        <v>0</v>
      </c>
      <c r="J73" s="95">
        <f>'TB-Jan'!J73+'TB-Feb'!J73+'TB-Mar'!J73+'TB-Apr'!J73+'TB-May'!J73+'TB-Jun'!J73+'TB-Jul'!J73+'TB-Aug'!J73+'TB-Sep'!J73+'TB-Oct'!J73+'TB-Nov'!J73+'TB-Dec'!J73</f>
        <v>0</v>
      </c>
      <c r="K73" s="96">
        <f>'TB-Jan'!K73+'TB-Feb'!K73+'TB-Mar'!K73+'TB-Apr'!K73+'TB-May'!K73+'TB-Jun'!K73+'TB-Jul'!K73+'TB-Aug'!K73+'TB-Sep'!K73+'TB-Oct'!K73+'TB-Nov'!K73+'TB-Dec'!K73</f>
        <v>0</v>
      </c>
      <c r="L73" s="96">
        <f>'TB-Jan'!L73+'TB-Feb'!L73+'TB-Mar'!L73+'TB-Apr'!L73+'TB-May'!L73+'TB-Jun'!L73+'TB-Jul'!L73+'TB-Aug'!L73+'TB-Sep'!L73+'TB-Oct'!L73+'TB-Nov'!L73+'TB-Dec'!L73</f>
        <v>0</v>
      </c>
      <c r="M73" s="97">
        <f>'TB-Jan'!M73+'TB-Feb'!M73+'TB-Mar'!M73+'TB-Apr'!M73+'TB-May'!M73+'TB-Jun'!M73+'TB-Jul'!M73+'TB-Aug'!M73+'TB-Sep'!M73+'TB-Oct'!M73+'TB-Nov'!M73+'TB-Dec'!M73</f>
        <v>0</v>
      </c>
      <c r="N73" s="97">
        <f>'TB-Jan'!N73+'TB-Feb'!N73+'TB-Mar'!N73+'TB-Apr'!N73+'TB-May'!N73+'TB-Jun'!N73+'TB-Jul'!N73+'TB-Aug'!N73+'TB-Sep'!N73+'TB-Oct'!N73+'TB-Nov'!N73+'TB-Dec'!N73</f>
        <v>0</v>
      </c>
    </row>
    <row r="74" spans="1:14" hidden="1">
      <c r="A74" s="3" t="s">
        <v>115</v>
      </c>
      <c r="B74" s="4" t="s">
        <v>116</v>
      </c>
      <c r="C74" s="7">
        <f t="shared" si="1"/>
        <v>0</v>
      </c>
      <c r="D74" s="7"/>
      <c r="E74" s="6">
        <f t="shared" si="0"/>
        <v>0</v>
      </c>
      <c r="F74" s="6">
        <f t="shared" si="0"/>
        <v>0</v>
      </c>
      <c r="G74" s="94">
        <f>'TB-Jan'!G74+'TB-Feb'!G74+'TB-Mar'!G74+'TB-Apr'!G74+'TB-May'!G74+'TB-Jun'!G74+'TB-Jul'!G74+'TB-Aug'!G74+'TB-Sep'!G74+'TB-Oct'!G74+'TB-Nov'!G74+'TB-Dec'!G74</f>
        <v>0</v>
      </c>
      <c r="H74" s="94">
        <f>'TB-Jan'!H74+'TB-Feb'!H74+'TB-Mar'!H74+'TB-Apr'!H74+'TB-May'!H74+'TB-Jun'!H74+'TB-Jul'!H74+'TB-Aug'!H74+'TB-Sep'!H74+'TB-Oct'!H74+'TB-Nov'!H74+'TB-Dec'!H74</f>
        <v>0</v>
      </c>
      <c r="I74" s="95">
        <f>'TB-Jan'!I74+'TB-Feb'!I74+'TB-Mar'!I74+'TB-Apr'!I74+'TB-May'!I74+'TB-Jun'!I74+'TB-Jul'!I74+'TB-Aug'!I74+'TB-Sep'!I74+'TB-Oct'!I74+'TB-Nov'!I74+'TB-Dec'!I74</f>
        <v>0</v>
      </c>
      <c r="J74" s="95">
        <f>'TB-Jan'!J74+'TB-Feb'!J74+'TB-Mar'!J74+'TB-Apr'!J74+'TB-May'!J74+'TB-Jun'!J74+'TB-Jul'!J74+'TB-Aug'!J74+'TB-Sep'!J74+'TB-Oct'!J74+'TB-Nov'!J74+'TB-Dec'!J74</f>
        <v>0</v>
      </c>
      <c r="K74" s="96">
        <f>'TB-Jan'!K74+'TB-Feb'!K74+'TB-Mar'!K74+'TB-Apr'!K74+'TB-May'!K74+'TB-Jun'!K74+'TB-Jul'!K74+'TB-Aug'!K74+'TB-Sep'!K74+'TB-Oct'!K74+'TB-Nov'!K74+'TB-Dec'!K74</f>
        <v>0</v>
      </c>
      <c r="L74" s="96">
        <f>'TB-Jan'!L74+'TB-Feb'!L74+'TB-Mar'!L74+'TB-Apr'!L74+'TB-May'!L74+'TB-Jun'!L74+'TB-Jul'!L74+'TB-Aug'!L74+'TB-Sep'!L74+'TB-Oct'!L74+'TB-Nov'!L74+'TB-Dec'!L74</f>
        <v>0</v>
      </c>
      <c r="M74" s="97">
        <f>'TB-Jan'!M74+'TB-Feb'!M74+'TB-Mar'!M74+'TB-Apr'!M74+'TB-May'!M74+'TB-Jun'!M74+'TB-Jul'!M74+'TB-Aug'!M74+'TB-Sep'!M74+'TB-Oct'!M74+'TB-Nov'!M74+'TB-Dec'!M74</f>
        <v>0</v>
      </c>
      <c r="N74" s="97">
        <f>'TB-Jan'!N74+'TB-Feb'!N74+'TB-Mar'!N74+'TB-Apr'!N74+'TB-May'!N74+'TB-Jun'!N74+'TB-Jul'!N74+'TB-Aug'!N74+'TB-Sep'!N74+'TB-Oct'!N74+'TB-Nov'!N74+'TB-Dec'!N74</f>
        <v>0</v>
      </c>
    </row>
    <row r="75" spans="1:14" hidden="1">
      <c r="A75" s="3" t="s">
        <v>117</v>
      </c>
      <c r="B75" s="4" t="s">
        <v>118</v>
      </c>
      <c r="C75" s="7">
        <f t="shared" si="1"/>
        <v>0</v>
      </c>
      <c r="D75" s="7"/>
      <c r="E75" s="6">
        <f t="shared" si="0"/>
        <v>0</v>
      </c>
      <c r="F75" s="6">
        <f t="shared" si="0"/>
        <v>0</v>
      </c>
      <c r="G75" s="94">
        <f>'TB-Jan'!G75+'TB-Feb'!G75+'TB-Mar'!G75+'TB-Apr'!G75+'TB-May'!G75+'TB-Jun'!G75+'TB-Jul'!G75+'TB-Aug'!G75+'TB-Sep'!G75+'TB-Oct'!G75+'TB-Nov'!G75+'TB-Dec'!G75</f>
        <v>0</v>
      </c>
      <c r="H75" s="94">
        <f>'TB-Jan'!H75+'TB-Feb'!H75+'TB-Mar'!H75+'TB-Apr'!H75+'TB-May'!H75+'TB-Jun'!H75+'TB-Jul'!H75+'TB-Aug'!H75+'TB-Sep'!H75+'TB-Oct'!H75+'TB-Nov'!H75+'TB-Dec'!H75</f>
        <v>0</v>
      </c>
      <c r="I75" s="95">
        <f>'TB-Jan'!I75+'TB-Feb'!I75+'TB-Mar'!I75+'TB-Apr'!I75+'TB-May'!I75+'TB-Jun'!I75+'TB-Jul'!I75+'TB-Aug'!I75+'TB-Sep'!I75+'TB-Oct'!I75+'TB-Nov'!I75+'TB-Dec'!I75</f>
        <v>0</v>
      </c>
      <c r="J75" s="95">
        <f>'TB-Jan'!J75+'TB-Feb'!J75+'TB-Mar'!J75+'TB-Apr'!J75+'TB-May'!J75+'TB-Jun'!J75+'TB-Jul'!J75+'TB-Aug'!J75+'TB-Sep'!J75+'TB-Oct'!J75+'TB-Nov'!J75+'TB-Dec'!J75</f>
        <v>0</v>
      </c>
      <c r="K75" s="96">
        <f>'TB-Jan'!K75+'TB-Feb'!K75+'TB-Mar'!K75+'TB-Apr'!K75+'TB-May'!K75+'TB-Jun'!K75+'TB-Jul'!K75+'TB-Aug'!K75+'TB-Sep'!K75+'TB-Oct'!K75+'TB-Nov'!K75+'TB-Dec'!K75</f>
        <v>0</v>
      </c>
      <c r="L75" s="96">
        <f>'TB-Jan'!L75+'TB-Feb'!L75+'TB-Mar'!L75+'TB-Apr'!L75+'TB-May'!L75+'TB-Jun'!L75+'TB-Jul'!L75+'TB-Aug'!L75+'TB-Sep'!L75+'TB-Oct'!L75+'TB-Nov'!L75+'TB-Dec'!L75</f>
        <v>0</v>
      </c>
      <c r="M75" s="97">
        <f>'TB-Jan'!M75+'TB-Feb'!M75+'TB-Mar'!M75+'TB-Apr'!M75+'TB-May'!M75+'TB-Jun'!M75+'TB-Jul'!M75+'TB-Aug'!M75+'TB-Sep'!M75+'TB-Oct'!M75+'TB-Nov'!M75+'TB-Dec'!M75</f>
        <v>0</v>
      </c>
      <c r="N75" s="97">
        <f>'TB-Jan'!N75+'TB-Feb'!N75+'TB-Mar'!N75+'TB-Apr'!N75+'TB-May'!N75+'TB-Jun'!N75+'TB-Jul'!N75+'TB-Aug'!N75+'TB-Sep'!N75+'TB-Oct'!N75+'TB-Nov'!N75+'TB-Dec'!N75</f>
        <v>0</v>
      </c>
    </row>
    <row r="76" spans="1:14" hidden="1">
      <c r="A76" s="3" t="s">
        <v>119</v>
      </c>
      <c r="B76" s="4" t="s">
        <v>120</v>
      </c>
      <c r="C76" s="7">
        <f t="shared" si="1"/>
        <v>0</v>
      </c>
      <c r="D76" s="7"/>
      <c r="E76" s="6">
        <f t="shared" si="0"/>
        <v>0</v>
      </c>
      <c r="F76" s="6">
        <f t="shared" si="0"/>
        <v>0</v>
      </c>
      <c r="G76" s="94">
        <f>'TB-Jan'!G76+'TB-Feb'!G76+'TB-Mar'!G76+'TB-Apr'!G76+'TB-May'!G76+'TB-Jun'!G76+'TB-Jul'!G76+'TB-Aug'!G76+'TB-Sep'!G76+'TB-Oct'!G76+'TB-Nov'!G76+'TB-Dec'!G76</f>
        <v>0</v>
      </c>
      <c r="H76" s="94">
        <f>'TB-Jan'!H76+'TB-Feb'!H76+'TB-Mar'!H76+'TB-Apr'!H76+'TB-May'!H76+'TB-Jun'!H76+'TB-Jul'!H76+'TB-Aug'!H76+'TB-Sep'!H76+'TB-Oct'!H76+'TB-Nov'!H76+'TB-Dec'!H76</f>
        <v>0</v>
      </c>
      <c r="I76" s="95">
        <f>'TB-Jan'!I76+'TB-Feb'!I76+'TB-Mar'!I76+'TB-Apr'!I76+'TB-May'!I76+'TB-Jun'!I76+'TB-Jul'!I76+'TB-Aug'!I76+'TB-Sep'!I76+'TB-Oct'!I76+'TB-Nov'!I76+'TB-Dec'!I76</f>
        <v>0</v>
      </c>
      <c r="J76" s="95">
        <f>'TB-Jan'!J76+'TB-Feb'!J76+'TB-Mar'!J76+'TB-Apr'!J76+'TB-May'!J76+'TB-Jun'!J76+'TB-Jul'!J76+'TB-Aug'!J76+'TB-Sep'!J76+'TB-Oct'!J76+'TB-Nov'!J76+'TB-Dec'!J76</f>
        <v>0</v>
      </c>
      <c r="K76" s="96">
        <f>'TB-Jan'!K76+'TB-Feb'!K76+'TB-Mar'!K76+'TB-Apr'!K76+'TB-May'!K76+'TB-Jun'!K76+'TB-Jul'!K76+'TB-Aug'!K76+'TB-Sep'!K76+'TB-Oct'!K76+'TB-Nov'!K76+'TB-Dec'!K76</f>
        <v>0</v>
      </c>
      <c r="L76" s="96">
        <f>'TB-Jan'!L76+'TB-Feb'!L76+'TB-Mar'!L76+'TB-Apr'!L76+'TB-May'!L76+'TB-Jun'!L76+'TB-Jul'!L76+'TB-Aug'!L76+'TB-Sep'!L76+'TB-Oct'!L76+'TB-Nov'!L76+'TB-Dec'!L76</f>
        <v>0</v>
      </c>
      <c r="M76" s="97">
        <f>'TB-Jan'!M76+'TB-Feb'!M76+'TB-Mar'!M76+'TB-Apr'!M76+'TB-May'!M76+'TB-Jun'!M76+'TB-Jul'!M76+'TB-Aug'!M76+'TB-Sep'!M76+'TB-Oct'!M76+'TB-Nov'!M76+'TB-Dec'!M76</f>
        <v>0</v>
      </c>
      <c r="N76" s="97">
        <f>'TB-Jan'!N76+'TB-Feb'!N76+'TB-Mar'!N76+'TB-Apr'!N76+'TB-May'!N76+'TB-Jun'!N76+'TB-Jul'!N76+'TB-Aug'!N76+'TB-Sep'!N76+'TB-Oct'!N76+'TB-Nov'!N76+'TB-Dec'!N76</f>
        <v>0</v>
      </c>
    </row>
    <row r="77" spans="1:14" hidden="1">
      <c r="A77" s="3" t="s">
        <v>121</v>
      </c>
      <c r="B77" s="4" t="s">
        <v>122</v>
      </c>
      <c r="C77" s="7">
        <f t="shared" si="1"/>
        <v>0</v>
      </c>
      <c r="D77" s="7"/>
      <c r="E77" s="6">
        <f t="shared" si="0"/>
        <v>0</v>
      </c>
      <c r="F77" s="6">
        <f t="shared" si="0"/>
        <v>0</v>
      </c>
      <c r="G77" s="94">
        <f>'TB-Jan'!G77+'TB-Feb'!G77+'TB-Mar'!G77+'TB-Apr'!G77+'TB-May'!G77+'TB-Jun'!G77+'TB-Jul'!G77+'TB-Aug'!G77+'TB-Sep'!G77+'TB-Oct'!G77+'TB-Nov'!G77+'TB-Dec'!G77</f>
        <v>0</v>
      </c>
      <c r="H77" s="94">
        <f>'TB-Jan'!H77+'TB-Feb'!H77+'TB-Mar'!H77+'TB-Apr'!H77+'TB-May'!H77+'TB-Jun'!H77+'TB-Jul'!H77+'TB-Aug'!H77+'TB-Sep'!H77+'TB-Oct'!H77+'TB-Nov'!H77+'TB-Dec'!H77</f>
        <v>0</v>
      </c>
      <c r="I77" s="95">
        <f>'TB-Jan'!I77+'TB-Feb'!I77+'TB-Mar'!I77+'TB-Apr'!I77+'TB-May'!I77+'TB-Jun'!I77+'TB-Jul'!I77+'TB-Aug'!I77+'TB-Sep'!I77+'TB-Oct'!I77+'TB-Nov'!I77+'TB-Dec'!I77</f>
        <v>0</v>
      </c>
      <c r="J77" s="95">
        <f>'TB-Jan'!J77+'TB-Feb'!J77+'TB-Mar'!J77+'TB-Apr'!J77+'TB-May'!J77+'TB-Jun'!J77+'TB-Jul'!J77+'TB-Aug'!J77+'TB-Sep'!J77+'TB-Oct'!J77+'TB-Nov'!J77+'TB-Dec'!J77</f>
        <v>0</v>
      </c>
      <c r="K77" s="96">
        <f>'TB-Jan'!K77+'TB-Feb'!K77+'TB-Mar'!K77+'TB-Apr'!K77+'TB-May'!K77+'TB-Jun'!K77+'TB-Jul'!K77+'TB-Aug'!K77+'TB-Sep'!K77+'TB-Oct'!K77+'TB-Nov'!K77+'TB-Dec'!K77</f>
        <v>0</v>
      </c>
      <c r="L77" s="96">
        <f>'TB-Jan'!L77+'TB-Feb'!L77+'TB-Mar'!L77+'TB-Apr'!L77+'TB-May'!L77+'TB-Jun'!L77+'TB-Jul'!L77+'TB-Aug'!L77+'TB-Sep'!L77+'TB-Oct'!L77+'TB-Nov'!L77+'TB-Dec'!L77</f>
        <v>0</v>
      </c>
      <c r="M77" s="97">
        <f>'TB-Jan'!M77+'TB-Feb'!M77+'TB-Mar'!M77+'TB-Apr'!M77+'TB-May'!M77+'TB-Jun'!M77+'TB-Jul'!M77+'TB-Aug'!M77+'TB-Sep'!M77+'TB-Oct'!M77+'TB-Nov'!M77+'TB-Dec'!M77</f>
        <v>0</v>
      </c>
      <c r="N77" s="97">
        <f>'TB-Jan'!N77+'TB-Feb'!N77+'TB-Mar'!N77+'TB-Apr'!N77+'TB-May'!N77+'TB-Jun'!N77+'TB-Jul'!N77+'TB-Aug'!N77+'TB-Sep'!N77+'TB-Oct'!N77+'TB-Nov'!N77+'TB-Dec'!N77</f>
        <v>0</v>
      </c>
    </row>
    <row r="78" spans="1:14" hidden="1">
      <c r="A78" s="3" t="s">
        <v>123</v>
      </c>
      <c r="B78" s="4" t="s">
        <v>124</v>
      </c>
      <c r="C78" s="7">
        <f t="shared" si="1"/>
        <v>0</v>
      </c>
      <c r="D78" s="7"/>
      <c r="E78" s="6">
        <f t="shared" ref="E78:F141" si="2">SUM(G78,I78,K78,M78)</f>
        <v>0</v>
      </c>
      <c r="F78" s="6">
        <f t="shared" si="2"/>
        <v>0</v>
      </c>
      <c r="G78" s="94">
        <f>'TB-Jan'!G78+'TB-Feb'!G78+'TB-Mar'!G78+'TB-Apr'!G78+'TB-May'!G78+'TB-Jun'!G78+'TB-Jul'!G78+'TB-Aug'!G78+'TB-Sep'!G78+'TB-Oct'!G78+'TB-Nov'!G78+'TB-Dec'!G78</f>
        <v>0</v>
      </c>
      <c r="H78" s="94">
        <f>'TB-Jan'!H78+'TB-Feb'!H78+'TB-Mar'!H78+'TB-Apr'!H78+'TB-May'!H78+'TB-Jun'!H78+'TB-Jul'!H78+'TB-Aug'!H78+'TB-Sep'!H78+'TB-Oct'!H78+'TB-Nov'!H78+'TB-Dec'!H78</f>
        <v>0</v>
      </c>
      <c r="I78" s="95">
        <f>'TB-Jan'!I78+'TB-Feb'!I78+'TB-Mar'!I78+'TB-Apr'!I78+'TB-May'!I78+'TB-Jun'!I78+'TB-Jul'!I78+'TB-Aug'!I78+'TB-Sep'!I78+'TB-Oct'!I78+'TB-Nov'!I78+'TB-Dec'!I78</f>
        <v>0</v>
      </c>
      <c r="J78" s="95">
        <f>'TB-Jan'!J78+'TB-Feb'!J78+'TB-Mar'!J78+'TB-Apr'!J78+'TB-May'!J78+'TB-Jun'!J78+'TB-Jul'!J78+'TB-Aug'!J78+'TB-Sep'!J78+'TB-Oct'!J78+'TB-Nov'!J78+'TB-Dec'!J78</f>
        <v>0</v>
      </c>
      <c r="K78" s="96">
        <f>'TB-Jan'!K78+'TB-Feb'!K78+'TB-Mar'!K78+'TB-Apr'!K78+'TB-May'!K78+'TB-Jun'!K78+'TB-Jul'!K78+'TB-Aug'!K78+'TB-Sep'!K78+'TB-Oct'!K78+'TB-Nov'!K78+'TB-Dec'!K78</f>
        <v>0</v>
      </c>
      <c r="L78" s="96">
        <f>'TB-Jan'!L78+'TB-Feb'!L78+'TB-Mar'!L78+'TB-Apr'!L78+'TB-May'!L78+'TB-Jun'!L78+'TB-Jul'!L78+'TB-Aug'!L78+'TB-Sep'!L78+'TB-Oct'!L78+'TB-Nov'!L78+'TB-Dec'!L78</f>
        <v>0</v>
      </c>
      <c r="M78" s="97">
        <f>'TB-Jan'!M78+'TB-Feb'!M78+'TB-Mar'!M78+'TB-Apr'!M78+'TB-May'!M78+'TB-Jun'!M78+'TB-Jul'!M78+'TB-Aug'!M78+'TB-Sep'!M78+'TB-Oct'!M78+'TB-Nov'!M78+'TB-Dec'!M78</f>
        <v>0</v>
      </c>
      <c r="N78" s="97">
        <f>'TB-Jan'!N78+'TB-Feb'!N78+'TB-Mar'!N78+'TB-Apr'!N78+'TB-May'!N78+'TB-Jun'!N78+'TB-Jul'!N78+'TB-Aug'!N78+'TB-Sep'!N78+'TB-Oct'!N78+'TB-Nov'!N78+'TB-Dec'!N78</f>
        <v>0</v>
      </c>
    </row>
    <row r="79" spans="1:14" hidden="1">
      <c r="A79" s="3" t="s">
        <v>125</v>
      </c>
      <c r="B79" s="4">
        <v>201</v>
      </c>
      <c r="C79" s="7">
        <f t="shared" si="1"/>
        <v>0</v>
      </c>
      <c r="D79" s="7"/>
      <c r="E79" s="6">
        <f t="shared" si="2"/>
        <v>0</v>
      </c>
      <c r="F79" s="6">
        <f t="shared" si="2"/>
        <v>0</v>
      </c>
      <c r="G79" s="94">
        <f>'TB-Jan'!G79+'TB-Feb'!G79+'TB-Mar'!G79+'TB-Apr'!G79+'TB-May'!G79+'TB-Jun'!G79+'TB-Jul'!G79+'TB-Aug'!G79+'TB-Sep'!G79+'TB-Oct'!G79+'TB-Nov'!G79+'TB-Dec'!G79</f>
        <v>0</v>
      </c>
      <c r="H79" s="94">
        <f>'TB-Jan'!H79+'TB-Feb'!H79+'TB-Mar'!H79+'TB-Apr'!H79+'TB-May'!H79+'TB-Jun'!H79+'TB-Jul'!H79+'TB-Aug'!H79+'TB-Sep'!H79+'TB-Oct'!H79+'TB-Nov'!H79+'TB-Dec'!H79</f>
        <v>0</v>
      </c>
      <c r="I79" s="95">
        <f>'TB-Jan'!I79+'TB-Feb'!I79+'TB-Mar'!I79+'TB-Apr'!I79+'TB-May'!I79+'TB-Jun'!I79+'TB-Jul'!I79+'TB-Aug'!I79+'TB-Sep'!I79+'TB-Oct'!I79+'TB-Nov'!I79+'TB-Dec'!I79</f>
        <v>0</v>
      </c>
      <c r="J79" s="95">
        <f>'TB-Jan'!J79+'TB-Feb'!J79+'TB-Mar'!J79+'TB-Apr'!J79+'TB-May'!J79+'TB-Jun'!J79+'TB-Jul'!J79+'TB-Aug'!J79+'TB-Sep'!J79+'TB-Oct'!J79+'TB-Nov'!J79+'TB-Dec'!J79</f>
        <v>0</v>
      </c>
      <c r="K79" s="96">
        <f>'TB-Jan'!K79+'TB-Feb'!K79+'TB-Mar'!K79+'TB-Apr'!K79+'TB-May'!K79+'TB-Jun'!K79+'TB-Jul'!K79+'TB-Aug'!K79+'TB-Sep'!K79+'TB-Oct'!K79+'TB-Nov'!K79+'TB-Dec'!K79</f>
        <v>0</v>
      </c>
      <c r="L79" s="96">
        <f>'TB-Jan'!L79+'TB-Feb'!L79+'TB-Mar'!L79+'TB-Apr'!L79+'TB-May'!L79+'TB-Jun'!L79+'TB-Jul'!L79+'TB-Aug'!L79+'TB-Sep'!L79+'TB-Oct'!L79+'TB-Nov'!L79+'TB-Dec'!L79</f>
        <v>0</v>
      </c>
      <c r="M79" s="97">
        <f>'TB-Jan'!M79+'TB-Feb'!M79+'TB-Mar'!M79+'TB-Apr'!M79+'TB-May'!M79+'TB-Jun'!M79+'TB-Jul'!M79+'TB-Aug'!M79+'TB-Sep'!M79+'TB-Oct'!M79+'TB-Nov'!M79+'TB-Dec'!M79</f>
        <v>0</v>
      </c>
      <c r="N79" s="97">
        <f>'TB-Jan'!N79+'TB-Feb'!N79+'TB-Mar'!N79+'TB-Apr'!N79+'TB-May'!N79+'TB-Jun'!N79+'TB-Jul'!N79+'TB-Aug'!N79+'TB-Sep'!N79+'TB-Oct'!N79+'TB-Nov'!N79+'TB-Dec'!N79</f>
        <v>0</v>
      </c>
    </row>
    <row r="80" spans="1:14" hidden="1">
      <c r="A80" s="3" t="s">
        <v>126</v>
      </c>
      <c r="B80" s="4">
        <v>202</v>
      </c>
      <c r="C80" s="7">
        <f t="shared" si="1"/>
        <v>0</v>
      </c>
      <c r="D80" s="7"/>
      <c r="E80" s="6">
        <f t="shared" si="2"/>
        <v>0</v>
      </c>
      <c r="F80" s="6">
        <f t="shared" si="2"/>
        <v>0</v>
      </c>
      <c r="G80" s="94">
        <f>'TB-Jan'!G80+'TB-Feb'!G80+'TB-Mar'!G80+'TB-Apr'!G80+'TB-May'!G80+'TB-Jun'!G80+'TB-Jul'!G80+'TB-Aug'!G80+'TB-Sep'!G80+'TB-Oct'!G80+'TB-Nov'!G80+'TB-Dec'!G80</f>
        <v>0</v>
      </c>
      <c r="H80" s="94">
        <f>'TB-Jan'!H80+'TB-Feb'!H80+'TB-Mar'!H80+'TB-Apr'!H80+'TB-May'!H80+'TB-Jun'!H80+'TB-Jul'!H80+'TB-Aug'!H80+'TB-Sep'!H80+'TB-Oct'!H80+'TB-Nov'!H80+'TB-Dec'!H80</f>
        <v>0</v>
      </c>
      <c r="I80" s="95">
        <f>'TB-Jan'!I80+'TB-Feb'!I80+'TB-Mar'!I80+'TB-Apr'!I80+'TB-May'!I80+'TB-Jun'!I80+'TB-Jul'!I80+'TB-Aug'!I80+'TB-Sep'!I80+'TB-Oct'!I80+'TB-Nov'!I80+'TB-Dec'!I80</f>
        <v>0</v>
      </c>
      <c r="J80" s="95">
        <f>'TB-Jan'!J80+'TB-Feb'!J80+'TB-Mar'!J80+'TB-Apr'!J80+'TB-May'!J80+'TB-Jun'!J80+'TB-Jul'!J80+'TB-Aug'!J80+'TB-Sep'!J80+'TB-Oct'!J80+'TB-Nov'!J80+'TB-Dec'!J80</f>
        <v>0</v>
      </c>
      <c r="K80" s="96">
        <f>'TB-Jan'!K80+'TB-Feb'!K80+'TB-Mar'!K80+'TB-Apr'!K80+'TB-May'!K80+'TB-Jun'!K80+'TB-Jul'!K80+'TB-Aug'!K80+'TB-Sep'!K80+'TB-Oct'!K80+'TB-Nov'!K80+'TB-Dec'!K80</f>
        <v>0</v>
      </c>
      <c r="L80" s="96">
        <f>'TB-Jan'!L80+'TB-Feb'!L80+'TB-Mar'!L80+'TB-Apr'!L80+'TB-May'!L80+'TB-Jun'!L80+'TB-Jul'!L80+'TB-Aug'!L80+'TB-Sep'!L80+'TB-Oct'!L80+'TB-Nov'!L80+'TB-Dec'!L80</f>
        <v>0</v>
      </c>
      <c r="M80" s="97">
        <f>'TB-Jan'!M80+'TB-Feb'!M80+'TB-Mar'!M80+'TB-Apr'!M80+'TB-May'!M80+'TB-Jun'!M80+'TB-Jul'!M80+'TB-Aug'!M80+'TB-Sep'!M80+'TB-Oct'!M80+'TB-Nov'!M80+'TB-Dec'!M80</f>
        <v>0</v>
      </c>
      <c r="N80" s="97">
        <f>'TB-Jan'!N80+'TB-Feb'!N80+'TB-Mar'!N80+'TB-Apr'!N80+'TB-May'!N80+'TB-Jun'!N80+'TB-Jul'!N80+'TB-Aug'!N80+'TB-Sep'!N80+'TB-Oct'!N80+'TB-Nov'!N80+'TB-Dec'!N80</f>
        <v>0</v>
      </c>
    </row>
    <row r="81" spans="1:14" hidden="1">
      <c r="A81" s="8" t="s">
        <v>127</v>
      </c>
      <c r="B81" s="4">
        <v>302</v>
      </c>
      <c r="C81" s="7"/>
      <c r="D81" s="7">
        <f>F81-E81</f>
        <v>0</v>
      </c>
      <c r="E81" s="6">
        <f t="shared" si="2"/>
        <v>0</v>
      </c>
      <c r="F81" s="6">
        <f t="shared" si="2"/>
        <v>0</v>
      </c>
      <c r="G81" s="94">
        <f>'TB-Jan'!G81+'TB-Feb'!G81+'TB-Mar'!G81+'TB-Apr'!G81+'TB-May'!G81+'TB-Jun'!G81+'TB-Jul'!G81+'TB-Aug'!G81+'TB-Sep'!G81+'TB-Oct'!G81+'TB-Nov'!G81+'TB-Dec'!G81</f>
        <v>0</v>
      </c>
      <c r="H81" s="94">
        <f>'TB-Jan'!H81+'TB-Feb'!H81+'TB-Mar'!H81+'TB-Apr'!H81+'TB-May'!H81+'TB-Jun'!H81+'TB-Jul'!H81+'TB-Aug'!H81+'TB-Sep'!H81+'TB-Oct'!H81+'TB-Nov'!H81+'TB-Dec'!H81</f>
        <v>0</v>
      </c>
      <c r="I81" s="95">
        <f>'TB-Jan'!I81+'TB-Feb'!I81+'TB-Mar'!I81+'TB-Apr'!I81+'TB-May'!I81+'TB-Jun'!I81+'TB-Jul'!I81+'TB-Aug'!I81+'TB-Sep'!I81+'TB-Oct'!I81+'TB-Nov'!I81+'TB-Dec'!I81</f>
        <v>0</v>
      </c>
      <c r="J81" s="95">
        <f>'TB-Jan'!J81+'TB-Feb'!J81+'TB-Mar'!J81+'TB-Apr'!J81+'TB-May'!J81+'TB-Jun'!J81+'TB-Jul'!J81+'TB-Aug'!J81+'TB-Sep'!J81+'TB-Oct'!J81+'TB-Nov'!J81+'TB-Dec'!J81</f>
        <v>0</v>
      </c>
      <c r="K81" s="96">
        <f>'TB-Jan'!K81+'TB-Feb'!K81+'TB-Mar'!K81+'TB-Apr'!K81+'TB-May'!K81+'TB-Jun'!K81+'TB-Jul'!K81+'TB-Aug'!K81+'TB-Sep'!K81+'TB-Oct'!K81+'TB-Nov'!K81+'TB-Dec'!K81</f>
        <v>0</v>
      </c>
      <c r="L81" s="96">
        <f>'TB-Jan'!L81+'TB-Feb'!L81+'TB-Mar'!L81+'TB-Apr'!L81+'TB-May'!L81+'TB-Jun'!L81+'TB-Jul'!L81+'TB-Aug'!L81+'TB-Sep'!L81+'TB-Oct'!L81+'TB-Nov'!L81+'TB-Dec'!L81</f>
        <v>0</v>
      </c>
      <c r="M81" s="97">
        <f>'TB-Jan'!M81+'TB-Feb'!M81+'TB-Mar'!M81+'TB-Apr'!M81+'TB-May'!M81+'TB-Jun'!M81+'TB-Jul'!M81+'TB-Aug'!M81+'TB-Sep'!M81+'TB-Oct'!M81+'TB-Nov'!M81+'TB-Dec'!M81</f>
        <v>0</v>
      </c>
      <c r="N81" s="97">
        <f>'TB-Jan'!N81+'TB-Feb'!N81+'TB-Mar'!N81+'TB-Apr'!N81+'TB-May'!N81+'TB-Jun'!N81+'TB-Jul'!N81+'TB-Aug'!N81+'TB-Sep'!N81+'TB-Oct'!N81+'TB-Nov'!N81+'TB-Dec'!N81</f>
        <v>0</v>
      </c>
    </row>
    <row r="82" spans="1:14" hidden="1">
      <c r="A82" s="3" t="s">
        <v>128</v>
      </c>
      <c r="B82" s="4">
        <v>203</v>
      </c>
      <c r="C82" s="7">
        <f>E82-F82</f>
        <v>0</v>
      </c>
      <c r="D82" s="7"/>
      <c r="E82" s="6">
        <f t="shared" si="2"/>
        <v>0</v>
      </c>
      <c r="F82" s="6">
        <f t="shared" si="2"/>
        <v>0</v>
      </c>
      <c r="G82" s="94">
        <f>'TB-Jan'!G82+'TB-Feb'!G82+'TB-Mar'!G82+'TB-Apr'!G82+'TB-May'!G82+'TB-Jun'!G82+'TB-Jul'!G82+'TB-Aug'!G82+'TB-Sep'!G82+'TB-Oct'!G82+'TB-Nov'!G82+'TB-Dec'!G82</f>
        <v>0</v>
      </c>
      <c r="H82" s="94">
        <f>'TB-Jan'!H82+'TB-Feb'!H82+'TB-Mar'!H82+'TB-Apr'!H82+'TB-May'!H82+'TB-Jun'!H82+'TB-Jul'!H82+'TB-Aug'!H82+'TB-Sep'!H82+'TB-Oct'!H82+'TB-Nov'!H82+'TB-Dec'!H82</f>
        <v>0</v>
      </c>
      <c r="I82" s="95">
        <f>'TB-Jan'!I82+'TB-Feb'!I82+'TB-Mar'!I82+'TB-Apr'!I82+'TB-May'!I82+'TB-Jun'!I82+'TB-Jul'!I82+'TB-Aug'!I82+'TB-Sep'!I82+'TB-Oct'!I82+'TB-Nov'!I82+'TB-Dec'!I82</f>
        <v>0</v>
      </c>
      <c r="J82" s="95">
        <f>'TB-Jan'!J82+'TB-Feb'!J82+'TB-Mar'!J82+'TB-Apr'!J82+'TB-May'!J82+'TB-Jun'!J82+'TB-Jul'!J82+'TB-Aug'!J82+'TB-Sep'!J82+'TB-Oct'!J82+'TB-Nov'!J82+'TB-Dec'!J82</f>
        <v>0</v>
      </c>
      <c r="K82" s="96">
        <f>'TB-Jan'!K82+'TB-Feb'!K82+'TB-Mar'!K82+'TB-Apr'!K82+'TB-May'!K82+'TB-Jun'!K82+'TB-Jul'!K82+'TB-Aug'!K82+'TB-Sep'!K82+'TB-Oct'!K82+'TB-Nov'!K82+'TB-Dec'!K82</f>
        <v>0</v>
      </c>
      <c r="L82" s="96">
        <f>'TB-Jan'!L82+'TB-Feb'!L82+'TB-Mar'!L82+'TB-Apr'!L82+'TB-May'!L82+'TB-Jun'!L82+'TB-Jul'!L82+'TB-Aug'!L82+'TB-Sep'!L82+'TB-Oct'!L82+'TB-Nov'!L82+'TB-Dec'!L82</f>
        <v>0</v>
      </c>
      <c r="M82" s="97">
        <f>'TB-Jan'!M82+'TB-Feb'!M82+'TB-Mar'!M82+'TB-Apr'!M82+'TB-May'!M82+'TB-Jun'!M82+'TB-Jul'!M82+'TB-Aug'!M82+'TB-Sep'!M82+'TB-Oct'!M82+'TB-Nov'!M82+'TB-Dec'!M82</f>
        <v>0</v>
      </c>
      <c r="N82" s="97">
        <f>'TB-Jan'!N82+'TB-Feb'!N82+'TB-Mar'!N82+'TB-Apr'!N82+'TB-May'!N82+'TB-Jun'!N82+'TB-Jul'!N82+'TB-Aug'!N82+'TB-Sep'!N82+'TB-Oct'!N82+'TB-Nov'!N82+'TB-Dec'!N82</f>
        <v>0</v>
      </c>
    </row>
    <row r="83" spans="1:14" hidden="1">
      <c r="A83" s="3" t="s">
        <v>129</v>
      </c>
      <c r="B83" s="4">
        <v>303</v>
      </c>
      <c r="C83" s="7"/>
      <c r="D83" s="7">
        <f>F83-E83</f>
        <v>0</v>
      </c>
      <c r="E83" s="6">
        <f t="shared" si="2"/>
        <v>0</v>
      </c>
      <c r="F83" s="6">
        <f t="shared" si="2"/>
        <v>0</v>
      </c>
      <c r="G83" s="94">
        <f>'TB-Jan'!G83+'TB-Feb'!G83+'TB-Mar'!G83+'TB-Apr'!G83+'TB-May'!G83+'TB-Jun'!G83+'TB-Jul'!G83+'TB-Aug'!G83+'TB-Sep'!G83+'TB-Oct'!G83+'TB-Nov'!G83+'TB-Dec'!G83</f>
        <v>0</v>
      </c>
      <c r="H83" s="94">
        <f>'TB-Jan'!H83+'TB-Feb'!H83+'TB-Mar'!H83+'TB-Apr'!H83+'TB-May'!H83+'TB-Jun'!H83+'TB-Jul'!H83+'TB-Aug'!H83+'TB-Sep'!H83+'TB-Oct'!H83+'TB-Nov'!H83+'TB-Dec'!H83</f>
        <v>0</v>
      </c>
      <c r="I83" s="95">
        <f>'TB-Jan'!I83+'TB-Feb'!I83+'TB-Mar'!I83+'TB-Apr'!I83+'TB-May'!I83+'TB-Jun'!I83+'TB-Jul'!I83+'TB-Aug'!I83+'TB-Sep'!I83+'TB-Oct'!I83+'TB-Nov'!I83+'TB-Dec'!I83</f>
        <v>0</v>
      </c>
      <c r="J83" s="95">
        <f>'TB-Jan'!J83+'TB-Feb'!J83+'TB-Mar'!J83+'TB-Apr'!J83+'TB-May'!J83+'TB-Jun'!J83+'TB-Jul'!J83+'TB-Aug'!J83+'TB-Sep'!J83+'TB-Oct'!J83+'TB-Nov'!J83+'TB-Dec'!J83</f>
        <v>0</v>
      </c>
      <c r="K83" s="96">
        <f>'TB-Jan'!K83+'TB-Feb'!K83+'TB-Mar'!K83+'TB-Apr'!K83+'TB-May'!K83+'TB-Jun'!K83+'TB-Jul'!K83+'TB-Aug'!K83+'TB-Sep'!K83+'TB-Oct'!K83+'TB-Nov'!K83+'TB-Dec'!K83</f>
        <v>0</v>
      </c>
      <c r="L83" s="96">
        <f>'TB-Jan'!L83+'TB-Feb'!L83+'TB-Mar'!L83+'TB-Apr'!L83+'TB-May'!L83+'TB-Jun'!L83+'TB-Jul'!L83+'TB-Aug'!L83+'TB-Sep'!L83+'TB-Oct'!L83+'TB-Nov'!L83+'TB-Dec'!L83</f>
        <v>0</v>
      </c>
      <c r="M83" s="97">
        <f>'TB-Jan'!M83+'TB-Feb'!M83+'TB-Mar'!M83+'TB-Apr'!M83+'TB-May'!M83+'TB-Jun'!M83+'TB-Jul'!M83+'TB-Aug'!M83+'TB-Sep'!M83+'TB-Oct'!M83+'TB-Nov'!M83+'TB-Dec'!M83</f>
        <v>0</v>
      </c>
      <c r="N83" s="97">
        <f>'TB-Jan'!N83+'TB-Feb'!N83+'TB-Mar'!N83+'TB-Apr'!N83+'TB-May'!N83+'TB-Jun'!N83+'TB-Jul'!N83+'TB-Aug'!N83+'TB-Sep'!N83+'TB-Oct'!N83+'TB-Nov'!N83+'TB-Dec'!N83</f>
        <v>0</v>
      </c>
    </row>
    <row r="84" spans="1:14" hidden="1">
      <c r="A84" s="3" t="s">
        <v>130</v>
      </c>
      <c r="B84" s="4">
        <v>204</v>
      </c>
      <c r="C84" s="7">
        <f>E84-F84</f>
        <v>0</v>
      </c>
      <c r="D84" s="7"/>
      <c r="E84" s="6">
        <f t="shared" si="2"/>
        <v>0</v>
      </c>
      <c r="F84" s="6">
        <f t="shared" si="2"/>
        <v>0</v>
      </c>
      <c r="G84" s="94">
        <f>'TB-Jan'!G84+'TB-Feb'!G84+'TB-Mar'!G84+'TB-Apr'!G84+'TB-May'!G84+'TB-Jun'!G84+'TB-Jul'!G84+'TB-Aug'!G84+'TB-Sep'!G84+'TB-Oct'!G84+'TB-Nov'!G84+'TB-Dec'!G84</f>
        <v>0</v>
      </c>
      <c r="H84" s="94">
        <f>'TB-Jan'!H84+'TB-Feb'!H84+'TB-Mar'!H84+'TB-Apr'!H84+'TB-May'!H84+'TB-Jun'!H84+'TB-Jul'!H84+'TB-Aug'!H84+'TB-Sep'!H84+'TB-Oct'!H84+'TB-Nov'!H84+'TB-Dec'!H84</f>
        <v>0</v>
      </c>
      <c r="I84" s="95">
        <f>'TB-Jan'!I84+'TB-Feb'!I84+'TB-Mar'!I84+'TB-Apr'!I84+'TB-May'!I84+'TB-Jun'!I84+'TB-Jul'!I84+'TB-Aug'!I84+'TB-Sep'!I84+'TB-Oct'!I84+'TB-Nov'!I84+'TB-Dec'!I84</f>
        <v>0</v>
      </c>
      <c r="J84" s="95">
        <f>'TB-Jan'!J84+'TB-Feb'!J84+'TB-Mar'!J84+'TB-Apr'!J84+'TB-May'!J84+'TB-Jun'!J84+'TB-Jul'!J84+'TB-Aug'!J84+'TB-Sep'!J84+'TB-Oct'!J84+'TB-Nov'!J84+'TB-Dec'!J84</f>
        <v>0</v>
      </c>
      <c r="K84" s="96">
        <f>'TB-Jan'!K84+'TB-Feb'!K84+'TB-Mar'!K84+'TB-Apr'!K84+'TB-May'!K84+'TB-Jun'!K84+'TB-Jul'!K84+'TB-Aug'!K84+'TB-Sep'!K84+'TB-Oct'!K84+'TB-Nov'!K84+'TB-Dec'!K84</f>
        <v>0</v>
      </c>
      <c r="L84" s="96">
        <f>'TB-Jan'!L84+'TB-Feb'!L84+'TB-Mar'!L84+'TB-Apr'!L84+'TB-May'!L84+'TB-Jun'!L84+'TB-Jul'!L84+'TB-Aug'!L84+'TB-Sep'!L84+'TB-Oct'!L84+'TB-Nov'!L84+'TB-Dec'!L84</f>
        <v>0</v>
      </c>
      <c r="M84" s="97">
        <f>'TB-Jan'!M84+'TB-Feb'!M84+'TB-Mar'!M84+'TB-Apr'!M84+'TB-May'!M84+'TB-Jun'!M84+'TB-Jul'!M84+'TB-Aug'!M84+'TB-Sep'!M84+'TB-Oct'!M84+'TB-Nov'!M84+'TB-Dec'!M84</f>
        <v>0</v>
      </c>
      <c r="N84" s="97">
        <f>'TB-Jan'!N84+'TB-Feb'!N84+'TB-Mar'!N84+'TB-Apr'!N84+'TB-May'!N84+'TB-Jun'!N84+'TB-Jul'!N84+'TB-Aug'!N84+'TB-Sep'!N84+'TB-Oct'!N84+'TB-Nov'!N84+'TB-Dec'!N84</f>
        <v>0</v>
      </c>
    </row>
    <row r="85" spans="1:14" hidden="1">
      <c r="A85" s="3" t="s">
        <v>131</v>
      </c>
      <c r="B85" s="4">
        <v>304</v>
      </c>
      <c r="C85" s="7"/>
      <c r="D85" s="7">
        <f>F85-E85</f>
        <v>0</v>
      </c>
      <c r="E85" s="6">
        <f t="shared" si="2"/>
        <v>0</v>
      </c>
      <c r="F85" s="6">
        <f t="shared" si="2"/>
        <v>0</v>
      </c>
      <c r="G85" s="94">
        <f>'TB-Jan'!G85+'TB-Feb'!G85+'TB-Mar'!G85+'TB-Apr'!G85+'TB-May'!G85+'TB-Jun'!G85+'TB-Jul'!G85+'TB-Aug'!G85+'TB-Sep'!G85+'TB-Oct'!G85+'TB-Nov'!G85+'TB-Dec'!G85</f>
        <v>0</v>
      </c>
      <c r="H85" s="94">
        <f>'TB-Jan'!H85+'TB-Feb'!H85+'TB-Mar'!H85+'TB-Apr'!H85+'TB-May'!H85+'TB-Jun'!H85+'TB-Jul'!H85+'TB-Aug'!H85+'TB-Sep'!H85+'TB-Oct'!H85+'TB-Nov'!H85+'TB-Dec'!H85</f>
        <v>0</v>
      </c>
      <c r="I85" s="95">
        <f>'TB-Jan'!I85+'TB-Feb'!I85+'TB-Mar'!I85+'TB-Apr'!I85+'TB-May'!I85+'TB-Jun'!I85+'TB-Jul'!I85+'TB-Aug'!I85+'TB-Sep'!I85+'TB-Oct'!I85+'TB-Nov'!I85+'TB-Dec'!I85</f>
        <v>0</v>
      </c>
      <c r="J85" s="95">
        <f>'TB-Jan'!J85+'TB-Feb'!J85+'TB-Mar'!J85+'TB-Apr'!J85+'TB-May'!J85+'TB-Jun'!J85+'TB-Jul'!J85+'TB-Aug'!J85+'TB-Sep'!J85+'TB-Oct'!J85+'TB-Nov'!J85+'TB-Dec'!J85</f>
        <v>0</v>
      </c>
      <c r="K85" s="96">
        <f>'TB-Jan'!K85+'TB-Feb'!K85+'TB-Mar'!K85+'TB-Apr'!K85+'TB-May'!K85+'TB-Jun'!K85+'TB-Jul'!K85+'TB-Aug'!K85+'TB-Sep'!K85+'TB-Oct'!K85+'TB-Nov'!K85+'TB-Dec'!K85</f>
        <v>0</v>
      </c>
      <c r="L85" s="96">
        <f>'TB-Jan'!L85+'TB-Feb'!L85+'TB-Mar'!L85+'TB-Apr'!L85+'TB-May'!L85+'TB-Jun'!L85+'TB-Jul'!L85+'TB-Aug'!L85+'TB-Sep'!L85+'TB-Oct'!L85+'TB-Nov'!L85+'TB-Dec'!L85</f>
        <v>0</v>
      </c>
      <c r="M85" s="97">
        <f>'TB-Jan'!M85+'TB-Feb'!M85+'TB-Mar'!M85+'TB-Apr'!M85+'TB-May'!M85+'TB-Jun'!M85+'TB-Jul'!M85+'TB-Aug'!M85+'TB-Sep'!M85+'TB-Oct'!M85+'TB-Nov'!M85+'TB-Dec'!M85</f>
        <v>0</v>
      </c>
      <c r="N85" s="97">
        <f>'TB-Jan'!N85+'TB-Feb'!N85+'TB-Mar'!N85+'TB-Apr'!N85+'TB-May'!N85+'TB-Jun'!N85+'TB-Jul'!N85+'TB-Aug'!N85+'TB-Sep'!N85+'TB-Oct'!N85+'TB-Nov'!N85+'TB-Dec'!N85</f>
        <v>0</v>
      </c>
    </row>
    <row r="86" spans="1:14" hidden="1">
      <c r="A86" s="3" t="s">
        <v>132</v>
      </c>
      <c r="B86" s="4">
        <v>205</v>
      </c>
      <c r="C86" s="7">
        <f>E86-F86</f>
        <v>0</v>
      </c>
      <c r="D86" s="7"/>
      <c r="E86" s="6">
        <f t="shared" si="2"/>
        <v>0</v>
      </c>
      <c r="F86" s="6">
        <f t="shared" si="2"/>
        <v>0</v>
      </c>
      <c r="G86" s="94">
        <f>'TB-Jan'!G86+'TB-Feb'!G86+'TB-Mar'!G86+'TB-Apr'!G86+'TB-May'!G86+'TB-Jun'!G86+'TB-Jul'!G86+'TB-Aug'!G86+'TB-Sep'!G86+'TB-Oct'!G86+'TB-Nov'!G86+'TB-Dec'!G86</f>
        <v>0</v>
      </c>
      <c r="H86" s="94">
        <f>'TB-Jan'!H86+'TB-Feb'!H86+'TB-Mar'!H86+'TB-Apr'!H86+'TB-May'!H86+'TB-Jun'!H86+'TB-Jul'!H86+'TB-Aug'!H86+'TB-Sep'!H86+'TB-Oct'!H86+'TB-Nov'!H86+'TB-Dec'!H86</f>
        <v>0</v>
      </c>
      <c r="I86" s="95">
        <f>'TB-Jan'!I86+'TB-Feb'!I86+'TB-Mar'!I86+'TB-Apr'!I86+'TB-May'!I86+'TB-Jun'!I86+'TB-Jul'!I86+'TB-Aug'!I86+'TB-Sep'!I86+'TB-Oct'!I86+'TB-Nov'!I86+'TB-Dec'!I86</f>
        <v>0</v>
      </c>
      <c r="J86" s="95">
        <f>'TB-Jan'!J86+'TB-Feb'!J86+'TB-Mar'!J86+'TB-Apr'!J86+'TB-May'!J86+'TB-Jun'!J86+'TB-Jul'!J86+'TB-Aug'!J86+'TB-Sep'!J86+'TB-Oct'!J86+'TB-Nov'!J86+'TB-Dec'!J86</f>
        <v>0</v>
      </c>
      <c r="K86" s="96">
        <f>'TB-Jan'!K86+'TB-Feb'!K86+'TB-Mar'!K86+'TB-Apr'!K86+'TB-May'!K86+'TB-Jun'!K86+'TB-Jul'!K86+'TB-Aug'!K86+'TB-Sep'!K86+'TB-Oct'!K86+'TB-Nov'!K86+'TB-Dec'!K86</f>
        <v>0</v>
      </c>
      <c r="L86" s="96">
        <f>'TB-Jan'!L86+'TB-Feb'!L86+'TB-Mar'!L86+'TB-Apr'!L86+'TB-May'!L86+'TB-Jun'!L86+'TB-Jul'!L86+'TB-Aug'!L86+'TB-Sep'!L86+'TB-Oct'!L86+'TB-Nov'!L86+'TB-Dec'!L86</f>
        <v>0</v>
      </c>
      <c r="M86" s="97">
        <f>'TB-Jan'!M86+'TB-Feb'!M86+'TB-Mar'!M86+'TB-Apr'!M86+'TB-May'!M86+'TB-Jun'!M86+'TB-Jul'!M86+'TB-Aug'!M86+'TB-Sep'!M86+'TB-Oct'!M86+'TB-Nov'!M86+'TB-Dec'!M86</f>
        <v>0</v>
      </c>
      <c r="N86" s="97">
        <f>'TB-Jan'!N86+'TB-Feb'!N86+'TB-Mar'!N86+'TB-Apr'!N86+'TB-May'!N86+'TB-Jun'!N86+'TB-Jul'!N86+'TB-Aug'!N86+'TB-Sep'!N86+'TB-Oct'!N86+'TB-Nov'!N86+'TB-Dec'!N86</f>
        <v>0</v>
      </c>
    </row>
    <row r="87" spans="1:14" ht="28.5" hidden="1">
      <c r="A87" s="8" t="s">
        <v>133</v>
      </c>
      <c r="B87" s="4">
        <v>305</v>
      </c>
      <c r="C87" s="7"/>
      <c r="D87" s="7">
        <f>F87-E87</f>
        <v>0</v>
      </c>
      <c r="E87" s="6">
        <f t="shared" si="2"/>
        <v>0</v>
      </c>
      <c r="F87" s="6">
        <f t="shared" si="2"/>
        <v>0</v>
      </c>
      <c r="G87" s="94">
        <f>'TB-Jan'!G87+'TB-Feb'!G87+'TB-Mar'!G87+'TB-Apr'!G87+'TB-May'!G87+'TB-Jun'!G87+'TB-Jul'!G87+'TB-Aug'!G87+'TB-Sep'!G87+'TB-Oct'!G87+'TB-Nov'!G87+'TB-Dec'!G87</f>
        <v>0</v>
      </c>
      <c r="H87" s="94">
        <f>'TB-Jan'!H87+'TB-Feb'!H87+'TB-Mar'!H87+'TB-Apr'!H87+'TB-May'!H87+'TB-Jun'!H87+'TB-Jul'!H87+'TB-Aug'!H87+'TB-Sep'!H87+'TB-Oct'!H87+'TB-Nov'!H87+'TB-Dec'!H87</f>
        <v>0</v>
      </c>
      <c r="I87" s="95">
        <f>'TB-Jan'!I87+'TB-Feb'!I87+'TB-Mar'!I87+'TB-Apr'!I87+'TB-May'!I87+'TB-Jun'!I87+'TB-Jul'!I87+'TB-Aug'!I87+'TB-Sep'!I87+'TB-Oct'!I87+'TB-Nov'!I87+'TB-Dec'!I87</f>
        <v>0</v>
      </c>
      <c r="J87" s="95">
        <f>'TB-Jan'!J87+'TB-Feb'!J87+'TB-Mar'!J87+'TB-Apr'!J87+'TB-May'!J87+'TB-Jun'!J87+'TB-Jul'!J87+'TB-Aug'!J87+'TB-Sep'!J87+'TB-Oct'!J87+'TB-Nov'!J87+'TB-Dec'!J87</f>
        <v>0</v>
      </c>
      <c r="K87" s="96">
        <f>'TB-Jan'!K87+'TB-Feb'!K87+'TB-Mar'!K87+'TB-Apr'!K87+'TB-May'!K87+'TB-Jun'!K87+'TB-Jul'!K87+'TB-Aug'!K87+'TB-Sep'!K87+'TB-Oct'!K87+'TB-Nov'!K87+'TB-Dec'!K87</f>
        <v>0</v>
      </c>
      <c r="L87" s="96">
        <f>'TB-Jan'!L87+'TB-Feb'!L87+'TB-Mar'!L87+'TB-Apr'!L87+'TB-May'!L87+'TB-Jun'!L87+'TB-Jul'!L87+'TB-Aug'!L87+'TB-Sep'!L87+'TB-Oct'!L87+'TB-Nov'!L87+'TB-Dec'!L87</f>
        <v>0</v>
      </c>
      <c r="M87" s="97">
        <f>'TB-Jan'!M87+'TB-Feb'!M87+'TB-Mar'!M87+'TB-Apr'!M87+'TB-May'!M87+'TB-Jun'!M87+'TB-Jul'!M87+'TB-Aug'!M87+'TB-Sep'!M87+'TB-Oct'!M87+'TB-Nov'!M87+'TB-Dec'!M87</f>
        <v>0</v>
      </c>
      <c r="N87" s="97">
        <f>'TB-Jan'!N87+'TB-Feb'!N87+'TB-Mar'!N87+'TB-Apr'!N87+'TB-May'!N87+'TB-Jun'!N87+'TB-Jul'!N87+'TB-Aug'!N87+'TB-Sep'!N87+'TB-Oct'!N87+'TB-Nov'!N87+'TB-Dec'!N87</f>
        <v>0</v>
      </c>
    </row>
    <row r="88" spans="1:14" hidden="1">
      <c r="A88" s="8" t="s">
        <v>134</v>
      </c>
      <c r="B88" s="4" t="s">
        <v>135</v>
      </c>
      <c r="C88" s="7">
        <f>E88-F88</f>
        <v>0</v>
      </c>
      <c r="D88" s="7"/>
      <c r="E88" s="6">
        <f t="shared" si="2"/>
        <v>0</v>
      </c>
      <c r="F88" s="6">
        <f t="shared" si="2"/>
        <v>0</v>
      </c>
      <c r="G88" s="94">
        <f>'TB-Jan'!G88+'TB-Feb'!G88+'TB-Mar'!G88+'TB-Apr'!G88+'TB-May'!G88+'TB-Jun'!G88+'TB-Jul'!G88+'TB-Aug'!G88+'TB-Sep'!G88+'TB-Oct'!G88+'TB-Nov'!G88+'TB-Dec'!G88</f>
        <v>0</v>
      </c>
      <c r="H88" s="94">
        <f>'TB-Jan'!H88+'TB-Feb'!H88+'TB-Mar'!H88+'TB-Apr'!H88+'TB-May'!H88+'TB-Jun'!H88+'TB-Jul'!H88+'TB-Aug'!H88+'TB-Sep'!H88+'TB-Oct'!H88+'TB-Nov'!H88+'TB-Dec'!H88</f>
        <v>0</v>
      </c>
      <c r="I88" s="95">
        <f>'TB-Jan'!I88+'TB-Feb'!I88+'TB-Mar'!I88+'TB-Apr'!I88+'TB-May'!I88+'TB-Jun'!I88+'TB-Jul'!I88+'TB-Aug'!I88+'TB-Sep'!I88+'TB-Oct'!I88+'TB-Nov'!I88+'TB-Dec'!I88</f>
        <v>0</v>
      </c>
      <c r="J88" s="95">
        <f>'TB-Jan'!J88+'TB-Feb'!J88+'TB-Mar'!J88+'TB-Apr'!J88+'TB-May'!J88+'TB-Jun'!J88+'TB-Jul'!J88+'TB-Aug'!J88+'TB-Sep'!J88+'TB-Oct'!J88+'TB-Nov'!J88+'TB-Dec'!J88</f>
        <v>0</v>
      </c>
      <c r="K88" s="96">
        <f>'TB-Jan'!K88+'TB-Feb'!K88+'TB-Mar'!K88+'TB-Apr'!K88+'TB-May'!K88+'TB-Jun'!K88+'TB-Jul'!K88+'TB-Aug'!K88+'TB-Sep'!K88+'TB-Oct'!K88+'TB-Nov'!K88+'TB-Dec'!K88</f>
        <v>0</v>
      </c>
      <c r="L88" s="96">
        <f>'TB-Jan'!L88+'TB-Feb'!L88+'TB-Mar'!L88+'TB-Apr'!L88+'TB-May'!L88+'TB-Jun'!L88+'TB-Jul'!L88+'TB-Aug'!L88+'TB-Sep'!L88+'TB-Oct'!L88+'TB-Nov'!L88+'TB-Dec'!L88</f>
        <v>0</v>
      </c>
      <c r="M88" s="97">
        <f>'TB-Jan'!M88+'TB-Feb'!M88+'TB-Mar'!M88+'TB-Apr'!M88+'TB-May'!M88+'TB-Jun'!M88+'TB-Jul'!M88+'TB-Aug'!M88+'TB-Sep'!M88+'TB-Oct'!M88+'TB-Nov'!M88+'TB-Dec'!M88</f>
        <v>0</v>
      </c>
      <c r="N88" s="97">
        <f>'TB-Jan'!N88+'TB-Feb'!N88+'TB-Mar'!N88+'TB-Apr'!N88+'TB-May'!N88+'TB-Jun'!N88+'TB-Jul'!N88+'TB-Aug'!N88+'TB-Sep'!N88+'TB-Oct'!N88+'TB-Nov'!N88+'TB-Dec'!N88</f>
        <v>0</v>
      </c>
    </row>
    <row r="89" spans="1:14" hidden="1">
      <c r="A89" s="8" t="s">
        <v>136</v>
      </c>
      <c r="B89" s="4" t="s">
        <v>137</v>
      </c>
      <c r="C89" s="7"/>
      <c r="D89" s="7">
        <f>F89-E89</f>
        <v>0</v>
      </c>
      <c r="E89" s="6">
        <f t="shared" si="2"/>
        <v>0</v>
      </c>
      <c r="F89" s="6">
        <f t="shared" si="2"/>
        <v>0</v>
      </c>
      <c r="G89" s="94">
        <f>'TB-Jan'!G89+'TB-Feb'!G89+'TB-Mar'!G89+'TB-Apr'!G89+'TB-May'!G89+'TB-Jun'!G89+'TB-Jul'!G89+'TB-Aug'!G89+'TB-Sep'!G89+'TB-Oct'!G89+'TB-Nov'!G89+'TB-Dec'!G89</f>
        <v>0</v>
      </c>
      <c r="H89" s="94">
        <f>'TB-Jan'!H89+'TB-Feb'!H89+'TB-Mar'!H89+'TB-Apr'!H89+'TB-May'!H89+'TB-Jun'!H89+'TB-Jul'!H89+'TB-Aug'!H89+'TB-Sep'!H89+'TB-Oct'!H89+'TB-Nov'!H89+'TB-Dec'!H89</f>
        <v>0</v>
      </c>
      <c r="I89" s="95">
        <f>'TB-Jan'!I89+'TB-Feb'!I89+'TB-Mar'!I89+'TB-Apr'!I89+'TB-May'!I89+'TB-Jun'!I89+'TB-Jul'!I89+'TB-Aug'!I89+'TB-Sep'!I89+'TB-Oct'!I89+'TB-Nov'!I89+'TB-Dec'!I89</f>
        <v>0</v>
      </c>
      <c r="J89" s="95">
        <f>'TB-Jan'!J89+'TB-Feb'!J89+'TB-Mar'!J89+'TB-Apr'!J89+'TB-May'!J89+'TB-Jun'!J89+'TB-Jul'!J89+'TB-Aug'!J89+'TB-Sep'!J89+'TB-Oct'!J89+'TB-Nov'!J89+'TB-Dec'!J89</f>
        <v>0</v>
      </c>
      <c r="K89" s="96">
        <f>'TB-Jan'!K89+'TB-Feb'!K89+'TB-Mar'!K89+'TB-Apr'!K89+'TB-May'!K89+'TB-Jun'!K89+'TB-Jul'!K89+'TB-Aug'!K89+'TB-Sep'!K89+'TB-Oct'!K89+'TB-Nov'!K89+'TB-Dec'!K89</f>
        <v>0</v>
      </c>
      <c r="L89" s="96">
        <f>'TB-Jan'!L89+'TB-Feb'!L89+'TB-Mar'!L89+'TB-Apr'!L89+'TB-May'!L89+'TB-Jun'!L89+'TB-Jul'!L89+'TB-Aug'!L89+'TB-Sep'!L89+'TB-Oct'!L89+'TB-Nov'!L89+'TB-Dec'!L89</f>
        <v>0</v>
      </c>
      <c r="M89" s="97">
        <f>'TB-Jan'!M89+'TB-Feb'!M89+'TB-Mar'!M89+'TB-Apr'!M89+'TB-May'!M89+'TB-Jun'!M89+'TB-Jul'!M89+'TB-Aug'!M89+'TB-Sep'!M89+'TB-Oct'!M89+'TB-Nov'!M89+'TB-Dec'!M89</f>
        <v>0</v>
      </c>
      <c r="N89" s="97">
        <f>'TB-Jan'!N89+'TB-Feb'!N89+'TB-Mar'!N89+'TB-Apr'!N89+'TB-May'!N89+'TB-Jun'!N89+'TB-Jul'!N89+'TB-Aug'!N89+'TB-Sep'!N89+'TB-Oct'!N89+'TB-Nov'!N89+'TB-Dec'!N89</f>
        <v>0</v>
      </c>
    </row>
    <row r="90" spans="1:14" hidden="1">
      <c r="A90" s="8" t="s">
        <v>138</v>
      </c>
      <c r="B90" s="4" t="s">
        <v>139</v>
      </c>
      <c r="C90" s="7">
        <f>E90-F90</f>
        <v>0</v>
      </c>
      <c r="D90" s="7"/>
      <c r="E90" s="6">
        <f t="shared" si="2"/>
        <v>0</v>
      </c>
      <c r="F90" s="6">
        <f t="shared" si="2"/>
        <v>0</v>
      </c>
      <c r="G90" s="94">
        <f>'TB-Jan'!G90+'TB-Feb'!G90+'TB-Mar'!G90+'TB-Apr'!G90+'TB-May'!G90+'TB-Jun'!G90+'TB-Jul'!G90+'TB-Aug'!G90+'TB-Sep'!G90+'TB-Oct'!G90+'TB-Nov'!G90+'TB-Dec'!G90</f>
        <v>0</v>
      </c>
      <c r="H90" s="94">
        <f>'TB-Jan'!H90+'TB-Feb'!H90+'TB-Mar'!H90+'TB-Apr'!H90+'TB-May'!H90+'TB-Jun'!H90+'TB-Jul'!H90+'TB-Aug'!H90+'TB-Sep'!H90+'TB-Oct'!H90+'TB-Nov'!H90+'TB-Dec'!H90</f>
        <v>0</v>
      </c>
      <c r="I90" s="95">
        <f>'TB-Jan'!I90+'TB-Feb'!I90+'TB-Mar'!I90+'TB-Apr'!I90+'TB-May'!I90+'TB-Jun'!I90+'TB-Jul'!I90+'TB-Aug'!I90+'TB-Sep'!I90+'TB-Oct'!I90+'TB-Nov'!I90+'TB-Dec'!I90</f>
        <v>0</v>
      </c>
      <c r="J90" s="95">
        <f>'TB-Jan'!J90+'TB-Feb'!J90+'TB-Mar'!J90+'TB-Apr'!J90+'TB-May'!J90+'TB-Jun'!J90+'TB-Jul'!J90+'TB-Aug'!J90+'TB-Sep'!J90+'TB-Oct'!J90+'TB-Nov'!J90+'TB-Dec'!J90</f>
        <v>0</v>
      </c>
      <c r="K90" s="96">
        <f>'TB-Jan'!K90+'TB-Feb'!K90+'TB-Mar'!K90+'TB-Apr'!K90+'TB-May'!K90+'TB-Jun'!K90+'TB-Jul'!K90+'TB-Aug'!K90+'TB-Sep'!K90+'TB-Oct'!K90+'TB-Nov'!K90+'TB-Dec'!K90</f>
        <v>0</v>
      </c>
      <c r="L90" s="96">
        <f>'TB-Jan'!L90+'TB-Feb'!L90+'TB-Mar'!L90+'TB-Apr'!L90+'TB-May'!L90+'TB-Jun'!L90+'TB-Jul'!L90+'TB-Aug'!L90+'TB-Sep'!L90+'TB-Oct'!L90+'TB-Nov'!L90+'TB-Dec'!L90</f>
        <v>0</v>
      </c>
      <c r="M90" s="97">
        <f>'TB-Jan'!M90+'TB-Feb'!M90+'TB-Mar'!M90+'TB-Apr'!M90+'TB-May'!M90+'TB-Jun'!M90+'TB-Jul'!M90+'TB-Aug'!M90+'TB-Sep'!M90+'TB-Oct'!M90+'TB-Nov'!M90+'TB-Dec'!M90</f>
        <v>0</v>
      </c>
      <c r="N90" s="97">
        <f>'TB-Jan'!N90+'TB-Feb'!N90+'TB-Mar'!N90+'TB-Apr'!N90+'TB-May'!N90+'TB-Jun'!N90+'TB-Jul'!N90+'TB-Aug'!N90+'TB-Sep'!N90+'TB-Oct'!N90+'TB-Nov'!N90+'TB-Dec'!N90</f>
        <v>0</v>
      </c>
    </row>
    <row r="91" spans="1:14" hidden="1">
      <c r="A91" s="8" t="s">
        <v>140</v>
      </c>
      <c r="B91" s="4" t="s">
        <v>141</v>
      </c>
      <c r="C91" s="7"/>
      <c r="D91" s="7">
        <f>F91-E91</f>
        <v>0</v>
      </c>
      <c r="E91" s="6">
        <f t="shared" si="2"/>
        <v>0</v>
      </c>
      <c r="F91" s="6">
        <f t="shared" si="2"/>
        <v>0</v>
      </c>
      <c r="G91" s="94">
        <f>'TB-Jan'!G91+'TB-Feb'!G91+'TB-Mar'!G91+'TB-Apr'!G91+'TB-May'!G91+'TB-Jun'!G91+'TB-Jul'!G91+'TB-Aug'!G91+'TB-Sep'!G91+'TB-Oct'!G91+'TB-Nov'!G91+'TB-Dec'!G91</f>
        <v>0</v>
      </c>
      <c r="H91" s="94">
        <f>'TB-Jan'!H91+'TB-Feb'!H91+'TB-Mar'!H91+'TB-Apr'!H91+'TB-May'!H91+'TB-Jun'!H91+'TB-Jul'!H91+'TB-Aug'!H91+'TB-Sep'!H91+'TB-Oct'!H91+'TB-Nov'!H91+'TB-Dec'!H91</f>
        <v>0</v>
      </c>
      <c r="I91" s="95">
        <f>'TB-Jan'!I91+'TB-Feb'!I91+'TB-Mar'!I91+'TB-Apr'!I91+'TB-May'!I91+'TB-Jun'!I91+'TB-Jul'!I91+'TB-Aug'!I91+'TB-Sep'!I91+'TB-Oct'!I91+'TB-Nov'!I91+'TB-Dec'!I91</f>
        <v>0</v>
      </c>
      <c r="J91" s="95">
        <f>'TB-Jan'!J91+'TB-Feb'!J91+'TB-Mar'!J91+'TB-Apr'!J91+'TB-May'!J91+'TB-Jun'!J91+'TB-Jul'!J91+'TB-Aug'!J91+'TB-Sep'!J91+'TB-Oct'!J91+'TB-Nov'!J91+'TB-Dec'!J91</f>
        <v>0</v>
      </c>
      <c r="K91" s="96">
        <f>'TB-Jan'!K91+'TB-Feb'!K91+'TB-Mar'!K91+'TB-Apr'!K91+'TB-May'!K91+'TB-Jun'!K91+'TB-Jul'!K91+'TB-Aug'!K91+'TB-Sep'!K91+'TB-Oct'!K91+'TB-Nov'!K91+'TB-Dec'!K91</f>
        <v>0</v>
      </c>
      <c r="L91" s="96">
        <f>'TB-Jan'!L91+'TB-Feb'!L91+'TB-Mar'!L91+'TB-Apr'!L91+'TB-May'!L91+'TB-Jun'!L91+'TB-Jul'!L91+'TB-Aug'!L91+'TB-Sep'!L91+'TB-Oct'!L91+'TB-Nov'!L91+'TB-Dec'!L91</f>
        <v>0</v>
      </c>
      <c r="M91" s="97">
        <f>'TB-Jan'!M91+'TB-Feb'!M91+'TB-Mar'!M91+'TB-Apr'!M91+'TB-May'!M91+'TB-Jun'!M91+'TB-Jul'!M91+'TB-Aug'!M91+'TB-Sep'!M91+'TB-Oct'!M91+'TB-Nov'!M91+'TB-Dec'!M91</f>
        <v>0</v>
      </c>
      <c r="N91" s="97">
        <f>'TB-Jan'!N91+'TB-Feb'!N91+'TB-Mar'!N91+'TB-Apr'!N91+'TB-May'!N91+'TB-Jun'!N91+'TB-Jul'!N91+'TB-Aug'!N91+'TB-Sep'!N91+'TB-Oct'!N91+'TB-Nov'!N91+'TB-Dec'!N91</f>
        <v>0</v>
      </c>
    </row>
    <row r="92" spans="1:14" hidden="1">
      <c r="A92" s="8" t="s">
        <v>142</v>
      </c>
      <c r="B92" s="4" t="s">
        <v>143</v>
      </c>
      <c r="C92" s="7">
        <f>E92-F92</f>
        <v>0</v>
      </c>
      <c r="D92" s="7"/>
      <c r="E92" s="6">
        <f t="shared" si="2"/>
        <v>0</v>
      </c>
      <c r="F92" s="6">
        <f t="shared" si="2"/>
        <v>0</v>
      </c>
      <c r="G92" s="94">
        <f>'TB-Jan'!G92+'TB-Feb'!G92+'TB-Mar'!G92+'TB-Apr'!G92+'TB-May'!G92+'TB-Jun'!G92+'TB-Jul'!G92+'TB-Aug'!G92+'TB-Sep'!G92+'TB-Oct'!G92+'TB-Nov'!G92+'TB-Dec'!G92</f>
        <v>0</v>
      </c>
      <c r="H92" s="94">
        <f>'TB-Jan'!H92+'TB-Feb'!H92+'TB-Mar'!H92+'TB-Apr'!H92+'TB-May'!H92+'TB-Jun'!H92+'TB-Jul'!H92+'TB-Aug'!H92+'TB-Sep'!H92+'TB-Oct'!H92+'TB-Nov'!H92+'TB-Dec'!H92</f>
        <v>0</v>
      </c>
      <c r="I92" s="95">
        <f>'TB-Jan'!I92+'TB-Feb'!I92+'TB-Mar'!I92+'TB-Apr'!I92+'TB-May'!I92+'TB-Jun'!I92+'TB-Jul'!I92+'TB-Aug'!I92+'TB-Sep'!I92+'TB-Oct'!I92+'TB-Nov'!I92+'TB-Dec'!I92</f>
        <v>0</v>
      </c>
      <c r="J92" s="95">
        <f>'TB-Jan'!J92+'TB-Feb'!J92+'TB-Mar'!J92+'TB-Apr'!J92+'TB-May'!J92+'TB-Jun'!J92+'TB-Jul'!J92+'TB-Aug'!J92+'TB-Sep'!J92+'TB-Oct'!J92+'TB-Nov'!J92+'TB-Dec'!J92</f>
        <v>0</v>
      </c>
      <c r="K92" s="96">
        <f>'TB-Jan'!K92+'TB-Feb'!K92+'TB-Mar'!K92+'TB-Apr'!K92+'TB-May'!K92+'TB-Jun'!K92+'TB-Jul'!K92+'TB-Aug'!K92+'TB-Sep'!K92+'TB-Oct'!K92+'TB-Nov'!K92+'TB-Dec'!K92</f>
        <v>0</v>
      </c>
      <c r="L92" s="96">
        <f>'TB-Jan'!L92+'TB-Feb'!L92+'TB-Mar'!L92+'TB-Apr'!L92+'TB-May'!L92+'TB-Jun'!L92+'TB-Jul'!L92+'TB-Aug'!L92+'TB-Sep'!L92+'TB-Oct'!L92+'TB-Nov'!L92+'TB-Dec'!L92</f>
        <v>0</v>
      </c>
      <c r="M92" s="97">
        <f>'TB-Jan'!M92+'TB-Feb'!M92+'TB-Mar'!M92+'TB-Apr'!M92+'TB-May'!M92+'TB-Jun'!M92+'TB-Jul'!M92+'TB-Aug'!M92+'TB-Sep'!M92+'TB-Oct'!M92+'TB-Nov'!M92+'TB-Dec'!M92</f>
        <v>0</v>
      </c>
      <c r="N92" s="97">
        <f>'TB-Jan'!N92+'TB-Feb'!N92+'TB-Mar'!N92+'TB-Apr'!N92+'TB-May'!N92+'TB-Jun'!N92+'TB-Jul'!N92+'TB-Aug'!N92+'TB-Sep'!N92+'TB-Oct'!N92+'TB-Nov'!N92+'TB-Dec'!N92</f>
        <v>0</v>
      </c>
    </row>
    <row r="93" spans="1:14" ht="28.5" hidden="1">
      <c r="A93" s="8" t="s">
        <v>144</v>
      </c>
      <c r="B93" s="4" t="s">
        <v>145</v>
      </c>
      <c r="C93" s="7"/>
      <c r="D93" s="7">
        <f>F93-E93</f>
        <v>0</v>
      </c>
      <c r="E93" s="6">
        <f t="shared" si="2"/>
        <v>0</v>
      </c>
      <c r="F93" s="6">
        <f t="shared" si="2"/>
        <v>0</v>
      </c>
      <c r="G93" s="94">
        <f>'TB-Jan'!G93+'TB-Feb'!G93+'TB-Mar'!G93+'TB-Apr'!G93+'TB-May'!G93+'TB-Jun'!G93+'TB-Jul'!G93+'TB-Aug'!G93+'TB-Sep'!G93+'TB-Oct'!G93+'TB-Nov'!G93+'TB-Dec'!G93</f>
        <v>0</v>
      </c>
      <c r="H93" s="94">
        <f>'TB-Jan'!H93+'TB-Feb'!H93+'TB-Mar'!H93+'TB-Apr'!H93+'TB-May'!H93+'TB-Jun'!H93+'TB-Jul'!H93+'TB-Aug'!H93+'TB-Sep'!H93+'TB-Oct'!H93+'TB-Nov'!H93+'TB-Dec'!H93</f>
        <v>0</v>
      </c>
      <c r="I93" s="95">
        <f>'TB-Jan'!I93+'TB-Feb'!I93+'TB-Mar'!I93+'TB-Apr'!I93+'TB-May'!I93+'TB-Jun'!I93+'TB-Jul'!I93+'TB-Aug'!I93+'TB-Sep'!I93+'TB-Oct'!I93+'TB-Nov'!I93+'TB-Dec'!I93</f>
        <v>0</v>
      </c>
      <c r="J93" s="95">
        <f>'TB-Jan'!J93+'TB-Feb'!J93+'TB-Mar'!J93+'TB-Apr'!J93+'TB-May'!J93+'TB-Jun'!J93+'TB-Jul'!J93+'TB-Aug'!J93+'TB-Sep'!J93+'TB-Oct'!J93+'TB-Nov'!J93+'TB-Dec'!J93</f>
        <v>0</v>
      </c>
      <c r="K93" s="96">
        <f>'TB-Jan'!K93+'TB-Feb'!K93+'TB-Mar'!K93+'TB-Apr'!K93+'TB-May'!K93+'TB-Jun'!K93+'TB-Jul'!K93+'TB-Aug'!K93+'TB-Sep'!K93+'TB-Oct'!K93+'TB-Nov'!K93+'TB-Dec'!K93</f>
        <v>0</v>
      </c>
      <c r="L93" s="96">
        <f>'TB-Jan'!L93+'TB-Feb'!L93+'TB-Mar'!L93+'TB-Apr'!L93+'TB-May'!L93+'TB-Jun'!L93+'TB-Jul'!L93+'TB-Aug'!L93+'TB-Sep'!L93+'TB-Oct'!L93+'TB-Nov'!L93+'TB-Dec'!L93</f>
        <v>0</v>
      </c>
      <c r="M93" s="97">
        <f>'TB-Jan'!M93+'TB-Feb'!M93+'TB-Mar'!M93+'TB-Apr'!M93+'TB-May'!M93+'TB-Jun'!M93+'TB-Jul'!M93+'TB-Aug'!M93+'TB-Sep'!M93+'TB-Oct'!M93+'TB-Nov'!M93+'TB-Dec'!M93</f>
        <v>0</v>
      </c>
      <c r="N93" s="97">
        <f>'TB-Jan'!N93+'TB-Feb'!N93+'TB-Mar'!N93+'TB-Apr'!N93+'TB-May'!N93+'TB-Jun'!N93+'TB-Jul'!N93+'TB-Aug'!N93+'TB-Sep'!N93+'TB-Oct'!N93+'TB-Nov'!N93+'TB-Dec'!N93</f>
        <v>0</v>
      </c>
    </row>
    <row r="94" spans="1:14" hidden="1">
      <c r="A94" s="8" t="s">
        <v>146</v>
      </c>
      <c r="B94" s="4" t="s">
        <v>147</v>
      </c>
      <c r="C94" s="7">
        <f>E94-F94</f>
        <v>0</v>
      </c>
      <c r="D94" s="7"/>
      <c r="E94" s="6">
        <f t="shared" si="2"/>
        <v>0</v>
      </c>
      <c r="F94" s="6">
        <f t="shared" si="2"/>
        <v>0</v>
      </c>
      <c r="G94" s="94">
        <f>'TB-Jan'!G94+'TB-Feb'!G94+'TB-Mar'!G94+'TB-Apr'!G94+'TB-May'!G94+'TB-Jun'!G94+'TB-Jul'!G94+'TB-Aug'!G94+'TB-Sep'!G94+'TB-Oct'!G94+'TB-Nov'!G94+'TB-Dec'!G94</f>
        <v>0</v>
      </c>
      <c r="H94" s="94">
        <f>'TB-Jan'!H94+'TB-Feb'!H94+'TB-Mar'!H94+'TB-Apr'!H94+'TB-May'!H94+'TB-Jun'!H94+'TB-Jul'!H94+'TB-Aug'!H94+'TB-Sep'!H94+'TB-Oct'!H94+'TB-Nov'!H94+'TB-Dec'!H94</f>
        <v>0</v>
      </c>
      <c r="I94" s="95">
        <f>'TB-Jan'!I94+'TB-Feb'!I94+'TB-Mar'!I94+'TB-Apr'!I94+'TB-May'!I94+'TB-Jun'!I94+'TB-Jul'!I94+'TB-Aug'!I94+'TB-Sep'!I94+'TB-Oct'!I94+'TB-Nov'!I94+'TB-Dec'!I94</f>
        <v>0</v>
      </c>
      <c r="J94" s="95">
        <f>'TB-Jan'!J94+'TB-Feb'!J94+'TB-Mar'!J94+'TB-Apr'!J94+'TB-May'!J94+'TB-Jun'!J94+'TB-Jul'!J94+'TB-Aug'!J94+'TB-Sep'!J94+'TB-Oct'!J94+'TB-Nov'!J94+'TB-Dec'!J94</f>
        <v>0</v>
      </c>
      <c r="K94" s="96">
        <f>'TB-Jan'!K94+'TB-Feb'!K94+'TB-Mar'!K94+'TB-Apr'!K94+'TB-May'!K94+'TB-Jun'!K94+'TB-Jul'!K94+'TB-Aug'!K94+'TB-Sep'!K94+'TB-Oct'!K94+'TB-Nov'!K94+'TB-Dec'!K94</f>
        <v>0</v>
      </c>
      <c r="L94" s="96">
        <f>'TB-Jan'!L94+'TB-Feb'!L94+'TB-Mar'!L94+'TB-Apr'!L94+'TB-May'!L94+'TB-Jun'!L94+'TB-Jul'!L94+'TB-Aug'!L94+'TB-Sep'!L94+'TB-Oct'!L94+'TB-Nov'!L94+'TB-Dec'!L94</f>
        <v>0</v>
      </c>
      <c r="M94" s="97">
        <f>'TB-Jan'!M94+'TB-Feb'!M94+'TB-Mar'!M94+'TB-Apr'!M94+'TB-May'!M94+'TB-Jun'!M94+'TB-Jul'!M94+'TB-Aug'!M94+'TB-Sep'!M94+'TB-Oct'!M94+'TB-Nov'!M94+'TB-Dec'!M94</f>
        <v>0</v>
      </c>
      <c r="N94" s="97">
        <f>'TB-Jan'!N94+'TB-Feb'!N94+'TB-Mar'!N94+'TB-Apr'!N94+'TB-May'!N94+'TB-Jun'!N94+'TB-Jul'!N94+'TB-Aug'!N94+'TB-Sep'!N94+'TB-Oct'!N94+'TB-Nov'!N94+'TB-Dec'!N94</f>
        <v>0</v>
      </c>
    </row>
    <row r="95" spans="1:14" ht="28.5" hidden="1">
      <c r="A95" s="8" t="s">
        <v>148</v>
      </c>
      <c r="B95" s="4" t="s">
        <v>149</v>
      </c>
      <c r="C95" s="7"/>
      <c r="D95" s="7">
        <f>F95-E95</f>
        <v>0</v>
      </c>
      <c r="E95" s="6">
        <f t="shared" si="2"/>
        <v>0</v>
      </c>
      <c r="F95" s="6">
        <f t="shared" si="2"/>
        <v>0</v>
      </c>
      <c r="G95" s="94">
        <f>'TB-Jan'!G95+'TB-Feb'!G95+'TB-Mar'!G95+'TB-Apr'!G95+'TB-May'!G95+'TB-Jun'!G95+'TB-Jul'!G95+'TB-Aug'!G95+'TB-Sep'!G95+'TB-Oct'!G95+'TB-Nov'!G95+'TB-Dec'!G95</f>
        <v>0</v>
      </c>
      <c r="H95" s="94">
        <f>'TB-Jan'!H95+'TB-Feb'!H95+'TB-Mar'!H95+'TB-Apr'!H95+'TB-May'!H95+'TB-Jun'!H95+'TB-Jul'!H95+'TB-Aug'!H95+'TB-Sep'!H95+'TB-Oct'!H95+'TB-Nov'!H95+'TB-Dec'!H95</f>
        <v>0</v>
      </c>
      <c r="I95" s="95">
        <f>'TB-Jan'!I95+'TB-Feb'!I95+'TB-Mar'!I95+'TB-Apr'!I95+'TB-May'!I95+'TB-Jun'!I95+'TB-Jul'!I95+'TB-Aug'!I95+'TB-Sep'!I95+'TB-Oct'!I95+'TB-Nov'!I95+'TB-Dec'!I95</f>
        <v>0</v>
      </c>
      <c r="J95" s="95">
        <f>'TB-Jan'!J95+'TB-Feb'!J95+'TB-Mar'!J95+'TB-Apr'!J95+'TB-May'!J95+'TB-Jun'!J95+'TB-Jul'!J95+'TB-Aug'!J95+'TB-Sep'!J95+'TB-Oct'!J95+'TB-Nov'!J95+'TB-Dec'!J95</f>
        <v>0</v>
      </c>
      <c r="K95" s="96">
        <f>'TB-Jan'!K95+'TB-Feb'!K95+'TB-Mar'!K95+'TB-Apr'!K95+'TB-May'!K95+'TB-Jun'!K95+'TB-Jul'!K95+'TB-Aug'!K95+'TB-Sep'!K95+'TB-Oct'!K95+'TB-Nov'!K95+'TB-Dec'!K95</f>
        <v>0</v>
      </c>
      <c r="L95" s="96">
        <f>'TB-Jan'!L95+'TB-Feb'!L95+'TB-Mar'!L95+'TB-Apr'!L95+'TB-May'!L95+'TB-Jun'!L95+'TB-Jul'!L95+'TB-Aug'!L95+'TB-Sep'!L95+'TB-Oct'!L95+'TB-Nov'!L95+'TB-Dec'!L95</f>
        <v>0</v>
      </c>
      <c r="M95" s="97">
        <f>'TB-Jan'!M95+'TB-Feb'!M95+'TB-Mar'!M95+'TB-Apr'!M95+'TB-May'!M95+'TB-Jun'!M95+'TB-Jul'!M95+'TB-Aug'!M95+'TB-Sep'!M95+'TB-Oct'!M95+'TB-Nov'!M95+'TB-Dec'!M95</f>
        <v>0</v>
      </c>
      <c r="N95" s="97">
        <f>'TB-Jan'!N95+'TB-Feb'!N95+'TB-Mar'!N95+'TB-Apr'!N95+'TB-May'!N95+'TB-Jun'!N95+'TB-Jul'!N95+'TB-Aug'!N95+'TB-Sep'!N95+'TB-Oct'!N95+'TB-Nov'!N95+'TB-Dec'!N95</f>
        <v>0</v>
      </c>
    </row>
    <row r="96" spans="1:14" hidden="1">
      <c r="A96" s="8" t="s">
        <v>150</v>
      </c>
      <c r="B96" s="4" t="s">
        <v>151</v>
      </c>
      <c r="C96" s="7">
        <f>E96-F96</f>
        <v>0</v>
      </c>
      <c r="D96" s="7"/>
      <c r="E96" s="6">
        <f t="shared" si="2"/>
        <v>0</v>
      </c>
      <c r="F96" s="6">
        <f t="shared" si="2"/>
        <v>0</v>
      </c>
      <c r="G96" s="94">
        <f>'TB-Jan'!G96+'TB-Feb'!G96+'TB-Mar'!G96+'TB-Apr'!G96+'TB-May'!G96+'TB-Jun'!G96+'TB-Jul'!G96+'TB-Aug'!G96+'TB-Sep'!G96+'TB-Oct'!G96+'TB-Nov'!G96+'TB-Dec'!G96</f>
        <v>0</v>
      </c>
      <c r="H96" s="94">
        <f>'TB-Jan'!H96+'TB-Feb'!H96+'TB-Mar'!H96+'TB-Apr'!H96+'TB-May'!H96+'TB-Jun'!H96+'TB-Jul'!H96+'TB-Aug'!H96+'TB-Sep'!H96+'TB-Oct'!H96+'TB-Nov'!H96+'TB-Dec'!H96</f>
        <v>0</v>
      </c>
      <c r="I96" s="95">
        <f>'TB-Jan'!I96+'TB-Feb'!I96+'TB-Mar'!I96+'TB-Apr'!I96+'TB-May'!I96+'TB-Jun'!I96+'TB-Jul'!I96+'TB-Aug'!I96+'TB-Sep'!I96+'TB-Oct'!I96+'TB-Nov'!I96+'TB-Dec'!I96</f>
        <v>0</v>
      </c>
      <c r="J96" s="95">
        <f>'TB-Jan'!J96+'TB-Feb'!J96+'TB-Mar'!J96+'TB-Apr'!J96+'TB-May'!J96+'TB-Jun'!J96+'TB-Jul'!J96+'TB-Aug'!J96+'TB-Sep'!J96+'TB-Oct'!J96+'TB-Nov'!J96+'TB-Dec'!J96</f>
        <v>0</v>
      </c>
      <c r="K96" s="96">
        <f>'TB-Jan'!K96+'TB-Feb'!K96+'TB-Mar'!K96+'TB-Apr'!K96+'TB-May'!K96+'TB-Jun'!K96+'TB-Jul'!K96+'TB-Aug'!K96+'TB-Sep'!K96+'TB-Oct'!K96+'TB-Nov'!K96+'TB-Dec'!K96</f>
        <v>0</v>
      </c>
      <c r="L96" s="96">
        <f>'TB-Jan'!L96+'TB-Feb'!L96+'TB-Mar'!L96+'TB-Apr'!L96+'TB-May'!L96+'TB-Jun'!L96+'TB-Jul'!L96+'TB-Aug'!L96+'TB-Sep'!L96+'TB-Oct'!L96+'TB-Nov'!L96+'TB-Dec'!L96</f>
        <v>0</v>
      </c>
      <c r="M96" s="97">
        <f>'TB-Jan'!M96+'TB-Feb'!M96+'TB-Mar'!M96+'TB-Apr'!M96+'TB-May'!M96+'TB-Jun'!M96+'TB-Jul'!M96+'TB-Aug'!M96+'TB-Sep'!M96+'TB-Oct'!M96+'TB-Nov'!M96+'TB-Dec'!M96</f>
        <v>0</v>
      </c>
      <c r="N96" s="97">
        <f>'TB-Jan'!N96+'TB-Feb'!N96+'TB-Mar'!N96+'TB-Apr'!N96+'TB-May'!N96+'TB-Jun'!N96+'TB-Jul'!N96+'TB-Aug'!N96+'TB-Sep'!N96+'TB-Oct'!N96+'TB-Nov'!N96+'TB-Dec'!N96</f>
        <v>0</v>
      </c>
    </row>
    <row r="97" spans="1:14" hidden="1">
      <c r="A97" s="8" t="s">
        <v>152</v>
      </c>
      <c r="B97" s="4" t="s">
        <v>153</v>
      </c>
      <c r="C97" s="7"/>
      <c r="D97" s="7">
        <f>F97-E97</f>
        <v>0</v>
      </c>
      <c r="E97" s="6">
        <f t="shared" si="2"/>
        <v>0</v>
      </c>
      <c r="F97" s="6">
        <f t="shared" si="2"/>
        <v>0</v>
      </c>
      <c r="G97" s="94">
        <f>'TB-Jan'!G97+'TB-Feb'!G97+'TB-Mar'!G97+'TB-Apr'!G97+'TB-May'!G97+'TB-Jun'!G97+'TB-Jul'!G97+'TB-Aug'!G97+'TB-Sep'!G97+'TB-Oct'!G97+'TB-Nov'!G97+'TB-Dec'!G97</f>
        <v>0</v>
      </c>
      <c r="H97" s="94">
        <f>'TB-Jan'!H97+'TB-Feb'!H97+'TB-Mar'!H97+'TB-Apr'!H97+'TB-May'!H97+'TB-Jun'!H97+'TB-Jul'!H97+'TB-Aug'!H97+'TB-Sep'!H97+'TB-Oct'!H97+'TB-Nov'!H97+'TB-Dec'!H97</f>
        <v>0</v>
      </c>
      <c r="I97" s="95">
        <f>'TB-Jan'!I97+'TB-Feb'!I97+'TB-Mar'!I97+'TB-Apr'!I97+'TB-May'!I97+'TB-Jun'!I97+'TB-Jul'!I97+'TB-Aug'!I97+'TB-Sep'!I97+'TB-Oct'!I97+'TB-Nov'!I97+'TB-Dec'!I97</f>
        <v>0</v>
      </c>
      <c r="J97" s="95">
        <f>'TB-Jan'!J97+'TB-Feb'!J97+'TB-Mar'!J97+'TB-Apr'!J97+'TB-May'!J97+'TB-Jun'!J97+'TB-Jul'!J97+'TB-Aug'!J97+'TB-Sep'!J97+'TB-Oct'!J97+'TB-Nov'!J97+'TB-Dec'!J97</f>
        <v>0</v>
      </c>
      <c r="K97" s="96">
        <f>'TB-Jan'!K97+'TB-Feb'!K97+'TB-Mar'!K97+'TB-Apr'!K97+'TB-May'!K97+'TB-Jun'!K97+'TB-Jul'!K97+'TB-Aug'!K97+'TB-Sep'!K97+'TB-Oct'!K97+'TB-Nov'!K97+'TB-Dec'!K97</f>
        <v>0</v>
      </c>
      <c r="L97" s="96">
        <f>'TB-Jan'!L97+'TB-Feb'!L97+'TB-Mar'!L97+'TB-Apr'!L97+'TB-May'!L97+'TB-Jun'!L97+'TB-Jul'!L97+'TB-Aug'!L97+'TB-Sep'!L97+'TB-Oct'!L97+'TB-Nov'!L97+'TB-Dec'!L97</f>
        <v>0</v>
      </c>
      <c r="M97" s="97">
        <f>'TB-Jan'!M97+'TB-Feb'!M97+'TB-Mar'!M97+'TB-Apr'!M97+'TB-May'!M97+'TB-Jun'!M97+'TB-Jul'!M97+'TB-Aug'!M97+'TB-Sep'!M97+'TB-Oct'!M97+'TB-Nov'!M97+'TB-Dec'!M97</f>
        <v>0</v>
      </c>
      <c r="N97" s="97">
        <f>'TB-Jan'!N97+'TB-Feb'!N97+'TB-Mar'!N97+'TB-Apr'!N97+'TB-May'!N97+'TB-Jun'!N97+'TB-Jul'!N97+'TB-Aug'!N97+'TB-Sep'!N97+'TB-Oct'!N97+'TB-Nov'!N97+'TB-Dec'!N97</f>
        <v>0</v>
      </c>
    </row>
    <row r="98" spans="1:14" hidden="1">
      <c r="A98" s="8" t="s">
        <v>154</v>
      </c>
      <c r="B98" s="4" t="s">
        <v>155</v>
      </c>
      <c r="C98" s="7">
        <f>E98-F98</f>
        <v>0</v>
      </c>
      <c r="D98" s="7"/>
      <c r="E98" s="6">
        <f t="shared" si="2"/>
        <v>0</v>
      </c>
      <c r="F98" s="6">
        <f t="shared" si="2"/>
        <v>0</v>
      </c>
      <c r="G98" s="94">
        <f>'TB-Jan'!G98+'TB-Feb'!G98+'TB-Mar'!G98+'TB-Apr'!G98+'TB-May'!G98+'TB-Jun'!G98+'TB-Jul'!G98+'TB-Aug'!G98+'TB-Sep'!G98+'TB-Oct'!G98+'TB-Nov'!G98+'TB-Dec'!G98</f>
        <v>0</v>
      </c>
      <c r="H98" s="94">
        <f>'TB-Jan'!H98+'TB-Feb'!H98+'TB-Mar'!H98+'TB-Apr'!H98+'TB-May'!H98+'TB-Jun'!H98+'TB-Jul'!H98+'TB-Aug'!H98+'TB-Sep'!H98+'TB-Oct'!H98+'TB-Nov'!H98+'TB-Dec'!H98</f>
        <v>0</v>
      </c>
      <c r="I98" s="95">
        <f>'TB-Jan'!I98+'TB-Feb'!I98+'TB-Mar'!I98+'TB-Apr'!I98+'TB-May'!I98+'TB-Jun'!I98+'TB-Jul'!I98+'TB-Aug'!I98+'TB-Sep'!I98+'TB-Oct'!I98+'TB-Nov'!I98+'TB-Dec'!I98</f>
        <v>0</v>
      </c>
      <c r="J98" s="95">
        <f>'TB-Jan'!J98+'TB-Feb'!J98+'TB-Mar'!J98+'TB-Apr'!J98+'TB-May'!J98+'TB-Jun'!J98+'TB-Jul'!J98+'TB-Aug'!J98+'TB-Sep'!J98+'TB-Oct'!J98+'TB-Nov'!J98+'TB-Dec'!J98</f>
        <v>0</v>
      </c>
      <c r="K98" s="96">
        <f>'TB-Jan'!K98+'TB-Feb'!K98+'TB-Mar'!K98+'TB-Apr'!K98+'TB-May'!K98+'TB-Jun'!K98+'TB-Jul'!K98+'TB-Aug'!K98+'TB-Sep'!K98+'TB-Oct'!K98+'TB-Nov'!K98+'TB-Dec'!K98</f>
        <v>0</v>
      </c>
      <c r="L98" s="96">
        <f>'TB-Jan'!L98+'TB-Feb'!L98+'TB-Mar'!L98+'TB-Apr'!L98+'TB-May'!L98+'TB-Jun'!L98+'TB-Jul'!L98+'TB-Aug'!L98+'TB-Sep'!L98+'TB-Oct'!L98+'TB-Nov'!L98+'TB-Dec'!L98</f>
        <v>0</v>
      </c>
      <c r="M98" s="97">
        <f>'TB-Jan'!M98+'TB-Feb'!M98+'TB-Mar'!M98+'TB-Apr'!M98+'TB-May'!M98+'TB-Jun'!M98+'TB-Jul'!M98+'TB-Aug'!M98+'TB-Sep'!M98+'TB-Oct'!M98+'TB-Nov'!M98+'TB-Dec'!M98</f>
        <v>0</v>
      </c>
      <c r="N98" s="97">
        <f>'TB-Jan'!N98+'TB-Feb'!N98+'TB-Mar'!N98+'TB-Apr'!N98+'TB-May'!N98+'TB-Jun'!N98+'TB-Jul'!N98+'TB-Aug'!N98+'TB-Sep'!N98+'TB-Oct'!N98+'TB-Nov'!N98+'TB-Dec'!N98</f>
        <v>0</v>
      </c>
    </row>
    <row r="99" spans="1:14" ht="28.5" hidden="1">
      <c r="A99" s="8" t="s">
        <v>156</v>
      </c>
      <c r="B99" s="4" t="s">
        <v>157</v>
      </c>
      <c r="C99" s="7"/>
      <c r="D99" s="7">
        <f>F99-E99</f>
        <v>0</v>
      </c>
      <c r="E99" s="6">
        <f t="shared" si="2"/>
        <v>0</v>
      </c>
      <c r="F99" s="6">
        <f t="shared" si="2"/>
        <v>0</v>
      </c>
      <c r="G99" s="94">
        <f>'TB-Jan'!G99+'TB-Feb'!G99+'TB-Mar'!G99+'TB-Apr'!G99+'TB-May'!G99+'TB-Jun'!G99+'TB-Jul'!G99+'TB-Aug'!G99+'TB-Sep'!G99+'TB-Oct'!G99+'TB-Nov'!G99+'TB-Dec'!G99</f>
        <v>0</v>
      </c>
      <c r="H99" s="94">
        <f>'TB-Jan'!H99+'TB-Feb'!H99+'TB-Mar'!H99+'TB-Apr'!H99+'TB-May'!H99+'TB-Jun'!H99+'TB-Jul'!H99+'TB-Aug'!H99+'TB-Sep'!H99+'TB-Oct'!H99+'TB-Nov'!H99+'TB-Dec'!H99</f>
        <v>0</v>
      </c>
      <c r="I99" s="95">
        <f>'TB-Jan'!I99+'TB-Feb'!I99+'TB-Mar'!I99+'TB-Apr'!I99+'TB-May'!I99+'TB-Jun'!I99+'TB-Jul'!I99+'TB-Aug'!I99+'TB-Sep'!I99+'TB-Oct'!I99+'TB-Nov'!I99+'TB-Dec'!I99</f>
        <v>0</v>
      </c>
      <c r="J99" s="95">
        <f>'TB-Jan'!J99+'TB-Feb'!J99+'TB-Mar'!J99+'TB-Apr'!J99+'TB-May'!J99+'TB-Jun'!J99+'TB-Jul'!J99+'TB-Aug'!J99+'TB-Sep'!J99+'TB-Oct'!J99+'TB-Nov'!J99+'TB-Dec'!J99</f>
        <v>0</v>
      </c>
      <c r="K99" s="96">
        <f>'TB-Jan'!K99+'TB-Feb'!K99+'TB-Mar'!K99+'TB-Apr'!K99+'TB-May'!K99+'TB-Jun'!K99+'TB-Jul'!K99+'TB-Aug'!K99+'TB-Sep'!K99+'TB-Oct'!K99+'TB-Nov'!K99+'TB-Dec'!K99</f>
        <v>0</v>
      </c>
      <c r="L99" s="96">
        <f>'TB-Jan'!L99+'TB-Feb'!L99+'TB-Mar'!L99+'TB-Apr'!L99+'TB-May'!L99+'TB-Jun'!L99+'TB-Jul'!L99+'TB-Aug'!L99+'TB-Sep'!L99+'TB-Oct'!L99+'TB-Nov'!L99+'TB-Dec'!L99</f>
        <v>0</v>
      </c>
      <c r="M99" s="97">
        <f>'TB-Jan'!M99+'TB-Feb'!M99+'TB-Mar'!M99+'TB-Apr'!M99+'TB-May'!M99+'TB-Jun'!M99+'TB-Jul'!M99+'TB-Aug'!M99+'TB-Sep'!M99+'TB-Oct'!M99+'TB-Nov'!M99+'TB-Dec'!M99</f>
        <v>0</v>
      </c>
      <c r="N99" s="97">
        <f>'TB-Jan'!N99+'TB-Feb'!N99+'TB-Mar'!N99+'TB-Apr'!N99+'TB-May'!N99+'TB-Jun'!N99+'TB-Jul'!N99+'TB-Aug'!N99+'TB-Sep'!N99+'TB-Oct'!N99+'TB-Nov'!N99+'TB-Dec'!N99</f>
        <v>0</v>
      </c>
    </row>
    <row r="100" spans="1:14" hidden="1">
      <c r="A100" s="8" t="s">
        <v>158</v>
      </c>
      <c r="B100" s="4" t="s">
        <v>159</v>
      </c>
      <c r="C100" s="7">
        <f>E100-F100</f>
        <v>0</v>
      </c>
      <c r="D100" s="7"/>
      <c r="E100" s="6">
        <f t="shared" si="2"/>
        <v>0</v>
      </c>
      <c r="F100" s="6">
        <f t="shared" si="2"/>
        <v>0</v>
      </c>
      <c r="G100" s="94">
        <f>'TB-Jan'!G100+'TB-Feb'!G100+'TB-Mar'!G100+'TB-Apr'!G100+'TB-May'!G100+'TB-Jun'!G100+'TB-Jul'!G100+'TB-Aug'!G100+'TB-Sep'!G100+'TB-Oct'!G100+'TB-Nov'!G100+'TB-Dec'!G100</f>
        <v>0</v>
      </c>
      <c r="H100" s="94">
        <f>'TB-Jan'!H100+'TB-Feb'!H100+'TB-Mar'!H100+'TB-Apr'!H100+'TB-May'!H100+'TB-Jun'!H100+'TB-Jul'!H100+'TB-Aug'!H100+'TB-Sep'!H100+'TB-Oct'!H100+'TB-Nov'!H100+'TB-Dec'!H100</f>
        <v>0</v>
      </c>
      <c r="I100" s="95">
        <f>'TB-Jan'!I100+'TB-Feb'!I100+'TB-Mar'!I100+'TB-Apr'!I100+'TB-May'!I100+'TB-Jun'!I100+'TB-Jul'!I100+'TB-Aug'!I100+'TB-Sep'!I100+'TB-Oct'!I100+'TB-Nov'!I100+'TB-Dec'!I100</f>
        <v>0</v>
      </c>
      <c r="J100" s="95">
        <f>'TB-Jan'!J100+'TB-Feb'!J100+'TB-Mar'!J100+'TB-Apr'!J100+'TB-May'!J100+'TB-Jun'!J100+'TB-Jul'!J100+'TB-Aug'!J100+'TB-Sep'!J100+'TB-Oct'!J100+'TB-Nov'!J100+'TB-Dec'!J100</f>
        <v>0</v>
      </c>
      <c r="K100" s="96">
        <f>'TB-Jan'!K100+'TB-Feb'!K100+'TB-Mar'!K100+'TB-Apr'!K100+'TB-May'!K100+'TB-Jun'!K100+'TB-Jul'!K100+'TB-Aug'!K100+'TB-Sep'!K100+'TB-Oct'!K100+'TB-Nov'!K100+'TB-Dec'!K100</f>
        <v>0</v>
      </c>
      <c r="L100" s="96">
        <f>'TB-Jan'!L100+'TB-Feb'!L100+'TB-Mar'!L100+'TB-Apr'!L100+'TB-May'!L100+'TB-Jun'!L100+'TB-Jul'!L100+'TB-Aug'!L100+'TB-Sep'!L100+'TB-Oct'!L100+'TB-Nov'!L100+'TB-Dec'!L100</f>
        <v>0</v>
      </c>
      <c r="M100" s="97">
        <f>'TB-Jan'!M100+'TB-Feb'!M100+'TB-Mar'!M100+'TB-Apr'!M100+'TB-May'!M100+'TB-Jun'!M100+'TB-Jul'!M100+'TB-Aug'!M100+'TB-Sep'!M100+'TB-Oct'!M100+'TB-Nov'!M100+'TB-Dec'!M100</f>
        <v>0</v>
      </c>
      <c r="N100" s="97">
        <f>'TB-Jan'!N100+'TB-Feb'!N100+'TB-Mar'!N100+'TB-Apr'!N100+'TB-May'!N100+'TB-Jun'!N100+'TB-Jul'!N100+'TB-Aug'!N100+'TB-Sep'!N100+'TB-Oct'!N100+'TB-Nov'!N100+'TB-Dec'!N100</f>
        <v>0</v>
      </c>
    </row>
    <row r="101" spans="1:14" ht="28.5" hidden="1">
      <c r="A101" s="8" t="s">
        <v>160</v>
      </c>
      <c r="B101" s="4" t="s">
        <v>161</v>
      </c>
      <c r="C101" s="7"/>
      <c r="D101" s="7">
        <f>F101-E101</f>
        <v>0</v>
      </c>
      <c r="E101" s="6">
        <f t="shared" si="2"/>
        <v>0</v>
      </c>
      <c r="F101" s="6">
        <f t="shared" si="2"/>
        <v>0</v>
      </c>
      <c r="G101" s="94">
        <f>'TB-Jan'!G101+'TB-Feb'!G101+'TB-Mar'!G101+'TB-Apr'!G101+'TB-May'!G101+'TB-Jun'!G101+'TB-Jul'!G101+'TB-Aug'!G101+'TB-Sep'!G101+'TB-Oct'!G101+'TB-Nov'!G101+'TB-Dec'!G101</f>
        <v>0</v>
      </c>
      <c r="H101" s="94">
        <f>'TB-Jan'!H101+'TB-Feb'!H101+'TB-Mar'!H101+'TB-Apr'!H101+'TB-May'!H101+'TB-Jun'!H101+'TB-Jul'!H101+'TB-Aug'!H101+'TB-Sep'!H101+'TB-Oct'!H101+'TB-Nov'!H101+'TB-Dec'!H101</f>
        <v>0</v>
      </c>
      <c r="I101" s="95">
        <f>'TB-Jan'!I101+'TB-Feb'!I101+'TB-Mar'!I101+'TB-Apr'!I101+'TB-May'!I101+'TB-Jun'!I101+'TB-Jul'!I101+'TB-Aug'!I101+'TB-Sep'!I101+'TB-Oct'!I101+'TB-Nov'!I101+'TB-Dec'!I101</f>
        <v>0</v>
      </c>
      <c r="J101" s="95">
        <f>'TB-Jan'!J101+'TB-Feb'!J101+'TB-Mar'!J101+'TB-Apr'!J101+'TB-May'!J101+'TB-Jun'!J101+'TB-Jul'!J101+'TB-Aug'!J101+'TB-Sep'!J101+'TB-Oct'!J101+'TB-Nov'!J101+'TB-Dec'!J101</f>
        <v>0</v>
      </c>
      <c r="K101" s="96">
        <f>'TB-Jan'!K101+'TB-Feb'!K101+'TB-Mar'!K101+'TB-Apr'!K101+'TB-May'!K101+'TB-Jun'!K101+'TB-Jul'!K101+'TB-Aug'!K101+'TB-Sep'!K101+'TB-Oct'!K101+'TB-Nov'!K101+'TB-Dec'!K101</f>
        <v>0</v>
      </c>
      <c r="L101" s="96">
        <f>'TB-Jan'!L101+'TB-Feb'!L101+'TB-Mar'!L101+'TB-Apr'!L101+'TB-May'!L101+'TB-Jun'!L101+'TB-Jul'!L101+'TB-Aug'!L101+'TB-Sep'!L101+'TB-Oct'!L101+'TB-Nov'!L101+'TB-Dec'!L101</f>
        <v>0</v>
      </c>
      <c r="M101" s="97">
        <f>'TB-Jan'!M101+'TB-Feb'!M101+'TB-Mar'!M101+'TB-Apr'!M101+'TB-May'!M101+'TB-Jun'!M101+'TB-Jul'!M101+'TB-Aug'!M101+'TB-Sep'!M101+'TB-Oct'!M101+'TB-Nov'!M101+'TB-Dec'!M101</f>
        <v>0</v>
      </c>
      <c r="N101" s="97">
        <f>'TB-Jan'!N101+'TB-Feb'!N101+'TB-Mar'!N101+'TB-Apr'!N101+'TB-May'!N101+'TB-Jun'!N101+'TB-Jul'!N101+'TB-Aug'!N101+'TB-Sep'!N101+'TB-Oct'!N101+'TB-Nov'!N101+'TB-Dec'!N101</f>
        <v>0</v>
      </c>
    </row>
    <row r="102" spans="1:14" hidden="1">
      <c r="A102" s="8" t="s">
        <v>162</v>
      </c>
      <c r="B102" s="4" t="s">
        <v>163</v>
      </c>
      <c r="C102" s="7">
        <f>E102-F102</f>
        <v>0</v>
      </c>
      <c r="D102" s="7"/>
      <c r="E102" s="6">
        <f t="shared" si="2"/>
        <v>0</v>
      </c>
      <c r="F102" s="6">
        <f t="shared" si="2"/>
        <v>0</v>
      </c>
      <c r="G102" s="94">
        <f>'TB-Jan'!G102+'TB-Feb'!G102+'TB-Mar'!G102+'TB-Apr'!G102+'TB-May'!G102+'TB-Jun'!G102+'TB-Jul'!G102+'TB-Aug'!G102+'TB-Sep'!G102+'TB-Oct'!G102+'TB-Nov'!G102+'TB-Dec'!G102</f>
        <v>0</v>
      </c>
      <c r="H102" s="94">
        <f>'TB-Jan'!H102+'TB-Feb'!H102+'TB-Mar'!H102+'TB-Apr'!H102+'TB-May'!H102+'TB-Jun'!H102+'TB-Jul'!H102+'TB-Aug'!H102+'TB-Sep'!H102+'TB-Oct'!H102+'TB-Nov'!H102+'TB-Dec'!H102</f>
        <v>0</v>
      </c>
      <c r="I102" s="95">
        <f>'TB-Jan'!I102+'TB-Feb'!I102+'TB-Mar'!I102+'TB-Apr'!I102+'TB-May'!I102+'TB-Jun'!I102+'TB-Jul'!I102+'TB-Aug'!I102+'TB-Sep'!I102+'TB-Oct'!I102+'TB-Nov'!I102+'TB-Dec'!I102</f>
        <v>0</v>
      </c>
      <c r="J102" s="95">
        <f>'TB-Jan'!J102+'TB-Feb'!J102+'TB-Mar'!J102+'TB-Apr'!J102+'TB-May'!J102+'TB-Jun'!J102+'TB-Jul'!J102+'TB-Aug'!J102+'TB-Sep'!J102+'TB-Oct'!J102+'TB-Nov'!J102+'TB-Dec'!J102</f>
        <v>0</v>
      </c>
      <c r="K102" s="96">
        <f>'TB-Jan'!K102+'TB-Feb'!K102+'TB-Mar'!K102+'TB-Apr'!K102+'TB-May'!K102+'TB-Jun'!K102+'TB-Jul'!K102+'TB-Aug'!K102+'TB-Sep'!K102+'TB-Oct'!K102+'TB-Nov'!K102+'TB-Dec'!K102</f>
        <v>0</v>
      </c>
      <c r="L102" s="96">
        <f>'TB-Jan'!L102+'TB-Feb'!L102+'TB-Mar'!L102+'TB-Apr'!L102+'TB-May'!L102+'TB-Jun'!L102+'TB-Jul'!L102+'TB-Aug'!L102+'TB-Sep'!L102+'TB-Oct'!L102+'TB-Nov'!L102+'TB-Dec'!L102</f>
        <v>0</v>
      </c>
      <c r="M102" s="97">
        <f>'TB-Jan'!M102+'TB-Feb'!M102+'TB-Mar'!M102+'TB-Apr'!M102+'TB-May'!M102+'TB-Jun'!M102+'TB-Jul'!M102+'TB-Aug'!M102+'TB-Sep'!M102+'TB-Oct'!M102+'TB-Nov'!M102+'TB-Dec'!M102</f>
        <v>0</v>
      </c>
      <c r="N102" s="97">
        <f>'TB-Jan'!N102+'TB-Feb'!N102+'TB-Mar'!N102+'TB-Apr'!N102+'TB-May'!N102+'TB-Jun'!N102+'TB-Jul'!N102+'TB-Aug'!N102+'TB-Sep'!N102+'TB-Oct'!N102+'TB-Nov'!N102+'TB-Dec'!N102</f>
        <v>0</v>
      </c>
    </row>
    <row r="103" spans="1:14" ht="28.5" hidden="1">
      <c r="A103" s="8" t="s">
        <v>164</v>
      </c>
      <c r="B103" s="4" t="s">
        <v>165</v>
      </c>
      <c r="C103" s="7"/>
      <c r="D103" s="7">
        <f>F103-E103</f>
        <v>0</v>
      </c>
      <c r="E103" s="6">
        <f t="shared" si="2"/>
        <v>0</v>
      </c>
      <c r="F103" s="6">
        <f t="shared" si="2"/>
        <v>0</v>
      </c>
      <c r="G103" s="94">
        <f>'TB-Jan'!G103+'TB-Feb'!G103+'TB-Mar'!G103+'TB-Apr'!G103+'TB-May'!G103+'TB-Jun'!G103+'TB-Jul'!G103+'TB-Aug'!G103+'TB-Sep'!G103+'TB-Oct'!G103+'TB-Nov'!G103+'TB-Dec'!G103</f>
        <v>0</v>
      </c>
      <c r="H103" s="94">
        <f>'TB-Jan'!H103+'TB-Feb'!H103+'TB-Mar'!H103+'TB-Apr'!H103+'TB-May'!H103+'TB-Jun'!H103+'TB-Jul'!H103+'TB-Aug'!H103+'TB-Sep'!H103+'TB-Oct'!H103+'TB-Nov'!H103+'TB-Dec'!H103</f>
        <v>0</v>
      </c>
      <c r="I103" s="95">
        <f>'TB-Jan'!I103+'TB-Feb'!I103+'TB-Mar'!I103+'TB-Apr'!I103+'TB-May'!I103+'TB-Jun'!I103+'TB-Jul'!I103+'TB-Aug'!I103+'TB-Sep'!I103+'TB-Oct'!I103+'TB-Nov'!I103+'TB-Dec'!I103</f>
        <v>0</v>
      </c>
      <c r="J103" s="95">
        <f>'TB-Jan'!J103+'TB-Feb'!J103+'TB-Mar'!J103+'TB-Apr'!J103+'TB-May'!J103+'TB-Jun'!J103+'TB-Jul'!J103+'TB-Aug'!J103+'TB-Sep'!J103+'TB-Oct'!J103+'TB-Nov'!J103+'TB-Dec'!J103</f>
        <v>0</v>
      </c>
      <c r="K103" s="96">
        <f>'TB-Jan'!K103+'TB-Feb'!K103+'TB-Mar'!K103+'TB-Apr'!K103+'TB-May'!K103+'TB-Jun'!K103+'TB-Jul'!K103+'TB-Aug'!K103+'TB-Sep'!K103+'TB-Oct'!K103+'TB-Nov'!K103+'TB-Dec'!K103</f>
        <v>0</v>
      </c>
      <c r="L103" s="96">
        <f>'TB-Jan'!L103+'TB-Feb'!L103+'TB-Mar'!L103+'TB-Apr'!L103+'TB-May'!L103+'TB-Jun'!L103+'TB-Jul'!L103+'TB-Aug'!L103+'TB-Sep'!L103+'TB-Oct'!L103+'TB-Nov'!L103+'TB-Dec'!L103</f>
        <v>0</v>
      </c>
      <c r="M103" s="97">
        <f>'TB-Jan'!M103+'TB-Feb'!M103+'TB-Mar'!M103+'TB-Apr'!M103+'TB-May'!M103+'TB-Jun'!M103+'TB-Jul'!M103+'TB-Aug'!M103+'TB-Sep'!M103+'TB-Oct'!M103+'TB-Nov'!M103+'TB-Dec'!M103</f>
        <v>0</v>
      </c>
      <c r="N103" s="97">
        <f>'TB-Jan'!N103+'TB-Feb'!N103+'TB-Mar'!N103+'TB-Apr'!N103+'TB-May'!N103+'TB-Jun'!N103+'TB-Jul'!N103+'TB-Aug'!N103+'TB-Sep'!N103+'TB-Oct'!N103+'TB-Nov'!N103+'TB-Dec'!N103</f>
        <v>0</v>
      </c>
    </row>
    <row r="104" spans="1:14" hidden="1">
      <c r="A104" s="8" t="s">
        <v>166</v>
      </c>
      <c r="B104" s="4" t="s">
        <v>167</v>
      </c>
      <c r="C104" s="7">
        <f>E104-F104</f>
        <v>0</v>
      </c>
      <c r="D104" s="7"/>
      <c r="E104" s="6">
        <f t="shared" si="2"/>
        <v>0</v>
      </c>
      <c r="F104" s="6">
        <f t="shared" si="2"/>
        <v>0</v>
      </c>
      <c r="G104" s="94">
        <f>'TB-Jan'!G104+'TB-Feb'!G104+'TB-Mar'!G104+'TB-Apr'!G104+'TB-May'!G104+'TB-Jun'!G104+'TB-Jul'!G104+'TB-Aug'!G104+'TB-Sep'!G104+'TB-Oct'!G104+'TB-Nov'!G104+'TB-Dec'!G104</f>
        <v>0</v>
      </c>
      <c r="H104" s="94">
        <f>'TB-Jan'!H104+'TB-Feb'!H104+'TB-Mar'!H104+'TB-Apr'!H104+'TB-May'!H104+'TB-Jun'!H104+'TB-Jul'!H104+'TB-Aug'!H104+'TB-Sep'!H104+'TB-Oct'!H104+'TB-Nov'!H104+'TB-Dec'!H104</f>
        <v>0</v>
      </c>
      <c r="I104" s="95">
        <f>'TB-Jan'!I104+'TB-Feb'!I104+'TB-Mar'!I104+'TB-Apr'!I104+'TB-May'!I104+'TB-Jun'!I104+'TB-Jul'!I104+'TB-Aug'!I104+'TB-Sep'!I104+'TB-Oct'!I104+'TB-Nov'!I104+'TB-Dec'!I104</f>
        <v>0</v>
      </c>
      <c r="J104" s="95">
        <f>'TB-Jan'!J104+'TB-Feb'!J104+'TB-Mar'!J104+'TB-Apr'!J104+'TB-May'!J104+'TB-Jun'!J104+'TB-Jul'!J104+'TB-Aug'!J104+'TB-Sep'!J104+'TB-Oct'!J104+'TB-Nov'!J104+'TB-Dec'!J104</f>
        <v>0</v>
      </c>
      <c r="K104" s="96">
        <f>'TB-Jan'!K104+'TB-Feb'!K104+'TB-Mar'!K104+'TB-Apr'!K104+'TB-May'!K104+'TB-Jun'!K104+'TB-Jul'!K104+'TB-Aug'!K104+'TB-Sep'!K104+'TB-Oct'!K104+'TB-Nov'!K104+'TB-Dec'!K104</f>
        <v>0</v>
      </c>
      <c r="L104" s="96">
        <f>'TB-Jan'!L104+'TB-Feb'!L104+'TB-Mar'!L104+'TB-Apr'!L104+'TB-May'!L104+'TB-Jun'!L104+'TB-Jul'!L104+'TB-Aug'!L104+'TB-Sep'!L104+'TB-Oct'!L104+'TB-Nov'!L104+'TB-Dec'!L104</f>
        <v>0</v>
      </c>
      <c r="M104" s="97">
        <f>'TB-Jan'!M104+'TB-Feb'!M104+'TB-Mar'!M104+'TB-Apr'!M104+'TB-May'!M104+'TB-Jun'!M104+'TB-Jul'!M104+'TB-Aug'!M104+'TB-Sep'!M104+'TB-Oct'!M104+'TB-Nov'!M104+'TB-Dec'!M104</f>
        <v>0</v>
      </c>
      <c r="N104" s="97">
        <f>'TB-Jan'!N104+'TB-Feb'!N104+'TB-Mar'!N104+'TB-Apr'!N104+'TB-May'!N104+'TB-Jun'!N104+'TB-Jul'!N104+'TB-Aug'!N104+'TB-Sep'!N104+'TB-Oct'!N104+'TB-Nov'!N104+'TB-Dec'!N104</f>
        <v>0</v>
      </c>
    </row>
    <row r="105" spans="1:14" hidden="1">
      <c r="A105" s="8" t="s">
        <v>168</v>
      </c>
      <c r="B105" s="4" t="s">
        <v>169</v>
      </c>
      <c r="C105" s="7"/>
      <c r="D105" s="7">
        <f>F105-E105</f>
        <v>0</v>
      </c>
      <c r="E105" s="6">
        <f t="shared" si="2"/>
        <v>0</v>
      </c>
      <c r="F105" s="6">
        <f t="shared" si="2"/>
        <v>0</v>
      </c>
      <c r="G105" s="94">
        <f>'TB-Jan'!G105+'TB-Feb'!G105+'TB-Mar'!G105+'TB-Apr'!G105+'TB-May'!G105+'TB-Jun'!G105+'TB-Jul'!G105+'TB-Aug'!G105+'TB-Sep'!G105+'TB-Oct'!G105+'TB-Nov'!G105+'TB-Dec'!G105</f>
        <v>0</v>
      </c>
      <c r="H105" s="94">
        <f>'TB-Jan'!H105+'TB-Feb'!H105+'TB-Mar'!H105+'TB-Apr'!H105+'TB-May'!H105+'TB-Jun'!H105+'TB-Jul'!H105+'TB-Aug'!H105+'TB-Sep'!H105+'TB-Oct'!H105+'TB-Nov'!H105+'TB-Dec'!H105</f>
        <v>0</v>
      </c>
      <c r="I105" s="95">
        <f>'TB-Jan'!I105+'TB-Feb'!I105+'TB-Mar'!I105+'TB-Apr'!I105+'TB-May'!I105+'TB-Jun'!I105+'TB-Jul'!I105+'TB-Aug'!I105+'TB-Sep'!I105+'TB-Oct'!I105+'TB-Nov'!I105+'TB-Dec'!I105</f>
        <v>0</v>
      </c>
      <c r="J105" s="95">
        <f>'TB-Jan'!J105+'TB-Feb'!J105+'TB-Mar'!J105+'TB-Apr'!J105+'TB-May'!J105+'TB-Jun'!J105+'TB-Jul'!J105+'TB-Aug'!J105+'TB-Sep'!J105+'TB-Oct'!J105+'TB-Nov'!J105+'TB-Dec'!J105</f>
        <v>0</v>
      </c>
      <c r="K105" s="96">
        <f>'TB-Jan'!K105+'TB-Feb'!K105+'TB-Mar'!K105+'TB-Apr'!K105+'TB-May'!K105+'TB-Jun'!K105+'TB-Jul'!K105+'TB-Aug'!K105+'TB-Sep'!K105+'TB-Oct'!K105+'TB-Nov'!K105+'TB-Dec'!K105</f>
        <v>0</v>
      </c>
      <c r="L105" s="96">
        <f>'TB-Jan'!L105+'TB-Feb'!L105+'TB-Mar'!L105+'TB-Apr'!L105+'TB-May'!L105+'TB-Jun'!L105+'TB-Jul'!L105+'TB-Aug'!L105+'TB-Sep'!L105+'TB-Oct'!L105+'TB-Nov'!L105+'TB-Dec'!L105</f>
        <v>0</v>
      </c>
      <c r="M105" s="97">
        <f>'TB-Jan'!M105+'TB-Feb'!M105+'TB-Mar'!M105+'TB-Apr'!M105+'TB-May'!M105+'TB-Jun'!M105+'TB-Jul'!M105+'TB-Aug'!M105+'TB-Sep'!M105+'TB-Oct'!M105+'TB-Nov'!M105+'TB-Dec'!M105</f>
        <v>0</v>
      </c>
      <c r="N105" s="97">
        <f>'TB-Jan'!N105+'TB-Feb'!N105+'TB-Mar'!N105+'TB-Apr'!N105+'TB-May'!N105+'TB-Jun'!N105+'TB-Jul'!N105+'TB-Aug'!N105+'TB-Sep'!N105+'TB-Oct'!N105+'TB-Nov'!N105+'TB-Dec'!N105</f>
        <v>0</v>
      </c>
    </row>
    <row r="106" spans="1:14" hidden="1">
      <c r="A106" s="8" t="s">
        <v>170</v>
      </c>
      <c r="B106" s="4" t="s">
        <v>171</v>
      </c>
      <c r="C106" s="7">
        <f>E106-F106</f>
        <v>0</v>
      </c>
      <c r="D106" s="7"/>
      <c r="E106" s="6">
        <f t="shared" si="2"/>
        <v>0</v>
      </c>
      <c r="F106" s="6">
        <f t="shared" si="2"/>
        <v>0</v>
      </c>
      <c r="G106" s="94">
        <f>'TB-Jan'!G106+'TB-Feb'!G106+'TB-Mar'!G106+'TB-Apr'!G106+'TB-May'!G106+'TB-Jun'!G106+'TB-Jul'!G106+'TB-Aug'!G106+'TB-Sep'!G106+'TB-Oct'!G106+'TB-Nov'!G106+'TB-Dec'!G106</f>
        <v>0</v>
      </c>
      <c r="H106" s="94">
        <f>'TB-Jan'!H106+'TB-Feb'!H106+'TB-Mar'!H106+'TB-Apr'!H106+'TB-May'!H106+'TB-Jun'!H106+'TB-Jul'!H106+'TB-Aug'!H106+'TB-Sep'!H106+'TB-Oct'!H106+'TB-Nov'!H106+'TB-Dec'!H106</f>
        <v>0</v>
      </c>
      <c r="I106" s="95">
        <f>'TB-Jan'!I106+'TB-Feb'!I106+'TB-Mar'!I106+'TB-Apr'!I106+'TB-May'!I106+'TB-Jun'!I106+'TB-Jul'!I106+'TB-Aug'!I106+'TB-Sep'!I106+'TB-Oct'!I106+'TB-Nov'!I106+'TB-Dec'!I106</f>
        <v>0</v>
      </c>
      <c r="J106" s="95">
        <f>'TB-Jan'!J106+'TB-Feb'!J106+'TB-Mar'!J106+'TB-Apr'!J106+'TB-May'!J106+'TB-Jun'!J106+'TB-Jul'!J106+'TB-Aug'!J106+'TB-Sep'!J106+'TB-Oct'!J106+'TB-Nov'!J106+'TB-Dec'!J106</f>
        <v>0</v>
      </c>
      <c r="K106" s="96">
        <f>'TB-Jan'!K106+'TB-Feb'!K106+'TB-Mar'!K106+'TB-Apr'!K106+'TB-May'!K106+'TB-Jun'!K106+'TB-Jul'!K106+'TB-Aug'!K106+'TB-Sep'!K106+'TB-Oct'!K106+'TB-Nov'!K106+'TB-Dec'!K106</f>
        <v>0</v>
      </c>
      <c r="L106" s="96">
        <f>'TB-Jan'!L106+'TB-Feb'!L106+'TB-Mar'!L106+'TB-Apr'!L106+'TB-May'!L106+'TB-Jun'!L106+'TB-Jul'!L106+'TB-Aug'!L106+'TB-Sep'!L106+'TB-Oct'!L106+'TB-Nov'!L106+'TB-Dec'!L106</f>
        <v>0</v>
      </c>
      <c r="M106" s="97">
        <f>'TB-Jan'!M106+'TB-Feb'!M106+'TB-Mar'!M106+'TB-Apr'!M106+'TB-May'!M106+'TB-Jun'!M106+'TB-Jul'!M106+'TB-Aug'!M106+'TB-Sep'!M106+'TB-Oct'!M106+'TB-Nov'!M106+'TB-Dec'!M106</f>
        <v>0</v>
      </c>
      <c r="N106" s="97">
        <f>'TB-Jan'!N106+'TB-Feb'!N106+'TB-Mar'!N106+'TB-Apr'!N106+'TB-May'!N106+'TB-Jun'!N106+'TB-Jul'!N106+'TB-Aug'!N106+'TB-Sep'!N106+'TB-Oct'!N106+'TB-Nov'!N106+'TB-Dec'!N106</f>
        <v>0</v>
      </c>
    </row>
    <row r="107" spans="1:14" ht="28.5" hidden="1">
      <c r="A107" s="8" t="s">
        <v>172</v>
      </c>
      <c r="B107" s="4" t="s">
        <v>173</v>
      </c>
      <c r="C107" s="7"/>
      <c r="D107" s="7">
        <f>F107-E107</f>
        <v>0</v>
      </c>
      <c r="E107" s="6">
        <f t="shared" si="2"/>
        <v>0</v>
      </c>
      <c r="F107" s="6">
        <f t="shared" si="2"/>
        <v>0</v>
      </c>
      <c r="G107" s="94">
        <f>'TB-Jan'!G107+'TB-Feb'!G107+'TB-Mar'!G107+'TB-Apr'!G107+'TB-May'!G107+'TB-Jun'!G107+'TB-Jul'!G107+'TB-Aug'!G107+'TB-Sep'!G107+'TB-Oct'!G107+'TB-Nov'!G107+'TB-Dec'!G107</f>
        <v>0</v>
      </c>
      <c r="H107" s="94">
        <f>'TB-Jan'!H107+'TB-Feb'!H107+'TB-Mar'!H107+'TB-Apr'!H107+'TB-May'!H107+'TB-Jun'!H107+'TB-Jul'!H107+'TB-Aug'!H107+'TB-Sep'!H107+'TB-Oct'!H107+'TB-Nov'!H107+'TB-Dec'!H107</f>
        <v>0</v>
      </c>
      <c r="I107" s="95">
        <f>'TB-Jan'!I107+'TB-Feb'!I107+'TB-Mar'!I107+'TB-Apr'!I107+'TB-May'!I107+'TB-Jun'!I107+'TB-Jul'!I107+'TB-Aug'!I107+'TB-Sep'!I107+'TB-Oct'!I107+'TB-Nov'!I107+'TB-Dec'!I107</f>
        <v>0</v>
      </c>
      <c r="J107" s="95">
        <f>'TB-Jan'!J107+'TB-Feb'!J107+'TB-Mar'!J107+'TB-Apr'!J107+'TB-May'!J107+'TB-Jun'!J107+'TB-Jul'!J107+'TB-Aug'!J107+'TB-Sep'!J107+'TB-Oct'!J107+'TB-Nov'!J107+'TB-Dec'!J107</f>
        <v>0</v>
      </c>
      <c r="K107" s="96">
        <f>'TB-Jan'!K107+'TB-Feb'!K107+'TB-Mar'!K107+'TB-Apr'!K107+'TB-May'!K107+'TB-Jun'!K107+'TB-Jul'!K107+'TB-Aug'!K107+'TB-Sep'!K107+'TB-Oct'!K107+'TB-Nov'!K107+'TB-Dec'!K107</f>
        <v>0</v>
      </c>
      <c r="L107" s="96">
        <f>'TB-Jan'!L107+'TB-Feb'!L107+'TB-Mar'!L107+'TB-Apr'!L107+'TB-May'!L107+'TB-Jun'!L107+'TB-Jul'!L107+'TB-Aug'!L107+'TB-Sep'!L107+'TB-Oct'!L107+'TB-Nov'!L107+'TB-Dec'!L107</f>
        <v>0</v>
      </c>
      <c r="M107" s="97">
        <f>'TB-Jan'!M107+'TB-Feb'!M107+'TB-Mar'!M107+'TB-Apr'!M107+'TB-May'!M107+'TB-Jun'!M107+'TB-Jul'!M107+'TB-Aug'!M107+'TB-Sep'!M107+'TB-Oct'!M107+'TB-Nov'!M107+'TB-Dec'!M107</f>
        <v>0</v>
      </c>
      <c r="N107" s="97">
        <f>'TB-Jan'!N107+'TB-Feb'!N107+'TB-Mar'!N107+'TB-Apr'!N107+'TB-May'!N107+'TB-Jun'!N107+'TB-Jul'!N107+'TB-Aug'!N107+'TB-Sep'!N107+'TB-Oct'!N107+'TB-Nov'!N107+'TB-Dec'!N107</f>
        <v>0</v>
      </c>
    </row>
    <row r="108" spans="1:14">
      <c r="A108" s="8" t="s">
        <v>174</v>
      </c>
      <c r="B108" s="4" t="s">
        <v>175</v>
      </c>
      <c r="C108" s="7">
        <f>E108-F108</f>
        <v>109913</v>
      </c>
      <c r="D108" s="7"/>
      <c r="E108" s="6">
        <f t="shared" si="2"/>
        <v>109913</v>
      </c>
      <c r="F108" s="6">
        <f t="shared" si="2"/>
        <v>0</v>
      </c>
      <c r="G108" s="94">
        <f>'TB-Jan'!G108+'TB-Feb'!G108+'TB-Mar'!G108+'TB-Apr'!G108+'TB-May'!G108+'TB-Jun'!G108+'TB-Jul'!G108+'TB-Aug'!G108+'TB-Sep'!G108+'TB-Oct'!G108+'TB-Nov'!G108+'TB-Dec'!G108</f>
        <v>109913</v>
      </c>
      <c r="H108" s="94">
        <f>'TB-Jan'!H108+'TB-Feb'!H108+'TB-Mar'!H108+'TB-Apr'!H108+'TB-May'!H108+'TB-Jun'!H108+'TB-Jul'!H108+'TB-Aug'!H108+'TB-Sep'!H108+'TB-Oct'!H108+'TB-Nov'!H108+'TB-Dec'!H108</f>
        <v>0</v>
      </c>
      <c r="I108" s="95">
        <f>'TB-Jan'!I108+'TB-Feb'!I108+'TB-Mar'!I108+'TB-Apr'!I108+'TB-May'!I108+'TB-Jun'!I108+'TB-Jul'!I108+'TB-Aug'!I108+'TB-Sep'!I108+'TB-Oct'!I108+'TB-Nov'!I108+'TB-Dec'!I108</f>
        <v>0</v>
      </c>
      <c r="J108" s="95">
        <f>'TB-Jan'!J108+'TB-Feb'!J108+'TB-Mar'!J108+'TB-Apr'!J108+'TB-May'!J108+'TB-Jun'!J108+'TB-Jul'!J108+'TB-Aug'!J108+'TB-Sep'!J108+'TB-Oct'!J108+'TB-Nov'!J108+'TB-Dec'!J108</f>
        <v>0</v>
      </c>
      <c r="K108" s="96">
        <f>'TB-Jan'!K108+'TB-Feb'!K108+'TB-Mar'!K108+'TB-Apr'!K108+'TB-May'!K108+'TB-Jun'!K108+'TB-Jul'!K108+'TB-Aug'!K108+'TB-Sep'!K108+'TB-Oct'!K108+'TB-Nov'!K108+'TB-Dec'!K108</f>
        <v>0</v>
      </c>
      <c r="L108" s="96">
        <f>'TB-Jan'!L108+'TB-Feb'!L108+'TB-Mar'!L108+'TB-Apr'!L108+'TB-May'!L108+'TB-Jun'!L108+'TB-Jul'!L108+'TB-Aug'!L108+'TB-Sep'!L108+'TB-Oct'!L108+'TB-Nov'!L108+'TB-Dec'!L108</f>
        <v>0</v>
      </c>
      <c r="M108" s="97">
        <f>'TB-Jan'!M108+'TB-Feb'!M108+'TB-Mar'!M108+'TB-Apr'!M108+'TB-May'!M108+'TB-Jun'!M108+'TB-Jul'!M108+'TB-Aug'!M108+'TB-Sep'!M108+'TB-Oct'!M108+'TB-Nov'!M108+'TB-Dec'!M108</f>
        <v>0</v>
      </c>
      <c r="N108" s="97">
        <f>'TB-Jan'!N108+'TB-Feb'!N108+'TB-Mar'!N108+'TB-Apr'!N108+'TB-May'!N108+'TB-Jun'!N108+'TB-Jul'!N108+'TB-Aug'!N108+'TB-Sep'!N108+'TB-Oct'!N108+'TB-Nov'!N108+'TB-Dec'!N108</f>
        <v>0</v>
      </c>
    </row>
    <row r="109" spans="1:14" hidden="1">
      <c r="A109" s="8" t="s">
        <v>176</v>
      </c>
      <c r="B109" s="4" t="s">
        <v>177</v>
      </c>
      <c r="C109" s="7"/>
      <c r="D109" s="7">
        <f>F109-E109</f>
        <v>0</v>
      </c>
      <c r="E109" s="6">
        <f t="shared" si="2"/>
        <v>0</v>
      </c>
      <c r="F109" s="6">
        <f t="shared" si="2"/>
        <v>0</v>
      </c>
      <c r="G109" s="94">
        <f>'TB-Jan'!G109+'TB-Feb'!G109+'TB-Mar'!G109+'TB-Apr'!G109+'TB-May'!G109+'TB-Jun'!G109+'TB-Jul'!G109+'TB-Aug'!G109+'TB-Sep'!G109+'TB-Oct'!G109+'TB-Nov'!G109+'TB-Dec'!G109</f>
        <v>0</v>
      </c>
      <c r="H109" s="94">
        <f>'TB-Jan'!H109+'TB-Feb'!H109+'TB-Mar'!H109+'TB-Apr'!H109+'TB-May'!H109+'TB-Jun'!H109+'TB-Jul'!H109+'TB-Aug'!H109+'TB-Sep'!H109+'TB-Oct'!H109+'TB-Nov'!H109+'TB-Dec'!H109</f>
        <v>0</v>
      </c>
      <c r="I109" s="95">
        <f>'TB-Jan'!I109+'TB-Feb'!I109+'TB-Mar'!I109+'TB-Apr'!I109+'TB-May'!I109+'TB-Jun'!I109+'TB-Jul'!I109+'TB-Aug'!I109+'TB-Sep'!I109+'TB-Oct'!I109+'TB-Nov'!I109+'TB-Dec'!I109</f>
        <v>0</v>
      </c>
      <c r="J109" s="95">
        <f>'TB-Jan'!J109+'TB-Feb'!J109+'TB-Mar'!J109+'TB-Apr'!J109+'TB-May'!J109+'TB-Jun'!J109+'TB-Jul'!J109+'TB-Aug'!J109+'TB-Sep'!J109+'TB-Oct'!J109+'TB-Nov'!J109+'TB-Dec'!J109</f>
        <v>0</v>
      </c>
      <c r="K109" s="96">
        <f>'TB-Jan'!K109+'TB-Feb'!K109+'TB-Mar'!K109+'TB-Apr'!K109+'TB-May'!K109+'TB-Jun'!K109+'TB-Jul'!K109+'TB-Aug'!K109+'TB-Sep'!K109+'TB-Oct'!K109+'TB-Nov'!K109+'TB-Dec'!K109</f>
        <v>0</v>
      </c>
      <c r="L109" s="96">
        <f>'TB-Jan'!L109+'TB-Feb'!L109+'TB-Mar'!L109+'TB-Apr'!L109+'TB-May'!L109+'TB-Jun'!L109+'TB-Jul'!L109+'TB-Aug'!L109+'TB-Sep'!L109+'TB-Oct'!L109+'TB-Nov'!L109+'TB-Dec'!L109</f>
        <v>0</v>
      </c>
      <c r="M109" s="97">
        <f>'TB-Jan'!M109+'TB-Feb'!M109+'TB-Mar'!M109+'TB-Apr'!M109+'TB-May'!M109+'TB-Jun'!M109+'TB-Jul'!M109+'TB-Aug'!M109+'TB-Sep'!M109+'TB-Oct'!M109+'TB-Nov'!M109+'TB-Dec'!M109</f>
        <v>0</v>
      </c>
      <c r="N109" s="97">
        <f>'TB-Jan'!N109+'TB-Feb'!N109+'TB-Mar'!N109+'TB-Apr'!N109+'TB-May'!N109+'TB-Jun'!N109+'TB-Jul'!N109+'TB-Aug'!N109+'TB-Sep'!N109+'TB-Oct'!N109+'TB-Nov'!N109+'TB-Dec'!N109</f>
        <v>0</v>
      </c>
    </row>
    <row r="110" spans="1:14" hidden="1">
      <c r="A110" s="8" t="s">
        <v>178</v>
      </c>
      <c r="B110" s="4" t="s">
        <v>179</v>
      </c>
      <c r="C110" s="7">
        <f>E110-F110</f>
        <v>0</v>
      </c>
      <c r="D110" s="7"/>
      <c r="E110" s="6">
        <f t="shared" si="2"/>
        <v>0</v>
      </c>
      <c r="F110" s="6">
        <f t="shared" si="2"/>
        <v>0</v>
      </c>
      <c r="G110" s="94">
        <f>'TB-Jan'!G110+'TB-Feb'!G110+'TB-Mar'!G110+'TB-Apr'!G110+'TB-May'!G110+'TB-Jun'!G110+'TB-Jul'!G110+'TB-Aug'!G110+'TB-Sep'!G110+'TB-Oct'!G110+'TB-Nov'!G110+'TB-Dec'!G110</f>
        <v>0</v>
      </c>
      <c r="H110" s="94">
        <f>'TB-Jan'!H110+'TB-Feb'!H110+'TB-Mar'!H110+'TB-Apr'!H110+'TB-May'!H110+'TB-Jun'!H110+'TB-Jul'!H110+'TB-Aug'!H110+'TB-Sep'!H110+'TB-Oct'!H110+'TB-Nov'!H110+'TB-Dec'!H110</f>
        <v>0</v>
      </c>
      <c r="I110" s="95">
        <f>'TB-Jan'!I110+'TB-Feb'!I110+'TB-Mar'!I110+'TB-Apr'!I110+'TB-May'!I110+'TB-Jun'!I110+'TB-Jul'!I110+'TB-Aug'!I110+'TB-Sep'!I110+'TB-Oct'!I110+'TB-Nov'!I110+'TB-Dec'!I110</f>
        <v>0</v>
      </c>
      <c r="J110" s="95">
        <f>'TB-Jan'!J110+'TB-Feb'!J110+'TB-Mar'!J110+'TB-Apr'!J110+'TB-May'!J110+'TB-Jun'!J110+'TB-Jul'!J110+'TB-Aug'!J110+'TB-Sep'!J110+'TB-Oct'!J110+'TB-Nov'!J110+'TB-Dec'!J110</f>
        <v>0</v>
      </c>
      <c r="K110" s="96">
        <f>'TB-Jan'!K110+'TB-Feb'!K110+'TB-Mar'!K110+'TB-Apr'!K110+'TB-May'!K110+'TB-Jun'!K110+'TB-Jul'!K110+'TB-Aug'!K110+'TB-Sep'!K110+'TB-Oct'!K110+'TB-Nov'!K110+'TB-Dec'!K110</f>
        <v>0</v>
      </c>
      <c r="L110" s="96">
        <f>'TB-Jan'!L110+'TB-Feb'!L110+'TB-Mar'!L110+'TB-Apr'!L110+'TB-May'!L110+'TB-Jun'!L110+'TB-Jul'!L110+'TB-Aug'!L110+'TB-Sep'!L110+'TB-Oct'!L110+'TB-Nov'!L110+'TB-Dec'!L110</f>
        <v>0</v>
      </c>
      <c r="M110" s="97">
        <f>'TB-Jan'!M110+'TB-Feb'!M110+'TB-Mar'!M110+'TB-Apr'!M110+'TB-May'!M110+'TB-Jun'!M110+'TB-Jul'!M110+'TB-Aug'!M110+'TB-Sep'!M110+'TB-Oct'!M110+'TB-Nov'!M110+'TB-Dec'!M110</f>
        <v>0</v>
      </c>
      <c r="N110" s="97">
        <f>'TB-Jan'!N110+'TB-Feb'!N110+'TB-Mar'!N110+'TB-Apr'!N110+'TB-May'!N110+'TB-Jun'!N110+'TB-Jul'!N110+'TB-Aug'!N110+'TB-Sep'!N110+'TB-Oct'!N110+'TB-Nov'!N110+'TB-Dec'!N110</f>
        <v>0</v>
      </c>
    </row>
    <row r="111" spans="1:14" hidden="1">
      <c r="A111" s="8" t="s">
        <v>180</v>
      </c>
      <c r="B111" s="4" t="s">
        <v>181</v>
      </c>
      <c r="C111" s="7"/>
      <c r="D111" s="7">
        <f>F111-E111</f>
        <v>0</v>
      </c>
      <c r="E111" s="6">
        <f t="shared" si="2"/>
        <v>0</v>
      </c>
      <c r="F111" s="6">
        <f t="shared" si="2"/>
        <v>0</v>
      </c>
      <c r="G111" s="94">
        <f>'TB-Jan'!G111+'TB-Feb'!G111+'TB-Mar'!G111+'TB-Apr'!G111+'TB-May'!G111+'TB-Jun'!G111+'TB-Jul'!G111+'TB-Aug'!G111+'TB-Sep'!G111+'TB-Oct'!G111+'TB-Nov'!G111+'TB-Dec'!G111</f>
        <v>0</v>
      </c>
      <c r="H111" s="94">
        <f>'TB-Jan'!H111+'TB-Feb'!H111+'TB-Mar'!H111+'TB-Apr'!H111+'TB-May'!H111+'TB-Jun'!H111+'TB-Jul'!H111+'TB-Aug'!H111+'TB-Sep'!H111+'TB-Oct'!H111+'TB-Nov'!H111+'TB-Dec'!H111</f>
        <v>0</v>
      </c>
      <c r="I111" s="95">
        <f>'TB-Jan'!I111+'TB-Feb'!I111+'TB-Mar'!I111+'TB-Apr'!I111+'TB-May'!I111+'TB-Jun'!I111+'TB-Jul'!I111+'TB-Aug'!I111+'TB-Sep'!I111+'TB-Oct'!I111+'TB-Nov'!I111+'TB-Dec'!I111</f>
        <v>0</v>
      </c>
      <c r="J111" s="95">
        <f>'TB-Jan'!J111+'TB-Feb'!J111+'TB-Mar'!J111+'TB-Apr'!J111+'TB-May'!J111+'TB-Jun'!J111+'TB-Jul'!J111+'TB-Aug'!J111+'TB-Sep'!J111+'TB-Oct'!J111+'TB-Nov'!J111+'TB-Dec'!J111</f>
        <v>0</v>
      </c>
      <c r="K111" s="96">
        <f>'TB-Jan'!K111+'TB-Feb'!K111+'TB-Mar'!K111+'TB-Apr'!K111+'TB-May'!K111+'TB-Jun'!K111+'TB-Jul'!K111+'TB-Aug'!K111+'TB-Sep'!K111+'TB-Oct'!K111+'TB-Nov'!K111+'TB-Dec'!K111</f>
        <v>0</v>
      </c>
      <c r="L111" s="96">
        <f>'TB-Jan'!L111+'TB-Feb'!L111+'TB-Mar'!L111+'TB-Apr'!L111+'TB-May'!L111+'TB-Jun'!L111+'TB-Jul'!L111+'TB-Aug'!L111+'TB-Sep'!L111+'TB-Oct'!L111+'TB-Nov'!L111+'TB-Dec'!L111</f>
        <v>0</v>
      </c>
      <c r="M111" s="97">
        <f>'TB-Jan'!M111+'TB-Feb'!M111+'TB-Mar'!M111+'TB-Apr'!M111+'TB-May'!M111+'TB-Jun'!M111+'TB-Jul'!M111+'TB-Aug'!M111+'TB-Sep'!M111+'TB-Oct'!M111+'TB-Nov'!M111+'TB-Dec'!M111</f>
        <v>0</v>
      </c>
      <c r="N111" s="97">
        <f>'TB-Jan'!N111+'TB-Feb'!N111+'TB-Mar'!N111+'TB-Apr'!N111+'TB-May'!N111+'TB-Jun'!N111+'TB-Jul'!N111+'TB-Aug'!N111+'TB-Sep'!N111+'TB-Oct'!N111+'TB-Nov'!N111+'TB-Dec'!N111</f>
        <v>0</v>
      </c>
    </row>
    <row r="112" spans="1:14" hidden="1">
      <c r="A112" s="8" t="s">
        <v>182</v>
      </c>
      <c r="B112" s="4" t="s">
        <v>183</v>
      </c>
      <c r="C112" s="7">
        <f>E112-F112</f>
        <v>0</v>
      </c>
      <c r="D112" s="7"/>
      <c r="E112" s="6">
        <f t="shared" si="2"/>
        <v>0</v>
      </c>
      <c r="F112" s="6">
        <f t="shared" si="2"/>
        <v>0</v>
      </c>
      <c r="G112" s="94">
        <f>'TB-Jan'!G112+'TB-Feb'!G112+'TB-Mar'!G112+'TB-Apr'!G112+'TB-May'!G112+'TB-Jun'!G112+'TB-Jul'!G112+'TB-Aug'!G112+'TB-Sep'!G112+'TB-Oct'!G112+'TB-Nov'!G112+'TB-Dec'!G112</f>
        <v>0</v>
      </c>
      <c r="H112" s="94">
        <f>'TB-Jan'!H112+'TB-Feb'!H112+'TB-Mar'!H112+'TB-Apr'!H112+'TB-May'!H112+'TB-Jun'!H112+'TB-Jul'!H112+'TB-Aug'!H112+'TB-Sep'!H112+'TB-Oct'!H112+'TB-Nov'!H112+'TB-Dec'!H112</f>
        <v>0</v>
      </c>
      <c r="I112" s="95">
        <f>'TB-Jan'!I112+'TB-Feb'!I112+'TB-Mar'!I112+'TB-Apr'!I112+'TB-May'!I112+'TB-Jun'!I112+'TB-Jul'!I112+'TB-Aug'!I112+'TB-Sep'!I112+'TB-Oct'!I112+'TB-Nov'!I112+'TB-Dec'!I112</f>
        <v>0</v>
      </c>
      <c r="J112" s="95">
        <f>'TB-Jan'!J112+'TB-Feb'!J112+'TB-Mar'!J112+'TB-Apr'!J112+'TB-May'!J112+'TB-Jun'!J112+'TB-Jul'!J112+'TB-Aug'!J112+'TB-Sep'!J112+'TB-Oct'!J112+'TB-Nov'!J112+'TB-Dec'!J112</f>
        <v>0</v>
      </c>
      <c r="K112" s="96">
        <f>'TB-Jan'!K112+'TB-Feb'!K112+'TB-Mar'!K112+'TB-Apr'!K112+'TB-May'!K112+'TB-Jun'!K112+'TB-Jul'!K112+'TB-Aug'!K112+'TB-Sep'!K112+'TB-Oct'!K112+'TB-Nov'!K112+'TB-Dec'!K112</f>
        <v>0</v>
      </c>
      <c r="L112" s="96">
        <f>'TB-Jan'!L112+'TB-Feb'!L112+'TB-Mar'!L112+'TB-Apr'!L112+'TB-May'!L112+'TB-Jun'!L112+'TB-Jul'!L112+'TB-Aug'!L112+'TB-Sep'!L112+'TB-Oct'!L112+'TB-Nov'!L112+'TB-Dec'!L112</f>
        <v>0</v>
      </c>
      <c r="M112" s="97">
        <f>'TB-Jan'!M112+'TB-Feb'!M112+'TB-Mar'!M112+'TB-Apr'!M112+'TB-May'!M112+'TB-Jun'!M112+'TB-Jul'!M112+'TB-Aug'!M112+'TB-Sep'!M112+'TB-Oct'!M112+'TB-Nov'!M112+'TB-Dec'!M112</f>
        <v>0</v>
      </c>
      <c r="N112" s="97">
        <f>'TB-Jan'!N112+'TB-Feb'!N112+'TB-Mar'!N112+'TB-Apr'!N112+'TB-May'!N112+'TB-Jun'!N112+'TB-Jul'!N112+'TB-Aug'!N112+'TB-Sep'!N112+'TB-Oct'!N112+'TB-Nov'!N112+'TB-Dec'!N112</f>
        <v>0</v>
      </c>
    </row>
    <row r="113" spans="1:14" hidden="1">
      <c r="A113" s="8" t="s">
        <v>184</v>
      </c>
      <c r="B113" s="4" t="s">
        <v>185</v>
      </c>
      <c r="C113" s="7"/>
      <c r="D113" s="7">
        <f>F113-E113</f>
        <v>0</v>
      </c>
      <c r="E113" s="6">
        <f t="shared" si="2"/>
        <v>0</v>
      </c>
      <c r="F113" s="6">
        <f t="shared" si="2"/>
        <v>0</v>
      </c>
      <c r="G113" s="94">
        <f>'TB-Jan'!G113+'TB-Feb'!G113+'TB-Mar'!G113+'TB-Apr'!G113+'TB-May'!G113+'TB-Jun'!G113+'TB-Jul'!G113+'TB-Aug'!G113+'TB-Sep'!G113+'TB-Oct'!G113+'TB-Nov'!G113+'TB-Dec'!G113</f>
        <v>0</v>
      </c>
      <c r="H113" s="94">
        <f>'TB-Jan'!H113+'TB-Feb'!H113+'TB-Mar'!H113+'TB-Apr'!H113+'TB-May'!H113+'TB-Jun'!H113+'TB-Jul'!H113+'TB-Aug'!H113+'TB-Sep'!H113+'TB-Oct'!H113+'TB-Nov'!H113+'TB-Dec'!H113</f>
        <v>0</v>
      </c>
      <c r="I113" s="95">
        <f>'TB-Jan'!I113+'TB-Feb'!I113+'TB-Mar'!I113+'TB-Apr'!I113+'TB-May'!I113+'TB-Jun'!I113+'TB-Jul'!I113+'TB-Aug'!I113+'TB-Sep'!I113+'TB-Oct'!I113+'TB-Nov'!I113+'TB-Dec'!I113</f>
        <v>0</v>
      </c>
      <c r="J113" s="95">
        <f>'TB-Jan'!J113+'TB-Feb'!J113+'TB-Mar'!J113+'TB-Apr'!J113+'TB-May'!J113+'TB-Jun'!J113+'TB-Jul'!J113+'TB-Aug'!J113+'TB-Sep'!J113+'TB-Oct'!J113+'TB-Nov'!J113+'TB-Dec'!J113</f>
        <v>0</v>
      </c>
      <c r="K113" s="96">
        <f>'TB-Jan'!K113+'TB-Feb'!K113+'TB-Mar'!K113+'TB-Apr'!K113+'TB-May'!K113+'TB-Jun'!K113+'TB-Jul'!K113+'TB-Aug'!K113+'TB-Sep'!K113+'TB-Oct'!K113+'TB-Nov'!K113+'TB-Dec'!K113</f>
        <v>0</v>
      </c>
      <c r="L113" s="96">
        <f>'TB-Jan'!L113+'TB-Feb'!L113+'TB-Mar'!L113+'TB-Apr'!L113+'TB-May'!L113+'TB-Jun'!L113+'TB-Jul'!L113+'TB-Aug'!L113+'TB-Sep'!L113+'TB-Oct'!L113+'TB-Nov'!L113+'TB-Dec'!L113</f>
        <v>0</v>
      </c>
      <c r="M113" s="97">
        <f>'TB-Jan'!M113+'TB-Feb'!M113+'TB-Mar'!M113+'TB-Apr'!M113+'TB-May'!M113+'TB-Jun'!M113+'TB-Jul'!M113+'TB-Aug'!M113+'TB-Sep'!M113+'TB-Oct'!M113+'TB-Nov'!M113+'TB-Dec'!M113</f>
        <v>0</v>
      </c>
      <c r="N113" s="97">
        <f>'TB-Jan'!N113+'TB-Feb'!N113+'TB-Mar'!N113+'TB-Apr'!N113+'TB-May'!N113+'TB-Jun'!N113+'TB-Jul'!N113+'TB-Aug'!N113+'TB-Sep'!N113+'TB-Oct'!N113+'TB-Nov'!N113+'TB-Dec'!N113</f>
        <v>0</v>
      </c>
    </row>
    <row r="114" spans="1:14" hidden="1">
      <c r="A114" s="8" t="s">
        <v>186</v>
      </c>
      <c r="B114" s="4" t="s">
        <v>187</v>
      </c>
      <c r="C114" s="7">
        <f>E114-F114</f>
        <v>1000000</v>
      </c>
      <c r="D114" s="7"/>
      <c r="E114" s="6">
        <f t="shared" si="2"/>
        <v>1000000</v>
      </c>
      <c r="F114" s="6">
        <f t="shared" si="2"/>
        <v>0</v>
      </c>
      <c r="G114" s="94">
        <f>'TB-Jan'!G114+'TB-Feb'!G114+'TB-Mar'!G114+'TB-Apr'!G114+'TB-May'!G114+'TB-Jun'!G114+'TB-Jul'!G114+'TB-Aug'!G114+'TB-Sep'!G114+'TB-Oct'!G114+'TB-Nov'!G114+'TB-Dec'!G114</f>
        <v>1000000</v>
      </c>
      <c r="H114" s="94">
        <f>'TB-Jan'!H114+'TB-Feb'!H114+'TB-Mar'!H114+'TB-Apr'!H114+'TB-May'!H114+'TB-Jun'!H114+'TB-Jul'!H114+'TB-Aug'!H114+'TB-Sep'!H114+'TB-Oct'!H114+'TB-Nov'!H114+'TB-Dec'!H114</f>
        <v>0</v>
      </c>
      <c r="I114" s="95">
        <f>'TB-Jan'!I114+'TB-Feb'!I114+'TB-Mar'!I114+'TB-Apr'!I114+'TB-May'!I114+'TB-Jun'!I114+'TB-Jul'!I114+'TB-Aug'!I114+'TB-Sep'!I114+'TB-Oct'!I114+'TB-Nov'!I114+'TB-Dec'!I114</f>
        <v>0</v>
      </c>
      <c r="J114" s="95">
        <f>'TB-Jan'!J114+'TB-Feb'!J114+'TB-Mar'!J114+'TB-Apr'!J114+'TB-May'!J114+'TB-Jun'!J114+'TB-Jul'!J114+'TB-Aug'!J114+'TB-Sep'!J114+'TB-Oct'!J114+'TB-Nov'!J114+'TB-Dec'!J114</f>
        <v>0</v>
      </c>
      <c r="K114" s="96">
        <f>'TB-Jan'!K114+'TB-Feb'!K114+'TB-Mar'!K114+'TB-Apr'!K114+'TB-May'!K114+'TB-Jun'!K114+'TB-Jul'!K114+'TB-Aug'!K114+'TB-Sep'!K114+'TB-Oct'!K114+'TB-Nov'!K114+'TB-Dec'!K114</f>
        <v>0</v>
      </c>
      <c r="L114" s="96">
        <f>'TB-Jan'!L114+'TB-Feb'!L114+'TB-Mar'!L114+'TB-Apr'!L114+'TB-May'!L114+'TB-Jun'!L114+'TB-Jul'!L114+'TB-Aug'!L114+'TB-Sep'!L114+'TB-Oct'!L114+'TB-Nov'!L114+'TB-Dec'!L114</f>
        <v>0</v>
      </c>
      <c r="M114" s="97">
        <f>'TB-Jan'!M114+'TB-Feb'!M114+'TB-Mar'!M114+'TB-Apr'!M114+'TB-May'!M114+'TB-Jun'!M114+'TB-Jul'!M114+'TB-Aug'!M114+'TB-Sep'!M114+'TB-Oct'!M114+'TB-Nov'!M114+'TB-Dec'!M114</f>
        <v>0</v>
      </c>
      <c r="N114" s="97">
        <f>'TB-Jan'!N114+'TB-Feb'!N114+'TB-Mar'!N114+'TB-Apr'!N114+'TB-May'!N114+'TB-Jun'!N114+'TB-Jul'!N114+'TB-Aug'!N114+'TB-Sep'!N114+'TB-Oct'!N114+'TB-Nov'!N114+'TB-Dec'!N114</f>
        <v>0</v>
      </c>
    </row>
    <row r="115" spans="1:14" ht="28.5" hidden="1">
      <c r="A115" s="8" t="s">
        <v>188</v>
      </c>
      <c r="B115" s="4" t="s">
        <v>189</v>
      </c>
      <c r="C115" s="7"/>
      <c r="D115" s="7">
        <f>F115-E115</f>
        <v>0</v>
      </c>
      <c r="E115" s="6">
        <f t="shared" si="2"/>
        <v>0</v>
      </c>
      <c r="F115" s="6">
        <f t="shared" si="2"/>
        <v>0</v>
      </c>
      <c r="G115" s="94">
        <f>'TB-Jan'!G115+'TB-Feb'!G115+'TB-Mar'!G115+'TB-Apr'!G115+'TB-May'!G115+'TB-Jun'!G115+'TB-Jul'!G115+'TB-Aug'!G115+'TB-Sep'!G115+'TB-Oct'!G115+'TB-Nov'!G115+'TB-Dec'!G115</f>
        <v>0</v>
      </c>
      <c r="H115" s="94">
        <f>'TB-Jan'!H115+'TB-Feb'!H115+'TB-Mar'!H115+'TB-Apr'!H115+'TB-May'!H115+'TB-Jun'!H115+'TB-Jul'!H115+'TB-Aug'!H115+'TB-Sep'!H115+'TB-Oct'!H115+'TB-Nov'!H115+'TB-Dec'!H115</f>
        <v>0</v>
      </c>
      <c r="I115" s="95">
        <f>'TB-Jan'!I115+'TB-Feb'!I115+'TB-Mar'!I115+'TB-Apr'!I115+'TB-May'!I115+'TB-Jun'!I115+'TB-Jul'!I115+'TB-Aug'!I115+'TB-Sep'!I115+'TB-Oct'!I115+'TB-Nov'!I115+'TB-Dec'!I115</f>
        <v>0</v>
      </c>
      <c r="J115" s="95">
        <f>'TB-Jan'!J115+'TB-Feb'!J115+'TB-Mar'!J115+'TB-Apr'!J115+'TB-May'!J115+'TB-Jun'!J115+'TB-Jul'!J115+'TB-Aug'!J115+'TB-Sep'!J115+'TB-Oct'!J115+'TB-Nov'!J115+'TB-Dec'!J115</f>
        <v>0</v>
      </c>
      <c r="K115" s="96">
        <f>'TB-Jan'!K115+'TB-Feb'!K115+'TB-Mar'!K115+'TB-Apr'!K115+'TB-May'!K115+'TB-Jun'!K115+'TB-Jul'!K115+'TB-Aug'!K115+'TB-Sep'!K115+'TB-Oct'!K115+'TB-Nov'!K115+'TB-Dec'!K115</f>
        <v>0</v>
      </c>
      <c r="L115" s="96">
        <f>'TB-Jan'!L115+'TB-Feb'!L115+'TB-Mar'!L115+'TB-Apr'!L115+'TB-May'!L115+'TB-Jun'!L115+'TB-Jul'!L115+'TB-Aug'!L115+'TB-Sep'!L115+'TB-Oct'!L115+'TB-Nov'!L115+'TB-Dec'!L115</f>
        <v>0</v>
      </c>
      <c r="M115" s="97">
        <f>'TB-Jan'!M115+'TB-Feb'!M115+'TB-Mar'!M115+'TB-Apr'!M115+'TB-May'!M115+'TB-Jun'!M115+'TB-Jul'!M115+'TB-Aug'!M115+'TB-Sep'!M115+'TB-Oct'!M115+'TB-Nov'!M115+'TB-Dec'!M115</f>
        <v>0</v>
      </c>
      <c r="N115" s="97">
        <f>'TB-Jan'!N115+'TB-Feb'!N115+'TB-Mar'!N115+'TB-Apr'!N115+'TB-May'!N115+'TB-Jun'!N115+'TB-Jul'!N115+'TB-Aug'!N115+'TB-Sep'!N115+'TB-Oct'!N115+'TB-Nov'!N115+'TB-Dec'!N115</f>
        <v>0</v>
      </c>
    </row>
    <row r="116" spans="1:14" hidden="1">
      <c r="A116" s="8" t="s">
        <v>190</v>
      </c>
      <c r="B116" s="4" t="s">
        <v>191</v>
      </c>
      <c r="C116" s="7">
        <f>E116-F116</f>
        <v>0</v>
      </c>
      <c r="D116" s="7"/>
      <c r="E116" s="6">
        <f t="shared" si="2"/>
        <v>0</v>
      </c>
      <c r="F116" s="6">
        <f t="shared" si="2"/>
        <v>0</v>
      </c>
      <c r="G116" s="94">
        <f>'TB-Jan'!G116+'TB-Feb'!G116+'TB-Mar'!G116+'TB-Apr'!G116+'TB-May'!G116+'TB-Jun'!G116+'TB-Jul'!G116+'TB-Aug'!G116+'TB-Sep'!G116+'TB-Oct'!G116+'TB-Nov'!G116+'TB-Dec'!G116</f>
        <v>0</v>
      </c>
      <c r="H116" s="94">
        <f>'TB-Jan'!H116+'TB-Feb'!H116+'TB-Mar'!H116+'TB-Apr'!H116+'TB-May'!H116+'TB-Jun'!H116+'TB-Jul'!H116+'TB-Aug'!H116+'TB-Sep'!H116+'TB-Oct'!H116+'TB-Nov'!H116+'TB-Dec'!H116</f>
        <v>0</v>
      </c>
      <c r="I116" s="95">
        <f>'TB-Jan'!I116+'TB-Feb'!I116+'TB-Mar'!I116+'TB-Apr'!I116+'TB-May'!I116+'TB-Jun'!I116+'TB-Jul'!I116+'TB-Aug'!I116+'TB-Sep'!I116+'TB-Oct'!I116+'TB-Nov'!I116+'TB-Dec'!I116</f>
        <v>0</v>
      </c>
      <c r="J116" s="95">
        <f>'TB-Jan'!J116+'TB-Feb'!J116+'TB-Mar'!J116+'TB-Apr'!J116+'TB-May'!J116+'TB-Jun'!J116+'TB-Jul'!J116+'TB-Aug'!J116+'TB-Sep'!J116+'TB-Oct'!J116+'TB-Nov'!J116+'TB-Dec'!J116</f>
        <v>0</v>
      </c>
      <c r="K116" s="96">
        <f>'TB-Jan'!K116+'TB-Feb'!K116+'TB-Mar'!K116+'TB-Apr'!K116+'TB-May'!K116+'TB-Jun'!K116+'TB-Jul'!K116+'TB-Aug'!K116+'TB-Sep'!K116+'TB-Oct'!K116+'TB-Nov'!K116+'TB-Dec'!K116</f>
        <v>0</v>
      </c>
      <c r="L116" s="96">
        <f>'TB-Jan'!L116+'TB-Feb'!L116+'TB-Mar'!L116+'TB-Apr'!L116+'TB-May'!L116+'TB-Jun'!L116+'TB-Jul'!L116+'TB-Aug'!L116+'TB-Sep'!L116+'TB-Oct'!L116+'TB-Nov'!L116+'TB-Dec'!L116</f>
        <v>0</v>
      </c>
      <c r="M116" s="97">
        <f>'TB-Jan'!M116+'TB-Feb'!M116+'TB-Mar'!M116+'TB-Apr'!M116+'TB-May'!M116+'TB-Jun'!M116+'TB-Jul'!M116+'TB-Aug'!M116+'TB-Sep'!M116+'TB-Oct'!M116+'TB-Nov'!M116+'TB-Dec'!M116</f>
        <v>0</v>
      </c>
      <c r="N116" s="97">
        <f>'TB-Jan'!N116+'TB-Feb'!N116+'TB-Mar'!N116+'TB-Apr'!N116+'TB-May'!N116+'TB-Jun'!N116+'TB-Jul'!N116+'TB-Aug'!N116+'TB-Sep'!N116+'TB-Oct'!N116+'TB-Nov'!N116+'TB-Dec'!N116</f>
        <v>0</v>
      </c>
    </row>
    <row r="117" spans="1:14" hidden="1">
      <c r="A117" s="8" t="s">
        <v>192</v>
      </c>
      <c r="B117" s="4" t="s">
        <v>193</v>
      </c>
      <c r="C117" s="7"/>
      <c r="D117" s="7">
        <f>F117-E117</f>
        <v>0</v>
      </c>
      <c r="E117" s="6">
        <f t="shared" si="2"/>
        <v>0</v>
      </c>
      <c r="F117" s="6">
        <f t="shared" si="2"/>
        <v>0</v>
      </c>
      <c r="G117" s="94">
        <f>'TB-Jan'!G117+'TB-Feb'!G117+'TB-Mar'!G117+'TB-Apr'!G117+'TB-May'!G117+'TB-Jun'!G117+'TB-Jul'!G117+'TB-Aug'!G117+'TB-Sep'!G117+'TB-Oct'!G117+'TB-Nov'!G117+'TB-Dec'!G117</f>
        <v>0</v>
      </c>
      <c r="H117" s="94">
        <f>'TB-Jan'!H117+'TB-Feb'!H117+'TB-Mar'!H117+'TB-Apr'!H117+'TB-May'!H117+'TB-Jun'!H117+'TB-Jul'!H117+'TB-Aug'!H117+'TB-Sep'!H117+'TB-Oct'!H117+'TB-Nov'!H117+'TB-Dec'!H117</f>
        <v>0</v>
      </c>
      <c r="I117" s="95">
        <f>'TB-Jan'!I117+'TB-Feb'!I117+'TB-Mar'!I117+'TB-Apr'!I117+'TB-May'!I117+'TB-Jun'!I117+'TB-Jul'!I117+'TB-Aug'!I117+'TB-Sep'!I117+'TB-Oct'!I117+'TB-Nov'!I117+'TB-Dec'!I117</f>
        <v>0</v>
      </c>
      <c r="J117" s="95">
        <f>'TB-Jan'!J117+'TB-Feb'!J117+'TB-Mar'!J117+'TB-Apr'!J117+'TB-May'!J117+'TB-Jun'!J117+'TB-Jul'!J117+'TB-Aug'!J117+'TB-Sep'!J117+'TB-Oct'!J117+'TB-Nov'!J117+'TB-Dec'!J117</f>
        <v>0</v>
      </c>
      <c r="K117" s="96">
        <f>'TB-Jan'!K117+'TB-Feb'!K117+'TB-Mar'!K117+'TB-Apr'!K117+'TB-May'!K117+'TB-Jun'!K117+'TB-Jul'!K117+'TB-Aug'!K117+'TB-Sep'!K117+'TB-Oct'!K117+'TB-Nov'!K117+'TB-Dec'!K117</f>
        <v>0</v>
      </c>
      <c r="L117" s="96">
        <f>'TB-Jan'!L117+'TB-Feb'!L117+'TB-Mar'!L117+'TB-Apr'!L117+'TB-May'!L117+'TB-Jun'!L117+'TB-Jul'!L117+'TB-Aug'!L117+'TB-Sep'!L117+'TB-Oct'!L117+'TB-Nov'!L117+'TB-Dec'!L117</f>
        <v>0</v>
      </c>
      <c r="M117" s="97">
        <f>'TB-Jan'!M117+'TB-Feb'!M117+'TB-Mar'!M117+'TB-Apr'!M117+'TB-May'!M117+'TB-Jun'!M117+'TB-Jul'!M117+'TB-Aug'!M117+'TB-Sep'!M117+'TB-Oct'!M117+'TB-Nov'!M117+'TB-Dec'!M117</f>
        <v>0</v>
      </c>
      <c r="N117" s="97">
        <f>'TB-Jan'!N117+'TB-Feb'!N117+'TB-Mar'!N117+'TB-Apr'!N117+'TB-May'!N117+'TB-Jun'!N117+'TB-Jul'!N117+'TB-Aug'!N117+'TB-Sep'!N117+'TB-Oct'!N117+'TB-Nov'!N117+'TB-Dec'!N117</f>
        <v>0</v>
      </c>
    </row>
    <row r="118" spans="1:14" hidden="1">
      <c r="A118" s="8" t="s">
        <v>194</v>
      </c>
      <c r="B118" s="4" t="s">
        <v>195</v>
      </c>
      <c r="C118" s="7">
        <f>E118-F118</f>
        <v>0</v>
      </c>
      <c r="D118" s="7"/>
      <c r="E118" s="6">
        <f t="shared" si="2"/>
        <v>0</v>
      </c>
      <c r="F118" s="6">
        <f t="shared" si="2"/>
        <v>0</v>
      </c>
      <c r="G118" s="94">
        <f>'TB-Jan'!G118+'TB-Feb'!G118+'TB-Mar'!G118+'TB-Apr'!G118+'TB-May'!G118+'TB-Jun'!G118+'TB-Jul'!G118+'TB-Aug'!G118+'TB-Sep'!G118+'TB-Oct'!G118+'TB-Nov'!G118+'TB-Dec'!G118</f>
        <v>0</v>
      </c>
      <c r="H118" s="94">
        <f>'TB-Jan'!H118+'TB-Feb'!H118+'TB-Mar'!H118+'TB-Apr'!H118+'TB-May'!H118+'TB-Jun'!H118+'TB-Jul'!H118+'TB-Aug'!H118+'TB-Sep'!H118+'TB-Oct'!H118+'TB-Nov'!H118+'TB-Dec'!H118</f>
        <v>0</v>
      </c>
      <c r="I118" s="95">
        <f>'TB-Jan'!I118+'TB-Feb'!I118+'TB-Mar'!I118+'TB-Apr'!I118+'TB-May'!I118+'TB-Jun'!I118+'TB-Jul'!I118+'TB-Aug'!I118+'TB-Sep'!I118+'TB-Oct'!I118+'TB-Nov'!I118+'TB-Dec'!I118</f>
        <v>0</v>
      </c>
      <c r="J118" s="95">
        <f>'TB-Jan'!J118+'TB-Feb'!J118+'TB-Mar'!J118+'TB-Apr'!J118+'TB-May'!J118+'TB-Jun'!J118+'TB-Jul'!J118+'TB-Aug'!J118+'TB-Sep'!J118+'TB-Oct'!J118+'TB-Nov'!J118+'TB-Dec'!J118</f>
        <v>0</v>
      </c>
      <c r="K118" s="96">
        <f>'TB-Jan'!K118+'TB-Feb'!K118+'TB-Mar'!K118+'TB-Apr'!K118+'TB-May'!K118+'TB-Jun'!K118+'TB-Jul'!K118+'TB-Aug'!K118+'TB-Sep'!K118+'TB-Oct'!K118+'TB-Nov'!K118+'TB-Dec'!K118</f>
        <v>0</v>
      </c>
      <c r="L118" s="96">
        <f>'TB-Jan'!L118+'TB-Feb'!L118+'TB-Mar'!L118+'TB-Apr'!L118+'TB-May'!L118+'TB-Jun'!L118+'TB-Jul'!L118+'TB-Aug'!L118+'TB-Sep'!L118+'TB-Oct'!L118+'TB-Nov'!L118+'TB-Dec'!L118</f>
        <v>0</v>
      </c>
      <c r="M118" s="97">
        <f>'TB-Jan'!M118+'TB-Feb'!M118+'TB-Mar'!M118+'TB-Apr'!M118+'TB-May'!M118+'TB-Jun'!M118+'TB-Jul'!M118+'TB-Aug'!M118+'TB-Sep'!M118+'TB-Oct'!M118+'TB-Nov'!M118+'TB-Dec'!M118</f>
        <v>0</v>
      </c>
      <c r="N118" s="97">
        <f>'TB-Jan'!N118+'TB-Feb'!N118+'TB-Mar'!N118+'TB-Apr'!N118+'TB-May'!N118+'TB-Jun'!N118+'TB-Jul'!N118+'TB-Aug'!N118+'TB-Sep'!N118+'TB-Oct'!N118+'TB-Nov'!N118+'TB-Dec'!N118</f>
        <v>0</v>
      </c>
    </row>
    <row r="119" spans="1:14" ht="28.5" hidden="1">
      <c r="A119" s="8" t="s">
        <v>196</v>
      </c>
      <c r="B119" s="4" t="s">
        <v>197</v>
      </c>
      <c r="C119" s="7"/>
      <c r="D119" s="7">
        <f>F119-E119</f>
        <v>0</v>
      </c>
      <c r="E119" s="6">
        <f t="shared" si="2"/>
        <v>0</v>
      </c>
      <c r="F119" s="6">
        <f t="shared" si="2"/>
        <v>0</v>
      </c>
      <c r="G119" s="94">
        <f>'TB-Jan'!G119+'TB-Feb'!G119+'TB-Mar'!G119+'TB-Apr'!G119+'TB-May'!G119+'TB-Jun'!G119+'TB-Jul'!G119+'TB-Aug'!G119+'TB-Sep'!G119+'TB-Oct'!G119+'TB-Nov'!G119+'TB-Dec'!G119</f>
        <v>0</v>
      </c>
      <c r="H119" s="94">
        <f>'TB-Jan'!H119+'TB-Feb'!H119+'TB-Mar'!H119+'TB-Apr'!H119+'TB-May'!H119+'TB-Jun'!H119+'TB-Jul'!H119+'TB-Aug'!H119+'TB-Sep'!H119+'TB-Oct'!H119+'TB-Nov'!H119+'TB-Dec'!H119</f>
        <v>0</v>
      </c>
      <c r="I119" s="95">
        <f>'TB-Jan'!I119+'TB-Feb'!I119+'TB-Mar'!I119+'TB-Apr'!I119+'TB-May'!I119+'TB-Jun'!I119+'TB-Jul'!I119+'TB-Aug'!I119+'TB-Sep'!I119+'TB-Oct'!I119+'TB-Nov'!I119+'TB-Dec'!I119</f>
        <v>0</v>
      </c>
      <c r="J119" s="95">
        <f>'TB-Jan'!J119+'TB-Feb'!J119+'TB-Mar'!J119+'TB-Apr'!J119+'TB-May'!J119+'TB-Jun'!J119+'TB-Jul'!J119+'TB-Aug'!J119+'TB-Sep'!J119+'TB-Oct'!J119+'TB-Nov'!J119+'TB-Dec'!J119</f>
        <v>0</v>
      </c>
      <c r="K119" s="96">
        <f>'TB-Jan'!K119+'TB-Feb'!K119+'TB-Mar'!K119+'TB-Apr'!K119+'TB-May'!K119+'TB-Jun'!K119+'TB-Jul'!K119+'TB-Aug'!K119+'TB-Sep'!K119+'TB-Oct'!K119+'TB-Nov'!K119+'TB-Dec'!K119</f>
        <v>0</v>
      </c>
      <c r="L119" s="96">
        <f>'TB-Jan'!L119+'TB-Feb'!L119+'TB-Mar'!L119+'TB-Apr'!L119+'TB-May'!L119+'TB-Jun'!L119+'TB-Jul'!L119+'TB-Aug'!L119+'TB-Sep'!L119+'TB-Oct'!L119+'TB-Nov'!L119+'TB-Dec'!L119</f>
        <v>0</v>
      </c>
      <c r="M119" s="97">
        <f>'TB-Jan'!M119+'TB-Feb'!M119+'TB-Mar'!M119+'TB-Apr'!M119+'TB-May'!M119+'TB-Jun'!M119+'TB-Jul'!M119+'TB-Aug'!M119+'TB-Sep'!M119+'TB-Oct'!M119+'TB-Nov'!M119+'TB-Dec'!M119</f>
        <v>0</v>
      </c>
      <c r="N119" s="97">
        <f>'TB-Jan'!N119+'TB-Feb'!N119+'TB-Mar'!N119+'TB-Apr'!N119+'TB-May'!N119+'TB-Jun'!N119+'TB-Jul'!N119+'TB-Aug'!N119+'TB-Sep'!N119+'TB-Oct'!N119+'TB-Nov'!N119+'TB-Dec'!N119</f>
        <v>0</v>
      </c>
    </row>
    <row r="120" spans="1:14" hidden="1">
      <c r="A120" s="8" t="s">
        <v>198</v>
      </c>
      <c r="B120" s="4" t="s">
        <v>199</v>
      </c>
      <c r="C120" s="7">
        <f>E120-F120</f>
        <v>0</v>
      </c>
      <c r="D120" s="7"/>
      <c r="E120" s="6">
        <f t="shared" si="2"/>
        <v>0</v>
      </c>
      <c r="F120" s="6">
        <f t="shared" si="2"/>
        <v>0</v>
      </c>
      <c r="G120" s="94">
        <f>'TB-Jan'!G120+'TB-Feb'!G120+'TB-Mar'!G120+'TB-Apr'!G120+'TB-May'!G120+'TB-Jun'!G120+'TB-Jul'!G120+'TB-Aug'!G120+'TB-Sep'!G120+'TB-Oct'!G120+'TB-Nov'!G120+'TB-Dec'!G120</f>
        <v>0</v>
      </c>
      <c r="H120" s="94">
        <f>'TB-Jan'!H120+'TB-Feb'!H120+'TB-Mar'!H120+'TB-Apr'!H120+'TB-May'!H120+'TB-Jun'!H120+'TB-Jul'!H120+'TB-Aug'!H120+'TB-Sep'!H120+'TB-Oct'!H120+'TB-Nov'!H120+'TB-Dec'!H120</f>
        <v>0</v>
      </c>
      <c r="I120" s="95">
        <f>'TB-Jan'!I120+'TB-Feb'!I120+'TB-Mar'!I120+'TB-Apr'!I120+'TB-May'!I120+'TB-Jun'!I120+'TB-Jul'!I120+'TB-Aug'!I120+'TB-Sep'!I120+'TB-Oct'!I120+'TB-Nov'!I120+'TB-Dec'!I120</f>
        <v>0</v>
      </c>
      <c r="J120" s="95">
        <f>'TB-Jan'!J120+'TB-Feb'!J120+'TB-Mar'!J120+'TB-Apr'!J120+'TB-May'!J120+'TB-Jun'!J120+'TB-Jul'!J120+'TB-Aug'!J120+'TB-Sep'!J120+'TB-Oct'!J120+'TB-Nov'!J120+'TB-Dec'!J120</f>
        <v>0</v>
      </c>
      <c r="K120" s="96">
        <f>'TB-Jan'!K120+'TB-Feb'!K120+'TB-Mar'!K120+'TB-Apr'!K120+'TB-May'!K120+'TB-Jun'!K120+'TB-Jul'!K120+'TB-Aug'!K120+'TB-Sep'!K120+'TB-Oct'!K120+'TB-Nov'!K120+'TB-Dec'!K120</f>
        <v>0</v>
      </c>
      <c r="L120" s="96">
        <f>'TB-Jan'!L120+'TB-Feb'!L120+'TB-Mar'!L120+'TB-Apr'!L120+'TB-May'!L120+'TB-Jun'!L120+'TB-Jul'!L120+'TB-Aug'!L120+'TB-Sep'!L120+'TB-Oct'!L120+'TB-Nov'!L120+'TB-Dec'!L120</f>
        <v>0</v>
      </c>
      <c r="M120" s="97">
        <f>'TB-Jan'!M120+'TB-Feb'!M120+'TB-Mar'!M120+'TB-Apr'!M120+'TB-May'!M120+'TB-Jun'!M120+'TB-Jul'!M120+'TB-Aug'!M120+'TB-Sep'!M120+'TB-Oct'!M120+'TB-Nov'!M120+'TB-Dec'!M120</f>
        <v>0</v>
      </c>
      <c r="N120" s="97">
        <f>'TB-Jan'!N120+'TB-Feb'!N120+'TB-Mar'!N120+'TB-Apr'!N120+'TB-May'!N120+'TB-Jun'!N120+'TB-Jul'!N120+'TB-Aug'!N120+'TB-Sep'!N120+'TB-Oct'!N120+'TB-Nov'!N120+'TB-Dec'!N120</f>
        <v>0</v>
      </c>
    </row>
    <row r="121" spans="1:14" ht="28.5" hidden="1">
      <c r="A121" s="8" t="s">
        <v>200</v>
      </c>
      <c r="B121" s="4" t="s">
        <v>201</v>
      </c>
      <c r="C121" s="7"/>
      <c r="D121" s="7">
        <f>F121-E121</f>
        <v>0</v>
      </c>
      <c r="E121" s="6">
        <f t="shared" si="2"/>
        <v>0</v>
      </c>
      <c r="F121" s="6">
        <f t="shared" si="2"/>
        <v>0</v>
      </c>
      <c r="G121" s="94">
        <f>'TB-Jan'!G121+'TB-Feb'!G121+'TB-Mar'!G121+'TB-Apr'!G121+'TB-May'!G121+'TB-Jun'!G121+'TB-Jul'!G121+'TB-Aug'!G121+'TB-Sep'!G121+'TB-Oct'!G121+'TB-Nov'!G121+'TB-Dec'!G121</f>
        <v>0</v>
      </c>
      <c r="H121" s="94">
        <f>'TB-Jan'!H121+'TB-Feb'!H121+'TB-Mar'!H121+'TB-Apr'!H121+'TB-May'!H121+'TB-Jun'!H121+'TB-Jul'!H121+'TB-Aug'!H121+'TB-Sep'!H121+'TB-Oct'!H121+'TB-Nov'!H121+'TB-Dec'!H121</f>
        <v>0</v>
      </c>
      <c r="I121" s="95">
        <f>'TB-Jan'!I121+'TB-Feb'!I121+'TB-Mar'!I121+'TB-Apr'!I121+'TB-May'!I121+'TB-Jun'!I121+'TB-Jul'!I121+'TB-Aug'!I121+'TB-Sep'!I121+'TB-Oct'!I121+'TB-Nov'!I121+'TB-Dec'!I121</f>
        <v>0</v>
      </c>
      <c r="J121" s="95">
        <f>'TB-Jan'!J121+'TB-Feb'!J121+'TB-Mar'!J121+'TB-Apr'!J121+'TB-May'!J121+'TB-Jun'!J121+'TB-Jul'!J121+'TB-Aug'!J121+'TB-Sep'!J121+'TB-Oct'!J121+'TB-Nov'!J121+'TB-Dec'!J121</f>
        <v>0</v>
      </c>
      <c r="K121" s="96">
        <f>'TB-Jan'!K121+'TB-Feb'!K121+'TB-Mar'!K121+'TB-Apr'!K121+'TB-May'!K121+'TB-Jun'!K121+'TB-Jul'!K121+'TB-Aug'!K121+'TB-Sep'!K121+'TB-Oct'!K121+'TB-Nov'!K121+'TB-Dec'!K121</f>
        <v>0</v>
      </c>
      <c r="L121" s="96">
        <f>'TB-Jan'!L121+'TB-Feb'!L121+'TB-Mar'!L121+'TB-Apr'!L121+'TB-May'!L121+'TB-Jun'!L121+'TB-Jul'!L121+'TB-Aug'!L121+'TB-Sep'!L121+'TB-Oct'!L121+'TB-Nov'!L121+'TB-Dec'!L121</f>
        <v>0</v>
      </c>
      <c r="M121" s="97">
        <f>'TB-Jan'!M121+'TB-Feb'!M121+'TB-Mar'!M121+'TB-Apr'!M121+'TB-May'!M121+'TB-Jun'!M121+'TB-Jul'!M121+'TB-Aug'!M121+'TB-Sep'!M121+'TB-Oct'!M121+'TB-Nov'!M121+'TB-Dec'!M121</f>
        <v>0</v>
      </c>
      <c r="N121" s="97">
        <f>'TB-Jan'!N121+'TB-Feb'!N121+'TB-Mar'!N121+'TB-Apr'!N121+'TB-May'!N121+'TB-Jun'!N121+'TB-Jul'!N121+'TB-Aug'!N121+'TB-Sep'!N121+'TB-Oct'!N121+'TB-Nov'!N121+'TB-Dec'!N121</f>
        <v>0</v>
      </c>
    </row>
    <row r="122" spans="1:14" hidden="1">
      <c r="A122" s="8" t="s">
        <v>202</v>
      </c>
      <c r="B122" s="4" t="s">
        <v>203</v>
      </c>
      <c r="C122" s="7">
        <f>E122-F122</f>
        <v>0</v>
      </c>
      <c r="D122" s="7"/>
      <c r="E122" s="6">
        <f t="shared" si="2"/>
        <v>0</v>
      </c>
      <c r="F122" s="6">
        <f t="shared" si="2"/>
        <v>0</v>
      </c>
      <c r="G122" s="94">
        <f>'TB-Jan'!G122+'TB-Feb'!G122+'TB-Mar'!G122+'TB-Apr'!G122+'TB-May'!G122+'TB-Jun'!G122+'TB-Jul'!G122+'TB-Aug'!G122+'TB-Sep'!G122+'TB-Oct'!G122+'TB-Nov'!G122+'TB-Dec'!G122</f>
        <v>0</v>
      </c>
      <c r="H122" s="94">
        <f>'TB-Jan'!H122+'TB-Feb'!H122+'TB-Mar'!H122+'TB-Apr'!H122+'TB-May'!H122+'TB-Jun'!H122+'TB-Jul'!H122+'TB-Aug'!H122+'TB-Sep'!H122+'TB-Oct'!H122+'TB-Nov'!H122+'TB-Dec'!H122</f>
        <v>0</v>
      </c>
      <c r="I122" s="95">
        <f>'TB-Jan'!I122+'TB-Feb'!I122+'TB-Mar'!I122+'TB-Apr'!I122+'TB-May'!I122+'TB-Jun'!I122+'TB-Jul'!I122+'TB-Aug'!I122+'TB-Sep'!I122+'TB-Oct'!I122+'TB-Nov'!I122+'TB-Dec'!I122</f>
        <v>0</v>
      </c>
      <c r="J122" s="95">
        <f>'TB-Jan'!J122+'TB-Feb'!J122+'TB-Mar'!J122+'TB-Apr'!J122+'TB-May'!J122+'TB-Jun'!J122+'TB-Jul'!J122+'TB-Aug'!J122+'TB-Sep'!J122+'TB-Oct'!J122+'TB-Nov'!J122+'TB-Dec'!J122</f>
        <v>0</v>
      </c>
      <c r="K122" s="96">
        <f>'TB-Jan'!K122+'TB-Feb'!K122+'TB-Mar'!K122+'TB-Apr'!K122+'TB-May'!K122+'TB-Jun'!K122+'TB-Jul'!K122+'TB-Aug'!K122+'TB-Sep'!K122+'TB-Oct'!K122+'TB-Nov'!K122+'TB-Dec'!K122</f>
        <v>0</v>
      </c>
      <c r="L122" s="96">
        <f>'TB-Jan'!L122+'TB-Feb'!L122+'TB-Mar'!L122+'TB-Apr'!L122+'TB-May'!L122+'TB-Jun'!L122+'TB-Jul'!L122+'TB-Aug'!L122+'TB-Sep'!L122+'TB-Oct'!L122+'TB-Nov'!L122+'TB-Dec'!L122</f>
        <v>0</v>
      </c>
      <c r="M122" s="97">
        <f>'TB-Jan'!M122+'TB-Feb'!M122+'TB-Mar'!M122+'TB-Apr'!M122+'TB-May'!M122+'TB-Jun'!M122+'TB-Jul'!M122+'TB-Aug'!M122+'TB-Sep'!M122+'TB-Oct'!M122+'TB-Nov'!M122+'TB-Dec'!M122</f>
        <v>0</v>
      </c>
      <c r="N122" s="97">
        <f>'TB-Jan'!N122+'TB-Feb'!N122+'TB-Mar'!N122+'TB-Apr'!N122+'TB-May'!N122+'TB-Jun'!N122+'TB-Jul'!N122+'TB-Aug'!N122+'TB-Sep'!N122+'TB-Oct'!N122+'TB-Nov'!N122+'TB-Dec'!N122</f>
        <v>0</v>
      </c>
    </row>
    <row r="123" spans="1:14" ht="28.5" hidden="1">
      <c r="A123" s="8" t="s">
        <v>204</v>
      </c>
      <c r="B123" s="4" t="s">
        <v>205</v>
      </c>
      <c r="C123" s="7"/>
      <c r="D123" s="7">
        <f>F123-E123</f>
        <v>0</v>
      </c>
      <c r="E123" s="6">
        <f t="shared" si="2"/>
        <v>0</v>
      </c>
      <c r="F123" s="6">
        <f t="shared" si="2"/>
        <v>0</v>
      </c>
      <c r="G123" s="94">
        <f>'TB-Jan'!G123+'TB-Feb'!G123+'TB-Mar'!G123+'TB-Apr'!G123+'TB-May'!G123+'TB-Jun'!G123+'TB-Jul'!G123+'TB-Aug'!G123+'TB-Sep'!G123+'TB-Oct'!G123+'TB-Nov'!G123+'TB-Dec'!G123</f>
        <v>0</v>
      </c>
      <c r="H123" s="94">
        <f>'TB-Jan'!H123+'TB-Feb'!H123+'TB-Mar'!H123+'TB-Apr'!H123+'TB-May'!H123+'TB-Jun'!H123+'TB-Jul'!H123+'TB-Aug'!H123+'TB-Sep'!H123+'TB-Oct'!H123+'TB-Nov'!H123+'TB-Dec'!H123</f>
        <v>0</v>
      </c>
      <c r="I123" s="95">
        <f>'TB-Jan'!I123+'TB-Feb'!I123+'TB-Mar'!I123+'TB-Apr'!I123+'TB-May'!I123+'TB-Jun'!I123+'TB-Jul'!I123+'TB-Aug'!I123+'TB-Sep'!I123+'TB-Oct'!I123+'TB-Nov'!I123+'TB-Dec'!I123</f>
        <v>0</v>
      </c>
      <c r="J123" s="95">
        <f>'TB-Jan'!J123+'TB-Feb'!J123+'TB-Mar'!J123+'TB-Apr'!J123+'TB-May'!J123+'TB-Jun'!J123+'TB-Jul'!J123+'TB-Aug'!J123+'TB-Sep'!J123+'TB-Oct'!J123+'TB-Nov'!J123+'TB-Dec'!J123</f>
        <v>0</v>
      </c>
      <c r="K123" s="96">
        <f>'TB-Jan'!K123+'TB-Feb'!K123+'TB-Mar'!K123+'TB-Apr'!K123+'TB-May'!K123+'TB-Jun'!K123+'TB-Jul'!K123+'TB-Aug'!K123+'TB-Sep'!K123+'TB-Oct'!K123+'TB-Nov'!K123+'TB-Dec'!K123</f>
        <v>0</v>
      </c>
      <c r="L123" s="96">
        <f>'TB-Jan'!L123+'TB-Feb'!L123+'TB-Mar'!L123+'TB-Apr'!L123+'TB-May'!L123+'TB-Jun'!L123+'TB-Jul'!L123+'TB-Aug'!L123+'TB-Sep'!L123+'TB-Oct'!L123+'TB-Nov'!L123+'TB-Dec'!L123</f>
        <v>0</v>
      </c>
      <c r="M123" s="97">
        <f>'TB-Jan'!M123+'TB-Feb'!M123+'TB-Mar'!M123+'TB-Apr'!M123+'TB-May'!M123+'TB-Jun'!M123+'TB-Jul'!M123+'TB-Aug'!M123+'TB-Sep'!M123+'TB-Oct'!M123+'TB-Nov'!M123+'TB-Dec'!M123</f>
        <v>0</v>
      </c>
      <c r="N123" s="97">
        <f>'TB-Jan'!N123+'TB-Feb'!N123+'TB-Mar'!N123+'TB-Apr'!N123+'TB-May'!N123+'TB-Jun'!N123+'TB-Jul'!N123+'TB-Aug'!N123+'TB-Sep'!N123+'TB-Oct'!N123+'TB-Nov'!N123+'TB-Dec'!N123</f>
        <v>0</v>
      </c>
    </row>
    <row r="124" spans="1:14" hidden="1">
      <c r="A124" s="8" t="s">
        <v>206</v>
      </c>
      <c r="B124" s="4" t="s">
        <v>207</v>
      </c>
      <c r="C124" s="7">
        <f>E124-F124</f>
        <v>0</v>
      </c>
      <c r="D124" s="7"/>
      <c r="E124" s="6">
        <f t="shared" si="2"/>
        <v>0</v>
      </c>
      <c r="F124" s="6">
        <f t="shared" si="2"/>
        <v>0</v>
      </c>
      <c r="G124" s="94">
        <f>'TB-Jan'!G124+'TB-Feb'!G124+'TB-Mar'!G124+'TB-Apr'!G124+'TB-May'!G124+'TB-Jun'!G124+'TB-Jul'!G124+'TB-Aug'!G124+'TB-Sep'!G124+'TB-Oct'!G124+'TB-Nov'!G124+'TB-Dec'!G124</f>
        <v>0</v>
      </c>
      <c r="H124" s="94">
        <f>'TB-Jan'!H124+'TB-Feb'!H124+'TB-Mar'!H124+'TB-Apr'!H124+'TB-May'!H124+'TB-Jun'!H124+'TB-Jul'!H124+'TB-Aug'!H124+'TB-Sep'!H124+'TB-Oct'!H124+'TB-Nov'!H124+'TB-Dec'!H124</f>
        <v>0</v>
      </c>
      <c r="I124" s="95">
        <f>'TB-Jan'!I124+'TB-Feb'!I124+'TB-Mar'!I124+'TB-Apr'!I124+'TB-May'!I124+'TB-Jun'!I124+'TB-Jul'!I124+'TB-Aug'!I124+'TB-Sep'!I124+'TB-Oct'!I124+'TB-Nov'!I124+'TB-Dec'!I124</f>
        <v>0</v>
      </c>
      <c r="J124" s="95">
        <f>'TB-Jan'!J124+'TB-Feb'!J124+'TB-Mar'!J124+'TB-Apr'!J124+'TB-May'!J124+'TB-Jun'!J124+'TB-Jul'!J124+'TB-Aug'!J124+'TB-Sep'!J124+'TB-Oct'!J124+'TB-Nov'!J124+'TB-Dec'!J124</f>
        <v>0</v>
      </c>
      <c r="K124" s="96">
        <f>'TB-Jan'!K124+'TB-Feb'!K124+'TB-Mar'!K124+'TB-Apr'!K124+'TB-May'!K124+'TB-Jun'!K124+'TB-Jul'!K124+'TB-Aug'!K124+'TB-Sep'!K124+'TB-Oct'!K124+'TB-Nov'!K124+'TB-Dec'!K124</f>
        <v>0</v>
      </c>
      <c r="L124" s="96">
        <f>'TB-Jan'!L124+'TB-Feb'!L124+'TB-Mar'!L124+'TB-Apr'!L124+'TB-May'!L124+'TB-Jun'!L124+'TB-Jul'!L124+'TB-Aug'!L124+'TB-Sep'!L124+'TB-Oct'!L124+'TB-Nov'!L124+'TB-Dec'!L124</f>
        <v>0</v>
      </c>
      <c r="M124" s="97">
        <f>'TB-Jan'!M124+'TB-Feb'!M124+'TB-Mar'!M124+'TB-Apr'!M124+'TB-May'!M124+'TB-Jun'!M124+'TB-Jul'!M124+'TB-Aug'!M124+'TB-Sep'!M124+'TB-Oct'!M124+'TB-Nov'!M124+'TB-Dec'!M124</f>
        <v>0</v>
      </c>
      <c r="N124" s="97">
        <f>'TB-Jan'!N124+'TB-Feb'!N124+'TB-Mar'!N124+'TB-Apr'!N124+'TB-May'!N124+'TB-Jun'!N124+'TB-Jul'!N124+'TB-Aug'!N124+'TB-Sep'!N124+'TB-Oct'!N124+'TB-Nov'!N124+'TB-Dec'!N124</f>
        <v>0</v>
      </c>
    </row>
    <row r="125" spans="1:14" hidden="1">
      <c r="A125" s="8" t="s">
        <v>208</v>
      </c>
      <c r="B125" s="4" t="s">
        <v>209</v>
      </c>
      <c r="C125" s="7"/>
      <c r="D125" s="7">
        <f>F125-E125</f>
        <v>0</v>
      </c>
      <c r="E125" s="6">
        <f t="shared" si="2"/>
        <v>0</v>
      </c>
      <c r="F125" s="6">
        <f t="shared" si="2"/>
        <v>0</v>
      </c>
      <c r="G125" s="94">
        <f>'TB-Jan'!G125+'TB-Feb'!G125+'TB-Mar'!G125+'TB-Apr'!G125+'TB-May'!G125+'TB-Jun'!G125+'TB-Jul'!G125+'TB-Aug'!G125+'TB-Sep'!G125+'TB-Oct'!G125+'TB-Nov'!G125+'TB-Dec'!G125</f>
        <v>0</v>
      </c>
      <c r="H125" s="94">
        <f>'TB-Jan'!H125+'TB-Feb'!H125+'TB-Mar'!H125+'TB-Apr'!H125+'TB-May'!H125+'TB-Jun'!H125+'TB-Jul'!H125+'TB-Aug'!H125+'TB-Sep'!H125+'TB-Oct'!H125+'TB-Nov'!H125+'TB-Dec'!H125</f>
        <v>0</v>
      </c>
      <c r="I125" s="95">
        <f>'TB-Jan'!I125+'TB-Feb'!I125+'TB-Mar'!I125+'TB-Apr'!I125+'TB-May'!I125+'TB-Jun'!I125+'TB-Jul'!I125+'TB-Aug'!I125+'TB-Sep'!I125+'TB-Oct'!I125+'TB-Nov'!I125+'TB-Dec'!I125</f>
        <v>0</v>
      </c>
      <c r="J125" s="95">
        <f>'TB-Jan'!J125+'TB-Feb'!J125+'TB-Mar'!J125+'TB-Apr'!J125+'TB-May'!J125+'TB-Jun'!J125+'TB-Jul'!J125+'TB-Aug'!J125+'TB-Sep'!J125+'TB-Oct'!J125+'TB-Nov'!J125+'TB-Dec'!J125</f>
        <v>0</v>
      </c>
      <c r="K125" s="96">
        <f>'TB-Jan'!K125+'TB-Feb'!K125+'TB-Mar'!K125+'TB-Apr'!K125+'TB-May'!K125+'TB-Jun'!K125+'TB-Jul'!K125+'TB-Aug'!K125+'TB-Sep'!K125+'TB-Oct'!K125+'TB-Nov'!K125+'TB-Dec'!K125</f>
        <v>0</v>
      </c>
      <c r="L125" s="96">
        <f>'TB-Jan'!L125+'TB-Feb'!L125+'TB-Mar'!L125+'TB-Apr'!L125+'TB-May'!L125+'TB-Jun'!L125+'TB-Jul'!L125+'TB-Aug'!L125+'TB-Sep'!L125+'TB-Oct'!L125+'TB-Nov'!L125+'TB-Dec'!L125</f>
        <v>0</v>
      </c>
      <c r="M125" s="97">
        <f>'TB-Jan'!M125+'TB-Feb'!M125+'TB-Mar'!M125+'TB-Apr'!M125+'TB-May'!M125+'TB-Jun'!M125+'TB-Jul'!M125+'TB-Aug'!M125+'TB-Sep'!M125+'TB-Oct'!M125+'TB-Nov'!M125+'TB-Dec'!M125</f>
        <v>0</v>
      </c>
      <c r="N125" s="97">
        <f>'TB-Jan'!N125+'TB-Feb'!N125+'TB-Mar'!N125+'TB-Apr'!N125+'TB-May'!N125+'TB-Jun'!N125+'TB-Jul'!N125+'TB-Aug'!N125+'TB-Sep'!N125+'TB-Oct'!N125+'TB-Nov'!N125+'TB-Dec'!N125</f>
        <v>0</v>
      </c>
    </row>
    <row r="126" spans="1:14" hidden="1">
      <c r="A126" s="8" t="s">
        <v>210</v>
      </c>
      <c r="B126" s="4" t="s">
        <v>211</v>
      </c>
      <c r="C126" s="7">
        <f>E126-F126</f>
        <v>0</v>
      </c>
      <c r="D126" s="7"/>
      <c r="E126" s="6">
        <f t="shared" si="2"/>
        <v>0</v>
      </c>
      <c r="F126" s="6">
        <f t="shared" si="2"/>
        <v>0</v>
      </c>
      <c r="G126" s="94">
        <f>'TB-Jan'!G126+'TB-Feb'!G126+'TB-Mar'!G126+'TB-Apr'!G126+'TB-May'!G126+'TB-Jun'!G126+'TB-Jul'!G126+'TB-Aug'!G126+'TB-Sep'!G126+'TB-Oct'!G126+'TB-Nov'!G126+'TB-Dec'!G126</f>
        <v>0</v>
      </c>
      <c r="H126" s="94">
        <f>'TB-Jan'!H126+'TB-Feb'!H126+'TB-Mar'!H126+'TB-Apr'!H126+'TB-May'!H126+'TB-Jun'!H126+'TB-Jul'!H126+'TB-Aug'!H126+'TB-Sep'!H126+'TB-Oct'!H126+'TB-Nov'!H126+'TB-Dec'!H126</f>
        <v>0</v>
      </c>
      <c r="I126" s="95">
        <f>'TB-Jan'!I126+'TB-Feb'!I126+'TB-Mar'!I126+'TB-Apr'!I126+'TB-May'!I126+'TB-Jun'!I126+'TB-Jul'!I126+'TB-Aug'!I126+'TB-Sep'!I126+'TB-Oct'!I126+'TB-Nov'!I126+'TB-Dec'!I126</f>
        <v>0</v>
      </c>
      <c r="J126" s="95">
        <f>'TB-Jan'!J126+'TB-Feb'!J126+'TB-Mar'!J126+'TB-Apr'!J126+'TB-May'!J126+'TB-Jun'!J126+'TB-Jul'!J126+'TB-Aug'!J126+'TB-Sep'!J126+'TB-Oct'!J126+'TB-Nov'!J126+'TB-Dec'!J126</f>
        <v>0</v>
      </c>
      <c r="K126" s="96">
        <f>'TB-Jan'!K126+'TB-Feb'!K126+'TB-Mar'!K126+'TB-Apr'!K126+'TB-May'!K126+'TB-Jun'!K126+'TB-Jul'!K126+'TB-Aug'!K126+'TB-Sep'!K126+'TB-Oct'!K126+'TB-Nov'!K126+'TB-Dec'!K126</f>
        <v>0</v>
      </c>
      <c r="L126" s="96">
        <f>'TB-Jan'!L126+'TB-Feb'!L126+'TB-Mar'!L126+'TB-Apr'!L126+'TB-May'!L126+'TB-Jun'!L126+'TB-Jul'!L126+'TB-Aug'!L126+'TB-Sep'!L126+'TB-Oct'!L126+'TB-Nov'!L126+'TB-Dec'!L126</f>
        <v>0</v>
      </c>
      <c r="M126" s="97">
        <f>'TB-Jan'!M126+'TB-Feb'!M126+'TB-Mar'!M126+'TB-Apr'!M126+'TB-May'!M126+'TB-Jun'!M126+'TB-Jul'!M126+'TB-Aug'!M126+'TB-Sep'!M126+'TB-Oct'!M126+'TB-Nov'!M126+'TB-Dec'!M126</f>
        <v>0</v>
      </c>
      <c r="N126" s="97">
        <f>'TB-Jan'!N126+'TB-Feb'!N126+'TB-Mar'!N126+'TB-Apr'!N126+'TB-May'!N126+'TB-Jun'!N126+'TB-Jul'!N126+'TB-Aug'!N126+'TB-Sep'!N126+'TB-Oct'!N126+'TB-Nov'!N126+'TB-Dec'!N126</f>
        <v>0</v>
      </c>
    </row>
    <row r="127" spans="1:14" ht="28.5" hidden="1">
      <c r="A127" s="8" t="s">
        <v>212</v>
      </c>
      <c r="B127" s="4" t="s">
        <v>213</v>
      </c>
      <c r="C127" s="7"/>
      <c r="D127" s="7">
        <f>F127-E127</f>
        <v>0</v>
      </c>
      <c r="E127" s="6">
        <f t="shared" si="2"/>
        <v>0</v>
      </c>
      <c r="F127" s="6">
        <f t="shared" si="2"/>
        <v>0</v>
      </c>
      <c r="G127" s="94">
        <f>'TB-Jan'!G127+'TB-Feb'!G127+'TB-Mar'!G127+'TB-Apr'!G127+'TB-May'!G127+'TB-Jun'!G127+'TB-Jul'!G127+'TB-Aug'!G127+'TB-Sep'!G127+'TB-Oct'!G127+'TB-Nov'!G127+'TB-Dec'!G127</f>
        <v>0</v>
      </c>
      <c r="H127" s="94">
        <f>'TB-Jan'!H127+'TB-Feb'!H127+'TB-Mar'!H127+'TB-Apr'!H127+'TB-May'!H127+'TB-Jun'!H127+'TB-Jul'!H127+'TB-Aug'!H127+'TB-Sep'!H127+'TB-Oct'!H127+'TB-Nov'!H127+'TB-Dec'!H127</f>
        <v>0</v>
      </c>
      <c r="I127" s="95">
        <f>'TB-Jan'!I127+'TB-Feb'!I127+'TB-Mar'!I127+'TB-Apr'!I127+'TB-May'!I127+'TB-Jun'!I127+'TB-Jul'!I127+'TB-Aug'!I127+'TB-Sep'!I127+'TB-Oct'!I127+'TB-Nov'!I127+'TB-Dec'!I127</f>
        <v>0</v>
      </c>
      <c r="J127" s="95">
        <f>'TB-Jan'!J127+'TB-Feb'!J127+'TB-Mar'!J127+'TB-Apr'!J127+'TB-May'!J127+'TB-Jun'!J127+'TB-Jul'!J127+'TB-Aug'!J127+'TB-Sep'!J127+'TB-Oct'!J127+'TB-Nov'!J127+'TB-Dec'!J127</f>
        <v>0</v>
      </c>
      <c r="K127" s="96">
        <f>'TB-Jan'!K127+'TB-Feb'!K127+'TB-Mar'!K127+'TB-Apr'!K127+'TB-May'!K127+'TB-Jun'!K127+'TB-Jul'!K127+'TB-Aug'!K127+'TB-Sep'!K127+'TB-Oct'!K127+'TB-Nov'!K127+'TB-Dec'!K127</f>
        <v>0</v>
      </c>
      <c r="L127" s="96">
        <f>'TB-Jan'!L127+'TB-Feb'!L127+'TB-Mar'!L127+'TB-Apr'!L127+'TB-May'!L127+'TB-Jun'!L127+'TB-Jul'!L127+'TB-Aug'!L127+'TB-Sep'!L127+'TB-Oct'!L127+'TB-Nov'!L127+'TB-Dec'!L127</f>
        <v>0</v>
      </c>
      <c r="M127" s="97">
        <f>'TB-Jan'!M127+'TB-Feb'!M127+'TB-Mar'!M127+'TB-Apr'!M127+'TB-May'!M127+'TB-Jun'!M127+'TB-Jul'!M127+'TB-Aug'!M127+'TB-Sep'!M127+'TB-Oct'!M127+'TB-Nov'!M127+'TB-Dec'!M127</f>
        <v>0</v>
      </c>
      <c r="N127" s="97">
        <f>'TB-Jan'!N127+'TB-Feb'!N127+'TB-Mar'!N127+'TB-Apr'!N127+'TB-May'!N127+'TB-Jun'!N127+'TB-Jul'!N127+'TB-Aug'!N127+'TB-Sep'!N127+'TB-Oct'!N127+'TB-Nov'!N127+'TB-Dec'!N127</f>
        <v>0</v>
      </c>
    </row>
    <row r="128" spans="1:14" hidden="1">
      <c r="A128" s="8" t="s">
        <v>214</v>
      </c>
      <c r="B128" s="4" t="s">
        <v>215</v>
      </c>
      <c r="C128" s="7">
        <f>E128-F128</f>
        <v>0</v>
      </c>
      <c r="D128" s="7"/>
      <c r="E128" s="6">
        <f t="shared" si="2"/>
        <v>0</v>
      </c>
      <c r="F128" s="6">
        <f t="shared" si="2"/>
        <v>0</v>
      </c>
      <c r="G128" s="94">
        <f>'TB-Jan'!G128+'TB-Feb'!G128+'TB-Mar'!G128+'TB-Apr'!G128+'TB-May'!G128+'TB-Jun'!G128+'TB-Jul'!G128+'TB-Aug'!G128+'TB-Sep'!G128+'TB-Oct'!G128+'TB-Nov'!G128+'TB-Dec'!G128</f>
        <v>0</v>
      </c>
      <c r="H128" s="94">
        <f>'TB-Jan'!H128+'TB-Feb'!H128+'TB-Mar'!H128+'TB-Apr'!H128+'TB-May'!H128+'TB-Jun'!H128+'TB-Jul'!H128+'TB-Aug'!H128+'TB-Sep'!H128+'TB-Oct'!H128+'TB-Nov'!H128+'TB-Dec'!H128</f>
        <v>0</v>
      </c>
      <c r="I128" s="95">
        <f>'TB-Jan'!I128+'TB-Feb'!I128+'TB-Mar'!I128+'TB-Apr'!I128+'TB-May'!I128+'TB-Jun'!I128+'TB-Jul'!I128+'TB-Aug'!I128+'TB-Sep'!I128+'TB-Oct'!I128+'TB-Nov'!I128+'TB-Dec'!I128</f>
        <v>0</v>
      </c>
      <c r="J128" s="95">
        <f>'TB-Jan'!J128+'TB-Feb'!J128+'TB-Mar'!J128+'TB-Apr'!J128+'TB-May'!J128+'TB-Jun'!J128+'TB-Jul'!J128+'TB-Aug'!J128+'TB-Sep'!J128+'TB-Oct'!J128+'TB-Nov'!J128+'TB-Dec'!J128</f>
        <v>0</v>
      </c>
      <c r="K128" s="96">
        <f>'TB-Jan'!K128+'TB-Feb'!K128+'TB-Mar'!K128+'TB-Apr'!K128+'TB-May'!K128+'TB-Jun'!K128+'TB-Jul'!K128+'TB-Aug'!K128+'TB-Sep'!K128+'TB-Oct'!K128+'TB-Nov'!K128+'TB-Dec'!K128</f>
        <v>0</v>
      </c>
      <c r="L128" s="96">
        <f>'TB-Jan'!L128+'TB-Feb'!L128+'TB-Mar'!L128+'TB-Apr'!L128+'TB-May'!L128+'TB-Jun'!L128+'TB-Jul'!L128+'TB-Aug'!L128+'TB-Sep'!L128+'TB-Oct'!L128+'TB-Nov'!L128+'TB-Dec'!L128</f>
        <v>0</v>
      </c>
      <c r="M128" s="97">
        <f>'TB-Jan'!M128+'TB-Feb'!M128+'TB-Mar'!M128+'TB-Apr'!M128+'TB-May'!M128+'TB-Jun'!M128+'TB-Jul'!M128+'TB-Aug'!M128+'TB-Sep'!M128+'TB-Oct'!M128+'TB-Nov'!M128+'TB-Dec'!M128</f>
        <v>0</v>
      </c>
      <c r="N128" s="97">
        <f>'TB-Jan'!N128+'TB-Feb'!N128+'TB-Mar'!N128+'TB-Apr'!N128+'TB-May'!N128+'TB-Jun'!N128+'TB-Jul'!N128+'TB-Aug'!N128+'TB-Sep'!N128+'TB-Oct'!N128+'TB-Nov'!N128+'TB-Dec'!N128</f>
        <v>0</v>
      </c>
    </row>
    <row r="129" spans="1:14" ht="28.5" hidden="1">
      <c r="A129" s="8" t="s">
        <v>216</v>
      </c>
      <c r="B129" s="4" t="s">
        <v>217</v>
      </c>
      <c r="C129" s="7"/>
      <c r="D129" s="7">
        <f>F129-E129</f>
        <v>0</v>
      </c>
      <c r="E129" s="6">
        <f t="shared" si="2"/>
        <v>0</v>
      </c>
      <c r="F129" s="6">
        <f t="shared" si="2"/>
        <v>0</v>
      </c>
      <c r="G129" s="94">
        <f>'TB-Jan'!G129+'TB-Feb'!G129+'TB-Mar'!G129+'TB-Apr'!G129+'TB-May'!G129+'TB-Jun'!G129+'TB-Jul'!G129+'TB-Aug'!G129+'TB-Sep'!G129+'TB-Oct'!G129+'TB-Nov'!G129+'TB-Dec'!G129</f>
        <v>0</v>
      </c>
      <c r="H129" s="94">
        <f>'TB-Jan'!H129+'TB-Feb'!H129+'TB-Mar'!H129+'TB-Apr'!H129+'TB-May'!H129+'TB-Jun'!H129+'TB-Jul'!H129+'TB-Aug'!H129+'TB-Sep'!H129+'TB-Oct'!H129+'TB-Nov'!H129+'TB-Dec'!H129</f>
        <v>0</v>
      </c>
      <c r="I129" s="95">
        <f>'TB-Jan'!I129+'TB-Feb'!I129+'TB-Mar'!I129+'TB-Apr'!I129+'TB-May'!I129+'TB-Jun'!I129+'TB-Jul'!I129+'TB-Aug'!I129+'TB-Sep'!I129+'TB-Oct'!I129+'TB-Nov'!I129+'TB-Dec'!I129</f>
        <v>0</v>
      </c>
      <c r="J129" s="95">
        <f>'TB-Jan'!J129+'TB-Feb'!J129+'TB-Mar'!J129+'TB-Apr'!J129+'TB-May'!J129+'TB-Jun'!J129+'TB-Jul'!J129+'TB-Aug'!J129+'TB-Sep'!J129+'TB-Oct'!J129+'TB-Nov'!J129+'TB-Dec'!J129</f>
        <v>0</v>
      </c>
      <c r="K129" s="96">
        <f>'TB-Jan'!K129+'TB-Feb'!K129+'TB-Mar'!K129+'TB-Apr'!K129+'TB-May'!K129+'TB-Jun'!K129+'TB-Jul'!K129+'TB-Aug'!K129+'TB-Sep'!K129+'TB-Oct'!K129+'TB-Nov'!K129+'TB-Dec'!K129</f>
        <v>0</v>
      </c>
      <c r="L129" s="96">
        <f>'TB-Jan'!L129+'TB-Feb'!L129+'TB-Mar'!L129+'TB-Apr'!L129+'TB-May'!L129+'TB-Jun'!L129+'TB-Jul'!L129+'TB-Aug'!L129+'TB-Sep'!L129+'TB-Oct'!L129+'TB-Nov'!L129+'TB-Dec'!L129</f>
        <v>0</v>
      </c>
      <c r="M129" s="97">
        <f>'TB-Jan'!M129+'TB-Feb'!M129+'TB-Mar'!M129+'TB-Apr'!M129+'TB-May'!M129+'TB-Jun'!M129+'TB-Jul'!M129+'TB-Aug'!M129+'TB-Sep'!M129+'TB-Oct'!M129+'TB-Nov'!M129+'TB-Dec'!M129</f>
        <v>0</v>
      </c>
      <c r="N129" s="97">
        <f>'TB-Jan'!N129+'TB-Feb'!N129+'TB-Mar'!N129+'TB-Apr'!N129+'TB-May'!N129+'TB-Jun'!N129+'TB-Jul'!N129+'TB-Aug'!N129+'TB-Sep'!N129+'TB-Oct'!N129+'TB-Nov'!N129+'TB-Dec'!N129</f>
        <v>0</v>
      </c>
    </row>
    <row r="130" spans="1:14" hidden="1">
      <c r="A130" s="8" t="s">
        <v>218</v>
      </c>
      <c r="B130" s="4" t="s">
        <v>219</v>
      </c>
      <c r="C130" s="7">
        <f>E130-F130</f>
        <v>0</v>
      </c>
      <c r="D130" s="7"/>
      <c r="E130" s="6">
        <f t="shared" si="2"/>
        <v>0</v>
      </c>
      <c r="F130" s="6">
        <f t="shared" si="2"/>
        <v>0</v>
      </c>
      <c r="G130" s="94">
        <f>'TB-Jan'!G130+'TB-Feb'!G130+'TB-Mar'!G130+'TB-Apr'!G130+'TB-May'!G130+'TB-Jun'!G130+'TB-Jul'!G130+'TB-Aug'!G130+'TB-Sep'!G130+'TB-Oct'!G130+'TB-Nov'!G130+'TB-Dec'!G130</f>
        <v>0</v>
      </c>
      <c r="H130" s="94">
        <f>'TB-Jan'!H130+'TB-Feb'!H130+'TB-Mar'!H130+'TB-Apr'!H130+'TB-May'!H130+'TB-Jun'!H130+'TB-Jul'!H130+'TB-Aug'!H130+'TB-Sep'!H130+'TB-Oct'!H130+'TB-Nov'!H130+'TB-Dec'!H130</f>
        <v>0</v>
      </c>
      <c r="I130" s="95">
        <f>'TB-Jan'!I130+'TB-Feb'!I130+'TB-Mar'!I130+'TB-Apr'!I130+'TB-May'!I130+'TB-Jun'!I130+'TB-Jul'!I130+'TB-Aug'!I130+'TB-Sep'!I130+'TB-Oct'!I130+'TB-Nov'!I130+'TB-Dec'!I130</f>
        <v>0</v>
      </c>
      <c r="J130" s="95">
        <f>'TB-Jan'!J130+'TB-Feb'!J130+'TB-Mar'!J130+'TB-Apr'!J130+'TB-May'!J130+'TB-Jun'!J130+'TB-Jul'!J130+'TB-Aug'!J130+'TB-Sep'!J130+'TB-Oct'!J130+'TB-Nov'!J130+'TB-Dec'!J130</f>
        <v>0</v>
      </c>
      <c r="K130" s="96">
        <f>'TB-Jan'!K130+'TB-Feb'!K130+'TB-Mar'!K130+'TB-Apr'!K130+'TB-May'!K130+'TB-Jun'!K130+'TB-Jul'!K130+'TB-Aug'!K130+'TB-Sep'!K130+'TB-Oct'!K130+'TB-Nov'!K130+'TB-Dec'!K130</f>
        <v>0</v>
      </c>
      <c r="L130" s="96">
        <f>'TB-Jan'!L130+'TB-Feb'!L130+'TB-Mar'!L130+'TB-Apr'!L130+'TB-May'!L130+'TB-Jun'!L130+'TB-Jul'!L130+'TB-Aug'!L130+'TB-Sep'!L130+'TB-Oct'!L130+'TB-Nov'!L130+'TB-Dec'!L130</f>
        <v>0</v>
      </c>
      <c r="M130" s="97">
        <f>'TB-Jan'!M130+'TB-Feb'!M130+'TB-Mar'!M130+'TB-Apr'!M130+'TB-May'!M130+'TB-Jun'!M130+'TB-Jul'!M130+'TB-Aug'!M130+'TB-Sep'!M130+'TB-Oct'!M130+'TB-Nov'!M130+'TB-Dec'!M130</f>
        <v>0</v>
      </c>
      <c r="N130" s="97">
        <f>'TB-Jan'!N130+'TB-Feb'!N130+'TB-Mar'!N130+'TB-Apr'!N130+'TB-May'!N130+'TB-Jun'!N130+'TB-Jul'!N130+'TB-Aug'!N130+'TB-Sep'!N130+'TB-Oct'!N130+'TB-Nov'!N130+'TB-Dec'!N130</f>
        <v>0</v>
      </c>
    </row>
    <row r="131" spans="1:14" hidden="1">
      <c r="A131" s="8" t="s">
        <v>220</v>
      </c>
      <c r="B131" s="4" t="s">
        <v>221</v>
      </c>
      <c r="C131" s="7"/>
      <c r="D131" s="7">
        <f>F131-E131</f>
        <v>0</v>
      </c>
      <c r="E131" s="6">
        <f t="shared" si="2"/>
        <v>0</v>
      </c>
      <c r="F131" s="6">
        <f t="shared" si="2"/>
        <v>0</v>
      </c>
      <c r="G131" s="94">
        <f>'TB-Jan'!G131+'TB-Feb'!G131+'TB-Mar'!G131+'TB-Apr'!G131+'TB-May'!G131+'TB-Jun'!G131+'TB-Jul'!G131+'TB-Aug'!G131+'TB-Sep'!G131+'TB-Oct'!G131+'TB-Nov'!G131+'TB-Dec'!G131</f>
        <v>0</v>
      </c>
      <c r="H131" s="94">
        <f>'TB-Jan'!H131+'TB-Feb'!H131+'TB-Mar'!H131+'TB-Apr'!H131+'TB-May'!H131+'TB-Jun'!H131+'TB-Jul'!H131+'TB-Aug'!H131+'TB-Sep'!H131+'TB-Oct'!H131+'TB-Nov'!H131+'TB-Dec'!H131</f>
        <v>0</v>
      </c>
      <c r="I131" s="95">
        <f>'TB-Jan'!I131+'TB-Feb'!I131+'TB-Mar'!I131+'TB-Apr'!I131+'TB-May'!I131+'TB-Jun'!I131+'TB-Jul'!I131+'TB-Aug'!I131+'TB-Sep'!I131+'TB-Oct'!I131+'TB-Nov'!I131+'TB-Dec'!I131</f>
        <v>0</v>
      </c>
      <c r="J131" s="95">
        <f>'TB-Jan'!J131+'TB-Feb'!J131+'TB-Mar'!J131+'TB-Apr'!J131+'TB-May'!J131+'TB-Jun'!J131+'TB-Jul'!J131+'TB-Aug'!J131+'TB-Sep'!J131+'TB-Oct'!J131+'TB-Nov'!J131+'TB-Dec'!J131</f>
        <v>0</v>
      </c>
      <c r="K131" s="96">
        <f>'TB-Jan'!K131+'TB-Feb'!K131+'TB-Mar'!K131+'TB-Apr'!K131+'TB-May'!K131+'TB-Jun'!K131+'TB-Jul'!K131+'TB-Aug'!K131+'TB-Sep'!K131+'TB-Oct'!K131+'TB-Nov'!K131+'TB-Dec'!K131</f>
        <v>0</v>
      </c>
      <c r="L131" s="96">
        <f>'TB-Jan'!L131+'TB-Feb'!L131+'TB-Mar'!L131+'TB-Apr'!L131+'TB-May'!L131+'TB-Jun'!L131+'TB-Jul'!L131+'TB-Aug'!L131+'TB-Sep'!L131+'TB-Oct'!L131+'TB-Nov'!L131+'TB-Dec'!L131</f>
        <v>0</v>
      </c>
      <c r="M131" s="97">
        <f>'TB-Jan'!M131+'TB-Feb'!M131+'TB-Mar'!M131+'TB-Apr'!M131+'TB-May'!M131+'TB-Jun'!M131+'TB-Jul'!M131+'TB-Aug'!M131+'TB-Sep'!M131+'TB-Oct'!M131+'TB-Nov'!M131+'TB-Dec'!M131</f>
        <v>0</v>
      </c>
      <c r="N131" s="97">
        <f>'TB-Jan'!N131+'TB-Feb'!N131+'TB-Mar'!N131+'TB-Apr'!N131+'TB-May'!N131+'TB-Jun'!N131+'TB-Jul'!N131+'TB-Aug'!N131+'TB-Sep'!N131+'TB-Oct'!N131+'TB-Nov'!N131+'TB-Dec'!N131</f>
        <v>0</v>
      </c>
    </row>
    <row r="132" spans="1:14" hidden="1">
      <c r="A132" s="8" t="s">
        <v>222</v>
      </c>
      <c r="B132" s="4" t="s">
        <v>223</v>
      </c>
      <c r="C132" s="7">
        <f>E132-F132</f>
        <v>0</v>
      </c>
      <c r="D132" s="7"/>
      <c r="E132" s="6">
        <f t="shared" si="2"/>
        <v>0</v>
      </c>
      <c r="F132" s="6">
        <f t="shared" si="2"/>
        <v>0</v>
      </c>
      <c r="G132" s="94">
        <f>'TB-Jan'!G132+'TB-Feb'!G132+'TB-Mar'!G132+'TB-Apr'!G132+'TB-May'!G132+'TB-Jun'!G132+'TB-Jul'!G132+'TB-Aug'!G132+'TB-Sep'!G132+'TB-Oct'!G132+'TB-Nov'!G132+'TB-Dec'!G132</f>
        <v>0</v>
      </c>
      <c r="H132" s="94">
        <f>'TB-Jan'!H132+'TB-Feb'!H132+'TB-Mar'!H132+'TB-Apr'!H132+'TB-May'!H132+'TB-Jun'!H132+'TB-Jul'!H132+'TB-Aug'!H132+'TB-Sep'!H132+'TB-Oct'!H132+'TB-Nov'!H132+'TB-Dec'!H132</f>
        <v>0</v>
      </c>
      <c r="I132" s="95">
        <f>'TB-Jan'!I132+'TB-Feb'!I132+'TB-Mar'!I132+'TB-Apr'!I132+'TB-May'!I132+'TB-Jun'!I132+'TB-Jul'!I132+'TB-Aug'!I132+'TB-Sep'!I132+'TB-Oct'!I132+'TB-Nov'!I132+'TB-Dec'!I132</f>
        <v>0</v>
      </c>
      <c r="J132" s="95">
        <f>'TB-Jan'!J132+'TB-Feb'!J132+'TB-Mar'!J132+'TB-Apr'!J132+'TB-May'!J132+'TB-Jun'!J132+'TB-Jul'!J132+'TB-Aug'!J132+'TB-Sep'!J132+'TB-Oct'!J132+'TB-Nov'!J132+'TB-Dec'!J132</f>
        <v>0</v>
      </c>
      <c r="K132" s="96">
        <f>'TB-Jan'!K132+'TB-Feb'!K132+'TB-Mar'!K132+'TB-Apr'!K132+'TB-May'!K132+'TB-Jun'!K132+'TB-Jul'!K132+'TB-Aug'!K132+'TB-Sep'!K132+'TB-Oct'!K132+'TB-Nov'!K132+'TB-Dec'!K132</f>
        <v>0</v>
      </c>
      <c r="L132" s="96">
        <f>'TB-Jan'!L132+'TB-Feb'!L132+'TB-Mar'!L132+'TB-Apr'!L132+'TB-May'!L132+'TB-Jun'!L132+'TB-Jul'!L132+'TB-Aug'!L132+'TB-Sep'!L132+'TB-Oct'!L132+'TB-Nov'!L132+'TB-Dec'!L132</f>
        <v>0</v>
      </c>
      <c r="M132" s="97">
        <f>'TB-Jan'!M132+'TB-Feb'!M132+'TB-Mar'!M132+'TB-Apr'!M132+'TB-May'!M132+'TB-Jun'!M132+'TB-Jul'!M132+'TB-Aug'!M132+'TB-Sep'!M132+'TB-Oct'!M132+'TB-Nov'!M132+'TB-Dec'!M132</f>
        <v>0</v>
      </c>
      <c r="N132" s="97">
        <f>'TB-Jan'!N132+'TB-Feb'!N132+'TB-Mar'!N132+'TB-Apr'!N132+'TB-May'!N132+'TB-Jun'!N132+'TB-Jul'!N132+'TB-Aug'!N132+'TB-Sep'!N132+'TB-Oct'!N132+'TB-Nov'!N132+'TB-Dec'!N132</f>
        <v>0</v>
      </c>
    </row>
    <row r="133" spans="1:14" ht="28.5" hidden="1">
      <c r="A133" s="8" t="s">
        <v>224</v>
      </c>
      <c r="B133" s="4" t="s">
        <v>225</v>
      </c>
      <c r="C133" s="7"/>
      <c r="D133" s="7">
        <f>F133-E133</f>
        <v>0</v>
      </c>
      <c r="E133" s="6">
        <f t="shared" si="2"/>
        <v>0</v>
      </c>
      <c r="F133" s="6">
        <f t="shared" si="2"/>
        <v>0</v>
      </c>
      <c r="G133" s="94">
        <f>'TB-Jan'!G133+'TB-Feb'!G133+'TB-Mar'!G133+'TB-Apr'!G133+'TB-May'!G133+'TB-Jun'!G133+'TB-Jul'!G133+'TB-Aug'!G133+'TB-Sep'!G133+'TB-Oct'!G133+'TB-Nov'!G133+'TB-Dec'!G133</f>
        <v>0</v>
      </c>
      <c r="H133" s="94">
        <f>'TB-Jan'!H133+'TB-Feb'!H133+'TB-Mar'!H133+'TB-Apr'!H133+'TB-May'!H133+'TB-Jun'!H133+'TB-Jul'!H133+'TB-Aug'!H133+'TB-Sep'!H133+'TB-Oct'!H133+'TB-Nov'!H133+'TB-Dec'!H133</f>
        <v>0</v>
      </c>
      <c r="I133" s="95">
        <f>'TB-Jan'!I133+'TB-Feb'!I133+'TB-Mar'!I133+'TB-Apr'!I133+'TB-May'!I133+'TB-Jun'!I133+'TB-Jul'!I133+'TB-Aug'!I133+'TB-Sep'!I133+'TB-Oct'!I133+'TB-Nov'!I133+'TB-Dec'!I133</f>
        <v>0</v>
      </c>
      <c r="J133" s="95">
        <f>'TB-Jan'!J133+'TB-Feb'!J133+'TB-Mar'!J133+'TB-Apr'!J133+'TB-May'!J133+'TB-Jun'!J133+'TB-Jul'!J133+'TB-Aug'!J133+'TB-Sep'!J133+'TB-Oct'!J133+'TB-Nov'!J133+'TB-Dec'!J133</f>
        <v>0</v>
      </c>
      <c r="K133" s="96">
        <f>'TB-Jan'!K133+'TB-Feb'!K133+'TB-Mar'!K133+'TB-Apr'!K133+'TB-May'!K133+'TB-Jun'!K133+'TB-Jul'!K133+'TB-Aug'!K133+'TB-Sep'!K133+'TB-Oct'!K133+'TB-Nov'!K133+'TB-Dec'!K133</f>
        <v>0</v>
      </c>
      <c r="L133" s="96">
        <f>'TB-Jan'!L133+'TB-Feb'!L133+'TB-Mar'!L133+'TB-Apr'!L133+'TB-May'!L133+'TB-Jun'!L133+'TB-Jul'!L133+'TB-Aug'!L133+'TB-Sep'!L133+'TB-Oct'!L133+'TB-Nov'!L133+'TB-Dec'!L133</f>
        <v>0</v>
      </c>
      <c r="M133" s="97">
        <f>'TB-Jan'!M133+'TB-Feb'!M133+'TB-Mar'!M133+'TB-Apr'!M133+'TB-May'!M133+'TB-Jun'!M133+'TB-Jul'!M133+'TB-Aug'!M133+'TB-Sep'!M133+'TB-Oct'!M133+'TB-Nov'!M133+'TB-Dec'!M133</f>
        <v>0</v>
      </c>
      <c r="N133" s="97">
        <f>'TB-Jan'!N133+'TB-Feb'!N133+'TB-Mar'!N133+'TB-Apr'!N133+'TB-May'!N133+'TB-Jun'!N133+'TB-Jul'!N133+'TB-Aug'!N133+'TB-Sep'!N133+'TB-Oct'!N133+'TB-Nov'!N133+'TB-Dec'!N133</f>
        <v>0</v>
      </c>
    </row>
    <row r="134" spans="1:14" hidden="1">
      <c r="A134" s="8" t="s">
        <v>226</v>
      </c>
      <c r="B134" s="4" t="s">
        <v>227</v>
      </c>
      <c r="C134" s="7">
        <f>E134-F134</f>
        <v>0</v>
      </c>
      <c r="D134" s="7"/>
      <c r="E134" s="6">
        <f t="shared" si="2"/>
        <v>0</v>
      </c>
      <c r="F134" s="6">
        <f t="shared" si="2"/>
        <v>0</v>
      </c>
      <c r="G134" s="94">
        <f>'TB-Jan'!G134+'TB-Feb'!G134+'TB-Mar'!G134+'TB-Apr'!G134+'TB-May'!G134+'TB-Jun'!G134+'TB-Jul'!G134+'TB-Aug'!G134+'TB-Sep'!G134+'TB-Oct'!G134+'TB-Nov'!G134+'TB-Dec'!G134</f>
        <v>0</v>
      </c>
      <c r="H134" s="94">
        <f>'TB-Jan'!H134+'TB-Feb'!H134+'TB-Mar'!H134+'TB-Apr'!H134+'TB-May'!H134+'TB-Jun'!H134+'TB-Jul'!H134+'TB-Aug'!H134+'TB-Sep'!H134+'TB-Oct'!H134+'TB-Nov'!H134+'TB-Dec'!H134</f>
        <v>0</v>
      </c>
      <c r="I134" s="95">
        <f>'TB-Jan'!I134+'TB-Feb'!I134+'TB-Mar'!I134+'TB-Apr'!I134+'TB-May'!I134+'TB-Jun'!I134+'TB-Jul'!I134+'TB-Aug'!I134+'TB-Sep'!I134+'TB-Oct'!I134+'TB-Nov'!I134+'TB-Dec'!I134</f>
        <v>0</v>
      </c>
      <c r="J134" s="95">
        <f>'TB-Jan'!J134+'TB-Feb'!J134+'TB-Mar'!J134+'TB-Apr'!J134+'TB-May'!J134+'TB-Jun'!J134+'TB-Jul'!J134+'TB-Aug'!J134+'TB-Sep'!J134+'TB-Oct'!J134+'TB-Nov'!J134+'TB-Dec'!J134</f>
        <v>0</v>
      </c>
      <c r="K134" s="96">
        <f>'TB-Jan'!K134+'TB-Feb'!K134+'TB-Mar'!K134+'TB-Apr'!K134+'TB-May'!K134+'TB-Jun'!K134+'TB-Jul'!K134+'TB-Aug'!K134+'TB-Sep'!K134+'TB-Oct'!K134+'TB-Nov'!K134+'TB-Dec'!K134</f>
        <v>0</v>
      </c>
      <c r="L134" s="96">
        <f>'TB-Jan'!L134+'TB-Feb'!L134+'TB-Mar'!L134+'TB-Apr'!L134+'TB-May'!L134+'TB-Jun'!L134+'TB-Jul'!L134+'TB-Aug'!L134+'TB-Sep'!L134+'TB-Oct'!L134+'TB-Nov'!L134+'TB-Dec'!L134</f>
        <v>0</v>
      </c>
      <c r="M134" s="97">
        <f>'TB-Jan'!M134+'TB-Feb'!M134+'TB-Mar'!M134+'TB-Apr'!M134+'TB-May'!M134+'TB-Jun'!M134+'TB-Jul'!M134+'TB-Aug'!M134+'TB-Sep'!M134+'TB-Oct'!M134+'TB-Nov'!M134+'TB-Dec'!M134</f>
        <v>0</v>
      </c>
      <c r="N134" s="97">
        <f>'TB-Jan'!N134+'TB-Feb'!N134+'TB-Mar'!N134+'TB-Apr'!N134+'TB-May'!N134+'TB-Jun'!N134+'TB-Jul'!N134+'TB-Aug'!N134+'TB-Sep'!N134+'TB-Oct'!N134+'TB-Nov'!N134+'TB-Dec'!N134</f>
        <v>0</v>
      </c>
    </row>
    <row r="135" spans="1:14" ht="28.5" hidden="1">
      <c r="A135" s="8" t="s">
        <v>228</v>
      </c>
      <c r="B135" s="4" t="s">
        <v>229</v>
      </c>
      <c r="C135" s="7"/>
      <c r="D135" s="7">
        <f>F135-E135</f>
        <v>0</v>
      </c>
      <c r="E135" s="6">
        <f t="shared" si="2"/>
        <v>0</v>
      </c>
      <c r="F135" s="6">
        <f t="shared" si="2"/>
        <v>0</v>
      </c>
      <c r="G135" s="94">
        <f>'TB-Jan'!G135+'TB-Feb'!G135+'TB-Mar'!G135+'TB-Apr'!G135+'TB-May'!G135+'TB-Jun'!G135+'TB-Jul'!G135+'TB-Aug'!G135+'TB-Sep'!G135+'TB-Oct'!G135+'TB-Nov'!G135+'TB-Dec'!G135</f>
        <v>0</v>
      </c>
      <c r="H135" s="94">
        <f>'TB-Jan'!H135+'TB-Feb'!H135+'TB-Mar'!H135+'TB-Apr'!H135+'TB-May'!H135+'TB-Jun'!H135+'TB-Jul'!H135+'TB-Aug'!H135+'TB-Sep'!H135+'TB-Oct'!H135+'TB-Nov'!H135+'TB-Dec'!H135</f>
        <v>0</v>
      </c>
      <c r="I135" s="95">
        <f>'TB-Jan'!I135+'TB-Feb'!I135+'TB-Mar'!I135+'TB-Apr'!I135+'TB-May'!I135+'TB-Jun'!I135+'TB-Jul'!I135+'TB-Aug'!I135+'TB-Sep'!I135+'TB-Oct'!I135+'TB-Nov'!I135+'TB-Dec'!I135</f>
        <v>0</v>
      </c>
      <c r="J135" s="95">
        <f>'TB-Jan'!J135+'TB-Feb'!J135+'TB-Mar'!J135+'TB-Apr'!J135+'TB-May'!J135+'TB-Jun'!J135+'TB-Jul'!J135+'TB-Aug'!J135+'TB-Sep'!J135+'TB-Oct'!J135+'TB-Nov'!J135+'TB-Dec'!J135</f>
        <v>0</v>
      </c>
      <c r="K135" s="96">
        <f>'TB-Jan'!K135+'TB-Feb'!K135+'TB-Mar'!K135+'TB-Apr'!K135+'TB-May'!K135+'TB-Jun'!K135+'TB-Jul'!K135+'TB-Aug'!K135+'TB-Sep'!K135+'TB-Oct'!K135+'TB-Nov'!K135+'TB-Dec'!K135</f>
        <v>0</v>
      </c>
      <c r="L135" s="96">
        <f>'TB-Jan'!L135+'TB-Feb'!L135+'TB-Mar'!L135+'TB-Apr'!L135+'TB-May'!L135+'TB-Jun'!L135+'TB-Jul'!L135+'TB-Aug'!L135+'TB-Sep'!L135+'TB-Oct'!L135+'TB-Nov'!L135+'TB-Dec'!L135</f>
        <v>0</v>
      </c>
      <c r="M135" s="97">
        <f>'TB-Jan'!M135+'TB-Feb'!M135+'TB-Mar'!M135+'TB-Apr'!M135+'TB-May'!M135+'TB-Jun'!M135+'TB-Jul'!M135+'TB-Aug'!M135+'TB-Sep'!M135+'TB-Oct'!M135+'TB-Nov'!M135+'TB-Dec'!M135</f>
        <v>0</v>
      </c>
      <c r="N135" s="97">
        <f>'TB-Jan'!N135+'TB-Feb'!N135+'TB-Mar'!N135+'TB-Apr'!N135+'TB-May'!N135+'TB-Jun'!N135+'TB-Jul'!N135+'TB-Aug'!N135+'TB-Sep'!N135+'TB-Oct'!N135+'TB-Nov'!N135+'TB-Dec'!N135</f>
        <v>0</v>
      </c>
    </row>
    <row r="136" spans="1:14" hidden="1">
      <c r="A136" s="8" t="s">
        <v>230</v>
      </c>
      <c r="B136" s="4" t="s">
        <v>231</v>
      </c>
      <c r="C136" s="7">
        <f>E136-F136</f>
        <v>0</v>
      </c>
      <c r="D136" s="7"/>
      <c r="E136" s="6">
        <f t="shared" si="2"/>
        <v>0</v>
      </c>
      <c r="F136" s="6">
        <f t="shared" si="2"/>
        <v>0</v>
      </c>
      <c r="G136" s="94">
        <f>'TB-Jan'!G136+'TB-Feb'!G136+'TB-Mar'!G136+'TB-Apr'!G136+'TB-May'!G136+'TB-Jun'!G136+'TB-Jul'!G136+'TB-Aug'!G136+'TB-Sep'!G136+'TB-Oct'!G136+'TB-Nov'!G136+'TB-Dec'!G136</f>
        <v>0</v>
      </c>
      <c r="H136" s="94">
        <f>'TB-Jan'!H136+'TB-Feb'!H136+'TB-Mar'!H136+'TB-Apr'!H136+'TB-May'!H136+'TB-Jun'!H136+'TB-Jul'!H136+'TB-Aug'!H136+'TB-Sep'!H136+'TB-Oct'!H136+'TB-Nov'!H136+'TB-Dec'!H136</f>
        <v>0</v>
      </c>
      <c r="I136" s="95">
        <f>'TB-Jan'!I136+'TB-Feb'!I136+'TB-Mar'!I136+'TB-Apr'!I136+'TB-May'!I136+'TB-Jun'!I136+'TB-Jul'!I136+'TB-Aug'!I136+'TB-Sep'!I136+'TB-Oct'!I136+'TB-Nov'!I136+'TB-Dec'!I136</f>
        <v>0</v>
      </c>
      <c r="J136" s="95">
        <f>'TB-Jan'!J136+'TB-Feb'!J136+'TB-Mar'!J136+'TB-Apr'!J136+'TB-May'!J136+'TB-Jun'!J136+'TB-Jul'!J136+'TB-Aug'!J136+'TB-Sep'!J136+'TB-Oct'!J136+'TB-Nov'!J136+'TB-Dec'!J136</f>
        <v>0</v>
      </c>
      <c r="K136" s="96">
        <f>'TB-Jan'!K136+'TB-Feb'!K136+'TB-Mar'!K136+'TB-Apr'!K136+'TB-May'!K136+'TB-Jun'!K136+'TB-Jul'!K136+'TB-Aug'!K136+'TB-Sep'!K136+'TB-Oct'!K136+'TB-Nov'!K136+'TB-Dec'!K136</f>
        <v>0</v>
      </c>
      <c r="L136" s="96">
        <f>'TB-Jan'!L136+'TB-Feb'!L136+'TB-Mar'!L136+'TB-Apr'!L136+'TB-May'!L136+'TB-Jun'!L136+'TB-Jul'!L136+'TB-Aug'!L136+'TB-Sep'!L136+'TB-Oct'!L136+'TB-Nov'!L136+'TB-Dec'!L136</f>
        <v>0</v>
      </c>
      <c r="M136" s="97">
        <f>'TB-Jan'!M136+'TB-Feb'!M136+'TB-Mar'!M136+'TB-Apr'!M136+'TB-May'!M136+'TB-Jun'!M136+'TB-Jul'!M136+'TB-Aug'!M136+'TB-Sep'!M136+'TB-Oct'!M136+'TB-Nov'!M136+'TB-Dec'!M136</f>
        <v>0</v>
      </c>
      <c r="N136" s="97">
        <f>'TB-Jan'!N136+'TB-Feb'!N136+'TB-Mar'!N136+'TB-Apr'!N136+'TB-May'!N136+'TB-Jun'!N136+'TB-Jul'!N136+'TB-Aug'!N136+'TB-Sep'!N136+'TB-Oct'!N136+'TB-Nov'!N136+'TB-Dec'!N136</f>
        <v>0</v>
      </c>
    </row>
    <row r="137" spans="1:14" hidden="1">
      <c r="A137" s="8" t="s">
        <v>232</v>
      </c>
      <c r="B137" s="4" t="s">
        <v>233</v>
      </c>
      <c r="C137" s="7"/>
      <c r="D137" s="7">
        <f>F137-E137</f>
        <v>0</v>
      </c>
      <c r="E137" s="6">
        <f t="shared" si="2"/>
        <v>0</v>
      </c>
      <c r="F137" s="6">
        <f t="shared" si="2"/>
        <v>0</v>
      </c>
      <c r="G137" s="94">
        <f>'TB-Jan'!G137+'TB-Feb'!G137+'TB-Mar'!G137+'TB-Apr'!G137+'TB-May'!G137+'TB-Jun'!G137+'TB-Jul'!G137+'TB-Aug'!G137+'TB-Sep'!G137+'TB-Oct'!G137+'TB-Nov'!G137+'TB-Dec'!G137</f>
        <v>0</v>
      </c>
      <c r="H137" s="94">
        <f>'TB-Jan'!H137+'TB-Feb'!H137+'TB-Mar'!H137+'TB-Apr'!H137+'TB-May'!H137+'TB-Jun'!H137+'TB-Jul'!H137+'TB-Aug'!H137+'TB-Sep'!H137+'TB-Oct'!H137+'TB-Nov'!H137+'TB-Dec'!H137</f>
        <v>0</v>
      </c>
      <c r="I137" s="95">
        <f>'TB-Jan'!I137+'TB-Feb'!I137+'TB-Mar'!I137+'TB-Apr'!I137+'TB-May'!I137+'TB-Jun'!I137+'TB-Jul'!I137+'TB-Aug'!I137+'TB-Sep'!I137+'TB-Oct'!I137+'TB-Nov'!I137+'TB-Dec'!I137</f>
        <v>0</v>
      </c>
      <c r="J137" s="95">
        <f>'TB-Jan'!J137+'TB-Feb'!J137+'TB-Mar'!J137+'TB-Apr'!J137+'TB-May'!J137+'TB-Jun'!J137+'TB-Jul'!J137+'TB-Aug'!J137+'TB-Sep'!J137+'TB-Oct'!J137+'TB-Nov'!J137+'TB-Dec'!J137</f>
        <v>0</v>
      </c>
      <c r="K137" s="96">
        <f>'TB-Jan'!K137+'TB-Feb'!K137+'TB-Mar'!K137+'TB-Apr'!K137+'TB-May'!K137+'TB-Jun'!K137+'TB-Jul'!K137+'TB-Aug'!K137+'TB-Sep'!K137+'TB-Oct'!K137+'TB-Nov'!K137+'TB-Dec'!K137</f>
        <v>0</v>
      </c>
      <c r="L137" s="96">
        <f>'TB-Jan'!L137+'TB-Feb'!L137+'TB-Mar'!L137+'TB-Apr'!L137+'TB-May'!L137+'TB-Jun'!L137+'TB-Jul'!L137+'TB-Aug'!L137+'TB-Sep'!L137+'TB-Oct'!L137+'TB-Nov'!L137+'TB-Dec'!L137</f>
        <v>0</v>
      </c>
      <c r="M137" s="97">
        <f>'TB-Jan'!M137+'TB-Feb'!M137+'TB-Mar'!M137+'TB-Apr'!M137+'TB-May'!M137+'TB-Jun'!M137+'TB-Jul'!M137+'TB-Aug'!M137+'TB-Sep'!M137+'TB-Oct'!M137+'TB-Nov'!M137+'TB-Dec'!M137</f>
        <v>0</v>
      </c>
      <c r="N137" s="97">
        <f>'TB-Jan'!N137+'TB-Feb'!N137+'TB-Mar'!N137+'TB-Apr'!N137+'TB-May'!N137+'TB-Jun'!N137+'TB-Jul'!N137+'TB-Aug'!N137+'TB-Sep'!N137+'TB-Oct'!N137+'TB-Nov'!N137+'TB-Dec'!N137</f>
        <v>0</v>
      </c>
    </row>
    <row r="138" spans="1:14" hidden="1">
      <c r="A138" s="8" t="s">
        <v>234</v>
      </c>
      <c r="B138" s="4" t="s">
        <v>235</v>
      </c>
      <c r="C138" s="7">
        <f>E138-F138</f>
        <v>0</v>
      </c>
      <c r="D138" s="7"/>
      <c r="E138" s="6">
        <f t="shared" si="2"/>
        <v>0</v>
      </c>
      <c r="F138" s="6">
        <f t="shared" si="2"/>
        <v>0</v>
      </c>
      <c r="G138" s="94">
        <f>'TB-Jan'!G138+'TB-Feb'!G138+'TB-Mar'!G138+'TB-Apr'!G138+'TB-May'!G138+'TB-Jun'!G138+'TB-Jul'!G138+'TB-Aug'!G138+'TB-Sep'!G138+'TB-Oct'!G138+'TB-Nov'!G138+'TB-Dec'!G138</f>
        <v>0</v>
      </c>
      <c r="H138" s="94">
        <f>'TB-Jan'!H138+'TB-Feb'!H138+'TB-Mar'!H138+'TB-Apr'!H138+'TB-May'!H138+'TB-Jun'!H138+'TB-Jul'!H138+'TB-Aug'!H138+'TB-Sep'!H138+'TB-Oct'!H138+'TB-Nov'!H138+'TB-Dec'!H138</f>
        <v>0</v>
      </c>
      <c r="I138" s="95">
        <f>'TB-Jan'!I138+'TB-Feb'!I138+'TB-Mar'!I138+'TB-Apr'!I138+'TB-May'!I138+'TB-Jun'!I138+'TB-Jul'!I138+'TB-Aug'!I138+'TB-Sep'!I138+'TB-Oct'!I138+'TB-Nov'!I138+'TB-Dec'!I138</f>
        <v>0</v>
      </c>
      <c r="J138" s="95">
        <f>'TB-Jan'!J138+'TB-Feb'!J138+'TB-Mar'!J138+'TB-Apr'!J138+'TB-May'!J138+'TB-Jun'!J138+'TB-Jul'!J138+'TB-Aug'!J138+'TB-Sep'!J138+'TB-Oct'!J138+'TB-Nov'!J138+'TB-Dec'!J138</f>
        <v>0</v>
      </c>
      <c r="K138" s="96">
        <f>'TB-Jan'!K138+'TB-Feb'!K138+'TB-Mar'!K138+'TB-Apr'!K138+'TB-May'!K138+'TB-Jun'!K138+'TB-Jul'!K138+'TB-Aug'!K138+'TB-Sep'!K138+'TB-Oct'!K138+'TB-Nov'!K138+'TB-Dec'!K138</f>
        <v>0</v>
      </c>
      <c r="L138" s="96">
        <f>'TB-Jan'!L138+'TB-Feb'!L138+'TB-Mar'!L138+'TB-Apr'!L138+'TB-May'!L138+'TB-Jun'!L138+'TB-Jul'!L138+'TB-Aug'!L138+'TB-Sep'!L138+'TB-Oct'!L138+'TB-Nov'!L138+'TB-Dec'!L138</f>
        <v>0</v>
      </c>
      <c r="M138" s="97">
        <f>'TB-Jan'!M138+'TB-Feb'!M138+'TB-Mar'!M138+'TB-Apr'!M138+'TB-May'!M138+'TB-Jun'!M138+'TB-Jul'!M138+'TB-Aug'!M138+'TB-Sep'!M138+'TB-Oct'!M138+'TB-Nov'!M138+'TB-Dec'!M138</f>
        <v>0</v>
      </c>
      <c r="N138" s="97">
        <f>'TB-Jan'!N138+'TB-Feb'!N138+'TB-Mar'!N138+'TB-Apr'!N138+'TB-May'!N138+'TB-Jun'!N138+'TB-Jul'!N138+'TB-Aug'!N138+'TB-Sep'!N138+'TB-Oct'!N138+'TB-Nov'!N138+'TB-Dec'!N138</f>
        <v>0</v>
      </c>
    </row>
    <row r="139" spans="1:14" hidden="1">
      <c r="A139" s="8" t="s">
        <v>236</v>
      </c>
      <c r="B139" s="4" t="s">
        <v>237</v>
      </c>
      <c r="C139" s="7"/>
      <c r="D139" s="7">
        <f>F139-E139</f>
        <v>0</v>
      </c>
      <c r="E139" s="6">
        <f t="shared" si="2"/>
        <v>0</v>
      </c>
      <c r="F139" s="6">
        <f t="shared" si="2"/>
        <v>0</v>
      </c>
      <c r="G139" s="94">
        <f>'TB-Jan'!G139+'TB-Feb'!G139+'TB-Mar'!G139+'TB-Apr'!G139+'TB-May'!G139+'TB-Jun'!G139+'TB-Jul'!G139+'TB-Aug'!G139+'TB-Sep'!G139+'TB-Oct'!G139+'TB-Nov'!G139+'TB-Dec'!G139</f>
        <v>0</v>
      </c>
      <c r="H139" s="94">
        <f>'TB-Jan'!H139+'TB-Feb'!H139+'TB-Mar'!H139+'TB-Apr'!H139+'TB-May'!H139+'TB-Jun'!H139+'TB-Jul'!H139+'TB-Aug'!H139+'TB-Sep'!H139+'TB-Oct'!H139+'TB-Nov'!H139+'TB-Dec'!H139</f>
        <v>0</v>
      </c>
      <c r="I139" s="95">
        <f>'TB-Jan'!I139+'TB-Feb'!I139+'TB-Mar'!I139+'TB-Apr'!I139+'TB-May'!I139+'TB-Jun'!I139+'TB-Jul'!I139+'TB-Aug'!I139+'TB-Sep'!I139+'TB-Oct'!I139+'TB-Nov'!I139+'TB-Dec'!I139</f>
        <v>0</v>
      </c>
      <c r="J139" s="95">
        <f>'TB-Jan'!J139+'TB-Feb'!J139+'TB-Mar'!J139+'TB-Apr'!J139+'TB-May'!J139+'TB-Jun'!J139+'TB-Jul'!J139+'TB-Aug'!J139+'TB-Sep'!J139+'TB-Oct'!J139+'TB-Nov'!J139+'TB-Dec'!J139</f>
        <v>0</v>
      </c>
      <c r="K139" s="96">
        <f>'TB-Jan'!K139+'TB-Feb'!K139+'TB-Mar'!K139+'TB-Apr'!K139+'TB-May'!K139+'TB-Jun'!K139+'TB-Jul'!K139+'TB-Aug'!K139+'TB-Sep'!K139+'TB-Oct'!K139+'TB-Nov'!K139+'TB-Dec'!K139</f>
        <v>0</v>
      </c>
      <c r="L139" s="96">
        <f>'TB-Jan'!L139+'TB-Feb'!L139+'TB-Mar'!L139+'TB-Apr'!L139+'TB-May'!L139+'TB-Jun'!L139+'TB-Jul'!L139+'TB-Aug'!L139+'TB-Sep'!L139+'TB-Oct'!L139+'TB-Nov'!L139+'TB-Dec'!L139</f>
        <v>0</v>
      </c>
      <c r="M139" s="97">
        <f>'TB-Jan'!M139+'TB-Feb'!M139+'TB-Mar'!M139+'TB-Apr'!M139+'TB-May'!M139+'TB-Jun'!M139+'TB-Jul'!M139+'TB-Aug'!M139+'TB-Sep'!M139+'TB-Oct'!M139+'TB-Nov'!M139+'TB-Dec'!M139</f>
        <v>0</v>
      </c>
      <c r="N139" s="97">
        <f>'TB-Jan'!N139+'TB-Feb'!N139+'TB-Mar'!N139+'TB-Apr'!N139+'TB-May'!N139+'TB-Jun'!N139+'TB-Jul'!N139+'TB-Aug'!N139+'TB-Sep'!N139+'TB-Oct'!N139+'TB-Nov'!N139+'TB-Dec'!N139</f>
        <v>0</v>
      </c>
    </row>
    <row r="140" spans="1:14" hidden="1">
      <c r="A140" s="8" t="s">
        <v>238</v>
      </c>
      <c r="B140" s="4" t="s">
        <v>239</v>
      </c>
      <c r="C140" s="7">
        <f>E140-F140</f>
        <v>0</v>
      </c>
      <c r="D140" s="7"/>
      <c r="E140" s="6">
        <f t="shared" si="2"/>
        <v>0</v>
      </c>
      <c r="F140" s="6">
        <f t="shared" si="2"/>
        <v>0</v>
      </c>
      <c r="G140" s="94">
        <f>'TB-Jan'!G140+'TB-Feb'!G140+'TB-Mar'!G140+'TB-Apr'!G140+'TB-May'!G140+'TB-Jun'!G140+'TB-Jul'!G140+'TB-Aug'!G140+'TB-Sep'!G140+'TB-Oct'!G140+'TB-Nov'!G140+'TB-Dec'!G140</f>
        <v>0</v>
      </c>
      <c r="H140" s="94">
        <f>'TB-Jan'!H140+'TB-Feb'!H140+'TB-Mar'!H140+'TB-Apr'!H140+'TB-May'!H140+'TB-Jun'!H140+'TB-Jul'!H140+'TB-Aug'!H140+'TB-Sep'!H140+'TB-Oct'!H140+'TB-Nov'!H140+'TB-Dec'!H140</f>
        <v>0</v>
      </c>
      <c r="I140" s="95">
        <f>'TB-Jan'!I140+'TB-Feb'!I140+'TB-Mar'!I140+'TB-Apr'!I140+'TB-May'!I140+'TB-Jun'!I140+'TB-Jul'!I140+'TB-Aug'!I140+'TB-Sep'!I140+'TB-Oct'!I140+'TB-Nov'!I140+'TB-Dec'!I140</f>
        <v>0</v>
      </c>
      <c r="J140" s="95">
        <f>'TB-Jan'!J140+'TB-Feb'!J140+'TB-Mar'!J140+'TB-Apr'!J140+'TB-May'!J140+'TB-Jun'!J140+'TB-Jul'!J140+'TB-Aug'!J140+'TB-Sep'!J140+'TB-Oct'!J140+'TB-Nov'!J140+'TB-Dec'!J140</f>
        <v>0</v>
      </c>
      <c r="K140" s="96">
        <f>'TB-Jan'!K140+'TB-Feb'!K140+'TB-Mar'!K140+'TB-Apr'!K140+'TB-May'!K140+'TB-Jun'!K140+'TB-Jul'!K140+'TB-Aug'!K140+'TB-Sep'!K140+'TB-Oct'!K140+'TB-Nov'!K140+'TB-Dec'!K140</f>
        <v>0</v>
      </c>
      <c r="L140" s="96">
        <f>'TB-Jan'!L140+'TB-Feb'!L140+'TB-Mar'!L140+'TB-Apr'!L140+'TB-May'!L140+'TB-Jun'!L140+'TB-Jul'!L140+'TB-Aug'!L140+'TB-Sep'!L140+'TB-Oct'!L140+'TB-Nov'!L140+'TB-Dec'!L140</f>
        <v>0</v>
      </c>
      <c r="M140" s="97">
        <f>'TB-Jan'!M140+'TB-Feb'!M140+'TB-Mar'!M140+'TB-Apr'!M140+'TB-May'!M140+'TB-Jun'!M140+'TB-Jul'!M140+'TB-Aug'!M140+'TB-Sep'!M140+'TB-Oct'!M140+'TB-Nov'!M140+'TB-Dec'!M140</f>
        <v>0</v>
      </c>
      <c r="N140" s="97">
        <f>'TB-Jan'!N140+'TB-Feb'!N140+'TB-Mar'!N140+'TB-Apr'!N140+'TB-May'!N140+'TB-Jun'!N140+'TB-Jul'!N140+'TB-Aug'!N140+'TB-Sep'!N140+'TB-Oct'!N140+'TB-Nov'!N140+'TB-Dec'!N140</f>
        <v>0</v>
      </c>
    </row>
    <row r="141" spans="1:14" ht="28.5" hidden="1">
      <c r="A141" s="8" t="s">
        <v>240</v>
      </c>
      <c r="B141" s="4" t="s">
        <v>241</v>
      </c>
      <c r="C141" s="7"/>
      <c r="D141" s="7">
        <f>F141-E141</f>
        <v>0</v>
      </c>
      <c r="E141" s="6">
        <f t="shared" si="2"/>
        <v>0</v>
      </c>
      <c r="F141" s="6">
        <f t="shared" si="2"/>
        <v>0</v>
      </c>
      <c r="G141" s="94">
        <f>'TB-Jan'!G141+'TB-Feb'!G141+'TB-Mar'!G141+'TB-Apr'!G141+'TB-May'!G141+'TB-Jun'!G141+'TB-Jul'!G141+'TB-Aug'!G141+'TB-Sep'!G141+'TB-Oct'!G141+'TB-Nov'!G141+'TB-Dec'!G141</f>
        <v>0</v>
      </c>
      <c r="H141" s="94">
        <f>'TB-Jan'!H141+'TB-Feb'!H141+'TB-Mar'!H141+'TB-Apr'!H141+'TB-May'!H141+'TB-Jun'!H141+'TB-Jul'!H141+'TB-Aug'!H141+'TB-Sep'!H141+'TB-Oct'!H141+'TB-Nov'!H141+'TB-Dec'!H141</f>
        <v>0</v>
      </c>
      <c r="I141" s="95">
        <f>'TB-Jan'!I141+'TB-Feb'!I141+'TB-Mar'!I141+'TB-Apr'!I141+'TB-May'!I141+'TB-Jun'!I141+'TB-Jul'!I141+'TB-Aug'!I141+'TB-Sep'!I141+'TB-Oct'!I141+'TB-Nov'!I141+'TB-Dec'!I141</f>
        <v>0</v>
      </c>
      <c r="J141" s="95">
        <f>'TB-Jan'!J141+'TB-Feb'!J141+'TB-Mar'!J141+'TB-Apr'!J141+'TB-May'!J141+'TB-Jun'!J141+'TB-Jul'!J141+'TB-Aug'!J141+'TB-Sep'!J141+'TB-Oct'!J141+'TB-Nov'!J141+'TB-Dec'!J141</f>
        <v>0</v>
      </c>
      <c r="K141" s="96">
        <f>'TB-Jan'!K141+'TB-Feb'!K141+'TB-Mar'!K141+'TB-Apr'!K141+'TB-May'!K141+'TB-Jun'!K141+'TB-Jul'!K141+'TB-Aug'!K141+'TB-Sep'!K141+'TB-Oct'!K141+'TB-Nov'!K141+'TB-Dec'!K141</f>
        <v>0</v>
      </c>
      <c r="L141" s="96">
        <f>'TB-Jan'!L141+'TB-Feb'!L141+'TB-Mar'!L141+'TB-Apr'!L141+'TB-May'!L141+'TB-Jun'!L141+'TB-Jul'!L141+'TB-Aug'!L141+'TB-Sep'!L141+'TB-Oct'!L141+'TB-Nov'!L141+'TB-Dec'!L141</f>
        <v>0</v>
      </c>
      <c r="M141" s="97">
        <f>'TB-Jan'!M141+'TB-Feb'!M141+'TB-Mar'!M141+'TB-Apr'!M141+'TB-May'!M141+'TB-Jun'!M141+'TB-Jul'!M141+'TB-Aug'!M141+'TB-Sep'!M141+'TB-Oct'!M141+'TB-Nov'!M141+'TB-Dec'!M141</f>
        <v>0</v>
      </c>
      <c r="N141" s="97">
        <f>'TB-Jan'!N141+'TB-Feb'!N141+'TB-Mar'!N141+'TB-Apr'!N141+'TB-May'!N141+'TB-Jun'!N141+'TB-Jul'!N141+'TB-Aug'!N141+'TB-Sep'!N141+'TB-Oct'!N141+'TB-Nov'!N141+'TB-Dec'!N141</f>
        <v>0</v>
      </c>
    </row>
    <row r="142" spans="1:14">
      <c r="A142" s="8" t="s">
        <v>242</v>
      </c>
      <c r="B142" s="4" t="s">
        <v>243</v>
      </c>
      <c r="C142" s="7">
        <f>E142-F142</f>
        <v>150000</v>
      </c>
      <c r="D142" s="7"/>
      <c r="E142" s="6">
        <f t="shared" ref="E142:F205" si="3">SUM(G142,I142,K142,M142)</f>
        <v>150000</v>
      </c>
      <c r="F142" s="6">
        <f t="shared" si="3"/>
        <v>0</v>
      </c>
      <c r="G142" s="94">
        <f>'TB-Jan'!G142+'TB-Feb'!G142+'TB-Mar'!G142+'TB-Apr'!G142+'TB-May'!G142+'TB-Jun'!G142+'TB-Jul'!G142+'TB-Aug'!G142+'TB-Sep'!G142+'TB-Oct'!G142+'TB-Nov'!G142+'TB-Dec'!G142</f>
        <v>150000</v>
      </c>
      <c r="H142" s="94">
        <f>'TB-Jan'!H142+'TB-Feb'!H142+'TB-Mar'!H142+'TB-Apr'!H142+'TB-May'!H142+'TB-Jun'!H142+'TB-Jul'!H142+'TB-Aug'!H142+'TB-Sep'!H142+'TB-Oct'!H142+'TB-Nov'!H142+'TB-Dec'!H142</f>
        <v>0</v>
      </c>
      <c r="I142" s="95">
        <f>'TB-Jan'!I142+'TB-Feb'!I142+'TB-Mar'!I142+'TB-Apr'!I142+'TB-May'!I142+'TB-Jun'!I142+'TB-Jul'!I142+'TB-Aug'!I142+'TB-Sep'!I142+'TB-Oct'!I142+'TB-Nov'!I142+'TB-Dec'!I142</f>
        <v>0</v>
      </c>
      <c r="J142" s="95">
        <f>'TB-Jan'!J142+'TB-Feb'!J142+'TB-Mar'!J142+'TB-Apr'!J142+'TB-May'!J142+'TB-Jun'!J142+'TB-Jul'!J142+'TB-Aug'!J142+'TB-Sep'!J142+'TB-Oct'!J142+'TB-Nov'!J142+'TB-Dec'!J142</f>
        <v>0</v>
      </c>
      <c r="K142" s="96">
        <f>'TB-Jan'!K142+'TB-Feb'!K142+'TB-Mar'!K142+'TB-Apr'!K142+'TB-May'!K142+'TB-Jun'!K142+'TB-Jul'!K142+'TB-Aug'!K142+'TB-Sep'!K142+'TB-Oct'!K142+'TB-Nov'!K142+'TB-Dec'!K142</f>
        <v>0</v>
      </c>
      <c r="L142" s="96">
        <f>'TB-Jan'!L142+'TB-Feb'!L142+'TB-Mar'!L142+'TB-Apr'!L142+'TB-May'!L142+'TB-Jun'!L142+'TB-Jul'!L142+'TB-Aug'!L142+'TB-Sep'!L142+'TB-Oct'!L142+'TB-Nov'!L142+'TB-Dec'!L142</f>
        <v>0</v>
      </c>
      <c r="M142" s="97">
        <f>'TB-Jan'!M142+'TB-Feb'!M142+'TB-Mar'!M142+'TB-Apr'!M142+'TB-May'!M142+'TB-Jun'!M142+'TB-Jul'!M142+'TB-Aug'!M142+'TB-Sep'!M142+'TB-Oct'!M142+'TB-Nov'!M142+'TB-Dec'!M142</f>
        <v>0</v>
      </c>
      <c r="N142" s="97">
        <f>'TB-Jan'!N142+'TB-Feb'!N142+'TB-Mar'!N142+'TB-Apr'!N142+'TB-May'!N142+'TB-Jun'!N142+'TB-Jul'!N142+'TB-Aug'!N142+'TB-Sep'!N142+'TB-Oct'!N142+'TB-Nov'!N142+'TB-Dec'!N142</f>
        <v>0</v>
      </c>
    </row>
    <row r="143" spans="1:14" hidden="1">
      <c r="A143" s="8" t="s">
        <v>244</v>
      </c>
      <c r="B143" s="4" t="s">
        <v>245</v>
      </c>
      <c r="C143" s="7"/>
      <c r="D143" s="7">
        <f>F143-E143</f>
        <v>0</v>
      </c>
      <c r="E143" s="6">
        <f t="shared" si="3"/>
        <v>0</v>
      </c>
      <c r="F143" s="6">
        <f t="shared" si="3"/>
        <v>0</v>
      </c>
      <c r="G143" s="94">
        <f>'TB-Jan'!G143+'TB-Feb'!G143+'TB-Mar'!G143+'TB-Apr'!G143+'TB-May'!G143+'TB-Jun'!G143+'TB-Jul'!G143+'TB-Aug'!G143+'TB-Sep'!G143+'TB-Oct'!G143+'TB-Nov'!G143+'TB-Dec'!G143</f>
        <v>0</v>
      </c>
      <c r="H143" s="94">
        <f>'TB-Jan'!H143+'TB-Feb'!H143+'TB-Mar'!H143+'TB-Apr'!H143+'TB-May'!H143+'TB-Jun'!H143+'TB-Jul'!H143+'TB-Aug'!H143+'TB-Sep'!H143+'TB-Oct'!H143+'TB-Nov'!H143+'TB-Dec'!H143</f>
        <v>0</v>
      </c>
      <c r="I143" s="95">
        <f>'TB-Jan'!I143+'TB-Feb'!I143+'TB-Mar'!I143+'TB-Apr'!I143+'TB-May'!I143+'TB-Jun'!I143+'TB-Jul'!I143+'TB-Aug'!I143+'TB-Sep'!I143+'TB-Oct'!I143+'TB-Nov'!I143+'TB-Dec'!I143</f>
        <v>0</v>
      </c>
      <c r="J143" s="95">
        <f>'TB-Jan'!J143+'TB-Feb'!J143+'TB-Mar'!J143+'TB-Apr'!J143+'TB-May'!J143+'TB-Jun'!J143+'TB-Jul'!J143+'TB-Aug'!J143+'TB-Sep'!J143+'TB-Oct'!J143+'TB-Nov'!J143+'TB-Dec'!J143</f>
        <v>0</v>
      </c>
      <c r="K143" s="96">
        <f>'TB-Jan'!K143+'TB-Feb'!K143+'TB-Mar'!K143+'TB-Apr'!K143+'TB-May'!K143+'TB-Jun'!K143+'TB-Jul'!K143+'TB-Aug'!K143+'TB-Sep'!K143+'TB-Oct'!K143+'TB-Nov'!K143+'TB-Dec'!K143</f>
        <v>0</v>
      </c>
      <c r="L143" s="96">
        <f>'TB-Jan'!L143+'TB-Feb'!L143+'TB-Mar'!L143+'TB-Apr'!L143+'TB-May'!L143+'TB-Jun'!L143+'TB-Jul'!L143+'TB-Aug'!L143+'TB-Sep'!L143+'TB-Oct'!L143+'TB-Nov'!L143+'TB-Dec'!L143</f>
        <v>0</v>
      </c>
      <c r="M143" s="97">
        <f>'TB-Jan'!M143+'TB-Feb'!M143+'TB-Mar'!M143+'TB-Apr'!M143+'TB-May'!M143+'TB-Jun'!M143+'TB-Jul'!M143+'TB-Aug'!M143+'TB-Sep'!M143+'TB-Oct'!M143+'TB-Nov'!M143+'TB-Dec'!M143</f>
        <v>0</v>
      </c>
      <c r="N143" s="97">
        <f>'TB-Jan'!N143+'TB-Feb'!N143+'TB-Mar'!N143+'TB-Apr'!N143+'TB-May'!N143+'TB-Jun'!N143+'TB-Jul'!N143+'TB-Aug'!N143+'TB-Sep'!N143+'TB-Oct'!N143+'TB-Nov'!N143+'TB-Dec'!N143</f>
        <v>0</v>
      </c>
    </row>
    <row r="144" spans="1:14" hidden="1">
      <c r="A144" s="8" t="s">
        <v>246</v>
      </c>
      <c r="B144" s="4" t="s">
        <v>247</v>
      </c>
      <c r="C144" s="7">
        <f>E144-F144</f>
        <v>0</v>
      </c>
      <c r="D144" s="7"/>
      <c r="E144" s="6">
        <f t="shared" si="3"/>
        <v>0</v>
      </c>
      <c r="F144" s="6">
        <f t="shared" si="3"/>
        <v>0</v>
      </c>
      <c r="G144" s="94">
        <f>'TB-Jan'!G144+'TB-Feb'!G144+'TB-Mar'!G144+'TB-Apr'!G144+'TB-May'!G144+'TB-Jun'!G144+'TB-Jul'!G144+'TB-Aug'!G144+'TB-Sep'!G144+'TB-Oct'!G144+'TB-Nov'!G144+'TB-Dec'!G144</f>
        <v>0</v>
      </c>
      <c r="H144" s="94">
        <f>'TB-Jan'!H144+'TB-Feb'!H144+'TB-Mar'!H144+'TB-Apr'!H144+'TB-May'!H144+'TB-Jun'!H144+'TB-Jul'!H144+'TB-Aug'!H144+'TB-Sep'!H144+'TB-Oct'!H144+'TB-Nov'!H144+'TB-Dec'!H144</f>
        <v>0</v>
      </c>
      <c r="I144" s="95">
        <f>'TB-Jan'!I144+'TB-Feb'!I144+'TB-Mar'!I144+'TB-Apr'!I144+'TB-May'!I144+'TB-Jun'!I144+'TB-Jul'!I144+'TB-Aug'!I144+'TB-Sep'!I144+'TB-Oct'!I144+'TB-Nov'!I144+'TB-Dec'!I144</f>
        <v>0</v>
      </c>
      <c r="J144" s="95">
        <f>'TB-Jan'!J144+'TB-Feb'!J144+'TB-Mar'!J144+'TB-Apr'!J144+'TB-May'!J144+'TB-Jun'!J144+'TB-Jul'!J144+'TB-Aug'!J144+'TB-Sep'!J144+'TB-Oct'!J144+'TB-Nov'!J144+'TB-Dec'!J144</f>
        <v>0</v>
      </c>
      <c r="K144" s="96">
        <f>'TB-Jan'!K144+'TB-Feb'!K144+'TB-Mar'!K144+'TB-Apr'!K144+'TB-May'!K144+'TB-Jun'!K144+'TB-Jul'!K144+'TB-Aug'!K144+'TB-Sep'!K144+'TB-Oct'!K144+'TB-Nov'!K144+'TB-Dec'!K144</f>
        <v>0</v>
      </c>
      <c r="L144" s="96">
        <f>'TB-Jan'!L144+'TB-Feb'!L144+'TB-Mar'!L144+'TB-Apr'!L144+'TB-May'!L144+'TB-Jun'!L144+'TB-Jul'!L144+'TB-Aug'!L144+'TB-Sep'!L144+'TB-Oct'!L144+'TB-Nov'!L144+'TB-Dec'!L144</f>
        <v>0</v>
      </c>
      <c r="M144" s="97">
        <f>'TB-Jan'!M144+'TB-Feb'!M144+'TB-Mar'!M144+'TB-Apr'!M144+'TB-May'!M144+'TB-Jun'!M144+'TB-Jul'!M144+'TB-Aug'!M144+'TB-Sep'!M144+'TB-Oct'!M144+'TB-Nov'!M144+'TB-Dec'!M144</f>
        <v>0</v>
      </c>
      <c r="N144" s="97">
        <f>'TB-Jan'!N144+'TB-Feb'!N144+'TB-Mar'!N144+'TB-Apr'!N144+'TB-May'!N144+'TB-Jun'!N144+'TB-Jul'!N144+'TB-Aug'!N144+'TB-Sep'!N144+'TB-Oct'!N144+'TB-Nov'!N144+'TB-Dec'!N144</f>
        <v>0</v>
      </c>
    </row>
    <row r="145" spans="1:14" ht="28.5" hidden="1">
      <c r="A145" s="8" t="s">
        <v>248</v>
      </c>
      <c r="B145" s="4" t="s">
        <v>249</v>
      </c>
      <c r="C145" s="7"/>
      <c r="D145" s="7">
        <f>F145-E145</f>
        <v>0</v>
      </c>
      <c r="E145" s="6">
        <f t="shared" si="3"/>
        <v>0</v>
      </c>
      <c r="F145" s="6">
        <f t="shared" si="3"/>
        <v>0</v>
      </c>
      <c r="G145" s="94">
        <f>'TB-Jan'!G145+'TB-Feb'!G145+'TB-Mar'!G145+'TB-Apr'!G145+'TB-May'!G145+'TB-Jun'!G145+'TB-Jul'!G145+'TB-Aug'!G145+'TB-Sep'!G145+'TB-Oct'!G145+'TB-Nov'!G145+'TB-Dec'!G145</f>
        <v>0</v>
      </c>
      <c r="H145" s="94">
        <f>'TB-Jan'!H145+'TB-Feb'!H145+'TB-Mar'!H145+'TB-Apr'!H145+'TB-May'!H145+'TB-Jun'!H145+'TB-Jul'!H145+'TB-Aug'!H145+'TB-Sep'!H145+'TB-Oct'!H145+'TB-Nov'!H145+'TB-Dec'!H145</f>
        <v>0</v>
      </c>
      <c r="I145" s="95">
        <f>'TB-Jan'!I145+'TB-Feb'!I145+'TB-Mar'!I145+'TB-Apr'!I145+'TB-May'!I145+'TB-Jun'!I145+'TB-Jul'!I145+'TB-Aug'!I145+'TB-Sep'!I145+'TB-Oct'!I145+'TB-Nov'!I145+'TB-Dec'!I145</f>
        <v>0</v>
      </c>
      <c r="J145" s="95">
        <f>'TB-Jan'!J145+'TB-Feb'!J145+'TB-Mar'!J145+'TB-Apr'!J145+'TB-May'!J145+'TB-Jun'!J145+'TB-Jul'!J145+'TB-Aug'!J145+'TB-Sep'!J145+'TB-Oct'!J145+'TB-Nov'!J145+'TB-Dec'!J145</f>
        <v>0</v>
      </c>
      <c r="K145" s="96">
        <f>'TB-Jan'!K145+'TB-Feb'!K145+'TB-Mar'!K145+'TB-Apr'!K145+'TB-May'!K145+'TB-Jun'!K145+'TB-Jul'!K145+'TB-Aug'!K145+'TB-Sep'!K145+'TB-Oct'!K145+'TB-Nov'!K145+'TB-Dec'!K145</f>
        <v>0</v>
      </c>
      <c r="L145" s="96">
        <f>'TB-Jan'!L145+'TB-Feb'!L145+'TB-Mar'!L145+'TB-Apr'!L145+'TB-May'!L145+'TB-Jun'!L145+'TB-Jul'!L145+'TB-Aug'!L145+'TB-Sep'!L145+'TB-Oct'!L145+'TB-Nov'!L145+'TB-Dec'!L145</f>
        <v>0</v>
      </c>
      <c r="M145" s="97">
        <f>'TB-Jan'!M145+'TB-Feb'!M145+'TB-Mar'!M145+'TB-Apr'!M145+'TB-May'!M145+'TB-Jun'!M145+'TB-Jul'!M145+'TB-Aug'!M145+'TB-Sep'!M145+'TB-Oct'!M145+'TB-Nov'!M145+'TB-Dec'!M145</f>
        <v>0</v>
      </c>
      <c r="N145" s="97">
        <f>'TB-Jan'!N145+'TB-Feb'!N145+'TB-Mar'!N145+'TB-Apr'!N145+'TB-May'!N145+'TB-Jun'!N145+'TB-Jul'!N145+'TB-Aug'!N145+'TB-Sep'!N145+'TB-Oct'!N145+'TB-Nov'!N145+'TB-Dec'!N145</f>
        <v>0</v>
      </c>
    </row>
    <row r="146" spans="1:14" hidden="1">
      <c r="A146" s="8" t="s">
        <v>250</v>
      </c>
      <c r="B146" s="4" t="s">
        <v>251</v>
      </c>
      <c r="C146" s="7">
        <f>E146-F146</f>
        <v>0</v>
      </c>
      <c r="D146" s="7"/>
      <c r="E146" s="6">
        <f t="shared" si="3"/>
        <v>0</v>
      </c>
      <c r="F146" s="6">
        <f t="shared" si="3"/>
        <v>0</v>
      </c>
      <c r="G146" s="94">
        <f>'TB-Jan'!G146+'TB-Feb'!G146+'TB-Mar'!G146+'TB-Apr'!G146+'TB-May'!G146+'TB-Jun'!G146+'TB-Jul'!G146+'TB-Aug'!G146+'TB-Sep'!G146+'TB-Oct'!G146+'TB-Nov'!G146+'TB-Dec'!G146</f>
        <v>0</v>
      </c>
      <c r="H146" s="94">
        <f>'TB-Jan'!H146+'TB-Feb'!H146+'TB-Mar'!H146+'TB-Apr'!H146+'TB-May'!H146+'TB-Jun'!H146+'TB-Jul'!H146+'TB-Aug'!H146+'TB-Sep'!H146+'TB-Oct'!H146+'TB-Nov'!H146+'TB-Dec'!H146</f>
        <v>0</v>
      </c>
      <c r="I146" s="95">
        <f>'TB-Jan'!I146+'TB-Feb'!I146+'TB-Mar'!I146+'TB-Apr'!I146+'TB-May'!I146+'TB-Jun'!I146+'TB-Jul'!I146+'TB-Aug'!I146+'TB-Sep'!I146+'TB-Oct'!I146+'TB-Nov'!I146+'TB-Dec'!I146</f>
        <v>0</v>
      </c>
      <c r="J146" s="95">
        <f>'TB-Jan'!J146+'TB-Feb'!J146+'TB-Mar'!J146+'TB-Apr'!J146+'TB-May'!J146+'TB-Jun'!J146+'TB-Jul'!J146+'TB-Aug'!J146+'TB-Sep'!J146+'TB-Oct'!J146+'TB-Nov'!J146+'TB-Dec'!J146</f>
        <v>0</v>
      </c>
      <c r="K146" s="96">
        <f>'TB-Jan'!K146+'TB-Feb'!K146+'TB-Mar'!K146+'TB-Apr'!K146+'TB-May'!K146+'TB-Jun'!K146+'TB-Jul'!K146+'TB-Aug'!K146+'TB-Sep'!K146+'TB-Oct'!K146+'TB-Nov'!K146+'TB-Dec'!K146</f>
        <v>0</v>
      </c>
      <c r="L146" s="96">
        <f>'TB-Jan'!L146+'TB-Feb'!L146+'TB-Mar'!L146+'TB-Apr'!L146+'TB-May'!L146+'TB-Jun'!L146+'TB-Jul'!L146+'TB-Aug'!L146+'TB-Sep'!L146+'TB-Oct'!L146+'TB-Nov'!L146+'TB-Dec'!L146</f>
        <v>0</v>
      </c>
      <c r="M146" s="97">
        <f>'TB-Jan'!M146+'TB-Feb'!M146+'TB-Mar'!M146+'TB-Apr'!M146+'TB-May'!M146+'TB-Jun'!M146+'TB-Jul'!M146+'TB-Aug'!M146+'TB-Sep'!M146+'TB-Oct'!M146+'TB-Nov'!M146+'TB-Dec'!M146</f>
        <v>0</v>
      </c>
      <c r="N146" s="97">
        <f>'TB-Jan'!N146+'TB-Feb'!N146+'TB-Mar'!N146+'TB-Apr'!N146+'TB-May'!N146+'TB-Jun'!N146+'TB-Jul'!N146+'TB-Aug'!N146+'TB-Sep'!N146+'TB-Oct'!N146+'TB-Nov'!N146+'TB-Dec'!N146</f>
        <v>0</v>
      </c>
    </row>
    <row r="147" spans="1:14" ht="28.5" hidden="1">
      <c r="A147" s="8" t="s">
        <v>252</v>
      </c>
      <c r="B147" s="4" t="s">
        <v>253</v>
      </c>
      <c r="C147" s="7"/>
      <c r="D147" s="7">
        <f>F147-E147</f>
        <v>0</v>
      </c>
      <c r="E147" s="6">
        <f t="shared" si="3"/>
        <v>0</v>
      </c>
      <c r="F147" s="6">
        <f t="shared" si="3"/>
        <v>0</v>
      </c>
      <c r="G147" s="94">
        <f>'TB-Jan'!G147+'TB-Feb'!G147+'TB-Mar'!G147+'TB-Apr'!G147+'TB-May'!G147+'TB-Jun'!G147+'TB-Jul'!G147+'TB-Aug'!G147+'TB-Sep'!G147+'TB-Oct'!G147+'TB-Nov'!G147+'TB-Dec'!G147</f>
        <v>0</v>
      </c>
      <c r="H147" s="94">
        <f>'TB-Jan'!H147+'TB-Feb'!H147+'TB-Mar'!H147+'TB-Apr'!H147+'TB-May'!H147+'TB-Jun'!H147+'TB-Jul'!H147+'TB-Aug'!H147+'TB-Sep'!H147+'TB-Oct'!H147+'TB-Nov'!H147+'TB-Dec'!H147</f>
        <v>0</v>
      </c>
      <c r="I147" s="95">
        <f>'TB-Jan'!I147+'TB-Feb'!I147+'TB-Mar'!I147+'TB-Apr'!I147+'TB-May'!I147+'TB-Jun'!I147+'TB-Jul'!I147+'TB-Aug'!I147+'TB-Sep'!I147+'TB-Oct'!I147+'TB-Nov'!I147+'TB-Dec'!I147</f>
        <v>0</v>
      </c>
      <c r="J147" s="95">
        <f>'TB-Jan'!J147+'TB-Feb'!J147+'TB-Mar'!J147+'TB-Apr'!J147+'TB-May'!J147+'TB-Jun'!J147+'TB-Jul'!J147+'TB-Aug'!J147+'TB-Sep'!J147+'TB-Oct'!J147+'TB-Nov'!J147+'TB-Dec'!J147</f>
        <v>0</v>
      </c>
      <c r="K147" s="96">
        <f>'TB-Jan'!K147+'TB-Feb'!K147+'TB-Mar'!K147+'TB-Apr'!K147+'TB-May'!K147+'TB-Jun'!K147+'TB-Jul'!K147+'TB-Aug'!K147+'TB-Sep'!K147+'TB-Oct'!K147+'TB-Nov'!K147+'TB-Dec'!K147</f>
        <v>0</v>
      </c>
      <c r="L147" s="96">
        <f>'TB-Jan'!L147+'TB-Feb'!L147+'TB-Mar'!L147+'TB-Apr'!L147+'TB-May'!L147+'TB-Jun'!L147+'TB-Jul'!L147+'TB-Aug'!L147+'TB-Sep'!L147+'TB-Oct'!L147+'TB-Nov'!L147+'TB-Dec'!L147</f>
        <v>0</v>
      </c>
      <c r="M147" s="97">
        <f>'TB-Jan'!M147+'TB-Feb'!M147+'TB-Mar'!M147+'TB-Apr'!M147+'TB-May'!M147+'TB-Jun'!M147+'TB-Jul'!M147+'TB-Aug'!M147+'TB-Sep'!M147+'TB-Oct'!M147+'TB-Nov'!M147+'TB-Dec'!M147</f>
        <v>0</v>
      </c>
      <c r="N147" s="97">
        <f>'TB-Jan'!N147+'TB-Feb'!N147+'TB-Mar'!N147+'TB-Apr'!N147+'TB-May'!N147+'TB-Jun'!N147+'TB-Jul'!N147+'TB-Aug'!N147+'TB-Sep'!N147+'TB-Oct'!N147+'TB-Nov'!N147+'TB-Dec'!N147</f>
        <v>0</v>
      </c>
    </row>
    <row r="148" spans="1:14" hidden="1">
      <c r="A148" s="8" t="s">
        <v>254</v>
      </c>
      <c r="B148" s="4" t="s">
        <v>255</v>
      </c>
      <c r="C148" s="7">
        <f t="shared" ref="C148:C173" si="4">E148-F148</f>
        <v>0</v>
      </c>
      <c r="D148" s="7"/>
      <c r="E148" s="6">
        <f t="shared" si="3"/>
        <v>0</v>
      </c>
      <c r="F148" s="6">
        <f t="shared" si="3"/>
        <v>0</v>
      </c>
      <c r="G148" s="94">
        <f>'TB-Jan'!G148+'TB-Feb'!G148+'TB-Mar'!G148+'TB-Apr'!G148+'TB-May'!G148+'TB-Jun'!G148+'TB-Jul'!G148+'TB-Aug'!G148+'TB-Sep'!G148+'TB-Oct'!G148+'TB-Nov'!G148+'TB-Dec'!G148</f>
        <v>0</v>
      </c>
      <c r="H148" s="94">
        <f>'TB-Jan'!H148+'TB-Feb'!H148+'TB-Mar'!H148+'TB-Apr'!H148+'TB-May'!H148+'TB-Jun'!H148+'TB-Jul'!H148+'TB-Aug'!H148+'TB-Sep'!H148+'TB-Oct'!H148+'TB-Nov'!H148+'TB-Dec'!H148</f>
        <v>0</v>
      </c>
      <c r="I148" s="95">
        <f>'TB-Jan'!I148+'TB-Feb'!I148+'TB-Mar'!I148+'TB-Apr'!I148+'TB-May'!I148+'TB-Jun'!I148+'TB-Jul'!I148+'TB-Aug'!I148+'TB-Sep'!I148+'TB-Oct'!I148+'TB-Nov'!I148+'TB-Dec'!I148</f>
        <v>0</v>
      </c>
      <c r="J148" s="95">
        <f>'TB-Jan'!J148+'TB-Feb'!J148+'TB-Mar'!J148+'TB-Apr'!J148+'TB-May'!J148+'TB-Jun'!J148+'TB-Jul'!J148+'TB-Aug'!J148+'TB-Sep'!J148+'TB-Oct'!J148+'TB-Nov'!J148+'TB-Dec'!J148</f>
        <v>0</v>
      </c>
      <c r="K148" s="96">
        <f>'TB-Jan'!K148+'TB-Feb'!K148+'TB-Mar'!K148+'TB-Apr'!K148+'TB-May'!K148+'TB-Jun'!K148+'TB-Jul'!K148+'TB-Aug'!K148+'TB-Sep'!K148+'TB-Oct'!K148+'TB-Nov'!K148+'TB-Dec'!K148</f>
        <v>0</v>
      </c>
      <c r="L148" s="96">
        <f>'TB-Jan'!L148+'TB-Feb'!L148+'TB-Mar'!L148+'TB-Apr'!L148+'TB-May'!L148+'TB-Jun'!L148+'TB-Jul'!L148+'TB-Aug'!L148+'TB-Sep'!L148+'TB-Oct'!L148+'TB-Nov'!L148+'TB-Dec'!L148</f>
        <v>0</v>
      </c>
      <c r="M148" s="97">
        <f>'TB-Jan'!M148+'TB-Feb'!M148+'TB-Mar'!M148+'TB-Apr'!M148+'TB-May'!M148+'TB-Jun'!M148+'TB-Jul'!M148+'TB-Aug'!M148+'TB-Sep'!M148+'TB-Oct'!M148+'TB-Nov'!M148+'TB-Dec'!M148</f>
        <v>0</v>
      </c>
      <c r="N148" s="97">
        <f>'TB-Jan'!N148+'TB-Feb'!N148+'TB-Mar'!N148+'TB-Apr'!N148+'TB-May'!N148+'TB-Jun'!N148+'TB-Jul'!N148+'TB-Aug'!N148+'TB-Sep'!N148+'TB-Oct'!N148+'TB-Nov'!N148+'TB-Dec'!N148</f>
        <v>0</v>
      </c>
    </row>
    <row r="149" spans="1:14" hidden="1">
      <c r="A149" s="8" t="s">
        <v>256</v>
      </c>
      <c r="B149" s="4" t="s">
        <v>257</v>
      </c>
      <c r="C149" s="7">
        <f t="shared" si="4"/>
        <v>0</v>
      </c>
      <c r="D149" s="7"/>
      <c r="E149" s="6">
        <f t="shared" si="3"/>
        <v>0</v>
      </c>
      <c r="F149" s="6">
        <f t="shared" si="3"/>
        <v>0</v>
      </c>
      <c r="G149" s="94">
        <f>'TB-Jan'!G149+'TB-Feb'!G149+'TB-Mar'!G149+'TB-Apr'!G149+'TB-May'!G149+'TB-Jun'!G149+'TB-Jul'!G149+'TB-Aug'!G149+'TB-Sep'!G149+'TB-Oct'!G149+'TB-Nov'!G149+'TB-Dec'!G149</f>
        <v>0</v>
      </c>
      <c r="H149" s="94">
        <f>'TB-Jan'!H149+'TB-Feb'!H149+'TB-Mar'!H149+'TB-Apr'!H149+'TB-May'!H149+'TB-Jun'!H149+'TB-Jul'!H149+'TB-Aug'!H149+'TB-Sep'!H149+'TB-Oct'!H149+'TB-Nov'!H149+'TB-Dec'!H149</f>
        <v>0</v>
      </c>
      <c r="I149" s="95">
        <f>'TB-Jan'!I149+'TB-Feb'!I149+'TB-Mar'!I149+'TB-Apr'!I149+'TB-May'!I149+'TB-Jun'!I149+'TB-Jul'!I149+'TB-Aug'!I149+'TB-Sep'!I149+'TB-Oct'!I149+'TB-Nov'!I149+'TB-Dec'!I149</f>
        <v>0</v>
      </c>
      <c r="J149" s="95">
        <f>'TB-Jan'!J149+'TB-Feb'!J149+'TB-Mar'!J149+'TB-Apr'!J149+'TB-May'!J149+'TB-Jun'!J149+'TB-Jul'!J149+'TB-Aug'!J149+'TB-Sep'!J149+'TB-Oct'!J149+'TB-Nov'!J149+'TB-Dec'!J149</f>
        <v>0</v>
      </c>
      <c r="K149" s="96">
        <f>'TB-Jan'!K149+'TB-Feb'!K149+'TB-Mar'!K149+'TB-Apr'!K149+'TB-May'!K149+'TB-Jun'!K149+'TB-Jul'!K149+'TB-Aug'!K149+'TB-Sep'!K149+'TB-Oct'!K149+'TB-Nov'!K149+'TB-Dec'!K149</f>
        <v>0</v>
      </c>
      <c r="L149" s="96">
        <f>'TB-Jan'!L149+'TB-Feb'!L149+'TB-Mar'!L149+'TB-Apr'!L149+'TB-May'!L149+'TB-Jun'!L149+'TB-Jul'!L149+'TB-Aug'!L149+'TB-Sep'!L149+'TB-Oct'!L149+'TB-Nov'!L149+'TB-Dec'!L149</f>
        <v>0</v>
      </c>
      <c r="M149" s="97">
        <f>'TB-Jan'!M149+'TB-Feb'!M149+'TB-Mar'!M149+'TB-Apr'!M149+'TB-May'!M149+'TB-Jun'!M149+'TB-Jul'!M149+'TB-Aug'!M149+'TB-Sep'!M149+'TB-Oct'!M149+'TB-Nov'!M149+'TB-Dec'!M149</f>
        <v>0</v>
      </c>
      <c r="N149" s="97">
        <f>'TB-Jan'!N149+'TB-Feb'!N149+'TB-Mar'!N149+'TB-Apr'!N149+'TB-May'!N149+'TB-Jun'!N149+'TB-Jul'!N149+'TB-Aug'!N149+'TB-Sep'!N149+'TB-Oct'!N149+'TB-Nov'!N149+'TB-Dec'!N149</f>
        <v>0</v>
      </c>
    </row>
    <row r="150" spans="1:14" hidden="1">
      <c r="A150" s="8" t="s">
        <v>258</v>
      </c>
      <c r="B150" s="4" t="s">
        <v>259</v>
      </c>
      <c r="C150" s="7">
        <f t="shared" si="4"/>
        <v>0</v>
      </c>
      <c r="D150" s="7"/>
      <c r="E150" s="6">
        <f t="shared" si="3"/>
        <v>0</v>
      </c>
      <c r="F150" s="6">
        <f t="shared" si="3"/>
        <v>0</v>
      </c>
      <c r="G150" s="94">
        <f>'TB-Jan'!G150+'TB-Feb'!G150+'TB-Mar'!G150+'TB-Apr'!G150+'TB-May'!G150+'TB-Jun'!G150+'TB-Jul'!G150+'TB-Aug'!G150+'TB-Sep'!G150+'TB-Oct'!G150+'TB-Nov'!G150+'TB-Dec'!G150</f>
        <v>0</v>
      </c>
      <c r="H150" s="94">
        <f>'TB-Jan'!H150+'TB-Feb'!H150+'TB-Mar'!H150+'TB-Apr'!H150+'TB-May'!H150+'TB-Jun'!H150+'TB-Jul'!H150+'TB-Aug'!H150+'TB-Sep'!H150+'TB-Oct'!H150+'TB-Nov'!H150+'TB-Dec'!H150</f>
        <v>0</v>
      </c>
      <c r="I150" s="95">
        <f>'TB-Jan'!I150+'TB-Feb'!I150+'TB-Mar'!I150+'TB-Apr'!I150+'TB-May'!I150+'TB-Jun'!I150+'TB-Jul'!I150+'TB-Aug'!I150+'TB-Sep'!I150+'TB-Oct'!I150+'TB-Nov'!I150+'TB-Dec'!I150</f>
        <v>0</v>
      </c>
      <c r="J150" s="95">
        <f>'TB-Jan'!J150+'TB-Feb'!J150+'TB-Mar'!J150+'TB-Apr'!J150+'TB-May'!J150+'TB-Jun'!J150+'TB-Jul'!J150+'TB-Aug'!J150+'TB-Sep'!J150+'TB-Oct'!J150+'TB-Nov'!J150+'TB-Dec'!J150</f>
        <v>0</v>
      </c>
      <c r="K150" s="96">
        <f>'TB-Jan'!K150+'TB-Feb'!K150+'TB-Mar'!K150+'TB-Apr'!K150+'TB-May'!K150+'TB-Jun'!K150+'TB-Jul'!K150+'TB-Aug'!K150+'TB-Sep'!K150+'TB-Oct'!K150+'TB-Nov'!K150+'TB-Dec'!K150</f>
        <v>0</v>
      </c>
      <c r="L150" s="96">
        <f>'TB-Jan'!L150+'TB-Feb'!L150+'TB-Mar'!L150+'TB-Apr'!L150+'TB-May'!L150+'TB-Jun'!L150+'TB-Jul'!L150+'TB-Aug'!L150+'TB-Sep'!L150+'TB-Oct'!L150+'TB-Nov'!L150+'TB-Dec'!L150</f>
        <v>0</v>
      </c>
      <c r="M150" s="97">
        <f>'TB-Jan'!M150+'TB-Feb'!M150+'TB-Mar'!M150+'TB-Apr'!M150+'TB-May'!M150+'TB-Jun'!M150+'TB-Jul'!M150+'TB-Aug'!M150+'TB-Sep'!M150+'TB-Oct'!M150+'TB-Nov'!M150+'TB-Dec'!M150</f>
        <v>0</v>
      </c>
      <c r="N150" s="97">
        <f>'TB-Jan'!N150+'TB-Feb'!N150+'TB-Mar'!N150+'TB-Apr'!N150+'TB-May'!N150+'TB-Jun'!N150+'TB-Jul'!N150+'TB-Aug'!N150+'TB-Sep'!N150+'TB-Oct'!N150+'TB-Nov'!N150+'TB-Dec'!N150</f>
        <v>0</v>
      </c>
    </row>
    <row r="151" spans="1:14" ht="28.5" hidden="1">
      <c r="A151" s="8" t="s">
        <v>260</v>
      </c>
      <c r="B151" s="4" t="s">
        <v>261</v>
      </c>
      <c r="C151" s="7">
        <f t="shared" si="4"/>
        <v>0</v>
      </c>
      <c r="D151" s="7"/>
      <c r="E151" s="6">
        <f t="shared" si="3"/>
        <v>0</v>
      </c>
      <c r="F151" s="6">
        <f t="shared" si="3"/>
        <v>0</v>
      </c>
      <c r="G151" s="94">
        <f>'TB-Jan'!G151+'TB-Feb'!G151+'TB-Mar'!G151+'TB-Apr'!G151+'TB-May'!G151+'TB-Jun'!G151+'TB-Jul'!G151+'TB-Aug'!G151+'TB-Sep'!G151+'TB-Oct'!G151+'TB-Nov'!G151+'TB-Dec'!G151</f>
        <v>0</v>
      </c>
      <c r="H151" s="94">
        <f>'TB-Jan'!H151+'TB-Feb'!H151+'TB-Mar'!H151+'TB-Apr'!H151+'TB-May'!H151+'TB-Jun'!H151+'TB-Jul'!H151+'TB-Aug'!H151+'TB-Sep'!H151+'TB-Oct'!H151+'TB-Nov'!H151+'TB-Dec'!H151</f>
        <v>0</v>
      </c>
      <c r="I151" s="95">
        <f>'TB-Jan'!I151+'TB-Feb'!I151+'TB-Mar'!I151+'TB-Apr'!I151+'TB-May'!I151+'TB-Jun'!I151+'TB-Jul'!I151+'TB-Aug'!I151+'TB-Sep'!I151+'TB-Oct'!I151+'TB-Nov'!I151+'TB-Dec'!I151</f>
        <v>0</v>
      </c>
      <c r="J151" s="95">
        <f>'TB-Jan'!J151+'TB-Feb'!J151+'TB-Mar'!J151+'TB-Apr'!J151+'TB-May'!J151+'TB-Jun'!J151+'TB-Jul'!J151+'TB-Aug'!J151+'TB-Sep'!J151+'TB-Oct'!J151+'TB-Nov'!J151+'TB-Dec'!J151</f>
        <v>0</v>
      </c>
      <c r="K151" s="96">
        <f>'TB-Jan'!K151+'TB-Feb'!K151+'TB-Mar'!K151+'TB-Apr'!K151+'TB-May'!K151+'TB-Jun'!K151+'TB-Jul'!K151+'TB-Aug'!K151+'TB-Sep'!K151+'TB-Oct'!K151+'TB-Nov'!K151+'TB-Dec'!K151</f>
        <v>0</v>
      </c>
      <c r="L151" s="96">
        <f>'TB-Jan'!L151+'TB-Feb'!L151+'TB-Mar'!L151+'TB-Apr'!L151+'TB-May'!L151+'TB-Jun'!L151+'TB-Jul'!L151+'TB-Aug'!L151+'TB-Sep'!L151+'TB-Oct'!L151+'TB-Nov'!L151+'TB-Dec'!L151</f>
        <v>0</v>
      </c>
      <c r="M151" s="97">
        <f>'TB-Jan'!M151+'TB-Feb'!M151+'TB-Mar'!M151+'TB-Apr'!M151+'TB-May'!M151+'TB-Jun'!M151+'TB-Jul'!M151+'TB-Aug'!M151+'TB-Sep'!M151+'TB-Oct'!M151+'TB-Nov'!M151+'TB-Dec'!M151</f>
        <v>0</v>
      </c>
      <c r="N151" s="97">
        <f>'TB-Jan'!N151+'TB-Feb'!N151+'TB-Mar'!N151+'TB-Apr'!N151+'TB-May'!N151+'TB-Jun'!N151+'TB-Jul'!N151+'TB-Aug'!N151+'TB-Sep'!N151+'TB-Oct'!N151+'TB-Nov'!N151+'TB-Dec'!N151</f>
        <v>0</v>
      </c>
    </row>
    <row r="152" spans="1:14" hidden="1">
      <c r="A152" s="8" t="s">
        <v>262</v>
      </c>
      <c r="B152" s="4" t="s">
        <v>263</v>
      </c>
      <c r="C152" s="7">
        <f t="shared" si="4"/>
        <v>0</v>
      </c>
      <c r="D152" s="7"/>
      <c r="E152" s="6">
        <f t="shared" si="3"/>
        <v>0</v>
      </c>
      <c r="F152" s="6">
        <f t="shared" si="3"/>
        <v>0</v>
      </c>
      <c r="G152" s="94">
        <f>'TB-Jan'!G152+'TB-Feb'!G152+'TB-Mar'!G152+'TB-Apr'!G152+'TB-May'!G152+'TB-Jun'!G152+'TB-Jul'!G152+'TB-Aug'!G152+'TB-Sep'!G152+'TB-Oct'!G152+'TB-Nov'!G152+'TB-Dec'!G152</f>
        <v>0</v>
      </c>
      <c r="H152" s="94">
        <f>'TB-Jan'!H152+'TB-Feb'!H152+'TB-Mar'!H152+'TB-Apr'!H152+'TB-May'!H152+'TB-Jun'!H152+'TB-Jul'!H152+'TB-Aug'!H152+'TB-Sep'!H152+'TB-Oct'!H152+'TB-Nov'!H152+'TB-Dec'!H152</f>
        <v>0</v>
      </c>
      <c r="I152" s="95">
        <f>'TB-Jan'!I152+'TB-Feb'!I152+'TB-Mar'!I152+'TB-Apr'!I152+'TB-May'!I152+'TB-Jun'!I152+'TB-Jul'!I152+'TB-Aug'!I152+'TB-Sep'!I152+'TB-Oct'!I152+'TB-Nov'!I152+'TB-Dec'!I152</f>
        <v>0</v>
      </c>
      <c r="J152" s="95">
        <f>'TB-Jan'!J152+'TB-Feb'!J152+'TB-Mar'!J152+'TB-Apr'!J152+'TB-May'!J152+'TB-Jun'!J152+'TB-Jul'!J152+'TB-Aug'!J152+'TB-Sep'!J152+'TB-Oct'!J152+'TB-Nov'!J152+'TB-Dec'!J152</f>
        <v>0</v>
      </c>
      <c r="K152" s="96">
        <f>'TB-Jan'!K152+'TB-Feb'!K152+'TB-Mar'!K152+'TB-Apr'!K152+'TB-May'!K152+'TB-Jun'!K152+'TB-Jul'!K152+'TB-Aug'!K152+'TB-Sep'!K152+'TB-Oct'!K152+'TB-Nov'!K152+'TB-Dec'!K152</f>
        <v>0</v>
      </c>
      <c r="L152" s="96">
        <f>'TB-Jan'!L152+'TB-Feb'!L152+'TB-Mar'!L152+'TB-Apr'!L152+'TB-May'!L152+'TB-Jun'!L152+'TB-Jul'!L152+'TB-Aug'!L152+'TB-Sep'!L152+'TB-Oct'!L152+'TB-Nov'!L152+'TB-Dec'!L152</f>
        <v>0</v>
      </c>
      <c r="M152" s="97">
        <f>'TB-Jan'!M152+'TB-Feb'!M152+'TB-Mar'!M152+'TB-Apr'!M152+'TB-May'!M152+'TB-Jun'!M152+'TB-Jul'!M152+'TB-Aug'!M152+'TB-Sep'!M152+'TB-Oct'!M152+'TB-Nov'!M152+'TB-Dec'!M152</f>
        <v>0</v>
      </c>
      <c r="N152" s="97">
        <f>'TB-Jan'!N152+'TB-Feb'!N152+'TB-Mar'!N152+'TB-Apr'!N152+'TB-May'!N152+'TB-Jun'!N152+'TB-Jul'!N152+'TB-Aug'!N152+'TB-Sep'!N152+'TB-Oct'!N152+'TB-Nov'!N152+'TB-Dec'!N152</f>
        <v>0</v>
      </c>
    </row>
    <row r="153" spans="1:14" hidden="1">
      <c r="A153" s="8" t="s">
        <v>264</v>
      </c>
      <c r="B153" s="4" t="s">
        <v>265</v>
      </c>
      <c r="C153" s="7">
        <f t="shared" si="4"/>
        <v>0</v>
      </c>
      <c r="D153" s="7"/>
      <c r="E153" s="6">
        <f t="shared" si="3"/>
        <v>0</v>
      </c>
      <c r="F153" s="6">
        <f t="shared" si="3"/>
        <v>0</v>
      </c>
      <c r="G153" s="94">
        <f>'TB-Jan'!G153+'TB-Feb'!G153+'TB-Mar'!G153+'TB-Apr'!G153+'TB-May'!G153+'TB-Jun'!G153+'TB-Jul'!G153+'TB-Aug'!G153+'TB-Sep'!G153+'TB-Oct'!G153+'TB-Nov'!G153+'TB-Dec'!G153</f>
        <v>0</v>
      </c>
      <c r="H153" s="94">
        <f>'TB-Jan'!H153+'TB-Feb'!H153+'TB-Mar'!H153+'TB-Apr'!H153+'TB-May'!H153+'TB-Jun'!H153+'TB-Jul'!H153+'TB-Aug'!H153+'TB-Sep'!H153+'TB-Oct'!H153+'TB-Nov'!H153+'TB-Dec'!H153</f>
        <v>0</v>
      </c>
      <c r="I153" s="95">
        <f>'TB-Jan'!I153+'TB-Feb'!I153+'TB-Mar'!I153+'TB-Apr'!I153+'TB-May'!I153+'TB-Jun'!I153+'TB-Jul'!I153+'TB-Aug'!I153+'TB-Sep'!I153+'TB-Oct'!I153+'TB-Nov'!I153+'TB-Dec'!I153</f>
        <v>0</v>
      </c>
      <c r="J153" s="95">
        <f>'TB-Jan'!J153+'TB-Feb'!J153+'TB-Mar'!J153+'TB-Apr'!J153+'TB-May'!J153+'TB-Jun'!J153+'TB-Jul'!J153+'TB-Aug'!J153+'TB-Sep'!J153+'TB-Oct'!J153+'TB-Nov'!J153+'TB-Dec'!J153</f>
        <v>0</v>
      </c>
      <c r="K153" s="96">
        <f>'TB-Jan'!K153+'TB-Feb'!K153+'TB-Mar'!K153+'TB-Apr'!K153+'TB-May'!K153+'TB-Jun'!K153+'TB-Jul'!K153+'TB-Aug'!K153+'TB-Sep'!K153+'TB-Oct'!K153+'TB-Nov'!K153+'TB-Dec'!K153</f>
        <v>0</v>
      </c>
      <c r="L153" s="96">
        <f>'TB-Jan'!L153+'TB-Feb'!L153+'TB-Mar'!L153+'TB-Apr'!L153+'TB-May'!L153+'TB-Jun'!L153+'TB-Jul'!L153+'TB-Aug'!L153+'TB-Sep'!L153+'TB-Oct'!L153+'TB-Nov'!L153+'TB-Dec'!L153</f>
        <v>0</v>
      </c>
      <c r="M153" s="97">
        <f>'TB-Jan'!M153+'TB-Feb'!M153+'TB-Mar'!M153+'TB-Apr'!M153+'TB-May'!M153+'TB-Jun'!M153+'TB-Jul'!M153+'TB-Aug'!M153+'TB-Sep'!M153+'TB-Oct'!M153+'TB-Nov'!M153+'TB-Dec'!M153</f>
        <v>0</v>
      </c>
      <c r="N153" s="97">
        <f>'TB-Jan'!N153+'TB-Feb'!N153+'TB-Mar'!N153+'TB-Apr'!N153+'TB-May'!N153+'TB-Jun'!N153+'TB-Jul'!N153+'TB-Aug'!N153+'TB-Sep'!N153+'TB-Oct'!N153+'TB-Nov'!N153+'TB-Dec'!N153</f>
        <v>0</v>
      </c>
    </row>
    <row r="154" spans="1:14" ht="28.5" hidden="1">
      <c r="A154" s="8" t="s">
        <v>266</v>
      </c>
      <c r="B154" s="4" t="s">
        <v>267</v>
      </c>
      <c r="C154" s="7">
        <f t="shared" si="4"/>
        <v>0</v>
      </c>
      <c r="D154" s="7"/>
      <c r="E154" s="6">
        <f t="shared" si="3"/>
        <v>0</v>
      </c>
      <c r="F154" s="6">
        <f t="shared" si="3"/>
        <v>0</v>
      </c>
      <c r="G154" s="94">
        <f>'TB-Jan'!G154+'TB-Feb'!G154+'TB-Mar'!G154+'TB-Apr'!G154+'TB-May'!G154+'TB-Jun'!G154+'TB-Jul'!G154+'TB-Aug'!G154+'TB-Sep'!G154+'TB-Oct'!G154+'TB-Nov'!G154+'TB-Dec'!G154</f>
        <v>0</v>
      </c>
      <c r="H154" s="94">
        <f>'TB-Jan'!H154+'TB-Feb'!H154+'TB-Mar'!H154+'TB-Apr'!H154+'TB-May'!H154+'TB-Jun'!H154+'TB-Jul'!H154+'TB-Aug'!H154+'TB-Sep'!H154+'TB-Oct'!H154+'TB-Nov'!H154+'TB-Dec'!H154</f>
        <v>0</v>
      </c>
      <c r="I154" s="95">
        <f>'TB-Jan'!I154+'TB-Feb'!I154+'TB-Mar'!I154+'TB-Apr'!I154+'TB-May'!I154+'TB-Jun'!I154+'TB-Jul'!I154+'TB-Aug'!I154+'TB-Sep'!I154+'TB-Oct'!I154+'TB-Nov'!I154+'TB-Dec'!I154</f>
        <v>0</v>
      </c>
      <c r="J154" s="95">
        <f>'TB-Jan'!J154+'TB-Feb'!J154+'TB-Mar'!J154+'TB-Apr'!J154+'TB-May'!J154+'TB-Jun'!J154+'TB-Jul'!J154+'TB-Aug'!J154+'TB-Sep'!J154+'TB-Oct'!J154+'TB-Nov'!J154+'TB-Dec'!J154</f>
        <v>0</v>
      </c>
      <c r="K154" s="96">
        <f>'TB-Jan'!K154+'TB-Feb'!K154+'TB-Mar'!K154+'TB-Apr'!K154+'TB-May'!K154+'TB-Jun'!K154+'TB-Jul'!K154+'TB-Aug'!K154+'TB-Sep'!K154+'TB-Oct'!K154+'TB-Nov'!K154+'TB-Dec'!K154</f>
        <v>0</v>
      </c>
      <c r="L154" s="96">
        <f>'TB-Jan'!L154+'TB-Feb'!L154+'TB-Mar'!L154+'TB-Apr'!L154+'TB-May'!L154+'TB-Jun'!L154+'TB-Jul'!L154+'TB-Aug'!L154+'TB-Sep'!L154+'TB-Oct'!L154+'TB-Nov'!L154+'TB-Dec'!L154</f>
        <v>0</v>
      </c>
      <c r="M154" s="97">
        <f>'TB-Jan'!M154+'TB-Feb'!M154+'TB-Mar'!M154+'TB-Apr'!M154+'TB-May'!M154+'TB-Jun'!M154+'TB-Jul'!M154+'TB-Aug'!M154+'TB-Sep'!M154+'TB-Oct'!M154+'TB-Nov'!M154+'TB-Dec'!M154</f>
        <v>0</v>
      </c>
      <c r="N154" s="97">
        <f>'TB-Jan'!N154+'TB-Feb'!N154+'TB-Mar'!N154+'TB-Apr'!N154+'TB-May'!N154+'TB-Jun'!N154+'TB-Jul'!N154+'TB-Aug'!N154+'TB-Sep'!N154+'TB-Oct'!N154+'TB-Nov'!N154+'TB-Dec'!N154</f>
        <v>0</v>
      </c>
    </row>
    <row r="155" spans="1:14" hidden="1">
      <c r="A155" s="8" t="s">
        <v>268</v>
      </c>
      <c r="B155" s="4" t="s">
        <v>269</v>
      </c>
      <c r="C155" s="7">
        <f t="shared" si="4"/>
        <v>0</v>
      </c>
      <c r="D155" s="7"/>
      <c r="E155" s="6">
        <f t="shared" si="3"/>
        <v>0</v>
      </c>
      <c r="F155" s="6">
        <f t="shared" si="3"/>
        <v>0</v>
      </c>
      <c r="G155" s="94">
        <f>'TB-Jan'!G155+'TB-Feb'!G155+'TB-Mar'!G155+'TB-Apr'!G155+'TB-May'!G155+'TB-Jun'!G155+'TB-Jul'!G155+'TB-Aug'!G155+'TB-Sep'!G155+'TB-Oct'!G155+'TB-Nov'!G155+'TB-Dec'!G155</f>
        <v>0</v>
      </c>
      <c r="H155" s="94">
        <f>'TB-Jan'!H155+'TB-Feb'!H155+'TB-Mar'!H155+'TB-Apr'!H155+'TB-May'!H155+'TB-Jun'!H155+'TB-Jul'!H155+'TB-Aug'!H155+'TB-Sep'!H155+'TB-Oct'!H155+'TB-Nov'!H155+'TB-Dec'!H155</f>
        <v>0</v>
      </c>
      <c r="I155" s="95">
        <f>'TB-Jan'!I155+'TB-Feb'!I155+'TB-Mar'!I155+'TB-Apr'!I155+'TB-May'!I155+'TB-Jun'!I155+'TB-Jul'!I155+'TB-Aug'!I155+'TB-Sep'!I155+'TB-Oct'!I155+'TB-Nov'!I155+'TB-Dec'!I155</f>
        <v>0</v>
      </c>
      <c r="J155" s="95">
        <f>'TB-Jan'!J155+'TB-Feb'!J155+'TB-Mar'!J155+'TB-Apr'!J155+'TB-May'!J155+'TB-Jun'!J155+'TB-Jul'!J155+'TB-Aug'!J155+'TB-Sep'!J155+'TB-Oct'!J155+'TB-Nov'!J155+'TB-Dec'!J155</f>
        <v>0</v>
      </c>
      <c r="K155" s="96">
        <f>'TB-Jan'!K155+'TB-Feb'!K155+'TB-Mar'!K155+'TB-Apr'!K155+'TB-May'!K155+'TB-Jun'!K155+'TB-Jul'!K155+'TB-Aug'!K155+'TB-Sep'!K155+'TB-Oct'!K155+'TB-Nov'!K155+'TB-Dec'!K155</f>
        <v>0</v>
      </c>
      <c r="L155" s="96">
        <f>'TB-Jan'!L155+'TB-Feb'!L155+'TB-Mar'!L155+'TB-Apr'!L155+'TB-May'!L155+'TB-Jun'!L155+'TB-Jul'!L155+'TB-Aug'!L155+'TB-Sep'!L155+'TB-Oct'!L155+'TB-Nov'!L155+'TB-Dec'!L155</f>
        <v>0</v>
      </c>
      <c r="M155" s="97">
        <f>'TB-Jan'!M155+'TB-Feb'!M155+'TB-Mar'!M155+'TB-Apr'!M155+'TB-May'!M155+'TB-Jun'!M155+'TB-Jul'!M155+'TB-Aug'!M155+'TB-Sep'!M155+'TB-Oct'!M155+'TB-Nov'!M155+'TB-Dec'!M155</f>
        <v>0</v>
      </c>
      <c r="N155" s="97">
        <f>'TB-Jan'!N155+'TB-Feb'!N155+'TB-Mar'!N155+'TB-Apr'!N155+'TB-May'!N155+'TB-Jun'!N155+'TB-Jul'!N155+'TB-Aug'!N155+'TB-Sep'!N155+'TB-Oct'!N155+'TB-Nov'!N155+'TB-Dec'!N155</f>
        <v>0</v>
      </c>
    </row>
    <row r="156" spans="1:14" hidden="1">
      <c r="A156" s="8" t="s">
        <v>270</v>
      </c>
      <c r="B156" s="4" t="s">
        <v>271</v>
      </c>
      <c r="C156" s="7">
        <f t="shared" si="4"/>
        <v>0</v>
      </c>
      <c r="D156" s="7"/>
      <c r="E156" s="6">
        <f t="shared" si="3"/>
        <v>0</v>
      </c>
      <c r="F156" s="6">
        <f t="shared" si="3"/>
        <v>0</v>
      </c>
      <c r="G156" s="94">
        <f>'TB-Jan'!G156+'TB-Feb'!G156+'TB-Mar'!G156+'TB-Apr'!G156+'TB-May'!G156+'TB-Jun'!G156+'TB-Jul'!G156+'TB-Aug'!G156+'TB-Sep'!G156+'TB-Oct'!G156+'TB-Nov'!G156+'TB-Dec'!G156</f>
        <v>0</v>
      </c>
      <c r="H156" s="94">
        <f>'TB-Jan'!H156+'TB-Feb'!H156+'TB-Mar'!H156+'TB-Apr'!H156+'TB-May'!H156+'TB-Jun'!H156+'TB-Jul'!H156+'TB-Aug'!H156+'TB-Sep'!H156+'TB-Oct'!H156+'TB-Nov'!H156+'TB-Dec'!H156</f>
        <v>0</v>
      </c>
      <c r="I156" s="95">
        <f>'TB-Jan'!I156+'TB-Feb'!I156+'TB-Mar'!I156+'TB-Apr'!I156+'TB-May'!I156+'TB-Jun'!I156+'TB-Jul'!I156+'TB-Aug'!I156+'TB-Sep'!I156+'TB-Oct'!I156+'TB-Nov'!I156+'TB-Dec'!I156</f>
        <v>0</v>
      </c>
      <c r="J156" s="95">
        <f>'TB-Jan'!J156+'TB-Feb'!J156+'TB-Mar'!J156+'TB-Apr'!J156+'TB-May'!J156+'TB-Jun'!J156+'TB-Jul'!J156+'TB-Aug'!J156+'TB-Sep'!J156+'TB-Oct'!J156+'TB-Nov'!J156+'TB-Dec'!J156</f>
        <v>0</v>
      </c>
      <c r="K156" s="96">
        <f>'TB-Jan'!K156+'TB-Feb'!K156+'TB-Mar'!K156+'TB-Apr'!K156+'TB-May'!K156+'TB-Jun'!K156+'TB-Jul'!K156+'TB-Aug'!K156+'TB-Sep'!K156+'TB-Oct'!K156+'TB-Nov'!K156+'TB-Dec'!K156</f>
        <v>0</v>
      </c>
      <c r="L156" s="96">
        <f>'TB-Jan'!L156+'TB-Feb'!L156+'TB-Mar'!L156+'TB-Apr'!L156+'TB-May'!L156+'TB-Jun'!L156+'TB-Jul'!L156+'TB-Aug'!L156+'TB-Sep'!L156+'TB-Oct'!L156+'TB-Nov'!L156+'TB-Dec'!L156</f>
        <v>0</v>
      </c>
      <c r="M156" s="97">
        <f>'TB-Jan'!M156+'TB-Feb'!M156+'TB-Mar'!M156+'TB-Apr'!M156+'TB-May'!M156+'TB-Jun'!M156+'TB-Jul'!M156+'TB-Aug'!M156+'TB-Sep'!M156+'TB-Oct'!M156+'TB-Nov'!M156+'TB-Dec'!M156</f>
        <v>0</v>
      </c>
      <c r="N156" s="97">
        <f>'TB-Jan'!N156+'TB-Feb'!N156+'TB-Mar'!N156+'TB-Apr'!N156+'TB-May'!N156+'TB-Jun'!N156+'TB-Jul'!N156+'TB-Aug'!N156+'TB-Sep'!N156+'TB-Oct'!N156+'TB-Nov'!N156+'TB-Dec'!N156</f>
        <v>0</v>
      </c>
    </row>
    <row r="157" spans="1:14" hidden="1">
      <c r="A157" s="8" t="s">
        <v>272</v>
      </c>
      <c r="B157" s="4" t="s">
        <v>273</v>
      </c>
      <c r="C157" s="7">
        <f t="shared" si="4"/>
        <v>0</v>
      </c>
      <c r="D157" s="7"/>
      <c r="E157" s="6">
        <f t="shared" si="3"/>
        <v>0</v>
      </c>
      <c r="F157" s="6">
        <f t="shared" si="3"/>
        <v>0</v>
      </c>
      <c r="G157" s="94">
        <f>'TB-Jan'!G157+'TB-Feb'!G157+'TB-Mar'!G157+'TB-Apr'!G157+'TB-May'!G157+'TB-Jun'!G157+'TB-Jul'!G157+'TB-Aug'!G157+'TB-Sep'!G157+'TB-Oct'!G157+'TB-Nov'!G157+'TB-Dec'!G157</f>
        <v>0</v>
      </c>
      <c r="H157" s="94">
        <f>'TB-Jan'!H157+'TB-Feb'!H157+'TB-Mar'!H157+'TB-Apr'!H157+'TB-May'!H157+'TB-Jun'!H157+'TB-Jul'!H157+'TB-Aug'!H157+'TB-Sep'!H157+'TB-Oct'!H157+'TB-Nov'!H157+'TB-Dec'!H157</f>
        <v>0</v>
      </c>
      <c r="I157" s="95">
        <f>'TB-Jan'!I157+'TB-Feb'!I157+'TB-Mar'!I157+'TB-Apr'!I157+'TB-May'!I157+'TB-Jun'!I157+'TB-Jul'!I157+'TB-Aug'!I157+'TB-Sep'!I157+'TB-Oct'!I157+'TB-Nov'!I157+'TB-Dec'!I157</f>
        <v>0</v>
      </c>
      <c r="J157" s="95">
        <f>'TB-Jan'!J157+'TB-Feb'!J157+'TB-Mar'!J157+'TB-Apr'!J157+'TB-May'!J157+'TB-Jun'!J157+'TB-Jul'!J157+'TB-Aug'!J157+'TB-Sep'!J157+'TB-Oct'!J157+'TB-Nov'!J157+'TB-Dec'!J157</f>
        <v>0</v>
      </c>
      <c r="K157" s="96">
        <f>'TB-Jan'!K157+'TB-Feb'!K157+'TB-Mar'!K157+'TB-Apr'!K157+'TB-May'!K157+'TB-Jun'!K157+'TB-Jul'!K157+'TB-Aug'!K157+'TB-Sep'!K157+'TB-Oct'!K157+'TB-Nov'!K157+'TB-Dec'!K157</f>
        <v>0</v>
      </c>
      <c r="L157" s="96">
        <f>'TB-Jan'!L157+'TB-Feb'!L157+'TB-Mar'!L157+'TB-Apr'!L157+'TB-May'!L157+'TB-Jun'!L157+'TB-Jul'!L157+'TB-Aug'!L157+'TB-Sep'!L157+'TB-Oct'!L157+'TB-Nov'!L157+'TB-Dec'!L157</f>
        <v>0</v>
      </c>
      <c r="M157" s="97">
        <f>'TB-Jan'!M157+'TB-Feb'!M157+'TB-Mar'!M157+'TB-Apr'!M157+'TB-May'!M157+'TB-Jun'!M157+'TB-Jul'!M157+'TB-Aug'!M157+'TB-Sep'!M157+'TB-Oct'!M157+'TB-Nov'!M157+'TB-Dec'!M157</f>
        <v>0</v>
      </c>
      <c r="N157" s="97">
        <f>'TB-Jan'!N157+'TB-Feb'!N157+'TB-Mar'!N157+'TB-Apr'!N157+'TB-May'!N157+'TB-Jun'!N157+'TB-Jul'!N157+'TB-Aug'!N157+'TB-Sep'!N157+'TB-Oct'!N157+'TB-Nov'!N157+'TB-Dec'!N157</f>
        <v>0</v>
      </c>
    </row>
    <row r="158" spans="1:14">
      <c r="A158" s="8" t="s">
        <v>274</v>
      </c>
      <c r="B158" s="4" t="s">
        <v>275</v>
      </c>
      <c r="C158" s="7">
        <f t="shared" si="4"/>
        <v>1000000</v>
      </c>
      <c r="D158" s="7"/>
      <c r="E158" s="6">
        <f t="shared" si="3"/>
        <v>1000000</v>
      </c>
      <c r="F158" s="6">
        <f t="shared" si="3"/>
        <v>0</v>
      </c>
      <c r="G158" s="94">
        <f>'TB-Jan'!G158+'TB-Feb'!G158+'TB-Mar'!G158+'TB-Apr'!G158+'TB-May'!G158+'TB-Jun'!G158+'TB-Jul'!G158+'TB-Aug'!G158+'TB-Sep'!G158+'TB-Oct'!G158+'TB-Nov'!G158+'TB-Dec'!G158</f>
        <v>1000000</v>
      </c>
      <c r="H158" s="94">
        <f>'TB-Jan'!H158+'TB-Feb'!H158+'TB-Mar'!H158+'TB-Apr'!H158+'TB-May'!H158+'TB-Jun'!H158+'TB-Jul'!H158+'TB-Aug'!H158+'TB-Sep'!H158+'TB-Oct'!H158+'TB-Nov'!H158+'TB-Dec'!H158</f>
        <v>0</v>
      </c>
      <c r="I158" s="95">
        <f>'TB-Jan'!I158+'TB-Feb'!I158+'TB-Mar'!I158+'TB-Apr'!I158+'TB-May'!I158+'TB-Jun'!I158+'TB-Jul'!I158+'TB-Aug'!I158+'TB-Sep'!I158+'TB-Oct'!I158+'TB-Nov'!I158+'TB-Dec'!I158</f>
        <v>0</v>
      </c>
      <c r="J158" s="95">
        <f>'TB-Jan'!J158+'TB-Feb'!J158+'TB-Mar'!J158+'TB-Apr'!J158+'TB-May'!J158+'TB-Jun'!J158+'TB-Jul'!J158+'TB-Aug'!J158+'TB-Sep'!J158+'TB-Oct'!J158+'TB-Nov'!J158+'TB-Dec'!J158</f>
        <v>0</v>
      </c>
      <c r="K158" s="96">
        <f>'TB-Jan'!K158+'TB-Feb'!K158+'TB-Mar'!K158+'TB-Apr'!K158+'TB-May'!K158+'TB-Jun'!K158+'TB-Jul'!K158+'TB-Aug'!K158+'TB-Sep'!K158+'TB-Oct'!K158+'TB-Nov'!K158+'TB-Dec'!K158</f>
        <v>0</v>
      </c>
      <c r="L158" s="96">
        <f>'TB-Jan'!L158+'TB-Feb'!L158+'TB-Mar'!L158+'TB-Apr'!L158+'TB-May'!L158+'TB-Jun'!L158+'TB-Jul'!L158+'TB-Aug'!L158+'TB-Sep'!L158+'TB-Oct'!L158+'TB-Nov'!L158+'TB-Dec'!L158</f>
        <v>0</v>
      </c>
      <c r="M158" s="97">
        <f>'TB-Jan'!M158+'TB-Feb'!M158+'TB-Mar'!M158+'TB-Apr'!M158+'TB-May'!M158+'TB-Jun'!M158+'TB-Jul'!M158+'TB-Aug'!M158+'TB-Sep'!M158+'TB-Oct'!M158+'TB-Nov'!M158+'TB-Dec'!M158</f>
        <v>0</v>
      </c>
      <c r="N158" s="97">
        <f>'TB-Jan'!N158+'TB-Feb'!N158+'TB-Mar'!N158+'TB-Apr'!N158+'TB-May'!N158+'TB-Jun'!N158+'TB-Jul'!N158+'TB-Aug'!N158+'TB-Sep'!N158+'TB-Oct'!N158+'TB-Nov'!N158+'TB-Dec'!N158</f>
        <v>0</v>
      </c>
    </row>
    <row r="159" spans="1:14" ht="28.5">
      <c r="A159" s="8" t="s">
        <v>276</v>
      </c>
      <c r="B159" s="4" t="s">
        <v>277</v>
      </c>
      <c r="C159" s="7">
        <f t="shared" si="4"/>
        <v>1826733.1999999993</v>
      </c>
      <c r="D159" s="7"/>
      <c r="E159" s="6">
        <f t="shared" si="3"/>
        <v>1826733.1999999993</v>
      </c>
      <c r="F159" s="6">
        <f t="shared" si="3"/>
        <v>0</v>
      </c>
      <c r="G159" s="94">
        <f>'TB-Jan'!G159+'TB-Feb'!G159+'TB-Mar'!G159+'TB-Apr'!G159+'TB-May'!G159+'TB-Jun'!G159+'TB-Jul'!G159+'TB-Aug'!G159+'TB-Sep'!G159+'TB-Oct'!G159+'TB-Nov'!G159+'TB-Dec'!G159</f>
        <v>1826733.1999999993</v>
      </c>
      <c r="H159" s="94">
        <f>'TB-Jan'!H159+'TB-Feb'!H159+'TB-Mar'!H159+'TB-Apr'!H159+'TB-May'!H159+'TB-Jun'!H159+'TB-Jul'!H159+'TB-Aug'!H159+'TB-Sep'!H159+'TB-Oct'!H159+'TB-Nov'!H159+'TB-Dec'!H159</f>
        <v>0</v>
      </c>
      <c r="I159" s="95">
        <f>'TB-Jan'!I159+'TB-Feb'!I159+'TB-Mar'!I159+'TB-Apr'!I159+'TB-May'!I159+'TB-Jun'!I159+'TB-Jul'!I159+'TB-Aug'!I159+'TB-Sep'!I159+'TB-Oct'!I159+'TB-Nov'!I159+'TB-Dec'!I159</f>
        <v>0</v>
      </c>
      <c r="J159" s="95">
        <f>'TB-Jan'!J159+'TB-Feb'!J159+'TB-Mar'!J159+'TB-Apr'!J159+'TB-May'!J159+'TB-Jun'!J159+'TB-Jul'!J159+'TB-Aug'!J159+'TB-Sep'!J159+'TB-Oct'!J159+'TB-Nov'!J159+'TB-Dec'!J159</f>
        <v>0</v>
      </c>
      <c r="K159" s="96">
        <f>'TB-Jan'!K159+'TB-Feb'!K159+'TB-Mar'!K159+'TB-Apr'!K159+'TB-May'!K159+'TB-Jun'!K159+'TB-Jul'!K159+'TB-Aug'!K159+'TB-Sep'!K159+'TB-Oct'!K159+'TB-Nov'!K159+'TB-Dec'!K159</f>
        <v>0</v>
      </c>
      <c r="L159" s="96">
        <f>'TB-Jan'!L159+'TB-Feb'!L159+'TB-Mar'!L159+'TB-Apr'!L159+'TB-May'!L159+'TB-Jun'!L159+'TB-Jul'!L159+'TB-Aug'!L159+'TB-Sep'!L159+'TB-Oct'!L159+'TB-Nov'!L159+'TB-Dec'!L159</f>
        <v>0</v>
      </c>
      <c r="M159" s="97">
        <f>'TB-Jan'!M159+'TB-Feb'!M159+'TB-Mar'!M159+'TB-Apr'!M159+'TB-May'!M159+'TB-Jun'!M159+'TB-Jul'!M159+'TB-Aug'!M159+'TB-Sep'!M159+'TB-Oct'!M159+'TB-Nov'!M159+'TB-Dec'!M159</f>
        <v>0</v>
      </c>
      <c r="N159" s="97">
        <f>'TB-Jan'!N159+'TB-Feb'!N159+'TB-Mar'!N159+'TB-Apr'!N159+'TB-May'!N159+'TB-Jun'!N159+'TB-Jul'!N159+'TB-Aug'!N159+'TB-Sep'!N159+'TB-Oct'!N159+'TB-Nov'!N159+'TB-Dec'!N159</f>
        <v>0</v>
      </c>
    </row>
    <row r="160" spans="1:14" ht="28.5" hidden="1">
      <c r="A160" s="8" t="s">
        <v>278</v>
      </c>
      <c r="B160" s="4" t="s">
        <v>279</v>
      </c>
      <c r="C160" s="7">
        <f t="shared" si="4"/>
        <v>0</v>
      </c>
      <c r="D160" s="7"/>
      <c r="E160" s="6">
        <f t="shared" si="3"/>
        <v>0</v>
      </c>
      <c r="F160" s="6">
        <f t="shared" si="3"/>
        <v>0</v>
      </c>
      <c r="G160" s="94">
        <f>'TB-Jan'!G160+'TB-Feb'!G160+'TB-Mar'!G160+'TB-Apr'!G160+'TB-May'!G160+'TB-Jun'!G160+'TB-Jul'!G160+'TB-Aug'!G160+'TB-Sep'!G160+'TB-Oct'!G160+'TB-Nov'!G160+'TB-Dec'!G160</f>
        <v>0</v>
      </c>
      <c r="H160" s="94">
        <f>'TB-Jan'!H160+'TB-Feb'!H160+'TB-Mar'!H160+'TB-Apr'!H160+'TB-May'!H160+'TB-Jun'!H160+'TB-Jul'!H160+'TB-Aug'!H160+'TB-Sep'!H160+'TB-Oct'!H160+'TB-Nov'!H160+'TB-Dec'!H160</f>
        <v>0</v>
      </c>
      <c r="I160" s="95">
        <f>'TB-Jan'!I160+'TB-Feb'!I160+'TB-Mar'!I160+'TB-Apr'!I160+'TB-May'!I160+'TB-Jun'!I160+'TB-Jul'!I160+'TB-Aug'!I160+'TB-Sep'!I160+'TB-Oct'!I160+'TB-Nov'!I160+'TB-Dec'!I160</f>
        <v>0</v>
      </c>
      <c r="J160" s="95">
        <f>'TB-Jan'!J160+'TB-Feb'!J160+'TB-Mar'!J160+'TB-Apr'!J160+'TB-May'!J160+'TB-Jun'!J160+'TB-Jul'!J160+'TB-Aug'!J160+'TB-Sep'!J160+'TB-Oct'!J160+'TB-Nov'!J160+'TB-Dec'!J160</f>
        <v>0</v>
      </c>
      <c r="K160" s="96">
        <f>'TB-Jan'!K160+'TB-Feb'!K160+'TB-Mar'!K160+'TB-Apr'!K160+'TB-May'!K160+'TB-Jun'!K160+'TB-Jul'!K160+'TB-Aug'!K160+'TB-Sep'!K160+'TB-Oct'!K160+'TB-Nov'!K160+'TB-Dec'!K160</f>
        <v>0</v>
      </c>
      <c r="L160" s="96">
        <f>'TB-Jan'!L160+'TB-Feb'!L160+'TB-Mar'!L160+'TB-Apr'!L160+'TB-May'!L160+'TB-Jun'!L160+'TB-Jul'!L160+'TB-Aug'!L160+'TB-Sep'!L160+'TB-Oct'!L160+'TB-Nov'!L160+'TB-Dec'!L160</f>
        <v>0</v>
      </c>
      <c r="M160" s="97">
        <f>'TB-Jan'!M160+'TB-Feb'!M160+'TB-Mar'!M160+'TB-Apr'!M160+'TB-May'!M160+'TB-Jun'!M160+'TB-Jul'!M160+'TB-Aug'!M160+'TB-Sep'!M160+'TB-Oct'!M160+'TB-Nov'!M160+'TB-Dec'!M160</f>
        <v>0</v>
      </c>
      <c r="N160" s="97">
        <f>'TB-Jan'!N160+'TB-Feb'!N160+'TB-Mar'!N160+'TB-Apr'!N160+'TB-May'!N160+'TB-Jun'!N160+'TB-Jul'!N160+'TB-Aug'!N160+'TB-Sep'!N160+'TB-Oct'!N160+'TB-Nov'!N160+'TB-Dec'!N160</f>
        <v>0</v>
      </c>
    </row>
    <row r="161" spans="1:14" ht="28.5" hidden="1">
      <c r="A161" s="8" t="s">
        <v>280</v>
      </c>
      <c r="B161" s="4" t="s">
        <v>281</v>
      </c>
      <c r="C161" s="7">
        <f t="shared" si="4"/>
        <v>0</v>
      </c>
      <c r="D161" s="7"/>
      <c r="E161" s="6">
        <f t="shared" si="3"/>
        <v>0</v>
      </c>
      <c r="F161" s="6">
        <f t="shared" si="3"/>
        <v>0</v>
      </c>
      <c r="G161" s="94">
        <f>'TB-Jan'!G161+'TB-Feb'!G161+'TB-Mar'!G161+'TB-Apr'!G161+'TB-May'!G161+'TB-Jun'!G161+'TB-Jul'!G161+'TB-Aug'!G161+'TB-Sep'!G161+'TB-Oct'!G161+'TB-Nov'!G161+'TB-Dec'!G161</f>
        <v>0</v>
      </c>
      <c r="H161" s="94">
        <f>'TB-Jan'!H161+'TB-Feb'!H161+'TB-Mar'!H161+'TB-Apr'!H161+'TB-May'!H161+'TB-Jun'!H161+'TB-Jul'!H161+'TB-Aug'!H161+'TB-Sep'!H161+'TB-Oct'!H161+'TB-Nov'!H161+'TB-Dec'!H161</f>
        <v>0</v>
      </c>
      <c r="I161" s="95">
        <f>'TB-Jan'!I161+'TB-Feb'!I161+'TB-Mar'!I161+'TB-Apr'!I161+'TB-May'!I161+'TB-Jun'!I161+'TB-Jul'!I161+'TB-Aug'!I161+'TB-Sep'!I161+'TB-Oct'!I161+'TB-Nov'!I161+'TB-Dec'!I161</f>
        <v>0</v>
      </c>
      <c r="J161" s="95">
        <f>'TB-Jan'!J161+'TB-Feb'!J161+'TB-Mar'!J161+'TB-Apr'!J161+'TB-May'!J161+'TB-Jun'!J161+'TB-Jul'!J161+'TB-Aug'!J161+'TB-Sep'!J161+'TB-Oct'!J161+'TB-Nov'!J161+'TB-Dec'!J161</f>
        <v>0</v>
      </c>
      <c r="K161" s="96">
        <f>'TB-Jan'!K161+'TB-Feb'!K161+'TB-Mar'!K161+'TB-Apr'!K161+'TB-May'!K161+'TB-Jun'!K161+'TB-Jul'!K161+'TB-Aug'!K161+'TB-Sep'!K161+'TB-Oct'!K161+'TB-Nov'!K161+'TB-Dec'!K161</f>
        <v>0</v>
      </c>
      <c r="L161" s="96">
        <f>'TB-Jan'!L161+'TB-Feb'!L161+'TB-Mar'!L161+'TB-Apr'!L161+'TB-May'!L161+'TB-Jun'!L161+'TB-Jul'!L161+'TB-Aug'!L161+'TB-Sep'!L161+'TB-Oct'!L161+'TB-Nov'!L161+'TB-Dec'!L161</f>
        <v>0</v>
      </c>
      <c r="M161" s="97">
        <f>'TB-Jan'!M161+'TB-Feb'!M161+'TB-Mar'!M161+'TB-Apr'!M161+'TB-May'!M161+'TB-Jun'!M161+'TB-Jul'!M161+'TB-Aug'!M161+'TB-Sep'!M161+'TB-Oct'!M161+'TB-Nov'!M161+'TB-Dec'!M161</f>
        <v>0</v>
      </c>
      <c r="N161" s="97">
        <f>'TB-Jan'!N161+'TB-Feb'!N161+'TB-Mar'!N161+'TB-Apr'!N161+'TB-May'!N161+'TB-Jun'!N161+'TB-Jul'!N161+'TB-Aug'!N161+'TB-Sep'!N161+'TB-Oct'!N161+'TB-Nov'!N161+'TB-Dec'!N161</f>
        <v>0</v>
      </c>
    </row>
    <row r="162" spans="1:14" ht="28.5" hidden="1">
      <c r="A162" s="8" t="s">
        <v>282</v>
      </c>
      <c r="B162" s="4" t="s">
        <v>283</v>
      </c>
      <c r="C162" s="7">
        <f t="shared" si="4"/>
        <v>0</v>
      </c>
      <c r="D162" s="7"/>
      <c r="E162" s="6">
        <f t="shared" si="3"/>
        <v>0</v>
      </c>
      <c r="F162" s="6">
        <f t="shared" si="3"/>
        <v>0</v>
      </c>
      <c r="G162" s="94">
        <f>'TB-Jan'!G162+'TB-Feb'!G162+'TB-Mar'!G162+'TB-Apr'!G162+'TB-May'!G162+'TB-Jun'!G162+'TB-Jul'!G162+'TB-Aug'!G162+'TB-Sep'!G162+'TB-Oct'!G162+'TB-Nov'!G162+'TB-Dec'!G162</f>
        <v>0</v>
      </c>
      <c r="H162" s="94">
        <f>'TB-Jan'!H162+'TB-Feb'!H162+'TB-Mar'!H162+'TB-Apr'!H162+'TB-May'!H162+'TB-Jun'!H162+'TB-Jul'!H162+'TB-Aug'!H162+'TB-Sep'!H162+'TB-Oct'!H162+'TB-Nov'!H162+'TB-Dec'!H162</f>
        <v>0</v>
      </c>
      <c r="I162" s="95">
        <f>'TB-Jan'!I162+'TB-Feb'!I162+'TB-Mar'!I162+'TB-Apr'!I162+'TB-May'!I162+'TB-Jun'!I162+'TB-Jul'!I162+'TB-Aug'!I162+'TB-Sep'!I162+'TB-Oct'!I162+'TB-Nov'!I162+'TB-Dec'!I162</f>
        <v>0</v>
      </c>
      <c r="J162" s="95">
        <f>'TB-Jan'!J162+'TB-Feb'!J162+'TB-Mar'!J162+'TB-Apr'!J162+'TB-May'!J162+'TB-Jun'!J162+'TB-Jul'!J162+'TB-Aug'!J162+'TB-Sep'!J162+'TB-Oct'!J162+'TB-Nov'!J162+'TB-Dec'!J162</f>
        <v>0</v>
      </c>
      <c r="K162" s="96">
        <f>'TB-Jan'!K162+'TB-Feb'!K162+'TB-Mar'!K162+'TB-Apr'!K162+'TB-May'!K162+'TB-Jun'!K162+'TB-Jul'!K162+'TB-Aug'!K162+'TB-Sep'!K162+'TB-Oct'!K162+'TB-Nov'!K162+'TB-Dec'!K162</f>
        <v>0</v>
      </c>
      <c r="L162" s="96">
        <f>'TB-Jan'!L162+'TB-Feb'!L162+'TB-Mar'!L162+'TB-Apr'!L162+'TB-May'!L162+'TB-Jun'!L162+'TB-Jul'!L162+'TB-Aug'!L162+'TB-Sep'!L162+'TB-Oct'!L162+'TB-Nov'!L162+'TB-Dec'!L162</f>
        <v>0</v>
      </c>
      <c r="M162" s="97">
        <f>'TB-Jan'!M162+'TB-Feb'!M162+'TB-Mar'!M162+'TB-Apr'!M162+'TB-May'!M162+'TB-Jun'!M162+'TB-Jul'!M162+'TB-Aug'!M162+'TB-Sep'!M162+'TB-Oct'!M162+'TB-Nov'!M162+'TB-Dec'!M162</f>
        <v>0</v>
      </c>
      <c r="N162" s="97">
        <f>'TB-Jan'!N162+'TB-Feb'!N162+'TB-Mar'!N162+'TB-Apr'!N162+'TB-May'!N162+'TB-Jun'!N162+'TB-Jul'!N162+'TB-Aug'!N162+'TB-Sep'!N162+'TB-Oct'!N162+'TB-Nov'!N162+'TB-Dec'!N162</f>
        <v>0</v>
      </c>
    </row>
    <row r="163" spans="1:14" ht="28.5">
      <c r="A163" s="8" t="s">
        <v>284</v>
      </c>
      <c r="B163" s="4" t="s">
        <v>285</v>
      </c>
      <c r="C163" s="7">
        <f t="shared" si="4"/>
        <v>5489594.3599999994</v>
      </c>
      <c r="D163" s="7"/>
      <c r="E163" s="6">
        <f t="shared" si="3"/>
        <v>5489594.3599999994</v>
      </c>
      <c r="F163" s="6">
        <f t="shared" si="3"/>
        <v>0</v>
      </c>
      <c r="G163" s="94">
        <f>'TB-Jan'!G163+'TB-Feb'!G163+'TB-Mar'!G163+'TB-Apr'!G163+'TB-May'!G163+'TB-Jun'!G163+'TB-Jul'!G163+'TB-Aug'!G163+'TB-Sep'!G163+'TB-Oct'!G163+'TB-Nov'!G163+'TB-Dec'!G163</f>
        <v>5489594.3599999994</v>
      </c>
      <c r="H163" s="94">
        <f>'TB-Jan'!H163+'TB-Feb'!H163+'TB-Mar'!H163+'TB-Apr'!H163+'TB-May'!H163+'TB-Jun'!H163+'TB-Jul'!H163+'TB-Aug'!H163+'TB-Sep'!H163+'TB-Oct'!H163+'TB-Nov'!H163+'TB-Dec'!H163</f>
        <v>0</v>
      </c>
      <c r="I163" s="95">
        <f>'TB-Jan'!I163+'TB-Feb'!I163+'TB-Mar'!I163+'TB-Apr'!I163+'TB-May'!I163+'TB-Jun'!I163+'TB-Jul'!I163+'TB-Aug'!I163+'TB-Sep'!I163+'TB-Oct'!I163+'TB-Nov'!I163+'TB-Dec'!I163</f>
        <v>0</v>
      </c>
      <c r="J163" s="95">
        <f>'TB-Jan'!J163+'TB-Feb'!J163+'TB-Mar'!J163+'TB-Apr'!J163+'TB-May'!J163+'TB-Jun'!J163+'TB-Jul'!J163+'TB-Aug'!J163+'TB-Sep'!J163+'TB-Oct'!J163+'TB-Nov'!J163+'TB-Dec'!J163</f>
        <v>0</v>
      </c>
      <c r="K163" s="96">
        <f>'TB-Jan'!K163+'TB-Feb'!K163+'TB-Mar'!K163+'TB-Apr'!K163+'TB-May'!K163+'TB-Jun'!K163+'TB-Jul'!K163+'TB-Aug'!K163+'TB-Sep'!K163+'TB-Oct'!K163+'TB-Nov'!K163+'TB-Dec'!K163</f>
        <v>0</v>
      </c>
      <c r="L163" s="96">
        <f>'TB-Jan'!L163+'TB-Feb'!L163+'TB-Mar'!L163+'TB-Apr'!L163+'TB-May'!L163+'TB-Jun'!L163+'TB-Jul'!L163+'TB-Aug'!L163+'TB-Sep'!L163+'TB-Oct'!L163+'TB-Nov'!L163+'TB-Dec'!L163</f>
        <v>0</v>
      </c>
      <c r="M163" s="97">
        <f>'TB-Jan'!M163+'TB-Feb'!M163+'TB-Mar'!M163+'TB-Apr'!M163+'TB-May'!M163+'TB-Jun'!M163+'TB-Jul'!M163+'TB-Aug'!M163+'TB-Sep'!M163+'TB-Oct'!M163+'TB-Nov'!M163+'TB-Dec'!M163</f>
        <v>0</v>
      </c>
      <c r="N163" s="97">
        <f>'TB-Jan'!N163+'TB-Feb'!N163+'TB-Mar'!N163+'TB-Apr'!N163+'TB-May'!N163+'TB-Jun'!N163+'TB-Jul'!N163+'TB-Aug'!N163+'TB-Sep'!N163+'TB-Oct'!N163+'TB-Nov'!N163+'TB-Dec'!N163</f>
        <v>0</v>
      </c>
    </row>
    <row r="164" spans="1:14">
      <c r="A164" s="8" t="s">
        <v>286</v>
      </c>
      <c r="B164" s="4" t="s">
        <v>287</v>
      </c>
      <c r="C164" s="7">
        <f t="shared" si="4"/>
        <v>88983153.799999997</v>
      </c>
      <c r="D164" s="7"/>
      <c r="E164" s="6">
        <f t="shared" si="3"/>
        <v>88983153.799999997</v>
      </c>
      <c r="F164" s="6">
        <f t="shared" si="3"/>
        <v>0</v>
      </c>
      <c r="G164" s="94">
        <f>'TB-Jan'!G164+'TB-Feb'!G164+'TB-Mar'!G164+'TB-Apr'!G164+'TB-May'!G164+'TB-Jun'!G164+'TB-Jul'!G164+'TB-Aug'!G164+'TB-Sep'!G164+'TB-Oct'!G164+'TB-Nov'!G164+'TB-Dec'!G164</f>
        <v>88983153.799999997</v>
      </c>
      <c r="H164" s="94">
        <f>'TB-Jan'!H164+'TB-Feb'!H164+'TB-Mar'!H164+'TB-Apr'!H164+'TB-May'!H164+'TB-Jun'!H164+'TB-Jul'!H164+'TB-Aug'!H164+'TB-Sep'!H164+'TB-Oct'!H164+'TB-Nov'!H164+'TB-Dec'!H164</f>
        <v>0</v>
      </c>
      <c r="I164" s="95">
        <f>'TB-Jan'!I164+'TB-Feb'!I164+'TB-Mar'!I164+'TB-Apr'!I164+'TB-May'!I164+'TB-Jun'!I164+'TB-Jul'!I164+'TB-Aug'!I164+'TB-Sep'!I164+'TB-Oct'!I164+'TB-Nov'!I164+'TB-Dec'!I164</f>
        <v>0</v>
      </c>
      <c r="J164" s="95">
        <f>'TB-Jan'!J164+'TB-Feb'!J164+'TB-Mar'!J164+'TB-Apr'!J164+'TB-May'!J164+'TB-Jun'!J164+'TB-Jul'!J164+'TB-Aug'!J164+'TB-Sep'!J164+'TB-Oct'!J164+'TB-Nov'!J164+'TB-Dec'!J164</f>
        <v>0</v>
      </c>
      <c r="K164" s="96">
        <f>'TB-Jan'!K164+'TB-Feb'!K164+'TB-Mar'!K164+'TB-Apr'!K164+'TB-May'!K164+'TB-Jun'!K164+'TB-Jul'!K164+'TB-Aug'!K164+'TB-Sep'!K164+'TB-Oct'!K164+'TB-Nov'!K164+'TB-Dec'!K164</f>
        <v>0</v>
      </c>
      <c r="L164" s="96">
        <f>'TB-Jan'!L164+'TB-Feb'!L164+'TB-Mar'!L164+'TB-Apr'!L164+'TB-May'!L164+'TB-Jun'!L164+'TB-Jul'!L164+'TB-Aug'!L164+'TB-Sep'!L164+'TB-Oct'!L164+'TB-Nov'!L164+'TB-Dec'!L164</f>
        <v>0</v>
      </c>
      <c r="M164" s="97">
        <f>'TB-Jan'!M164+'TB-Feb'!M164+'TB-Mar'!M164+'TB-Apr'!M164+'TB-May'!M164+'TB-Jun'!M164+'TB-Jul'!M164+'TB-Aug'!M164+'TB-Sep'!M164+'TB-Oct'!M164+'TB-Nov'!M164+'TB-Dec'!M164</f>
        <v>0</v>
      </c>
      <c r="N164" s="97">
        <f>'TB-Jan'!N164+'TB-Feb'!N164+'TB-Mar'!N164+'TB-Apr'!N164+'TB-May'!N164+'TB-Jun'!N164+'TB-Jul'!N164+'TB-Aug'!N164+'TB-Sep'!N164+'TB-Oct'!N164+'TB-Nov'!N164+'TB-Dec'!N164</f>
        <v>0</v>
      </c>
    </row>
    <row r="165" spans="1:14" ht="28.5" hidden="1">
      <c r="A165" s="8" t="s">
        <v>288</v>
      </c>
      <c r="B165" s="4" t="s">
        <v>289</v>
      </c>
      <c r="C165" s="7">
        <f t="shared" si="4"/>
        <v>0</v>
      </c>
      <c r="D165" s="7"/>
      <c r="E165" s="6">
        <f t="shared" si="3"/>
        <v>0</v>
      </c>
      <c r="F165" s="6">
        <f t="shared" si="3"/>
        <v>0</v>
      </c>
      <c r="G165" s="94">
        <f>'TB-Jan'!G165+'TB-Feb'!G165+'TB-Mar'!G165+'TB-Apr'!G165+'TB-May'!G165+'TB-Jun'!G165+'TB-Jul'!G165+'TB-Aug'!G165+'TB-Sep'!G165+'TB-Oct'!G165+'TB-Nov'!G165+'TB-Dec'!G165</f>
        <v>0</v>
      </c>
      <c r="H165" s="94">
        <f>'TB-Jan'!H165+'TB-Feb'!H165+'TB-Mar'!H165+'TB-Apr'!H165+'TB-May'!H165+'TB-Jun'!H165+'TB-Jul'!H165+'TB-Aug'!H165+'TB-Sep'!H165+'TB-Oct'!H165+'TB-Nov'!H165+'TB-Dec'!H165</f>
        <v>0</v>
      </c>
      <c r="I165" s="95">
        <f>'TB-Jan'!I165+'TB-Feb'!I165+'TB-Mar'!I165+'TB-Apr'!I165+'TB-May'!I165+'TB-Jun'!I165+'TB-Jul'!I165+'TB-Aug'!I165+'TB-Sep'!I165+'TB-Oct'!I165+'TB-Nov'!I165+'TB-Dec'!I165</f>
        <v>0</v>
      </c>
      <c r="J165" s="95">
        <f>'TB-Jan'!J165+'TB-Feb'!J165+'TB-Mar'!J165+'TB-Apr'!J165+'TB-May'!J165+'TB-Jun'!J165+'TB-Jul'!J165+'TB-Aug'!J165+'TB-Sep'!J165+'TB-Oct'!J165+'TB-Nov'!J165+'TB-Dec'!J165</f>
        <v>0</v>
      </c>
      <c r="K165" s="96">
        <f>'TB-Jan'!K165+'TB-Feb'!K165+'TB-Mar'!K165+'TB-Apr'!K165+'TB-May'!K165+'TB-Jun'!K165+'TB-Jul'!K165+'TB-Aug'!K165+'TB-Sep'!K165+'TB-Oct'!K165+'TB-Nov'!K165+'TB-Dec'!K165</f>
        <v>0</v>
      </c>
      <c r="L165" s="96">
        <f>'TB-Jan'!L165+'TB-Feb'!L165+'TB-Mar'!L165+'TB-Apr'!L165+'TB-May'!L165+'TB-Jun'!L165+'TB-Jul'!L165+'TB-Aug'!L165+'TB-Sep'!L165+'TB-Oct'!L165+'TB-Nov'!L165+'TB-Dec'!L165</f>
        <v>0</v>
      </c>
      <c r="M165" s="97">
        <f>'TB-Jan'!M165+'TB-Feb'!M165+'TB-Mar'!M165+'TB-Apr'!M165+'TB-May'!M165+'TB-Jun'!M165+'TB-Jul'!M165+'TB-Aug'!M165+'TB-Sep'!M165+'TB-Oct'!M165+'TB-Nov'!M165+'TB-Dec'!M165</f>
        <v>0</v>
      </c>
      <c r="N165" s="97">
        <f>'TB-Jan'!N165+'TB-Feb'!N165+'TB-Mar'!N165+'TB-Apr'!N165+'TB-May'!N165+'TB-Jun'!N165+'TB-Jul'!N165+'TB-Aug'!N165+'TB-Sep'!N165+'TB-Oct'!N165+'TB-Nov'!N165+'TB-Dec'!N165</f>
        <v>0</v>
      </c>
    </row>
    <row r="166" spans="1:14" ht="28.5" hidden="1">
      <c r="A166" s="8" t="s">
        <v>290</v>
      </c>
      <c r="B166" s="4" t="s">
        <v>291</v>
      </c>
      <c r="C166" s="7">
        <f t="shared" si="4"/>
        <v>0</v>
      </c>
      <c r="D166" s="7"/>
      <c r="E166" s="6">
        <f t="shared" si="3"/>
        <v>0</v>
      </c>
      <c r="F166" s="6">
        <f t="shared" si="3"/>
        <v>0</v>
      </c>
      <c r="G166" s="94">
        <f>'TB-Jan'!G166+'TB-Feb'!G166+'TB-Mar'!G166+'TB-Apr'!G166+'TB-May'!G166+'TB-Jun'!G166+'TB-Jul'!G166+'TB-Aug'!G166+'TB-Sep'!G166+'TB-Oct'!G166+'TB-Nov'!G166+'TB-Dec'!G166</f>
        <v>0</v>
      </c>
      <c r="H166" s="94">
        <f>'TB-Jan'!H166+'TB-Feb'!H166+'TB-Mar'!H166+'TB-Apr'!H166+'TB-May'!H166+'TB-Jun'!H166+'TB-Jul'!H166+'TB-Aug'!H166+'TB-Sep'!H166+'TB-Oct'!H166+'TB-Nov'!H166+'TB-Dec'!H166</f>
        <v>0</v>
      </c>
      <c r="I166" s="95">
        <f>'TB-Jan'!I166+'TB-Feb'!I166+'TB-Mar'!I166+'TB-Apr'!I166+'TB-May'!I166+'TB-Jun'!I166+'TB-Jul'!I166+'TB-Aug'!I166+'TB-Sep'!I166+'TB-Oct'!I166+'TB-Nov'!I166+'TB-Dec'!I166</f>
        <v>0</v>
      </c>
      <c r="J166" s="95">
        <f>'TB-Jan'!J166+'TB-Feb'!J166+'TB-Mar'!J166+'TB-Apr'!J166+'TB-May'!J166+'TB-Jun'!J166+'TB-Jul'!J166+'TB-Aug'!J166+'TB-Sep'!J166+'TB-Oct'!J166+'TB-Nov'!J166+'TB-Dec'!J166</f>
        <v>0</v>
      </c>
      <c r="K166" s="96">
        <f>'TB-Jan'!K166+'TB-Feb'!K166+'TB-Mar'!K166+'TB-Apr'!K166+'TB-May'!K166+'TB-Jun'!K166+'TB-Jul'!K166+'TB-Aug'!K166+'TB-Sep'!K166+'TB-Oct'!K166+'TB-Nov'!K166+'TB-Dec'!K166</f>
        <v>0</v>
      </c>
      <c r="L166" s="96">
        <f>'TB-Jan'!L166+'TB-Feb'!L166+'TB-Mar'!L166+'TB-Apr'!L166+'TB-May'!L166+'TB-Jun'!L166+'TB-Jul'!L166+'TB-Aug'!L166+'TB-Sep'!L166+'TB-Oct'!L166+'TB-Nov'!L166+'TB-Dec'!L166</f>
        <v>0</v>
      </c>
      <c r="M166" s="97">
        <f>'TB-Jan'!M166+'TB-Feb'!M166+'TB-Mar'!M166+'TB-Apr'!M166+'TB-May'!M166+'TB-Jun'!M166+'TB-Jul'!M166+'TB-Aug'!M166+'TB-Sep'!M166+'TB-Oct'!M166+'TB-Nov'!M166+'TB-Dec'!M166</f>
        <v>0</v>
      </c>
      <c r="N166" s="97">
        <f>'TB-Jan'!N166+'TB-Feb'!N166+'TB-Mar'!N166+'TB-Apr'!N166+'TB-May'!N166+'TB-Jun'!N166+'TB-Jul'!N166+'TB-Aug'!N166+'TB-Sep'!N166+'TB-Oct'!N166+'TB-Nov'!N166+'TB-Dec'!N166</f>
        <v>0</v>
      </c>
    </row>
    <row r="167" spans="1:14" hidden="1">
      <c r="A167" s="3" t="s">
        <v>292</v>
      </c>
      <c r="B167" s="4" t="s">
        <v>293</v>
      </c>
      <c r="C167" s="7">
        <f t="shared" si="4"/>
        <v>0</v>
      </c>
      <c r="D167" s="7"/>
      <c r="E167" s="6">
        <f t="shared" si="3"/>
        <v>0</v>
      </c>
      <c r="F167" s="6">
        <f t="shared" si="3"/>
        <v>0</v>
      </c>
      <c r="G167" s="94">
        <f>'TB-Jan'!G167+'TB-Feb'!G167+'TB-Mar'!G167+'TB-Apr'!G167+'TB-May'!G167+'TB-Jun'!G167+'TB-Jul'!G167+'TB-Aug'!G167+'TB-Sep'!G167+'TB-Oct'!G167+'TB-Nov'!G167+'TB-Dec'!G167</f>
        <v>0</v>
      </c>
      <c r="H167" s="94">
        <f>'TB-Jan'!H167+'TB-Feb'!H167+'TB-Mar'!H167+'TB-Apr'!H167+'TB-May'!H167+'TB-Jun'!H167+'TB-Jul'!H167+'TB-Aug'!H167+'TB-Sep'!H167+'TB-Oct'!H167+'TB-Nov'!H167+'TB-Dec'!H167</f>
        <v>0</v>
      </c>
      <c r="I167" s="95">
        <f>'TB-Jan'!I167+'TB-Feb'!I167+'TB-Mar'!I167+'TB-Apr'!I167+'TB-May'!I167+'TB-Jun'!I167+'TB-Jul'!I167+'TB-Aug'!I167+'TB-Sep'!I167+'TB-Oct'!I167+'TB-Nov'!I167+'TB-Dec'!I167</f>
        <v>0</v>
      </c>
      <c r="J167" s="95">
        <f>'TB-Jan'!J167+'TB-Feb'!J167+'TB-Mar'!J167+'TB-Apr'!J167+'TB-May'!J167+'TB-Jun'!J167+'TB-Jul'!J167+'TB-Aug'!J167+'TB-Sep'!J167+'TB-Oct'!J167+'TB-Nov'!J167+'TB-Dec'!J167</f>
        <v>0</v>
      </c>
      <c r="K167" s="96">
        <f>'TB-Jan'!K167+'TB-Feb'!K167+'TB-Mar'!K167+'TB-Apr'!K167+'TB-May'!K167+'TB-Jun'!K167+'TB-Jul'!K167+'TB-Aug'!K167+'TB-Sep'!K167+'TB-Oct'!K167+'TB-Nov'!K167+'TB-Dec'!K167</f>
        <v>0</v>
      </c>
      <c r="L167" s="96">
        <f>'TB-Jan'!L167+'TB-Feb'!L167+'TB-Mar'!L167+'TB-Apr'!L167+'TB-May'!L167+'TB-Jun'!L167+'TB-Jul'!L167+'TB-Aug'!L167+'TB-Sep'!L167+'TB-Oct'!L167+'TB-Nov'!L167+'TB-Dec'!L167</f>
        <v>0</v>
      </c>
      <c r="M167" s="97">
        <f>'TB-Jan'!M167+'TB-Feb'!M167+'TB-Mar'!M167+'TB-Apr'!M167+'TB-May'!M167+'TB-Jun'!M167+'TB-Jul'!M167+'TB-Aug'!M167+'TB-Sep'!M167+'TB-Oct'!M167+'TB-Nov'!M167+'TB-Dec'!M167</f>
        <v>0</v>
      </c>
      <c r="N167" s="97">
        <f>'TB-Jan'!N167+'TB-Feb'!N167+'TB-Mar'!N167+'TB-Apr'!N167+'TB-May'!N167+'TB-Jun'!N167+'TB-Jul'!N167+'TB-Aug'!N167+'TB-Sep'!N167+'TB-Oct'!N167+'TB-Nov'!N167+'TB-Dec'!N167</f>
        <v>0</v>
      </c>
    </row>
    <row r="168" spans="1:14" hidden="1">
      <c r="A168" s="3" t="s">
        <v>294</v>
      </c>
      <c r="B168" s="4" t="s">
        <v>295</v>
      </c>
      <c r="C168" s="7">
        <f t="shared" si="4"/>
        <v>0</v>
      </c>
      <c r="D168" s="7"/>
      <c r="E168" s="6">
        <f t="shared" si="3"/>
        <v>0</v>
      </c>
      <c r="F168" s="6">
        <f t="shared" si="3"/>
        <v>0</v>
      </c>
      <c r="G168" s="94">
        <f>'TB-Jan'!G168+'TB-Feb'!G168+'TB-Mar'!G168+'TB-Apr'!G168+'TB-May'!G168+'TB-Jun'!G168+'TB-Jul'!G168+'TB-Aug'!G168+'TB-Sep'!G168+'TB-Oct'!G168+'TB-Nov'!G168+'TB-Dec'!G168</f>
        <v>0</v>
      </c>
      <c r="H168" s="94">
        <f>'TB-Jan'!H168+'TB-Feb'!H168+'TB-Mar'!H168+'TB-Apr'!H168+'TB-May'!H168+'TB-Jun'!H168+'TB-Jul'!H168+'TB-Aug'!H168+'TB-Sep'!H168+'TB-Oct'!H168+'TB-Nov'!H168+'TB-Dec'!H168</f>
        <v>0</v>
      </c>
      <c r="I168" s="95">
        <f>'TB-Jan'!I168+'TB-Feb'!I168+'TB-Mar'!I168+'TB-Apr'!I168+'TB-May'!I168+'TB-Jun'!I168+'TB-Jul'!I168+'TB-Aug'!I168+'TB-Sep'!I168+'TB-Oct'!I168+'TB-Nov'!I168+'TB-Dec'!I168</f>
        <v>0</v>
      </c>
      <c r="J168" s="95">
        <f>'TB-Jan'!J168+'TB-Feb'!J168+'TB-Mar'!J168+'TB-Apr'!J168+'TB-May'!J168+'TB-Jun'!J168+'TB-Jul'!J168+'TB-Aug'!J168+'TB-Sep'!J168+'TB-Oct'!J168+'TB-Nov'!J168+'TB-Dec'!J168</f>
        <v>0</v>
      </c>
      <c r="K168" s="96">
        <f>'TB-Jan'!K168+'TB-Feb'!K168+'TB-Mar'!K168+'TB-Apr'!K168+'TB-May'!K168+'TB-Jun'!K168+'TB-Jul'!K168+'TB-Aug'!K168+'TB-Sep'!K168+'TB-Oct'!K168+'TB-Nov'!K168+'TB-Dec'!K168</f>
        <v>0</v>
      </c>
      <c r="L168" s="96">
        <f>'TB-Jan'!L168+'TB-Feb'!L168+'TB-Mar'!L168+'TB-Apr'!L168+'TB-May'!L168+'TB-Jun'!L168+'TB-Jul'!L168+'TB-Aug'!L168+'TB-Sep'!L168+'TB-Oct'!L168+'TB-Nov'!L168+'TB-Dec'!L168</f>
        <v>0</v>
      </c>
      <c r="M168" s="97">
        <f>'TB-Jan'!M168+'TB-Feb'!M168+'TB-Mar'!M168+'TB-Apr'!M168+'TB-May'!M168+'TB-Jun'!M168+'TB-Jul'!M168+'TB-Aug'!M168+'TB-Sep'!M168+'TB-Oct'!M168+'TB-Nov'!M168+'TB-Dec'!M168</f>
        <v>0</v>
      </c>
      <c r="N168" s="97">
        <f>'TB-Jan'!N168+'TB-Feb'!N168+'TB-Mar'!N168+'TB-Apr'!N168+'TB-May'!N168+'TB-Jun'!N168+'TB-Jul'!N168+'TB-Aug'!N168+'TB-Sep'!N168+'TB-Oct'!N168+'TB-Nov'!N168+'TB-Dec'!N168</f>
        <v>0</v>
      </c>
    </row>
    <row r="169" spans="1:14" hidden="1">
      <c r="A169" s="3" t="s">
        <v>296</v>
      </c>
      <c r="B169" s="10" t="s">
        <v>297</v>
      </c>
      <c r="C169" s="7">
        <f t="shared" si="4"/>
        <v>0</v>
      </c>
      <c r="D169" s="7"/>
      <c r="E169" s="6">
        <f t="shared" si="3"/>
        <v>0</v>
      </c>
      <c r="F169" s="6">
        <f t="shared" si="3"/>
        <v>0</v>
      </c>
      <c r="G169" s="94">
        <f>'TB-Jan'!G169+'TB-Feb'!G169+'TB-Mar'!G169+'TB-Apr'!G169+'TB-May'!G169+'TB-Jun'!G169+'TB-Jul'!G169+'TB-Aug'!G169+'TB-Sep'!G169+'TB-Oct'!G169+'TB-Nov'!G169+'TB-Dec'!G169</f>
        <v>0</v>
      </c>
      <c r="H169" s="94">
        <f>'TB-Jan'!H169+'TB-Feb'!H169+'TB-Mar'!H169+'TB-Apr'!H169+'TB-May'!H169+'TB-Jun'!H169+'TB-Jul'!H169+'TB-Aug'!H169+'TB-Sep'!H169+'TB-Oct'!H169+'TB-Nov'!H169+'TB-Dec'!H169</f>
        <v>0</v>
      </c>
      <c r="I169" s="95">
        <f>'TB-Jan'!I169+'TB-Feb'!I169+'TB-Mar'!I169+'TB-Apr'!I169+'TB-May'!I169+'TB-Jun'!I169+'TB-Jul'!I169+'TB-Aug'!I169+'TB-Sep'!I169+'TB-Oct'!I169+'TB-Nov'!I169+'TB-Dec'!I169</f>
        <v>0</v>
      </c>
      <c r="J169" s="95">
        <f>'TB-Jan'!J169+'TB-Feb'!J169+'TB-Mar'!J169+'TB-Apr'!J169+'TB-May'!J169+'TB-Jun'!J169+'TB-Jul'!J169+'TB-Aug'!J169+'TB-Sep'!J169+'TB-Oct'!J169+'TB-Nov'!J169+'TB-Dec'!J169</f>
        <v>0</v>
      </c>
      <c r="K169" s="96">
        <f>'TB-Jan'!K169+'TB-Feb'!K169+'TB-Mar'!K169+'TB-Apr'!K169+'TB-May'!K169+'TB-Jun'!K169+'TB-Jul'!K169+'TB-Aug'!K169+'TB-Sep'!K169+'TB-Oct'!K169+'TB-Nov'!K169+'TB-Dec'!K169</f>
        <v>0</v>
      </c>
      <c r="L169" s="96">
        <f>'TB-Jan'!L169+'TB-Feb'!L169+'TB-Mar'!L169+'TB-Apr'!L169+'TB-May'!L169+'TB-Jun'!L169+'TB-Jul'!L169+'TB-Aug'!L169+'TB-Sep'!L169+'TB-Oct'!L169+'TB-Nov'!L169+'TB-Dec'!L169</f>
        <v>0</v>
      </c>
      <c r="M169" s="97">
        <f>'TB-Jan'!M169+'TB-Feb'!M169+'TB-Mar'!M169+'TB-Apr'!M169+'TB-May'!M169+'TB-Jun'!M169+'TB-Jul'!M169+'TB-Aug'!M169+'TB-Sep'!M169+'TB-Oct'!M169+'TB-Nov'!M169+'TB-Dec'!M169</f>
        <v>0</v>
      </c>
      <c r="N169" s="97">
        <f>'TB-Jan'!N169+'TB-Feb'!N169+'TB-Mar'!N169+'TB-Apr'!N169+'TB-May'!N169+'TB-Jun'!N169+'TB-Jul'!N169+'TB-Aug'!N169+'TB-Sep'!N169+'TB-Oct'!N169+'TB-Nov'!N169+'TB-Dec'!N169</f>
        <v>0</v>
      </c>
    </row>
    <row r="170" spans="1:14" hidden="1">
      <c r="A170" s="3" t="s">
        <v>298</v>
      </c>
      <c r="B170" s="10" t="s">
        <v>299</v>
      </c>
      <c r="C170" s="7">
        <f t="shared" si="4"/>
        <v>0</v>
      </c>
      <c r="D170" s="7"/>
      <c r="E170" s="6">
        <f t="shared" si="3"/>
        <v>0</v>
      </c>
      <c r="F170" s="6">
        <f t="shared" si="3"/>
        <v>0</v>
      </c>
      <c r="G170" s="94">
        <f>'TB-Jan'!G170+'TB-Feb'!G170+'TB-Mar'!G170+'TB-Apr'!G170+'TB-May'!G170+'TB-Jun'!G170+'TB-Jul'!G170+'TB-Aug'!G170+'TB-Sep'!G170+'TB-Oct'!G170+'TB-Nov'!G170+'TB-Dec'!G170</f>
        <v>0</v>
      </c>
      <c r="H170" s="94">
        <f>'TB-Jan'!H170+'TB-Feb'!H170+'TB-Mar'!H170+'TB-Apr'!H170+'TB-May'!H170+'TB-Jun'!H170+'TB-Jul'!H170+'TB-Aug'!H170+'TB-Sep'!H170+'TB-Oct'!H170+'TB-Nov'!H170+'TB-Dec'!H170</f>
        <v>0</v>
      </c>
      <c r="I170" s="95">
        <f>'TB-Jan'!I170+'TB-Feb'!I170+'TB-Mar'!I170+'TB-Apr'!I170+'TB-May'!I170+'TB-Jun'!I170+'TB-Jul'!I170+'TB-Aug'!I170+'TB-Sep'!I170+'TB-Oct'!I170+'TB-Nov'!I170+'TB-Dec'!I170</f>
        <v>0</v>
      </c>
      <c r="J170" s="95">
        <f>'TB-Jan'!J170+'TB-Feb'!J170+'TB-Mar'!J170+'TB-Apr'!J170+'TB-May'!J170+'TB-Jun'!J170+'TB-Jul'!J170+'TB-Aug'!J170+'TB-Sep'!J170+'TB-Oct'!J170+'TB-Nov'!J170+'TB-Dec'!J170</f>
        <v>0</v>
      </c>
      <c r="K170" s="96">
        <f>'TB-Jan'!K170+'TB-Feb'!K170+'TB-Mar'!K170+'TB-Apr'!K170+'TB-May'!K170+'TB-Jun'!K170+'TB-Jul'!K170+'TB-Aug'!K170+'TB-Sep'!K170+'TB-Oct'!K170+'TB-Nov'!K170+'TB-Dec'!K170</f>
        <v>0</v>
      </c>
      <c r="L170" s="96">
        <f>'TB-Jan'!L170+'TB-Feb'!L170+'TB-Mar'!L170+'TB-Apr'!L170+'TB-May'!L170+'TB-Jun'!L170+'TB-Jul'!L170+'TB-Aug'!L170+'TB-Sep'!L170+'TB-Oct'!L170+'TB-Nov'!L170+'TB-Dec'!L170</f>
        <v>0</v>
      </c>
      <c r="M170" s="97">
        <f>'TB-Jan'!M170+'TB-Feb'!M170+'TB-Mar'!M170+'TB-Apr'!M170+'TB-May'!M170+'TB-Jun'!M170+'TB-Jul'!M170+'TB-Aug'!M170+'TB-Sep'!M170+'TB-Oct'!M170+'TB-Nov'!M170+'TB-Dec'!M170</f>
        <v>0</v>
      </c>
      <c r="N170" s="97">
        <f>'TB-Jan'!N170+'TB-Feb'!N170+'TB-Mar'!N170+'TB-Apr'!N170+'TB-May'!N170+'TB-Jun'!N170+'TB-Jul'!N170+'TB-Aug'!N170+'TB-Sep'!N170+'TB-Oct'!N170+'TB-Nov'!N170+'TB-Dec'!N170</f>
        <v>0</v>
      </c>
    </row>
    <row r="171" spans="1:14" hidden="1">
      <c r="A171" s="3" t="s">
        <v>300</v>
      </c>
      <c r="B171" s="10" t="s">
        <v>301</v>
      </c>
      <c r="C171" s="7">
        <f t="shared" si="4"/>
        <v>0</v>
      </c>
      <c r="D171" s="7"/>
      <c r="E171" s="6">
        <f t="shared" si="3"/>
        <v>0</v>
      </c>
      <c r="F171" s="6">
        <f t="shared" si="3"/>
        <v>0</v>
      </c>
      <c r="G171" s="94">
        <f>'TB-Jan'!G171+'TB-Feb'!G171+'TB-Mar'!G171+'TB-Apr'!G171+'TB-May'!G171+'TB-Jun'!G171+'TB-Jul'!G171+'TB-Aug'!G171+'TB-Sep'!G171+'TB-Oct'!G171+'TB-Nov'!G171+'TB-Dec'!G171</f>
        <v>0</v>
      </c>
      <c r="H171" s="94">
        <f>'TB-Jan'!H171+'TB-Feb'!H171+'TB-Mar'!H171+'TB-Apr'!H171+'TB-May'!H171+'TB-Jun'!H171+'TB-Jul'!H171+'TB-Aug'!H171+'TB-Sep'!H171+'TB-Oct'!H171+'TB-Nov'!H171+'TB-Dec'!H171</f>
        <v>0</v>
      </c>
      <c r="I171" s="95">
        <f>'TB-Jan'!I171+'TB-Feb'!I171+'TB-Mar'!I171+'TB-Apr'!I171+'TB-May'!I171+'TB-Jun'!I171+'TB-Jul'!I171+'TB-Aug'!I171+'TB-Sep'!I171+'TB-Oct'!I171+'TB-Nov'!I171+'TB-Dec'!I171</f>
        <v>0</v>
      </c>
      <c r="J171" s="95">
        <f>'TB-Jan'!J171+'TB-Feb'!J171+'TB-Mar'!J171+'TB-Apr'!J171+'TB-May'!J171+'TB-Jun'!J171+'TB-Jul'!J171+'TB-Aug'!J171+'TB-Sep'!J171+'TB-Oct'!J171+'TB-Nov'!J171+'TB-Dec'!J171</f>
        <v>0</v>
      </c>
      <c r="K171" s="96">
        <f>'TB-Jan'!K171+'TB-Feb'!K171+'TB-Mar'!K171+'TB-Apr'!K171+'TB-May'!K171+'TB-Jun'!K171+'TB-Jul'!K171+'TB-Aug'!K171+'TB-Sep'!K171+'TB-Oct'!K171+'TB-Nov'!K171+'TB-Dec'!K171</f>
        <v>0</v>
      </c>
      <c r="L171" s="96">
        <f>'TB-Jan'!L171+'TB-Feb'!L171+'TB-Mar'!L171+'TB-Apr'!L171+'TB-May'!L171+'TB-Jun'!L171+'TB-Jul'!L171+'TB-Aug'!L171+'TB-Sep'!L171+'TB-Oct'!L171+'TB-Nov'!L171+'TB-Dec'!L171</f>
        <v>0</v>
      </c>
      <c r="M171" s="97">
        <f>'TB-Jan'!M171+'TB-Feb'!M171+'TB-Mar'!M171+'TB-Apr'!M171+'TB-May'!M171+'TB-Jun'!M171+'TB-Jul'!M171+'TB-Aug'!M171+'TB-Sep'!M171+'TB-Oct'!M171+'TB-Nov'!M171+'TB-Dec'!M171</f>
        <v>0</v>
      </c>
      <c r="N171" s="97">
        <f>'TB-Jan'!N171+'TB-Feb'!N171+'TB-Mar'!N171+'TB-Apr'!N171+'TB-May'!N171+'TB-Jun'!N171+'TB-Jul'!N171+'TB-Aug'!N171+'TB-Sep'!N171+'TB-Oct'!N171+'TB-Nov'!N171+'TB-Dec'!N171</f>
        <v>0</v>
      </c>
    </row>
    <row r="172" spans="1:14" hidden="1">
      <c r="A172" s="3" t="s">
        <v>302</v>
      </c>
      <c r="B172" s="10" t="s">
        <v>303</v>
      </c>
      <c r="C172" s="7">
        <f t="shared" si="4"/>
        <v>0</v>
      </c>
      <c r="D172" s="7"/>
      <c r="E172" s="6">
        <f t="shared" si="3"/>
        <v>0</v>
      </c>
      <c r="F172" s="6">
        <f t="shared" si="3"/>
        <v>0</v>
      </c>
      <c r="G172" s="94">
        <f>'TB-Jan'!G172+'TB-Feb'!G172+'TB-Mar'!G172+'TB-Apr'!G172+'TB-May'!G172+'TB-Jun'!G172+'TB-Jul'!G172+'TB-Aug'!G172+'TB-Sep'!G172+'TB-Oct'!G172+'TB-Nov'!G172+'TB-Dec'!G172</f>
        <v>0</v>
      </c>
      <c r="H172" s="94">
        <f>'TB-Jan'!H172+'TB-Feb'!H172+'TB-Mar'!H172+'TB-Apr'!H172+'TB-May'!H172+'TB-Jun'!H172+'TB-Jul'!H172+'TB-Aug'!H172+'TB-Sep'!H172+'TB-Oct'!H172+'TB-Nov'!H172+'TB-Dec'!H172</f>
        <v>0</v>
      </c>
      <c r="I172" s="95">
        <f>'TB-Jan'!I172+'TB-Feb'!I172+'TB-Mar'!I172+'TB-Apr'!I172+'TB-May'!I172+'TB-Jun'!I172+'TB-Jul'!I172+'TB-Aug'!I172+'TB-Sep'!I172+'TB-Oct'!I172+'TB-Nov'!I172+'TB-Dec'!I172</f>
        <v>0</v>
      </c>
      <c r="J172" s="95">
        <f>'TB-Jan'!J172+'TB-Feb'!J172+'TB-Mar'!J172+'TB-Apr'!J172+'TB-May'!J172+'TB-Jun'!J172+'TB-Jul'!J172+'TB-Aug'!J172+'TB-Sep'!J172+'TB-Oct'!J172+'TB-Nov'!J172+'TB-Dec'!J172</f>
        <v>0</v>
      </c>
      <c r="K172" s="96">
        <f>'TB-Jan'!K172+'TB-Feb'!K172+'TB-Mar'!K172+'TB-Apr'!K172+'TB-May'!K172+'TB-Jun'!K172+'TB-Jul'!K172+'TB-Aug'!K172+'TB-Sep'!K172+'TB-Oct'!K172+'TB-Nov'!K172+'TB-Dec'!K172</f>
        <v>0</v>
      </c>
      <c r="L172" s="96">
        <f>'TB-Jan'!L172+'TB-Feb'!L172+'TB-Mar'!L172+'TB-Apr'!L172+'TB-May'!L172+'TB-Jun'!L172+'TB-Jul'!L172+'TB-Aug'!L172+'TB-Sep'!L172+'TB-Oct'!L172+'TB-Nov'!L172+'TB-Dec'!L172</f>
        <v>0</v>
      </c>
      <c r="M172" s="97">
        <f>'TB-Jan'!M172+'TB-Feb'!M172+'TB-Mar'!M172+'TB-Apr'!M172+'TB-May'!M172+'TB-Jun'!M172+'TB-Jul'!M172+'TB-Aug'!M172+'TB-Sep'!M172+'TB-Oct'!M172+'TB-Nov'!M172+'TB-Dec'!M172</f>
        <v>0</v>
      </c>
      <c r="N172" s="97">
        <f>'TB-Jan'!N172+'TB-Feb'!N172+'TB-Mar'!N172+'TB-Apr'!N172+'TB-May'!N172+'TB-Jun'!N172+'TB-Jul'!N172+'TB-Aug'!N172+'TB-Sep'!N172+'TB-Oct'!N172+'TB-Nov'!N172+'TB-Dec'!N172</f>
        <v>0</v>
      </c>
    </row>
    <row r="173" spans="1:14" hidden="1">
      <c r="A173" s="3" t="s">
        <v>304</v>
      </c>
      <c r="B173" s="10" t="s">
        <v>305</v>
      </c>
      <c r="C173" s="7">
        <f t="shared" si="4"/>
        <v>0</v>
      </c>
      <c r="D173" s="7"/>
      <c r="E173" s="6">
        <f t="shared" si="3"/>
        <v>0</v>
      </c>
      <c r="F173" s="6">
        <f t="shared" si="3"/>
        <v>0</v>
      </c>
      <c r="G173" s="94">
        <f>'TB-Jan'!G173+'TB-Feb'!G173+'TB-Mar'!G173+'TB-Apr'!G173+'TB-May'!G173+'TB-Jun'!G173+'TB-Jul'!G173+'TB-Aug'!G173+'TB-Sep'!G173+'TB-Oct'!G173+'TB-Nov'!G173+'TB-Dec'!G173</f>
        <v>0</v>
      </c>
      <c r="H173" s="94">
        <f>'TB-Jan'!H173+'TB-Feb'!H173+'TB-Mar'!H173+'TB-Apr'!H173+'TB-May'!H173+'TB-Jun'!H173+'TB-Jul'!H173+'TB-Aug'!H173+'TB-Sep'!H173+'TB-Oct'!H173+'TB-Nov'!H173+'TB-Dec'!H173</f>
        <v>0</v>
      </c>
      <c r="I173" s="95">
        <f>'TB-Jan'!I173+'TB-Feb'!I173+'TB-Mar'!I173+'TB-Apr'!I173+'TB-May'!I173+'TB-Jun'!I173+'TB-Jul'!I173+'TB-Aug'!I173+'TB-Sep'!I173+'TB-Oct'!I173+'TB-Nov'!I173+'TB-Dec'!I173</f>
        <v>0</v>
      </c>
      <c r="J173" s="95">
        <f>'TB-Jan'!J173+'TB-Feb'!J173+'TB-Mar'!J173+'TB-Apr'!J173+'TB-May'!J173+'TB-Jun'!J173+'TB-Jul'!J173+'TB-Aug'!J173+'TB-Sep'!J173+'TB-Oct'!J173+'TB-Nov'!J173+'TB-Dec'!J173</f>
        <v>0</v>
      </c>
      <c r="K173" s="96">
        <f>'TB-Jan'!K173+'TB-Feb'!K173+'TB-Mar'!K173+'TB-Apr'!K173+'TB-May'!K173+'TB-Jun'!K173+'TB-Jul'!K173+'TB-Aug'!K173+'TB-Sep'!K173+'TB-Oct'!K173+'TB-Nov'!K173+'TB-Dec'!K173</f>
        <v>0</v>
      </c>
      <c r="L173" s="96">
        <f>'TB-Jan'!L173+'TB-Feb'!L173+'TB-Mar'!L173+'TB-Apr'!L173+'TB-May'!L173+'TB-Jun'!L173+'TB-Jul'!L173+'TB-Aug'!L173+'TB-Sep'!L173+'TB-Oct'!L173+'TB-Nov'!L173+'TB-Dec'!L173</f>
        <v>0</v>
      </c>
      <c r="M173" s="97">
        <f>'TB-Jan'!M173+'TB-Feb'!M173+'TB-Mar'!M173+'TB-Apr'!M173+'TB-May'!M173+'TB-Jun'!M173+'TB-Jul'!M173+'TB-Aug'!M173+'TB-Sep'!M173+'TB-Oct'!M173+'TB-Nov'!M173+'TB-Dec'!M173</f>
        <v>0</v>
      </c>
      <c r="N173" s="97">
        <f>'TB-Jan'!N173+'TB-Feb'!N173+'TB-Mar'!N173+'TB-Apr'!N173+'TB-May'!N173+'TB-Jun'!N173+'TB-Jul'!N173+'TB-Aug'!N173+'TB-Sep'!N173+'TB-Oct'!N173+'TB-Nov'!N173+'TB-Dec'!N173</f>
        <v>0</v>
      </c>
    </row>
    <row r="174" spans="1:14" hidden="1">
      <c r="A174" s="3" t="s">
        <v>306</v>
      </c>
      <c r="B174" s="10" t="s">
        <v>307</v>
      </c>
      <c r="C174" s="7"/>
      <c r="D174" s="7">
        <f t="shared" ref="D174:D237" si="5">F174-E174</f>
        <v>0</v>
      </c>
      <c r="E174" s="6">
        <f t="shared" si="3"/>
        <v>0</v>
      </c>
      <c r="F174" s="6">
        <f t="shared" si="3"/>
        <v>0</v>
      </c>
      <c r="G174" s="94">
        <f>'TB-Jan'!G174+'TB-Feb'!G174+'TB-Mar'!G174+'TB-Apr'!G174+'TB-May'!G174+'TB-Jun'!G174+'TB-Jul'!G174+'TB-Aug'!G174+'TB-Sep'!G174+'TB-Oct'!G174+'TB-Nov'!G174+'TB-Dec'!G174</f>
        <v>0</v>
      </c>
      <c r="H174" s="94">
        <f>'TB-Jan'!H174+'TB-Feb'!H174+'TB-Mar'!H174+'TB-Apr'!H174+'TB-May'!H174+'TB-Jun'!H174+'TB-Jul'!H174+'TB-Aug'!H174+'TB-Sep'!H174+'TB-Oct'!H174+'TB-Nov'!H174+'TB-Dec'!H174</f>
        <v>0</v>
      </c>
      <c r="I174" s="95">
        <f>'TB-Jan'!I174+'TB-Feb'!I174+'TB-Mar'!I174+'TB-Apr'!I174+'TB-May'!I174+'TB-Jun'!I174+'TB-Jul'!I174+'TB-Aug'!I174+'TB-Sep'!I174+'TB-Oct'!I174+'TB-Nov'!I174+'TB-Dec'!I174</f>
        <v>0</v>
      </c>
      <c r="J174" s="95">
        <f>'TB-Jan'!J174+'TB-Feb'!J174+'TB-Mar'!J174+'TB-Apr'!J174+'TB-May'!J174+'TB-Jun'!J174+'TB-Jul'!J174+'TB-Aug'!J174+'TB-Sep'!J174+'TB-Oct'!J174+'TB-Nov'!J174+'TB-Dec'!J174</f>
        <v>0</v>
      </c>
      <c r="K174" s="96">
        <f>'TB-Jan'!K174+'TB-Feb'!K174+'TB-Mar'!K174+'TB-Apr'!K174+'TB-May'!K174+'TB-Jun'!K174+'TB-Jul'!K174+'TB-Aug'!K174+'TB-Sep'!K174+'TB-Oct'!K174+'TB-Nov'!K174+'TB-Dec'!K174</f>
        <v>0</v>
      </c>
      <c r="L174" s="96">
        <f>'TB-Jan'!L174+'TB-Feb'!L174+'TB-Mar'!L174+'TB-Apr'!L174+'TB-May'!L174+'TB-Jun'!L174+'TB-Jul'!L174+'TB-Aug'!L174+'TB-Sep'!L174+'TB-Oct'!L174+'TB-Nov'!L174+'TB-Dec'!L174</f>
        <v>0</v>
      </c>
      <c r="M174" s="97">
        <f>'TB-Jan'!M174+'TB-Feb'!M174+'TB-Mar'!M174+'TB-Apr'!M174+'TB-May'!M174+'TB-Jun'!M174+'TB-Jul'!M174+'TB-Aug'!M174+'TB-Sep'!M174+'TB-Oct'!M174+'TB-Nov'!M174+'TB-Dec'!M174</f>
        <v>0</v>
      </c>
      <c r="N174" s="97">
        <f>'TB-Jan'!N174+'TB-Feb'!N174+'TB-Mar'!N174+'TB-Apr'!N174+'TB-May'!N174+'TB-Jun'!N174+'TB-Jul'!N174+'TB-Aug'!N174+'TB-Sep'!N174+'TB-Oct'!N174+'TB-Nov'!N174+'TB-Dec'!N174</f>
        <v>0</v>
      </c>
    </row>
    <row r="175" spans="1:14" hidden="1">
      <c r="A175" s="3" t="s">
        <v>308</v>
      </c>
      <c r="B175" s="10" t="s">
        <v>309</v>
      </c>
      <c r="C175" s="7"/>
      <c r="D175" s="7">
        <f t="shared" si="5"/>
        <v>0</v>
      </c>
      <c r="E175" s="6">
        <f t="shared" si="3"/>
        <v>0</v>
      </c>
      <c r="F175" s="6">
        <f t="shared" si="3"/>
        <v>0</v>
      </c>
      <c r="G175" s="94">
        <f>'TB-Jan'!G175+'TB-Feb'!G175+'TB-Mar'!G175+'TB-Apr'!G175+'TB-May'!G175+'TB-Jun'!G175+'TB-Jul'!G175+'TB-Aug'!G175+'TB-Sep'!G175+'TB-Oct'!G175+'TB-Nov'!G175+'TB-Dec'!G175</f>
        <v>0</v>
      </c>
      <c r="H175" s="94">
        <f>'TB-Jan'!H175+'TB-Feb'!H175+'TB-Mar'!H175+'TB-Apr'!H175+'TB-May'!H175+'TB-Jun'!H175+'TB-Jul'!H175+'TB-Aug'!H175+'TB-Sep'!H175+'TB-Oct'!H175+'TB-Nov'!H175+'TB-Dec'!H175</f>
        <v>0</v>
      </c>
      <c r="I175" s="95">
        <f>'TB-Jan'!I175+'TB-Feb'!I175+'TB-Mar'!I175+'TB-Apr'!I175+'TB-May'!I175+'TB-Jun'!I175+'TB-Jul'!I175+'TB-Aug'!I175+'TB-Sep'!I175+'TB-Oct'!I175+'TB-Nov'!I175+'TB-Dec'!I175</f>
        <v>0</v>
      </c>
      <c r="J175" s="95">
        <f>'TB-Jan'!J175+'TB-Feb'!J175+'TB-Mar'!J175+'TB-Apr'!J175+'TB-May'!J175+'TB-Jun'!J175+'TB-Jul'!J175+'TB-Aug'!J175+'TB-Sep'!J175+'TB-Oct'!J175+'TB-Nov'!J175+'TB-Dec'!J175</f>
        <v>0</v>
      </c>
      <c r="K175" s="96">
        <f>'TB-Jan'!K175+'TB-Feb'!K175+'TB-Mar'!K175+'TB-Apr'!K175+'TB-May'!K175+'TB-Jun'!K175+'TB-Jul'!K175+'TB-Aug'!K175+'TB-Sep'!K175+'TB-Oct'!K175+'TB-Nov'!K175+'TB-Dec'!K175</f>
        <v>0</v>
      </c>
      <c r="L175" s="96">
        <f>'TB-Jan'!L175+'TB-Feb'!L175+'TB-Mar'!L175+'TB-Apr'!L175+'TB-May'!L175+'TB-Jun'!L175+'TB-Jul'!L175+'TB-Aug'!L175+'TB-Sep'!L175+'TB-Oct'!L175+'TB-Nov'!L175+'TB-Dec'!L175</f>
        <v>0</v>
      </c>
      <c r="M175" s="97">
        <f>'TB-Jan'!M175+'TB-Feb'!M175+'TB-Mar'!M175+'TB-Apr'!M175+'TB-May'!M175+'TB-Jun'!M175+'TB-Jul'!M175+'TB-Aug'!M175+'TB-Sep'!M175+'TB-Oct'!M175+'TB-Nov'!M175+'TB-Dec'!M175</f>
        <v>0</v>
      </c>
      <c r="N175" s="97">
        <f>'TB-Jan'!N175+'TB-Feb'!N175+'TB-Mar'!N175+'TB-Apr'!N175+'TB-May'!N175+'TB-Jun'!N175+'TB-Jul'!N175+'TB-Aug'!N175+'TB-Sep'!N175+'TB-Oct'!N175+'TB-Nov'!N175+'TB-Dec'!N175</f>
        <v>0</v>
      </c>
    </row>
    <row r="176" spans="1:14">
      <c r="A176" s="3" t="s">
        <v>310</v>
      </c>
      <c r="B176" s="10" t="s">
        <v>311</v>
      </c>
      <c r="C176" s="7"/>
      <c r="D176" s="7">
        <f t="shared" si="5"/>
        <v>1576.44</v>
      </c>
      <c r="E176" s="6">
        <f t="shared" si="3"/>
        <v>2700.6</v>
      </c>
      <c r="F176" s="6">
        <f t="shared" si="3"/>
        <v>4277.04</v>
      </c>
      <c r="G176" s="94">
        <f>'TB-Jan'!G176+'TB-Feb'!G176+'TB-Mar'!G176+'TB-Apr'!G176+'TB-May'!G176+'TB-Jun'!G176+'TB-Jul'!G176+'TB-Aug'!G176+'TB-Sep'!G176+'TB-Oct'!G176+'TB-Nov'!G176+'TB-Dec'!G176</f>
        <v>2700</v>
      </c>
      <c r="H176" s="94">
        <f>'TB-Jan'!H176+'TB-Feb'!H176+'TB-Mar'!H176+'TB-Apr'!H176+'TB-May'!H176+'TB-Jun'!H176+'TB-Jul'!H176+'TB-Aug'!H176+'TB-Sep'!H176+'TB-Oct'!H176+'TB-Nov'!H176+'TB-Dec'!H176</f>
        <v>1576.43</v>
      </c>
      <c r="I176" s="95">
        <f>'TB-Jan'!I176+'TB-Feb'!I176+'TB-Mar'!I176+'TB-Apr'!I176+'TB-May'!I176+'TB-Jun'!I176+'TB-Jul'!I176+'TB-Aug'!I176+'TB-Sep'!I176+'TB-Oct'!I176+'TB-Nov'!I176+'TB-Dec'!I176</f>
        <v>0</v>
      </c>
      <c r="J176" s="95">
        <f>'TB-Jan'!J176+'TB-Feb'!J176+'TB-Mar'!J176+'TB-Apr'!J176+'TB-May'!J176+'TB-Jun'!J176+'TB-Jul'!J176+'TB-Aug'!J176+'TB-Sep'!J176+'TB-Oct'!J176+'TB-Nov'!J176+'TB-Dec'!J176</f>
        <v>0</v>
      </c>
      <c r="K176" s="96">
        <f>'TB-Jan'!K176+'TB-Feb'!K176+'TB-Mar'!K176+'TB-Apr'!K176+'TB-May'!K176+'TB-Jun'!K176+'TB-Jul'!K176+'TB-Aug'!K176+'TB-Sep'!K176+'TB-Oct'!K176+'TB-Nov'!K176+'TB-Dec'!K176</f>
        <v>0.6</v>
      </c>
      <c r="L176" s="96">
        <f>'TB-Jan'!L176+'TB-Feb'!L176+'TB-Mar'!L176+'TB-Apr'!L176+'TB-May'!L176+'TB-Jun'!L176+'TB-Jul'!L176+'TB-Aug'!L176+'TB-Sep'!L176+'TB-Oct'!L176+'TB-Nov'!L176+'TB-Dec'!L176</f>
        <v>2700.61</v>
      </c>
      <c r="M176" s="97">
        <f>'TB-Jan'!M176+'TB-Feb'!M176+'TB-Mar'!M176+'TB-Apr'!M176+'TB-May'!M176+'TB-Jun'!M176+'TB-Jul'!M176+'TB-Aug'!M176+'TB-Sep'!M176+'TB-Oct'!M176+'TB-Nov'!M176+'TB-Dec'!M176</f>
        <v>0</v>
      </c>
      <c r="N176" s="97">
        <f>'TB-Jan'!N176+'TB-Feb'!N176+'TB-Mar'!N176+'TB-Apr'!N176+'TB-May'!N176+'TB-Jun'!N176+'TB-Jul'!N176+'TB-Aug'!N176+'TB-Sep'!N176+'TB-Oct'!N176+'TB-Nov'!N176+'TB-Dec'!N176</f>
        <v>0</v>
      </c>
    </row>
    <row r="177" spans="1:14" hidden="1">
      <c r="A177" s="3" t="s">
        <v>312</v>
      </c>
      <c r="B177" s="10" t="s">
        <v>313</v>
      </c>
      <c r="C177" s="7"/>
      <c r="D177" s="7">
        <f t="shared" si="5"/>
        <v>0</v>
      </c>
      <c r="E177" s="6">
        <f t="shared" si="3"/>
        <v>0</v>
      </c>
      <c r="F177" s="6">
        <f t="shared" si="3"/>
        <v>0</v>
      </c>
      <c r="G177" s="94">
        <f>'TB-Jan'!G177+'TB-Feb'!G177+'TB-Mar'!G177+'TB-Apr'!G177+'TB-May'!G177+'TB-Jun'!G177+'TB-Jul'!G177+'TB-Aug'!G177+'TB-Sep'!G177+'TB-Oct'!G177+'TB-Nov'!G177+'TB-Dec'!G177</f>
        <v>0</v>
      </c>
      <c r="H177" s="94">
        <f>'TB-Jan'!H177+'TB-Feb'!H177+'TB-Mar'!H177+'TB-Apr'!H177+'TB-May'!H177+'TB-Jun'!H177+'TB-Jul'!H177+'TB-Aug'!H177+'TB-Sep'!H177+'TB-Oct'!H177+'TB-Nov'!H177+'TB-Dec'!H177</f>
        <v>0</v>
      </c>
      <c r="I177" s="95">
        <f>'TB-Jan'!I177+'TB-Feb'!I177+'TB-Mar'!I177+'TB-Apr'!I177+'TB-May'!I177+'TB-Jun'!I177+'TB-Jul'!I177+'TB-Aug'!I177+'TB-Sep'!I177+'TB-Oct'!I177+'TB-Nov'!I177+'TB-Dec'!I177</f>
        <v>0</v>
      </c>
      <c r="J177" s="95">
        <f>'TB-Jan'!J177+'TB-Feb'!J177+'TB-Mar'!J177+'TB-Apr'!J177+'TB-May'!J177+'TB-Jun'!J177+'TB-Jul'!J177+'TB-Aug'!J177+'TB-Sep'!J177+'TB-Oct'!J177+'TB-Nov'!J177+'TB-Dec'!J177</f>
        <v>0</v>
      </c>
      <c r="K177" s="96">
        <f>'TB-Jan'!K177+'TB-Feb'!K177+'TB-Mar'!K177+'TB-Apr'!K177+'TB-May'!K177+'TB-Jun'!K177+'TB-Jul'!K177+'TB-Aug'!K177+'TB-Sep'!K177+'TB-Oct'!K177+'TB-Nov'!K177+'TB-Dec'!K177</f>
        <v>0</v>
      </c>
      <c r="L177" s="96">
        <f>'TB-Jan'!L177+'TB-Feb'!L177+'TB-Mar'!L177+'TB-Apr'!L177+'TB-May'!L177+'TB-Jun'!L177+'TB-Jul'!L177+'TB-Aug'!L177+'TB-Sep'!L177+'TB-Oct'!L177+'TB-Nov'!L177+'TB-Dec'!L177</f>
        <v>0</v>
      </c>
      <c r="M177" s="97">
        <f>'TB-Jan'!M177+'TB-Feb'!M177+'TB-Mar'!M177+'TB-Apr'!M177+'TB-May'!M177+'TB-Jun'!M177+'TB-Jul'!M177+'TB-Aug'!M177+'TB-Sep'!M177+'TB-Oct'!M177+'TB-Nov'!M177+'TB-Dec'!M177</f>
        <v>0</v>
      </c>
      <c r="N177" s="97">
        <f>'TB-Jan'!N177+'TB-Feb'!N177+'TB-Mar'!N177+'TB-Apr'!N177+'TB-May'!N177+'TB-Jun'!N177+'TB-Jul'!N177+'TB-Aug'!N177+'TB-Sep'!N177+'TB-Oct'!N177+'TB-Nov'!N177+'TB-Dec'!N177</f>
        <v>0</v>
      </c>
    </row>
    <row r="178" spans="1:14">
      <c r="A178" s="3" t="s">
        <v>314</v>
      </c>
      <c r="B178" s="10" t="s">
        <v>315</v>
      </c>
      <c r="C178" s="7"/>
      <c r="D178" s="7">
        <f t="shared" si="5"/>
        <v>2353919.4499999993</v>
      </c>
      <c r="E178" s="6">
        <f t="shared" si="3"/>
        <v>1760721.9199999999</v>
      </c>
      <c r="F178" s="6">
        <f t="shared" si="3"/>
        <v>4114641.3699999992</v>
      </c>
      <c r="G178" s="94">
        <f>'TB-Jan'!G178+'TB-Feb'!G178+'TB-Mar'!G178+'TB-Apr'!G178+'TB-May'!G178+'TB-Jun'!G178+'TB-Jul'!G178+'TB-Aug'!G178+'TB-Sep'!G178+'TB-Oct'!G178+'TB-Nov'!G178+'TB-Dec'!G178</f>
        <v>1760721.9199999999</v>
      </c>
      <c r="H178" s="94">
        <f>'TB-Jan'!H178+'TB-Feb'!H178+'TB-Mar'!H178+'TB-Apr'!H178+'TB-May'!H178+'TB-Jun'!H178+'TB-Jul'!H178+'TB-Aug'!H178+'TB-Sep'!H178+'TB-Oct'!H178+'TB-Nov'!H178+'TB-Dec'!H178</f>
        <v>3416765.2299999991</v>
      </c>
      <c r="I178" s="95">
        <f>'TB-Jan'!I178+'TB-Feb'!I178+'TB-Mar'!I178+'TB-Apr'!I178+'TB-May'!I178+'TB-Jun'!I178+'TB-Jul'!I178+'TB-Aug'!I178+'TB-Sep'!I178+'TB-Oct'!I178+'TB-Nov'!I178+'TB-Dec'!I178</f>
        <v>0</v>
      </c>
      <c r="J178" s="95">
        <f>'TB-Jan'!J178+'TB-Feb'!J178+'TB-Mar'!J178+'TB-Apr'!J178+'TB-May'!J178+'TB-Jun'!J178+'TB-Jul'!J178+'TB-Aug'!J178+'TB-Sep'!J178+'TB-Oct'!J178+'TB-Nov'!J178+'TB-Dec'!J178</f>
        <v>697876.1399999999</v>
      </c>
      <c r="K178" s="96">
        <f>'TB-Jan'!K178+'TB-Feb'!K178+'TB-Mar'!K178+'TB-Apr'!K178+'TB-May'!K178+'TB-Jun'!K178+'TB-Jul'!K178+'TB-Aug'!K178+'TB-Sep'!K178+'TB-Oct'!K178+'TB-Nov'!K178+'TB-Dec'!K178</f>
        <v>0</v>
      </c>
      <c r="L178" s="96">
        <f>'TB-Jan'!L178+'TB-Feb'!L178+'TB-Mar'!L178+'TB-Apr'!L178+'TB-May'!L178+'TB-Jun'!L178+'TB-Jul'!L178+'TB-Aug'!L178+'TB-Sep'!L178+'TB-Oct'!L178+'TB-Nov'!L178+'TB-Dec'!L178</f>
        <v>0</v>
      </c>
      <c r="M178" s="97">
        <f>'TB-Jan'!M178+'TB-Feb'!M178+'TB-Mar'!M178+'TB-Apr'!M178+'TB-May'!M178+'TB-Jun'!M178+'TB-Jul'!M178+'TB-Aug'!M178+'TB-Sep'!M178+'TB-Oct'!M178+'TB-Nov'!M178+'TB-Dec'!M178</f>
        <v>0</v>
      </c>
      <c r="N178" s="97">
        <f>'TB-Jan'!N178+'TB-Feb'!N178+'TB-Mar'!N178+'TB-Apr'!N178+'TB-May'!N178+'TB-Jun'!N178+'TB-Jul'!N178+'TB-Aug'!N178+'TB-Sep'!N178+'TB-Oct'!N178+'TB-Nov'!N178+'TB-Dec'!N178</f>
        <v>0</v>
      </c>
    </row>
    <row r="179" spans="1:14">
      <c r="A179" s="3" t="s">
        <v>316</v>
      </c>
      <c r="B179" s="10" t="s">
        <v>317</v>
      </c>
      <c r="C179" s="7"/>
      <c r="D179" s="7">
        <f t="shared" si="5"/>
        <v>163381.29</v>
      </c>
      <c r="E179" s="6">
        <f t="shared" si="3"/>
        <v>6293.7</v>
      </c>
      <c r="F179" s="6">
        <f t="shared" si="3"/>
        <v>169674.99000000002</v>
      </c>
      <c r="G179" s="94">
        <f>'TB-Jan'!G179+'TB-Feb'!G179+'TB-Mar'!G179+'TB-Apr'!G179+'TB-May'!G179+'TB-Jun'!G179+'TB-Jul'!G179+'TB-Aug'!G179+'TB-Sep'!G179+'TB-Oct'!G179+'TB-Nov'!G179+'TB-Dec'!G179</f>
        <v>6293.7</v>
      </c>
      <c r="H179" s="94">
        <f>'TB-Jan'!H179+'TB-Feb'!H179+'TB-Mar'!H179+'TB-Apr'!H179+'TB-May'!H179+'TB-Jun'!H179+'TB-Jul'!H179+'TB-Aug'!H179+'TB-Sep'!H179+'TB-Oct'!H179+'TB-Nov'!H179+'TB-Dec'!H179</f>
        <v>145850.45000000001</v>
      </c>
      <c r="I179" s="95">
        <f>'TB-Jan'!I179+'TB-Feb'!I179+'TB-Mar'!I179+'TB-Apr'!I179+'TB-May'!I179+'TB-Jun'!I179+'TB-Jul'!I179+'TB-Aug'!I179+'TB-Sep'!I179+'TB-Oct'!I179+'TB-Nov'!I179+'TB-Dec'!I179</f>
        <v>0</v>
      </c>
      <c r="J179" s="95">
        <f>'TB-Jan'!J179+'TB-Feb'!J179+'TB-Mar'!J179+'TB-Apr'!J179+'TB-May'!J179+'TB-Jun'!J179+'TB-Jul'!J179+'TB-Aug'!J179+'TB-Sep'!J179+'TB-Oct'!J179+'TB-Nov'!J179+'TB-Dec'!J179</f>
        <v>23824.440000000002</v>
      </c>
      <c r="K179" s="96">
        <f>'TB-Jan'!K179+'TB-Feb'!K179+'TB-Mar'!K179+'TB-Apr'!K179+'TB-May'!K179+'TB-Jun'!K179+'TB-Jul'!K179+'TB-Aug'!K179+'TB-Sep'!K179+'TB-Oct'!K179+'TB-Nov'!K179+'TB-Dec'!K179</f>
        <v>0</v>
      </c>
      <c r="L179" s="96">
        <f>'TB-Jan'!L179+'TB-Feb'!L179+'TB-Mar'!L179+'TB-Apr'!L179+'TB-May'!L179+'TB-Jun'!L179+'TB-Jul'!L179+'TB-Aug'!L179+'TB-Sep'!L179+'TB-Oct'!L179+'TB-Nov'!L179+'TB-Dec'!L179</f>
        <v>0</v>
      </c>
      <c r="M179" s="97">
        <f>'TB-Jan'!M179+'TB-Feb'!M179+'TB-Mar'!M179+'TB-Apr'!M179+'TB-May'!M179+'TB-Jun'!M179+'TB-Jul'!M179+'TB-Aug'!M179+'TB-Sep'!M179+'TB-Oct'!M179+'TB-Nov'!M179+'TB-Dec'!M179</f>
        <v>0</v>
      </c>
      <c r="N179" s="97">
        <f>'TB-Jan'!N179+'TB-Feb'!N179+'TB-Mar'!N179+'TB-Apr'!N179+'TB-May'!N179+'TB-Jun'!N179+'TB-Jul'!N179+'TB-Aug'!N179+'TB-Sep'!N179+'TB-Oct'!N179+'TB-Nov'!N179+'TB-Dec'!N179</f>
        <v>0.1</v>
      </c>
    </row>
    <row r="180" spans="1:14">
      <c r="A180" s="3" t="s">
        <v>318</v>
      </c>
      <c r="B180" s="10" t="s">
        <v>319</v>
      </c>
      <c r="C180" s="7"/>
      <c r="D180" s="7">
        <f t="shared" si="5"/>
        <v>307748.52</v>
      </c>
      <c r="E180" s="6">
        <f t="shared" si="3"/>
        <v>24375</v>
      </c>
      <c r="F180" s="6">
        <f t="shared" si="3"/>
        <v>332123.52000000002</v>
      </c>
      <c r="G180" s="94">
        <f>'TB-Jan'!G180+'TB-Feb'!G180+'TB-Mar'!G180+'TB-Apr'!G180+'TB-May'!G180+'TB-Jun'!G180+'TB-Jul'!G180+'TB-Aug'!G180+'TB-Sep'!G180+'TB-Oct'!G180+'TB-Nov'!G180+'TB-Dec'!G180</f>
        <v>24375</v>
      </c>
      <c r="H180" s="94">
        <f>'TB-Jan'!H180+'TB-Feb'!H180+'TB-Mar'!H180+'TB-Apr'!H180+'TB-May'!H180+'TB-Jun'!H180+'TB-Jul'!H180+'TB-Aug'!H180+'TB-Sep'!H180+'TB-Oct'!H180+'TB-Nov'!H180+'TB-Dec'!H180</f>
        <v>282369.93000000005</v>
      </c>
      <c r="I180" s="95">
        <f>'TB-Jan'!I180+'TB-Feb'!I180+'TB-Mar'!I180+'TB-Apr'!I180+'TB-May'!I180+'TB-Jun'!I180+'TB-Jul'!I180+'TB-Aug'!I180+'TB-Sep'!I180+'TB-Oct'!I180+'TB-Nov'!I180+'TB-Dec'!I180</f>
        <v>0</v>
      </c>
      <c r="J180" s="95">
        <f>'TB-Jan'!J180+'TB-Feb'!J180+'TB-Mar'!J180+'TB-Apr'!J180+'TB-May'!J180+'TB-Jun'!J180+'TB-Jul'!J180+'TB-Aug'!J180+'TB-Sep'!J180+'TB-Oct'!J180+'TB-Nov'!J180+'TB-Dec'!J180</f>
        <v>49753.59</v>
      </c>
      <c r="K180" s="96">
        <f>'TB-Jan'!K180+'TB-Feb'!K180+'TB-Mar'!K180+'TB-Apr'!K180+'TB-May'!K180+'TB-Jun'!K180+'TB-Jul'!K180+'TB-Aug'!K180+'TB-Sep'!K180+'TB-Oct'!K180+'TB-Nov'!K180+'TB-Dec'!K180</f>
        <v>0</v>
      </c>
      <c r="L180" s="96">
        <f>'TB-Jan'!L180+'TB-Feb'!L180+'TB-Mar'!L180+'TB-Apr'!L180+'TB-May'!L180+'TB-Jun'!L180+'TB-Jul'!L180+'TB-Aug'!L180+'TB-Sep'!L180+'TB-Oct'!L180+'TB-Nov'!L180+'TB-Dec'!L180</f>
        <v>0</v>
      </c>
      <c r="M180" s="97">
        <f>'TB-Jan'!M180+'TB-Feb'!M180+'TB-Mar'!M180+'TB-Apr'!M180+'TB-May'!M180+'TB-Jun'!M180+'TB-Jul'!M180+'TB-Aug'!M180+'TB-Sep'!M180+'TB-Oct'!M180+'TB-Nov'!M180+'TB-Dec'!M180</f>
        <v>0</v>
      </c>
      <c r="N180" s="97">
        <f>'TB-Jan'!N180+'TB-Feb'!N180+'TB-Mar'!N180+'TB-Apr'!N180+'TB-May'!N180+'TB-Jun'!N180+'TB-Jul'!N180+'TB-Aug'!N180+'TB-Sep'!N180+'TB-Oct'!N180+'TB-Nov'!N180+'TB-Dec'!N180</f>
        <v>0</v>
      </c>
    </row>
    <row r="181" spans="1:14">
      <c r="A181" s="3" t="s">
        <v>320</v>
      </c>
      <c r="B181" s="10" t="s">
        <v>321</v>
      </c>
      <c r="C181" s="7"/>
      <c r="D181" s="7">
        <f t="shared" si="5"/>
        <v>155819.27000000002</v>
      </c>
      <c r="E181" s="6">
        <f t="shared" si="3"/>
        <v>8425</v>
      </c>
      <c r="F181" s="6">
        <f t="shared" si="3"/>
        <v>164244.27000000002</v>
      </c>
      <c r="G181" s="94">
        <f>'TB-Jan'!G181+'TB-Feb'!G181+'TB-Mar'!G181+'TB-Apr'!G181+'TB-May'!G181+'TB-Jun'!G181+'TB-Jul'!G181+'TB-Aug'!G181+'TB-Sep'!G181+'TB-Oct'!G181+'TB-Nov'!G181+'TB-Dec'!G181</f>
        <v>8425</v>
      </c>
      <c r="H181" s="94">
        <f>'TB-Jan'!H181+'TB-Feb'!H181+'TB-Mar'!H181+'TB-Apr'!H181+'TB-May'!H181+'TB-Jun'!H181+'TB-Jul'!H181+'TB-Aug'!H181+'TB-Sep'!H181+'TB-Oct'!H181+'TB-Nov'!H181+'TB-Dec'!H181</f>
        <v>140669.27000000002</v>
      </c>
      <c r="I181" s="95">
        <f>'TB-Jan'!I181+'TB-Feb'!I181+'TB-Mar'!I181+'TB-Apr'!I181+'TB-May'!I181+'TB-Jun'!I181+'TB-Jul'!I181+'TB-Aug'!I181+'TB-Sep'!I181+'TB-Oct'!I181+'TB-Nov'!I181+'TB-Dec'!I181</f>
        <v>0</v>
      </c>
      <c r="J181" s="95">
        <f>'TB-Jan'!J181+'TB-Feb'!J181+'TB-Mar'!J181+'TB-Apr'!J181+'TB-May'!J181+'TB-Jun'!J181+'TB-Jul'!J181+'TB-Aug'!J181+'TB-Sep'!J181+'TB-Oct'!J181+'TB-Nov'!J181+'TB-Dec'!J181</f>
        <v>23575</v>
      </c>
      <c r="K181" s="96">
        <f>'TB-Jan'!K181+'TB-Feb'!K181+'TB-Mar'!K181+'TB-Apr'!K181+'TB-May'!K181+'TB-Jun'!K181+'TB-Jul'!K181+'TB-Aug'!K181+'TB-Sep'!K181+'TB-Oct'!K181+'TB-Nov'!K181+'TB-Dec'!K181</f>
        <v>0</v>
      </c>
      <c r="L181" s="96">
        <f>'TB-Jan'!L181+'TB-Feb'!L181+'TB-Mar'!L181+'TB-Apr'!L181+'TB-May'!L181+'TB-Jun'!L181+'TB-Jul'!L181+'TB-Aug'!L181+'TB-Sep'!L181+'TB-Oct'!L181+'TB-Nov'!L181+'TB-Dec'!L181</f>
        <v>0</v>
      </c>
      <c r="M181" s="97">
        <f>'TB-Jan'!M181+'TB-Feb'!M181+'TB-Mar'!M181+'TB-Apr'!M181+'TB-May'!M181+'TB-Jun'!M181+'TB-Jul'!M181+'TB-Aug'!M181+'TB-Sep'!M181+'TB-Oct'!M181+'TB-Nov'!M181+'TB-Dec'!M181</f>
        <v>0</v>
      </c>
      <c r="N181" s="97">
        <f>'TB-Jan'!N181+'TB-Feb'!N181+'TB-Mar'!N181+'TB-Apr'!N181+'TB-May'!N181+'TB-Jun'!N181+'TB-Jul'!N181+'TB-Aug'!N181+'TB-Sep'!N181+'TB-Oct'!N181+'TB-Nov'!N181+'TB-Dec'!N181</f>
        <v>0</v>
      </c>
    </row>
    <row r="182" spans="1:14">
      <c r="A182" s="3" t="s">
        <v>322</v>
      </c>
      <c r="B182" s="10" t="s">
        <v>323</v>
      </c>
      <c r="C182" s="7"/>
      <c r="D182" s="7">
        <f t="shared" si="5"/>
        <v>169806904.72999999</v>
      </c>
      <c r="E182" s="6">
        <f t="shared" si="3"/>
        <v>15033378.939999999</v>
      </c>
      <c r="F182" s="6">
        <f t="shared" si="3"/>
        <v>184840283.66999999</v>
      </c>
      <c r="G182" s="94">
        <f>'TB-Jan'!G182+'TB-Feb'!G182+'TB-Mar'!G182+'TB-Apr'!G182+'TB-May'!G182+'TB-Jun'!G182+'TB-Jul'!G182+'TB-Aug'!G182+'TB-Sep'!G182+'TB-Oct'!G182+'TB-Nov'!G182+'TB-Dec'!G182</f>
        <v>14147536.609999999</v>
      </c>
      <c r="H182" s="94">
        <f>'TB-Jan'!H182+'TB-Feb'!H182+'TB-Mar'!H182+'TB-Apr'!H182+'TB-May'!H182+'TB-Jun'!H182+'TB-Jul'!H182+'TB-Aug'!H182+'TB-Sep'!H182+'TB-Oct'!H182+'TB-Nov'!H182+'TB-Dec'!H182</f>
        <v>139724679.95999998</v>
      </c>
      <c r="I182" s="95">
        <f>'TB-Jan'!I182+'TB-Feb'!I182+'TB-Mar'!I182+'TB-Apr'!I182+'TB-May'!I182+'TB-Jun'!I182+'TB-Jul'!I182+'TB-Aug'!I182+'TB-Sep'!I182+'TB-Oct'!I182+'TB-Nov'!I182+'TB-Dec'!I182</f>
        <v>729153.33</v>
      </c>
      <c r="J182" s="95">
        <f>'TB-Jan'!J182+'TB-Feb'!J182+'TB-Mar'!J182+'TB-Apr'!J182+'TB-May'!J182+'TB-Jun'!J182+'TB-Jul'!J182+'TB-Aug'!J182+'TB-Sep'!J182+'TB-Oct'!J182+'TB-Nov'!J182+'TB-Dec'!J182</f>
        <v>0</v>
      </c>
      <c r="K182" s="96">
        <f>'TB-Jan'!K182+'TB-Feb'!K182+'TB-Mar'!K182+'TB-Apr'!K182+'TB-May'!K182+'TB-Jun'!K182+'TB-Jul'!K182+'TB-Aug'!K182+'TB-Sep'!K182+'TB-Oct'!K182+'TB-Nov'!K182+'TB-Dec'!K182</f>
        <v>0</v>
      </c>
      <c r="L182" s="96">
        <f>'TB-Jan'!L182+'TB-Feb'!L182+'TB-Mar'!L182+'TB-Apr'!L182+'TB-May'!L182+'TB-Jun'!L182+'TB-Jul'!L182+'TB-Aug'!L182+'TB-Sep'!L182+'TB-Oct'!L182+'TB-Nov'!L182+'TB-Dec'!L182</f>
        <v>25831467.710000001</v>
      </c>
      <c r="M182" s="97">
        <f>'TB-Jan'!M182+'TB-Feb'!M182+'TB-Mar'!M182+'TB-Apr'!M182+'TB-May'!M182+'TB-Jun'!M182+'TB-Jul'!M182+'TB-Aug'!M182+'TB-Sep'!M182+'TB-Oct'!M182+'TB-Nov'!M182+'TB-Dec'!M182</f>
        <v>156689</v>
      </c>
      <c r="N182" s="97">
        <f>'TB-Jan'!N182+'TB-Feb'!N182+'TB-Mar'!N182+'TB-Apr'!N182+'TB-May'!N182+'TB-Jun'!N182+'TB-Jul'!N182+'TB-Aug'!N182+'TB-Sep'!N182+'TB-Oct'!N182+'TB-Nov'!N182+'TB-Dec'!N182</f>
        <v>19284136</v>
      </c>
    </row>
    <row r="183" spans="1:14" hidden="1">
      <c r="A183" s="3" t="s">
        <v>324</v>
      </c>
      <c r="B183" s="10" t="s">
        <v>325</v>
      </c>
      <c r="C183" s="7"/>
      <c r="D183" s="7">
        <f t="shared" si="5"/>
        <v>0</v>
      </c>
      <c r="E183" s="6">
        <f t="shared" si="3"/>
        <v>0</v>
      </c>
      <c r="F183" s="6">
        <f t="shared" si="3"/>
        <v>0</v>
      </c>
      <c r="G183" s="94">
        <f>'TB-Jan'!G183+'TB-Feb'!G183+'TB-Mar'!G183+'TB-Apr'!G183+'TB-May'!G183+'TB-Jun'!G183+'TB-Jul'!G183+'TB-Aug'!G183+'TB-Sep'!G183+'TB-Oct'!G183+'TB-Nov'!G183+'TB-Dec'!G183</f>
        <v>0</v>
      </c>
      <c r="H183" s="94">
        <f>'TB-Jan'!H183+'TB-Feb'!H183+'TB-Mar'!H183+'TB-Apr'!H183+'TB-May'!H183+'TB-Jun'!H183+'TB-Jul'!H183+'TB-Aug'!H183+'TB-Sep'!H183+'TB-Oct'!H183+'TB-Nov'!H183+'TB-Dec'!H183</f>
        <v>0</v>
      </c>
      <c r="I183" s="95">
        <f>'TB-Jan'!I183+'TB-Feb'!I183+'TB-Mar'!I183+'TB-Apr'!I183+'TB-May'!I183+'TB-Jun'!I183+'TB-Jul'!I183+'TB-Aug'!I183+'TB-Sep'!I183+'TB-Oct'!I183+'TB-Nov'!I183+'TB-Dec'!I183</f>
        <v>0</v>
      </c>
      <c r="J183" s="95">
        <f>'TB-Jan'!J183+'TB-Feb'!J183+'TB-Mar'!J183+'TB-Apr'!J183+'TB-May'!J183+'TB-Jun'!J183+'TB-Jul'!J183+'TB-Aug'!J183+'TB-Sep'!J183+'TB-Oct'!J183+'TB-Nov'!J183+'TB-Dec'!J183</f>
        <v>0</v>
      </c>
      <c r="K183" s="96">
        <f>'TB-Jan'!K183+'TB-Feb'!K183+'TB-Mar'!K183+'TB-Apr'!K183+'TB-May'!K183+'TB-Jun'!K183+'TB-Jul'!K183+'TB-Aug'!K183+'TB-Sep'!K183+'TB-Oct'!K183+'TB-Nov'!K183+'TB-Dec'!K183</f>
        <v>0</v>
      </c>
      <c r="L183" s="96">
        <f>'TB-Jan'!L183+'TB-Feb'!L183+'TB-Mar'!L183+'TB-Apr'!L183+'TB-May'!L183+'TB-Jun'!L183+'TB-Jul'!L183+'TB-Aug'!L183+'TB-Sep'!L183+'TB-Oct'!L183+'TB-Nov'!L183+'TB-Dec'!L183</f>
        <v>0</v>
      </c>
      <c r="M183" s="97">
        <f>'TB-Jan'!M183+'TB-Feb'!M183+'TB-Mar'!M183+'TB-Apr'!M183+'TB-May'!M183+'TB-Jun'!M183+'TB-Jul'!M183+'TB-Aug'!M183+'TB-Sep'!M183+'TB-Oct'!M183+'TB-Nov'!M183+'TB-Dec'!M183</f>
        <v>0</v>
      </c>
      <c r="N183" s="97">
        <f>'TB-Jan'!N183+'TB-Feb'!N183+'TB-Mar'!N183+'TB-Apr'!N183+'TB-May'!N183+'TB-Jun'!N183+'TB-Jul'!N183+'TB-Aug'!N183+'TB-Sep'!N183+'TB-Oct'!N183+'TB-Nov'!N183+'TB-Dec'!N183</f>
        <v>0</v>
      </c>
    </row>
    <row r="184" spans="1:14">
      <c r="A184" s="3" t="s">
        <v>326</v>
      </c>
      <c r="B184" s="10" t="s">
        <v>327</v>
      </c>
      <c r="C184" s="7"/>
      <c r="D184" s="7">
        <f t="shared" si="5"/>
        <v>4249158.49</v>
      </c>
      <c r="E184" s="6">
        <f t="shared" si="3"/>
        <v>489889.45</v>
      </c>
      <c r="F184" s="6">
        <f t="shared" si="3"/>
        <v>4739047.9400000004</v>
      </c>
      <c r="G184" s="94">
        <f>'TB-Jan'!G184+'TB-Feb'!G184+'TB-Mar'!G184+'TB-Apr'!G184+'TB-May'!G184+'TB-Jun'!G184+'TB-Jul'!G184+'TB-Aug'!G184+'TB-Sep'!G184+'TB-Oct'!G184+'TB-Nov'!G184+'TB-Dec'!G184</f>
        <v>489889.45</v>
      </c>
      <c r="H184" s="94">
        <f>'TB-Jan'!H184+'TB-Feb'!H184+'TB-Mar'!H184+'TB-Apr'!H184+'TB-May'!H184+'TB-Jun'!H184+'TB-Jul'!H184+'TB-Aug'!H184+'TB-Sep'!H184+'TB-Oct'!H184+'TB-Nov'!H184+'TB-Dec'!H184</f>
        <v>4489047.9400000004</v>
      </c>
      <c r="I184" s="95">
        <f>'TB-Jan'!I184+'TB-Feb'!I184+'TB-Mar'!I184+'TB-Apr'!I184+'TB-May'!I184+'TB-Jun'!I184+'TB-Jul'!I184+'TB-Aug'!I184+'TB-Sep'!I184+'TB-Oct'!I184+'TB-Nov'!I184+'TB-Dec'!I184</f>
        <v>0</v>
      </c>
      <c r="J184" s="95">
        <f>'TB-Jan'!J184+'TB-Feb'!J184+'TB-Mar'!J184+'TB-Apr'!J184+'TB-May'!J184+'TB-Jun'!J184+'TB-Jul'!J184+'TB-Aug'!J184+'TB-Sep'!J184+'TB-Oct'!J184+'TB-Nov'!J184+'TB-Dec'!J184</f>
        <v>0</v>
      </c>
      <c r="K184" s="96">
        <f>'TB-Jan'!K184+'TB-Feb'!K184+'TB-Mar'!K184+'TB-Apr'!K184+'TB-May'!K184+'TB-Jun'!K184+'TB-Jul'!K184+'TB-Aug'!K184+'TB-Sep'!K184+'TB-Oct'!K184+'TB-Nov'!K184+'TB-Dec'!K184</f>
        <v>0</v>
      </c>
      <c r="L184" s="96">
        <f>'TB-Jan'!L184+'TB-Feb'!L184+'TB-Mar'!L184+'TB-Apr'!L184+'TB-May'!L184+'TB-Jun'!L184+'TB-Jul'!L184+'TB-Aug'!L184+'TB-Sep'!L184+'TB-Oct'!L184+'TB-Nov'!L184+'TB-Dec'!L184</f>
        <v>250000</v>
      </c>
      <c r="M184" s="97">
        <f>'TB-Jan'!M184+'TB-Feb'!M184+'TB-Mar'!M184+'TB-Apr'!M184+'TB-May'!M184+'TB-Jun'!M184+'TB-Jul'!M184+'TB-Aug'!M184+'TB-Sep'!M184+'TB-Oct'!M184+'TB-Nov'!M184+'TB-Dec'!M184</f>
        <v>0</v>
      </c>
      <c r="N184" s="97">
        <f>'TB-Jan'!N184+'TB-Feb'!N184+'TB-Mar'!N184+'TB-Apr'!N184+'TB-May'!N184+'TB-Jun'!N184+'TB-Jul'!N184+'TB-Aug'!N184+'TB-Sep'!N184+'TB-Oct'!N184+'TB-Nov'!N184+'TB-Dec'!N184</f>
        <v>0</v>
      </c>
    </row>
    <row r="185" spans="1:14">
      <c r="A185" s="3" t="s">
        <v>328</v>
      </c>
      <c r="B185" s="10" t="s">
        <v>329</v>
      </c>
      <c r="C185" s="7"/>
      <c r="D185" s="7">
        <f t="shared" si="5"/>
        <v>11787618.639999999</v>
      </c>
      <c r="E185" s="6">
        <f t="shared" si="3"/>
        <v>111460.15</v>
      </c>
      <c r="F185" s="6">
        <f t="shared" si="3"/>
        <v>11899078.789999999</v>
      </c>
      <c r="G185" s="94">
        <f>'TB-Jan'!G185+'TB-Feb'!G185+'TB-Mar'!G185+'TB-Apr'!G185+'TB-May'!G185+'TB-Jun'!G185+'TB-Jul'!G185+'TB-Aug'!G185+'TB-Sep'!G185+'TB-Oct'!G185+'TB-Nov'!G185+'TB-Dec'!G185</f>
        <v>78160</v>
      </c>
      <c r="H185" s="94">
        <f>'TB-Jan'!H185+'TB-Feb'!H185+'TB-Mar'!H185+'TB-Apr'!H185+'TB-May'!H185+'TB-Jun'!H185+'TB-Jul'!H185+'TB-Aug'!H185+'TB-Sep'!H185+'TB-Oct'!H185+'TB-Nov'!H185+'TB-Dec'!H185</f>
        <v>11797618.639999999</v>
      </c>
      <c r="I185" s="95">
        <f>'TB-Jan'!I185+'TB-Feb'!I185+'TB-Mar'!I185+'TB-Apr'!I185+'TB-May'!I185+'TB-Jun'!I185+'TB-Jul'!I185+'TB-Aug'!I185+'TB-Sep'!I185+'TB-Oct'!I185+'TB-Nov'!I185+'TB-Dec'!I185</f>
        <v>0</v>
      </c>
      <c r="J185" s="95">
        <f>'TB-Jan'!J185+'TB-Feb'!J185+'TB-Mar'!J185+'TB-Apr'!J185+'TB-May'!J185+'TB-Jun'!J185+'TB-Jul'!J185+'TB-Aug'!J185+'TB-Sep'!J185+'TB-Oct'!J185+'TB-Nov'!J185+'TB-Dec'!J185</f>
        <v>0</v>
      </c>
      <c r="K185" s="96">
        <f>'TB-Jan'!K185+'TB-Feb'!K185+'TB-Mar'!K185+'TB-Apr'!K185+'TB-May'!K185+'TB-Jun'!K185+'TB-Jul'!K185+'TB-Aug'!K185+'TB-Sep'!K185+'TB-Oct'!K185+'TB-Nov'!K185+'TB-Dec'!K185</f>
        <v>0</v>
      </c>
      <c r="L185" s="96">
        <f>'TB-Jan'!L185+'TB-Feb'!L185+'TB-Mar'!L185+'TB-Apr'!L185+'TB-May'!L185+'TB-Jun'!L185+'TB-Jul'!L185+'TB-Aug'!L185+'TB-Sep'!L185+'TB-Oct'!L185+'TB-Nov'!L185+'TB-Dec'!L185</f>
        <v>68160</v>
      </c>
      <c r="M185" s="97">
        <f>'TB-Jan'!M185+'TB-Feb'!M185+'TB-Mar'!M185+'TB-Apr'!M185+'TB-May'!M185+'TB-Jun'!M185+'TB-Jul'!M185+'TB-Aug'!M185+'TB-Sep'!M185+'TB-Oct'!M185+'TB-Nov'!M185+'TB-Dec'!M185</f>
        <v>33300.15</v>
      </c>
      <c r="N185" s="97">
        <f>'TB-Jan'!N185+'TB-Feb'!N185+'TB-Mar'!N185+'TB-Apr'!N185+'TB-May'!N185+'TB-Jun'!N185+'TB-Jul'!N185+'TB-Aug'!N185+'TB-Sep'!N185+'TB-Oct'!N185+'TB-Nov'!N185+'TB-Dec'!N185</f>
        <v>33300.15</v>
      </c>
    </row>
    <row r="186" spans="1:14">
      <c r="A186" s="3" t="s">
        <v>330</v>
      </c>
      <c r="B186" s="10" t="s">
        <v>331</v>
      </c>
      <c r="C186" s="7"/>
      <c r="D186" s="7">
        <f t="shared" si="5"/>
        <v>4724297.74</v>
      </c>
      <c r="E186" s="6">
        <f t="shared" si="3"/>
        <v>1315091.73</v>
      </c>
      <c r="F186" s="6">
        <f t="shared" si="3"/>
        <v>6039389.4700000007</v>
      </c>
      <c r="G186" s="94">
        <f>'TB-Jan'!G186+'TB-Feb'!G186+'TB-Mar'!G186+'TB-Apr'!G186+'TB-May'!G186+'TB-Jun'!G186+'TB-Jul'!G186+'TB-Aug'!G186+'TB-Sep'!G186+'TB-Oct'!G186+'TB-Nov'!G186+'TB-Dec'!G186</f>
        <v>1315091.73</v>
      </c>
      <c r="H186" s="94">
        <f>'TB-Jan'!H186+'TB-Feb'!H186+'TB-Mar'!H186+'TB-Apr'!H186+'TB-May'!H186+'TB-Jun'!H186+'TB-Jul'!H186+'TB-Aug'!H186+'TB-Sep'!H186+'TB-Oct'!H186+'TB-Nov'!H186+'TB-Dec'!H186</f>
        <v>6039389.4700000007</v>
      </c>
      <c r="I186" s="95">
        <f>'TB-Jan'!I186+'TB-Feb'!I186+'TB-Mar'!I186+'TB-Apr'!I186+'TB-May'!I186+'TB-Jun'!I186+'TB-Jul'!I186+'TB-Aug'!I186+'TB-Sep'!I186+'TB-Oct'!I186+'TB-Nov'!I186+'TB-Dec'!I186</f>
        <v>0</v>
      </c>
      <c r="J186" s="95">
        <f>'TB-Jan'!J186+'TB-Feb'!J186+'TB-Mar'!J186+'TB-Apr'!J186+'TB-May'!J186+'TB-Jun'!J186+'TB-Jul'!J186+'TB-Aug'!J186+'TB-Sep'!J186+'TB-Oct'!J186+'TB-Nov'!J186+'TB-Dec'!J186</f>
        <v>0</v>
      </c>
      <c r="K186" s="96">
        <f>'TB-Jan'!K186+'TB-Feb'!K186+'TB-Mar'!K186+'TB-Apr'!K186+'TB-May'!K186+'TB-Jun'!K186+'TB-Jul'!K186+'TB-Aug'!K186+'TB-Sep'!K186+'TB-Oct'!K186+'TB-Nov'!K186+'TB-Dec'!K186</f>
        <v>0</v>
      </c>
      <c r="L186" s="96">
        <f>'TB-Jan'!L186+'TB-Feb'!L186+'TB-Mar'!L186+'TB-Apr'!L186+'TB-May'!L186+'TB-Jun'!L186+'TB-Jul'!L186+'TB-Aug'!L186+'TB-Sep'!L186+'TB-Oct'!L186+'TB-Nov'!L186+'TB-Dec'!L186</f>
        <v>0</v>
      </c>
      <c r="M186" s="97">
        <f>'TB-Jan'!M186+'TB-Feb'!M186+'TB-Mar'!M186+'TB-Apr'!M186+'TB-May'!M186+'TB-Jun'!M186+'TB-Jul'!M186+'TB-Aug'!M186+'TB-Sep'!M186+'TB-Oct'!M186+'TB-Nov'!M186+'TB-Dec'!M186</f>
        <v>0</v>
      </c>
      <c r="N186" s="97">
        <f>'TB-Jan'!N186+'TB-Feb'!N186+'TB-Mar'!N186+'TB-Apr'!N186+'TB-May'!N186+'TB-Jun'!N186+'TB-Jul'!N186+'TB-Aug'!N186+'TB-Sep'!N186+'TB-Oct'!N186+'TB-Nov'!N186+'TB-Dec'!N186</f>
        <v>0</v>
      </c>
    </row>
    <row r="187" spans="1:14">
      <c r="A187" s="3" t="s">
        <v>332</v>
      </c>
      <c r="B187" s="10" t="s">
        <v>333</v>
      </c>
      <c r="C187" s="5"/>
      <c r="D187" s="5">
        <f t="shared" si="5"/>
        <v>1578250.3399999999</v>
      </c>
      <c r="E187" s="6">
        <f t="shared" si="3"/>
        <v>57947.02</v>
      </c>
      <c r="F187" s="6">
        <f t="shared" si="3"/>
        <v>1636197.3599999999</v>
      </c>
      <c r="G187" s="94">
        <f>'TB-Jan'!G187+'TB-Feb'!G187+'TB-Mar'!G187+'TB-Apr'!G187+'TB-May'!G187+'TB-Jun'!G187+'TB-Jul'!G187+'TB-Aug'!G187+'TB-Sep'!G187+'TB-Oct'!G187+'TB-Nov'!G187+'TB-Dec'!G187</f>
        <v>57947.02</v>
      </c>
      <c r="H187" s="94">
        <f>'TB-Jan'!H187+'TB-Feb'!H187+'TB-Mar'!H187+'TB-Apr'!H187+'TB-May'!H187+'TB-Jun'!H187+'TB-Jul'!H187+'TB-Aug'!H187+'TB-Sep'!H187+'TB-Oct'!H187+'TB-Nov'!H187+'TB-Dec'!H187</f>
        <v>1426138.3599999999</v>
      </c>
      <c r="I187" s="95">
        <f>'TB-Jan'!I187+'TB-Feb'!I187+'TB-Mar'!I187+'TB-Apr'!I187+'TB-May'!I187+'TB-Jun'!I187+'TB-Jul'!I187+'TB-Aug'!I187+'TB-Sep'!I187+'TB-Oct'!I187+'TB-Nov'!I187+'TB-Dec'!I187</f>
        <v>0</v>
      </c>
      <c r="J187" s="95">
        <f>'TB-Jan'!J187+'TB-Feb'!J187+'TB-Mar'!J187+'TB-Apr'!J187+'TB-May'!J187+'TB-Jun'!J187+'TB-Jul'!J187+'TB-Aug'!J187+'TB-Sep'!J187+'TB-Oct'!J187+'TB-Nov'!J187+'TB-Dec'!J187</f>
        <v>0</v>
      </c>
      <c r="K187" s="96">
        <f>'TB-Jan'!K187+'TB-Feb'!K187+'TB-Mar'!K187+'TB-Apr'!K187+'TB-May'!K187+'TB-Jun'!K187+'TB-Jul'!K187+'TB-Aug'!K187+'TB-Sep'!K187+'TB-Oct'!K187+'TB-Nov'!K187+'TB-Dec'!K187</f>
        <v>0</v>
      </c>
      <c r="L187" s="96">
        <f>'TB-Jan'!L187+'TB-Feb'!L187+'TB-Mar'!L187+'TB-Apr'!L187+'TB-May'!L187+'TB-Jun'!L187+'TB-Jul'!L187+'TB-Aug'!L187+'TB-Sep'!L187+'TB-Oct'!L187+'TB-Nov'!L187+'TB-Dec'!L187</f>
        <v>210059</v>
      </c>
      <c r="M187" s="97">
        <f>'TB-Jan'!M187+'TB-Feb'!M187+'TB-Mar'!M187+'TB-Apr'!M187+'TB-May'!M187+'TB-Jun'!M187+'TB-Jul'!M187+'TB-Aug'!M187+'TB-Sep'!M187+'TB-Oct'!M187+'TB-Nov'!M187+'TB-Dec'!M187</f>
        <v>0</v>
      </c>
      <c r="N187" s="97">
        <f>'TB-Jan'!N187+'TB-Feb'!N187+'TB-Mar'!N187+'TB-Apr'!N187+'TB-May'!N187+'TB-Jun'!N187+'TB-Jul'!N187+'TB-Aug'!N187+'TB-Sep'!N187+'TB-Oct'!N187+'TB-Nov'!N187+'TB-Dec'!N187</f>
        <v>0</v>
      </c>
    </row>
    <row r="188" spans="1:14" hidden="1">
      <c r="A188" s="3" t="s">
        <v>334</v>
      </c>
      <c r="B188" s="10" t="s">
        <v>335</v>
      </c>
      <c r="C188" s="5"/>
      <c r="D188" s="5">
        <f t="shared" si="5"/>
        <v>0</v>
      </c>
      <c r="E188" s="6">
        <f t="shared" si="3"/>
        <v>0</v>
      </c>
      <c r="F188" s="6">
        <f t="shared" si="3"/>
        <v>0</v>
      </c>
      <c r="G188" s="94">
        <f>'TB-Jan'!G188+'TB-Feb'!G188+'TB-Mar'!G188+'TB-Apr'!G188+'TB-May'!G188+'TB-Jun'!G188+'TB-Jul'!G188+'TB-Aug'!G188+'TB-Sep'!G188+'TB-Oct'!G188+'TB-Nov'!G188+'TB-Dec'!G188</f>
        <v>0</v>
      </c>
      <c r="H188" s="94">
        <f>'TB-Jan'!H188+'TB-Feb'!H188+'TB-Mar'!H188+'TB-Apr'!H188+'TB-May'!H188+'TB-Jun'!H188+'TB-Jul'!H188+'TB-Aug'!H188+'TB-Sep'!H188+'TB-Oct'!H188+'TB-Nov'!H188+'TB-Dec'!H188</f>
        <v>0</v>
      </c>
      <c r="I188" s="95">
        <f>'TB-Jan'!I188+'TB-Feb'!I188+'TB-Mar'!I188+'TB-Apr'!I188+'TB-May'!I188+'TB-Jun'!I188+'TB-Jul'!I188+'TB-Aug'!I188+'TB-Sep'!I188+'TB-Oct'!I188+'TB-Nov'!I188+'TB-Dec'!I188</f>
        <v>0</v>
      </c>
      <c r="J188" s="95">
        <f>'TB-Jan'!J188+'TB-Feb'!J188+'TB-Mar'!J188+'TB-Apr'!J188+'TB-May'!J188+'TB-Jun'!J188+'TB-Jul'!J188+'TB-Aug'!J188+'TB-Sep'!J188+'TB-Oct'!J188+'TB-Nov'!J188+'TB-Dec'!J188</f>
        <v>0</v>
      </c>
      <c r="K188" s="96">
        <f>'TB-Jan'!K188+'TB-Feb'!K188+'TB-Mar'!K188+'TB-Apr'!K188+'TB-May'!K188+'TB-Jun'!K188+'TB-Jul'!K188+'TB-Aug'!K188+'TB-Sep'!K188+'TB-Oct'!K188+'TB-Nov'!K188+'TB-Dec'!K188</f>
        <v>0</v>
      </c>
      <c r="L188" s="96">
        <f>'TB-Jan'!L188+'TB-Feb'!L188+'TB-Mar'!L188+'TB-Apr'!L188+'TB-May'!L188+'TB-Jun'!L188+'TB-Jul'!L188+'TB-Aug'!L188+'TB-Sep'!L188+'TB-Oct'!L188+'TB-Nov'!L188+'TB-Dec'!L188</f>
        <v>0</v>
      </c>
      <c r="M188" s="97">
        <f>'TB-Jan'!M188+'TB-Feb'!M188+'TB-Mar'!M188+'TB-Apr'!M188+'TB-May'!M188+'TB-Jun'!M188+'TB-Jul'!M188+'TB-Aug'!M188+'TB-Sep'!M188+'TB-Oct'!M188+'TB-Nov'!M188+'TB-Dec'!M188</f>
        <v>0</v>
      </c>
      <c r="N188" s="97">
        <f>'TB-Jan'!N188+'TB-Feb'!N188+'TB-Mar'!N188+'TB-Apr'!N188+'TB-May'!N188+'TB-Jun'!N188+'TB-Jul'!N188+'TB-Aug'!N188+'TB-Sep'!N188+'TB-Oct'!N188+'TB-Nov'!N188+'TB-Dec'!N188</f>
        <v>0</v>
      </c>
    </row>
    <row r="189" spans="1:14" hidden="1">
      <c r="A189" s="3" t="s">
        <v>336</v>
      </c>
      <c r="B189" s="10" t="s">
        <v>337</v>
      </c>
      <c r="C189" s="5"/>
      <c r="D189" s="5">
        <f t="shared" si="5"/>
        <v>43520.58</v>
      </c>
      <c r="E189" s="6">
        <f t="shared" si="3"/>
        <v>0</v>
      </c>
      <c r="F189" s="6">
        <f t="shared" si="3"/>
        <v>43520.58</v>
      </c>
      <c r="G189" s="94">
        <f>'TB-Jan'!G189+'TB-Feb'!G189+'TB-Mar'!G189+'TB-Apr'!G189+'TB-May'!G189+'TB-Jun'!G189+'TB-Jul'!G189+'TB-Aug'!G189+'TB-Sep'!G189+'TB-Oct'!G189+'TB-Nov'!G189+'TB-Dec'!G189</f>
        <v>0</v>
      </c>
      <c r="H189" s="94">
        <f>'TB-Jan'!H189+'TB-Feb'!H189+'TB-Mar'!H189+'TB-Apr'!H189+'TB-May'!H189+'TB-Jun'!H189+'TB-Jul'!H189+'TB-Aug'!H189+'TB-Sep'!H189+'TB-Oct'!H189+'TB-Nov'!H189+'TB-Dec'!H189</f>
        <v>43520.58</v>
      </c>
      <c r="I189" s="95">
        <f>'TB-Jan'!I189+'TB-Feb'!I189+'TB-Mar'!I189+'TB-Apr'!I189+'TB-May'!I189+'TB-Jun'!I189+'TB-Jul'!I189+'TB-Aug'!I189+'TB-Sep'!I189+'TB-Oct'!I189+'TB-Nov'!I189+'TB-Dec'!I189</f>
        <v>0</v>
      </c>
      <c r="J189" s="95">
        <f>'TB-Jan'!J189+'TB-Feb'!J189+'TB-Mar'!J189+'TB-Apr'!J189+'TB-May'!J189+'TB-Jun'!J189+'TB-Jul'!J189+'TB-Aug'!J189+'TB-Sep'!J189+'TB-Oct'!J189+'TB-Nov'!J189+'TB-Dec'!J189</f>
        <v>0</v>
      </c>
      <c r="K189" s="96">
        <f>'TB-Jan'!K189+'TB-Feb'!K189+'TB-Mar'!K189+'TB-Apr'!K189+'TB-May'!K189+'TB-Jun'!K189+'TB-Jul'!K189+'TB-Aug'!K189+'TB-Sep'!K189+'TB-Oct'!K189+'TB-Nov'!K189+'TB-Dec'!K189</f>
        <v>0</v>
      </c>
      <c r="L189" s="96">
        <f>'TB-Jan'!L189+'TB-Feb'!L189+'TB-Mar'!L189+'TB-Apr'!L189+'TB-May'!L189+'TB-Jun'!L189+'TB-Jul'!L189+'TB-Aug'!L189+'TB-Sep'!L189+'TB-Oct'!L189+'TB-Nov'!L189+'TB-Dec'!L189</f>
        <v>0</v>
      </c>
      <c r="M189" s="97">
        <f>'TB-Jan'!M189+'TB-Feb'!M189+'TB-Mar'!M189+'TB-Apr'!M189+'TB-May'!M189+'TB-Jun'!M189+'TB-Jul'!M189+'TB-Aug'!M189+'TB-Sep'!M189+'TB-Oct'!M189+'TB-Nov'!M189+'TB-Dec'!M189</f>
        <v>0</v>
      </c>
      <c r="N189" s="97">
        <f>'TB-Jan'!N189+'TB-Feb'!N189+'TB-Mar'!N189+'TB-Apr'!N189+'TB-May'!N189+'TB-Jun'!N189+'TB-Jul'!N189+'TB-Aug'!N189+'TB-Sep'!N189+'TB-Oct'!N189+'TB-Nov'!N189+'TB-Dec'!N189</f>
        <v>0</v>
      </c>
    </row>
    <row r="190" spans="1:14">
      <c r="A190" s="3" t="s">
        <v>338</v>
      </c>
      <c r="B190" s="10" t="s">
        <v>339</v>
      </c>
      <c r="C190" s="5"/>
      <c r="D190" s="5">
        <f t="shared" si="5"/>
        <v>59702450.300000012</v>
      </c>
      <c r="E190" s="6">
        <f t="shared" si="3"/>
        <v>9026006.7699999996</v>
      </c>
      <c r="F190" s="6">
        <f t="shared" si="3"/>
        <v>68728457.070000008</v>
      </c>
      <c r="G190" s="94">
        <f>'TB-Jan'!G190+'TB-Feb'!G190+'TB-Mar'!G190+'TB-Apr'!G190+'TB-May'!G190+'TB-Jun'!G190+'TB-Jul'!G190+'TB-Aug'!G190+'TB-Sep'!G190+'TB-Oct'!G190+'TB-Nov'!G190+'TB-Dec'!G190</f>
        <v>4282944.72</v>
      </c>
      <c r="H190" s="94">
        <f>'TB-Jan'!H190+'TB-Feb'!H190+'TB-Mar'!H190+'TB-Apr'!H190+'TB-May'!H190+'TB-Jun'!H190+'TB-Jul'!H190+'TB-Aug'!H190+'TB-Sep'!H190+'TB-Oct'!H190+'TB-Nov'!H190+'TB-Dec'!H190</f>
        <v>50143127.590000004</v>
      </c>
      <c r="I190" s="95">
        <f>'TB-Jan'!I190+'TB-Feb'!I190+'TB-Mar'!I190+'TB-Apr'!I190+'TB-May'!I190+'TB-Jun'!I190+'TB-Jul'!I190+'TB-Aug'!I190+'TB-Sep'!I190+'TB-Oct'!I190+'TB-Nov'!I190+'TB-Dec'!I190</f>
        <v>4721738.05</v>
      </c>
      <c r="J190" s="95">
        <f>'TB-Jan'!J190+'TB-Feb'!J190+'TB-Mar'!J190+'TB-Apr'!J190+'TB-May'!J190+'TB-Jun'!J190+'TB-Jul'!J190+'TB-Aug'!J190+'TB-Sep'!J190+'TB-Oct'!J190+'TB-Nov'!J190+'TB-Dec'!J190</f>
        <v>7295</v>
      </c>
      <c r="K190" s="96">
        <f>'TB-Jan'!K190+'TB-Feb'!K190+'TB-Mar'!K190+'TB-Apr'!K190+'TB-May'!K190+'TB-Jun'!K190+'TB-Jul'!K190+'TB-Aug'!K190+'TB-Sep'!K190+'TB-Oct'!K190+'TB-Nov'!K190+'TB-Dec'!K190</f>
        <v>0</v>
      </c>
      <c r="L190" s="96">
        <f>'TB-Jan'!L190+'TB-Feb'!L190+'TB-Mar'!L190+'TB-Apr'!L190+'TB-May'!L190+'TB-Jun'!L190+'TB-Jul'!L190+'TB-Aug'!L190+'TB-Sep'!L190+'TB-Oct'!L190+'TB-Nov'!L190+'TB-Dec'!L190</f>
        <v>18570674.48</v>
      </c>
      <c r="M190" s="97">
        <f>'TB-Jan'!M190+'TB-Feb'!M190+'TB-Mar'!M190+'TB-Apr'!M190+'TB-May'!M190+'TB-Jun'!M190+'TB-Jul'!M190+'TB-Aug'!M190+'TB-Sep'!M190+'TB-Oct'!M190+'TB-Nov'!M190+'TB-Dec'!M190</f>
        <v>21324</v>
      </c>
      <c r="N190" s="97">
        <f>'TB-Jan'!N190+'TB-Feb'!N190+'TB-Mar'!N190+'TB-Apr'!N190+'TB-May'!N190+'TB-Jun'!N190+'TB-Jul'!N190+'TB-Aug'!N190+'TB-Sep'!N190+'TB-Oct'!N190+'TB-Nov'!N190+'TB-Dec'!N190</f>
        <v>7360</v>
      </c>
    </row>
    <row r="191" spans="1:14" hidden="1">
      <c r="A191" s="3" t="s">
        <v>340</v>
      </c>
      <c r="B191" s="10" t="s">
        <v>341</v>
      </c>
      <c r="C191" s="5"/>
      <c r="D191" s="5">
        <f t="shared" si="5"/>
        <v>0</v>
      </c>
      <c r="E191" s="6">
        <f t="shared" si="3"/>
        <v>0</v>
      </c>
      <c r="F191" s="6">
        <f t="shared" si="3"/>
        <v>0</v>
      </c>
      <c r="G191" s="94">
        <f>'TB-Jan'!G191+'TB-Feb'!G191+'TB-Mar'!G191+'TB-Apr'!G191+'TB-May'!G191+'TB-Jun'!G191+'TB-Jul'!G191+'TB-Aug'!G191+'TB-Sep'!G191+'TB-Oct'!G191+'TB-Nov'!G191+'TB-Dec'!G191</f>
        <v>0</v>
      </c>
      <c r="H191" s="94">
        <f>'TB-Jan'!H191+'TB-Feb'!H191+'TB-Mar'!H191+'TB-Apr'!H191+'TB-May'!H191+'TB-Jun'!H191+'TB-Jul'!H191+'TB-Aug'!H191+'TB-Sep'!H191+'TB-Oct'!H191+'TB-Nov'!H191+'TB-Dec'!H191</f>
        <v>0</v>
      </c>
      <c r="I191" s="95">
        <f>'TB-Jan'!I191+'TB-Feb'!I191+'TB-Mar'!I191+'TB-Apr'!I191+'TB-May'!I191+'TB-Jun'!I191+'TB-Jul'!I191+'TB-Aug'!I191+'TB-Sep'!I191+'TB-Oct'!I191+'TB-Nov'!I191+'TB-Dec'!I191</f>
        <v>0</v>
      </c>
      <c r="J191" s="95">
        <f>'TB-Jan'!J191+'TB-Feb'!J191+'TB-Mar'!J191+'TB-Apr'!J191+'TB-May'!J191+'TB-Jun'!J191+'TB-Jul'!J191+'TB-Aug'!J191+'TB-Sep'!J191+'TB-Oct'!J191+'TB-Nov'!J191+'TB-Dec'!J191</f>
        <v>0</v>
      </c>
      <c r="K191" s="96">
        <f>'TB-Jan'!K191+'TB-Feb'!K191+'TB-Mar'!K191+'TB-Apr'!K191+'TB-May'!K191+'TB-Jun'!K191+'TB-Jul'!K191+'TB-Aug'!K191+'TB-Sep'!K191+'TB-Oct'!K191+'TB-Nov'!K191+'TB-Dec'!K191</f>
        <v>0</v>
      </c>
      <c r="L191" s="96">
        <f>'TB-Jan'!L191+'TB-Feb'!L191+'TB-Mar'!L191+'TB-Apr'!L191+'TB-May'!L191+'TB-Jun'!L191+'TB-Jul'!L191+'TB-Aug'!L191+'TB-Sep'!L191+'TB-Oct'!L191+'TB-Nov'!L191+'TB-Dec'!L191</f>
        <v>0</v>
      </c>
      <c r="M191" s="97">
        <f>'TB-Jan'!M191+'TB-Feb'!M191+'TB-Mar'!M191+'TB-Apr'!M191+'TB-May'!M191+'TB-Jun'!M191+'TB-Jul'!M191+'TB-Aug'!M191+'TB-Sep'!M191+'TB-Oct'!M191+'TB-Nov'!M191+'TB-Dec'!M191</f>
        <v>0</v>
      </c>
      <c r="N191" s="97">
        <f>'TB-Jan'!N191+'TB-Feb'!N191+'TB-Mar'!N191+'TB-Apr'!N191+'TB-May'!N191+'TB-Jun'!N191+'TB-Jul'!N191+'TB-Aug'!N191+'TB-Sep'!N191+'TB-Oct'!N191+'TB-Nov'!N191+'TB-Dec'!N191</f>
        <v>0</v>
      </c>
    </row>
    <row r="192" spans="1:14" hidden="1">
      <c r="A192" s="3" t="s">
        <v>342</v>
      </c>
      <c r="B192" s="10" t="s">
        <v>343</v>
      </c>
      <c r="C192" s="5"/>
      <c r="D192" s="5">
        <f t="shared" si="5"/>
        <v>0</v>
      </c>
      <c r="E192" s="6">
        <f t="shared" si="3"/>
        <v>0</v>
      </c>
      <c r="F192" s="6">
        <f t="shared" si="3"/>
        <v>0</v>
      </c>
      <c r="G192" s="94">
        <f>'TB-Jan'!G192+'TB-Feb'!G192+'TB-Mar'!G192+'TB-Apr'!G192+'TB-May'!G192+'TB-Jun'!G192+'TB-Jul'!G192+'TB-Aug'!G192+'TB-Sep'!G192+'TB-Oct'!G192+'TB-Nov'!G192+'TB-Dec'!G192</f>
        <v>0</v>
      </c>
      <c r="H192" s="94">
        <f>'TB-Jan'!H192+'TB-Feb'!H192+'TB-Mar'!H192+'TB-Apr'!H192+'TB-May'!H192+'TB-Jun'!H192+'TB-Jul'!H192+'TB-Aug'!H192+'TB-Sep'!H192+'TB-Oct'!H192+'TB-Nov'!H192+'TB-Dec'!H192</f>
        <v>0</v>
      </c>
      <c r="I192" s="95">
        <f>'TB-Jan'!I192+'TB-Feb'!I192+'TB-Mar'!I192+'TB-Apr'!I192+'TB-May'!I192+'TB-Jun'!I192+'TB-Jul'!I192+'TB-Aug'!I192+'TB-Sep'!I192+'TB-Oct'!I192+'TB-Nov'!I192+'TB-Dec'!I192</f>
        <v>0</v>
      </c>
      <c r="J192" s="95">
        <f>'TB-Jan'!J192+'TB-Feb'!J192+'TB-Mar'!J192+'TB-Apr'!J192+'TB-May'!J192+'TB-Jun'!J192+'TB-Jul'!J192+'TB-Aug'!J192+'TB-Sep'!J192+'TB-Oct'!J192+'TB-Nov'!J192+'TB-Dec'!J192</f>
        <v>0</v>
      </c>
      <c r="K192" s="96">
        <f>'TB-Jan'!K192+'TB-Feb'!K192+'TB-Mar'!K192+'TB-Apr'!K192+'TB-May'!K192+'TB-Jun'!K192+'TB-Jul'!K192+'TB-Aug'!K192+'TB-Sep'!K192+'TB-Oct'!K192+'TB-Nov'!K192+'TB-Dec'!K192</f>
        <v>0</v>
      </c>
      <c r="L192" s="96">
        <f>'TB-Jan'!L192+'TB-Feb'!L192+'TB-Mar'!L192+'TB-Apr'!L192+'TB-May'!L192+'TB-Jun'!L192+'TB-Jul'!L192+'TB-Aug'!L192+'TB-Sep'!L192+'TB-Oct'!L192+'TB-Nov'!L192+'TB-Dec'!L192</f>
        <v>0</v>
      </c>
      <c r="M192" s="97">
        <f>'TB-Jan'!M192+'TB-Feb'!M192+'TB-Mar'!M192+'TB-Apr'!M192+'TB-May'!M192+'TB-Jun'!M192+'TB-Jul'!M192+'TB-Aug'!M192+'TB-Sep'!M192+'TB-Oct'!M192+'TB-Nov'!M192+'TB-Dec'!M192</f>
        <v>0</v>
      </c>
      <c r="N192" s="97">
        <f>'TB-Jan'!N192+'TB-Feb'!N192+'TB-Mar'!N192+'TB-Apr'!N192+'TB-May'!N192+'TB-Jun'!N192+'TB-Jul'!N192+'TB-Aug'!N192+'TB-Sep'!N192+'TB-Oct'!N192+'TB-Nov'!N192+'TB-Dec'!N192</f>
        <v>0</v>
      </c>
    </row>
    <row r="193" spans="1:14" hidden="1">
      <c r="A193" s="3" t="s">
        <v>344</v>
      </c>
      <c r="B193" s="10" t="s">
        <v>345</v>
      </c>
      <c r="C193" s="5"/>
      <c r="D193" s="5">
        <f t="shared" si="5"/>
        <v>0</v>
      </c>
      <c r="E193" s="6">
        <f t="shared" si="3"/>
        <v>0</v>
      </c>
      <c r="F193" s="6">
        <f t="shared" si="3"/>
        <v>0</v>
      </c>
      <c r="G193" s="94">
        <f>'TB-Jan'!G193+'TB-Feb'!G193+'TB-Mar'!G193+'TB-Apr'!G193+'TB-May'!G193+'TB-Jun'!G193+'TB-Jul'!G193+'TB-Aug'!G193+'TB-Sep'!G193+'TB-Oct'!G193+'TB-Nov'!G193+'TB-Dec'!G193</f>
        <v>0</v>
      </c>
      <c r="H193" s="94">
        <f>'TB-Jan'!H193+'TB-Feb'!H193+'TB-Mar'!H193+'TB-Apr'!H193+'TB-May'!H193+'TB-Jun'!H193+'TB-Jul'!H193+'TB-Aug'!H193+'TB-Sep'!H193+'TB-Oct'!H193+'TB-Nov'!H193+'TB-Dec'!H193</f>
        <v>0</v>
      </c>
      <c r="I193" s="95">
        <f>'TB-Jan'!I193+'TB-Feb'!I193+'TB-Mar'!I193+'TB-Apr'!I193+'TB-May'!I193+'TB-Jun'!I193+'TB-Jul'!I193+'TB-Aug'!I193+'TB-Sep'!I193+'TB-Oct'!I193+'TB-Nov'!I193+'TB-Dec'!I193</f>
        <v>0</v>
      </c>
      <c r="J193" s="95">
        <f>'TB-Jan'!J193+'TB-Feb'!J193+'TB-Mar'!J193+'TB-Apr'!J193+'TB-May'!J193+'TB-Jun'!J193+'TB-Jul'!J193+'TB-Aug'!J193+'TB-Sep'!J193+'TB-Oct'!J193+'TB-Nov'!J193+'TB-Dec'!J193</f>
        <v>0</v>
      </c>
      <c r="K193" s="96">
        <f>'TB-Jan'!K193+'TB-Feb'!K193+'TB-Mar'!K193+'TB-Apr'!K193+'TB-May'!K193+'TB-Jun'!K193+'TB-Jul'!K193+'TB-Aug'!K193+'TB-Sep'!K193+'TB-Oct'!K193+'TB-Nov'!K193+'TB-Dec'!K193</f>
        <v>0</v>
      </c>
      <c r="L193" s="96">
        <f>'TB-Jan'!L193+'TB-Feb'!L193+'TB-Mar'!L193+'TB-Apr'!L193+'TB-May'!L193+'TB-Jun'!L193+'TB-Jul'!L193+'TB-Aug'!L193+'TB-Sep'!L193+'TB-Oct'!L193+'TB-Nov'!L193+'TB-Dec'!L193</f>
        <v>0</v>
      </c>
      <c r="M193" s="97">
        <f>'TB-Jan'!M193+'TB-Feb'!M193+'TB-Mar'!M193+'TB-Apr'!M193+'TB-May'!M193+'TB-Jun'!M193+'TB-Jul'!M193+'TB-Aug'!M193+'TB-Sep'!M193+'TB-Oct'!M193+'TB-Nov'!M193+'TB-Dec'!M193</f>
        <v>0</v>
      </c>
      <c r="N193" s="97">
        <f>'TB-Jan'!N193+'TB-Feb'!N193+'TB-Mar'!N193+'TB-Apr'!N193+'TB-May'!N193+'TB-Jun'!N193+'TB-Jul'!N193+'TB-Aug'!N193+'TB-Sep'!N193+'TB-Oct'!N193+'TB-Nov'!N193+'TB-Dec'!N193</f>
        <v>0</v>
      </c>
    </row>
    <row r="194" spans="1:14" hidden="1">
      <c r="A194" s="3" t="s">
        <v>346</v>
      </c>
      <c r="B194" s="10" t="s">
        <v>347</v>
      </c>
      <c r="C194" s="5"/>
      <c r="D194" s="5">
        <f t="shared" si="5"/>
        <v>0</v>
      </c>
      <c r="E194" s="6">
        <f t="shared" si="3"/>
        <v>0</v>
      </c>
      <c r="F194" s="6">
        <f t="shared" si="3"/>
        <v>0</v>
      </c>
      <c r="G194" s="94">
        <f>'TB-Jan'!G194+'TB-Feb'!G194+'TB-Mar'!G194+'TB-Apr'!G194+'TB-May'!G194+'TB-Jun'!G194+'TB-Jul'!G194+'TB-Aug'!G194+'TB-Sep'!G194+'TB-Oct'!G194+'TB-Nov'!G194+'TB-Dec'!G194</f>
        <v>0</v>
      </c>
      <c r="H194" s="94">
        <f>'TB-Jan'!H194+'TB-Feb'!H194+'TB-Mar'!H194+'TB-Apr'!H194+'TB-May'!H194+'TB-Jun'!H194+'TB-Jul'!H194+'TB-Aug'!H194+'TB-Sep'!H194+'TB-Oct'!H194+'TB-Nov'!H194+'TB-Dec'!H194</f>
        <v>0</v>
      </c>
      <c r="I194" s="95">
        <f>'TB-Jan'!I194+'TB-Feb'!I194+'TB-Mar'!I194+'TB-Apr'!I194+'TB-May'!I194+'TB-Jun'!I194+'TB-Jul'!I194+'TB-Aug'!I194+'TB-Sep'!I194+'TB-Oct'!I194+'TB-Nov'!I194+'TB-Dec'!I194</f>
        <v>0</v>
      </c>
      <c r="J194" s="95">
        <f>'TB-Jan'!J194+'TB-Feb'!J194+'TB-Mar'!J194+'TB-Apr'!J194+'TB-May'!J194+'TB-Jun'!J194+'TB-Jul'!J194+'TB-Aug'!J194+'TB-Sep'!J194+'TB-Oct'!J194+'TB-Nov'!J194+'TB-Dec'!J194</f>
        <v>0</v>
      </c>
      <c r="K194" s="96">
        <f>'TB-Jan'!K194+'TB-Feb'!K194+'TB-Mar'!K194+'TB-Apr'!K194+'TB-May'!K194+'TB-Jun'!K194+'TB-Jul'!K194+'TB-Aug'!K194+'TB-Sep'!K194+'TB-Oct'!K194+'TB-Nov'!K194+'TB-Dec'!K194</f>
        <v>0</v>
      </c>
      <c r="L194" s="96">
        <f>'TB-Jan'!L194+'TB-Feb'!L194+'TB-Mar'!L194+'TB-Apr'!L194+'TB-May'!L194+'TB-Jun'!L194+'TB-Jul'!L194+'TB-Aug'!L194+'TB-Sep'!L194+'TB-Oct'!L194+'TB-Nov'!L194+'TB-Dec'!L194</f>
        <v>0</v>
      </c>
      <c r="M194" s="97">
        <f>'TB-Jan'!M194+'TB-Feb'!M194+'TB-Mar'!M194+'TB-Apr'!M194+'TB-May'!M194+'TB-Jun'!M194+'TB-Jul'!M194+'TB-Aug'!M194+'TB-Sep'!M194+'TB-Oct'!M194+'TB-Nov'!M194+'TB-Dec'!M194</f>
        <v>0</v>
      </c>
      <c r="N194" s="97">
        <f>'TB-Jan'!N194+'TB-Feb'!N194+'TB-Mar'!N194+'TB-Apr'!N194+'TB-May'!N194+'TB-Jun'!N194+'TB-Jul'!N194+'TB-Aug'!N194+'TB-Sep'!N194+'TB-Oct'!N194+'TB-Nov'!N194+'TB-Dec'!N194</f>
        <v>0</v>
      </c>
    </row>
    <row r="195" spans="1:14" hidden="1">
      <c r="A195" s="3" t="s">
        <v>348</v>
      </c>
      <c r="B195" s="10" t="s">
        <v>349</v>
      </c>
      <c r="C195" s="5"/>
      <c r="D195" s="5">
        <f t="shared" si="5"/>
        <v>0</v>
      </c>
      <c r="E195" s="6">
        <f t="shared" si="3"/>
        <v>0</v>
      </c>
      <c r="F195" s="6">
        <f t="shared" si="3"/>
        <v>0</v>
      </c>
      <c r="G195" s="94">
        <f>'TB-Jan'!G195+'TB-Feb'!G195+'TB-Mar'!G195+'TB-Apr'!G195+'TB-May'!G195+'TB-Jun'!G195+'TB-Jul'!G195+'TB-Aug'!G195+'TB-Sep'!G195+'TB-Oct'!G195+'TB-Nov'!G195+'TB-Dec'!G195</f>
        <v>0</v>
      </c>
      <c r="H195" s="94">
        <f>'TB-Jan'!H195+'TB-Feb'!H195+'TB-Mar'!H195+'TB-Apr'!H195+'TB-May'!H195+'TB-Jun'!H195+'TB-Jul'!H195+'TB-Aug'!H195+'TB-Sep'!H195+'TB-Oct'!H195+'TB-Nov'!H195+'TB-Dec'!H195</f>
        <v>0</v>
      </c>
      <c r="I195" s="95">
        <f>'TB-Jan'!I195+'TB-Feb'!I195+'TB-Mar'!I195+'TB-Apr'!I195+'TB-May'!I195+'TB-Jun'!I195+'TB-Jul'!I195+'TB-Aug'!I195+'TB-Sep'!I195+'TB-Oct'!I195+'TB-Nov'!I195+'TB-Dec'!I195</f>
        <v>0</v>
      </c>
      <c r="J195" s="95">
        <f>'TB-Jan'!J195+'TB-Feb'!J195+'TB-Mar'!J195+'TB-Apr'!J195+'TB-May'!J195+'TB-Jun'!J195+'TB-Jul'!J195+'TB-Aug'!J195+'TB-Sep'!J195+'TB-Oct'!J195+'TB-Nov'!J195+'TB-Dec'!J195</f>
        <v>0</v>
      </c>
      <c r="K195" s="96">
        <f>'TB-Jan'!K195+'TB-Feb'!K195+'TB-Mar'!K195+'TB-Apr'!K195+'TB-May'!K195+'TB-Jun'!K195+'TB-Jul'!K195+'TB-Aug'!K195+'TB-Sep'!K195+'TB-Oct'!K195+'TB-Nov'!K195+'TB-Dec'!K195</f>
        <v>0</v>
      </c>
      <c r="L195" s="96">
        <f>'TB-Jan'!L195+'TB-Feb'!L195+'TB-Mar'!L195+'TB-Apr'!L195+'TB-May'!L195+'TB-Jun'!L195+'TB-Jul'!L195+'TB-Aug'!L195+'TB-Sep'!L195+'TB-Oct'!L195+'TB-Nov'!L195+'TB-Dec'!L195</f>
        <v>0</v>
      </c>
      <c r="M195" s="97">
        <f>'TB-Jan'!M195+'TB-Feb'!M195+'TB-Mar'!M195+'TB-Apr'!M195+'TB-May'!M195+'TB-Jun'!M195+'TB-Jul'!M195+'TB-Aug'!M195+'TB-Sep'!M195+'TB-Oct'!M195+'TB-Nov'!M195+'TB-Dec'!M195</f>
        <v>0</v>
      </c>
      <c r="N195" s="97">
        <f>'TB-Jan'!N195+'TB-Feb'!N195+'TB-Mar'!N195+'TB-Apr'!N195+'TB-May'!N195+'TB-Jun'!N195+'TB-Jul'!N195+'TB-Aug'!N195+'TB-Sep'!N195+'TB-Oct'!N195+'TB-Nov'!N195+'TB-Dec'!N195</f>
        <v>0</v>
      </c>
    </row>
    <row r="196" spans="1:14" hidden="1">
      <c r="A196" s="3" t="s">
        <v>350</v>
      </c>
      <c r="B196" s="10" t="s">
        <v>351</v>
      </c>
      <c r="C196" s="5"/>
      <c r="D196" s="5">
        <f t="shared" si="5"/>
        <v>0</v>
      </c>
      <c r="E196" s="6">
        <f t="shared" si="3"/>
        <v>0</v>
      </c>
      <c r="F196" s="6">
        <f t="shared" si="3"/>
        <v>0</v>
      </c>
      <c r="G196" s="94">
        <f>'TB-Jan'!G196+'TB-Feb'!G196+'TB-Mar'!G196+'TB-Apr'!G196+'TB-May'!G196+'TB-Jun'!G196+'TB-Jul'!G196+'TB-Aug'!G196+'TB-Sep'!G196+'TB-Oct'!G196+'TB-Nov'!G196+'TB-Dec'!G196</f>
        <v>0</v>
      </c>
      <c r="H196" s="94">
        <f>'TB-Jan'!H196+'TB-Feb'!H196+'TB-Mar'!H196+'TB-Apr'!H196+'TB-May'!H196+'TB-Jun'!H196+'TB-Jul'!H196+'TB-Aug'!H196+'TB-Sep'!H196+'TB-Oct'!H196+'TB-Nov'!H196+'TB-Dec'!H196</f>
        <v>0</v>
      </c>
      <c r="I196" s="95">
        <f>'TB-Jan'!I196+'TB-Feb'!I196+'TB-Mar'!I196+'TB-Apr'!I196+'TB-May'!I196+'TB-Jun'!I196+'TB-Jul'!I196+'TB-Aug'!I196+'TB-Sep'!I196+'TB-Oct'!I196+'TB-Nov'!I196+'TB-Dec'!I196</f>
        <v>0</v>
      </c>
      <c r="J196" s="95">
        <f>'TB-Jan'!J196+'TB-Feb'!J196+'TB-Mar'!J196+'TB-Apr'!J196+'TB-May'!J196+'TB-Jun'!J196+'TB-Jul'!J196+'TB-Aug'!J196+'TB-Sep'!J196+'TB-Oct'!J196+'TB-Nov'!J196+'TB-Dec'!J196</f>
        <v>0</v>
      </c>
      <c r="K196" s="96">
        <f>'TB-Jan'!K196+'TB-Feb'!K196+'TB-Mar'!K196+'TB-Apr'!K196+'TB-May'!K196+'TB-Jun'!K196+'TB-Jul'!K196+'TB-Aug'!K196+'TB-Sep'!K196+'TB-Oct'!K196+'TB-Nov'!K196+'TB-Dec'!K196</f>
        <v>0</v>
      </c>
      <c r="L196" s="96">
        <f>'TB-Jan'!L196+'TB-Feb'!L196+'TB-Mar'!L196+'TB-Apr'!L196+'TB-May'!L196+'TB-Jun'!L196+'TB-Jul'!L196+'TB-Aug'!L196+'TB-Sep'!L196+'TB-Oct'!L196+'TB-Nov'!L196+'TB-Dec'!L196</f>
        <v>0</v>
      </c>
      <c r="M196" s="97">
        <f>'TB-Jan'!M196+'TB-Feb'!M196+'TB-Mar'!M196+'TB-Apr'!M196+'TB-May'!M196+'TB-Jun'!M196+'TB-Jul'!M196+'TB-Aug'!M196+'TB-Sep'!M196+'TB-Oct'!M196+'TB-Nov'!M196+'TB-Dec'!M196</f>
        <v>0</v>
      </c>
      <c r="N196" s="97">
        <f>'TB-Jan'!N196+'TB-Feb'!N196+'TB-Mar'!N196+'TB-Apr'!N196+'TB-May'!N196+'TB-Jun'!N196+'TB-Jul'!N196+'TB-Aug'!N196+'TB-Sep'!N196+'TB-Oct'!N196+'TB-Nov'!N196+'TB-Dec'!N196</f>
        <v>0</v>
      </c>
    </row>
    <row r="197" spans="1:14" hidden="1">
      <c r="A197" s="3" t="s">
        <v>352</v>
      </c>
      <c r="B197" s="10" t="s">
        <v>353</v>
      </c>
      <c r="C197" s="5"/>
      <c r="D197" s="5">
        <f t="shared" si="5"/>
        <v>0</v>
      </c>
      <c r="E197" s="6">
        <f t="shared" si="3"/>
        <v>0</v>
      </c>
      <c r="F197" s="6">
        <f t="shared" si="3"/>
        <v>0</v>
      </c>
      <c r="G197" s="94">
        <f>'TB-Jan'!G197+'TB-Feb'!G197+'TB-Mar'!G197+'TB-Apr'!G197+'TB-May'!G197+'TB-Jun'!G197+'TB-Jul'!G197+'TB-Aug'!G197+'TB-Sep'!G197+'TB-Oct'!G197+'TB-Nov'!G197+'TB-Dec'!G197</f>
        <v>0</v>
      </c>
      <c r="H197" s="94">
        <f>'TB-Jan'!H197+'TB-Feb'!H197+'TB-Mar'!H197+'TB-Apr'!H197+'TB-May'!H197+'TB-Jun'!H197+'TB-Jul'!H197+'TB-Aug'!H197+'TB-Sep'!H197+'TB-Oct'!H197+'TB-Nov'!H197+'TB-Dec'!H197</f>
        <v>0</v>
      </c>
      <c r="I197" s="95">
        <f>'TB-Jan'!I197+'TB-Feb'!I197+'TB-Mar'!I197+'TB-Apr'!I197+'TB-May'!I197+'TB-Jun'!I197+'TB-Jul'!I197+'TB-Aug'!I197+'TB-Sep'!I197+'TB-Oct'!I197+'TB-Nov'!I197+'TB-Dec'!I197</f>
        <v>0</v>
      </c>
      <c r="J197" s="95">
        <f>'TB-Jan'!J197+'TB-Feb'!J197+'TB-Mar'!J197+'TB-Apr'!J197+'TB-May'!J197+'TB-Jun'!J197+'TB-Jul'!J197+'TB-Aug'!J197+'TB-Sep'!J197+'TB-Oct'!J197+'TB-Nov'!J197+'TB-Dec'!J197</f>
        <v>0</v>
      </c>
      <c r="K197" s="96">
        <f>'TB-Jan'!K197+'TB-Feb'!K197+'TB-Mar'!K197+'TB-Apr'!K197+'TB-May'!K197+'TB-Jun'!K197+'TB-Jul'!K197+'TB-Aug'!K197+'TB-Sep'!K197+'TB-Oct'!K197+'TB-Nov'!K197+'TB-Dec'!K197</f>
        <v>0</v>
      </c>
      <c r="L197" s="96">
        <f>'TB-Jan'!L197+'TB-Feb'!L197+'TB-Mar'!L197+'TB-Apr'!L197+'TB-May'!L197+'TB-Jun'!L197+'TB-Jul'!L197+'TB-Aug'!L197+'TB-Sep'!L197+'TB-Oct'!L197+'TB-Nov'!L197+'TB-Dec'!L197</f>
        <v>0</v>
      </c>
      <c r="M197" s="97">
        <f>'TB-Jan'!M197+'TB-Feb'!M197+'TB-Mar'!M197+'TB-Apr'!M197+'TB-May'!M197+'TB-Jun'!M197+'TB-Jul'!M197+'TB-Aug'!M197+'TB-Sep'!M197+'TB-Oct'!M197+'TB-Nov'!M197+'TB-Dec'!M197</f>
        <v>0</v>
      </c>
      <c r="N197" s="97">
        <f>'TB-Jan'!N197+'TB-Feb'!N197+'TB-Mar'!N197+'TB-Apr'!N197+'TB-May'!N197+'TB-Jun'!N197+'TB-Jul'!N197+'TB-Aug'!N197+'TB-Sep'!N197+'TB-Oct'!N197+'TB-Nov'!N197+'TB-Dec'!N197</f>
        <v>0</v>
      </c>
    </row>
    <row r="198" spans="1:14" hidden="1">
      <c r="A198" s="3" t="s">
        <v>354</v>
      </c>
      <c r="B198" s="10" t="s">
        <v>355</v>
      </c>
      <c r="C198" s="5"/>
      <c r="D198" s="5">
        <f t="shared" si="5"/>
        <v>0</v>
      </c>
      <c r="E198" s="6">
        <f t="shared" si="3"/>
        <v>0</v>
      </c>
      <c r="F198" s="6">
        <f t="shared" si="3"/>
        <v>0</v>
      </c>
      <c r="G198" s="94">
        <f>'TB-Jan'!G198+'TB-Feb'!G198+'TB-Mar'!G198+'TB-Apr'!G198+'TB-May'!G198+'TB-Jun'!G198+'TB-Jul'!G198+'TB-Aug'!G198+'TB-Sep'!G198+'TB-Oct'!G198+'TB-Nov'!G198+'TB-Dec'!G198</f>
        <v>0</v>
      </c>
      <c r="H198" s="94">
        <f>'TB-Jan'!H198+'TB-Feb'!H198+'TB-Mar'!H198+'TB-Apr'!H198+'TB-May'!H198+'TB-Jun'!H198+'TB-Jul'!H198+'TB-Aug'!H198+'TB-Sep'!H198+'TB-Oct'!H198+'TB-Nov'!H198+'TB-Dec'!H198</f>
        <v>0</v>
      </c>
      <c r="I198" s="95">
        <f>'TB-Jan'!I198+'TB-Feb'!I198+'TB-Mar'!I198+'TB-Apr'!I198+'TB-May'!I198+'TB-Jun'!I198+'TB-Jul'!I198+'TB-Aug'!I198+'TB-Sep'!I198+'TB-Oct'!I198+'TB-Nov'!I198+'TB-Dec'!I198</f>
        <v>0</v>
      </c>
      <c r="J198" s="95">
        <f>'TB-Jan'!J198+'TB-Feb'!J198+'TB-Mar'!J198+'TB-Apr'!J198+'TB-May'!J198+'TB-Jun'!J198+'TB-Jul'!J198+'TB-Aug'!J198+'TB-Sep'!J198+'TB-Oct'!J198+'TB-Nov'!J198+'TB-Dec'!J198</f>
        <v>0</v>
      </c>
      <c r="K198" s="96">
        <f>'TB-Jan'!K198+'TB-Feb'!K198+'TB-Mar'!K198+'TB-Apr'!K198+'TB-May'!K198+'TB-Jun'!K198+'TB-Jul'!K198+'TB-Aug'!K198+'TB-Sep'!K198+'TB-Oct'!K198+'TB-Nov'!K198+'TB-Dec'!K198</f>
        <v>0</v>
      </c>
      <c r="L198" s="96">
        <f>'TB-Jan'!L198+'TB-Feb'!L198+'TB-Mar'!L198+'TB-Apr'!L198+'TB-May'!L198+'TB-Jun'!L198+'TB-Jul'!L198+'TB-Aug'!L198+'TB-Sep'!L198+'TB-Oct'!L198+'TB-Nov'!L198+'TB-Dec'!L198</f>
        <v>0</v>
      </c>
      <c r="M198" s="97">
        <f>'TB-Jan'!M198+'TB-Feb'!M198+'TB-Mar'!M198+'TB-Apr'!M198+'TB-May'!M198+'TB-Jun'!M198+'TB-Jul'!M198+'TB-Aug'!M198+'TB-Sep'!M198+'TB-Oct'!M198+'TB-Nov'!M198+'TB-Dec'!M198</f>
        <v>0</v>
      </c>
      <c r="N198" s="97">
        <f>'TB-Jan'!N198+'TB-Feb'!N198+'TB-Mar'!N198+'TB-Apr'!N198+'TB-May'!N198+'TB-Jun'!N198+'TB-Jul'!N198+'TB-Aug'!N198+'TB-Sep'!N198+'TB-Oct'!N198+'TB-Nov'!N198+'TB-Dec'!N198</f>
        <v>0</v>
      </c>
    </row>
    <row r="199" spans="1:14" hidden="1">
      <c r="A199" s="3" t="s">
        <v>356</v>
      </c>
      <c r="B199" s="10" t="s">
        <v>357</v>
      </c>
      <c r="C199" s="5"/>
      <c r="D199" s="5">
        <f t="shared" si="5"/>
        <v>0</v>
      </c>
      <c r="E199" s="6">
        <f t="shared" si="3"/>
        <v>0</v>
      </c>
      <c r="F199" s="6">
        <f t="shared" si="3"/>
        <v>0</v>
      </c>
      <c r="G199" s="94">
        <f>'TB-Jan'!G199+'TB-Feb'!G199+'TB-Mar'!G199+'TB-Apr'!G199+'TB-May'!G199+'TB-Jun'!G199+'TB-Jul'!G199+'TB-Aug'!G199+'TB-Sep'!G199+'TB-Oct'!G199+'TB-Nov'!G199+'TB-Dec'!G199</f>
        <v>0</v>
      </c>
      <c r="H199" s="94">
        <f>'TB-Jan'!H199+'TB-Feb'!H199+'TB-Mar'!H199+'TB-Apr'!H199+'TB-May'!H199+'TB-Jun'!H199+'TB-Jul'!H199+'TB-Aug'!H199+'TB-Sep'!H199+'TB-Oct'!H199+'TB-Nov'!H199+'TB-Dec'!H199</f>
        <v>0</v>
      </c>
      <c r="I199" s="95">
        <f>'TB-Jan'!I199+'TB-Feb'!I199+'TB-Mar'!I199+'TB-Apr'!I199+'TB-May'!I199+'TB-Jun'!I199+'TB-Jul'!I199+'TB-Aug'!I199+'TB-Sep'!I199+'TB-Oct'!I199+'TB-Nov'!I199+'TB-Dec'!I199</f>
        <v>0</v>
      </c>
      <c r="J199" s="95">
        <f>'TB-Jan'!J199+'TB-Feb'!J199+'TB-Mar'!J199+'TB-Apr'!J199+'TB-May'!J199+'TB-Jun'!J199+'TB-Jul'!J199+'TB-Aug'!J199+'TB-Sep'!J199+'TB-Oct'!J199+'TB-Nov'!J199+'TB-Dec'!J199</f>
        <v>0</v>
      </c>
      <c r="K199" s="96">
        <f>'TB-Jan'!K199+'TB-Feb'!K199+'TB-Mar'!K199+'TB-Apr'!K199+'TB-May'!K199+'TB-Jun'!K199+'TB-Jul'!K199+'TB-Aug'!K199+'TB-Sep'!K199+'TB-Oct'!K199+'TB-Nov'!K199+'TB-Dec'!K199</f>
        <v>0</v>
      </c>
      <c r="L199" s="96">
        <f>'TB-Jan'!L199+'TB-Feb'!L199+'TB-Mar'!L199+'TB-Apr'!L199+'TB-May'!L199+'TB-Jun'!L199+'TB-Jul'!L199+'TB-Aug'!L199+'TB-Sep'!L199+'TB-Oct'!L199+'TB-Nov'!L199+'TB-Dec'!L199</f>
        <v>0</v>
      </c>
      <c r="M199" s="97">
        <f>'TB-Jan'!M199+'TB-Feb'!M199+'TB-Mar'!M199+'TB-Apr'!M199+'TB-May'!M199+'TB-Jun'!M199+'TB-Jul'!M199+'TB-Aug'!M199+'TB-Sep'!M199+'TB-Oct'!M199+'TB-Nov'!M199+'TB-Dec'!M199</f>
        <v>0</v>
      </c>
      <c r="N199" s="97">
        <f>'TB-Jan'!N199+'TB-Feb'!N199+'TB-Mar'!N199+'TB-Apr'!N199+'TB-May'!N199+'TB-Jun'!N199+'TB-Jul'!N199+'TB-Aug'!N199+'TB-Sep'!N199+'TB-Oct'!N199+'TB-Nov'!N199+'TB-Dec'!N199</f>
        <v>0</v>
      </c>
    </row>
    <row r="200" spans="1:14" hidden="1">
      <c r="A200" s="3" t="s">
        <v>358</v>
      </c>
      <c r="B200" s="10" t="s">
        <v>359</v>
      </c>
      <c r="C200" s="5"/>
      <c r="D200" s="5">
        <f t="shared" si="5"/>
        <v>0</v>
      </c>
      <c r="E200" s="6">
        <f t="shared" si="3"/>
        <v>0</v>
      </c>
      <c r="F200" s="6">
        <f t="shared" si="3"/>
        <v>0</v>
      </c>
      <c r="G200" s="94">
        <f>'TB-Jan'!G200+'TB-Feb'!G200+'TB-Mar'!G200+'TB-Apr'!G200+'TB-May'!G200+'TB-Jun'!G200+'TB-Jul'!G200+'TB-Aug'!G200+'TB-Sep'!G200+'TB-Oct'!G200+'TB-Nov'!G200+'TB-Dec'!G200</f>
        <v>0</v>
      </c>
      <c r="H200" s="94">
        <f>'TB-Jan'!H200+'TB-Feb'!H200+'TB-Mar'!H200+'TB-Apr'!H200+'TB-May'!H200+'TB-Jun'!H200+'TB-Jul'!H200+'TB-Aug'!H200+'TB-Sep'!H200+'TB-Oct'!H200+'TB-Nov'!H200+'TB-Dec'!H200</f>
        <v>0</v>
      </c>
      <c r="I200" s="95">
        <f>'TB-Jan'!I200+'TB-Feb'!I200+'TB-Mar'!I200+'TB-Apr'!I200+'TB-May'!I200+'TB-Jun'!I200+'TB-Jul'!I200+'TB-Aug'!I200+'TB-Sep'!I200+'TB-Oct'!I200+'TB-Nov'!I200+'TB-Dec'!I200</f>
        <v>0</v>
      </c>
      <c r="J200" s="95">
        <f>'TB-Jan'!J200+'TB-Feb'!J200+'TB-Mar'!J200+'TB-Apr'!J200+'TB-May'!J200+'TB-Jun'!J200+'TB-Jul'!J200+'TB-Aug'!J200+'TB-Sep'!J200+'TB-Oct'!J200+'TB-Nov'!J200+'TB-Dec'!J200</f>
        <v>0</v>
      </c>
      <c r="K200" s="96">
        <f>'TB-Jan'!K200+'TB-Feb'!K200+'TB-Mar'!K200+'TB-Apr'!K200+'TB-May'!K200+'TB-Jun'!K200+'TB-Jul'!K200+'TB-Aug'!K200+'TB-Sep'!K200+'TB-Oct'!K200+'TB-Nov'!K200+'TB-Dec'!K200</f>
        <v>0</v>
      </c>
      <c r="L200" s="96">
        <f>'TB-Jan'!L200+'TB-Feb'!L200+'TB-Mar'!L200+'TB-Apr'!L200+'TB-May'!L200+'TB-Jun'!L200+'TB-Jul'!L200+'TB-Aug'!L200+'TB-Sep'!L200+'TB-Oct'!L200+'TB-Nov'!L200+'TB-Dec'!L200</f>
        <v>0</v>
      </c>
      <c r="M200" s="97">
        <f>'TB-Jan'!M200+'TB-Feb'!M200+'TB-Mar'!M200+'TB-Apr'!M200+'TB-May'!M200+'TB-Jun'!M200+'TB-Jul'!M200+'TB-Aug'!M200+'TB-Sep'!M200+'TB-Oct'!M200+'TB-Nov'!M200+'TB-Dec'!M200</f>
        <v>0</v>
      </c>
      <c r="N200" s="97">
        <f>'TB-Jan'!N200+'TB-Feb'!N200+'TB-Mar'!N200+'TB-Apr'!N200+'TB-May'!N200+'TB-Jun'!N200+'TB-Jul'!N200+'TB-Aug'!N200+'TB-Sep'!N200+'TB-Oct'!N200+'TB-Nov'!N200+'TB-Dec'!N200</f>
        <v>0</v>
      </c>
    </row>
    <row r="201" spans="1:14" hidden="1">
      <c r="A201" s="3" t="s">
        <v>360</v>
      </c>
      <c r="B201" s="10" t="s">
        <v>361</v>
      </c>
      <c r="C201" s="5"/>
      <c r="D201" s="5">
        <f t="shared" si="5"/>
        <v>0</v>
      </c>
      <c r="E201" s="6">
        <f t="shared" si="3"/>
        <v>0</v>
      </c>
      <c r="F201" s="6">
        <f t="shared" si="3"/>
        <v>0</v>
      </c>
      <c r="G201" s="94">
        <f>'TB-Jan'!G201+'TB-Feb'!G201+'TB-Mar'!G201+'TB-Apr'!G201+'TB-May'!G201+'TB-Jun'!G201+'TB-Jul'!G201+'TB-Aug'!G201+'TB-Sep'!G201+'TB-Oct'!G201+'TB-Nov'!G201+'TB-Dec'!G201</f>
        <v>0</v>
      </c>
      <c r="H201" s="94">
        <f>'TB-Jan'!H201+'TB-Feb'!H201+'TB-Mar'!H201+'TB-Apr'!H201+'TB-May'!H201+'TB-Jun'!H201+'TB-Jul'!H201+'TB-Aug'!H201+'TB-Sep'!H201+'TB-Oct'!H201+'TB-Nov'!H201+'TB-Dec'!H201</f>
        <v>0</v>
      </c>
      <c r="I201" s="95">
        <f>'TB-Jan'!I201+'TB-Feb'!I201+'TB-Mar'!I201+'TB-Apr'!I201+'TB-May'!I201+'TB-Jun'!I201+'TB-Jul'!I201+'TB-Aug'!I201+'TB-Sep'!I201+'TB-Oct'!I201+'TB-Nov'!I201+'TB-Dec'!I201</f>
        <v>0</v>
      </c>
      <c r="J201" s="95">
        <f>'TB-Jan'!J201+'TB-Feb'!J201+'TB-Mar'!J201+'TB-Apr'!J201+'TB-May'!J201+'TB-Jun'!J201+'TB-Jul'!J201+'TB-Aug'!J201+'TB-Sep'!J201+'TB-Oct'!J201+'TB-Nov'!J201+'TB-Dec'!J201</f>
        <v>0</v>
      </c>
      <c r="K201" s="96">
        <f>'TB-Jan'!K201+'TB-Feb'!K201+'TB-Mar'!K201+'TB-Apr'!K201+'TB-May'!K201+'TB-Jun'!K201+'TB-Jul'!K201+'TB-Aug'!K201+'TB-Sep'!K201+'TB-Oct'!K201+'TB-Nov'!K201+'TB-Dec'!K201</f>
        <v>0</v>
      </c>
      <c r="L201" s="96">
        <f>'TB-Jan'!L201+'TB-Feb'!L201+'TB-Mar'!L201+'TB-Apr'!L201+'TB-May'!L201+'TB-Jun'!L201+'TB-Jul'!L201+'TB-Aug'!L201+'TB-Sep'!L201+'TB-Oct'!L201+'TB-Nov'!L201+'TB-Dec'!L201</f>
        <v>0</v>
      </c>
      <c r="M201" s="97">
        <f>'TB-Jan'!M201+'TB-Feb'!M201+'TB-Mar'!M201+'TB-Apr'!M201+'TB-May'!M201+'TB-Jun'!M201+'TB-Jul'!M201+'TB-Aug'!M201+'TB-Sep'!M201+'TB-Oct'!M201+'TB-Nov'!M201+'TB-Dec'!M201</f>
        <v>0</v>
      </c>
      <c r="N201" s="97">
        <f>'TB-Jan'!N201+'TB-Feb'!N201+'TB-Mar'!N201+'TB-Apr'!N201+'TB-May'!N201+'TB-Jun'!N201+'TB-Jul'!N201+'TB-Aug'!N201+'TB-Sep'!N201+'TB-Oct'!N201+'TB-Nov'!N201+'TB-Dec'!N201</f>
        <v>0</v>
      </c>
    </row>
    <row r="202" spans="1:14" hidden="1">
      <c r="A202" s="3" t="s">
        <v>362</v>
      </c>
      <c r="B202" s="10" t="s">
        <v>363</v>
      </c>
      <c r="C202" s="5"/>
      <c r="D202" s="5">
        <f t="shared" si="5"/>
        <v>0</v>
      </c>
      <c r="E202" s="6">
        <f t="shared" si="3"/>
        <v>0</v>
      </c>
      <c r="F202" s="6">
        <f t="shared" si="3"/>
        <v>0</v>
      </c>
      <c r="G202" s="94">
        <f>'TB-Jan'!G202+'TB-Feb'!G202+'TB-Mar'!G202+'TB-Apr'!G202+'TB-May'!G202+'TB-Jun'!G202+'TB-Jul'!G202+'TB-Aug'!G202+'TB-Sep'!G202+'TB-Oct'!G202+'TB-Nov'!G202+'TB-Dec'!G202</f>
        <v>0</v>
      </c>
      <c r="H202" s="94">
        <f>'TB-Jan'!H202+'TB-Feb'!H202+'TB-Mar'!H202+'TB-Apr'!H202+'TB-May'!H202+'TB-Jun'!H202+'TB-Jul'!H202+'TB-Aug'!H202+'TB-Sep'!H202+'TB-Oct'!H202+'TB-Nov'!H202+'TB-Dec'!H202</f>
        <v>0</v>
      </c>
      <c r="I202" s="95">
        <f>'TB-Jan'!I202+'TB-Feb'!I202+'TB-Mar'!I202+'TB-Apr'!I202+'TB-May'!I202+'TB-Jun'!I202+'TB-Jul'!I202+'TB-Aug'!I202+'TB-Sep'!I202+'TB-Oct'!I202+'TB-Nov'!I202+'TB-Dec'!I202</f>
        <v>0</v>
      </c>
      <c r="J202" s="95">
        <f>'TB-Jan'!J202+'TB-Feb'!J202+'TB-Mar'!J202+'TB-Apr'!J202+'TB-May'!J202+'TB-Jun'!J202+'TB-Jul'!J202+'TB-Aug'!J202+'TB-Sep'!J202+'TB-Oct'!J202+'TB-Nov'!J202+'TB-Dec'!J202</f>
        <v>0</v>
      </c>
      <c r="K202" s="96">
        <f>'TB-Jan'!K202+'TB-Feb'!K202+'TB-Mar'!K202+'TB-Apr'!K202+'TB-May'!K202+'TB-Jun'!K202+'TB-Jul'!K202+'TB-Aug'!K202+'TB-Sep'!K202+'TB-Oct'!K202+'TB-Nov'!K202+'TB-Dec'!K202</f>
        <v>0</v>
      </c>
      <c r="L202" s="96">
        <f>'TB-Jan'!L202+'TB-Feb'!L202+'TB-Mar'!L202+'TB-Apr'!L202+'TB-May'!L202+'TB-Jun'!L202+'TB-Jul'!L202+'TB-Aug'!L202+'TB-Sep'!L202+'TB-Oct'!L202+'TB-Nov'!L202+'TB-Dec'!L202</f>
        <v>0</v>
      </c>
      <c r="M202" s="97">
        <f>'TB-Jan'!M202+'TB-Feb'!M202+'TB-Mar'!M202+'TB-Apr'!M202+'TB-May'!M202+'TB-Jun'!M202+'TB-Jul'!M202+'TB-Aug'!M202+'TB-Sep'!M202+'TB-Oct'!M202+'TB-Nov'!M202+'TB-Dec'!M202</f>
        <v>0</v>
      </c>
      <c r="N202" s="97">
        <f>'TB-Jan'!N202+'TB-Feb'!N202+'TB-Mar'!N202+'TB-Apr'!N202+'TB-May'!N202+'TB-Jun'!N202+'TB-Jul'!N202+'TB-Aug'!N202+'TB-Sep'!N202+'TB-Oct'!N202+'TB-Nov'!N202+'TB-Dec'!N202</f>
        <v>0</v>
      </c>
    </row>
    <row r="203" spans="1:14" hidden="1">
      <c r="A203" s="3" t="s">
        <v>364</v>
      </c>
      <c r="B203" s="10" t="s">
        <v>365</v>
      </c>
      <c r="C203" s="5"/>
      <c r="D203" s="5">
        <f t="shared" si="5"/>
        <v>0</v>
      </c>
      <c r="E203" s="6">
        <f t="shared" si="3"/>
        <v>0</v>
      </c>
      <c r="F203" s="6">
        <f t="shared" si="3"/>
        <v>0</v>
      </c>
      <c r="G203" s="94">
        <f>'TB-Jan'!G203+'TB-Feb'!G203+'TB-Mar'!G203+'TB-Apr'!G203+'TB-May'!G203+'TB-Jun'!G203+'TB-Jul'!G203+'TB-Aug'!G203+'TB-Sep'!G203+'TB-Oct'!G203+'TB-Nov'!G203+'TB-Dec'!G203</f>
        <v>0</v>
      </c>
      <c r="H203" s="94">
        <f>'TB-Jan'!H203+'TB-Feb'!H203+'TB-Mar'!H203+'TB-Apr'!H203+'TB-May'!H203+'TB-Jun'!H203+'TB-Jul'!H203+'TB-Aug'!H203+'TB-Sep'!H203+'TB-Oct'!H203+'TB-Nov'!H203+'TB-Dec'!H203</f>
        <v>0</v>
      </c>
      <c r="I203" s="95">
        <f>'TB-Jan'!I203+'TB-Feb'!I203+'TB-Mar'!I203+'TB-Apr'!I203+'TB-May'!I203+'TB-Jun'!I203+'TB-Jul'!I203+'TB-Aug'!I203+'TB-Sep'!I203+'TB-Oct'!I203+'TB-Nov'!I203+'TB-Dec'!I203</f>
        <v>0</v>
      </c>
      <c r="J203" s="95">
        <f>'TB-Jan'!J203+'TB-Feb'!J203+'TB-Mar'!J203+'TB-Apr'!J203+'TB-May'!J203+'TB-Jun'!J203+'TB-Jul'!J203+'TB-Aug'!J203+'TB-Sep'!J203+'TB-Oct'!J203+'TB-Nov'!J203+'TB-Dec'!J203</f>
        <v>0</v>
      </c>
      <c r="K203" s="96">
        <f>'TB-Jan'!K203+'TB-Feb'!K203+'TB-Mar'!K203+'TB-Apr'!K203+'TB-May'!K203+'TB-Jun'!K203+'TB-Jul'!K203+'TB-Aug'!K203+'TB-Sep'!K203+'TB-Oct'!K203+'TB-Nov'!K203+'TB-Dec'!K203</f>
        <v>0</v>
      </c>
      <c r="L203" s="96">
        <f>'TB-Jan'!L203+'TB-Feb'!L203+'TB-Mar'!L203+'TB-Apr'!L203+'TB-May'!L203+'TB-Jun'!L203+'TB-Jul'!L203+'TB-Aug'!L203+'TB-Sep'!L203+'TB-Oct'!L203+'TB-Nov'!L203+'TB-Dec'!L203</f>
        <v>0</v>
      </c>
      <c r="M203" s="97">
        <f>'TB-Jan'!M203+'TB-Feb'!M203+'TB-Mar'!M203+'TB-Apr'!M203+'TB-May'!M203+'TB-Jun'!M203+'TB-Jul'!M203+'TB-Aug'!M203+'TB-Sep'!M203+'TB-Oct'!M203+'TB-Nov'!M203+'TB-Dec'!M203</f>
        <v>0</v>
      </c>
      <c r="N203" s="97">
        <f>'TB-Jan'!N203+'TB-Feb'!N203+'TB-Mar'!N203+'TB-Apr'!N203+'TB-May'!N203+'TB-Jun'!N203+'TB-Jul'!N203+'TB-Aug'!N203+'TB-Sep'!N203+'TB-Oct'!N203+'TB-Nov'!N203+'TB-Dec'!N203</f>
        <v>0</v>
      </c>
    </row>
    <row r="204" spans="1:14" hidden="1">
      <c r="A204" s="3" t="s">
        <v>366</v>
      </c>
      <c r="B204" s="10" t="s">
        <v>367</v>
      </c>
      <c r="C204" s="5"/>
      <c r="D204" s="5">
        <f t="shared" si="5"/>
        <v>0</v>
      </c>
      <c r="E204" s="6">
        <f t="shared" si="3"/>
        <v>0</v>
      </c>
      <c r="F204" s="6">
        <f t="shared" si="3"/>
        <v>0</v>
      </c>
      <c r="G204" s="94">
        <f>'TB-Jan'!G204+'TB-Feb'!G204+'TB-Mar'!G204+'TB-Apr'!G204+'TB-May'!G204+'TB-Jun'!G204+'TB-Jul'!G204+'TB-Aug'!G204+'TB-Sep'!G204+'TB-Oct'!G204+'TB-Nov'!G204+'TB-Dec'!G204</f>
        <v>0</v>
      </c>
      <c r="H204" s="94">
        <f>'TB-Jan'!H204+'TB-Feb'!H204+'TB-Mar'!H204+'TB-Apr'!H204+'TB-May'!H204+'TB-Jun'!H204+'TB-Jul'!H204+'TB-Aug'!H204+'TB-Sep'!H204+'TB-Oct'!H204+'TB-Nov'!H204+'TB-Dec'!H204</f>
        <v>0</v>
      </c>
      <c r="I204" s="95">
        <f>'TB-Jan'!I204+'TB-Feb'!I204+'TB-Mar'!I204+'TB-Apr'!I204+'TB-May'!I204+'TB-Jun'!I204+'TB-Jul'!I204+'TB-Aug'!I204+'TB-Sep'!I204+'TB-Oct'!I204+'TB-Nov'!I204+'TB-Dec'!I204</f>
        <v>0</v>
      </c>
      <c r="J204" s="95">
        <f>'TB-Jan'!J204+'TB-Feb'!J204+'TB-Mar'!J204+'TB-Apr'!J204+'TB-May'!J204+'TB-Jun'!J204+'TB-Jul'!J204+'TB-Aug'!J204+'TB-Sep'!J204+'TB-Oct'!J204+'TB-Nov'!J204+'TB-Dec'!J204</f>
        <v>0</v>
      </c>
      <c r="K204" s="96">
        <f>'TB-Jan'!K204+'TB-Feb'!K204+'TB-Mar'!K204+'TB-Apr'!K204+'TB-May'!K204+'TB-Jun'!K204+'TB-Jul'!K204+'TB-Aug'!K204+'TB-Sep'!K204+'TB-Oct'!K204+'TB-Nov'!K204+'TB-Dec'!K204</f>
        <v>0</v>
      </c>
      <c r="L204" s="96">
        <f>'TB-Jan'!L204+'TB-Feb'!L204+'TB-Mar'!L204+'TB-Apr'!L204+'TB-May'!L204+'TB-Jun'!L204+'TB-Jul'!L204+'TB-Aug'!L204+'TB-Sep'!L204+'TB-Oct'!L204+'TB-Nov'!L204+'TB-Dec'!L204</f>
        <v>0</v>
      </c>
      <c r="M204" s="97">
        <f>'TB-Jan'!M204+'TB-Feb'!M204+'TB-Mar'!M204+'TB-Apr'!M204+'TB-May'!M204+'TB-Jun'!M204+'TB-Jul'!M204+'TB-Aug'!M204+'TB-Sep'!M204+'TB-Oct'!M204+'TB-Nov'!M204+'TB-Dec'!M204</f>
        <v>0</v>
      </c>
      <c r="N204" s="97">
        <f>'TB-Jan'!N204+'TB-Feb'!N204+'TB-Mar'!N204+'TB-Apr'!N204+'TB-May'!N204+'TB-Jun'!N204+'TB-Jul'!N204+'TB-Aug'!N204+'TB-Sep'!N204+'TB-Oct'!N204+'TB-Nov'!N204+'TB-Dec'!N204</f>
        <v>0</v>
      </c>
    </row>
    <row r="205" spans="1:14" hidden="1">
      <c r="A205" s="3" t="s">
        <v>368</v>
      </c>
      <c r="B205" s="10" t="s">
        <v>369</v>
      </c>
      <c r="C205" s="5"/>
      <c r="D205" s="5">
        <f t="shared" si="5"/>
        <v>0</v>
      </c>
      <c r="E205" s="6">
        <f t="shared" si="3"/>
        <v>0</v>
      </c>
      <c r="F205" s="6">
        <f t="shared" si="3"/>
        <v>0</v>
      </c>
      <c r="G205" s="94">
        <f>'TB-Jan'!G205+'TB-Feb'!G205+'TB-Mar'!G205+'TB-Apr'!G205+'TB-May'!G205+'TB-Jun'!G205+'TB-Jul'!G205+'TB-Aug'!G205+'TB-Sep'!G205+'TB-Oct'!G205+'TB-Nov'!G205+'TB-Dec'!G205</f>
        <v>0</v>
      </c>
      <c r="H205" s="94">
        <f>'TB-Jan'!H205+'TB-Feb'!H205+'TB-Mar'!H205+'TB-Apr'!H205+'TB-May'!H205+'TB-Jun'!H205+'TB-Jul'!H205+'TB-Aug'!H205+'TB-Sep'!H205+'TB-Oct'!H205+'TB-Nov'!H205+'TB-Dec'!H205</f>
        <v>0</v>
      </c>
      <c r="I205" s="95">
        <f>'TB-Jan'!I205+'TB-Feb'!I205+'TB-Mar'!I205+'TB-Apr'!I205+'TB-May'!I205+'TB-Jun'!I205+'TB-Jul'!I205+'TB-Aug'!I205+'TB-Sep'!I205+'TB-Oct'!I205+'TB-Nov'!I205+'TB-Dec'!I205</f>
        <v>0</v>
      </c>
      <c r="J205" s="95">
        <f>'TB-Jan'!J205+'TB-Feb'!J205+'TB-Mar'!J205+'TB-Apr'!J205+'TB-May'!J205+'TB-Jun'!J205+'TB-Jul'!J205+'TB-Aug'!J205+'TB-Sep'!J205+'TB-Oct'!J205+'TB-Nov'!J205+'TB-Dec'!J205</f>
        <v>0</v>
      </c>
      <c r="K205" s="96">
        <f>'TB-Jan'!K205+'TB-Feb'!K205+'TB-Mar'!K205+'TB-Apr'!K205+'TB-May'!K205+'TB-Jun'!K205+'TB-Jul'!K205+'TB-Aug'!K205+'TB-Sep'!K205+'TB-Oct'!K205+'TB-Nov'!K205+'TB-Dec'!K205</f>
        <v>0</v>
      </c>
      <c r="L205" s="96">
        <f>'TB-Jan'!L205+'TB-Feb'!L205+'TB-Mar'!L205+'TB-Apr'!L205+'TB-May'!L205+'TB-Jun'!L205+'TB-Jul'!L205+'TB-Aug'!L205+'TB-Sep'!L205+'TB-Oct'!L205+'TB-Nov'!L205+'TB-Dec'!L205</f>
        <v>0</v>
      </c>
      <c r="M205" s="97">
        <f>'TB-Jan'!M205+'TB-Feb'!M205+'TB-Mar'!M205+'TB-Apr'!M205+'TB-May'!M205+'TB-Jun'!M205+'TB-Jul'!M205+'TB-Aug'!M205+'TB-Sep'!M205+'TB-Oct'!M205+'TB-Nov'!M205+'TB-Dec'!M205</f>
        <v>0</v>
      </c>
      <c r="N205" s="97">
        <f>'TB-Jan'!N205+'TB-Feb'!N205+'TB-Mar'!N205+'TB-Apr'!N205+'TB-May'!N205+'TB-Jun'!N205+'TB-Jul'!N205+'TB-Aug'!N205+'TB-Sep'!N205+'TB-Oct'!N205+'TB-Nov'!N205+'TB-Dec'!N205</f>
        <v>0</v>
      </c>
    </row>
    <row r="206" spans="1:14" hidden="1">
      <c r="A206" s="3" t="s">
        <v>370</v>
      </c>
      <c r="B206" s="10" t="s">
        <v>371</v>
      </c>
      <c r="C206" s="5"/>
      <c r="D206" s="5">
        <f t="shared" si="5"/>
        <v>0</v>
      </c>
      <c r="E206" s="6">
        <f t="shared" ref="E206:F269" si="6">SUM(G206,I206,K206,M206)</f>
        <v>0</v>
      </c>
      <c r="F206" s="6">
        <f t="shared" si="6"/>
        <v>0</v>
      </c>
      <c r="G206" s="94">
        <f>'TB-Jan'!G206+'TB-Feb'!G206+'TB-Mar'!G206+'TB-Apr'!G206+'TB-May'!G206+'TB-Jun'!G206+'TB-Jul'!G206+'TB-Aug'!G206+'TB-Sep'!G206+'TB-Oct'!G206+'TB-Nov'!G206+'TB-Dec'!G206</f>
        <v>0</v>
      </c>
      <c r="H206" s="94">
        <f>'TB-Jan'!H206+'TB-Feb'!H206+'TB-Mar'!H206+'TB-Apr'!H206+'TB-May'!H206+'TB-Jun'!H206+'TB-Jul'!H206+'TB-Aug'!H206+'TB-Sep'!H206+'TB-Oct'!H206+'TB-Nov'!H206+'TB-Dec'!H206</f>
        <v>0</v>
      </c>
      <c r="I206" s="95">
        <f>'TB-Jan'!I206+'TB-Feb'!I206+'TB-Mar'!I206+'TB-Apr'!I206+'TB-May'!I206+'TB-Jun'!I206+'TB-Jul'!I206+'TB-Aug'!I206+'TB-Sep'!I206+'TB-Oct'!I206+'TB-Nov'!I206+'TB-Dec'!I206</f>
        <v>0</v>
      </c>
      <c r="J206" s="95">
        <f>'TB-Jan'!J206+'TB-Feb'!J206+'TB-Mar'!J206+'TB-Apr'!J206+'TB-May'!J206+'TB-Jun'!J206+'TB-Jul'!J206+'TB-Aug'!J206+'TB-Sep'!J206+'TB-Oct'!J206+'TB-Nov'!J206+'TB-Dec'!J206</f>
        <v>0</v>
      </c>
      <c r="K206" s="96">
        <f>'TB-Jan'!K206+'TB-Feb'!K206+'TB-Mar'!K206+'TB-Apr'!K206+'TB-May'!K206+'TB-Jun'!K206+'TB-Jul'!K206+'TB-Aug'!K206+'TB-Sep'!K206+'TB-Oct'!K206+'TB-Nov'!K206+'TB-Dec'!K206</f>
        <v>0</v>
      </c>
      <c r="L206" s="96">
        <f>'TB-Jan'!L206+'TB-Feb'!L206+'TB-Mar'!L206+'TB-Apr'!L206+'TB-May'!L206+'TB-Jun'!L206+'TB-Jul'!L206+'TB-Aug'!L206+'TB-Sep'!L206+'TB-Oct'!L206+'TB-Nov'!L206+'TB-Dec'!L206</f>
        <v>0</v>
      </c>
      <c r="M206" s="97">
        <f>'TB-Jan'!M206+'TB-Feb'!M206+'TB-Mar'!M206+'TB-Apr'!M206+'TB-May'!M206+'TB-Jun'!M206+'TB-Jul'!M206+'TB-Aug'!M206+'TB-Sep'!M206+'TB-Oct'!M206+'TB-Nov'!M206+'TB-Dec'!M206</f>
        <v>0</v>
      </c>
      <c r="N206" s="97">
        <f>'TB-Jan'!N206+'TB-Feb'!N206+'TB-Mar'!N206+'TB-Apr'!N206+'TB-May'!N206+'TB-Jun'!N206+'TB-Jul'!N206+'TB-Aug'!N206+'TB-Sep'!N206+'TB-Oct'!N206+'TB-Nov'!N206+'TB-Dec'!N206</f>
        <v>0</v>
      </c>
    </row>
    <row r="207" spans="1:14" hidden="1">
      <c r="A207" s="3" t="s">
        <v>372</v>
      </c>
      <c r="B207" s="10" t="s">
        <v>373</v>
      </c>
      <c r="C207" s="5"/>
      <c r="D207" s="5">
        <f t="shared" si="5"/>
        <v>0</v>
      </c>
      <c r="E207" s="6">
        <f t="shared" si="6"/>
        <v>0</v>
      </c>
      <c r="F207" s="6">
        <f t="shared" si="6"/>
        <v>0</v>
      </c>
      <c r="G207" s="94">
        <f>'TB-Jan'!G207+'TB-Feb'!G207+'TB-Mar'!G207+'TB-Apr'!G207+'TB-May'!G207+'TB-Jun'!G207+'TB-Jul'!G207+'TB-Aug'!G207+'TB-Sep'!G207+'TB-Oct'!G207+'TB-Nov'!G207+'TB-Dec'!G207</f>
        <v>0</v>
      </c>
      <c r="H207" s="94">
        <f>'TB-Jan'!H207+'TB-Feb'!H207+'TB-Mar'!H207+'TB-Apr'!H207+'TB-May'!H207+'TB-Jun'!H207+'TB-Jul'!H207+'TB-Aug'!H207+'TB-Sep'!H207+'TB-Oct'!H207+'TB-Nov'!H207+'TB-Dec'!H207</f>
        <v>0</v>
      </c>
      <c r="I207" s="95">
        <f>'TB-Jan'!I207+'TB-Feb'!I207+'TB-Mar'!I207+'TB-Apr'!I207+'TB-May'!I207+'TB-Jun'!I207+'TB-Jul'!I207+'TB-Aug'!I207+'TB-Sep'!I207+'TB-Oct'!I207+'TB-Nov'!I207+'TB-Dec'!I207</f>
        <v>0</v>
      </c>
      <c r="J207" s="95">
        <f>'TB-Jan'!J207+'TB-Feb'!J207+'TB-Mar'!J207+'TB-Apr'!J207+'TB-May'!J207+'TB-Jun'!J207+'TB-Jul'!J207+'TB-Aug'!J207+'TB-Sep'!J207+'TB-Oct'!J207+'TB-Nov'!J207+'TB-Dec'!J207</f>
        <v>0</v>
      </c>
      <c r="K207" s="96">
        <f>'TB-Jan'!K207+'TB-Feb'!K207+'TB-Mar'!K207+'TB-Apr'!K207+'TB-May'!K207+'TB-Jun'!K207+'TB-Jul'!K207+'TB-Aug'!K207+'TB-Sep'!K207+'TB-Oct'!K207+'TB-Nov'!K207+'TB-Dec'!K207</f>
        <v>0</v>
      </c>
      <c r="L207" s="96">
        <f>'TB-Jan'!L207+'TB-Feb'!L207+'TB-Mar'!L207+'TB-Apr'!L207+'TB-May'!L207+'TB-Jun'!L207+'TB-Jul'!L207+'TB-Aug'!L207+'TB-Sep'!L207+'TB-Oct'!L207+'TB-Nov'!L207+'TB-Dec'!L207</f>
        <v>0</v>
      </c>
      <c r="M207" s="97">
        <f>'TB-Jan'!M207+'TB-Feb'!M207+'TB-Mar'!M207+'TB-Apr'!M207+'TB-May'!M207+'TB-Jun'!M207+'TB-Jul'!M207+'TB-Aug'!M207+'TB-Sep'!M207+'TB-Oct'!M207+'TB-Nov'!M207+'TB-Dec'!M207</f>
        <v>0</v>
      </c>
      <c r="N207" s="97">
        <f>'TB-Jan'!N207+'TB-Feb'!N207+'TB-Mar'!N207+'TB-Apr'!N207+'TB-May'!N207+'TB-Jun'!N207+'TB-Jul'!N207+'TB-Aug'!N207+'TB-Sep'!N207+'TB-Oct'!N207+'TB-Nov'!N207+'TB-Dec'!N207</f>
        <v>0</v>
      </c>
    </row>
    <row r="208" spans="1:14" hidden="1">
      <c r="A208" s="3" t="s">
        <v>374</v>
      </c>
      <c r="B208" s="10" t="s">
        <v>375</v>
      </c>
      <c r="C208" s="5"/>
      <c r="D208" s="5">
        <f t="shared" si="5"/>
        <v>0</v>
      </c>
      <c r="E208" s="6">
        <f t="shared" si="6"/>
        <v>0</v>
      </c>
      <c r="F208" s="6">
        <f t="shared" si="6"/>
        <v>0</v>
      </c>
      <c r="G208" s="94">
        <f>'TB-Jan'!G208+'TB-Feb'!G208+'TB-Mar'!G208+'TB-Apr'!G208+'TB-May'!G208+'TB-Jun'!G208+'TB-Jul'!G208+'TB-Aug'!G208+'TB-Sep'!G208+'TB-Oct'!G208+'TB-Nov'!G208+'TB-Dec'!G208</f>
        <v>0</v>
      </c>
      <c r="H208" s="94">
        <f>'TB-Jan'!H208+'TB-Feb'!H208+'TB-Mar'!H208+'TB-Apr'!H208+'TB-May'!H208+'TB-Jun'!H208+'TB-Jul'!H208+'TB-Aug'!H208+'TB-Sep'!H208+'TB-Oct'!H208+'TB-Nov'!H208+'TB-Dec'!H208</f>
        <v>0</v>
      </c>
      <c r="I208" s="95">
        <f>'TB-Jan'!I208+'TB-Feb'!I208+'TB-Mar'!I208+'TB-Apr'!I208+'TB-May'!I208+'TB-Jun'!I208+'TB-Jul'!I208+'TB-Aug'!I208+'TB-Sep'!I208+'TB-Oct'!I208+'TB-Nov'!I208+'TB-Dec'!I208</f>
        <v>0</v>
      </c>
      <c r="J208" s="95">
        <f>'TB-Jan'!J208+'TB-Feb'!J208+'TB-Mar'!J208+'TB-Apr'!J208+'TB-May'!J208+'TB-Jun'!J208+'TB-Jul'!J208+'TB-Aug'!J208+'TB-Sep'!J208+'TB-Oct'!J208+'TB-Nov'!J208+'TB-Dec'!J208</f>
        <v>0</v>
      </c>
      <c r="K208" s="96">
        <f>'TB-Jan'!K208+'TB-Feb'!K208+'TB-Mar'!K208+'TB-Apr'!K208+'TB-May'!K208+'TB-Jun'!K208+'TB-Jul'!K208+'TB-Aug'!K208+'TB-Sep'!K208+'TB-Oct'!K208+'TB-Nov'!K208+'TB-Dec'!K208</f>
        <v>0</v>
      </c>
      <c r="L208" s="96">
        <f>'TB-Jan'!L208+'TB-Feb'!L208+'TB-Mar'!L208+'TB-Apr'!L208+'TB-May'!L208+'TB-Jun'!L208+'TB-Jul'!L208+'TB-Aug'!L208+'TB-Sep'!L208+'TB-Oct'!L208+'TB-Nov'!L208+'TB-Dec'!L208</f>
        <v>0</v>
      </c>
      <c r="M208" s="97">
        <f>'TB-Jan'!M208+'TB-Feb'!M208+'TB-Mar'!M208+'TB-Apr'!M208+'TB-May'!M208+'TB-Jun'!M208+'TB-Jul'!M208+'TB-Aug'!M208+'TB-Sep'!M208+'TB-Oct'!M208+'TB-Nov'!M208+'TB-Dec'!M208</f>
        <v>0</v>
      </c>
      <c r="N208" s="97">
        <f>'TB-Jan'!N208+'TB-Feb'!N208+'TB-Mar'!N208+'TB-Apr'!N208+'TB-May'!N208+'TB-Jun'!N208+'TB-Jul'!N208+'TB-Aug'!N208+'TB-Sep'!N208+'TB-Oct'!N208+'TB-Nov'!N208+'TB-Dec'!N208</f>
        <v>0</v>
      </c>
    </row>
    <row r="209" spans="1:14" hidden="1">
      <c r="A209" s="3" t="s">
        <v>376</v>
      </c>
      <c r="B209" s="10" t="s">
        <v>377</v>
      </c>
      <c r="C209" s="5"/>
      <c r="D209" s="5">
        <f t="shared" si="5"/>
        <v>0</v>
      </c>
      <c r="E209" s="6">
        <f t="shared" si="6"/>
        <v>0</v>
      </c>
      <c r="F209" s="6">
        <f t="shared" si="6"/>
        <v>0</v>
      </c>
      <c r="G209" s="94">
        <f>'TB-Jan'!G209+'TB-Feb'!G209+'TB-Mar'!G209+'TB-Apr'!G209+'TB-May'!G209+'TB-Jun'!G209+'TB-Jul'!G209+'TB-Aug'!G209+'TB-Sep'!G209+'TB-Oct'!G209+'TB-Nov'!G209+'TB-Dec'!G209</f>
        <v>0</v>
      </c>
      <c r="H209" s="94">
        <f>'TB-Jan'!H209+'TB-Feb'!H209+'TB-Mar'!H209+'TB-Apr'!H209+'TB-May'!H209+'TB-Jun'!H209+'TB-Jul'!H209+'TB-Aug'!H209+'TB-Sep'!H209+'TB-Oct'!H209+'TB-Nov'!H209+'TB-Dec'!H209</f>
        <v>0</v>
      </c>
      <c r="I209" s="95">
        <f>'TB-Jan'!I209+'TB-Feb'!I209+'TB-Mar'!I209+'TB-Apr'!I209+'TB-May'!I209+'TB-Jun'!I209+'TB-Jul'!I209+'TB-Aug'!I209+'TB-Sep'!I209+'TB-Oct'!I209+'TB-Nov'!I209+'TB-Dec'!I209</f>
        <v>0</v>
      </c>
      <c r="J209" s="95">
        <f>'TB-Jan'!J209+'TB-Feb'!J209+'TB-Mar'!J209+'TB-Apr'!J209+'TB-May'!J209+'TB-Jun'!J209+'TB-Jul'!J209+'TB-Aug'!J209+'TB-Sep'!J209+'TB-Oct'!J209+'TB-Nov'!J209+'TB-Dec'!J209</f>
        <v>0</v>
      </c>
      <c r="K209" s="96">
        <f>'TB-Jan'!K209+'TB-Feb'!K209+'TB-Mar'!K209+'TB-Apr'!K209+'TB-May'!K209+'TB-Jun'!K209+'TB-Jul'!K209+'TB-Aug'!K209+'TB-Sep'!K209+'TB-Oct'!K209+'TB-Nov'!K209+'TB-Dec'!K209</f>
        <v>0</v>
      </c>
      <c r="L209" s="96">
        <f>'TB-Jan'!L209+'TB-Feb'!L209+'TB-Mar'!L209+'TB-Apr'!L209+'TB-May'!L209+'TB-Jun'!L209+'TB-Jul'!L209+'TB-Aug'!L209+'TB-Sep'!L209+'TB-Oct'!L209+'TB-Nov'!L209+'TB-Dec'!L209</f>
        <v>0</v>
      </c>
      <c r="M209" s="97">
        <f>'TB-Jan'!M209+'TB-Feb'!M209+'TB-Mar'!M209+'TB-Apr'!M209+'TB-May'!M209+'TB-Jun'!M209+'TB-Jul'!M209+'TB-Aug'!M209+'TB-Sep'!M209+'TB-Oct'!M209+'TB-Nov'!M209+'TB-Dec'!M209</f>
        <v>0</v>
      </c>
      <c r="N209" s="97">
        <f>'TB-Jan'!N209+'TB-Feb'!N209+'TB-Mar'!N209+'TB-Apr'!N209+'TB-May'!N209+'TB-Jun'!N209+'TB-Jul'!N209+'TB-Aug'!N209+'TB-Sep'!N209+'TB-Oct'!N209+'TB-Nov'!N209+'TB-Dec'!N209</f>
        <v>0</v>
      </c>
    </row>
    <row r="210" spans="1:14" hidden="1">
      <c r="A210" s="3" t="s">
        <v>378</v>
      </c>
      <c r="B210" s="10" t="s">
        <v>379</v>
      </c>
      <c r="C210" s="5"/>
      <c r="D210" s="5">
        <f t="shared" si="5"/>
        <v>0</v>
      </c>
      <c r="E210" s="6">
        <f t="shared" si="6"/>
        <v>0</v>
      </c>
      <c r="F210" s="6">
        <f t="shared" si="6"/>
        <v>0</v>
      </c>
      <c r="G210" s="94">
        <f>'TB-Jan'!G210+'TB-Feb'!G210+'TB-Mar'!G210+'TB-Apr'!G210+'TB-May'!G210+'TB-Jun'!G210+'TB-Jul'!G210+'TB-Aug'!G210+'TB-Sep'!G210+'TB-Oct'!G210+'TB-Nov'!G210+'TB-Dec'!G210</f>
        <v>0</v>
      </c>
      <c r="H210" s="94">
        <f>'TB-Jan'!H210+'TB-Feb'!H210+'TB-Mar'!H210+'TB-Apr'!H210+'TB-May'!H210+'TB-Jun'!H210+'TB-Jul'!H210+'TB-Aug'!H210+'TB-Sep'!H210+'TB-Oct'!H210+'TB-Nov'!H210+'TB-Dec'!H210</f>
        <v>0</v>
      </c>
      <c r="I210" s="95">
        <f>'TB-Jan'!I210+'TB-Feb'!I210+'TB-Mar'!I210+'TB-Apr'!I210+'TB-May'!I210+'TB-Jun'!I210+'TB-Jul'!I210+'TB-Aug'!I210+'TB-Sep'!I210+'TB-Oct'!I210+'TB-Nov'!I210+'TB-Dec'!I210</f>
        <v>0</v>
      </c>
      <c r="J210" s="95">
        <f>'TB-Jan'!J210+'TB-Feb'!J210+'TB-Mar'!J210+'TB-Apr'!J210+'TB-May'!J210+'TB-Jun'!J210+'TB-Jul'!J210+'TB-Aug'!J210+'TB-Sep'!J210+'TB-Oct'!J210+'TB-Nov'!J210+'TB-Dec'!J210</f>
        <v>0</v>
      </c>
      <c r="K210" s="96">
        <f>'TB-Jan'!K210+'TB-Feb'!K210+'TB-Mar'!K210+'TB-Apr'!K210+'TB-May'!K210+'TB-Jun'!K210+'TB-Jul'!K210+'TB-Aug'!K210+'TB-Sep'!K210+'TB-Oct'!K210+'TB-Nov'!K210+'TB-Dec'!K210</f>
        <v>0</v>
      </c>
      <c r="L210" s="96">
        <f>'TB-Jan'!L210+'TB-Feb'!L210+'TB-Mar'!L210+'TB-Apr'!L210+'TB-May'!L210+'TB-Jun'!L210+'TB-Jul'!L210+'TB-Aug'!L210+'TB-Sep'!L210+'TB-Oct'!L210+'TB-Nov'!L210+'TB-Dec'!L210</f>
        <v>0</v>
      </c>
      <c r="M210" s="97">
        <f>'TB-Jan'!M210+'TB-Feb'!M210+'TB-Mar'!M210+'TB-Apr'!M210+'TB-May'!M210+'TB-Jun'!M210+'TB-Jul'!M210+'TB-Aug'!M210+'TB-Sep'!M210+'TB-Oct'!M210+'TB-Nov'!M210+'TB-Dec'!M210</f>
        <v>0</v>
      </c>
      <c r="N210" s="97">
        <f>'TB-Jan'!N210+'TB-Feb'!N210+'TB-Mar'!N210+'TB-Apr'!N210+'TB-May'!N210+'TB-Jun'!N210+'TB-Jul'!N210+'TB-Aug'!N210+'TB-Sep'!N210+'TB-Oct'!N210+'TB-Nov'!N210+'TB-Dec'!N210</f>
        <v>0</v>
      </c>
    </row>
    <row r="211" spans="1:14" hidden="1">
      <c r="A211" s="3" t="s">
        <v>380</v>
      </c>
      <c r="B211" s="10" t="s">
        <v>381</v>
      </c>
      <c r="C211" s="5"/>
      <c r="D211" s="5">
        <f t="shared" si="5"/>
        <v>0</v>
      </c>
      <c r="E211" s="6">
        <f t="shared" si="6"/>
        <v>0</v>
      </c>
      <c r="F211" s="6">
        <f t="shared" si="6"/>
        <v>0</v>
      </c>
      <c r="G211" s="94">
        <f>'TB-Jan'!G211+'TB-Feb'!G211+'TB-Mar'!G211+'TB-Apr'!G211+'TB-May'!G211+'TB-Jun'!G211+'TB-Jul'!G211+'TB-Aug'!G211+'TB-Sep'!G211+'TB-Oct'!G211+'TB-Nov'!G211+'TB-Dec'!G211</f>
        <v>0</v>
      </c>
      <c r="H211" s="94">
        <f>'TB-Jan'!H211+'TB-Feb'!H211+'TB-Mar'!H211+'TB-Apr'!H211+'TB-May'!H211+'TB-Jun'!H211+'TB-Jul'!H211+'TB-Aug'!H211+'TB-Sep'!H211+'TB-Oct'!H211+'TB-Nov'!H211+'TB-Dec'!H211</f>
        <v>0</v>
      </c>
      <c r="I211" s="95">
        <f>'TB-Jan'!I211+'TB-Feb'!I211+'TB-Mar'!I211+'TB-Apr'!I211+'TB-May'!I211+'TB-Jun'!I211+'TB-Jul'!I211+'TB-Aug'!I211+'TB-Sep'!I211+'TB-Oct'!I211+'TB-Nov'!I211+'TB-Dec'!I211</f>
        <v>0</v>
      </c>
      <c r="J211" s="95">
        <f>'TB-Jan'!J211+'TB-Feb'!J211+'TB-Mar'!J211+'TB-Apr'!J211+'TB-May'!J211+'TB-Jun'!J211+'TB-Jul'!J211+'TB-Aug'!J211+'TB-Sep'!J211+'TB-Oct'!J211+'TB-Nov'!J211+'TB-Dec'!J211</f>
        <v>0</v>
      </c>
      <c r="K211" s="96">
        <f>'TB-Jan'!K211+'TB-Feb'!K211+'TB-Mar'!K211+'TB-Apr'!K211+'TB-May'!K211+'TB-Jun'!K211+'TB-Jul'!K211+'TB-Aug'!K211+'TB-Sep'!K211+'TB-Oct'!K211+'TB-Nov'!K211+'TB-Dec'!K211</f>
        <v>0</v>
      </c>
      <c r="L211" s="96">
        <f>'TB-Jan'!L211+'TB-Feb'!L211+'TB-Mar'!L211+'TB-Apr'!L211+'TB-May'!L211+'TB-Jun'!L211+'TB-Jul'!L211+'TB-Aug'!L211+'TB-Sep'!L211+'TB-Oct'!L211+'TB-Nov'!L211+'TB-Dec'!L211</f>
        <v>0</v>
      </c>
      <c r="M211" s="97">
        <f>'TB-Jan'!M211+'TB-Feb'!M211+'TB-Mar'!M211+'TB-Apr'!M211+'TB-May'!M211+'TB-Jun'!M211+'TB-Jul'!M211+'TB-Aug'!M211+'TB-Sep'!M211+'TB-Oct'!M211+'TB-Nov'!M211+'TB-Dec'!M211</f>
        <v>0</v>
      </c>
      <c r="N211" s="97">
        <f>'TB-Jan'!N211+'TB-Feb'!N211+'TB-Mar'!N211+'TB-Apr'!N211+'TB-May'!N211+'TB-Jun'!N211+'TB-Jul'!N211+'TB-Aug'!N211+'TB-Sep'!N211+'TB-Oct'!N211+'TB-Nov'!N211+'TB-Dec'!N211</f>
        <v>0</v>
      </c>
    </row>
    <row r="212" spans="1:14" hidden="1">
      <c r="A212" s="3" t="s">
        <v>382</v>
      </c>
      <c r="B212" s="10" t="s">
        <v>383</v>
      </c>
      <c r="C212" s="5"/>
      <c r="D212" s="5">
        <f t="shared" si="5"/>
        <v>0</v>
      </c>
      <c r="E212" s="6">
        <f t="shared" si="6"/>
        <v>0</v>
      </c>
      <c r="F212" s="6">
        <f t="shared" si="6"/>
        <v>0</v>
      </c>
      <c r="G212" s="94">
        <f>'TB-Jan'!G212+'TB-Feb'!G212+'TB-Mar'!G212+'TB-Apr'!G212+'TB-May'!G212+'TB-Jun'!G212+'TB-Jul'!G212+'TB-Aug'!G212+'TB-Sep'!G212+'TB-Oct'!G212+'TB-Nov'!G212+'TB-Dec'!G212</f>
        <v>0</v>
      </c>
      <c r="H212" s="94">
        <f>'TB-Jan'!H212+'TB-Feb'!H212+'TB-Mar'!H212+'TB-Apr'!H212+'TB-May'!H212+'TB-Jun'!H212+'TB-Jul'!H212+'TB-Aug'!H212+'TB-Sep'!H212+'TB-Oct'!H212+'TB-Nov'!H212+'TB-Dec'!H212</f>
        <v>0</v>
      </c>
      <c r="I212" s="95">
        <f>'TB-Jan'!I212+'TB-Feb'!I212+'TB-Mar'!I212+'TB-Apr'!I212+'TB-May'!I212+'TB-Jun'!I212+'TB-Jul'!I212+'TB-Aug'!I212+'TB-Sep'!I212+'TB-Oct'!I212+'TB-Nov'!I212+'TB-Dec'!I212</f>
        <v>0</v>
      </c>
      <c r="J212" s="95">
        <f>'TB-Jan'!J212+'TB-Feb'!J212+'TB-Mar'!J212+'TB-Apr'!J212+'TB-May'!J212+'TB-Jun'!J212+'TB-Jul'!J212+'TB-Aug'!J212+'TB-Sep'!J212+'TB-Oct'!J212+'TB-Nov'!J212+'TB-Dec'!J212</f>
        <v>0</v>
      </c>
      <c r="K212" s="96">
        <f>'TB-Jan'!K212+'TB-Feb'!K212+'TB-Mar'!K212+'TB-Apr'!K212+'TB-May'!K212+'TB-Jun'!K212+'TB-Jul'!K212+'TB-Aug'!K212+'TB-Sep'!K212+'TB-Oct'!K212+'TB-Nov'!K212+'TB-Dec'!K212</f>
        <v>0</v>
      </c>
      <c r="L212" s="96">
        <f>'TB-Jan'!L212+'TB-Feb'!L212+'TB-Mar'!L212+'TB-Apr'!L212+'TB-May'!L212+'TB-Jun'!L212+'TB-Jul'!L212+'TB-Aug'!L212+'TB-Sep'!L212+'TB-Oct'!L212+'TB-Nov'!L212+'TB-Dec'!L212</f>
        <v>0</v>
      </c>
      <c r="M212" s="97">
        <f>'TB-Jan'!M212+'TB-Feb'!M212+'TB-Mar'!M212+'TB-Apr'!M212+'TB-May'!M212+'TB-Jun'!M212+'TB-Jul'!M212+'TB-Aug'!M212+'TB-Sep'!M212+'TB-Oct'!M212+'TB-Nov'!M212+'TB-Dec'!M212</f>
        <v>0</v>
      </c>
      <c r="N212" s="97">
        <f>'TB-Jan'!N212+'TB-Feb'!N212+'TB-Mar'!N212+'TB-Apr'!N212+'TB-May'!N212+'TB-Jun'!N212+'TB-Jul'!N212+'TB-Aug'!N212+'TB-Sep'!N212+'TB-Oct'!N212+'TB-Nov'!N212+'TB-Dec'!N212</f>
        <v>0</v>
      </c>
    </row>
    <row r="213" spans="1:14" hidden="1">
      <c r="A213" s="3" t="s">
        <v>384</v>
      </c>
      <c r="B213" s="10" t="s">
        <v>385</v>
      </c>
      <c r="C213" s="5"/>
      <c r="D213" s="5">
        <f t="shared" si="5"/>
        <v>0</v>
      </c>
      <c r="E213" s="6">
        <f t="shared" si="6"/>
        <v>0</v>
      </c>
      <c r="F213" s="6">
        <f t="shared" si="6"/>
        <v>0</v>
      </c>
      <c r="G213" s="94">
        <f>'TB-Jan'!G213+'TB-Feb'!G213+'TB-Mar'!G213+'TB-Apr'!G213+'TB-May'!G213+'TB-Jun'!G213+'TB-Jul'!G213+'TB-Aug'!G213+'TB-Sep'!G213+'TB-Oct'!G213+'TB-Nov'!G213+'TB-Dec'!G213</f>
        <v>0</v>
      </c>
      <c r="H213" s="94">
        <f>'TB-Jan'!H213+'TB-Feb'!H213+'TB-Mar'!H213+'TB-Apr'!H213+'TB-May'!H213+'TB-Jun'!H213+'TB-Jul'!H213+'TB-Aug'!H213+'TB-Sep'!H213+'TB-Oct'!H213+'TB-Nov'!H213+'TB-Dec'!H213</f>
        <v>0</v>
      </c>
      <c r="I213" s="95">
        <f>'TB-Jan'!I213+'TB-Feb'!I213+'TB-Mar'!I213+'TB-Apr'!I213+'TB-May'!I213+'TB-Jun'!I213+'TB-Jul'!I213+'TB-Aug'!I213+'TB-Sep'!I213+'TB-Oct'!I213+'TB-Nov'!I213+'TB-Dec'!I213</f>
        <v>0</v>
      </c>
      <c r="J213" s="95">
        <f>'TB-Jan'!J213+'TB-Feb'!J213+'TB-Mar'!J213+'TB-Apr'!J213+'TB-May'!J213+'TB-Jun'!J213+'TB-Jul'!J213+'TB-Aug'!J213+'TB-Sep'!J213+'TB-Oct'!J213+'TB-Nov'!J213+'TB-Dec'!J213</f>
        <v>0</v>
      </c>
      <c r="K213" s="96">
        <f>'TB-Jan'!K213+'TB-Feb'!K213+'TB-Mar'!K213+'TB-Apr'!K213+'TB-May'!K213+'TB-Jun'!K213+'TB-Jul'!K213+'TB-Aug'!K213+'TB-Sep'!K213+'TB-Oct'!K213+'TB-Nov'!K213+'TB-Dec'!K213</f>
        <v>0</v>
      </c>
      <c r="L213" s="96">
        <f>'TB-Jan'!L213+'TB-Feb'!L213+'TB-Mar'!L213+'TB-Apr'!L213+'TB-May'!L213+'TB-Jun'!L213+'TB-Jul'!L213+'TB-Aug'!L213+'TB-Sep'!L213+'TB-Oct'!L213+'TB-Nov'!L213+'TB-Dec'!L213</f>
        <v>0</v>
      </c>
      <c r="M213" s="97">
        <f>'TB-Jan'!M213+'TB-Feb'!M213+'TB-Mar'!M213+'TB-Apr'!M213+'TB-May'!M213+'TB-Jun'!M213+'TB-Jul'!M213+'TB-Aug'!M213+'TB-Sep'!M213+'TB-Oct'!M213+'TB-Nov'!M213+'TB-Dec'!M213</f>
        <v>0</v>
      </c>
      <c r="N213" s="97">
        <f>'TB-Jan'!N213+'TB-Feb'!N213+'TB-Mar'!N213+'TB-Apr'!N213+'TB-May'!N213+'TB-Jun'!N213+'TB-Jul'!N213+'TB-Aug'!N213+'TB-Sep'!N213+'TB-Oct'!N213+'TB-Nov'!N213+'TB-Dec'!N213</f>
        <v>0</v>
      </c>
    </row>
    <row r="214" spans="1:14" hidden="1">
      <c r="A214" s="3" t="s">
        <v>386</v>
      </c>
      <c r="B214" s="10" t="s">
        <v>387</v>
      </c>
      <c r="C214" s="5"/>
      <c r="D214" s="5">
        <f t="shared" si="5"/>
        <v>0</v>
      </c>
      <c r="E214" s="6">
        <f t="shared" si="6"/>
        <v>0</v>
      </c>
      <c r="F214" s="6">
        <f t="shared" si="6"/>
        <v>0</v>
      </c>
      <c r="G214" s="94">
        <f>'TB-Jan'!G214+'TB-Feb'!G214+'TB-Mar'!G214+'TB-Apr'!G214+'TB-May'!G214+'TB-Jun'!G214+'TB-Jul'!G214+'TB-Aug'!G214+'TB-Sep'!G214+'TB-Oct'!G214+'TB-Nov'!G214+'TB-Dec'!G214</f>
        <v>0</v>
      </c>
      <c r="H214" s="94">
        <f>'TB-Jan'!H214+'TB-Feb'!H214+'TB-Mar'!H214+'TB-Apr'!H214+'TB-May'!H214+'TB-Jun'!H214+'TB-Jul'!H214+'TB-Aug'!H214+'TB-Sep'!H214+'TB-Oct'!H214+'TB-Nov'!H214+'TB-Dec'!H214</f>
        <v>0</v>
      </c>
      <c r="I214" s="95">
        <f>'TB-Jan'!I214+'TB-Feb'!I214+'TB-Mar'!I214+'TB-Apr'!I214+'TB-May'!I214+'TB-Jun'!I214+'TB-Jul'!I214+'TB-Aug'!I214+'TB-Sep'!I214+'TB-Oct'!I214+'TB-Nov'!I214+'TB-Dec'!I214</f>
        <v>0</v>
      </c>
      <c r="J214" s="95">
        <f>'TB-Jan'!J214+'TB-Feb'!J214+'TB-Mar'!J214+'TB-Apr'!J214+'TB-May'!J214+'TB-Jun'!J214+'TB-Jul'!J214+'TB-Aug'!J214+'TB-Sep'!J214+'TB-Oct'!J214+'TB-Nov'!J214+'TB-Dec'!J214</f>
        <v>0</v>
      </c>
      <c r="K214" s="96">
        <f>'TB-Jan'!K214+'TB-Feb'!K214+'TB-Mar'!K214+'TB-Apr'!K214+'TB-May'!K214+'TB-Jun'!K214+'TB-Jul'!K214+'TB-Aug'!K214+'TB-Sep'!K214+'TB-Oct'!K214+'TB-Nov'!K214+'TB-Dec'!K214</f>
        <v>0</v>
      </c>
      <c r="L214" s="96">
        <f>'TB-Jan'!L214+'TB-Feb'!L214+'TB-Mar'!L214+'TB-Apr'!L214+'TB-May'!L214+'TB-Jun'!L214+'TB-Jul'!L214+'TB-Aug'!L214+'TB-Sep'!L214+'TB-Oct'!L214+'TB-Nov'!L214+'TB-Dec'!L214</f>
        <v>0</v>
      </c>
      <c r="M214" s="97">
        <f>'TB-Jan'!M214+'TB-Feb'!M214+'TB-Mar'!M214+'TB-Apr'!M214+'TB-May'!M214+'TB-Jun'!M214+'TB-Jul'!M214+'TB-Aug'!M214+'TB-Sep'!M214+'TB-Oct'!M214+'TB-Nov'!M214+'TB-Dec'!M214</f>
        <v>0</v>
      </c>
      <c r="N214" s="97">
        <f>'TB-Jan'!N214+'TB-Feb'!N214+'TB-Mar'!N214+'TB-Apr'!N214+'TB-May'!N214+'TB-Jun'!N214+'TB-Jul'!N214+'TB-Aug'!N214+'TB-Sep'!N214+'TB-Oct'!N214+'TB-Nov'!N214+'TB-Dec'!N214</f>
        <v>0</v>
      </c>
    </row>
    <row r="215" spans="1:14" hidden="1">
      <c r="A215" s="3" t="s">
        <v>388</v>
      </c>
      <c r="B215" s="10" t="s">
        <v>389</v>
      </c>
      <c r="C215" s="5"/>
      <c r="D215" s="5">
        <f t="shared" si="5"/>
        <v>0</v>
      </c>
      <c r="E215" s="6">
        <f t="shared" si="6"/>
        <v>0</v>
      </c>
      <c r="F215" s="6">
        <f t="shared" si="6"/>
        <v>0</v>
      </c>
      <c r="G215" s="94">
        <f>'TB-Jan'!G215+'TB-Feb'!G215+'TB-Mar'!G215+'TB-Apr'!G215+'TB-May'!G215+'TB-Jun'!G215+'TB-Jul'!G215+'TB-Aug'!G215+'TB-Sep'!G215+'TB-Oct'!G215+'TB-Nov'!G215+'TB-Dec'!G215</f>
        <v>0</v>
      </c>
      <c r="H215" s="94">
        <f>'TB-Jan'!H215+'TB-Feb'!H215+'TB-Mar'!H215+'TB-Apr'!H215+'TB-May'!H215+'TB-Jun'!H215+'TB-Jul'!H215+'TB-Aug'!H215+'TB-Sep'!H215+'TB-Oct'!H215+'TB-Nov'!H215+'TB-Dec'!H215</f>
        <v>0</v>
      </c>
      <c r="I215" s="95">
        <f>'TB-Jan'!I215+'TB-Feb'!I215+'TB-Mar'!I215+'TB-Apr'!I215+'TB-May'!I215+'TB-Jun'!I215+'TB-Jul'!I215+'TB-Aug'!I215+'TB-Sep'!I215+'TB-Oct'!I215+'TB-Nov'!I215+'TB-Dec'!I215</f>
        <v>0</v>
      </c>
      <c r="J215" s="95">
        <f>'TB-Jan'!J215+'TB-Feb'!J215+'TB-Mar'!J215+'TB-Apr'!J215+'TB-May'!J215+'TB-Jun'!J215+'TB-Jul'!J215+'TB-Aug'!J215+'TB-Sep'!J215+'TB-Oct'!J215+'TB-Nov'!J215+'TB-Dec'!J215</f>
        <v>0</v>
      </c>
      <c r="K215" s="96">
        <f>'TB-Jan'!K215+'TB-Feb'!K215+'TB-Mar'!K215+'TB-Apr'!K215+'TB-May'!K215+'TB-Jun'!K215+'TB-Jul'!K215+'TB-Aug'!K215+'TB-Sep'!K215+'TB-Oct'!K215+'TB-Nov'!K215+'TB-Dec'!K215</f>
        <v>0</v>
      </c>
      <c r="L215" s="96">
        <f>'TB-Jan'!L215+'TB-Feb'!L215+'TB-Mar'!L215+'TB-Apr'!L215+'TB-May'!L215+'TB-Jun'!L215+'TB-Jul'!L215+'TB-Aug'!L215+'TB-Sep'!L215+'TB-Oct'!L215+'TB-Nov'!L215+'TB-Dec'!L215</f>
        <v>0</v>
      </c>
      <c r="M215" s="97">
        <f>'TB-Jan'!M215+'TB-Feb'!M215+'TB-Mar'!M215+'TB-Apr'!M215+'TB-May'!M215+'TB-Jun'!M215+'TB-Jul'!M215+'TB-Aug'!M215+'TB-Sep'!M215+'TB-Oct'!M215+'TB-Nov'!M215+'TB-Dec'!M215</f>
        <v>0</v>
      </c>
      <c r="N215" s="97">
        <f>'TB-Jan'!N215+'TB-Feb'!N215+'TB-Mar'!N215+'TB-Apr'!N215+'TB-May'!N215+'TB-Jun'!N215+'TB-Jul'!N215+'TB-Aug'!N215+'TB-Sep'!N215+'TB-Oct'!N215+'TB-Nov'!N215+'TB-Dec'!N215</f>
        <v>0</v>
      </c>
    </row>
    <row r="216" spans="1:14" hidden="1">
      <c r="A216" s="3" t="s">
        <v>390</v>
      </c>
      <c r="B216" s="10" t="s">
        <v>391</v>
      </c>
      <c r="C216" s="5"/>
      <c r="D216" s="5">
        <f t="shared" si="5"/>
        <v>0</v>
      </c>
      <c r="E216" s="6">
        <f t="shared" si="6"/>
        <v>0</v>
      </c>
      <c r="F216" s="6">
        <f t="shared" si="6"/>
        <v>0</v>
      </c>
      <c r="G216" s="94">
        <f>'TB-Jan'!G216+'TB-Feb'!G216+'TB-Mar'!G216+'TB-Apr'!G216+'TB-May'!G216+'TB-Jun'!G216+'TB-Jul'!G216+'TB-Aug'!G216+'TB-Sep'!G216+'TB-Oct'!G216+'TB-Nov'!G216+'TB-Dec'!G216</f>
        <v>0</v>
      </c>
      <c r="H216" s="94">
        <f>'TB-Jan'!H216+'TB-Feb'!H216+'TB-Mar'!H216+'TB-Apr'!H216+'TB-May'!H216+'TB-Jun'!H216+'TB-Jul'!H216+'TB-Aug'!H216+'TB-Sep'!H216+'TB-Oct'!H216+'TB-Nov'!H216+'TB-Dec'!H216</f>
        <v>0</v>
      </c>
      <c r="I216" s="95">
        <f>'TB-Jan'!I216+'TB-Feb'!I216+'TB-Mar'!I216+'TB-Apr'!I216+'TB-May'!I216+'TB-Jun'!I216+'TB-Jul'!I216+'TB-Aug'!I216+'TB-Sep'!I216+'TB-Oct'!I216+'TB-Nov'!I216+'TB-Dec'!I216</f>
        <v>0</v>
      </c>
      <c r="J216" s="95">
        <f>'TB-Jan'!J216+'TB-Feb'!J216+'TB-Mar'!J216+'TB-Apr'!J216+'TB-May'!J216+'TB-Jun'!J216+'TB-Jul'!J216+'TB-Aug'!J216+'TB-Sep'!J216+'TB-Oct'!J216+'TB-Nov'!J216+'TB-Dec'!J216</f>
        <v>0</v>
      </c>
      <c r="K216" s="96">
        <f>'TB-Jan'!K216+'TB-Feb'!K216+'TB-Mar'!K216+'TB-Apr'!K216+'TB-May'!K216+'TB-Jun'!K216+'TB-Jul'!K216+'TB-Aug'!K216+'TB-Sep'!K216+'TB-Oct'!K216+'TB-Nov'!K216+'TB-Dec'!K216</f>
        <v>0</v>
      </c>
      <c r="L216" s="96">
        <f>'TB-Jan'!L216+'TB-Feb'!L216+'TB-Mar'!L216+'TB-Apr'!L216+'TB-May'!L216+'TB-Jun'!L216+'TB-Jul'!L216+'TB-Aug'!L216+'TB-Sep'!L216+'TB-Oct'!L216+'TB-Nov'!L216+'TB-Dec'!L216</f>
        <v>0</v>
      </c>
      <c r="M216" s="97">
        <f>'TB-Jan'!M216+'TB-Feb'!M216+'TB-Mar'!M216+'TB-Apr'!M216+'TB-May'!M216+'TB-Jun'!M216+'TB-Jul'!M216+'TB-Aug'!M216+'TB-Sep'!M216+'TB-Oct'!M216+'TB-Nov'!M216+'TB-Dec'!M216</f>
        <v>0</v>
      </c>
      <c r="N216" s="97">
        <f>'TB-Jan'!N216+'TB-Feb'!N216+'TB-Mar'!N216+'TB-Apr'!N216+'TB-May'!N216+'TB-Jun'!N216+'TB-Jul'!N216+'TB-Aug'!N216+'TB-Sep'!N216+'TB-Oct'!N216+'TB-Nov'!N216+'TB-Dec'!N216</f>
        <v>0</v>
      </c>
    </row>
    <row r="217" spans="1:14" hidden="1">
      <c r="A217" s="3" t="s">
        <v>392</v>
      </c>
      <c r="B217" s="10" t="s">
        <v>393</v>
      </c>
      <c r="C217" s="5"/>
      <c r="D217" s="5">
        <f t="shared" si="5"/>
        <v>0</v>
      </c>
      <c r="E217" s="6">
        <f t="shared" si="6"/>
        <v>0</v>
      </c>
      <c r="F217" s="6">
        <f t="shared" si="6"/>
        <v>0</v>
      </c>
      <c r="G217" s="94">
        <f>'TB-Jan'!G217+'TB-Feb'!G217+'TB-Mar'!G217+'TB-Apr'!G217+'TB-May'!G217+'TB-Jun'!G217+'TB-Jul'!G217+'TB-Aug'!G217+'TB-Sep'!G217+'TB-Oct'!G217+'TB-Nov'!G217+'TB-Dec'!G217</f>
        <v>0</v>
      </c>
      <c r="H217" s="94">
        <f>'TB-Jan'!H217+'TB-Feb'!H217+'TB-Mar'!H217+'TB-Apr'!H217+'TB-May'!H217+'TB-Jun'!H217+'TB-Jul'!H217+'TB-Aug'!H217+'TB-Sep'!H217+'TB-Oct'!H217+'TB-Nov'!H217+'TB-Dec'!H217</f>
        <v>0</v>
      </c>
      <c r="I217" s="95">
        <f>'TB-Jan'!I217+'TB-Feb'!I217+'TB-Mar'!I217+'TB-Apr'!I217+'TB-May'!I217+'TB-Jun'!I217+'TB-Jul'!I217+'TB-Aug'!I217+'TB-Sep'!I217+'TB-Oct'!I217+'TB-Nov'!I217+'TB-Dec'!I217</f>
        <v>0</v>
      </c>
      <c r="J217" s="95">
        <f>'TB-Jan'!J217+'TB-Feb'!J217+'TB-Mar'!J217+'TB-Apr'!J217+'TB-May'!J217+'TB-Jun'!J217+'TB-Jul'!J217+'TB-Aug'!J217+'TB-Sep'!J217+'TB-Oct'!J217+'TB-Nov'!J217+'TB-Dec'!J217</f>
        <v>0</v>
      </c>
      <c r="K217" s="96">
        <f>'TB-Jan'!K217+'TB-Feb'!K217+'TB-Mar'!K217+'TB-Apr'!K217+'TB-May'!K217+'TB-Jun'!K217+'TB-Jul'!K217+'TB-Aug'!K217+'TB-Sep'!K217+'TB-Oct'!K217+'TB-Nov'!K217+'TB-Dec'!K217</f>
        <v>0</v>
      </c>
      <c r="L217" s="96">
        <f>'TB-Jan'!L217+'TB-Feb'!L217+'TB-Mar'!L217+'TB-Apr'!L217+'TB-May'!L217+'TB-Jun'!L217+'TB-Jul'!L217+'TB-Aug'!L217+'TB-Sep'!L217+'TB-Oct'!L217+'TB-Nov'!L217+'TB-Dec'!L217</f>
        <v>0</v>
      </c>
      <c r="M217" s="97">
        <f>'TB-Jan'!M217+'TB-Feb'!M217+'TB-Mar'!M217+'TB-Apr'!M217+'TB-May'!M217+'TB-Jun'!M217+'TB-Jul'!M217+'TB-Aug'!M217+'TB-Sep'!M217+'TB-Oct'!M217+'TB-Nov'!M217+'TB-Dec'!M217</f>
        <v>0</v>
      </c>
      <c r="N217" s="97">
        <f>'TB-Jan'!N217+'TB-Feb'!N217+'TB-Mar'!N217+'TB-Apr'!N217+'TB-May'!N217+'TB-Jun'!N217+'TB-Jul'!N217+'TB-Aug'!N217+'TB-Sep'!N217+'TB-Oct'!N217+'TB-Nov'!N217+'TB-Dec'!N217</f>
        <v>0</v>
      </c>
    </row>
    <row r="218" spans="1:14" hidden="1">
      <c r="A218" s="3" t="s">
        <v>394</v>
      </c>
      <c r="B218" s="10" t="s">
        <v>395</v>
      </c>
      <c r="C218" s="5"/>
      <c r="D218" s="5">
        <f t="shared" si="5"/>
        <v>0</v>
      </c>
      <c r="E218" s="6">
        <f t="shared" si="6"/>
        <v>0</v>
      </c>
      <c r="F218" s="6">
        <f t="shared" si="6"/>
        <v>0</v>
      </c>
      <c r="G218" s="94">
        <f>'TB-Jan'!G218+'TB-Feb'!G218+'TB-Mar'!G218+'TB-Apr'!G218+'TB-May'!G218+'TB-Jun'!G218+'TB-Jul'!G218+'TB-Aug'!G218+'TB-Sep'!G218+'TB-Oct'!G218+'TB-Nov'!G218+'TB-Dec'!G218</f>
        <v>0</v>
      </c>
      <c r="H218" s="94">
        <f>'TB-Jan'!H218+'TB-Feb'!H218+'TB-Mar'!H218+'TB-Apr'!H218+'TB-May'!H218+'TB-Jun'!H218+'TB-Jul'!H218+'TB-Aug'!H218+'TB-Sep'!H218+'TB-Oct'!H218+'TB-Nov'!H218+'TB-Dec'!H218</f>
        <v>0</v>
      </c>
      <c r="I218" s="95">
        <f>'TB-Jan'!I218+'TB-Feb'!I218+'TB-Mar'!I218+'TB-Apr'!I218+'TB-May'!I218+'TB-Jun'!I218+'TB-Jul'!I218+'TB-Aug'!I218+'TB-Sep'!I218+'TB-Oct'!I218+'TB-Nov'!I218+'TB-Dec'!I218</f>
        <v>0</v>
      </c>
      <c r="J218" s="95">
        <f>'TB-Jan'!J218+'TB-Feb'!J218+'TB-Mar'!J218+'TB-Apr'!J218+'TB-May'!J218+'TB-Jun'!J218+'TB-Jul'!J218+'TB-Aug'!J218+'TB-Sep'!J218+'TB-Oct'!J218+'TB-Nov'!J218+'TB-Dec'!J218</f>
        <v>0</v>
      </c>
      <c r="K218" s="96">
        <f>'TB-Jan'!K218+'TB-Feb'!K218+'TB-Mar'!K218+'TB-Apr'!K218+'TB-May'!K218+'TB-Jun'!K218+'TB-Jul'!K218+'TB-Aug'!K218+'TB-Sep'!K218+'TB-Oct'!K218+'TB-Nov'!K218+'TB-Dec'!K218</f>
        <v>0</v>
      </c>
      <c r="L218" s="96">
        <f>'TB-Jan'!L218+'TB-Feb'!L218+'TB-Mar'!L218+'TB-Apr'!L218+'TB-May'!L218+'TB-Jun'!L218+'TB-Jul'!L218+'TB-Aug'!L218+'TB-Sep'!L218+'TB-Oct'!L218+'TB-Nov'!L218+'TB-Dec'!L218</f>
        <v>0</v>
      </c>
      <c r="M218" s="97">
        <f>'TB-Jan'!M218+'TB-Feb'!M218+'TB-Mar'!M218+'TB-Apr'!M218+'TB-May'!M218+'TB-Jun'!M218+'TB-Jul'!M218+'TB-Aug'!M218+'TB-Sep'!M218+'TB-Oct'!M218+'TB-Nov'!M218+'TB-Dec'!M218</f>
        <v>0</v>
      </c>
      <c r="N218" s="97">
        <f>'TB-Jan'!N218+'TB-Feb'!N218+'TB-Mar'!N218+'TB-Apr'!N218+'TB-May'!N218+'TB-Jun'!N218+'TB-Jul'!N218+'TB-Aug'!N218+'TB-Sep'!N218+'TB-Oct'!N218+'TB-Nov'!N218+'TB-Dec'!N218</f>
        <v>0</v>
      </c>
    </row>
    <row r="219" spans="1:14" hidden="1">
      <c r="A219" s="3" t="s">
        <v>396</v>
      </c>
      <c r="B219" s="10" t="s">
        <v>397</v>
      </c>
      <c r="C219" s="5"/>
      <c r="D219" s="5">
        <f t="shared" si="5"/>
        <v>0</v>
      </c>
      <c r="E219" s="6">
        <f t="shared" si="6"/>
        <v>0</v>
      </c>
      <c r="F219" s="6">
        <f t="shared" si="6"/>
        <v>0</v>
      </c>
      <c r="G219" s="94">
        <f>'TB-Jan'!G219+'TB-Feb'!G219+'TB-Mar'!G219+'TB-Apr'!G219+'TB-May'!G219+'TB-Jun'!G219+'TB-Jul'!G219+'TB-Aug'!G219+'TB-Sep'!G219+'TB-Oct'!G219+'TB-Nov'!G219+'TB-Dec'!G219</f>
        <v>0</v>
      </c>
      <c r="H219" s="94">
        <f>'TB-Jan'!H219+'TB-Feb'!H219+'TB-Mar'!H219+'TB-Apr'!H219+'TB-May'!H219+'TB-Jun'!H219+'TB-Jul'!H219+'TB-Aug'!H219+'TB-Sep'!H219+'TB-Oct'!H219+'TB-Nov'!H219+'TB-Dec'!H219</f>
        <v>0</v>
      </c>
      <c r="I219" s="95">
        <f>'TB-Jan'!I219+'TB-Feb'!I219+'TB-Mar'!I219+'TB-Apr'!I219+'TB-May'!I219+'TB-Jun'!I219+'TB-Jul'!I219+'TB-Aug'!I219+'TB-Sep'!I219+'TB-Oct'!I219+'TB-Nov'!I219+'TB-Dec'!I219</f>
        <v>0</v>
      </c>
      <c r="J219" s="95">
        <f>'TB-Jan'!J219+'TB-Feb'!J219+'TB-Mar'!J219+'TB-Apr'!J219+'TB-May'!J219+'TB-Jun'!J219+'TB-Jul'!J219+'TB-Aug'!J219+'TB-Sep'!J219+'TB-Oct'!J219+'TB-Nov'!J219+'TB-Dec'!J219</f>
        <v>0</v>
      </c>
      <c r="K219" s="96">
        <f>'TB-Jan'!K219+'TB-Feb'!K219+'TB-Mar'!K219+'TB-Apr'!K219+'TB-May'!K219+'TB-Jun'!K219+'TB-Jul'!K219+'TB-Aug'!K219+'TB-Sep'!K219+'TB-Oct'!K219+'TB-Nov'!K219+'TB-Dec'!K219</f>
        <v>0</v>
      </c>
      <c r="L219" s="96">
        <f>'TB-Jan'!L219+'TB-Feb'!L219+'TB-Mar'!L219+'TB-Apr'!L219+'TB-May'!L219+'TB-Jun'!L219+'TB-Jul'!L219+'TB-Aug'!L219+'TB-Sep'!L219+'TB-Oct'!L219+'TB-Nov'!L219+'TB-Dec'!L219</f>
        <v>0</v>
      </c>
      <c r="M219" s="97">
        <f>'TB-Jan'!M219+'TB-Feb'!M219+'TB-Mar'!M219+'TB-Apr'!M219+'TB-May'!M219+'TB-Jun'!M219+'TB-Jul'!M219+'TB-Aug'!M219+'TB-Sep'!M219+'TB-Oct'!M219+'TB-Nov'!M219+'TB-Dec'!M219</f>
        <v>0</v>
      </c>
      <c r="N219" s="97">
        <f>'TB-Jan'!N219+'TB-Feb'!N219+'TB-Mar'!N219+'TB-Apr'!N219+'TB-May'!N219+'TB-Jun'!N219+'TB-Jul'!N219+'TB-Aug'!N219+'TB-Sep'!N219+'TB-Oct'!N219+'TB-Nov'!N219+'TB-Dec'!N219</f>
        <v>0</v>
      </c>
    </row>
    <row r="220" spans="1:14" hidden="1">
      <c r="A220" s="3" t="s">
        <v>398</v>
      </c>
      <c r="B220" s="10" t="s">
        <v>399</v>
      </c>
      <c r="C220" s="5"/>
      <c r="D220" s="5">
        <f t="shared" si="5"/>
        <v>0</v>
      </c>
      <c r="E220" s="6">
        <f t="shared" si="6"/>
        <v>0</v>
      </c>
      <c r="F220" s="6">
        <f t="shared" si="6"/>
        <v>0</v>
      </c>
      <c r="G220" s="94">
        <f>'TB-Jan'!G220+'TB-Feb'!G220+'TB-Mar'!G220+'TB-Apr'!G220+'TB-May'!G220+'TB-Jun'!G220+'TB-Jul'!G220+'TB-Aug'!G220+'TB-Sep'!G220+'TB-Oct'!G220+'TB-Nov'!G220+'TB-Dec'!G220</f>
        <v>0</v>
      </c>
      <c r="H220" s="94">
        <f>'TB-Jan'!H220+'TB-Feb'!H220+'TB-Mar'!H220+'TB-Apr'!H220+'TB-May'!H220+'TB-Jun'!H220+'TB-Jul'!H220+'TB-Aug'!H220+'TB-Sep'!H220+'TB-Oct'!H220+'TB-Nov'!H220+'TB-Dec'!H220</f>
        <v>0</v>
      </c>
      <c r="I220" s="95">
        <f>'TB-Jan'!I220+'TB-Feb'!I220+'TB-Mar'!I220+'TB-Apr'!I220+'TB-May'!I220+'TB-Jun'!I220+'TB-Jul'!I220+'TB-Aug'!I220+'TB-Sep'!I220+'TB-Oct'!I220+'TB-Nov'!I220+'TB-Dec'!I220</f>
        <v>0</v>
      </c>
      <c r="J220" s="95">
        <f>'TB-Jan'!J220+'TB-Feb'!J220+'TB-Mar'!J220+'TB-Apr'!J220+'TB-May'!J220+'TB-Jun'!J220+'TB-Jul'!J220+'TB-Aug'!J220+'TB-Sep'!J220+'TB-Oct'!J220+'TB-Nov'!J220+'TB-Dec'!J220</f>
        <v>0</v>
      </c>
      <c r="K220" s="96">
        <f>'TB-Jan'!K220+'TB-Feb'!K220+'TB-Mar'!K220+'TB-Apr'!K220+'TB-May'!K220+'TB-Jun'!K220+'TB-Jul'!K220+'TB-Aug'!K220+'TB-Sep'!K220+'TB-Oct'!K220+'TB-Nov'!K220+'TB-Dec'!K220</f>
        <v>0</v>
      </c>
      <c r="L220" s="96">
        <f>'TB-Jan'!L220+'TB-Feb'!L220+'TB-Mar'!L220+'TB-Apr'!L220+'TB-May'!L220+'TB-Jun'!L220+'TB-Jul'!L220+'TB-Aug'!L220+'TB-Sep'!L220+'TB-Oct'!L220+'TB-Nov'!L220+'TB-Dec'!L220</f>
        <v>0</v>
      </c>
      <c r="M220" s="97">
        <f>'TB-Jan'!M220+'TB-Feb'!M220+'TB-Mar'!M220+'TB-Apr'!M220+'TB-May'!M220+'TB-Jun'!M220+'TB-Jul'!M220+'TB-Aug'!M220+'TB-Sep'!M220+'TB-Oct'!M220+'TB-Nov'!M220+'TB-Dec'!M220</f>
        <v>0</v>
      </c>
      <c r="N220" s="97">
        <f>'TB-Jan'!N220+'TB-Feb'!N220+'TB-Mar'!N220+'TB-Apr'!N220+'TB-May'!N220+'TB-Jun'!N220+'TB-Jul'!N220+'TB-Aug'!N220+'TB-Sep'!N220+'TB-Oct'!N220+'TB-Nov'!N220+'TB-Dec'!N220</f>
        <v>0</v>
      </c>
    </row>
    <row r="221" spans="1:14" hidden="1">
      <c r="A221" s="3" t="s">
        <v>400</v>
      </c>
      <c r="B221" s="10" t="s">
        <v>401</v>
      </c>
      <c r="C221" s="5"/>
      <c r="D221" s="5">
        <f t="shared" si="5"/>
        <v>0</v>
      </c>
      <c r="E221" s="6">
        <f t="shared" si="6"/>
        <v>0</v>
      </c>
      <c r="F221" s="6">
        <f t="shared" si="6"/>
        <v>0</v>
      </c>
      <c r="G221" s="94">
        <f>'TB-Jan'!G221+'TB-Feb'!G221+'TB-Mar'!G221+'TB-Apr'!G221+'TB-May'!G221+'TB-Jun'!G221+'TB-Jul'!G221+'TB-Aug'!G221+'TB-Sep'!G221+'TB-Oct'!G221+'TB-Nov'!G221+'TB-Dec'!G221</f>
        <v>0</v>
      </c>
      <c r="H221" s="94">
        <f>'TB-Jan'!H221+'TB-Feb'!H221+'TB-Mar'!H221+'TB-Apr'!H221+'TB-May'!H221+'TB-Jun'!H221+'TB-Jul'!H221+'TB-Aug'!H221+'TB-Sep'!H221+'TB-Oct'!H221+'TB-Nov'!H221+'TB-Dec'!H221</f>
        <v>0</v>
      </c>
      <c r="I221" s="95">
        <f>'TB-Jan'!I221+'TB-Feb'!I221+'TB-Mar'!I221+'TB-Apr'!I221+'TB-May'!I221+'TB-Jun'!I221+'TB-Jul'!I221+'TB-Aug'!I221+'TB-Sep'!I221+'TB-Oct'!I221+'TB-Nov'!I221+'TB-Dec'!I221</f>
        <v>0</v>
      </c>
      <c r="J221" s="95">
        <f>'TB-Jan'!J221+'TB-Feb'!J221+'TB-Mar'!J221+'TB-Apr'!J221+'TB-May'!J221+'TB-Jun'!J221+'TB-Jul'!J221+'TB-Aug'!J221+'TB-Sep'!J221+'TB-Oct'!J221+'TB-Nov'!J221+'TB-Dec'!J221</f>
        <v>0</v>
      </c>
      <c r="K221" s="96">
        <f>'TB-Jan'!K221+'TB-Feb'!K221+'TB-Mar'!K221+'TB-Apr'!K221+'TB-May'!K221+'TB-Jun'!K221+'TB-Jul'!K221+'TB-Aug'!K221+'TB-Sep'!K221+'TB-Oct'!K221+'TB-Nov'!K221+'TB-Dec'!K221</f>
        <v>0</v>
      </c>
      <c r="L221" s="96">
        <f>'TB-Jan'!L221+'TB-Feb'!L221+'TB-Mar'!L221+'TB-Apr'!L221+'TB-May'!L221+'TB-Jun'!L221+'TB-Jul'!L221+'TB-Aug'!L221+'TB-Sep'!L221+'TB-Oct'!L221+'TB-Nov'!L221+'TB-Dec'!L221</f>
        <v>0</v>
      </c>
      <c r="M221" s="97">
        <f>'TB-Jan'!M221+'TB-Feb'!M221+'TB-Mar'!M221+'TB-Apr'!M221+'TB-May'!M221+'TB-Jun'!M221+'TB-Jul'!M221+'TB-Aug'!M221+'TB-Sep'!M221+'TB-Oct'!M221+'TB-Nov'!M221+'TB-Dec'!M221</f>
        <v>0</v>
      </c>
      <c r="N221" s="97">
        <f>'TB-Jan'!N221+'TB-Feb'!N221+'TB-Mar'!N221+'TB-Apr'!N221+'TB-May'!N221+'TB-Jun'!N221+'TB-Jul'!N221+'TB-Aug'!N221+'TB-Sep'!N221+'TB-Oct'!N221+'TB-Nov'!N221+'TB-Dec'!N221</f>
        <v>0</v>
      </c>
    </row>
    <row r="222" spans="1:14" hidden="1">
      <c r="A222" s="3" t="s">
        <v>402</v>
      </c>
      <c r="B222" s="10" t="s">
        <v>403</v>
      </c>
      <c r="C222" s="5"/>
      <c r="D222" s="5">
        <f t="shared" si="5"/>
        <v>0</v>
      </c>
      <c r="E222" s="6">
        <f t="shared" si="6"/>
        <v>0</v>
      </c>
      <c r="F222" s="6">
        <f t="shared" si="6"/>
        <v>0</v>
      </c>
      <c r="G222" s="94">
        <f>'TB-Jan'!G222+'TB-Feb'!G222+'TB-Mar'!G222+'TB-Apr'!G222+'TB-May'!G222+'TB-Jun'!G222+'TB-Jul'!G222+'TB-Aug'!G222+'TB-Sep'!G222+'TB-Oct'!G222+'TB-Nov'!G222+'TB-Dec'!G222</f>
        <v>0</v>
      </c>
      <c r="H222" s="94">
        <f>'TB-Jan'!H222+'TB-Feb'!H222+'TB-Mar'!H222+'TB-Apr'!H222+'TB-May'!H222+'TB-Jun'!H222+'TB-Jul'!H222+'TB-Aug'!H222+'TB-Sep'!H222+'TB-Oct'!H222+'TB-Nov'!H222+'TB-Dec'!H222</f>
        <v>0</v>
      </c>
      <c r="I222" s="95">
        <f>'TB-Jan'!I222+'TB-Feb'!I222+'TB-Mar'!I222+'TB-Apr'!I222+'TB-May'!I222+'TB-Jun'!I222+'TB-Jul'!I222+'TB-Aug'!I222+'TB-Sep'!I222+'TB-Oct'!I222+'TB-Nov'!I222+'TB-Dec'!I222</f>
        <v>0</v>
      </c>
      <c r="J222" s="95">
        <f>'TB-Jan'!J222+'TB-Feb'!J222+'TB-Mar'!J222+'TB-Apr'!J222+'TB-May'!J222+'TB-Jun'!J222+'TB-Jul'!J222+'TB-Aug'!J222+'TB-Sep'!J222+'TB-Oct'!J222+'TB-Nov'!J222+'TB-Dec'!J222</f>
        <v>0</v>
      </c>
      <c r="K222" s="96">
        <f>'TB-Jan'!K222+'TB-Feb'!K222+'TB-Mar'!K222+'TB-Apr'!K222+'TB-May'!K222+'TB-Jun'!K222+'TB-Jul'!K222+'TB-Aug'!K222+'TB-Sep'!K222+'TB-Oct'!K222+'TB-Nov'!K222+'TB-Dec'!K222</f>
        <v>0</v>
      </c>
      <c r="L222" s="96">
        <f>'TB-Jan'!L222+'TB-Feb'!L222+'TB-Mar'!L222+'TB-Apr'!L222+'TB-May'!L222+'TB-Jun'!L222+'TB-Jul'!L222+'TB-Aug'!L222+'TB-Sep'!L222+'TB-Oct'!L222+'TB-Nov'!L222+'TB-Dec'!L222</f>
        <v>0</v>
      </c>
      <c r="M222" s="97">
        <f>'TB-Jan'!M222+'TB-Feb'!M222+'TB-Mar'!M222+'TB-Apr'!M222+'TB-May'!M222+'TB-Jun'!M222+'TB-Jul'!M222+'TB-Aug'!M222+'TB-Sep'!M222+'TB-Oct'!M222+'TB-Nov'!M222+'TB-Dec'!M222</f>
        <v>0</v>
      </c>
      <c r="N222" s="97">
        <f>'TB-Jan'!N222+'TB-Feb'!N222+'TB-Mar'!N222+'TB-Apr'!N222+'TB-May'!N222+'TB-Jun'!N222+'TB-Jul'!N222+'TB-Aug'!N222+'TB-Sep'!N222+'TB-Oct'!N222+'TB-Nov'!N222+'TB-Dec'!N222</f>
        <v>0</v>
      </c>
    </row>
    <row r="223" spans="1:14" hidden="1">
      <c r="A223" s="3" t="s">
        <v>404</v>
      </c>
      <c r="B223" s="10" t="s">
        <v>405</v>
      </c>
      <c r="C223" s="5"/>
      <c r="D223" s="5">
        <f t="shared" si="5"/>
        <v>0</v>
      </c>
      <c r="E223" s="6">
        <f t="shared" si="6"/>
        <v>0</v>
      </c>
      <c r="F223" s="6">
        <f t="shared" si="6"/>
        <v>0</v>
      </c>
      <c r="G223" s="94">
        <f>'TB-Jan'!G223+'TB-Feb'!G223+'TB-Mar'!G223+'TB-Apr'!G223+'TB-May'!G223+'TB-Jun'!G223+'TB-Jul'!G223+'TB-Aug'!G223+'TB-Sep'!G223+'TB-Oct'!G223+'TB-Nov'!G223+'TB-Dec'!G223</f>
        <v>0</v>
      </c>
      <c r="H223" s="94">
        <f>'TB-Jan'!H223+'TB-Feb'!H223+'TB-Mar'!H223+'TB-Apr'!H223+'TB-May'!H223+'TB-Jun'!H223+'TB-Jul'!H223+'TB-Aug'!H223+'TB-Sep'!H223+'TB-Oct'!H223+'TB-Nov'!H223+'TB-Dec'!H223</f>
        <v>0</v>
      </c>
      <c r="I223" s="95">
        <f>'TB-Jan'!I223+'TB-Feb'!I223+'TB-Mar'!I223+'TB-Apr'!I223+'TB-May'!I223+'TB-Jun'!I223+'TB-Jul'!I223+'TB-Aug'!I223+'TB-Sep'!I223+'TB-Oct'!I223+'TB-Nov'!I223+'TB-Dec'!I223</f>
        <v>0</v>
      </c>
      <c r="J223" s="95">
        <f>'TB-Jan'!J223+'TB-Feb'!J223+'TB-Mar'!J223+'TB-Apr'!J223+'TB-May'!J223+'TB-Jun'!J223+'TB-Jul'!J223+'TB-Aug'!J223+'TB-Sep'!J223+'TB-Oct'!J223+'TB-Nov'!J223+'TB-Dec'!J223</f>
        <v>0</v>
      </c>
      <c r="K223" s="96">
        <f>'TB-Jan'!K223+'TB-Feb'!K223+'TB-Mar'!K223+'TB-Apr'!K223+'TB-May'!K223+'TB-Jun'!K223+'TB-Jul'!K223+'TB-Aug'!K223+'TB-Sep'!K223+'TB-Oct'!K223+'TB-Nov'!K223+'TB-Dec'!K223</f>
        <v>0</v>
      </c>
      <c r="L223" s="96">
        <f>'TB-Jan'!L223+'TB-Feb'!L223+'TB-Mar'!L223+'TB-Apr'!L223+'TB-May'!L223+'TB-Jun'!L223+'TB-Jul'!L223+'TB-Aug'!L223+'TB-Sep'!L223+'TB-Oct'!L223+'TB-Nov'!L223+'TB-Dec'!L223</f>
        <v>0</v>
      </c>
      <c r="M223" s="97">
        <f>'TB-Jan'!M223+'TB-Feb'!M223+'TB-Mar'!M223+'TB-Apr'!M223+'TB-May'!M223+'TB-Jun'!M223+'TB-Jul'!M223+'TB-Aug'!M223+'TB-Sep'!M223+'TB-Oct'!M223+'TB-Nov'!M223+'TB-Dec'!M223</f>
        <v>0</v>
      </c>
      <c r="N223" s="97">
        <f>'TB-Jan'!N223+'TB-Feb'!N223+'TB-Mar'!N223+'TB-Apr'!N223+'TB-May'!N223+'TB-Jun'!N223+'TB-Jul'!N223+'TB-Aug'!N223+'TB-Sep'!N223+'TB-Oct'!N223+'TB-Nov'!N223+'TB-Dec'!N223</f>
        <v>0</v>
      </c>
    </row>
    <row r="224" spans="1:14" hidden="1">
      <c r="A224" s="3" t="s">
        <v>406</v>
      </c>
      <c r="B224" s="10" t="s">
        <v>407</v>
      </c>
      <c r="C224" s="5"/>
      <c r="D224" s="5">
        <f t="shared" si="5"/>
        <v>0</v>
      </c>
      <c r="E224" s="6">
        <f t="shared" si="6"/>
        <v>0</v>
      </c>
      <c r="F224" s="6">
        <f t="shared" si="6"/>
        <v>0</v>
      </c>
      <c r="G224" s="94">
        <f>'TB-Jan'!G224+'TB-Feb'!G224+'TB-Mar'!G224+'TB-Apr'!G224+'TB-May'!G224+'TB-Jun'!G224+'TB-Jul'!G224+'TB-Aug'!G224+'TB-Sep'!G224+'TB-Oct'!G224+'TB-Nov'!G224+'TB-Dec'!G224</f>
        <v>0</v>
      </c>
      <c r="H224" s="94">
        <f>'TB-Jan'!H224+'TB-Feb'!H224+'TB-Mar'!H224+'TB-Apr'!H224+'TB-May'!H224+'TB-Jun'!H224+'TB-Jul'!H224+'TB-Aug'!H224+'TB-Sep'!H224+'TB-Oct'!H224+'TB-Nov'!H224+'TB-Dec'!H224</f>
        <v>0</v>
      </c>
      <c r="I224" s="95">
        <f>'TB-Jan'!I224+'TB-Feb'!I224+'TB-Mar'!I224+'TB-Apr'!I224+'TB-May'!I224+'TB-Jun'!I224+'TB-Jul'!I224+'TB-Aug'!I224+'TB-Sep'!I224+'TB-Oct'!I224+'TB-Nov'!I224+'TB-Dec'!I224</f>
        <v>0</v>
      </c>
      <c r="J224" s="95">
        <f>'TB-Jan'!J224+'TB-Feb'!J224+'TB-Mar'!J224+'TB-Apr'!J224+'TB-May'!J224+'TB-Jun'!J224+'TB-Jul'!J224+'TB-Aug'!J224+'TB-Sep'!J224+'TB-Oct'!J224+'TB-Nov'!J224+'TB-Dec'!J224</f>
        <v>0</v>
      </c>
      <c r="K224" s="96">
        <f>'TB-Jan'!K224+'TB-Feb'!K224+'TB-Mar'!K224+'TB-Apr'!K224+'TB-May'!K224+'TB-Jun'!K224+'TB-Jul'!K224+'TB-Aug'!K224+'TB-Sep'!K224+'TB-Oct'!K224+'TB-Nov'!K224+'TB-Dec'!K224</f>
        <v>0</v>
      </c>
      <c r="L224" s="96">
        <f>'TB-Jan'!L224+'TB-Feb'!L224+'TB-Mar'!L224+'TB-Apr'!L224+'TB-May'!L224+'TB-Jun'!L224+'TB-Jul'!L224+'TB-Aug'!L224+'TB-Sep'!L224+'TB-Oct'!L224+'TB-Nov'!L224+'TB-Dec'!L224</f>
        <v>0</v>
      </c>
      <c r="M224" s="97">
        <f>'TB-Jan'!M224+'TB-Feb'!M224+'TB-Mar'!M224+'TB-Apr'!M224+'TB-May'!M224+'TB-Jun'!M224+'TB-Jul'!M224+'TB-Aug'!M224+'TB-Sep'!M224+'TB-Oct'!M224+'TB-Nov'!M224+'TB-Dec'!M224</f>
        <v>0</v>
      </c>
      <c r="N224" s="97">
        <f>'TB-Jan'!N224+'TB-Feb'!N224+'TB-Mar'!N224+'TB-Apr'!N224+'TB-May'!N224+'TB-Jun'!N224+'TB-Jul'!N224+'TB-Aug'!N224+'TB-Sep'!N224+'TB-Oct'!N224+'TB-Nov'!N224+'TB-Dec'!N224</f>
        <v>0</v>
      </c>
    </row>
    <row r="225" spans="1:14" hidden="1">
      <c r="A225" s="3" t="s">
        <v>408</v>
      </c>
      <c r="B225" s="10" t="s">
        <v>409</v>
      </c>
      <c r="C225" s="5"/>
      <c r="D225" s="5">
        <f t="shared" si="5"/>
        <v>0</v>
      </c>
      <c r="E225" s="6">
        <f t="shared" si="6"/>
        <v>0</v>
      </c>
      <c r="F225" s="6">
        <f t="shared" si="6"/>
        <v>0</v>
      </c>
      <c r="G225" s="94">
        <f>'TB-Jan'!G225+'TB-Feb'!G225+'TB-Mar'!G225+'TB-Apr'!G225+'TB-May'!G225+'TB-Jun'!G225+'TB-Jul'!G225+'TB-Aug'!G225+'TB-Sep'!G225+'TB-Oct'!G225+'TB-Nov'!G225+'TB-Dec'!G225</f>
        <v>0</v>
      </c>
      <c r="H225" s="94">
        <f>'TB-Jan'!H225+'TB-Feb'!H225+'TB-Mar'!H225+'TB-Apr'!H225+'TB-May'!H225+'TB-Jun'!H225+'TB-Jul'!H225+'TB-Aug'!H225+'TB-Sep'!H225+'TB-Oct'!H225+'TB-Nov'!H225+'TB-Dec'!H225</f>
        <v>0</v>
      </c>
      <c r="I225" s="95">
        <f>'TB-Jan'!I225+'TB-Feb'!I225+'TB-Mar'!I225+'TB-Apr'!I225+'TB-May'!I225+'TB-Jun'!I225+'TB-Jul'!I225+'TB-Aug'!I225+'TB-Sep'!I225+'TB-Oct'!I225+'TB-Nov'!I225+'TB-Dec'!I225</f>
        <v>0</v>
      </c>
      <c r="J225" s="95">
        <f>'TB-Jan'!J225+'TB-Feb'!J225+'TB-Mar'!J225+'TB-Apr'!J225+'TB-May'!J225+'TB-Jun'!J225+'TB-Jul'!J225+'TB-Aug'!J225+'TB-Sep'!J225+'TB-Oct'!J225+'TB-Nov'!J225+'TB-Dec'!J225</f>
        <v>0</v>
      </c>
      <c r="K225" s="96">
        <f>'TB-Jan'!K225+'TB-Feb'!K225+'TB-Mar'!K225+'TB-Apr'!K225+'TB-May'!K225+'TB-Jun'!K225+'TB-Jul'!K225+'TB-Aug'!K225+'TB-Sep'!K225+'TB-Oct'!K225+'TB-Nov'!K225+'TB-Dec'!K225</f>
        <v>0</v>
      </c>
      <c r="L225" s="96">
        <f>'TB-Jan'!L225+'TB-Feb'!L225+'TB-Mar'!L225+'TB-Apr'!L225+'TB-May'!L225+'TB-Jun'!L225+'TB-Jul'!L225+'TB-Aug'!L225+'TB-Sep'!L225+'TB-Oct'!L225+'TB-Nov'!L225+'TB-Dec'!L225</f>
        <v>0</v>
      </c>
      <c r="M225" s="97">
        <f>'TB-Jan'!M225+'TB-Feb'!M225+'TB-Mar'!M225+'TB-Apr'!M225+'TB-May'!M225+'TB-Jun'!M225+'TB-Jul'!M225+'TB-Aug'!M225+'TB-Sep'!M225+'TB-Oct'!M225+'TB-Nov'!M225+'TB-Dec'!M225</f>
        <v>0</v>
      </c>
      <c r="N225" s="97">
        <f>'TB-Jan'!N225+'TB-Feb'!N225+'TB-Mar'!N225+'TB-Apr'!N225+'TB-May'!N225+'TB-Jun'!N225+'TB-Jul'!N225+'TB-Aug'!N225+'TB-Sep'!N225+'TB-Oct'!N225+'TB-Nov'!N225+'TB-Dec'!N225</f>
        <v>0</v>
      </c>
    </row>
    <row r="226" spans="1:14" hidden="1">
      <c r="A226" s="3" t="s">
        <v>410</v>
      </c>
      <c r="B226" s="10" t="s">
        <v>411</v>
      </c>
      <c r="C226" s="5"/>
      <c r="D226" s="5">
        <f t="shared" si="5"/>
        <v>0</v>
      </c>
      <c r="E226" s="6">
        <f t="shared" si="6"/>
        <v>0</v>
      </c>
      <c r="F226" s="6">
        <f t="shared" si="6"/>
        <v>0</v>
      </c>
      <c r="G226" s="94">
        <f>'TB-Jan'!G226+'TB-Feb'!G226+'TB-Mar'!G226+'TB-Apr'!G226+'TB-May'!G226+'TB-Jun'!G226+'TB-Jul'!G226+'TB-Aug'!G226+'TB-Sep'!G226+'TB-Oct'!G226+'TB-Nov'!G226+'TB-Dec'!G226</f>
        <v>0</v>
      </c>
      <c r="H226" s="94">
        <f>'TB-Jan'!H226+'TB-Feb'!H226+'TB-Mar'!H226+'TB-Apr'!H226+'TB-May'!H226+'TB-Jun'!H226+'TB-Jul'!H226+'TB-Aug'!H226+'TB-Sep'!H226+'TB-Oct'!H226+'TB-Nov'!H226+'TB-Dec'!H226</f>
        <v>0</v>
      </c>
      <c r="I226" s="95">
        <f>'TB-Jan'!I226+'TB-Feb'!I226+'TB-Mar'!I226+'TB-Apr'!I226+'TB-May'!I226+'TB-Jun'!I226+'TB-Jul'!I226+'TB-Aug'!I226+'TB-Sep'!I226+'TB-Oct'!I226+'TB-Nov'!I226+'TB-Dec'!I226</f>
        <v>0</v>
      </c>
      <c r="J226" s="95">
        <f>'TB-Jan'!J226+'TB-Feb'!J226+'TB-Mar'!J226+'TB-Apr'!J226+'TB-May'!J226+'TB-Jun'!J226+'TB-Jul'!J226+'TB-Aug'!J226+'TB-Sep'!J226+'TB-Oct'!J226+'TB-Nov'!J226+'TB-Dec'!J226</f>
        <v>0</v>
      </c>
      <c r="K226" s="96">
        <f>'TB-Jan'!K226+'TB-Feb'!K226+'TB-Mar'!K226+'TB-Apr'!K226+'TB-May'!K226+'TB-Jun'!K226+'TB-Jul'!K226+'TB-Aug'!K226+'TB-Sep'!K226+'TB-Oct'!K226+'TB-Nov'!K226+'TB-Dec'!K226</f>
        <v>0</v>
      </c>
      <c r="L226" s="96">
        <f>'TB-Jan'!L226+'TB-Feb'!L226+'TB-Mar'!L226+'TB-Apr'!L226+'TB-May'!L226+'TB-Jun'!L226+'TB-Jul'!L226+'TB-Aug'!L226+'TB-Sep'!L226+'TB-Oct'!L226+'TB-Nov'!L226+'TB-Dec'!L226</f>
        <v>0</v>
      </c>
      <c r="M226" s="97">
        <f>'TB-Jan'!M226+'TB-Feb'!M226+'TB-Mar'!M226+'TB-Apr'!M226+'TB-May'!M226+'TB-Jun'!M226+'TB-Jul'!M226+'TB-Aug'!M226+'TB-Sep'!M226+'TB-Oct'!M226+'TB-Nov'!M226+'TB-Dec'!M226</f>
        <v>0</v>
      </c>
      <c r="N226" s="97">
        <f>'TB-Jan'!N226+'TB-Feb'!N226+'TB-Mar'!N226+'TB-Apr'!N226+'TB-May'!N226+'TB-Jun'!N226+'TB-Jul'!N226+'TB-Aug'!N226+'TB-Sep'!N226+'TB-Oct'!N226+'TB-Nov'!N226+'TB-Dec'!N226</f>
        <v>0</v>
      </c>
    </row>
    <row r="227" spans="1:14" hidden="1">
      <c r="A227" s="3" t="s">
        <v>412</v>
      </c>
      <c r="B227" s="10" t="s">
        <v>413</v>
      </c>
      <c r="C227" s="5"/>
      <c r="D227" s="5">
        <f t="shared" si="5"/>
        <v>0</v>
      </c>
      <c r="E227" s="6">
        <f t="shared" si="6"/>
        <v>0</v>
      </c>
      <c r="F227" s="6">
        <f t="shared" si="6"/>
        <v>0</v>
      </c>
      <c r="G227" s="94">
        <f>'TB-Jan'!G227+'TB-Feb'!G227+'TB-Mar'!G227+'TB-Apr'!G227+'TB-May'!G227+'TB-Jun'!G227+'TB-Jul'!G227+'TB-Aug'!G227+'TB-Sep'!G227+'TB-Oct'!G227+'TB-Nov'!G227+'TB-Dec'!G227</f>
        <v>0</v>
      </c>
      <c r="H227" s="94">
        <f>'TB-Jan'!H227+'TB-Feb'!H227+'TB-Mar'!H227+'TB-Apr'!H227+'TB-May'!H227+'TB-Jun'!H227+'TB-Jul'!H227+'TB-Aug'!H227+'TB-Sep'!H227+'TB-Oct'!H227+'TB-Nov'!H227+'TB-Dec'!H227</f>
        <v>0</v>
      </c>
      <c r="I227" s="95">
        <f>'TB-Jan'!I227+'TB-Feb'!I227+'TB-Mar'!I227+'TB-Apr'!I227+'TB-May'!I227+'TB-Jun'!I227+'TB-Jul'!I227+'TB-Aug'!I227+'TB-Sep'!I227+'TB-Oct'!I227+'TB-Nov'!I227+'TB-Dec'!I227</f>
        <v>0</v>
      </c>
      <c r="J227" s="95">
        <f>'TB-Jan'!J227+'TB-Feb'!J227+'TB-Mar'!J227+'TB-Apr'!J227+'TB-May'!J227+'TB-Jun'!J227+'TB-Jul'!J227+'TB-Aug'!J227+'TB-Sep'!J227+'TB-Oct'!J227+'TB-Nov'!J227+'TB-Dec'!J227</f>
        <v>0</v>
      </c>
      <c r="K227" s="96">
        <f>'TB-Jan'!K227+'TB-Feb'!K227+'TB-Mar'!K227+'TB-Apr'!K227+'TB-May'!K227+'TB-Jun'!K227+'TB-Jul'!K227+'TB-Aug'!K227+'TB-Sep'!K227+'TB-Oct'!K227+'TB-Nov'!K227+'TB-Dec'!K227</f>
        <v>0</v>
      </c>
      <c r="L227" s="96">
        <f>'TB-Jan'!L227+'TB-Feb'!L227+'TB-Mar'!L227+'TB-Apr'!L227+'TB-May'!L227+'TB-Jun'!L227+'TB-Jul'!L227+'TB-Aug'!L227+'TB-Sep'!L227+'TB-Oct'!L227+'TB-Nov'!L227+'TB-Dec'!L227</f>
        <v>0</v>
      </c>
      <c r="M227" s="97">
        <f>'TB-Jan'!M227+'TB-Feb'!M227+'TB-Mar'!M227+'TB-Apr'!M227+'TB-May'!M227+'TB-Jun'!M227+'TB-Jul'!M227+'TB-Aug'!M227+'TB-Sep'!M227+'TB-Oct'!M227+'TB-Nov'!M227+'TB-Dec'!M227</f>
        <v>0</v>
      </c>
      <c r="N227" s="97">
        <f>'TB-Jan'!N227+'TB-Feb'!N227+'TB-Mar'!N227+'TB-Apr'!N227+'TB-May'!N227+'TB-Jun'!N227+'TB-Jul'!N227+'TB-Aug'!N227+'TB-Sep'!N227+'TB-Oct'!N227+'TB-Nov'!N227+'TB-Dec'!N227</f>
        <v>0</v>
      </c>
    </row>
    <row r="228" spans="1:14" hidden="1">
      <c r="A228" s="3" t="s">
        <v>414</v>
      </c>
      <c r="B228" s="10" t="s">
        <v>415</v>
      </c>
      <c r="C228" s="5"/>
      <c r="D228" s="5">
        <f t="shared" si="5"/>
        <v>0</v>
      </c>
      <c r="E228" s="6">
        <f t="shared" si="6"/>
        <v>0</v>
      </c>
      <c r="F228" s="6">
        <f t="shared" si="6"/>
        <v>0</v>
      </c>
      <c r="G228" s="94">
        <f>'TB-Jan'!G228+'TB-Feb'!G228+'TB-Mar'!G228+'TB-Apr'!G228+'TB-May'!G228+'TB-Jun'!G228+'TB-Jul'!G228+'TB-Aug'!G228+'TB-Sep'!G228+'TB-Oct'!G228+'TB-Nov'!G228+'TB-Dec'!G228</f>
        <v>0</v>
      </c>
      <c r="H228" s="94">
        <f>'TB-Jan'!H228+'TB-Feb'!H228+'TB-Mar'!H228+'TB-Apr'!H228+'TB-May'!H228+'TB-Jun'!H228+'TB-Jul'!H228+'TB-Aug'!H228+'TB-Sep'!H228+'TB-Oct'!H228+'TB-Nov'!H228+'TB-Dec'!H228</f>
        <v>0</v>
      </c>
      <c r="I228" s="95">
        <f>'TB-Jan'!I228+'TB-Feb'!I228+'TB-Mar'!I228+'TB-Apr'!I228+'TB-May'!I228+'TB-Jun'!I228+'TB-Jul'!I228+'TB-Aug'!I228+'TB-Sep'!I228+'TB-Oct'!I228+'TB-Nov'!I228+'TB-Dec'!I228</f>
        <v>0</v>
      </c>
      <c r="J228" s="95">
        <f>'TB-Jan'!J228+'TB-Feb'!J228+'TB-Mar'!J228+'TB-Apr'!J228+'TB-May'!J228+'TB-Jun'!J228+'TB-Jul'!J228+'TB-Aug'!J228+'TB-Sep'!J228+'TB-Oct'!J228+'TB-Nov'!J228+'TB-Dec'!J228</f>
        <v>0</v>
      </c>
      <c r="K228" s="96">
        <f>'TB-Jan'!K228+'TB-Feb'!K228+'TB-Mar'!K228+'TB-Apr'!K228+'TB-May'!K228+'TB-Jun'!K228+'TB-Jul'!K228+'TB-Aug'!K228+'TB-Sep'!K228+'TB-Oct'!K228+'TB-Nov'!K228+'TB-Dec'!K228</f>
        <v>0</v>
      </c>
      <c r="L228" s="96">
        <f>'TB-Jan'!L228+'TB-Feb'!L228+'TB-Mar'!L228+'TB-Apr'!L228+'TB-May'!L228+'TB-Jun'!L228+'TB-Jul'!L228+'TB-Aug'!L228+'TB-Sep'!L228+'TB-Oct'!L228+'TB-Nov'!L228+'TB-Dec'!L228</f>
        <v>0</v>
      </c>
      <c r="M228" s="97">
        <f>'TB-Jan'!M228+'TB-Feb'!M228+'TB-Mar'!M228+'TB-Apr'!M228+'TB-May'!M228+'TB-Jun'!M228+'TB-Jul'!M228+'TB-Aug'!M228+'TB-Sep'!M228+'TB-Oct'!M228+'TB-Nov'!M228+'TB-Dec'!M228</f>
        <v>0</v>
      </c>
      <c r="N228" s="97">
        <f>'TB-Jan'!N228+'TB-Feb'!N228+'TB-Mar'!N228+'TB-Apr'!N228+'TB-May'!N228+'TB-Jun'!N228+'TB-Jul'!N228+'TB-Aug'!N228+'TB-Sep'!N228+'TB-Oct'!N228+'TB-Nov'!N228+'TB-Dec'!N228</f>
        <v>0</v>
      </c>
    </row>
    <row r="229" spans="1:14" hidden="1">
      <c r="A229" s="3" t="s">
        <v>416</v>
      </c>
      <c r="B229" s="10" t="s">
        <v>417</v>
      </c>
      <c r="C229" s="5"/>
      <c r="D229" s="5">
        <f t="shared" si="5"/>
        <v>0</v>
      </c>
      <c r="E229" s="6">
        <f t="shared" si="6"/>
        <v>0</v>
      </c>
      <c r="F229" s="6">
        <f t="shared" si="6"/>
        <v>0</v>
      </c>
      <c r="G229" s="94">
        <f>'TB-Jan'!G229+'TB-Feb'!G229+'TB-Mar'!G229+'TB-Apr'!G229+'TB-May'!G229+'TB-Jun'!G229+'TB-Jul'!G229+'TB-Aug'!G229+'TB-Sep'!G229+'TB-Oct'!G229+'TB-Nov'!G229+'TB-Dec'!G229</f>
        <v>0</v>
      </c>
      <c r="H229" s="94">
        <f>'TB-Jan'!H229+'TB-Feb'!H229+'TB-Mar'!H229+'TB-Apr'!H229+'TB-May'!H229+'TB-Jun'!H229+'TB-Jul'!H229+'TB-Aug'!H229+'TB-Sep'!H229+'TB-Oct'!H229+'TB-Nov'!H229+'TB-Dec'!H229</f>
        <v>0</v>
      </c>
      <c r="I229" s="95">
        <f>'TB-Jan'!I229+'TB-Feb'!I229+'TB-Mar'!I229+'TB-Apr'!I229+'TB-May'!I229+'TB-Jun'!I229+'TB-Jul'!I229+'TB-Aug'!I229+'TB-Sep'!I229+'TB-Oct'!I229+'TB-Nov'!I229+'TB-Dec'!I229</f>
        <v>0</v>
      </c>
      <c r="J229" s="95">
        <f>'TB-Jan'!J229+'TB-Feb'!J229+'TB-Mar'!J229+'TB-Apr'!J229+'TB-May'!J229+'TB-Jun'!J229+'TB-Jul'!J229+'TB-Aug'!J229+'TB-Sep'!J229+'TB-Oct'!J229+'TB-Nov'!J229+'TB-Dec'!J229</f>
        <v>0</v>
      </c>
      <c r="K229" s="96">
        <f>'TB-Jan'!K229+'TB-Feb'!K229+'TB-Mar'!K229+'TB-Apr'!K229+'TB-May'!K229+'TB-Jun'!K229+'TB-Jul'!K229+'TB-Aug'!K229+'TB-Sep'!K229+'TB-Oct'!K229+'TB-Nov'!K229+'TB-Dec'!K229</f>
        <v>0</v>
      </c>
      <c r="L229" s="96">
        <f>'TB-Jan'!L229+'TB-Feb'!L229+'TB-Mar'!L229+'TB-Apr'!L229+'TB-May'!L229+'TB-Jun'!L229+'TB-Jul'!L229+'TB-Aug'!L229+'TB-Sep'!L229+'TB-Oct'!L229+'TB-Nov'!L229+'TB-Dec'!L229</f>
        <v>0</v>
      </c>
      <c r="M229" s="97">
        <f>'TB-Jan'!M229+'TB-Feb'!M229+'TB-Mar'!M229+'TB-Apr'!M229+'TB-May'!M229+'TB-Jun'!M229+'TB-Jul'!M229+'TB-Aug'!M229+'TB-Sep'!M229+'TB-Oct'!M229+'TB-Nov'!M229+'TB-Dec'!M229</f>
        <v>0</v>
      </c>
      <c r="N229" s="97">
        <f>'TB-Jan'!N229+'TB-Feb'!N229+'TB-Mar'!N229+'TB-Apr'!N229+'TB-May'!N229+'TB-Jun'!N229+'TB-Jul'!N229+'TB-Aug'!N229+'TB-Sep'!N229+'TB-Oct'!N229+'TB-Nov'!N229+'TB-Dec'!N229</f>
        <v>0</v>
      </c>
    </row>
    <row r="230" spans="1:14" hidden="1">
      <c r="A230" s="3" t="s">
        <v>418</v>
      </c>
      <c r="B230" s="10" t="s">
        <v>419</v>
      </c>
      <c r="C230" s="5"/>
      <c r="D230" s="5">
        <f t="shared" si="5"/>
        <v>0</v>
      </c>
      <c r="E230" s="6">
        <f t="shared" si="6"/>
        <v>0</v>
      </c>
      <c r="F230" s="6">
        <f t="shared" si="6"/>
        <v>0</v>
      </c>
      <c r="G230" s="94">
        <f>'TB-Jan'!G230+'TB-Feb'!G230+'TB-Mar'!G230+'TB-Apr'!G230+'TB-May'!G230+'TB-Jun'!G230+'TB-Jul'!G230+'TB-Aug'!G230+'TB-Sep'!G230+'TB-Oct'!G230+'TB-Nov'!G230+'TB-Dec'!G230</f>
        <v>0</v>
      </c>
      <c r="H230" s="94">
        <f>'TB-Jan'!H230+'TB-Feb'!H230+'TB-Mar'!H230+'TB-Apr'!H230+'TB-May'!H230+'TB-Jun'!H230+'TB-Jul'!H230+'TB-Aug'!H230+'TB-Sep'!H230+'TB-Oct'!H230+'TB-Nov'!H230+'TB-Dec'!H230</f>
        <v>0</v>
      </c>
      <c r="I230" s="95">
        <f>'TB-Jan'!I230+'TB-Feb'!I230+'TB-Mar'!I230+'TB-Apr'!I230+'TB-May'!I230+'TB-Jun'!I230+'TB-Jul'!I230+'TB-Aug'!I230+'TB-Sep'!I230+'TB-Oct'!I230+'TB-Nov'!I230+'TB-Dec'!I230</f>
        <v>0</v>
      </c>
      <c r="J230" s="95">
        <f>'TB-Jan'!J230+'TB-Feb'!J230+'TB-Mar'!J230+'TB-Apr'!J230+'TB-May'!J230+'TB-Jun'!J230+'TB-Jul'!J230+'TB-Aug'!J230+'TB-Sep'!J230+'TB-Oct'!J230+'TB-Nov'!J230+'TB-Dec'!J230</f>
        <v>0</v>
      </c>
      <c r="K230" s="96">
        <f>'TB-Jan'!K230+'TB-Feb'!K230+'TB-Mar'!K230+'TB-Apr'!K230+'TB-May'!K230+'TB-Jun'!K230+'TB-Jul'!K230+'TB-Aug'!K230+'TB-Sep'!K230+'TB-Oct'!K230+'TB-Nov'!K230+'TB-Dec'!K230</f>
        <v>0</v>
      </c>
      <c r="L230" s="96">
        <f>'TB-Jan'!L230+'TB-Feb'!L230+'TB-Mar'!L230+'TB-Apr'!L230+'TB-May'!L230+'TB-Jun'!L230+'TB-Jul'!L230+'TB-Aug'!L230+'TB-Sep'!L230+'TB-Oct'!L230+'TB-Nov'!L230+'TB-Dec'!L230</f>
        <v>0</v>
      </c>
      <c r="M230" s="97">
        <f>'TB-Jan'!M230+'TB-Feb'!M230+'TB-Mar'!M230+'TB-Apr'!M230+'TB-May'!M230+'TB-Jun'!M230+'TB-Jul'!M230+'TB-Aug'!M230+'TB-Sep'!M230+'TB-Oct'!M230+'TB-Nov'!M230+'TB-Dec'!M230</f>
        <v>0</v>
      </c>
      <c r="N230" s="97">
        <f>'TB-Jan'!N230+'TB-Feb'!N230+'TB-Mar'!N230+'TB-Apr'!N230+'TB-May'!N230+'TB-Jun'!N230+'TB-Jul'!N230+'TB-Aug'!N230+'TB-Sep'!N230+'TB-Oct'!N230+'TB-Nov'!N230+'TB-Dec'!N230</f>
        <v>0</v>
      </c>
    </row>
    <row r="231" spans="1:14" hidden="1">
      <c r="A231" s="3" t="s">
        <v>420</v>
      </c>
      <c r="B231" s="10" t="s">
        <v>421</v>
      </c>
      <c r="C231" s="5"/>
      <c r="D231" s="5">
        <f t="shared" si="5"/>
        <v>0</v>
      </c>
      <c r="E231" s="6">
        <f t="shared" si="6"/>
        <v>0</v>
      </c>
      <c r="F231" s="6">
        <f t="shared" si="6"/>
        <v>0</v>
      </c>
      <c r="G231" s="94">
        <f>'TB-Jan'!G231+'TB-Feb'!G231+'TB-Mar'!G231+'TB-Apr'!G231+'TB-May'!G231+'TB-Jun'!G231+'TB-Jul'!G231+'TB-Aug'!G231+'TB-Sep'!G231+'TB-Oct'!G231+'TB-Nov'!G231+'TB-Dec'!G231</f>
        <v>0</v>
      </c>
      <c r="H231" s="94">
        <f>'TB-Jan'!H231+'TB-Feb'!H231+'TB-Mar'!H231+'TB-Apr'!H231+'TB-May'!H231+'TB-Jun'!H231+'TB-Jul'!H231+'TB-Aug'!H231+'TB-Sep'!H231+'TB-Oct'!H231+'TB-Nov'!H231+'TB-Dec'!H231</f>
        <v>0</v>
      </c>
      <c r="I231" s="95">
        <f>'TB-Jan'!I231+'TB-Feb'!I231+'TB-Mar'!I231+'TB-Apr'!I231+'TB-May'!I231+'TB-Jun'!I231+'TB-Jul'!I231+'TB-Aug'!I231+'TB-Sep'!I231+'TB-Oct'!I231+'TB-Nov'!I231+'TB-Dec'!I231</f>
        <v>0</v>
      </c>
      <c r="J231" s="95">
        <f>'TB-Jan'!J231+'TB-Feb'!J231+'TB-Mar'!J231+'TB-Apr'!J231+'TB-May'!J231+'TB-Jun'!J231+'TB-Jul'!J231+'TB-Aug'!J231+'TB-Sep'!J231+'TB-Oct'!J231+'TB-Nov'!J231+'TB-Dec'!J231</f>
        <v>0</v>
      </c>
      <c r="K231" s="96">
        <f>'TB-Jan'!K231+'TB-Feb'!K231+'TB-Mar'!K231+'TB-Apr'!K231+'TB-May'!K231+'TB-Jun'!K231+'TB-Jul'!K231+'TB-Aug'!K231+'TB-Sep'!K231+'TB-Oct'!K231+'TB-Nov'!K231+'TB-Dec'!K231</f>
        <v>0</v>
      </c>
      <c r="L231" s="96">
        <f>'TB-Jan'!L231+'TB-Feb'!L231+'TB-Mar'!L231+'TB-Apr'!L231+'TB-May'!L231+'TB-Jun'!L231+'TB-Jul'!L231+'TB-Aug'!L231+'TB-Sep'!L231+'TB-Oct'!L231+'TB-Nov'!L231+'TB-Dec'!L231</f>
        <v>0</v>
      </c>
      <c r="M231" s="97">
        <f>'TB-Jan'!M231+'TB-Feb'!M231+'TB-Mar'!M231+'TB-Apr'!M231+'TB-May'!M231+'TB-Jun'!M231+'TB-Jul'!M231+'TB-Aug'!M231+'TB-Sep'!M231+'TB-Oct'!M231+'TB-Nov'!M231+'TB-Dec'!M231</f>
        <v>0</v>
      </c>
      <c r="N231" s="97">
        <f>'TB-Jan'!N231+'TB-Feb'!N231+'TB-Mar'!N231+'TB-Apr'!N231+'TB-May'!N231+'TB-Jun'!N231+'TB-Jul'!N231+'TB-Aug'!N231+'TB-Sep'!N231+'TB-Oct'!N231+'TB-Nov'!N231+'TB-Dec'!N231</f>
        <v>0</v>
      </c>
    </row>
    <row r="232" spans="1:14" hidden="1">
      <c r="A232" s="3" t="s">
        <v>422</v>
      </c>
      <c r="B232" s="10" t="s">
        <v>423</v>
      </c>
      <c r="C232" s="5"/>
      <c r="D232" s="5">
        <f t="shared" si="5"/>
        <v>0</v>
      </c>
      <c r="E232" s="6">
        <f t="shared" si="6"/>
        <v>0</v>
      </c>
      <c r="F232" s="6">
        <f t="shared" si="6"/>
        <v>0</v>
      </c>
      <c r="G232" s="94">
        <f>'TB-Jan'!G232+'TB-Feb'!G232+'TB-Mar'!G232+'TB-Apr'!G232+'TB-May'!G232+'TB-Jun'!G232+'TB-Jul'!G232+'TB-Aug'!G232+'TB-Sep'!G232+'TB-Oct'!G232+'TB-Nov'!G232+'TB-Dec'!G232</f>
        <v>0</v>
      </c>
      <c r="H232" s="94">
        <f>'TB-Jan'!H232+'TB-Feb'!H232+'TB-Mar'!H232+'TB-Apr'!H232+'TB-May'!H232+'TB-Jun'!H232+'TB-Jul'!H232+'TB-Aug'!H232+'TB-Sep'!H232+'TB-Oct'!H232+'TB-Nov'!H232+'TB-Dec'!H232</f>
        <v>0</v>
      </c>
      <c r="I232" s="95">
        <f>'TB-Jan'!I232+'TB-Feb'!I232+'TB-Mar'!I232+'TB-Apr'!I232+'TB-May'!I232+'TB-Jun'!I232+'TB-Jul'!I232+'TB-Aug'!I232+'TB-Sep'!I232+'TB-Oct'!I232+'TB-Nov'!I232+'TB-Dec'!I232</f>
        <v>0</v>
      </c>
      <c r="J232" s="95">
        <f>'TB-Jan'!J232+'TB-Feb'!J232+'TB-Mar'!J232+'TB-Apr'!J232+'TB-May'!J232+'TB-Jun'!J232+'TB-Jul'!J232+'TB-Aug'!J232+'TB-Sep'!J232+'TB-Oct'!J232+'TB-Nov'!J232+'TB-Dec'!J232</f>
        <v>0</v>
      </c>
      <c r="K232" s="96">
        <f>'TB-Jan'!K232+'TB-Feb'!K232+'TB-Mar'!K232+'TB-Apr'!K232+'TB-May'!K232+'TB-Jun'!K232+'TB-Jul'!K232+'TB-Aug'!K232+'TB-Sep'!K232+'TB-Oct'!K232+'TB-Nov'!K232+'TB-Dec'!K232</f>
        <v>0</v>
      </c>
      <c r="L232" s="96">
        <f>'TB-Jan'!L232+'TB-Feb'!L232+'TB-Mar'!L232+'TB-Apr'!L232+'TB-May'!L232+'TB-Jun'!L232+'TB-Jul'!L232+'TB-Aug'!L232+'TB-Sep'!L232+'TB-Oct'!L232+'TB-Nov'!L232+'TB-Dec'!L232</f>
        <v>0</v>
      </c>
      <c r="M232" s="97">
        <f>'TB-Jan'!M232+'TB-Feb'!M232+'TB-Mar'!M232+'TB-Apr'!M232+'TB-May'!M232+'TB-Jun'!M232+'TB-Jul'!M232+'TB-Aug'!M232+'TB-Sep'!M232+'TB-Oct'!M232+'TB-Nov'!M232+'TB-Dec'!M232</f>
        <v>0</v>
      </c>
      <c r="N232" s="97">
        <f>'TB-Jan'!N232+'TB-Feb'!N232+'TB-Mar'!N232+'TB-Apr'!N232+'TB-May'!N232+'TB-Jun'!N232+'TB-Jul'!N232+'TB-Aug'!N232+'TB-Sep'!N232+'TB-Oct'!N232+'TB-Nov'!N232+'TB-Dec'!N232</f>
        <v>0</v>
      </c>
    </row>
    <row r="233" spans="1:14" hidden="1">
      <c r="A233" s="3" t="s">
        <v>424</v>
      </c>
      <c r="B233" s="10" t="s">
        <v>425</v>
      </c>
      <c r="C233" s="5"/>
      <c r="D233" s="5">
        <f t="shared" si="5"/>
        <v>0</v>
      </c>
      <c r="E233" s="6">
        <f t="shared" si="6"/>
        <v>0</v>
      </c>
      <c r="F233" s="6">
        <f t="shared" si="6"/>
        <v>0</v>
      </c>
      <c r="G233" s="94">
        <f>'TB-Jan'!G233+'TB-Feb'!G233+'TB-Mar'!G233+'TB-Apr'!G233+'TB-May'!G233+'TB-Jun'!G233+'TB-Jul'!G233+'TB-Aug'!G233+'TB-Sep'!G233+'TB-Oct'!G233+'TB-Nov'!G233+'TB-Dec'!G233</f>
        <v>0</v>
      </c>
      <c r="H233" s="94">
        <f>'TB-Jan'!H233+'TB-Feb'!H233+'TB-Mar'!H233+'TB-Apr'!H233+'TB-May'!H233+'TB-Jun'!H233+'TB-Jul'!H233+'TB-Aug'!H233+'TB-Sep'!H233+'TB-Oct'!H233+'TB-Nov'!H233+'TB-Dec'!H233</f>
        <v>0</v>
      </c>
      <c r="I233" s="95">
        <f>'TB-Jan'!I233+'TB-Feb'!I233+'TB-Mar'!I233+'TB-Apr'!I233+'TB-May'!I233+'TB-Jun'!I233+'TB-Jul'!I233+'TB-Aug'!I233+'TB-Sep'!I233+'TB-Oct'!I233+'TB-Nov'!I233+'TB-Dec'!I233</f>
        <v>0</v>
      </c>
      <c r="J233" s="95">
        <f>'TB-Jan'!J233+'TB-Feb'!J233+'TB-Mar'!J233+'TB-Apr'!J233+'TB-May'!J233+'TB-Jun'!J233+'TB-Jul'!J233+'TB-Aug'!J233+'TB-Sep'!J233+'TB-Oct'!J233+'TB-Nov'!J233+'TB-Dec'!J233</f>
        <v>0</v>
      </c>
      <c r="K233" s="96">
        <f>'TB-Jan'!K233+'TB-Feb'!K233+'TB-Mar'!K233+'TB-Apr'!K233+'TB-May'!K233+'TB-Jun'!K233+'TB-Jul'!K233+'TB-Aug'!K233+'TB-Sep'!K233+'TB-Oct'!K233+'TB-Nov'!K233+'TB-Dec'!K233</f>
        <v>0</v>
      </c>
      <c r="L233" s="96">
        <f>'TB-Jan'!L233+'TB-Feb'!L233+'TB-Mar'!L233+'TB-Apr'!L233+'TB-May'!L233+'TB-Jun'!L233+'TB-Jul'!L233+'TB-Aug'!L233+'TB-Sep'!L233+'TB-Oct'!L233+'TB-Nov'!L233+'TB-Dec'!L233</f>
        <v>0</v>
      </c>
      <c r="M233" s="97">
        <f>'TB-Jan'!M233+'TB-Feb'!M233+'TB-Mar'!M233+'TB-Apr'!M233+'TB-May'!M233+'TB-Jun'!M233+'TB-Jul'!M233+'TB-Aug'!M233+'TB-Sep'!M233+'TB-Oct'!M233+'TB-Nov'!M233+'TB-Dec'!M233</f>
        <v>0</v>
      </c>
      <c r="N233" s="97">
        <f>'TB-Jan'!N233+'TB-Feb'!N233+'TB-Mar'!N233+'TB-Apr'!N233+'TB-May'!N233+'TB-Jun'!N233+'TB-Jul'!N233+'TB-Aug'!N233+'TB-Sep'!N233+'TB-Oct'!N233+'TB-Nov'!N233+'TB-Dec'!N233</f>
        <v>0</v>
      </c>
    </row>
    <row r="234" spans="1:14" hidden="1">
      <c r="A234" s="3" t="s">
        <v>426</v>
      </c>
      <c r="B234" s="10" t="s">
        <v>427</v>
      </c>
      <c r="C234" s="5"/>
      <c r="D234" s="5">
        <f t="shared" si="5"/>
        <v>0</v>
      </c>
      <c r="E234" s="6">
        <f t="shared" si="6"/>
        <v>0</v>
      </c>
      <c r="F234" s="6">
        <f t="shared" si="6"/>
        <v>0</v>
      </c>
      <c r="G234" s="94">
        <f>'TB-Jan'!G234+'TB-Feb'!G234+'TB-Mar'!G234+'TB-Apr'!G234+'TB-May'!G234+'TB-Jun'!G234+'TB-Jul'!G234+'TB-Aug'!G234+'TB-Sep'!G234+'TB-Oct'!G234+'TB-Nov'!G234+'TB-Dec'!G234</f>
        <v>0</v>
      </c>
      <c r="H234" s="94">
        <f>'TB-Jan'!H234+'TB-Feb'!H234+'TB-Mar'!H234+'TB-Apr'!H234+'TB-May'!H234+'TB-Jun'!H234+'TB-Jul'!H234+'TB-Aug'!H234+'TB-Sep'!H234+'TB-Oct'!H234+'TB-Nov'!H234+'TB-Dec'!H234</f>
        <v>0</v>
      </c>
      <c r="I234" s="95">
        <f>'TB-Jan'!I234+'TB-Feb'!I234+'TB-Mar'!I234+'TB-Apr'!I234+'TB-May'!I234+'TB-Jun'!I234+'TB-Jul'!I234+'TB-Aug'!I234+'TB-Sep'!I234+'TB-Oct'!I234+'TB-Nov'!I234+'TB-Dec'!I234</f>
        <v>0</v>
      </c>
      <c r="J234" s="95">
        <f>'TB-Jan'!J234+'TB-Feb'!J234+'TB-Mar'!J234+'TB-Apr'!J234+'TB-May'!J234+'TB-Jun'!J234+'TB-Jul'!J234+'TB-Aug'!J234+'TB-Sep'!J234+'TB-Oct'!J234+'TB-Nov'!J234+'TB-Dec'!J234</f>
        <v>0</v>
      </c>
      <c r="K234" s="96">
        <f>'TB-Jan'!K234+'TB-Feb'!K234+'TB-Mar'!K234+'TB-Apr'!K234+'TB-May'!K234+'TB-Jun'!K234+'TB-Jul'!K234+'TB-Aug'!K234+'TB-Sep'!K234+'TB-Oct'!K234+'TB-Nov'!K234+'TB-Dec'!K234</f>
        <v>0</v>
      </c>
      <c r="L234" s="96">
        <f>'TB-Jan'!L234+'TB-Feb'!L234+'TB-Mar'!L234+'TB-Apr'!L234+'TB-May'!L234+'TB-Jun'!L234+'TB-Jul'!L234+'TB-Aug'!L234+'TB-Sep'!L234+'TB-Oct'!L234+'TB-Nov'!L234+'TB-Dec'!L234</f>
        <v>0</v>
      </c>
      <c r="M234" s="97">
        <f>'TB-Jan'!M234+'TB-Feb'!M234+'TB-Mar'!M234+'TB-Apr'!M234+'TB-May'!M234+'TB-Jun'!M234+'TB-Jul'!M234+'TB-Aug'!M234+'TB-Sep'!M234+'TB-Oct'!M234+'TB-Nov'!M234+'TB-Dec'!M234</f>
        <v>0</v>
      </c>
      <c r="N234" s="97">
        <f>'TB-Jan'!N234+'TB-Feb'!N234+'TB-Mar'!N234+'TB-Apr'!N234+'TB-May'!N234+'TB-Jun'!N234+'TB-Jul'!N234+'TB-Aug'!N234+'TB-Sep'!N234+'TB-Oct'!N234+'TB-Nov'!N234+'TB-Dec'!N234</f>
        <v>0</v>
      </c>
    </row>
    <row r="235" spans="1:14" hidden="1">
      <c r="A235" s="3" t="s">
        <v>428</v>
      </c>
      <c r="B235" s="10" t="s">
        <v>429</v>
      </c>
      <c r="C235" s="5"/>
      <c r="D235" s="5">
        <f t="shared" si="5"/>
        <v>0</v>
      </c>
      <c r="E235" s="6">
        <f t="shared" si="6"/>
        <v>0</v>
      </c>
      <c r="F235" s="6">
        <f t="shared" si="6"/>
        <v>0</v>
      </c>
      <c r="G235" s="94">
        <f>'TB-Jan'!G235+'TB-Feb'!G235+'TB-Mar'!G235+'TB-Apr'!G235+'TB-May'!G235+'TB-Jun'!G235+'TB-Jul'!G235+'TB-Aug'!G235+'TB-Sep'!G235+'TB-Oct'!G235+'TB-Nov'!G235+'TB-Dec'!G235</f>
        <v>0</v>
      </c>
      <c r="H235" s="94">
        <f>'TB-Jan'!H235+'TB-Feb'!H235+'TB-Mar'!H235+'TB-Apr'!H235+'TB-May'!H235+'TB-Jun'!H235+'TB-Jul'!H235+'TB-Aug'!H235+'TB-Sep'!H235+'TB-Oct'!H235+'TB-Nov'!H235+'TB-Dec'!H235</f>
        <v>0</v>
      </c>
      <c r="I235" s="95">
        <f>'TB-Jan'!I235+'TB-Feb'!I235+'TB-Mar'!I235+'TB-Apr'!I235+'TB-May'!I235+'TB-Jun'!I235+'TB-Jul'!I235+'TB-Aug'!I235+'TB-Sep'!I235+'TB-Oct'!I235+'TB-Nov'!I235+'TB-Dec'!I235</f>
        <v>0</v>
      </c>
      <c r="J235" s="95">
        <f>'TB-Jan'!J235+'TB-Feb'!J235+'TB-Mar'!J235+'TB-Apr'!J235+'TB-May'!J235+'TB-Jun'!J235+'TB-Jul'!J235+'TB-Aug'!J235+'TB-Sep'!J235+'TB-Oct'!J235+'TB-Nov'!J235+'TB-Dec'!J235</f>
        <v>0</v>
      </c>
      <c r="K235" s="96">
        <f>'TB-Jan'!K235+'TB-Feb'!K235+'TB-Mar'!K235+'TB-Apr'!K235+'TB-May'!K235+'TB-Jun'!K235+'TB-Jul'!K235+'TB-Aug'!K235+'TB-Sep'!K235+'TB-Oct'!K235+'TB-Nov'!K235+'TB-Dec'!K235</f>
        <v>0</v>
      </c>
      <c r="L235" s="96">
        <f>'TB-Jan'!L235+'TB-Feb'!L235+'TB-Mar'!L235+'TB-Apr'!L235+'TB-May'!L235+'TB-Jun'!L235+'TB-Jul'!L235+'TB-Aug'!L235+'TB-Sep'!L235+'TB-Oct'!L235+'TB-Nov'!L235+'TB-Dec'!L235</f>
        <v>0</v>
      </c>
      <c r="M235" s="97">
        <f>'TB-Jan'!M235+'TB-Feb'!M235+'TB-Mar'!M235+'TB-Apr'!M235+'TB-May'!M235+'TB-Jun'!M235+'TB-Jul'!M235+'TB-Aug'!M235+'TB-Sep'!M235+'TB-Oct'!M235+'TB-Nov'!M235+'TB-Dec'!M235</f>
        <v>0</v>
      </c>
      <c r="N235" s="97">
        <f>'TB-Jan'!N235+'TB-Feb'!N235+'TB-Mar'!N235+'TB-Apr'!N235+'TB-May'!N235+'TB-Jun'!N235+'TB-Jul'!N235+'TB-Aug'!N235+'TB-Sep'!N235+'TB-Oct'!N235+'TB-Nov'!N235+'TB-Dec'!N235</f>
        <v>0</v>
      </c>
    </row>
    <row r="236" spans="1:14" hidden="1">
      <c r="A236" s="3" t="s">
        <v>430</v>
      </c>
      <c r="B236" s="10" t="s">
        <v>431</v>
      </c>
      <c r="C236" s="5"/>
      <c r="D236" s="5">
        <f t="shared" si="5"/>
        <v>0</v>
      </c>
      <c r="E236" s="6">
        <f t="shared" si="6"/>
        <v>0</v>
      </c>
      <c r="F236" s="6">
        <f t="shared" si="6"/>
        <v>0</v>
      </c>
      <c r="G236" s="94">
        <f>'TB-Jan'!G236+'TB-Feb'!G236+'TB-Mar'!G236+'TB-Apr'!G236+'TB-May'!G236+'TB-Jun'!G236+'TB-Jul'!G236+'TB-Aug'!G236+'TB-Sep'!G236+'TB-Oct'!G236+'TB-Nov'!G236+'TB-Dec'!G236</f>
        <v>0</v>
      </c>
      <c r="H236" s="94">
        <f>'TB-Jan'!H236+'TB-Feb'!H236+'TB-Mar'!H236+'TB-Apr'!H236+'TB-May'!H236+'TB-Jun'!H236+'TB-Jul'!H236+'TB-Aug'!H236+'TB-Sep'!H236+'TB-Oct'!H236+'TB-Nov'!H236+'TB-Dec'!H236</f>
        <v>0</v>
      </c>
      <c r="I236" s="95">
        <f>'TB-Jan'!I236+'TB-Feb'!I236+'TB-Mar'!I236+'TB-Apr'!I236+'TB-May'!I236+'TB-Jun'!I236+'TB-Jul'!I236+'TB-Aug'!I236+'TB-Sep'!I236+'TB-Oct'!I236+'TB-Nov'!I236+'TB-Dec'!I236</f>
        <v>0</v>
      </c>
      <c r="J236" s="95">
        <f>'TB-Jan'!J236+'TB-Feb'!J236+'TB-Mar'!J236+'TB-Apr'!J236+'TB-May'!J236+'TB-Jun'!J236+'TB-Jul'!J236+'TB-Aug'!J236+'TB-Sep'!J236+'TB-Oct'!J236+'TB-Nov'!J236+'TB-Dec'!J236</f>
        <v>0</v>
      </c>
      <c r="K236" s="96">
        <f>'TB-Jan'!K236+'TB-Feb'!K236+'TB-Mar'!K236+'TB-Apr'!K236+'TB-May'!K236+'TB-Jun'!K236+'TB-Jul'!K236+'TB-Aug'!K236+'TB-Sep'!K236+'TB-Oct'!K236+'TB-Nov'!K236+'TB-Dec'!K236</f>
        <v>0</v>
      </c>
      <c r="L236" s="96">
        <f>'TB-Jan'!L236+'TB-Feb'!L236+'TB-Mar'!L236+'TB-Apr'!L236+'TB-May'!L236+'TB-Jun'!L236+'TB-Jul'!L236+'TB-Aug'!L236+'TB-Sep'!L236+'TB-Oct'!L236+'TB-Nov'!L236+'TB-Dec'!L236</f>
        <v>0</v>
      </c>
      <c r="M236" s="97">
        <f>'TB-Jan'!M236+'TB-Feb'!M236+'TB-Mar'!M236+'TB-Apr'!M236+'TB-May'!M236+'TB-Jun'!M236+'TB-Jul'!M236+'TB-Aug'!M236+'TB-Sep'!M236+'TB-Oct'!M236+'TB-Nov'!M236+'TB-Dec'!M236</f>
        <v>0</v>
      </c>
      <c r="N236" s="97">
        <f>'TB-Jan'!N236+'TB-Feb'!N236+'TB-Mar'!N236+'TB-Apr'!N236+'TB-May'!N236+'TB-Jun'!N236+'TB-Jul'!N236+'TB-Aug'!N236+'TB-Sep'!N236+'TB-Oct'!N236+'TB-Nov'!N236+'TB-Dec'!N236</f>
        <v>0</v>
      </c>
    </row>
    <row r="237" spans="1:14" hidden="1">
      <c r="A237" s="3" t="s">
        <v>432</v>
      </c>
      <c r="B237" s="10" t="s">
        <v>433</v>
      </c>
      <c r="C237" s="5"/>
      <c r="D237" s="5">
        <f t="shared" si="5"/>
        <v>0</v>
      </c>
      <c r="E237" s="6">
        <f t="shared" si="6"/>
        <v>0</v>
      </c>
      <c r="F237" s="6">
        <f t="shared" si="6"/>
        <v>0</v>
      </c>
      <c r="G237" s="94">
        <f>'TB-Jan'!G237+'TB-Feb'!G237+'TB-Mar'!G237+'TB-Apr'!G237+'TB-May'!G237+'TB-Jun'!G237+'TB-Jul'!G237+'TB-Aug'!G237+'TB-Sep'!G237+'TB-Oct'!G237+'TB-Nov'!G237+'TB-Dec'!G237</f>
        <v>0</v>
      </c>
      <c r="H237" s="94">
        <f>'TB-Jan'!H237+'TB-Feb'!H237+'TB-Mar'!H237+'TB-Apr'!H237+'TB-May'!H237+'TB-Jun'!H237+'TB-Jul'!H237+'TB-Aug'!H237+'TB-Sep'!H237+'TB-Oct'!H237+'TB-Nov'!H237+'TB-Dec'!H237</f>
        <v>0</v>
      </c>
      <c r="I237" s="95">
        <f>'TB-Jan'!I237+'TB-Feb'!I237+'TB-Mar'!I237+'TB-Apr'!I237+'TB-May'!I237+'TB-Jun'!I237+'TB-Jul'!I237+'TB-Aug'!I237+'TB-Sep'!I237+'TB-Oct'!I237+'TB-Nov'!I237+'TB-Dec'!I237</f>
        <v>0</v>
      </c>
      <c r="J237" s="95">
        <f>'TB-Jan'!J237+'TB-Feb'!J237+'TB-Mar'!J237+'TB-Apr'!J237+'TB-May'!J237+'TB-Jun'!J237+'TB-Jul'!J237+'TB-Aug'!J237+'TB-Sep'!J237+'TB-Oct'!J237+'TB-Nov'!J237+'TB-Dec'!J237</f>
        <v>0</v>
      </c>
      <c r="K237" s="96">
        <f>'TB-Jan'!K237+'TB-Feb'!K237+'TB-Mar'!K237+'TB-Apr'!K237+'TB-May'!K237+'TB-Jun'!K237+'TB-Jul'!K237+'TB-Aug'!K237+'TB-Sep'!K237+'TB-Oct'!K237+'TB-Nov'!K237+'TB-Dec'!K237</f>
        <v>0</v>
      </c>
      <c r="L237" s="96">
        <f>'TB-Jan'!L237+'TB-Feb'!L237+'TB-Mar'!L237+'TB-Apr'!L237+'TB-May'!L237+'TB-Jun'!L237+'TB-Jul'!L237+'TB-Aug'!L237+'TB-Sep'!L237+'TB-Oct'!L237+'TB-Nov'!L237+'TB-Dec'!L237</f>
        <v>0</v>
      </c>
      <c r="M237" s="97">
        <f>'TB-Jan'!M237+'TB-Feb'!M237+'TB-Mar'!M237+'TB-Apr'!M237+'TB-May'!M237+'TB-Jun'!M237+'TB-Jul'!M237+'TB-Aug'!M237+'TB-Sep'!M237+'TB-Oct'!M237+'TB-Nov'!M237+'TB-Dec'!M237</f>
        <v>0</v>
      </c>
      <c r="N237" s="97">
        <f>'TB-Jan'!N237+'TB-Feb'!N237+'TB-Mar'!N237+'TB-Apr'!N237+'TB-May'!N237+'TB-Jun'!N237+'TB-Jul'!N237+'TB-Aug'!N237+'TB-Sep'!N237+'TB-Oct'!N237+'TB-Nov'!N237+'TB-Dec'!N237</f>
        <v>0</v>
      </c>
    </row>
    <row r="238" spans="1:14" hidden="1">
      <c r="A238" s="3" t="s">
        <v>434</v>
      </c>
      <c r="B238" s="10" t="s">
        <v>435</v>
      </c>
      <c r="C238" s="5"/>
      <c r="D238" s="5">
        <f t="shared" ref="D238:D280" si="7">F238-E238</f>
        <v>0</v>
      </c>
      <c r="E238" s="6">
        <f t="shared" si="6"/>
        <v>0</v>
      </c>
      <c r="F238" s="6">
        <f t="shared" si="6"/>
        <v>0</v>
      </c>
      <c r="G238" s="94">
        <f>'TB-Jan'!G238+'TB-Feb'!G238+'TB-Mar'!G238+'TB-Apr'!G238+'TB-May'!G238+'TB-Jun'!G238+'TB-Jul'!G238+'TB-Aug'!G238+'TB-Sep'!G238+'TB-Oct'!G238+'TB-Nov'!G238+'TB-Dec'!G238</f>
        <v>0</v>
      </c>
      <c r="H238" s="94">
        <f>'TB-Jan'!H238+'TB-Feb'!H238+'TB-Mar'!H238+'TB-Apr'!H238+'TB-May'!H238+'TB-Jun'!H238+'TB-Jul'!H238+'TB-Aug'!H238+'TB-Sep'!H238+'TB-Oct'!H238+'TB-Nov'!H238+'TB-Dec'!H238</f>
        <v>0</v>
      </c>
      <c r="I238" s="95">
        <f>'TB-Jan'!I238+'TB-Feb'!I238+'TB-Mar'!I238+'TB-Apr'!I238+'TB-May'!I238+'TB-Jun'!I238+'TB-Jul'!I238+'TB-Aug'!I238+'TB-Sep'!I238+'TB-Oct'!I238+'TB-Nov'!I238+'TB-Dec'!I238</f>
        <v>0</v>
      </c>
      <c r="J238" s="95">
        <f>'TB-Jan'!J238+'TB-Feb'!J238+'TB-Mar'!J238+'TB-Apr'!J238+'TB-May'!J238+'TB-Jun'!J238+'TB-Jul'!J238+'TB-Aug'!J238+'TB-Sep'!J238+'TB-Oct'!J238+'TB-Nov'!J238+'TB-Dec'!J238</f>
        <v>0</v>
      </c>
      <c r="K238" s="96">
        <f>'TB-Jan'!K238+'TB-Feb'!K238+'TB-Mar'!K238+'TB-Apr'!K238+'TB-May'!K238+'TB-Jun'!K238+'TB-Jul'!K238+'TB-Aug'!K238+'TB-Sep'!K238+'TB-Oct'!K238+'TB-Nov'!K238+'TB-Dec'!K238</f>
        <v>0</v>
      </c>
      <c r="L238" s="96">
        <f>'TB-Jan'!L238+'TB-Feb'!L238+'TB-Mar'!L238+'TB-Apr'!L238+'TB-May'!L238+'TB-Jun'!L238+'TB-Jul'!L238+'TB-Aug'!L238+'TB-Sep'!L238+'TB-Oct'!L238+'TB-Nov'!L238+'TB-Dec'!L238</f>
        <v>0</v>
      </c>
      <c r="M238" s="97">
        <f>'TB-Jan'!M238+'TB-Feb'!M238+'TB-Mar'!M238+'TB-Apr'!M238+'TB-May'!M238+'TB-Jun'!M238+'TB-Jul'!M238+'TB-Aug'!M238+'TB-Sep'!M238+'TB-Oct'!M238+'TB-Nov'!M238+'TB-Dec'!M238</f>
        <v>0</v>
      </c>
      <c r="N238" s="97">
        <f>'TB-Jan'!N238+'TB-Feb'!N238+'TB-Mar'!N238+'TB-Apr'!N238+'TB-May'!N238+'TB-Jun'!N238+'TB-Jul'!N238+'TB-Aug'!N238+'TB-Sep'!N238+'TB-Oct'!N238+'TB-Nov'!N238+'TB-Dec'!N238</f>
        <v>0</v>
      </c>
    </row>
    <row r="239" spans="1:14" hidden="1">
      <c r="A239" s="3" t="s">
        <v>436</v>
      </c>
      <c r="B239" s="10" t="s">
        <v>437</v>
      </c>
      <c r="C239" s="5"/>
      <c r="D239" s="5">
        <f t="shared" si="7"/>
        <v>0</v>
      </c>
      <c r="E239" s="6">
        <f t="shared" si="6"/>
        <v>0</v>
      </c>
      <c r="F239" s="6">
        <f t="shared" si="6"/>
        <v>0</v>
      </c>
      <c r="G239" s="94">
        <f>'TB-Jan'!G239+'TB-Feb'!G239+'TB-Mar'!G239+'TB-Apr'!G239+'TB-May'!G239+'TB-Jun'!G239+'TB-Jul'!G239+'TB-Aug'!G239+'TB-Sep'!G239+'TB-Oct'!G239+'TB-Nov'!G239+'TB-Dec'!G239</f>
        <v>0</v>
      </c>
      <c r="H239" s="94">
        <f>'TB-Jan'!H239+'TB-Feb'!H239+'TB-Mar'!H239+'TB-Apr'!H239+'TB-May'!H239+'TB-Jun'!H239+'TB-Jul'!H239+'TB-Aug'!H239+'TB-Sep'!H239+'TB-Oct'!H239+'TB-Nov'!H239+'TB-Dec'!H239</f>
        <v>0</v>
      </c>
      <c r="I239" s="95">
        <f>'TB-Jan'!I239+'TB-Feb'!I239+'TB-Mar'!I239+'TB-Apr'!I239+'TB-May'!I239+'TB-Jun'!I239+'TB-Jul'!I239+'TB-Aug'!I239+'TB-Sep'!I239+'TB-Oct'!I239+'TB-Nov'!I239+'TB-Dec'!I239</f>
        <v>0</v>
      </c>
      <c r="J239" s="95">
        <f>'TB-Jan'!J239+'TB-Feb'!J239+'TB-Mar'!J239+'TB-Apr'!J239+'TB-May'!J239+'TB-Jun'!J239+'TB-Jul'!J239+'TB-Aug'!J239+'TB-Sep'!J239+'TB-Oct'!J239+'TB-Nov'!J239+'TB-Dec'!J239</f>
        <v>0</v>
      </c>
      <c r="K239" s="96">
        <f>'TB-Jan'!K239+'TB-Feb'!K239+'TB-Mar'!K239+'TB-Apr'!K239+'TB-May'!K239+'TB-Jun'!K239+'TB-Jul'!K239+'TB-Aug'!K239+'TB-Sep'!K239+'TB-Oct'!K239+'TB-Nov'!K239+'TB-Dec'!K239</f>
        <v>0</v>
      </c>
      <c r="L239" s="96">
        <f>'TB-Jan'!L239+'TB-Feb'!L239+'TB-Mar'!L239+'TB-Apr'!L239+'TB-May'!L239+'TB-Jun'!L239+'TB-Jul'!L239+'TB-Aug'!L239+'TB-Sep'!L239+'TB-Oct'!L239+'TB-Nov'!L239+'TB-Dec'!L239</f>
        <v>0</v>
      </c>
      <c r="M239" s="97">
        <f>'TB-Jan'!M239+'TB-Feb'!M239+'TB-Mar'!M239+'TB-Apr'!M239+'TB-May'!M239+'TB-Jun'!M239+'TB-Jul'!M239+'TB-Aug'!M239+'TB-Sep'!M239+'TB-Oct'!M239+'TB-Nov'!M239+'TB-Dec'!M239</f>
        <v>0</v>
      </c>
      <c r="N239" s="97">
        <f>'TB-Jan'!N239+'TB-Feb'!N239+'TB-Mar'!N239+'TB-Apr'!N239+'TB-May'!N239+'TB-Jun'!N239+'TB-Jul'!N239+'TB-Aug'!N239+'TB-Sep'!N239+'TB-Oct'!N239+'TB-Nov'!N239+'TB-Dec'!N239</f>
        <v>0</v>
      </c>
    </row>
    <row r="240" spans="1:14" hidden="1">
      <c r="A240" s="3" t="s">
        <v>438</v>
      </c>
      <c r="B240" s="10" t="s">
        <v>439</v>
      </c>
      <c r="C240" s="5"/>
      <c r="D240" s="5">
        <f t="shared" si="7"/>
        <v>0</v>
      </c>
      <c r="E240" s="6">
        <f t="shared" si="6"/>
        <v>0</v>
      </c>
      <c r="F240" s="6">
        <f t="shared" si="6"/>
        <v>0</v>
      </c>
      <c r="G240" s="94">
        <f>'TB-Jan'!G240+'TB-Feb'!G240+'TB-Mar'!G240+'TB-Apr'!G240+'TB-May'!G240+'TB-Jun'!G240+'TB-Jul'!G240+'TB-Aug'!G240+'TB-Sep'!G240+'TB-Oct'!G240+'TB-Nov'!G240+'TB-Dec'!G240</f>
        <v>0</v>
      </c>
      <c r="H240" s="94">
        <f>'TB-Jan'!H240+'TB-Feb'!H240+'TB-Mar'!H240+'TB-Apr'!H240+'TB-May'!H240+'TB-Jun'!H240+'TB-Jul'!H240+'TB-Aug'!H240+'TB-Sep'!H240+'TB-Oct'!H240+'TB-Nov'!H240+'TB-Dec'!H240</f>
        <v>0</v>
      </c>
      <c r="I240" s="95">
        <f>'TB-Jan'!I240+'TB-Feb'!I240+'TB-Mar'!I240+'TB-Apr'!I240+'TB-May'!I240+'TB-Jun'!I240+'TB-Jul'!I240+'TB-Aug'!I240+'TB-Sep'!I240+'TB-Oct'!I240+'TB-Nov'!I240+'TB-Dec'!I240</f>
        <v>0</v>
      </c>
      <c r="J240" s="95">
        <f>'TB-Jan'!J240+'TB-Feb'!J240+'TB-Mar'!J240+'TB-Apr'!J240+'TB-May'!J240+'TB-Jun'!J240+'TB-Jul'!J240+'TB-Aug'!J240+'TB-Sep'!J240+'TB-Oct'!J240+'TB-Nov'!J240+'TB-Dec'!J240</f>
        <v>0</v>
      </c>
      <c r="K240" s="96">
        <f>'TB-Jan'!K240+'TB-Feb'!K240+'TB-Mar'!K240+'TB-Apr'!K240+'TB-May'!K240+'TB-Jun'!K240+'TB-Jul'!K240+'TB-Aug'!K240+'TB-Sep'!K240+'TB-Oct'!K240+'TB-Nov'!K240+'TB-Dec'!K240</f>
        <v>0</v>
      </c>
      <c r="L240" s="96">
        <f>'TB-Jan'!L240+'TB-Feb'!L240+'TB-Mar'!L240+'TB-Apr'!L240+'TB-May'!L240+'TB-Jun'!L240+'TB-Jul'!L240+'TB-Aug'!L240+'TB-Sep'!L240+'TB-Oct'!L240+'TB-Nov'!L240+'TB-Dec'!L240</f>
        <v>0</v>
      </c>
      <c r="M240" s="97">
        <f>'TB-Jan'!M240+'TB-Feb'!M240+'TB-Mar'!M240+'TB-Apr'!M240+'TB-May'!M240+'TB-Jun'!M240+'TB-Jul'!M240+'TB-Aug'!M240+'TB-Sep'!M240+'TB-Oct'!M240+'TB-Nov'!M240+'TB-Dec'!M240</f>
        <v>0</v>
      </c>
      <c r="N240" s="97">
        <f>'TB-Jan'!N240+'TB-Feb'!N240+'TB-Mar'!N240+'TB-Apr'!N240+'TB-May'!N240+'TB-Jun'!N240+'TB-Jul'!N240+'TB-Aug'!N240+'TB-Sep'!N240+'TB-Oct'!N240+'TB-Nov'!N240+'TB-Dec'!N240</f>
        <v>0</v>
      </c>
    </row>
    <row r="241" spans="1:14" hidden="1">
      <c r="A241" s="3" t="s">
        <v>440</v>
      </c>
      <c r="B241" s="10" t="s">
        <v>441</v>
      </c>
      <c r="C241" s="5"/>
      <c r="D241" s="5">
        <f t="shared" si="7"/>
        <v>0</v>
      </c>
      <c r="E241" s="6">
        <f t="shared" si="6"/>
        <v>0</v>
      </c>
      <c r="F241" s="6">
        <f t="shared" si="6"/>
        <v>0</v>
      </c>
      <c r="G241" s="94">
        <f>'TB-Jan'!G241+'TB-Feb'!G241+'TB-Mar'!G241+'TB-Apr'!G241+'TB-May'!G241+'TB-Jun'!G241+'TB-Jul'!G241+'TB-Aug'!G241+'TB-Sep'!G241+'TB-Oct'!G241+'TB-Nov'!G241+'TB-Dec'!G241</f>
        <v>0</v>
      </c>
      <c r="H241" s="94">
        <f>'TB-Jan'!H241+'TB-Feb'!H241+'TB-Mar'!H241+'TB-Apr'!H241+'TB-May'!H241+'TB-Jun'!H241+'TB-Jul'!H241+'TB-Aug'!H241+'TB-Sep'!H241+'TB-Oct'!H241+'TB-Nov'!H241+'TB-Dec'!H241</f>
        <v>0</v>
      </c>
      <c r="I241" s="95">
        <f>'TB-Jan'!I241+'TB-Feb'!I241+'TB-Mar'!I241+'TB-Apr'!I241+'TB-May'!I241+'TB-Jun'!I241+'TB-Jul'!I241+'TB-Aug'!I241+'TB-Sep'!I241+'TB-Oct'!I241+'TB-Nov'!I241+'TB-Dec'!I241</f>
        <v>0</v>
      </c>
      <c r="J241" s="95">
        <f>'TB-Jan'!J241+'TB-Feb'!J241+'TB-Mar'!J241+'TB-Apr'!J241+'TB-May'!J241+'TB-Jun'!J241+'TB-Jul'!J241+'TB-Aug'!J241+'TB-Sep'!J241+'TB-Oct'!J241+'TB-Nov'!J241+'TB-Dec'!J241</f>
        <v>0</v>
      </c>
      <c r="K241" s="96">
        <f>'TB-Jan'!K241+'TB-Feb'!K241+'TB-Mar'!K241+'TB-Apr'!K241+'TB-May'!K241+'TB-Jun'!K241+'TB-Jul'!K241+'TB-Aug'!K241+'TB-Sep'!K241+'TB-Oct'!K241+'TB-Nov'!K241+'TB-Dec'!K241</f>
        <v>0</v>
      </c>
      <c r="L241" s="96">
        <f>'TB-Jan'!L241+'TB-Feb'!L241+'TB-Mar'!L241+'TB-Apr'!L241+'TB-May'!L241+'TB-Jun'!L241+'TB-Jul'!L241+'TB-Aug'!L241+'TB-Sep'!L241+'TB-Oct'!L241+'TB-Nov'!L241+'TB-Dec'!L241</f>
        <v>0</v>
      </c>
      <c r="M241" s="97">
        <f>'TB-Jan'!M241+'TB-Feb'!M241+'TB-Mar'!M241+'TB-Apr'!M241+'TB-May'!M241+'TB-Jun'!M241+'TB-Jul'!M241+'TB-Aug'!M241+'TB-Sep'!M241+'TB-Oct'!M241+'TB-Nov'!M241+'TB-Dec'!M241</f>
        <v>0</v>
      </c>
      <c r="N241" s="97">
        <f>'TB-Jan'!N241+'TB-Feb'!N241+'TB-Mar'!N241+'TB-Apr'!N241+'TB-May'!N241+'TB-Jun'!N241+'TB-Jul'!N241+'TB-Aug'!N241+'TB-Sep'!N241+'TB-Oct'!N241+'TB-Nov'!N241+'TB-Dec'!N241</f>
        <v>0</v>
      </c>
    </row>
    <row r="242" spans="1:14" hidden="1">
      <c r="A242" s="3" t="s">
        <v>442</v>
      </c>
      <c r="B242" s="10" t="s">
        <v>443</v>
      </c>
      <c r="C242" s="5"/>
      <c r="D242" s="5">
        <f t="shared" si="7"/>
        <v>0</v>
      </c>
      <c r="E242" s="6">
        <f t="shared" si="6"/>
        <v>0</v>
      </c>
      <c r="F242" s="6">
        <f t="shared" si="6"/>
        <v>0</v>
      </c>
      <c r="G242" s="94">
        <f>'TB-Jan'!G242+'TB-Feb'!G242+'TB-Mar'!G242+'TB-Apr'!G242+'TB-May'!G242+'TB-Jun'!G242+'TB-Jul'!G242+'TB-Aug'!G242+'TB-Sep'!G242+'TB-Oct'!G242+'TB-Nov'!G242+'TB-Dec'!G242</f>
        <v>0</v>
      </c>
      <c r="H242" s="94">
        <f>'TB-Jan'!H242+'TB-Feb'!H242+'TB-Mar'!H242+'TB-Apr'!H242+'TB-May'!H242+'TB-Jun'!H242+'TB-Jul'!H242+'TB-Aug'!H242+'TB-Sep'!H242+'TB-Oct'!H242+'TB-Nov'!H242+'TB-Dec'!H242</f>
        <v>0</v>
      </c>
      <c r="I242" s="95">
        <f>'TB-Jan'!I242+'TB-Feb'!I242+'TB-Mar'!I242+'TB-Apr'!I242+'TB-May'!I242+'TB-Jun'!I242+'TB-Jul'!I242+'TB-Aug'!I242+'TB-Sep'!I242+'TB-Oct'!I242+'TB-Nov'!I242+'TB-Dec'!I242</f>
        <v>0</v>
      </c>
      <c r="J242" s="95">
        <f>'TB-Jan'!J242+'TB-Feb'!J242+'TB-Mar'!J242+'TB-Apr'!J242+'TB-May'!J242+'TB-Jun'!J242+'TB-Jul'!J242+'TB-Aug'!J242+'TB-Sep'!J242+'TB-Oct'!J242+'TB-Nov'!J242+'TB-Dec'!J242</f>
        <v>0</v>
      </c>
      <c r="K242" s="96">
        <f>'TB-Jan'!K242+'TB-Feb'!K242+'TB-Mar'!K242+'TB-Apr'!K242+'TB-May'!K242+'TB-Jun'!K242+'TB-Jul'!K242+'TB-Aug'!K242+'TB-Sep'!K242+'TB-Oct'!K242+'TB-Nov'!K242+'TB-Dec'!K242</f>
        <v>0</v>
      </c>
      <c r="L242" s="96">
        <f>'TB-Jan'!L242+'TB-Feb'!L242+'TB-Mar'!L242+'TB-Apr'!L242+'TB-May'!L242+'TB-Jun'!L242+'TB-Jul'!L242+'TB-Aug'!L242+'TB-Sep'!L242+'TB-Oct'!L242+'TB-Nov'!L242+'TB-Dec'!L242</f>
        <v>0</v>
      </c>
      <c r="M242" s="97">
        <f>'TB-Jan'!M242+'TB-Feb'!M242+'TB-Mar'!M242+'TB-Apr'!M242+'TB-May'!M242+'TB-Jun'!M242+'TB-Jul'!M242+'TB-Aug'!M242+'TB-Sep'!M242+'TB-Oct'!M242+'TB-Nov'!M242+'TB-Dec'!M242</f>
        <v>0</v>
      </c>
      <c r="N242" s="97">
        <f>'TB-Jan'!N242+'TB-Feb'!N242+'TB-Mar'!N242+'TB-Apr'!N242+'TB-May'!N242+'TB-Jun'!N242+'TB-Jul'!N242+'TB-Aug'!N242+'TB-Sep'!N242+'TB-Oct'!N242+'TB-Nov'!N242+'TB-Dec'!N242</f>
        <v>0</v>
      </c>
    </row>
    <row r="243" spans="1:14" hidden="1">
      <c r="A243" s="3" t="s">
        <v>444</v>
      </c>
      <c r="B243" s="10" t="s">
        <v>445</v>
      </c>
      <c r="C243" s="5"/>
      <c r="D243" s="5">
        <f t="shared" si="7"/>
        <v>0</v>
      </c>
      <c r="E243" s="6">
        <f t="shared" si="6"/>
        <v>0</v>
      </c>
      <c r="F243" s="6">
        <f t="shared" si="6"/>
        <v>0</v>
      </c>
      <c r="G243" s="94">
        <f>'TB-Jan'!G243+'TB-Feb'!G243+'TB-Mar'!G243+'TB-Apr'!G243+'TB-May'!G243+'TB-Jun'!G243+'TB-Jul'!G243+'TB-Aug'!G243+'TB-Sep'!G243+'TB-Oct'!G243+'TB-Nov'!G243+'TB-Dec'!G243</f>
        <v>0</v>
      </c>
      <c r="H243" s="94">
        <f>'TB-Jan'!H243+'TB-Feb'!H243+'TB-Mar'!H243+'TB-Apr'!H243+'TB-May'!H243+'TB-Jun'!H243+'TB-Jul'!H243+'TB-Aug'!H243+'TB-Sep'!H243+'TB-Oct'!H243+'TB-Nov'!H243+'TB-Dec'!H243</f>
        <v>0</v>
      </c>
      <c r="I243" s="95">
        <f>'TB-Jan'!I243+'TB-Feb'!I243+'TB-Mar'!I243+'TB-Apr'!I243+'TB-May'!I243+'TB-Jun'!I243+'TB-Jul'!I243+'TB-Aug'!I243+'TB-Sep'!I243+'TB-Oct'!I243+'TB-Nov'!I243+'TB-Dec'!I243</f>
        <v>0</v>
      </c>
      <c r="J243" s="95">
        <f>'TB-Jan'!J243+'TB-Feb'!J243+'TB-Mar'!J243+'TB-Apr'!J243+'TB-May'!J243+'TB-Jun'!J243+'TB-Jul'!J243+'TB-Aug'!J243+'TB-Sep'!J243+'TB-Oct'!J243+'TB-Nov'!J243+'TB-Dec'!J243</f>
        <v>0</v>
      </c>
      <c r="K243" s="96">
        <f>'TB-Jan'!K243+'TB-Feb'!K243+'TB-Mar'!K243+'TB-Apr'!K243+'TB-May'!K243+'TB-Jun'!K243+'TB-Jul'!K243+'TB-Aug'!K243+'TB-Sep'!K243+'TB-Oct'!K243+'TB-Nov'!K243+'TB-Dec'!K243</f>
        <v>0</v>
      </c>
      <c r="L243" s="96">
        <f>'TB-Jan'!L243+'TB-Feb'!L243+'TB-Mar'!L243+'TB-Apr'!L243+'TB-May'!L243+'TB-Jun'!L243+'TB-Jul'!L243+'TB-Aug'!L243+'TB-Sep'!L243+'TB-Oct'!L243+'TB-Nov'!L243+'TB-Dec'!L243</f>
        <v>0</v>
      </c>
      <c r="M243" s="97">
        <f>'TB-Jan'!M243+'TB-Feb'!M243+'TB-Mar'!M243+'TB-Apr'!M243+'TB-May'!M243+'TB-Jun'!M243+'TB-Jul'!M243+'TB-Aug'!M243+'TB-Sep'!M243+'TB-Oct'!M243+'TB-Nov'!M243+'TB-Dec'!M243</f>
        <v>0</v>
      </c>
      <c r="N243" s="97">
        <f>'TB-Jan'!N243+'TB-Feb'!N243+'TB-Mar'!N243+'TB-Apr'!N243+'TB-May'!N243+'TB-Jun'!N243+'TB-Jul'!N243+'TB-Aug'!N243+'TB-Sep'!N243+'TB-Oct'!N243+'TB-Nov'!N243+'TB-Dec'!N243</f>
        <v>0</v>
      </c>
    </row>
    <row r="244" spans="1:14" hidden="1">
      <c r="A244" s="3" t="s">
        <v>446</v>
      </c>
      <c r="B244" s="10" t="s">
        <v>447</v>
      </c>
      <c r="C244" s="5"/>
      <c r="D244" s="5">
        <f t="shared" si="7"/>
        <v>0</v>
      </c>
      <c r="E244" s="6">
        <f t="shared" si="6"/>
        <v>0</v>
      </c>
      <c r="F244" s="6">
        <f t="shared" si="6"/>
        <v>0</v>
      </c>
      <c r="G244" s="94">
        <f>'TB-Jan'!G244+'TB-Feb'!G244+'TB-Mar'!G244+'TB-Apr'!G244+'TB-May'!G244+'TB-Jun'!G244+'TB-Jul'!G244+'TB-Aug'!G244+'TB-Sep'!G244+'TB-Oct'!G244+'TB-Nov'!G244+'TB-Dec'!G244</f>
        <v>0</v>
      </c>
      <c r="H244" s="94">
        <f>'TB-Jan'!H244+'TB-Feb'!H244+'TB-Mar'!H244+'TB-Apr'!H244+'TB-May'!H244+'TB-Jun'!H244+'TB-Jul'!H244+'TB-Aug'!H244+'TB-Sep'!H244+'TB-Oct'!H244+'TB-Nov'!H244+'TB-Dec'!H244</f>
        <v>0</v>
      </c>
      <c r="I244" s="95">
        <f>'TB-Jan'!I244+'TB-Feb'!I244+'TB-Mar'!I244+'TB-Apr'!I244+'TB-May'!I244+'TB-Jun'!I244+'TB-Jul'!I244+'TB-Aug'!I244+'TB-Sep'!I244+'TB-Oct'!I244+'TB-Nov'!I244+'TB-Dec'!I244</f>
        <v>0</v>
      </c>
      <c r="J244" s="95">
        <f>'TB-Jan'!J244+'TB-Feb'!J244+'TB-Mar'!J244+'TB-Apr'!J244+'TB-May'!J244+'TB-Jun'!J244+'TB-Jul'!J244+'TB-Aug'!J244+'TB-Sep'!J244+'TB-Oct'!J244+'TB-Nov'!J244+'TB-Dec'!J244</f>
        <v>0</v>
      </c>
      <c r="K244" s="96">
        <f>'TB-Jan'!K244+'TB-Feb'!K244+'TB-Mar'!K244+'TB-Apr'!K244+'TB-May'!K244+'TB-Jun'!K244+'TB-Jul'!K244+'TB-Aug'!K244+'TB-Sep'!K244+'TB-Oct'!K244+'TB-Nov'!K244+'TB-Dec'!K244</f>
        <v>0</v>
      </c>
      <c r="L244" s="96">
        <f>'TB-Jan'!L244+'TB-Feb'!L244+'TB-Mar'!L244+'TB-Apr'!L244+'TB-May'!L244+'TB-Jun'!L244+'TB-Jul'!L244+'TB-Aug'!L244+'TB-Sep'!L244+'TB-Oct'!L244+'TB-Nov'!L244+'TB-Dec'!L244</f>
        <v>0</v>
      </c>
      <c r="M244" s="97">
        <f>'TB-Jan'!M244+'TB-Feb'!M244+'TB-Mar'!M244+'TB-Apr'!M244+'TB-May'!M244+'TB-Jun'!M244+'TB-Jul'!M244+'TB-Aug'!M244+'TB-Sep'!M244+'TB-Oct'!M244+'TB-Nov'!M244+'TB-Dec'!M244</f>
        <v>0</v>
      </c>
      <c r="N244" s="97">
        <f>'TB-Jan'!N244+'TB-Feb'!N244+'TB-Mar'!N244+'TB-Apr'!N244+'TB-May'!N244+'TB-Jun'!N244+'TB-Jul'!N244+'TB-Aug'!N244+'TB-Sep'!N244+'TB-Oct'!N244+'TB-Nov'!N244+'TB-Dec'!N244</f>
        <v>0</v>
      </c>
    </row>
    <row r="245" spans="1:14" hidden="1">
      <c r="A245" s="3" t="s">
        <v>448</v>
      </c>
      <c r="B245" s="10" t="s">
        <v>449</v>
      </c>
      <c r="C245" s="5"/>
      <c r="D245" s="5">
        <f t="shared" si="7"/>
        <v>0</v>
      </c>
      <c r="E245" s="6">
        <f t="shared" si="6"/>
        <v>0</v>
      </c>
      <c r="F245" s="6">
        <f t="shared" si="6"/>
        <v>0</v>
      </c>
      <c r="G245" s="94">
        <f>'TB-Jan'!G245+'TB-Feb'!G245+'TB-Mar'!G245+'TB-Apr'!G245+'TB-May'!G245+'TB-Jun'!G245+'TB-Jul'!G245+'TB-Aug'!G245+'TB-Sep'!G245+'TB-Oct'!G245+'TB-Nov'!G245+'TB-Dec'!G245</f>
        <v>0</v>
      </c>
      <c r="H245" s="94">
        <f>'TB-Jan'!H245+'TB-Feb'!H245+'TB-Mar'!H245+'TB-Apr'!H245+'TB-May'!H245+'TB-Jun'!H245+'TB-Jul'!H245+'TB-Aug'!H245+'TB-Sep'!H245+'TB-Oct'!H245+'TB-Nov'!H245+'TB-Dec'!H245</f>
        <v>0</v>
      </c>
      <c r="I245" s="95">
        <f>'TB-Jan'!I245+'TB-Feb'!I245+'TB-Mar'!I245+'TB-Apr'!I245+'TB-May'!I245+'TB-Jun'!I245+'TB-Jul'!I245+'TB-Aug'!I245+'TB-Sep'!I245+'TB-Oct'!I245+'TB-Nov'!I245+'TB-Dec'!I245</f>
        <v>0</v>
      </c>
      <c r="J245" s="95">
        <f>'TB-Jan'!J245+'TB-Feb'!J245+'TB-Mar'!J245+'TB-Apr'!J245+'TB-May'!J245+'TB-Jun'!J245+'TB-Jul'!J245+'TB-Aug'!J245+'TB-Sep'!J245+'TB-Oct'!J245+'TB-Nov'!J245+'TB-Dec'!J245</f>
        <v>0</v>
      </c>
      <c r="K245" s="96">
        <f>'TB-Jan'!K245+'TB-Feb'!K245+'TB-Mar'!K245+'TB-Apr'!K245+'TB-May'!K245+'TB-Jun'!K245+'TB-Jul'!K245+'TB-Aug'!K245+'TB-Sep'!K245+'TB-Oct'!K245+'TB-Nov'!K245+'TB-Dec'!K245</f>
        <v>0</v>
      </c>
      <c r="L245" s="96">
        <f>'TB-Jan'!L245+'TB-Feb'!L245+'TB-Mar'!L245+'TB-Apr'!L245+'TB-May'!L245+'TB-Jun'!L245+'TB-Jul'!L245+'TB-Aug'!L245+'TB-Sep'!L245+'TB-Oct'!L245+'TB-Nov'!L245+'TB-Dec'!L245</f>
        <v>0</v>
      </c>
      <c r="M245" s="97">
        <f>'TB-Jan'!M245+'TB-Feb'!M245+'TB-Mar'!M245+'TB-Apr'!M245+'TB-May'!M245+'TB-Jun'!M245+'TB-Jul'!M245+'TB-Aug'!M245+'TB-Sep'!M245+'TB-Oct'!M245+'TB-Nov'!M245+'TB-Dec'!M245</f>
        <v>0</v>
      </c>
      <c r="N245" s="97">
        <f>'TB-Jan'!N245+'TB-Feb'!N245+'TB-Mar'!N245+'TB-Apr'!N245+'TB-May'!N245+'TB-Jun'!N245+'TB-Jul'!N245+'TB-Aug'!N245+'TB-Sep'!N245+'TB-Oct'!N245+'TB-Nov'!N245+'TB-Dec'!N245</f>
        <v>0</v>
      </c>
    </row>
    <row r="246" spans="1:14" hidden="1">
      <c r="A246" s="3" t="s">
        <v>450</v>
      </c>
      <c r="B246" s="10" t="s">
        <v>451</v>
      </c>
      <c r="C246" s="5"/>
      <c r="D246" s="5">
        <f t="shared" si="7"/>
        <v>0</v>
      </c>
      <c r="E246" s="6">
        <f t="shared" si="6"/>
        <v>0</v>
      </c>
      <c r="F246" s="6">
        <f t="shared" si="6"/>
        <v>0</v>
      </c>
      <c r="G246" s="94">
        <f>'TB-Jan'!G246+'TB-Feb'!G246+'TB-Mar'!G246+'TB-Apr'!G246+'TB-May'!G246+'TB-Jun'!G246+'TB-Jul'!G246+'TB-Aug'!G246+'TB-Sep'!G246+'TB-Oct'!G246+'TB-Nov'!G246+'TB-Dec'!G246</f>
        <v>0</v>
      </c>
      <c r="H246" s="94">
        <f>'TB-Jan'!H246+'TB-Feb'!H246+'TB-Mar'!H246+'TB-Apr'!H246+'TB-May'!H246+'TB-Jun'!H246+'TB-Jul'!H246+'TB-Aug'!H246+'TB-Sep'!H246+'TB-Oct'!H246+'TB-Nov'!H246+'TB-Dec'!H246</f>
        <v>0</v>
      </c>
      <c r="I246" s="95">
        <f>'TB-Jan'!I246+'TB-Feb'!I246+'TB-Mar'!I246+'TB-Apr'!I246+'TB-May'!I246+'TB-Jun'!I246+'TB-Jul'!I246+'TB-Aug'!I246+'TB-Sep'!I246+'TB-Oct'!I246+'TB-Nov'!I246+'TB-Dec'!I246</f>
        <v>0</v>
      </c>
      <c r="J246" s="95">
        <f>'TB-Jan'!J246+'TB-Feb'!J246+'TB-Mar'!J246+'TB-Apr'!J246+'TB-May'!J246+'TB-Jun'!J246+'TB-Jul'!J246+'TB-Aug'!J246+'TB-Sep'!J246+'TB-Oct'!J246+'TB-Nov'!J246+'TB-Dec'!J246</f>
        <v>0</v>
      </c>
      <c r="K246" s="96">
        <f>'TB-Jan'!K246+'TB-Feb'!K246+'TB-Mar'!K246+'TB-Apr'!K246+'TB-May'!K246+'TB-Jun'!K246+'TB-Jul'!K246+'TB-Aug'!K246+'TB-Sep'!K246+'TB-Oct'!K246+'TB-Nov'!K246+'TB-Dec'!K246</f>
        <v>0</v>
      </c>
      <c r="L246" s="96">
        <f>'TB-Jan'!L246+'TB-Feb'!L246+'TB-Mar'!L246+'TB-Apr'!L246+'TB-May'!L246+'TB-Jun'!L246+'TB-Jul'!L246+'TB-Aug'!L246+'TB-Sep'!L246+'TB-Oct'!L246+'TB-Nov'!L246+'TB-Dec'!L246</f>
        <v>0</v>
      </c>
      <c r="M246" s="97">
        <f>'TB-Jan'!M246+'TB-Feb'!M246+'TB-Mar'!M246+'TB-Apr'!M246+'TB-May'!M246+'TB-Jun'!M246+'TB-Jul'!M246+'TB-Aug'!M246+'TB-Sep'!M246+'TB-Oct'!M246+'TB-Nov'!M246+'TB-Dec'!M246</f>
        <v>0</v>
      </c>
      <c r="N246" s="97">
        <f>'TB-Jan'!N246+'TB-Feb'!N246+'TB-Mar'!N246+'TB-Apr'!N246+'TB-May'!N246+'TB-Jun'!N246+'TB-Jul'!N246+'TB-Aug'!N246+'TB-Sep'!N246+'TB-Oct'!N246+'TB-Nov'!N246+'TB-Dec'!N246</f>
        <v>0</v>
      </c>
    </row>
    <row r="247" spans="1:14" hidden="1">
      <c r="A247" s="3" t="s">
        <v>452</v>
      </c>
      <c r="B247" s="10" t="s">
        <v>453</v>
      </c>
      <c r="C247" s="5"/>
      <c r="D247" s="5">
        <f t="shared" si="7"/>
        <v>0</v>
      </c>
      <c r="E247" s="6">
        <f t="shared" si="6"/>
        <v>0</v>
      </c>
      <c r="F247" s="6">
        <f t="shared" si="6"/>
        <v>0</v>
      </c>
      <c r="G247" s="94">
        <f>'TB-Jan'!G247+'TB-Feb'!G247+'TB-Mar'!G247+'TB-Apr'!G247+'TB-May'!G247+'TB-Jun'!G247+'TB-Jul'!G247+'TB-Aug'!G247+'TB-Sep'!G247+'TB-Oct'!G247+'TB-Nov'!G247+'TB-Dec'!G247</f>
        <v>0</v>
      </c>
      <c r="H247" s="94">
        <f>'TB-Jan'!H247+'TB-Feb'!H247+'TB-Mar'!H247+'TB-Apr'!H247+'TB-May'!H247+'TB-Jun'!H247+'TB-Jul'!H247+'TB-Aug'!H247+'TB-Sep'!H247+'TB-Oct'!H247+'TB-Nov'!H247+'TB-Dec'!H247</f>
        <v>0</v>
      </c>
      <c r="I247" s="95">
        <f>'TB-Jan'!I247+'TB-Feb'!I247+'TB-Mar'!I247+'TB-Apr'!I247+'TB-May'!I247+'TB-Jun'!I247+'TB-Jul'!I247+'TB-Aug'!I247+'TB-Sep'!I247+'TB-Oct'!I247+'TB-Nov'!I247+'TB-Dec'!I247</f>
        <v>0</v>
      </c>
      <c r="J247" s="95">
        <f>'TB-Jan'!J247+'TB-Feb'!J247+'TB-Mar'!J247+'TB-Apr'!J247+'TB-May'!J247+'TB-Jun'!J247+'TB-Jul'!J247+'TB-Aug'!J247+'TB-Sep'!J247+'TB-Oct'!J247+'TB-Nov'!J247+'TB-Dec'!J247</f>
        <v>0</v>
      </c>
      <c r="K247" s="96">
        <f>'TB-Jan'!K247+'TB-Feb'!K247+'TB-Mar'!K247+'TB-Apr'!K247+'TB-May'!K247+'TB-Jun'!K247+'TB-Jul'!K247+'TB-Aug'!K247+'TB-Sep'!K247+'TB-Oct'!K247+'TB-Nov'!K247+'TB-Dec'!K247</f>
        <v>0</v>
      </c>
      <c r="L247" s="96">
        <f>'TB-Jan'!L247+'TB-Feb'!L247+'TB-Mar'!L247+'TB-Apr'!L247+'TB-May'!L247+'TB-Jun'!L247+'TB-Jul'!L247+'TB-Aug'!L247+'TB-Sep'!L247+'TB-Oct'!L247+'TB-Nov'!L247+'TB-Dec'!L247</f>
        <v>0</v>
      </c>
      <c r="M247" s="97">
        <f>'TB-Jan'!M247+'TB-Feb'!M247+'TB-Mar'!M247+'TB-Apr'!M247+'TB-May'!M247+'TB-Jun'!M247+'TB-Jul'!M247+'TB-Aug'!M247+'TB-Sep'!M247+'TB-Oct'!M247+'TB-Nov'!M247+'TB-Dec'!M247</f>
        <v>0</v>
      </c>
      <c r="N247" s="97">
        <f>'TB-Jan'!N247+'TB-Feb'!N247+'TB-Mar'!N247+'TB-Apr'!N247+'TB-May'!N247+'TB-Jun'!N247+'TB-Jul'!N247+'TB-Aug'!N247+'TB-Sep'!N247+'TB-Oct'!N247+'TB-Nov'!N247+'TB-Dec'!N247</f>
        <v>0</v>
      </c>
    </row>
    <row r="248" spans="1:14" hidden="1">
      <c r="A248" s="3" t="s">
        <v>454</v>
      </c>
      <c r="B248" s="10" t="s">
        <v>455</v>
      </c>
      <c r="C248" s="5"/>
      <c r="D248" s="5">
        <f t="shared" si="7"/>
        <v>0</v>
      </c>
      <c r="E248" s="6">
        <f t="shared" si="6"/>
        <v>0</v>
      </c>
      <c r="F248" s="6">
        <f t="shared" si="6"/>
        <v>0</v>
      </c>
      <c r="G248" s="94">
        <f>'TB-Jan'!G248+'TB-Feb'!G248+'TB-Mar'!G248+'TB-Apr'!G248+'TB-May'!G248+'TB-Jun'!G248+'TB-Jul'!G248+'TB-Aug'!G248+'TB-Sep'!G248+'TB-Oct'!G248+'TB-Nov'!G248+'TB-Dec'!G248</f>
        <v>0</v>
      </c>
      <c r="H248" s="94">
        <f>'TB-Jan'!H248+'TB-Feb'!H248+'TB-Mar'!H248+'TB-Apr'!H248+'TB-May'!H248+'TB-Jun'!H248+'TB-Jul'!H248+'TB-Aug'!H248+'TB-Sep'!H248+'TB-Oct'!H248+'TB-Nov'!H248+'TB-Dec'!H248</f>
        <v>0</v>
      </c>
      <c r="I248" s="95">
        <f>'TB-Jan'!I248+'TB-Feb'!I248+'TB-Mar'!I248+'TB-Apr'!I248+'TB-May'!I248+'TB-Jun'!I248+'TB-Jul'!I248+'TB-Aug'!I248+'TB-Sep'!I248+'TB-Oct'!I248+'TB-Nov'!I248+'TB-Dec'!I248</f>
        <v>0</v>
      </c>
      <c r="J248" s="95">
        <f>'TB-Jan'!J248+'TB-Feb'!J248+'TB-Mar'!J248+'TB-Apr'!J248+'TB-May'!J248+'TB-Jun'!J248+'TB-Jul'!J248+'TB-Aug'!J248+'TB-Sep'!J248+'TB-Oct'!J248+'TB-Nov'!J248+'TB-Dec'!J248</f>
        <v>0</v>
      </c>
      <c r="K248" s="96">
        <f>'TB-Jan'!K248+'TB-Feb'!K248+'TB-Mar'!K248+'TB-Apr'!K248+'TB-May'!K248+'TB-Jun'!K248+'TB-Jul'!K248+'TB-Aug'!K248+'TB-Sep'!K248+'TB-Oct'!K248+'TB-Nov'!K248+'TB-Dec'!K248</f>
        <v>0</v>
      </c>
      <c r="L248" s="96">
        <f>'TB-Jan'!L248+'TB-Feb'!L248+'TB-Mar'!L248+'TB-Apr'!L248+'TB-May'!L248+'TB-Jun'!L248+'TB-Jul'!L248+'TB-Aug'!L248+'TB-Sep'!L248+'TB-Oct'!L248+'TB-Nov'!L248+'TB-Dec'!L248</f>
        <v>0</v>
      </c>
      <c r="M248" s="97">
        <f>'TB-Jan'!M248+'TB-Feb'!M248+'TB-Mar'!M248+'TB-Apr'!M248+'TB-May'!M248+'TB-Jun'!M248+'TB-Jul'!M248+'TB-Aug'!M248+'TB-Sep'!M248+'TB-Oct'!M248+'TB-Nov'!M248+'TB-Dec'!M248</f>
        <v>0</v>
      </c>
      <c r="N248" s="97">
        <f>'TB-Jan'!N248+'TB-Feb'!N248+'TB-Mar'!N248+'TB-Apr'!N248+'TB-May'!N248+'TB-Jun'!N248+'TB-Jul'!N248+'TB-Aug'!N248+'TB-Sep'!N248+'TB-Oct'!N248+'TB-Nov'!N248+'TB-Dec'!N248</f>
        <v>0</v>
      </c>
    </row>
    <row r="249" spans="1:14" hidden="1">
      <c r="A249" s="3" t="s">
        <v>456</v>
      </c>
      <c r="B249" s="10" t="s">
        <v>457</v>
      </c>
      <c r="C249" s="5"/>
      <c r="D249" s="5">
        <f t="shared" si="7"/>
        <v>0</v>
      </c>
      <c r="E249" s="6">
        <f t="shared" si="6"/>
        <v>0</v>
      </c>
      <c r="F249" s="6">
        <f t="shared" si="6"/>
        <v>0</v>
      </c>
      <c r="G249" s="94">
        <f>'TB-Jan'!G249+'TB-Feb'!G249+'TB-Mar'!G249+'TB-Apr'!G249+'TB-May'!G249+'TB-Jun'!G249+'TB-Jul'!G249+'TB-Aug'!G249+'TB-Sep'!G249+'TB-Oct'!G249+'TB-Nov'!G249+'TB-Dec'!G249</f>
        <v>0</v>
      </c>
      <c r="H249" s="94">
        <f>'TB-Jan'!H249+'TB-Feb'!H249+'TB-Mar'!H249+'TB-Apr'!H249+'TB-May'!H249+'TB-Jun'!H249+'TB-Jul'!H249+'TB-Aug'!H249+'TB-Sep'!H249+'TB-Oct'!H249+'TB-Nov'!H249+'TB-Dec'!H249</f>
        <v>0</v>
      </c>
      <c r="I249" s="95">
        <f>'TB-Jan'!I249+'TB-Feb'!I249+'TB-Mar'!I249+'TB-Apr'!I249+'TB-May'!I249+'TB-Jun'!I249+'TB-Jul'!I249+'TB-Aug'!I249+'TB-Sep'!I249+'TB-Oct'!I249+'TB-Nov'!I249+'TB-Dec'!I249</f>
        <v>0</v>
      </c>
      <c r="J249" s="95">
        <f>'TB-Jan'!J249+'TB-Feb'!J249+'TB-Mar'!J249+'TB-Apr'!J249+'TB-May'!J249+'TB-Jun'!J249+'TB-Jul'!J249+'TB-Aug'!J249+'TB-Sep'!J249+'TB-Oct'!J249+'TB-Nov'!J249+'TB-Dec'!J249</f>
        <v>0</v>
      </c>
      <c r="K249" s="96">
        <f>'TB-Jan'!K249+'TB-Feb'!K249+'TB-Mar'!K249+'TB-Apr'!K249+'TB-May'!K249+'TB-Jun'!K249+'TB-Jul'!K249+'TB-Aug'!K249+'TB-Sep'!K249+'TB-Oct'!K249+'TB-Nov'!K249+'TB-Dec'!K249</f>
        <v>0</v>
      </c>
      <c r="L249" s="96">
        <f>'TB-Jan'!L249+'TB-Feb'!L249+'TB-Mar'!L249+'TB-Apr'!L249+'TB-May'!L249+'TB-Jun'!L249+'TB-Jul'!L249+'TB-Aug'!L249+'TB-Sep'!L249+'TB-Oct'!L249+'TB-Nov'!L249+'TB-Dec'!L249</f>
        <v>0</v>
      </c>
      <c r="M249" s="97">
        <f>'TB-Jan'!M249+'TB-Feb'!M249+'TB-Mar'!M249+'TB-Apr'!M249+'TB-May'!M249+'TB-Jun'!M249+'TB-Jul'!M249+'TB-Aug'!M249+'TB-Sep'!M249+'TB-Oct'!M249+'TB-Nov'!M249+'TB-Dec'!M249</f>
        <v>0</v>
      </c>
      <c r="N249" s="97">
        <f>'TB-Jan'!N249+'TB-Feb'!N249+'TB-Mar'!N249+'TB-Apr'!N249+'TB-May'!N249+'TB-Jun'!N249+'TB-Jul'!N249+'TB-Aug'!N249+'TB-Sep'!N249+'TB-Oct'!N249+'TB-Nov'!N249+'TB-Dec'!N249</f>
        <v>0</v>
      </c>
    </row>
    <row r="250" spans="1:14" hidden="1">
      <c r="A250" s="3" t="s">
        <v>458</v>
      </c>
      <c r="B250" s="10" t="s">
        <v>459</v>
      </c>
      <c r="C250" s="5"/>
      <c r="D250" s="5">
        <f t="shared" si="7"/>
        <v>0</v>
      </c>
      <c r="E250" s="6">
        <f t="shared" si="6"/>
        <v>0</v>
      </c>
      <c r="F250" s="6">
        <f t="shared" si="6"/>
        <v>0</v>
      </c>
      <c r="G250" s="94">
        <f>'TB-Jan'!G250+'TB-Feb'!G250+'TB-Mar'!G250+'TB-Apr'!G250+'TB-May'!G250+'TB-Jun'!G250+'TB-Jul'!G250+'TB-Aug'!G250+'TB-Sep'!G250+'TB-Oct'!G250+'TB-Nov'!G250+'TB-Dec'!G250</f>
        <v>0</v>
      </c>
      <c r="H250" s="94">
        <f>'TB-Jan'!H250+'TB-Feb'!H250+'TB-Mar'!H250+'TB-Apr'!H250+'TB-May'!H250+'TB-Jun'!H250+'TB-Jul'!H250+'TB-Aug'!H250+'TB-Sep'!H250+'TB-Oct'!H250+'TB-Nov'!H250+'TB-Dec'!H250</f>
        <v>0</v>
      </c>
      <c r="I250" s="95">
        <f>'TB-Jan'!I250+'TB-Feb'!I250+'TB-Mar'!I250+'TB-Apr'!I250+'TB-May'!I250+'TB-Jun'!I250+'TB-Jul'!I250+'TB-Aug'!I250+'TB-Sep'!I250+'TB-Oct'!I250+'TB-Nov'!I250+'TB-Dec'!I250</f>
        <v>0</v>
      </c>
      <c r="J250" s="95">
        <f>'TB-Jan'!J250+'TB-Feb'!J250+'TB-Mar'!J250+'TB-Apr'!J250+'TB-May'!J250+'TB-Jun'!J250+'TB-Jul'!J250+'TB-Aug'!J250+'TB-Sep'!J250+'TB-Oct'!J250+'TB-Nov'!J250+'TB-Dec'!J250</f>
        <v>0</v>
      </c>
      <c r="K250" s="96">
        <f>'TB-Jan'!K250+'TB-Feb'!K250+'TB-Mar'!K250+'TB-Apr'!K250+'TB-May'!K250+'TB-Jun'!K250+'TB-Jul'!K250+'TB-Aug'!K250+'TB-Sep'!K250+'TB-Oct'!K250+'TB-Nov'!K250+'TB-Dec'!K250</f>
        <v>0</v>
      </c>
      <c r="L250" s="96">
        <f>'TB-Jan'!L250+'TB-Feb'!L250+'TB-Mar'!L250+'TB-Apr'!L250+'TB-May'!L250+'TB-Jun'!L250+'TB-Jul'!L250+'TB-Aug'!L250+'TB-Sep'!L250+'TB-Oct'!L250+'TB-Nov'!L250+'TB-Dec'!L250</f>
        <v>0</v>
      </c>
      <c r="M250" s="97">
        <f>'TB-Jan'!M250+'TB-Feb'!M250+'TB-Mar'!M250+'TB-Apr'!M250+'TB-May'!M250+'TB-Jun'!M250+'TB-Jul'!M250+'TB-Aug'!M250+'TB-Sep'!M250+'TB-Oct'!M250+'TB-Nov'!M250+'TB-Dec'!M250</f>
        <v>0</v>
      </c>
      <c r="N250" s="97">
        <f>'TB-Jan'!N250+'TB-Feb'!N250+'TB-Mar'!N250+'TB-Apr'!N250+'TB-May'!N250+'TB-Jun'!N250+'TB-Jul'!N250+'TB-Aug'!N250+'TB-Sep'!N250+'TB-Oct'!N250+'TB-Nov'!N250+'TB-Dec'!N250</f>
        <v>0</v>
      </c>
    </row>
    <row r="251" spans="1:14" hidden="1">
      <c r="A251" s="3" t="s">
        <v>460</v>
      </c>
      <c r="B251" s="10" t="s">
        <v>461</v>
      </c>
      <c r="C251" s="5"/>
      <c r="D251" s="5">
        <f t="shared" si="7"/>
        <v>0</v>
      </c>
      <c r="E251" s="6">
        <f t="shared" si="6"/>
        <v>0</v>
      </c>
      <c r="F251" s="6">
        <f t="shared" si="6"/>
        <v>0</v>
      </c>
      <c r="G251" s="94">
        <f>'TB-Jan'!G251+'TB-Feb'!G251+'TB-Mar'!G251+'TB-Apr'!G251+'TB-May'!G251+'TB-Jun'!G251+'TB-Jul'!G251+'TB-Aug'!G251+'TB-Sep'!G251+'TB-Oct'!G251+'TB-Nov'!G251+'TB-Dec'!G251</f>
        <v>0</v>
      </c>
      <c r="H251" s="94">
        <f>'TB-Jan'!H251+'TB-Feb'!H251+'TB-Mar'!H251+'TB-Apr'!H251+'TB-May'!H251+'TB-Jun'!H251+'TB-Jul'!H251+'TB-Aug'!H251+'TB-Sep'!H251+'TB-Oct'!H251+'TB-Nov'!H251+'TB-Dec'!H251</f>
        <v>0</v>
      </c>
      <c r="I251" s="95">
        <f>'TB-Jan'!I251+'TB-Feb'!I251+'TB-Mar'!I251+'TB-Apr'!I251+'TB-May'!I251+'TB-Jun'!I251+'TB-Jul'!I251+'TB-Aug'!I251+'TB-Sep'!I251+'TB-Oct'!I251+'TB-Nov'!I251+'TB-Dec'!I251</f>
        <v>0</v>
      </c>
      <c r="J251" s="95">
        <f>'TB-Jan'!J251+'TB-Feb'!J251+'TB-Mar'!J251+'TB-Apr'!J251+'TB-May'!J251+'TB-Jun'!J251+'TB-Jul'!J251+'TB-Aug'!J251+'TB-Sep'!J251+'TB-Oct'!J251+'TB-Nov'!J251+'TB-Dec'!J251</f>
        <v>0</v>
      </c>
      <c r="K251" s="96">
        <f>'TB-Jan'!K251+'TB-Feb'!K251+'TB-Mar'!K251+'TB-Apr'!K251+'TB-May'!K251+'TB-Jun'!K251+'TB-Jul'!K251+'TB-Aug'!K251+'TB-Sep'!K251+'TB-Oct'!K251+'TB-Nov'!K251+'TB-Dec'!K251</f>
        <v>0</v>
      </c>
      <c r="L251" s="96">
        <f>'TB-Jan'!L251+'TB-Feb'!L251+'TB-Mar'!L251+'TB-Apr'!L251+'TB-May'!L251+'TB-Jun'!L251+'TB-Jul'!L251+'TB-Aug'!L251+'TB-Sep'!L251+'TB-Oct'!L251+'TB-Nov'!L251+'TB-Dec'!L251</f>
        <v>0</v>
      </c>
      <c r="M251" s="97">
        <f>'TB-Jan'!M251+'TB-Feb'!M251+'TB-Mar'!M251+'TB-Apr'!M251+'TB-May'!M251+'TB-Jun'!M251+'TB-Jul'!M251+'TB-Aug'!M251+'TB-Sep'!M251+'TB-Oct'!M251+'TB-Nov'!M251+'TB-Dec'!M251</f>
        <v>0</v>
      </c>
      <c r="N251" s="97">
        <f>'TB-Jan'!N251+'TB-Feb'!N251+'TB-Mar'!N251+'TB-Apr'!N251+'TB-May'!N251+'TB-Jun'!N251+'TB-Jul'!N251+'TB-Aug'!N251+'TB-Sep'!N251+'TB-Oct'!N251+'TB-Nov'!N251+'TB-Dec'!N251</f>
        <v>0</v>
      </c>
    </row>
    <row r="252" spans="1:14" hidden="1">
      <c r="A252" s="3" t="s">
        <v>462</v>
      </c>
      <c r="B252" s="10" t="s">
        <v>463</v>
      </c>
      <c r="C252" s="5"/>
      <c r="D252" s="5">
        <f t="shared" si="7"/>
        <v>0</v>
      </c>
      <c r="E252" s="6">
        <f t="shared" si="6"/>
        <v>0</v>
      </c>
      <c r="F252" s="6">
        <f t="shared" si="6"/>
        <v>0</v>
      </c>
      <c r="G252" s="94">
        <f>'TB-Jan'!G252+'TB-Feb'!G252+'TB-Mar'!G252+'TB-Apr'!G252+'TB-May'!G252+'TB-Jun'!G252+'TB-Jul'!G252+'TB-Aug'!G252+'TB-Sep'!G252+'TB-Oct'!G252+'TB-Nov'!G252+'TB-Dec'!G252</f>
        <v>0</v>
      </c>
      <c r="H252" s="94">
        <f>'TB-Jan'!H252+'TB-Feb'!H252+'TB-Mar'!H252+'TB-Apr'!H252+'TB-May'!H252+'TB-Jun'!H252+'TB-Jul'!H252+'TB-Aug'!H252+'TB-Sep'!H252+'TB-Oct'!H252+'TB-Nov'!H252+'TB-Dec'!H252</f>
        <v>0</v>
      </c>
      <c r="I252" s="95">
        <f>'TB-Jan'!I252+'TB-Feb'!I252+'TB-Mar'!I252+'TB-Apr'!I252+'TB-May'!I252+'TB-Jun'!I252+'TB-Jul'!I252+'TB-Aug'!I252+'TB-Sep'!I252+'TB-Oct'!I252+'TB-Nov'!I252+'TB-Dec'!I252</f>
        <v>0</v>
      </c>
      <c r="J252" s="95">
        <f>'TB-Jan'!J252+'TB-Feb'!J252+'TB-Mar'!J252+'TB-Apr'!J252+'TB-May'!J252+'TB-Jun'!J252+'TB-Jul'!J252+'TB-Aug'!J252+'TB-Sep'!J252+'TB-Oct'!J252+'TB-Nov'!J252+'TB-Dec'!J252</f>
        <v>0</v>
      </c>
      <c r="K252" s="96">
        <f>'TB-Jan'!K252+'TB-Feb'!K252+'TB-Mar'!K252+'TB-Apr'!K252+'TB-May'!K252+'TB-Jun'!K252+'TB-Jul'!K252+'TB-Aug'!K252+'TB-Sep'!K252+'TB-Oct'!K252+'TB-Nov'!K252+'TB-Dec'!K252</f>
        <v>0</v>
      </c>
      <c r="L252" s="96">
        <f>'TB-Jan'!L252+'TB-Feb'!L252+'TB-Mar'!L252+'TB-Apr'!L252+'TB-May'!L252+'TB-Jun'!L252+'TB-Jul'!L252+'TB-Aug'!L252+'TB-Sep'!L252+'TB-Oct'!L252+'TB-Nov'!L252+'TB-Dec'!L252</f>
        <v>0</v>
      </c>
      <c r="M252" s="97">
        <f>'TB-Jan'!M252+'TB-Feb'!M252+'TB-Mar'!M252+'TB-Apr'!M252+'TB-May'!M252+'TB-Jun'!M252+'TB-Jul'!M252+'TB-Aug'!M252+'TB-Sep'!M252+'TB-Oct'!M252+'TB-Nov'!M252+'TB-Dec'!M252</f>
        <v>0</v>
      </c>
      <c r="N252" s="97">
        <f>'TB-Jan'!N252+'TB-Feb'!N252+'TB-Mar'!N252+'TB-Apr'!N252+'TB-May'!N252+'TB-Jun'!N252+'TB-Jul'!N252+'TB-Aug'!N252+'TB-Sep'!N252+'TB-Oct'!N252+'TB-Nov'!N252+'TB-Dec'!N252</f>
        <v>0</v>
      </c>
    </row>
    <row r="253" spans="1:14" hidden="1">
      <c r="A253" s="3" t="s">
        <v>464</v>
      </c>
      <c r="B253" s="10" t="s">
        <v>465</v>
      </c>
      <c r="C253" s="5"/>
      <c r="D253" s="5">
        <f t="shared" si="7"/>
        <v>0</v>
      </c>
      <c r="E253" s="6">
        <f t="shared" si="6"/>
        <v>0</v>
      </c>
      <c r="F253" s="6">
        <f t="shared" si="6"/>
        <v>0</v>
      </c>
      <c r="G253" s="94">
        <f>'TB-Jan'!G253+'TB-Feb'!G253+'TB-Mar'!G253+'TB-Apr'!G253+'TB-May'!G253+'TB-Jun'!G253+'TB-Jul'!G253+'TB-Aug'!G253+'TB-Sep'!G253+'TB-Oct'!G253+'TB-Nov'!G253+'TB-Dec'!G253</f>
        <v>0</v>
      </c>
      <c r="H253" s="94">
        <f>'TB-Jan'!H253+'TB-Feb'!H253+'TB-Mar'!H253+'TB-Apr'!H253+'TB-May'!H253+'TB-Jun'!H253+'TB-Jul'!H253+'TB-Aug'!H253+'TB-Sep'!H253+'TB-Oct'!H253+'TB-Nov'!H253+'TB-Dec'!H253</f>
        <v>0</v>
      </c>
      <c r="I253" s="95">
        <f>'TB-Jan'!I253+'TB-Feb'!I253+'TB-Mar'!I253+'TB-Apr'!I253+'TB-May'!I253+'TB-Jun'!I253+'TB-Jul'!I253+'TB-Aug'!I253+'TB-Sep'!I253+'TB-Oct'!I253+'TB-Nov'!I253+'TB-Dec'!I253</f>
        <v>0</v>
      </c>
      <c r="J253" s="95">
        <f>'TB-Jan'!J253+'TB-Feb'!J253+'TB-Mar'!J253+'TB-Apr'!J253+'TB-May'!J253+'TB-Jun'!J253+'TB-Jul'!J253+'TB-Aug'!J253+'TB-Sep'!J253+'TB-Oct'!J253+'TB-Nov'!J253+'TB-Dec'!J253</f>
        <v>0</v>
      </c>
      <c r="K253" s="96">
        <f>'TB-Jan'!K253+'TB-Feb'!K253+'TB-Mar'!K253+'TB-Apr'!K253+'TB-May'!K253+'TB-Jun'!K253+'TB-Jul'!K253+'TB-Aug'!K253+'TB-Sep'!K253+'TB-Oct'!K253+'TB-Nov'!K253+'TB-Dec'!K253</f>
        <v>0</v>
      </c>
      <c r="L253" s="96">
        <f>'TB-Jan'!L253+'TB-Feb'!L253+'TB-Mar'!L253+'TB-Apr'!L253+'TB-May'!L253+'TB-Jun'!L253+'TB-Jul'!L253+'TB-Aug'!L253+'TB-Sep'!L253+'TB-Oct'!L253+'TB-Nov'!L253+'TB-Dec'!L253</f>
        <v>0</v>
      </c>
      <c r="M253" s="97">
        <f>'TB-Jan'!M253+'TB-Feb'!M253+'TB-Mar'!M253+'TB-Apr'!M253+'TB-May'!M253+'TB-Jun'!M253+'TB-Jul'!M253+'TB-Aug'!M253+'TB-Sep'!M253+'TB-Oct'!M253+'TB-Nov'!M253+'TB-Dec'!M253</f>
        <v>0</v>
      </c>
      <c r="N253" s="97">
        <f>'TB-Jan'!N253+'TB-Feb'!N253+'TB-Mar'!N253+'TB-Apr'!N253+'TB-May'!N253+'TB-Jun'!N253+'TB-Jul'!N253+'TB-Aug'!N253+'TB-Sep'!N253+'TB-Oct'!N253+'TB-Nov'!N253+'TB-Dec'!N253</f>
        <v>0</v>
      </c>
    </row>
    <row r="254" spans="1:14" hidden="1">
      <c r="A254" s="3" t="s">
        <v>466</v>
      </c>
      <c r="B254" s="10" t="s">
        <v>467</v>
      </c>
      <c r="C254" s="5"/>
      <c r="D254" s="5">
        <f t="shared" si="7"/>
        <v>0</v>
      </c>
      <c r="E254" s="6">
        <f t="shared" si="6"/>
        <v>0</v>
      </c>
      <c r="F254" s="6">
        <f t="shared" si="6"/>
        <v>0</v>
      </c>
      <c r="G254" s="94">
        <f>'TB-Jan'!G254+'TB-Feb'!G254+'TB-Mar'!G254+'TB-Apr'!G254+'TB-May'!G254+'TB-Jun'!G254+'TB-Jul'!G254+'TB-Aug'!G254+'TB-Sep'!G254+'TB-Oct'!G254+'TB-Nov'!G254+'TB-Dec'!G254</f>
        <v>0</v>
      </c>
      <c r="H254" s="94">
        <f>'TB-Jan'!H254+'TB-Feb'!H254+'TB-Mar'!H254+'TB-Apr'!H254+'TB-May'!H254+'TB-Jun'!H254+'TB-Jul'!H254+'TB-Aug'!H254+'TB-Sep'!H254+'TB-Oct'!H254+'TB-Nov'!H254+'TB-Dec'!H254</f>
        <v>0</v>
      </c>
      <c r="I254" s="95">
        <f>'TB-Jan'!I254+'TB-Feb'!I254+'TB-Mar'!I254+'TB-Apr'!I254+'TB-May'!I254+'TB-Jun'!I254+'TB-Jul'!I254+'TB-Aug'!I254+'TB-Sep'!I254+'TB-Oct'!I254+'TB-Nov'!I254+'TB-Dec'!I254</f>
        <v>0</v>
      </c>
      <c r="J254" s="95">
        <f>'TB-Jan'!J254+'TB-Feb'!J254+'TB-Mar'!J254+'TB-Apr'!J254+'TB-May'!J254+'TB-Jun'!J254+'TB-Jul'!J254+'TB-Aug'!J254+'TB-Sep'!J254+'TB-Oct'!J254+'TB-Nov'!J254+'TB-Dec'!J254</f>
        <v>0</v>
      </c>
      <c r="K254" s="96">
        <f>'TB-Jan'!K254+'TB-Feb'!K254+'TB-Mar'!K254+'TB-Apr'!K254+'TB-May'!K254+'TB-Jun'!K254+'TB-Jul'!K254+'TB-Aug'!K254+'TB-Sep'!K254+'TB-Oct'!K254+'TB-Nov'!K254+'TB-Dec'!K254</f>
        <v>0</v>
      </c>
      <c r="L254" s="96">
        <f>'TB-Jan'!L254+'TB-Feb'!L254+'TB-Mar'!L254+'TB-Apr'!L254+'TB-May'!L254+'TB-Jun'!L254+'TB-Jul'!L254+'TB-Aug'!L254+'TB-Sep'!L254+'TB-Oct'!L254+'TB-Nov'!L254+'TB-Dec'!L254</f>
        <v>0</v>
      </c>
      <c r="M254" s="97">
        <f>'TB-Jan'!M254+'TB-Feb'!M254+'TB-Mar'!M254+'TB-Apr'!M254+'TB-May'!M254+'TB-Jun'!M254+'TB-Jul'!M254+'TB-Aug'!M254+'TB-Sep'!M254+'TB-Oct'!M254+'TB-Nov'!M254+'TB-Dec'!M254</f>
        <v>0</v>
      </c>
      <c r="N254" s="97">
        <f>'TB-Jan'!N254+'TB-Feb'!N254+'TB-Mar'!N254+'TB-Apr'!N254+'TB-May'!N254+'TB-Jun'!N254+'TB-Jul'!N254+'TB-Aug'!N254+'TB-Sep'!N254+'TB-Oct'!N254+'TB-Nov'!N254+'TB-Dec'!N254</f>
        <v>0</v>
      </c>
    </row>
    <row r="255" spans="1:14" hidden="1">
      <c r="A255" s="3" t="s">
        <v>468</v>
      </c>
      <c r="B255" s="10" t="s">
        <v>469</v>
      </c>
      <c r="C255" s="5"/>
      <c r="D255" s="5">
        <f t="shared" si="7"/>
        <v>0</v>
      </c>
      <c r="E255" s="6">
        <f t="shared" si="6"/>
        <v>0</v>
      </c>
      <c r="F255" s="6">
        <f t="shared" si="6"/>
        <v>0</v>
      </c>
      <c r="G255" s="94">
        <f>'TB-Jan'!G255+'TB-Feb'!G255+'TB-Mar'!G255+'TB-Apr'!G255+'TB-May'!G255+'TB-Jun'!G255+'TB-Jul'!G255+'TB-Aug'!G255+'TB-Sep'!G255+'TB-Oct'!G255+'TB-Nov'!G255+'TB-Dec'!G255</f>
        <v>0</v>
      </c>
      <c r="H255" s="94">
        <f>'TB-Jan'!H255+'TB-Feb'!H255+'TB-Mar'!H255+'TB-Apr'!H255+'TB-May'!H255+'TB-Jun'!H255+'TB-Jul'!H255+'TB-Aug'!H255+'TB-Sep'!H255+'TB-Oct'!H255+'TB-Nov'!H255+'TB-Dec'!H255</f>
        <v>0</v>
      </c>
      <c r="I255" s="95">
        <f>'TB-Jan'!I255+'TB-Feb'!I255+'TB-Mar'!I255+'TB-Apr'!I255+'TB-May'!I255+'TB-Jun'!I255+'TB-Jul'!I255+'TB-Aug'!I255+'TB-Sep'!I255+'TB-Oct'!I255+'TB-Nov'!I255+'TB-Dec'!I255</f>
        <v>0</v>
      </c>
      <c r="J255" s="95">
        <f>'TB-Jan'!J255+'TB-Feb'!J255+'TB-Mar'!J255+'TB-Apr'!J255+'TB-May'!J255+'TB-Jun'!J255+'TB-Jul'!J255+'TB-Aug'!J255+'TB-Sep'!J255+'TB-Oct'!J255+'TB-Nov'!J255+'TB-Dec'!J255</f>
        <v>0</v>
      </c>
      <c r="K255" s="96">
        <f>'TB-Jan'!K255+'TB-Feb'!K255+'TB-Mar'!K255+'TB-Apr'!K255+'TB-May'!K255+'TB-Jun'!K255+'TB-Jul'!K255+'TB-Aug'!K255+'TB-Sep'!K255+'TB-Oct'!K255+'TB-Nov'!K255+'TB-Dec'!K255</f>
        <v>0</v>
      </c>
      <c r="L255" s="96">
        <f>'TB-Jan'!L255+'TB-Feb'!L255+'TB-Mar'!L255+'TB-Apr'!L255+'TB-May'!L255+'TB-Jun'!L255+'TB-Jul'!L255+'TB-Aug'!L255+'TB-Sep'!L255+'TB-Oct'!L255+'TB-Nov'!L255+'TB-Dec'!L255</f>
        <v>0</v>
      </c>
      <c r="M255" s="97">
        <f>'TB-Jan'!M255+'TB-Feb'!M255+'TB-Mar'!M255+'TB-Apr'!M255+'TB-May'!M255+'TB-Jun'!M255+'TB-Jul'!M255+'TB-Aug'!M255+'TB-Sep'!M255+'TB-Oct'!M255+'TB-Nov'!M255+'TB-Dec'!M255</f>
        <v>0</v>
      </c>
      <c r="N255" s="97">
        <f>'TB-Jan'!N255+'TB-Feb'!N255+'TB-Mar'!N255+'TB-Apr'!N255+'TB-May'!N255+'TB-Jun'!N255+'TB-Jul'!N255+'TB-Aug'!N255+'TB-Sep'!N255+'TB-Oct'!N255+'TB-Nov'!N255+'TB-Dec'!N255</f>
        <v>0</v>
      </c>
    </row>
    <row r="256" spans="1:14" hidden="1">
      <c r="A256" s="3" t="s">
        <v>470</v>
      </c>
      <c r="B256" s="10" t="s">
        <v>471</v>
      </c>
      <c r="C256" s="5"/>
      <c r="D256" s="5">
        <f t="shared" si="7"/>
        <v>0</v>
      </c>
      <c r="E256" s="6">
        <f t="shared" si="6"/>
        <v>0</v>
      </c>
      <c r="F256" s="6">
        <f t="shared" si="6"/>
        <v>0</v>
      </c>
      <c r="G256" s="94">
        <f>'TB-Jan'!G256+'TB-Feb'!G256+'TB-Mar'!G256+'TB-Apr'!G256+'TB-May'!G256+'TB-Jun'!G256+'TB-Jul'!G256+'TB-Aug'!G256+'TB-Sep'!G256+'TB-Oct'!G256+'TB-Nov'!G256+'TB-Dec'!G256</f>
        <v>0</v>
      </c>
      <c r="H256" s="94">
        <f>'TB-Jan'!H256+'TB-Feb'!H256+'TB-Mar'!H256+'TB-Apr'!H256+'TB-May'!H256+'TB-Jun'!H256+'TB-Jul'!H256+'TB-Aug'!H256+'TB-Sep'!H256+'TB-Oct'!H256+'TB-Nov'!H256+'TB-Dec'!H256</f>
        <v>0</v>
      </c>
      <c r="I256" s="95">
        <f>'TB-Jan'!I256+'TB-Feb'!I256+'TB-Mar'!I256+'TB-Apr'!I256+'TB-May'!I256+'TB-Jun'!I256+'TB-Jul'!I256+'TB-Aug'!I256+'TB-Sep'!I256+'TB-Oct'!I256+'TB-Nov'!I256+'TB-Dec'!I256</f>
        <v>0</v>
      </c>
      <c r="J256" s="95">
        <f>'TB-Jan'!J256+'TB-Feb'!J256+'TB-Mar'!J256+'TB-Apr'!J256+'TB-May'!J256+'TB-Jun'!J256+'TB-Jul'!J256+'TB-Aug'!J256+'TB-Sep'!J256+'TB-Oct'!J256+'TB-Nov'!J256+'TB-Dec'!J256</f>
        <v>0</v>
      </c>
      <c r="K256" s="96">
        <f>'TB-Jan'!K256+'TB-Feb'!K256+'TB-Mar'!K256+'TB-Apr'!K256+'TB-May'!K256+'TB-Jun'!K256+'TB-Jul'!K256+'TB-Aug'!K256+'TB-Sep'!K256+'TB-Oct'!K256+'TB-Nov'!K256+'TB-Dec'!K256</f>
        <v>0</v>
      </c>
      <c r="L256" s="96">
        <f>'TB-Jan'!L256+'TB-Feb'!L256+'TB-Mar'!L256+'TB-Apr'!L256+'TB-May'!L256+'TB-Jun'!L256+'TB-Jul'!L256+'TB-Aug'!L256+'TB-Sep'!L256+'TB-Oct'!L256+'TB-Nov'!L256+'TB-Dec'!L256</f>
        <v>0</v>
      </c>
      <c r="M256" s="97">
        <f>'TB-Jan'!M256+'TB-Feb'!M256+'TB-Mar'!M256+'TB-Apr'!M256+'TB-May'!M256+'TB-Jun'!M256+'TB-Jul'!M256+'TB-Aug'!M256+'TB-Sep'!M256+'TB-Oct'!M256+'TB-Nov'!M256+'TB-Dec'!M256</f>
        <v>0</v>
      </c>
      <c r="N256" s="97">
        <f>'TB-Jan'!N256+'TB-Feb'!N256+'TB-Mar'!N256+'TB-Apr'!N256+'TB-May'!N256+'TB-Jun'!N256+'TB-Jul'!N256+'TB-Aug'!N256+'TB-Sep'!N256+'TB-Oct'!N256+'TB-Nov'!N256+'TB-Dec'!N256</f>
        <v>0</v>
      </c>
    </row>
    <row r="257" spans="1:14" hidden="1">
      <c r="A257" s="3" t="s">
        <v>472</v>
      </c>
      <c r="B257" s="10" t="s">
        <v>473</v>
      </c>
      <c r="C257" s="5"/>
      <c r="D257" s="5">
        <f t="shared" si="7"/>
        <v>0</v>
      </c>
      <c r="E257" s="6">
        <f t="shared" si="6"/>
        <v>0</v>
      </c>
      <c r="F257" s="6">
        <f t="shared" si="6"/>
        <v>0</v>
      </c>
      <c r="G257" s="94">
        <f>'TB-Jan'!G257+'TB-Feb'!G257+'TB-Mar'!G257+'TB-Apr'!G257+'TB-May'!G257+'TB-Jun'!G257+'TB-Jul'!G257+'TB-Aug'!G257+'TB-Sep'!G257+'TB-Oct'!G257+'TB-Nov'!G257+'TB-Dec'!G257</f>
        <v>0</v>
      </c>
      <c r="H257" s="94">
        <f>'TB-Jan'!H257+'TB-Feb'!H257+'TB-Mar'!H257+'TB-Apr'!H257+'TB-May'!H257+'TB-Jun'!H257+'TB-Jul'!H257+'TB-Aug'!H257+'TB-Sep'!H257+'TB-Oct'!H257+'TB-Nov'!H257+'TB-Dec'!H257</f>
        <v>0</v>
      </c>
      <c r="I257" s="95">
        <f>'TB-Jan'!I257+'TB-Feb'!I257+'TB-Mar'!I257+'TB-Apr'!I257+'TB-May'!I257+'TB-Jun'!I257+'TB-Jul'!I257+'TB-Aug'!I257+'TB-Sep'!I257+'TB-Oct'!I257+'TB-Nov'!I257+'TB-Dec'!I257</f>
        <v>0</v>
      </c>
      <c r="J257" s="95">
        <f>'TB-Jan'!J257+'TB-Feb'!J257+'TB-Mar'!J257+'TB-Apr'!J257+'TB-May'!J257+'TB-Jun'!J257+'TB-Jul'!J257+'TB-Aug'!J257+'TB-Sep'!J257+'TB-Oct'!J257+'TB-Nov'!J257+'TB-Dec'!J257</f>
        <v>0</v>
      </c>
      <c r="K257" s="96">
        <f>'TB-Jan'!K257+'TB-Feb'!K257+'TB-Mar'!K257+'TB-Apr'!K257+'TB-May'!K257+'TB-Jun'!K257+'TB-Jul'!K257+'TB-Aug'!K257+'TB-Sep'!K257+'TB-Oct'!K257+'TB-Nov'!K257+'TB-Dec'!K257</f>
        <v>0</v>
      </c>
      <c r="L257" s="96">
        <f>'TB-Jan'!L257+'TB-Feb'!L257+'TB-Mar'!L257+'TB-Apr'!L257+'TB-May'!L257+'TB-Jun'!L257+'TB-Jul'!L257+'TB-Aug'!L257+'TB-Sep'!L257+'TB-Oct'!L257+'TB-Nov'!L257+'TB-Dec'!L257</f>
        <v>0</v>
      </c>
      <c r="M257" s="97">
        <f>'TB-Jan'!M257+'TB-Feb'!M257+'TB-Mar'!M257+'TB-Apr'!M257+'TB-May'!M257+'TB-Jun'!M257+'TB-Jul'!M257+'TB-Aug'!M257+'TB-Sep'!M257+'TB-Oct'!M257+'TB-Nov'!M257+'TB-Dec'!M257</f>
        <v>0</v>
      </c>
      <c r="N257" s="97">
        <f>'TB-Jan'!N257+'TB-Feb'!N257+'TB-Mar'!N257+'TB-Apr'!N257+'TB-May'!N257+'TB-Jun'!N257+'TB-Jul'!N257+'TB-Aug'!N257+'TB-Sep'!N257+'TB-Oct'!N257+'TB-Nov'!N257+'TB-Dec'!N257</f>
        <v>0</v>
      </c>
    </row>
    <row r="258" spans="1:14" hidden="1">
      <c r="A258" s="3" t="s">
        <v>474</v>
      </c>
      <c r="B258" s="10" t="s">
        <v>475</v>
      </c>
      <c r="C258" s="5"/>
      <c r="D258" s="5">
        <f t="shared" si="7"/>
        <v>0</v>
      </c>
      <c r="E258" s="6">
        <f t="shared" si="6"/>
        <v>0</v>
      </c>
      <c r="F258" s="6">
        <f t="shared" si="6"/>
        <v>0</v>
      </c>
      <c r="G258" s="94">
        <f>'TB-Jan'!G258+'TB-Feb'!G258+'TB-Mar'!G258+'TB-Apr'!G258+'TB-May'!G258+'TB-Jun'!G258+'TB-Jul'!G258+'TB-Aug'!G258+'TB-Sep'!G258+'TB-Oct'!G258+'TB-Nov'!G258+'TB-Dec'!G258</f>
        <v>0</v>
      </c>
      <c r="H258" s="94">
        <f>'TB-Jan'!H258+'TB-Feb'!H258+'TB-Mar'!H258+'TB-Apr'!H258+'TB-May'!H258+'TB-Jun'!H258+'TB-Jul'!H258+'TB-Aug'!H258+'TB-Sep'!H258+'TB-Oct'!H258+'TB-Nov'!H258+'TB-Dec'!H258</f>
        <v>0</v>
      </c>
      <c r="I258" s="95">
        <f>'TB-Jan'!I258+'TB-Feb'!I258+'TB-Mar'!I258+'TB-Apr'!I258+'TB-May'!I258+'TB-Jun'!I258+'TB-Jul'!I258+'TB-Aug'!I258+'TB-Sep'!I258+'TB-Oct'!I258+'TB-Nov'!I258+'TB-Dec'!I258</f>
        <v>0</v>
      </c>
      <c r="J258" s="95">
        <f>'TB-Jan'!J258+'TB-Feb'!J258+'TB-Mar'!J258+'TB-Apr'!J258+'TB-May'!J258+'TB-Jun'!J258+'TB-Jul'!J258+'TB-Aug'!J258+'TB-Sep'!J258+'TB-Oct'!J258+'TB-Nov'!J258+'TB-Dec'!J258</f>
        <v>0</v>
      </c>
      <c r="K258" s="96">
        <f>'TB-Jan'!K258+'TB-Feb'!K258+'TB-Mar'!K258+'TB-Apr'!K258+'TB-May'!K258+'TB-Jun'!K258+'TB-Jul'!K258+'TB-Aug'!K258+'TB-Sep'!K258+'TB-Oct'!K258+'TB-Nov'!K258+'TB-Dec'!K258</f>
        <v>0</v>
      </c>
      <c r="L258" s="96">
        <f>'TB-Jan'!L258+'TB-Feb'!L258+'TB-Mar'!L258+'TB-Apr'!L258+'TB-May'!L258+'TB-Jun'!L258+'TB-Jul'!L258+'TB-Aug'!L258+'TB-Sep'!L258+'TB-Oct'!L258+'TB-Nov'!L258+'TB-Dec'!L258</f>
        <v>0</v>
      </c>
      <c r="M258" s="97">
        <f>'TB-Jan'!M258+'TB-Feb'!M258+'TB-Mar'!M258+'TB-Apr'!M258+'TB-May'!M258+'TB-Jun'!M258+'TB-Jul'!M258+'TB-Aug'!M258+'TB-Sep'!M258+'TB-Oct'!M258+'TB-Nov'!M258+'TB-Dec'!M258</f>
        <v>0</v>
      </c>
      <c r="N258" s="97">
        <f>'TB-Jan'!N258+'TB-Feb'!N258+'TB-Mar'!N258+'TB-Apr'!N258+'TB-May'!N258+'TB-Jun'!N258+'TB-Jul'!N258+'TB-Aug'!N258+'TB-Sep'!N258+'TB-Oct'!N258+'TB-Nov'!N258+'TB-Dec'!N258</f>
        <v>0</v>
      </c>
    </row>
    <row r="259" spans="1:14" hidden="1">
      <c r="A259" s="3" t="s">
        <v>476</v>
      </c>
      <c r="B259" s="10" t="s">
        <v>477</v>
      </c>
      <c r="C259" s="5"/>
      <c r="D259" s="5">
        <f t="shared" si="7"/>
        <v>0</v>
      </c>
      <c r="E259" s="6">
        <f t="shared" si="6"/>
        <v>0</v>
      </c>
      <c r="F259" s="6">
        <f t="shared" si="6"/>
        <v>0</v>
      </c>
      <c r="G259" s="94">
        <f>'TB-Jan'!G259+'TB-Feb'!G259+'TB-Mar'!G259+'TB-Apr'!G259+'TB-May'!G259+'TB-Jun'!G259+'TB-Jul'!G259+'TB-Aug'!G259+'TB-Sep'!G259+'TB-Oct'!G259+'TB-Nov'!G259+'TB-Dec'!G259</f>
        <v>0</v>
      </c>
      <c r="H259" s="94">
        <f>'TB-Jan'!H259+'TB-Feb'!H259+'TB-Mar'!H259+'TB-Apr'!H259+'TB-May'!H259+'TB-Jun'!H259+'TB-Jul'!H259+'TB-Aug'!H259+'TB-Sep'!H259+'TB-Oct'!H259+'TB-Nov'!H259+'TB-Dec'!H259</f>
        <v>0</v>
      </c>
      <c r="I259" s="95">
        <f>'TB-Jan'!I259+'TB-Feb'!I259+'TB-Mar'!I259+'TB-Apr'!I259+'TB-May'!I259+'TB-Jun'!I259+'TB-Jul'!I259+'TB-Aug'!I259+'TB-Sep'!I259+'TB-Oct'!I259+'TB-Nov'!I259+'TB-Dec'!I259</f>
        <v>0</v>
      </c>
      <c r="J259" s="95">
        <f>'TB-Jan'!J259+'TB-Feb'!J259+'TB-Mar'!J259+'TB-Apr'!J259+'TB-May'!J259+'TB-Jun'!J259+'TB-Jul'!J259+'TB-Aug'!J259+'TB-Sep'!J259+'TB-Oct'!J259+'TB-Nov'!J259+'TB-Dec'!J259</f>
        <v>0</v>
      </c>
      <c r="K259" s="96">
        <f>'TB-Jan'!K259+'TB-Feb'!K259+'TB-Mar'!K259+'TB-Apr'!K259+'TB-May'!K259+'TB-Jun'!K259+'TB-Jul'!K259+'TB-Aug'!K259+'TB-Sep'!K259+'TB-Oct'!K259+'TB-Nov'!K259+'TB-Dec'!K259</f>
        <v>0</v>
      </c>
      <c r="L259" s="96">
        <f>'TB-Jan'!L259+'TB-Feb'!L259+'TB-Mar'!L259+'TB-Apr'!L259+'TB-May'!L259+'TB-Jun'!L259+'TB-Jul'!L259+'TB-Aug'!L259+'TB-Sep'!L259+'TB-Oct'!L259+'TB-Nov'!L259+'TB-Dec'!L259</f>
        <v>0</v>
      </c>
      <c r="M259" s="97">
        <f>'TB-Jan'!M259+'TB-Feb'!M259+'TB-Mar'!M259+'TB-Apr'!M259+'TB-May'!M259+'TB-Jun'!M259+'TB-Jul'!M259+'TB-Aug'!M259+'TB-Sep'!M259+'TB-Oct'!M259+'TB-Nov'!M259+'TB-Dec'!M259</f>
        <v>0</v>
      </c>
      <c r="N259" s="97">
        <f>'TB-Jan'!N259+'TB-Feb'!N259+'TB-Mar'!N259+'TB-Apr'!N259+'TB-May'!N259+'TB-Jun'!N259+'TB-Jul'!N259+'TB-Aug'!N259+'TB-Sep'!N259+'TB-Oct'!N259+'TB-Nov'!N259+'TB-Dec'!N259</f>
        <v>0</v>
      </c>
    </row>
    <row r="260" spans="1:14" hidden="1">
      <c r="A260" s="3" t="s">
        <v>478</v>
      </c>
      <c r="B260" s="10" t="s">
        <v>479</v>
      </c>
      <c r="C260" s="5"/>
      <c r="D260" s="5">
        <f t="shared" si="7"/>
        <v>0</v>
      </c>
      <c r="E260" s="6">
        <f t="shared" si="6"/>
        <v>0</v>
      </c>
      <c r="F260" s="6">
        <f t="shared" si="6"/>
        <v>0</v>
      </c>
      <c r="G260" s="94">
        <f>'TB-Jan'!G260+'TB-Feb'!G260+'TB-Mar'!G260+'TB-Apr'!G260+'TB-May'!G260+'TB-Jun'!G260+'TB-Jul'!G260+'TB-Aug'!G260+'TB-Sep'!G260+'TB-Oct'!G260+'TB-Nov'!G260+'TB-Dec'!G260</f>
        <v>0</v>
      </c>
      <c r="H260" s="94">
        <f>'TB-Jan'!H260+'TB-Feb'!H260+'TB-Mar'!H260+'TB-Apr'!H260+'TB-May'!H260+'TB-Jun'!H260+'TB-Jul'!H260+'TB-Aug'!H260+'TB-Sep'!H260+'TB-Oct'!H260+'TB-Nov'!H260+'TB-Dec'!H260</f>
        <v>0</v>
      </c>
      <c r="I260" s="95">
        <f>'TB-Jan'!I260+'TB-Feb'!I260+'TB-Mar'!I260+'TB-Apr'!I260+'TB-May'!I260+'TB-Jun'!I260+'TB-Jul'!I260+'TB-Aug'!I260+'TB-Sep'!I260+'TB-Oct'!I260+'TB-Nov'!I260+'TB-Dec'!I260</f>
        <v>0</v>
      </c>
      <c r="J260" s="95">
        <f>'TB-Jan'!J260+'TB-Feb'!J260+'TB-Mar'!J260+'TB-Apr'!J260+'TB-May'!J260+'TB-Jun'!J260+'TB-Jul'!J260+'TB-Aug'!J260+'TB-Sep'!J260+'TB-Oct'!J260+'TB-Nov'!J260+'TB-Dec'!J260</f>
        <v>0</v>
      </c>
      <c r="K260" s="96">
        <f>'TB-Jan'!K260+'TB-Feb'!K260+'TB-Mar'!K260+'TB-Apr'!K260+'TB-May'!K260+'TB-Jun'!K260+'TB-Jul'!K260+'TB-Aug'!K260+'TB-Sep'!K260+'TB-Oct'!K260+'TB-Nov'!K260+'TB-Dec'!K260</f>
        <v>0</v>
      </c>
      <c r="L260" s="96">
        <f>'TB-Jan'!L260+'TB-Feb'!L260+'TB-Mar'!L260+'TB-Apr'!L260+'TB-May'!L260+'TB-Jun'!L260+'TB-Jul'!L260+'TB-Aug'!L260+'TB-Sep'!L260+'TB-Oct'!L260+'TB-Nov'!L260+'TB-Dec'!L260</f>
        <v>0</v>
      </c>
      <c r="M260" s="97">
        <f>'TB-Jan'!M260+'TB-Feb'!M260+'TB-Mar'!M260+'TB-Apr'!M260+'TB-May'!M260+'TB-Jun'!M260+'TB-Jul'!M260+'TB-Aug'!M260+'TB-Sep'!M260+'TB-Oct'!M260+'TB-Nov'!M260+'TB-Dec'!M260</f>
        <v>0</v>
      </c>
      <c r="N260" s="97">
        <f>'TB-Jan'!N260+'TB-Feb'!N260+'TB-Mar'!N260+'TB-Apr'!N260+'TB-May'!N260+'TB-Jun'!N260+'TB-Jul'!N260+'TB-Aug'!N260+'TB-Sep'!N260+'TB-Oct'!N260+'TB-Nov'!N260+'TB-Dec'!N260</f>
        <v>0</v>
      </c>
    </row>
    <row r="261" spans="1:14" hidden="1">
      <c r="A261" s="3" t="s">
        <v>480</v>
      </c>
      <c r="B261" s="10" t="s">
        <v>481</v>
      </c>
      <c r="C261" s="5"/>
      <c r="D261" s="5">
        <f t="shared" si="7"/>
        <v>0</v>
      </c>
      <c r="E261" s="6">
        <f t="shared" si="6"/>
        <v>0</v>
      </c>
      <c r="F261" s="6">
        <f t="shared" si="6"/>
        <v>0</v>
      </c>
      <c r="G261" s="94">
        <f>'TB-Jan'!G261+'TB-Feb'!G261+'TB-Mar'!G261+'TB-Apr'!G261+'TB-May'!G261+'TB-Jun'!G261+'TB-Jul'!G261+'TB-Aug'!G261+'TB-Sep'!G261+'TB-Oct'!G261+'TB-Nov'!G261+'TB-Dec'!G261</f>
        <v>0</v>
      </c>
      <c r="H261" s="94">
        <f>'TB-Jan'!H261+'TB-Feb'!H261+'TB-Mar'!H261+'TB-Apr'!H261+'TB-May'!H261+'TB-Jun'!H261+'TB-Jul'!H261+'TB-Aug'!H261+'TB-Sep'!H261+'TB-Oct'!H261+'TB-Nov'!H261+'TB-Dec'!H261</f>
        <v>0</v>
      </c>
      <c r="I261" s="95">
        <f>'TB-Jan'!I261+'TB-Feb'!I261+'TB-Mar'!I261+'TB-Apr'!I261+'TB-May'!I261+'TB-Jun'!I261+'TB-Jul'!I261+'TB-Aug'!I261+'TB-Sep'!I261+'TB-Oct'!I261+'TB-Nov'!I261+'TB-Dec'!I261</f>
        <v>0</v>
      </c>
      <c r="J261" s="95">
        <f>'TB-Jan'!J261+'TB-Feb'!J261+'TB-Mar'!J261+'TB-Apr'!J261+'TB-May'!J261+'TB-Jun'!J261+'TB-Jul'!J261+'TB-Aug'!J261+'TB-Sep'!J261+'TB-Oct'!J261+'TB-Nov'!J261+'TB-Dec'!J261</f>
        <v>0</v>
      </c>
      <c r="K261" s="96">
        <f>'TB-Jan'!K261+'TB-Feb'!K261+'TB-Mar'!K261+'TB-Apr'!K261+'TB-May'!K261+'TB-Jun'!K261+'TB-Jul'!K261+'TB-Aug'!K261+'TB-Sep'!K261+'TB-Oct'!K261+'TB-Nov'!K261+'TB-Dec'!K261</f>
        <v>0</v>
      </c>
      <c r="L261" s="96">
        <f>'TB-Jan'!L261+'TB-Feb'!L261+'TB-Mar'!L261+'TB-Apr'!L261+'TB-May'!L261+'TB-Jun'!L261+'TB-Jul'!L261+'TB-Aug'!L261+'TB-Sep'!L261+'TB-Oct'!L261+'TB-Nov'!L261+'TB-Dec'!L261</f>
        <v>0</v>
      </c>
      <c r="M261" s="97">
        <f>'TB-Jan'!M261+'TB-Feb'!M261+'TB-Mar'!M261+'TB-Apr'!M261+'TB-May'!M261+'TB-Jun'!M261+'TB-Jul'!M261+'TB-Aug'!M261+'TB-Sep'!M261+'TB-Oct'!M261+'TB-Nov'!M261+'TB-Dec'!M261</f>
        <v>0</v>
      </c>
      <c r="N261" s="97">
        <f>'TB-Jan'!N261+'TB-Feb'!N261+'TB-Mar'!N261+'TB-Apr'!N261+'TB-May'!N261+'TB-Jun'!N261+'TB-Jul'!N261+'TB-Aug'!N261+'TB-Sep'!N261+'TB-Oct'!N261+'TB-Nov'!N261+'TB-Dec'!N261</f>
        <v>0</v>
      </c>
    </row>
    <row r="262" spans="1:14" hidden="1">
      <c r="A262" s="3" t="s">
        <v>482</v>
      </c>
      <c r="B262" s="10" t="s">
        <v>483</v>
      </c>
      <c r="C262" s="5"/>
      <c r="D262" s="5">
        <f t="shared" si="7"/>
        <v>0</v>
      </c>
      <c r="E262" s="6">
        <f t="shared" si="6"/>
        <v>0</v>
      </c>
      <c r="F262" s="6">
        <f t="shared" si="6"/>
        <v>0</v>
      </c>
      <c r="G262" s="94">
        <f>'TB-Jan'!G262+'TB-Feb'!G262+'TB-Mar'!G262+'TB-Apr'!G262+'TB-May'!G262+'TB-Jun'!G262+'TB-Jul'!G262+'TB-Aug'!G262+'TB-Sep'!G262+'TB-Oct'!G262+'TB-Nov'!G262+'TB-Dec'!G262</f>
        <v>0</v>
      </c>
      <c r="H262" s="94">
        <f>'TB-Jan'!H262+'TB-Feb'!H262+'TB-Mar'!H262+'TB-Apr'!H262+'TB-May'!H262+'TB-Jun'!H262+'TB-Jul'!H262+'TB-Aug'!H262+'TB-Sep'!H262+'TB-Oct'!H262+'TB-Nov'!H262+'TB-Dec'!H262</f>
        <v>0</v>
      </c>
      <c r="I262" s="95">
        <f>'TB-Jan'!I262+'TB-Feb'!I262+'TB-Mar'!I262+'TB-Apr'!I262+'TB-May'!I262+'TB-Jun'!I262+'TB-Jul'!I262+'TB-Aug'!I262+'TB-Sep'!I262+'TB-Oct'!I262+'TB-Nov'!I262+'TB-Dec'!I262</f>
        <v>0</v>
      </c>
      <c r="J262" s="95">
        <f>'TB-Jan'!J262+'TB-Feb'!J262+'TB-Mar'!J262+'TB-Apr'!J262+'TB-May'!J262+'TB-Jun'!J262+'TB-Jul'!J262+'TB-Aug'!J262+'TB-Sep'!J262+'TB-Oct'!J262+'TB-Nov'!J262+'TB-Dec'!J262</f>
        <v>0</v>
      </c>
      <c r="K262" s="96">
        <f>'TB-Jan'!K262+'TB-Feb'!K262+'TB-Mar'!K262+'TB-Apr'!K262+'TB-May'!K262+'TB-Jun'!K262+'TB-Jul'!K262+'TB-Aug'!K262+'TB-Sep'!K262+'TB-Oct'!K262+'TB-Nov'!K262+'TB-Dec'!K262</f>
        <v>0</v>
      </c>
      <c r="L262" s="96">
        <f>'TB-Jan'!L262+'TB-Feb'!L262+'TB-Mar'!L262+'TB-Apr'!L262+'TB-May'!L262+'TB-Jun'!L262+'TB-Jul'!L262+'TB-Aug'!L262+'TB-Sep'!L262+'TB-Oct'!L262+'TB-Nov'!L262+'TB-Dec'!L262</f>
        <v>0</v>
      </c>
      <c r="M262" s="97">
        <f>'TB-Jan'!M262+'TB-Feb'!M262+'TB-Mar'!M262+'TB-Apr'!M262+'TB-May'!M262+'TB-Jun'!M262+'TB-Jul'!M262+'TB-Aug'!M262+'TB-Sep'!M262+'TB-Oct'!M262+'TB-Nov'!M262+'TB-Dec'!M262</f>
        <v>0</v>
      </c>
      <c r="N262" s="97">
        <f>'TB-Jan'!N262+'TB-Feb'!N262+'TB-Mar'!N262+'TB-Apr'!N262+'TB-May'!N262+'TB-Jun'!N262+'TB-Jul'!N262+'TB-Aug'!N262+'TB-Sep'!N262+'TB-Oct'!N262+'TB-Nov'!N262+'TB-Dec'!N262</f>
        <v>0</v>
      </c>
    </row>
    <row r="263" spans="1:14" hidden="1">
      <c r="A263" s="3" t="s">
        <v>484</v>
      </c>
      <c r="B263" s="10" t="s">
        <v>485</v>
      </c>
      <c r="C263" s="5"/>
      <c r="D263" s="5">
        <f t="shared" si="7"/>
        <v>0</v>
      </c>
      <c r="E263" s="6">
        <f t="shared" si="6"/>
        <v>0</v>
      </c>
      <c r="F263" s="6">
        <f t="shared" si="6"/>
        <v>0</v>
      </c>
      <c r="G263" s="94">
        <f>'TB-Jan'!G263+'TB-Feb'!G263+'TB-Mar'!G263+'TB-Apr'!G263+'TB-May'!G263+'TB-Jun'!G263+'TB-Jul'!G263+'TB-Aug'!G263+'TB-Sep'!G263+'TB-Oct'!G263+'TB-Nov'!G263+'TB-Dec'!G263</f>
        <v>0</v>
      </c>
      <c r="H263" s="94">
        <f>'TB-Jan'!H263+'TB-Feb'!H263+'TB-Mar'!H263+'TB-Apr'!H263+'TB-May'!H263+'TB-Jun'!H263+'TB-Jul'!H263+'TB-Aug'!H263+'TB-Sep'!H263+'TB-Oct'!H263+'TB-Nov'!H263+'TB-Dec'!H263</f>
        <v>0</v>
      </c>
      <c r="I263" s="95">
        <f>'TB-Jan'!I263+'TB-Feb'!I263+'TB-Mar'!I263+'TB-Apr'!I263+'TB-May'!I263+'TB-Jun'!I263+'TB-Jul'!I263+'TB-Aug'!I263+'TB-Sep'!I263+'TB-Oct'!I263+'TB-Nov'!I263+'TB-Dec'!I263</f>
        <v>0</v>
      </c>
      <c r="J263" s="95">
        <f>'TB-Jan'!J263+'TB-Feb'!J263+'TB-Mar'!J263+'TB-Apr'!J263+'TB-May'!J263+'TB-Jun'!J263+'TB-Jul'!J263+'TB-Aug'!J263+'TB-Sep'!J263+'TB-Oct'!J263+'TB-Nov'!J263+'TB-Dec'!J263</f>
        <v>0</v>
      </c>
      <c r="K263" s="96">
        <f>'TB-Jan'!K263+'TB-Feb'!K263+'TB-Mar'!K263+'TB-Apr'!K263+'TB-May'!K263+'TB-Jun'!K263+'TB-Jul'!K263+'TB-Aug'!K263+'TB-Sep'!K263+'TB-Oct'!K263+'TB-Nov'!K263+'TB-Dec'!K263</f>
        <v>0</v>
      </c>
      <c r="L263" s="96">
        <f>'TB-Jan'!L263+'TB-Feb'!L263+'TB-Mar'!L263+'TB-Apr'!L263+'TB-May'!L263+'TB-Jun'!L263+'TB-Jul'!L263+'TB-Aug'!L263+'TB-Sep'!L263+'TB-Oct'!L263+'TB-Nov'!L263+'TB-Dec'!L263</f>
        <v>0</v>
      </c>
      <c r="M263" s="97">
        <f>'TB-Jan'!M263+'TB-Feb'!M263+'TB-Mar'!M263+'TB-Apr'!M263+'TB-May'!M263+'TB-Jun'!M263+'TB-Jul'!M263+'TB-Aug'!M263+'TB-Sep'!M263+'TB-Oct'!M263+'TB-Nov'!M263+'TB-Dec'!M263</f>
        <v>0</v>
      </c>
      <c r="N263" s="97">
        <f>'TB-Jan'!N263+'TB-Feb'!N263+'TB-Mar'!N263+'TB-Apr'!N263+'TB-May'!N263+'TB-Jun'!N263+'TB-Jul'!N263+'TB-Aug'!N263+'TB-Sep'!N263+'TB-Oct'!N263+'TB-Nov'!N263+'TB-Dec'!N263</f>
        <v>0</v>
      </c>
    </row>
    <row r="264" spans="1:14" hidden="1">
      <c r="A264" s="3" t="s">
        <v>486</v>
      </c>
      <c r="B264" s="10" t="s">
        <v>487</v>
      </c>
      <c r="C264" s="5"/>
      <c r="D264" s="5">
        <f t="shared" si="7"/>
        <v>0</v>
      </c>
      <c r="E264" s="6">
        <f t="shared" si="6"/>
        <v>0</v>
      </c>
      <c r="F264" s="6">
        <f t="shared" si="6"/>
        <v>0</v>
      </c>
      <c r="G264" s="94">
        <f>'TB-Jan'!G264+'TB-Feb'!G264+'TB-Mar'!G264+'TB-Apr'!G264+'TB-May'!G264+'TB-Jun'!G264+'TB-Jul'!G264+'TB-Aug'!G264+'TB-Sep'!G264+'TB-Oct'!G264+'TB-Nov'!G264+'TB-Dec'!G264</f>
        <v>0</v>
      </c>
      <c r="H264" s="94">
        <f>'TB-Jan'!H264+'TB-Feb'!H264+'TB-Mar'!H264+'TB-Apr'!H264+'TB-May'!H264+'TB-Jun'!H264+'TB-Jul'!H264+'TB-Aug'!H264+'TB-Sep'!H264+'TB-Oct'!H264+'TB-Nov'!H264+'TB-Dec'!H264</f>
        <v>0</v>
      </c>
      <c r="I264" s="95">
        <f>'TB-Jan'!I264+'TB-Feb'!I264+'TB-Mar'!I264+'TB-Apr'!I264+'TB-May'!I264+'TB-Jun'!I264+'TB-Jul'!I264+'TB-Aug'!I264+'TB-Sep'!I264+'TB-Oct'!I264+'TB-Nov'!I264+'TB-Dec'!I264</f>
        <v>0</v>
      </c>
      <c r="J264" s="95">
        <f>'TB-Jan'!J264+'TB-Feb'!J264+'TB-Mar'!J264+'TB-Apr'!J264+'TB-May'!J264+'TB-Jun'!J264+'TB-Jul'!J264+'TB-Aug'!J264+'TB-Sep'!J264+'TB-Oct'!J264+'TB-Nov'!J264+'TB-Dec'!J264</f>
        <v>0</v>
      </c>
      <c r="K264" s="96">
        <f>'TB-Jan'!K264+'TB-Feb'!K264+'TB-Mar'!K264+'TB-Apr'!K264+'TB-May'!K264+'TB-Jun'!K264+'TB-Jul'!K264+'TB-Aug'!K264+'TB-Sep'!K264+'TB-Oct'!K264+'TB-Nov'!K264+'TB-Dec'!K264</f>
        <v>0</v>
      </c>
      <c r="L264" s="96">
        <f>'TB-Jan'!L264+'TB-Feb'!L264+'TB-Mar'!L264+'TB-Apr'!L264+'TB-May'!L264+'TB-Jun'!L264+'TB-Jul'!L264+'TB-Aug'!L264+'TB-Sep'!L264+'TB-Oct'!L264+'TB-Nov'!L264+'TB-Dec'!L264</f>
        <v>0</v>
      </c>
      <c r="M264" s="97">
        <f>'TB-Jan'!M264+'TB-Feb'!M264+'TB-Mar'!M264+'TB-Apr'!M264+'TB-May'!M264+'TB-Jun'!M264+'TB-Jul'!M264+'TB-Aug'!M264+'TB-Sep'!M264+'TB-Oct'!M264+'TB-Nov'!M264+'TB-Dec'!M264</f>
        <v>0</v>
      </c>
      <c r="N264" s="97">
        <f>'TB-Jan'!N264+'TB-Feb'!N264+'TB-Mar'!N264+'TB-Apr'!N264+'TB-May'!N264+'TB-Jun'!N264+'TB-Jul'!N264+'TB-Aug'!N264+'TB-Sep'!N264+'TB-Oct'!N264+'TB-Nov'!N264+'TB-Dec'!N264</f>
        <v>0</v>
      </c>
    </row>
    <row r="265" spans="1:14" hidden="1">
      <c r="A265" s="3" t="s">
        <v>488</v>
      </c>
      <c r="B265" s="10" t="s">
        <v>489</v>
      </c>
      <c r="C265" s="5"/>
      <c r="D265" s="5">
        <f t="shared" si="7"/>
        <v>0</v>
      </c>
      <c r="E265" s="6">
        <f t="shared" si="6"/>
        <v>0</v>
      </c>
      <c r="F265" s="6">
        <f t="shared" si="6"/>
        <v>0</v>
      </c>
      <c r="G265" s="94">
        <f>'TB-Jan'!G265+'TB-Feb'!G265+'TB-Mar'!G265+'TB-Apr'!G265+'TB-May'!G265+'TB-Jun'!G265+'TB-Jul'!G265+'TB-Aug'!G265+'TB-Sep'!G265+'TB-Oct'!G265+'TB-Nov'!G265+'TB-Dec'!G265</f>
        <v>0</v>
      </c>
      <c r="H265" s="94">
        <f>'TB-Jan'!H265+'TB-Feb'!H265+'TB-Mar'!H265+'TB-Apr'!H265+'TB-May'!H265+'TB-Jun'!H265+'TB-Jul'!H265+'TB-Aug'!H265+'TB-Sep'!H265+'TB-Oct'!H265+'TB-Nov'!H265+'TB-Dec'!H265</f>
        <v>0</v>
      </c>
      <c r="I265" s="95">
        <f>'TB-Jan'!I265+'TB-Feb'!I265+'TB-Mar'!I265+'TB-Apr'!I265+'TB-May'!I265+'TB-Jun'!I265+'TB-Jul'!I265+'TB-Aug'!I265+'TB-Sep'!I265+'TB-Oct'!I265+'TB-Nov'!I265+'TB-Dec'!I265</f>
        <v>0</v>
      </c>
      <c r="J265" s="95">
        <f>'TB-Jan'!J265+'TB-Feb'!J265+'TB-Mar'!J265+'TB-Apr'!J265+'TB-May'!J265+'TB-Jun'!J265+'TB-Jul'!J265+'TB-Aug'!J265+'TB-Sep'!J265+'TB-Oct'!J265+'TB-Nov'!J265+'TB-Dec'!J265</f>
        <v>0</v>
      </c>
      <c r="K265" s="96">
        <f>'TB-Jan'!K265+'TB-Feb'!K265+'TB-Mar'!K265+'TB-Apr'!K265+'TB-May'!K265+'TB-Jun'!K265+'TB-Jul'!K265+'TB-Aug'!K265+'TB-Sep'!K265+'TB-Oct'!K265+'TB-Nov'!K265+'TB-Dec'!K265</f>
        <v>0</v>
      </c>
      <c r="L265" s="96">
        <f>'TB-Jan'!L265+'TB-Feb'!L265+'TB-Mar'!L265+'TB-Apr'!L265+'TB-May'!L265+'TB-Jun'!L265+'TB-Jul'!L265+'TB-Aug'!L265+'TB-Sep'!L265+'TB-Oct'!L265+'TB-Nov'!L265+'TB-Dec'!L265</f>
        <v>0</v>
      </c>
      <c r="M265" s="97">
        <f>'TB-Jan'!M265+'TB-Feb'!M265+'TB-Mar'!M265+'TB-Apr'!M265+'TB-May'!M265+'TB-Jun'!M265+'TB-Jul'!M265+'TB-Aug'!M265+'TB-Sep'!M265+'TB-Oct'!M265+'TB-Nov'!M265+'TB-Dec'!M265</f>
        <v>0</v>
      </c>
      <c r="N265" s="97">
        <f>'TB-Jan'!N265+'TB-Feb'!N265+'TB-Mar'!N265+'TB-Apr'!N265+'TB-May'!N265+'TB-Jun'!N265+'TB-Jul'!N265+'TB-Aug'!N265+'TB-Sep'!N265+'TB-Oct'!N265+'TB-Nov'!N265+'TB-Dec'!N265</f>
        <v>0</v>
      </c>
    </row>
    <row r="266" spans="1:14" hidden="1">
      <c r="A266" s="3" t="s">
        <v>490</v>
      </c>
      <c r="B266" s="10" t="s">
        <v>491</v>
      </c>
      <c r="C266" s="5"/>
      <c r="D266" s="5">
        <f t="shared" si="7"/>
        <v>0</v>
      </c>
      <c r="E266" s="6">
        <f t="shared" si="6"/>
        <v>0</v>
      </c>
      <c r="F266" s="6">
        <f t="shared" si="6"/>
        <v>0</v>
      </c>
      <c r="G266" s="94">
        <f>'TB-Jan'!G266+'TB-Feb'!G266+'TB-Mar'!G266+'TB-Apr'!G266+'TB-May'!G266+'TB-Jun'!G266+'TB-Jul'!G266+'TB-Aug'!G266+'TB-Sep'!G266+'TB-Oct'!G266+'TB-Nov'!G266+'TB-Dec'!G266</f>
        <v>0</v>
      </c>
      <c r="H266" s="94">
        <f>'TB-Jan'!H266+'TB-Feb'!H266+'TB-Mar'!H266+'TB-Apr'!H266+'TB-May'!H266+'TB-Jun'!H266+'TB-Jul'!H266+'TB-Aug'!H266+'TB-Sep'!H266+'TB-Oct'!H266+'TB-Nov'!H266+'TB-Dec'!H266</f>
        <v>0</v>
      </c>
      <c r="I266" s="95">
        <f>'TB-Jan'!I266+'TB-Feb'!I266+'TB-Mar'!I266+'TB-Apr'!I266+'TB-May'!I266+'TB-Jun'!I266+'TB-Jul'!I266+'TB-Aug'!I266+'TB-Sep'!I266+'TB-Oct'!I266+'TB-Nov'!I266+'TB-Dec'!I266</f>
        <v>0</v>
      </c>
      <c r="J266" s="95">
        <f>'TB-Jan'!J266+'TB-Feb'!J266+'TB-Mar'!J266+'TB-Apr'!J266+'TB-May'!J266+'TB-Jun'!J266+'TB-Jul'!J266+'TB-Aug'!J266+'TB-Sep'!J266+'TB-Oct'!J266+'TB-Nov'!J266+'TB-Dec'!J266</f>
        <v>0</v>
      </c>
      <c r="K266" s="96">
        <f>'TB-Jan'!K266+'TB-Feb'!K266+'TB-Mar'!K266+'TB-Apr'!K266+'TB-May'!K266+'TB-Jun'!K266+'TB-Jul'!K266+'TB-Aug'!K266+'TB-Sep'!K266+'TB-Oct'!K266+'TB-Nov'!K266+'TB-Dec'!K266</f>
        <v>0</v>
      </c>
      <c r="L266" s="96">
        <f>'TB-Jan'!L266+'TB-Feb'!L266+'TB-Mar'!L266+'TB-Apr'!L266+'TB-May'!L266+'TB-Jun'!L266+'TB-Jul'!L266+'TB-Aug'!L266+'TB-Sep'!L266+'TB-Oct'!L266+'TB-Nov'!L266+'TB-Dec'!L266</f>
        <v>0</v>
      </c>
      <c r="M266" s="97">
        <f>'TB-Jan'!M266+'TB-Feb'!M266+'TB-Mar'!M266+'TB-Apr'!M266+'TB-May'!M266+'TB-Jun'!M266+'TB-Jul'!M266+'TB-Aug'!M266+'TB-Sep'!M266+'TB-Oct'!M266+'TB-Nov'!M266+'TB-Dec'!M266</f>
        <v>0</v>
      </c>
      <c r="N266" s="97">
        <f>'TB-Jan'!N266+'TB-Feb'!N266+'TB-Mar'!N266+'TB-Apr'!N266+'TB-May'!N266+'TB-Jun'!N266+'TB-Jul'!N266+'TB-Aug'!N266+'TB-Sep'!N266+'TB-Oct'!N266+'TB-Nov'!N266+'TB-Dec'!N266</f>
        <v>0</v>
      </c>
    </row>
    <row r="267" spans="1:14">
      <c r="A267" s="3" t="s">
        <v>492</v>
      </c>
      <c r="B267" s="10" t="s">
        <v>493</v>
      </c>
      <c r="C267" s="5"/>
      <c r="D267" s="5">
        <f t="shared" si="7"/>
        <v>18581.23</v>
      </c>
      <c r="E267" s="6">
        <f t="shared" si="6"/>
        <v>0</v>
      </c>
      <c r="F267" s="6">
        <f t="shared" si="6"/>
        <v>18581.23</v>
      </c>
      <c r="G267" s="94">
        <f>'TB-Jan'!G267+'TB-Feb'!G267+'TB-Mar'!G267+'TB-Apr'!G267+'TB-May'!G267+'TB-Jun'!G267+'TB-Jul'!G267+'TB-Aug'!G267+'TB-Sep'!G267+'TB-Oct'!G267+'TB-Nov'!G267+'TB-Dec'!G267</f>
        <v>0</v>
      </c>
      <c r="H267" s="94">
        <f>'TB-Jan'!H267+'TB-Feb'!H267+'TB-Mar'!H267+'TB-Apr'!H267+'TB-May'!H267+'TB-Jun'!H267+'TB-Jul'!H267+'TB-Aug'!H267+'TB-Sep'!H267+'TB-Oct'!H267+'TB-Nov'!H267+'TB-Dec'!H267</f>
        <v>0</v>
      </c>
      <c r="I267" s="95">
        <f>'TB-Jan'!I267+'TB-Feb'!I267+'TB-Mar'!I267+'TB-Apr'!I267+'TB-May'!I267+'TB-Jun'!I267+'TB-Jul'!I267+'TB-Aug'!I267+'TB-Sep'!I267+'TB-Oct'!I267+'TB-Nov'!I267+'TB-Dec'!I267</f>
        <v>0</v>
      </c>
      <c r="J267" s="95">
        <f>'TB-Jan'!J267+'TB-Feb'!J267+'TB-Mar'!J267+'TB-Apr'!J267+'TB-May'!J267+'TB-Jun'!J267+'TB-Jul'!J267+'TB-Aug'!J267+'TB-Sep'!J267+'TB-Oct'!J267+'TB-Nov'!J267+'TB-Dec'!J267</f>
        <v>0</v>
      </c>
      <c r="K267" s="96">
        <f>'TB-Jan'!K267+'TB-Feb'!K267+'TB-Mar'!K267+'TB-Apr'!K267+'TB-May'!K267+'TB-Jun'!K267+'TB-Jul'!K267+'TB-Aug'!K267+'TB-Sep'!K267+'TB-Oct'!K267+'TB-Nov'!K267+'TB-Dec'!K267</f>
        <v>0</v>
      </c>
      <c r="L267" s="96">
        <f>'TB-Jan'!L267+'TB-Feb'!L267+'TB-Mar'!L267+'TB-Apr'!L267+'TB-May'!L267+'TB-Jun'!L267+'TB-Jul'!L267+'TB-Aug'!L267+'TB-Sep'!L267+'TB-Oct'!L267+'TB-Nov'!L267+'TB-Dec'!L267</f>
        <v>0</v>
      </c>
      <c r="M267" s="97">
        <f>'TB-Jan'!M267+'TB-Feb'!M267+'TB-Mar'!M267+'TB-Apr'!M267+'TB-May'!M267+'TB-Jun'!M267+'TB-Jul'!M267+'TB-Aug'!M267+'TB-Sep'!M267+'TB-Oct'!M267+'TB-Nov'!M267+'TB-Dec'!M267</f>
        <v>0</v>
      </c>
      <c r="N267" s="97">
        <f>'TB-Jan'!N267+'TB-Feb'!N267+'TB-Mar'!N267+'TB-Apr'!N267+'TB-May'!N267+'TB-Jun'!N267+'TB-Jul'!N267+'TB-Aug'!N267+'TB-Sep'!N267+'TB-Oct'!N267+'TB-Nov'!N267+'TB-Dec'!N267</f>
        <v>18581.23</v>
      </c>
    </row>
    <row r="268" spans="1:14" hidden="1">
      <c r="A268" s="3" t="s">
        <v>494</v>
      </c>
      <c r="B268" s="10" t="s">
        <v>495</v>
      </c>
      <c r="C268" s="5"/>
      <c r="D268" s="5">
        <f t="shared" si="7"/>
        <v>0</v>
      </c>
      <c r="E268" s="6">
        <f t="shared" si="6"/>
        <v>0</v>
      </c>
      <c r="F268" s="6">
        <f t="shared" si="6"/>
        <v>0</v>
      </c>
      <c r="G268" s="94">
        <f>'TB-Jan'!G268+'TB-Feb'!G268+'TB-Mar'!G268+'TB-Apr'!G268+'TB-May'!G268+'TB-Jun'!G268+'TB-Jul'!G268+'TB-Aug'!G268+'TB-Sep'!G268+'TB-Oct'!G268+'TB-Nov'!G268+'TB-Dec'!G268</f>
        <v>0</v>
      </c>
      <c r="H268" s="94">
        <f>'TB-Jan'!H268+'TB-Feb'!H268+'TB-Mar'!H268+'TB-Apr'!H268+'TB-May'!H268+'TB-Jun'!H268+'TB-Jul'!H268+'TB-Aug'!H268+'TB-Sep'!H268+'TB-Oct'!H268+'TB-Nov'!H268+'TB-Dec'!H268</f>
        <v>0</v>
      </c>
      <c r="I268" s="95">
        <f>'TB-Jan'!I268+'TB-Feb'!I268+'TB-Mar'!I268+'TB-Apr'!I268+'TB-May'!I268+'TB-Jun'!I268+'TB-Jul'!I268+'TB-Aug'!I268+'TB-Sep'!I268+'TB-Oct'!I268+'TB-Nov'!I268+'TB-Dec'!I268</f>
        <v>0</v>
      </c>
      <c r="J268" s="95">
        <f>'TB-Jan'!J268+'TB-Feb'!J268+'TB-Mar'!J268+'TB-Apr'!J268+'TB-May'!J268+'TB-Jun'!J268+'TB-Jul'!J268+'TB-Aug'!J268+'TB-Sep'!J268+'TB-Oct'!J268+'TB-Nov'!J268+'TB-Dec'!J268</f>
        <v>0</v>
      </c>
      <c r="K268" s="96">
        <f>'TB-Jan'!K268+'TB-Feb'!K268+'TB-Mar'!K268+'TB-Apr'!K268+'TB-May'!K268+'TB-Jun'!K268+'TB-Jul'!K268+'TB-Aug'!K268+'TB-Sep'!K268+'TB-Oct'!K268+'TB-Nov'!K268+'TB-Dec'!K268</f>
        <v>0</v>
      </c>
      <c r="L268" s="96">
        <f>'TB-Jan'!L268+'TB-Feb'!L268+'TB-Mar'!L268+'TB-Apr'!L268+'TB-May'!L268+'TB-Jun'!L268+'TB-Jul'!L268+'TB-Aug'!L268+'TB-Sep'!L268+'TB-Oct'!L268+'TB-Nov'!L268+'TB-Dec'!L268</f>
        <v>0</v>
      </c>
      <c r="M268" s="97">
        <f>'TB-Jan'!M268+'TB-Feb'!M268+'TB-Mar'!M268+'TB-Apr'!M268+'TB-May'!M268+'TB-Jun'!M268+'TB-Jul'!M268+'TB-Aug'!M268+'TB-Sep'!M268+'TB-Oct'!M268+'TB-Nov'!M268+'TB-Dec'!M268</f>
        <v>0</v>
      </c>
      <c r="N268" s="97">
        <f>'TB-Jan'!N268+'TB-Feb'!N268+'TB-Mar'!N268+'TB-Apr'!N268+'TB-May'!N268+'TB-Jun'!N268+'TB-Jul'!N268+'TB-Aug'!N268+'TB-Sep'!N268+'TB-Oct'!N268+'TB-Nov'!N268+'TB-Dec'!N268</f>
        <v>0</v>
      </c>
    </row>
    <row r="269" spans="1:14" hidden="1">
      <c r="A269" s="3" t="s">
        <v>496</v>
      </c>
      <c r="B269" s="10" t="s">
        <v>497</v>
      </c>
      <c r="C269" s="5"/>
      <c r="D269" s="5">
        <f t="shared" si="7"/>
        <v>0</v>
      </c>
      <c r="E269" s="6">
        <f t="shared" si="6"/>
        <v>0</v>
      </c>
      <c r="F269" s="6">
        <f t="shared" si="6"/>
        <v>0</v>
      </c>
      <c r="G269" s="94">
        <f>'TB-Jan'!G269+'TB-Feb'!G269+'TB-Mar'!G269+'TB-Apr'!G269+'TB-May'!G269+'TB-Jun'!G269+'TB-Jul'!G269+'TB-Aug'!G269+'TB-Sep'!G269+'TB-Oct'!G269+'TB-Nov'!G269+'TB-Dec'!G269</f>
        <v>0</v>
      </c>
      <c r="H269" s="94">
        <f>'TB-Jan'!H269+'TB-Feb'!H269+'TB-Mar'!H269+'TB-Apr'!H269+'TB-May'!H269+'TB-Jun'!H269+'TB-Jul'!H269+'TB-Aug'!H269+'TB-Sep'!H269+'TB-Oct'!H269+'TB-Nov'!H269+'TB-Dec'!H269</f>
        <v>0</v>
      </c>
      <c r="I269" s="95">
        <f>'TB-Jan'!I269+'TB-Feb'!I269+'TB-Mar'!I269+'TB-Apr'!I269+'TB-May'!I269+'TB-Jun'!I269+'TB-Jul'!I269+'TB-Aug'!I269+'TB-Sep'!I269+'TB-Oct'!I269+'TB-Nov'!I269+'TB-Dec'!I269</f>
        <v>0</v>
      </c>
      <c r="J269" s="95">
        <f>'TB-Jan'!J269+'TB-Feb'!J269+'TB-Mar'!J269+'TB-Apr'!J269+'TB-May'!J269+'TB-Jun'!J269+'TB-Jul'!J269+'TB-Aug'!J269+'TB-Sep'!J269+'TB-Oct'!J269+'TB-Nov'!J269+'TB-Dec'!J269</f>
        <v>0</v>
      </c>
      <c r="K269" s="96">
        <f>'TB-Jan'!K269+'TB-Feb'!K269+'TB-Mar'!K269+'TB-Apr'!K269+'TB-May'!K269+'TB-Jun'!K269+'TB-Jul'!K269+'TB-Aug'!K269+'TB-Sep'!K269+'TB-Oct'!K269+'TB-Nov'!K269+'TB-Dec'!K269</f>
        <v>0</v>
      </c>
      <c r="L269" s="96">
        <f>'TB-Jan'!L269+'TB-Feb'!L269+'TB-Mar'!L269+'TB-Apr'!L269+'TB-May'!L269+'TB-Jun'!L269+'TB-Jul'!L269+'TB-Aug'!L269+'TB-Sep'!L269+'TB-Oct'!L269+'TB-Nov'!L269+'TB-Dec'!L269</f>
        <v>0</v>
      </c>
      <c r="M269" s="97">
        <f>'TB-Jan'!M269+'TB-Feb'!M269+'TB-Mar'!M269+'TB-Apr'!M269+'TB-May'!M269+'TB-Jun'!M269+'TB-Jul'!M269+'TB-Aug'!M269+'TB-Sep'!M269+'TB-Oct'!M269+'TB-Nov'!M269+'TB-Dec'!M269</f>
        <v>0</v>
      </c>
      <c r="N269" s="97">
        <f>'TB-Jan'!N269+'TB-Feb'!N269+'TB-Mar'!N269+'TB-Apr'!N269+'TB-May'!N269+'TB-Jun'!N269+'TB-Jul'!N269+'TB-Aug'!N269+'TB-Sep'!N269+'TB-Oct'!N269+'TB-Nov'!N269+'TB-Dec'!N269</f>
        <v>0</v>
      </c>
    </row>
    <row r="270" spans="1:14" hidden="1">
      <c r="A270" s="3" t="s">
        <v>498</v>
      </c>
      <c r="B270" s="10" t="s">
        <v>499</v>
      </c>
      <c r="C270" s="5"/>
      <c r="D270" s="5">
        <f t="shared" si="7"/>
        <v>0</v>
      </c>
      <c r="E270" s="6">
        <f t="shared" ref="E270:F333" si="8">SUM(G270,I270,K270,M270)</f>
        <v>0</v>
      </c>
      <c r="F270" s="6">
        <f t="shared" si="8"/>
        <v>0</v>
      </c>
      <c r="G270" s="94">
        <f>'TB-Jan'!G270+'TB-Feb'!G270+'TB-Mar'!G270+'TB-Apr'!G270+'TB-May'!G270+'TB-Jun'!G270+'TB-Jul'!G270+'TB-Aug'!G270+'TB-Sep'!G270+'TB-Oct'!G270+'TB-Nov'!G270+'TB-Dec'!G270</f>
        <v>0</v>
      </c>
      <c r="H270" s="94">
        <f>'TB-Jan'!H270+'TB-Feb'!H270+'TB-Mar'!H270+'TB-Apr'!H270+'TB-May'!H270+'TB-Jun'!H270+'TB-Jul'!H270+'TB-Aug'!H270+'TB-Sep'!H270+'TB-Oct'!H270+'TB-Nov'!H270+'TB-Dec'!H270</f>
        <v>0</v>
      </c>
      <c r="I270" s="95">
        <f>'TB-Jan'!I270+'TB-Feb'!I270+'TB-Mar'!I270+'TB-Apr'!I270+'TB-May'!I270+'TB-Jun'!I270+'TB-Jul'!I270+'TB-Aug'!I270+'TB-Sep'!I270+'TB-Oct'!I270+'TB-Nov'!I270+'TB-Dec'!I270</f>
        <v>0</v>
      </c>
      <c r="J270" s="95">
        <f>'TB-Jan'!J270+'TB-Feb'!J270+'TB-Mar'!J270+'TB-Apr'!J270+'TB-May'!J270+'TB-Jun'!J270+'TB-Jul'!J270+'TB-Aug'!J270+'TB-Sep'!J270+'TB-Oct'!J270+'TB-Nov'!J270+'TB-Dec'!J270</f>
        <v>0</v>
      </c>
      <c r="K270" s="96">
        <f>'TB-Jan'!K270+'TB-Feb'!K270+'TB-Mar'!K270+'TB-Apr'!K270+'TB-May'!K270+'TB-Jun'!K270+'TB-Jul'!K270+'TB-Aug'!K270+'TB-Sep'!K270+'TB-Oct'!K270+'TB-Nov'!K270+'TB-Dec'!K270</f>
        <v>0</v>
      </c>
      <c r="L270" s="96">
        <f>'TB-Jan'!L270+'TB-Feb'!L270+'TB-Mar'!L270+'TB-Apr'!L270+'TB-May'!L270+'TB-Jun'!L270+'TB-Jul'!L270+'TB-Aug'!L270+'TB-Sep'!L270+'TB-Oct'!L270+'TB-Nov'!L270+'TB-Dec'!L270</f>
        <v>0</v>
      </c>
      <c r="M270" s="97">
        <f>'TB-Jan'!M270+'TB-Feb'!M270+'TB-Mar'!M270+'TB-Apr'!M270+'TB-May'!M270+'TB-Jun'!M270+'TB-Jul'!M270+'TB-Aug'!M270+'TB-Sep'!M270+'TB-Oct'!M270+'TB-Nov'!M270+'TB-Dec'!M270</f>
        <v>0</v>
      </c>
      <c r="N270" s="97">
        <f>'TB-Jan'!N270+'TB-Feb'!N270+'TB-Mar'!N270+'TB-Apr'!N270+'TB-May'!N270+'TB-Jun'!N270+'TB-Jul'!N270+'TB-Aug'!N270+'TB-Sep'!N270+'TB-Oct'!N270+'TB-Nov'!N270+'TB-Dec'!N270</f>
        <v>0</v>
      </c>
    </row>
    <row r="271" spans="1:14" hidden="1">
      <c r="A271" s="3" t="s">
        <v>500</v>
      </c>
      <c r="B271" s="10" t="s">
        <v>501</v>
      </c>
      <c r="C271" s="5"/>
      <c r="D271" s="5">
        <f t="shared" si="7"/>
        <v>0</v>
      </c>
      <c r="E271" s="6">
        <f t="shared" si="8"/>
        <v>0</v>
      </c>
      <c r="F271" s="6">
        <f t="shared" si="8"/>
        <v>0</v>
      </c>
      <c r="G271" s="94">
        <f>'TB-Jan'!G271+'TB-Feb'!G271+'TB-Mar'!G271+'TB-Apr'!G271+'TB-May'!G271+'TB-Jun'!G271+'TB-Jul'!G271+'TB-Aug'!G271+'TB-Sep'!G271+'TB-Oct'!G271+'TB-Nov'!G271+'TB-Dec'!G271</f>
        <v>0</v>
      </c>
      <c r="H271" s="94">
        <f>'TB-Jan'!H271+'TB-Feb'!H271+'TB-Mar'!H271+'TB-Apr'!H271+'TB-May'!H271+'TB-Jun'!H271+'TB-Jul'!H271+'TB-Aug'!H271+'TB-Sep'!H271+'TB-Oct'!H271+'TB-Nov'!H271+'TB-Dec'!H271</f>
        <v>0</v>
      </c>
      <c r="I271" s="95">
        <f>'TB-Jan'!I271+'TB-Feb'!I271+'TB-Mar'!I271+'TB-Apr'!I271+'TB-May'!I271+'TB-Jun'!I271+'TB-Jul'!I271+'TB-Aug'!I271+'TB-Sep'!I271+'TB-Oct'!I271+'TB-Nov'!I271+'TB-Dec'!I271</f>
        <v>0</v>
      </c>
      <c r="J271" s="95">
        <f>'TB-Jan'!J271+'TB-Feb'!J271+'TB-Mar'!J271+'TB-Apr'!J271+'TB-May'!J271+'TB-Jun'!J271+'TB-Jul'!J271+'TB-Aug'!J271+'TB-Sep'!J271+'TB-Oct'!J271+'TB-Nov'!J271+'TB-Dec'!J271</f>
        <v>0</v>
      </c>
      <c r="K271" s="96">
        <f>'TB-Jan'!K271+'TB-Feb'!K271+'TB-Mar'!K271+'TB-Apr'!K271+'TB-May'!K271+'TB-Jun'!K271+'TB-Jul'!K271+'TB-Aug'!K271+'TB-Sep'!K271+'TB-Oct'!K271+'TB-Nov'!K271+'TB-Dec'!K271</f>
        <v>0</v>
      </c>
      <c r="L271" s="96">
        <f>'TB-Jan'!L271+'TB-Feb'!L271+'TB-Mar'!L271+'TB-Apr'!L271+'TB-May'!L271+'TB-Jun'!L271+'TB-Jul'!L271+'TB-Aug'!L271+'TB-Sep'!L271+'TB-Oct'!L271+'TB-Nov'!L271+'TB-Dec'!L271</f>
        <v>0</v>
      </c>
      <c r="M271" s="97">
        <f>'TB-Jan'!M271+'TB-Feb'!M271+'TB-Mar'!M271+'TB-Apr'!M271+'TB-May'!M271+'TB-Jun'!M271+'TB-Jul'!M271+'TB-Aug'!M271+'TB-Sep'!M271+'TB-Oct'!M271+'TB-Nov'!M271+'TB-Dec'!M271</f>
        <v>0</v>
      </c>
      <c r="N271" s="97">
        <f>'TB-Jan'!N271+'TB-Feb'!N271+'TB-Mar'!N271+'TB-Apr'!N271+'TB-May'!N271+'TB-Jun'!N271+'TB-Jul'!N271+'TB-Aug'!N271+'TB-Sep'!N271+'TB-Oct'!N271+'TB-Nov'!N271+'TB-Dec'!N271</f>
        <v>0</v>
      </c>
    </row>
    <row r="272" spans="1:14" hidden="1">
      <c r="A272" s="3" t="s">
        <v>502</v>
      </c>
      <c r="B272" s="10" t="s">
        <v>503</v>
      </c>
      <c r="C272" s="5"/>
      <c r="D272" s="5">
        <f t="shared" si="7"/>
        <v>0</v>
      </c>
      <c r="E272" s="6">
        <f t="shared" si="8"/>
        <v>0</v>
      </c>
      <c r="F272" s="6">
        <f t="shared" si="8"/>
        <v>0</v>
      </c>
      <c r="G272" s="94">
        <f>'TB-Jan'!G272+'TB-Feb'!G272+'TB-Mar'!G272+'TB-Apr'!G272+'TB-May'!G272+'TB-Jun'!G272+'TB-Jul'!G272+'TB-Aug'!G272+'TB-Sep'!G272+'TB-Oct'!G272+'TB-Nov'!G272+'TB-Dec'!G272</f>
        <v>0</v>
      </c>
      <c r="H272" s="94">
        <f>'TB-Jan'!H272+'TB-Feb'!H272+'TB-Mar'!H272+'TB-Apr'!H272+'TB-May'!H272+'TB-Jun'!H272+'TB-Jul'!H272+'TB-Aug'!H272+'TB-Sep'!H272+'TB-Oct'!H272+'TB-Nov'!H272+'TB-Dec'!H272</f>
        <v>0</v>
      </c>
      <c r="I272" s="95">
        <f>'TB-Jan'!I272+'TB-Feb'!I272+'TB-Mar'!I272+'TB-Apr'!I272+'TB-May'!I272+'TB-Jun'!I272+'TB-Jul'!I272+'TB-Aug'!I272+'TB-Sep'!I272+'TB-Oct'!I272+'TB-Nov'!I272+'TB-Dec'!I272</f>
        <v>0</v>
      </c>
      <c r="J272" s="95">
        <f>'TB-Jan'!J272+'TB-Feb'!J272+'TB-Mar'!J272+'TB-Apr'!J272+'TB-May'!J272+'TB-Jun'!J272+'TB-Jul'!J272+'TB-Aug'!J272+'TB-Sep'!J272+'TB-Oct'!J272+'TB-Nov'!J272+'TB-Dec'!J272</f>
        <v>0</v>
      </c>
      <c r="K272" s="96">
        <f>'TB-Jan'!K272+'TB-Feb'!K272+'TB-Mar'!K272+'TB-Apr'!K272+'TB-May'!K272+'TB-Jun'!K272+'TB-Jul'!K272+'TB-Aug'!K272+'TB-Sep'!K272+'TB-Oct'!K272+'TB-Nov'!K272+'TB-Dec'!K272</f>
        <v>0</v>
      </c>
      <c r="L272" s="96">
        <f>'TB-Jan'!L272+'TB-Feb'!L272+'TB-Mar'!L272+'TB-Apr'!L272+'TB-May'!L272+'TB-Jun'!L272+'TB-Jul'!L272+'TB-Aug'!L272+'TB-Sep'!L272+'TB-Oct'!L272+'TB-Nov'!L272+'TB-Dec'!L272</f>
        <v>0</v>
      </c>
      <c r="M272" s="97">
        <f>'TB-Jan'!M272+'TB-Feb'!M272+'TB-Mar'!M272+'TB-Apr'!M272+'TB-May'!M272+'TB-Jun'!M272+'TB-Jul'!M272+'TB-Aug'!M272+'TB-Sep'!M272+'TB-Oct'!M272+'TB-Nov'!M272+'TB-Dec'!M272</f>
        <v>0</v>
      </c>
      <c r="N272" s="97">
        <f>'TB-Jan'!N272+'TB-Feb'!N272+'TB-Mar'!N272+'TB-Apr'!N272+'TB-May'!N272+'TB-Jun'!N272+'TB-Jul'!N272+'TB-Aug'!N272+'TB-Sep'!N272+'TB-Oct'!N272+'TB-Nov'!N272+'TB-Dec'!N272</f>
        <v>0</v>
      </c>
    </row>
    <row r="273" spans="1:14" hidden="1">
      <c r="A273" s="3" t="s">
        <v>504</v>
      </c>
      <c r="B273" s="10" t="s">
        <v>505</v>
      </c>
      <c r="C273" s="5"/>
      <c r="D273" s="5">
        <f t="shared" si="7"/>
        <v>0</v>
      </c>
      <c r="E273" s="6">
        <f t="shared" si="8"/>
        <v>0</v>
      </c>
      <c r="F273" s="6">
        <f t="shared" si="8"/>
        <v>0</v>
      </c>
      <c r="G273" s="94">
        <f>'TB-Jan'!G273+'TB-Feb'!G273+'TB-Mar'!G273+'TB-Apr'!G273+'TB-May'!G273+'TB-Jun'!G273+'TB-Jul'!G273+'TB-Aug'!G273+'TB-Sep'!G273+'TB-Oct'!G273+'TB-Nov'!G273+'TB-Dec'!G273</f>
        <v>0</v>
      </c>
      <c r="H273" s="94">
        <f>'TB-Jan'!H273+'TB-Feb'!H273+'TB-Mar'!H273+'TB-Apr'!H273+'TB-May'!H273+'TB-Jun'!H273+'TB-Jul'!H273+'TB-Aug'!H273+'TB-Sep'!H273+'TB-Oct'!H273+'TB-Nov'!H273+'TB-Dec'!H273</f>
        <v>0</v>
      </c>
      <c r="I273" s="95">
        <f>'TB-Jan'!I273+'TB-Feb'!I273+'TB-Mar'!I273+'TB-Apr'!I273+'TB-May'!I273+'TB-Jun'!I273+'TB-Jul'!I273+'TB-Aug'!I273+'TB-Sep'!I273+'TB-Oct'!I273+'TB-Nov'!I273+'TB-Dec'!I273</f>
        <v>0</v>
      </c>
      <c r="J273" s="95">
        <f>'TB-Jan'!J273+'TB-Feb'!J273+'TB-Mar'!J273+'TB-Apr'!J273+'TB-May'!J273+'TB-Jun'!J273+'TB-Jul'!J273+'TB-Aug'!J273+'TB-Sep'!J273+'TB-Oct'!J273+'TB-Nov'!J273+'TB-Dec'!J273</f>
        <v>0</v>
      </c>
      <c r="K273" s="96">
        <f>'TB-Jan'!K273+'TB-Feb'!K273+'TB-Mar'!K273+'TB-Apr'!K273+'TB-May'!K273+'TB-Jun'!K273+'TB-Jul'!K273+'TB-Aug'!K273+'TB-Sep'!K273+'TB-Oct'!K273+'TB-Nov'!K273+'TB-Dec'!K273</f>
        <v>0</v>
      </c>
      <c r="L273" s="96">
        <f>'TB-Jan'!L273+'TB-Feb'!L273+'TB-Mar'!L273+'TB-Apr'!L273+'TB-May'!L273+'TB-Jun'!L273+'TB-Jul'!L273+'TB-Aug'!L273+'TB-Sep'!L273+'TB-Oct'!L273+'TB-Nov'!L273+'TB-Dec'!L273</f>
        <v>0</v>
      </c>
      <c r="M273" s="97">
        <f>'TB-Jan'!M273+'TB-Feb'!M273+'TB-Mar'!M273+'TB-Apr'!M273+'TB-May'!M273+'TB-Jun'!M273+'TB-Jul'!M273+'TB-Aug'!M273+'TB-Sep'!M273+'TB-Oct'!M273+'TB-Nov'!M273+'TB-Dec'!M273</f>
        <v>0</v>
      </c>
      <c r="N273" s="97">
        <f>'TB-Jan'!N273+'TB-Feb'!N273+'TB-Mar'!N273+'TB-Apr'!N273+'TB-May'!N273+'TB-Jun'!N273+'TB-Jul'!N273+'TB-Aug'!N273+'TB-Sep'!N273+'TB-Oct'!N273+'TB-Nov'!N273+'TB-Dec'!N273</f>
        <v>0</v>
      </c>
    </row>
    <row r="274" spans="1:14" hidden="1">
      <c r="A274" s="3" t="s">
        <v>506</v>
      </c>
      <c r="B274" s="10" t="s">
        <v>507</v>
      </c>
      <c r="C274" s="5"/>
      <c r="D274" s="5">
        <f t="shared" si="7"/>
        <v>0</v>
      </c>
      <c r="E274" s="6">
        <f t="shared" si="8"/>
        <v>0</v>
      </c>
      <c r="F274" s="6">
        <f t="shared" si="8"/>
        <v>0</v>
      </c>
      <c r="G274" s="94">
        <f>'TB-Jan'!G274+'TB-Feb'!G274+'TB-Mar'!G274+'TB-Apr'!G274+'TB-May'!G274+'TB-Jun'!G274+'TB-Jul'!G274+'TB-Aug'!G274+'TB-Sep'!G274+'TB-Oct'!G274+'TB-Nov'!G274+'TB-Dec'!G274</f>
        <v>0</v>
      </c>
      <c r="H274" s="94">
        <f>'TB-Jan'!H274+'TB-Feb'!H274+'TB-Mar'!H274+'TB-Apr'!H274+'TB-May'!H274+'TB-Jun'!H274+'TB-Jul'!H274+'TB-Aug'!H274+'TB-Sep'!H274+'TB-Oct'!H274+'TB-Nov'!H274+'TB-Dec'!H274</f>
        <v>0</v>
      </c>
      <c r="I274" s="95">
        <f>'TB-Jan'!I274+'TB-Feb'!I274+'TB-Mar'!I274+'TB-Apr'!I274+'TB-May'!I274+'TB-Jun'!I274+'TB-Jul'!I274+'TB-Aug'!I274+'TB-Sep'!I274+'TB-Oct'!I274+'TB-Nov'!I274+'TB-Dec'!I274</f>
        <v>0</v>
      </c>
      <c r="J274" s="95">
        <f>'TB-Jan'!J274+'TB-Feb'!J274+'TB-Mar'!J274+'TB-Apr'!J274+'TB-May'!J274+'TB-Jun'!J274+'TB-Jul'!J274+'TB-Aug'!J274+'TB-Sep'!J274+'TB-Oct'!J274+'TB-Nov'!J274+'TB-Dec'!J274</f>
        <v>0</v>
      </c>
      <c r="K274" s="96">
        <f>'TB-Jan'!K274+'TB-Feb'!K274+'TB-Mar'!K274+'TB-Apr'!K274+'TB-May'!K274+'TB-Jun'!K274+'TB-Jul'!K274+'TB-Aug'!K274+'TB-Sep'!K274+'TB-Oct'!K274+'TB-Nov'!K274+'TB-Dec'!K274</f>
        <v>0</v>
      </c>
      <c r="L274" s="96">
        <f>'TB-Jan'!L274+'TB-Feb'!L274+'TB-Mar'!L274+'TB-Apr'!L274+'TB-May'!L274+'TB-Jun'!L274+'TB-Jul'!L274+'TB-Aug'!L274+'TB-Sep'!L274+'TB-Oct'!L274+'TB-Nov'!L274+'TB-Dec'!L274</f>
        <v>0</v>
      </c>
      <c r="M274" s="97">
        <f>'TB-Jan'!M274+'TB-Feb'!M274+'TB-Mar'!M274+'TB-Apr'!M274+'TB-May'!M274+'TB-Jun'!M274+'TB-Jul'!M274+'TB-Aug'!M274+'TB-Sep'!M274+'TB-Oct'!M274+'TB-Nov'!M274+'TB-Dec'!M274</f>
        <v>0</v>
      </c>
      <c r="N274" s="97">
        <f>'TB-Jan'!N274+'TB-Feb'!N274+'TB-Mar'!N274+'TB-Apr'!N274+'TB-May'!N274+'TB-Jun'!N274+'TB-Jul'!N274+'TB-Aug'!N274+'TB-Sep'!N274+'TB-Oct'!N274+'TB-Nov'!N274+'TB-Dec'!N274</f>
        <v>0</v>
      </c>
    </row>
    <row r="275" spans="1:14" hidden="1">
      <c r="A275" s="3" t="s">
        <v>508</v>
      </c>
      <c r="B275" s="10" t="s">
        <v>509</v>
      </c>
      <c r="C275" s="5"/>
      <c r="D275" s="5">
        <f t="shared" si="7"/>
        <v>0</v>
      </c>
      <c r="E275" s="6">
        <f t="shared" si="8"/>
        <v>0</v>
      </c>
      <c r="F275" s="6">
        <f t="shared" si="8"/>
        <v>0</v>
      </c>
      <c r="G275" s="94">
        <f>'TB-Jan'!G275+'TB-Feb'!G275+'TB-Mar'!G275+'TB-Apr'!G275+'TB-May'!G275+'TB-Jun'!G275+'TB-Jul'!G275+'TB-Aug'!G275+'TB-Sep'!G275+'TB-Oct'!G275+'TB-Nov'!G275+'TB-Dec'!G275</f>
        <v>0</v>
      </c>
      <c r="H275" s="94">
        <f>'TB-Jan'!H275+'TB-Feb'!H275+'TB-Mar'!H275+'TB-Apr'!H275+'TB-May'!H275+'TB-Jun'!H275+'TB-Jul'!H275+'TB-Aug'!H275+'TB-Sep'!H275+'TB-Oct'!H275+'TB-Nov'!H275+'TB-Dec'!H275</f>
        <v>0</v>
      </c>
      <c r="I275" s="95">
        <f>'TB-Jan'!I275+'TB-Feb'!I275+'TB-Mar'!I275+'TB-Apr'!I275+'TB-May'!I275+'TB-Jun'!I275+'TB-Jul'!I275+'TB-Aug'!I275+'TB-Sep'!I275+'TB-Oct'!I275+'TB-Nov'!I275+'TB-Dec'!I275</f>
        <v>0</v>
      </c>
      <c r="J275" s="95">
        <f>'TB-Jan'!J275+'TB-Feb'!J275+'TB-Mar'!J275+'TB-Apr'!J275+'TB-May'!J275+'TB-Jun'!J275+'TB-Jul'!J275+'TB-Aug'!J275+'TB-Sep'!J275+'TB-Oct'!J275+'TB-Nov'!J275+'TB-Dec'!J275</f>
        <v>0</v>
      </c>
      <c r="K275" s="96">
        <f>'TB-Jan'!K275+'TB-Feb'!K275+'TB-Mar'!K275+'TB-Apr'!K275+'TB-May'!K275+'TB-Jun'!K275+'TB-Jul'!K275+'TB-Aug'!K275+'TB-Sep'!K275+'TB-Oct'!K275+'TB-Nov'!K275+'TB-Dec'!K275</f>
        <v>0</v>
      </c>
      <c r="L275" s="96">
        <f>'TB-Jan'!L275+'TB-Feb'!L275+'TB-Mar'!L275+'TB-Apr'!L275+'TB-May'!L275+'TB-Jun'!L275+'TB-Jul'!L275+'TB-Aug'!L275+'TB-Sep'!L275+'TB-Oct'!L275+'TB-Nov'!L275+'TB-Dec'!L275</f>
        <v>0</v>
      </c>
      <c r="M275" s="97">
        <f>'TB-Jan'!M275+'TB-Feb'!M275+'TB-Mar'!M275+'TB-Apr'!M275+'TB-May'!M275+'TB-Jun'!M275+'TB-Jul'!M275+'TB-Aug'!M275+'TB-Sep'!M275+'TB-Oct'!M275+'TB-Nov'!M275+'TB-Dec'!M275</f>
        <v>0</v>
      </c>
      <c r="N275" s="97">
        <f>'TB-Jan'!N275+'TB-Feb'!N275+'TB-Mar'!N275+'TB-Apr'!N275+'TB-May'!N275+'TB-Jun'!N275+'TB-Jul'!N275+'TB-Aug'!N275+'TB-Sep'!N275+'TB-Oct'!N275+'TB-Nov'!N275+'TB-Dec'!N275</f>
        <v>0</v>
      </c>
    </row>
    <row r="276" spans="1:14" hidden="1">
      <c r="A276" s="3" t="s">
        <v>510</v>
      </c>
      <c r="B276" s="10" t="s">
        <v>511</v>
      </c>
      <c r="C276" s="5"/>
      <c r="D276" s="5">
        <f t="shared" si="7"/>
        <v>0</v>
      </c>
      <c r="E276" s="6">
        <f t="shared" si="8"/>
        <v>0</v>
      </c>
      <c r="F276" s="6">
        <f t="shared" si="8"/>
        <v>0</v>
      </c>
      <c r="G276" s="94">
        <f>'TB-Jan'!G276+'TB-Feb'!G276+'TB-Mar'!G276+'TB-Apr'!G276+'TB-May'!G276+'TB-Jun'!G276+'TB-Jul'!G276+'TB-Aug'!G276+'TB-Sep'!G276+'TB-Oct'!G276+'TB-Nov'!G276+'TB-Dec'!G276</f>
        <v>0</v>
      </c>
      <c r="H276" s="94">
        <f>'TB-Jan'!H276+'TB-Feb'!H276+'TB-Mar'!H276+'TB-Apr'!H276+'TB-May'!H276+'TB-Jun'!H276+'TB-Jul'!H276+'TB-Aug'!H276+'TB-Sep'!H276+'TB-Oct'!H276+'TB-Nov'!H276+'TB-Dec'!H276</f>
        <v>0</v>
      </c>
      <c r="I276" s="95">
        <f>'TB-Jan'!I276+'TB-Feb'!I276+'TB-Mar'!I276+'TB-Apr'!I276+'TB-May'!I276+'TB-Jun'!I276+'TB-Jul'!I276+'TB-Aug'!I276+'TB-Sep'!I276+'TB-Oct'!I276+'TB-Nov'!I276+'TB-Dec'!I276</f>
        <v>0</v>
      </c>
      <c r="J276" s="95">
        <f>'TB-Jan'!J276+'TB-Feb'!J276+'TB-Mar'!J276+'TB-Apr'!J276+'TB-May'!J276+'TB-Jun'!J276+'TB-Jul'!J276+'TB-Aug'!J276+'TB-Sep'!J276+'TB-Oct'!J276+'TB-Nov'!J276+'TB-Dec'!J276</f>
        <v>0</v>
      </c>
      <c r="K276" s="96">
        <f>'TB-Jan'!K276+'TB-Feb'!K276+'TB-Mar'!K276+'TB-Apr'!K276+'TB-May'!K276+'TB-Jun'!K276+'TB-Jul'!K276+'TB-Aug'!K276+'TB-Sep'!K276+'TB-Oct'!K276+'TB-Nov'!K276+'TB-Dec'!K276</f>
        <v>0</v>
      </c>
      <c r="L276" s="96">
        <f>'TB-Jan'!L276+'TB-Feb'!L276+'TB-Mar'!L276+'TB-Apr'!L276+'TB-May'!L276+'TB-Jun'!L276+'TB-Jul'!L276+'TB-Aug'!L276+'TB-Sep'!L276+'TB-Oct'!L276+'TB-Nov'!L276+'TB-Dec'!L276</f>
        <v>0</v>
      </c>
      <c r="M276" s="97">
        <f>'TB-Jan'!M276+'TB-Feb'!M276+'TB-Mar'!M276+'TB-Apr'!M276+'TB-May'!M276+'TB-Jun'!M276+'TB-Jul'!M276+'TB-Aug'!M276+'TB-Sep'!M276+'TB-Oct'!M276+'TB-Nov'!M276+'TB-Dec'!M276</f>
        <v>0</v>
      </c>
      <c r="N276" s="97">
        <f>'TB-Jan'!N276+'TB-Feb'!N276+'TB-Mar'!N276+'TB-Apr'!N276+'TB-May'!N276+'TB-Jun'!N276+'TB-Jul'!N276+'TB-Aug'!N276+'TB-Sep'!N276+'TB-Oct'!N276+'TB-Nov'!N276+'TB-Dec'!N276</f>
        <v>0</v>
      </c>
    </row>
    <row r="277" spans="1:14" hidden="1">
      <c r="A277" s="3" t="s">
        <v>512</v>
      </c>
      <c r="B277" s="10" t="s">
        <v>513</v>
      </c>
      <c r="C277" s="5"/>
      <c r="D277" s="5">
        <f t="shared" si="7"/>
        <v>0</v>
      </c>
      <c r="E277" s="6">
        <f t="shared" si="8"/>
        <v>0</v>
      </c>
      <c r="F277" s="6">
        <f t="shared" si="8"/>
        <v>0</v>
      </c>
      <c r="G277" s="94">
        <f>'TB-Jan'!G277+'TB-Feb'!G277+'TB-Mar'!G277+'TB-Apr'!G277+'TB-May'!G277+'TB-Jun'!G277+'TB-Jul'!G277+'TB-Aug'!G277+'TB-Sep'!G277+'TB-Oct'!G277+'TB-Nov'!G277+'TB-Dec'!G277</f>
        <v>0</v>
      </c>
      <c r="H277" s="94">
        <f>'TB-Jan'!H277+'TB-Feb'!H277+'TB-Mar'!H277+'TB-Apr'!H277+'TB-May'!H277+'TB-Jun'!H277+'TB-Jul'!H277+'TB-Aug'!H277+'TB-Sep'!H277+'TB-Oct'!H277+'TB-Nov'!H277+'TB-Dec'!H277</f>
        <v>0</v>
      </c>
      <c r="I277" s="95">
        <f>'TB-Jan'!I277+'TB-Feb'!I277+'TB-Mar'!I277+'TB-Apr'!I277+'TB-May'!I277+'TB-Jun'!I277+'TB-Jul'!I277+'TB-Aug'!I277+'TB-Sep'!I277+'TB-Oct'!I277+'TB-Nov'!I277+'TB-Dec'!I277</f>
        <v>0</v>
      </c>
      <c r="J277" s="95">
        <f>'TB-Jan'!J277+'TB-Feb'!J277+'TB-Mar'!J277+'TB-Apr'!J277+'TB-May'!J277+'TB-Jun'!J277+'TB-Jul'!J277+'TB-Aug'!J277+'TB-Sep'!J277+'TB-Oct'!J277+'TB-Nov'!J277+'TB-Dec'!J277</f>
        <v>0</v>
      </c>
      <c r="K277" s="96">
        <f>'TB-Jan'!K277+'TB-Feb'!K277+'TB-Mar'!K277+'TB-Apr'!K277+'TB-May'!K277+'TB-Jun'!K277+'TB-Jul'!K277+'TB-Aug'!K277+'TB-Sep'!K277+'TB-Oct'!K277+'TB-Nov'!K277+'TB-Dec'!K277</f>
        <v>0</v>
      </c>
      <c r="L277" s="96">
        <f>'TB-Jan'!L277+'TB-Feb'!L277+'TB-Mar'!L277+'TB-Apr'!L277+'TB-May'!L277+'TB-Jun'!L277+'TB-Jul'!L277+'TB-Aug'!L277+'TB-Sep'!L277+'TB-Oct'!L277+'TB-Nov'!L277+'TB-Dec'!L277</f>
        <v>0</v>
      </c>
      <c r="M277" s="97">
        <f>'TB-Jan'!M277+'TB-Feb'!M277+'TB-Mar'!M277+'TB-Apr'!M277+'TB-May'!M277+'TB-Jun'!M277+'TB-Jul'!M277+'TB-Aug'!M277+'TB-Sep'!M277+'TB-Oct'!M277+'TB-Nov'!M277+'TB-Dec'!M277</f>
        <v>0</v>
      </c>
      <c r="N277" s="97">
        <f>'TB-Jan'!N277+'TB-Feb'!N277+'TB-Mar'!N277+'TB-Apr'!N277+'TB-May'!N277+'TB-Jun'!N277+'TB-Jul'!N277+'TB-Aug'!N277+'TB-Sep'!N277+'TB-Oct'!N277+'TB-Nov'!N277+'TB-Dec'!N277</f>
        <v>0</v>
      </c>
    </row>
    <row r="278" spans="1:14" hidden="1">
      <c r="A278" s="3" t="s">
        <v>514</v>
      </c>
      <c r="B278" s="10" t="s">
        <v>515</v>
      </c>
      <c r="C278" s="5"/>
      <c r="D278" s="5">
        <f t="shared" si="7"/>
        <v>0</v>
      </c>
      <c r="E278" s="6">
        <f t="shared" si="8"/>
        <v>0</v>
      </c>
      <c r="F278" s="6">
        <f t="shared" si="8"/>
        <v>0</v>
      </c>
      <c r="G278" s="94">
        <f>'TB-Jan'!G278+'TB-Feb'!G278+'TB-Mar'!G278+'TB-Apr'!G278+'TB-May'!G278+'TB-Jun'!G278+'TB-Jul'!G278+'TB-Aug'!G278+'TB-Sep'!G278+'TB-Oct'!G278+'TB-Nov'!G278+'TB-Dec'!G278</f>
        <v>0</v>
      </c>
      <c r="H278" s="94">
        <f>'TB-Jan'!H278+'TB-Feb'!H278+'TB-Mar'!H278+'TB-Apr'!H278+'TB-May'!H278+'TB-Jun'!H278+'TB-Jul'!H278+'TB-Aug'!H278+'TB-Sep'!H278+'TB-Oct'!H278+'TB-Nov'!H278+'TB-Dec'!H278</f>
        <v>0</v>
      </c>
      <c r="I278" s="95">
        <f>'TB-Jan'!I278+'TB-Feb'!I278+'TB-Mar'!I278+'TB-Apr'!I278+'TB-May'!I278+'TB-Jun'!I278+'TB-Jul'!I278+'TB-Aug'!I278+'TB-Sep'!I278+'TB-Oct'!I278+'TB-Nov'!I278+'TB-Dec'!I278</f>
        <v>0</v>
      </c>
      <c r="J278" s="95">
        <f>'TB-Jan'!J278+'TB-Feb'!J278+'TB-Mar'!J278+'TB-Apr'!J278+'TB-May'!J278+'TB-Jun'!J278+'TB-Jul'!J278+'TB-Aug'!J278+'TB-Sep'!J278+'TB-Oct'!J278+'TB-Nov'!J278+'TB-Dec'!J278</f>
        <v>0</v>
      </c>
      <c r="K278" s="96">
        <f>'TB-Jan'!K278+'TB-Feb'!K278+'TB-Mar'!K278+'TB-Apr'!K278+'TB-May'!K278+'TB-Jun'!K278+'TB-Jul'!K278+'TB-Aug'!K278+'TB-Sep'!K278+'TB-Oct'!K278+'TB-Nov'!K278+'TB-Dec'!K278</f>
        <v>0</v>
      </c>
      <c r="L278" s="96">
        <f>'TB-Jan'!L278+'TB-Feb'!L278+'TB-Mar'!L278+'TB-Apr'!L278+'TB-May'!L278+'TB-Jun'!L278+'TB-Jul'!L278+'TB-Aug'!L278+'TB-Sep'!L278+'TB-Oct'!L278+'TB-Nov'!L278+'TB-Dec'!L278</f>
        <v>0</v>
      </c>
      <c r="M278" s="97">
        <f>'TB-Jan'!M278+'TB-Feb'!M278+'TB-Mar'!M278+'TB-Apr'!M278+'TB-May'!M278+'TB-Jun'!M278+'TB-Jul'!M278+'TB-Aug'!M278+'TB-Sep'!M278+'TB-Oct'!M278+'TB-Nov'!M278+'TB-Dec'!M278</f>
        <v>0</v>
      </c>
      <c r="N278" s="97">
        <f>'TB-Jan'!N278+'TB-Feb'!N278+'TB-Mar'!N278+'TB-Apr'!N278+'TB-May'!N278+'TB-Jun'!N278+'TB-Jul'!N278+'TB-Aug'!N278+'TB-Sep'!N278+'TB-Oct'!N278+'TB-Nov'!N278+'TB-Dec'!N278</f>
        <v>0</v>
      </c>
    </row>
    <row r="279" spans="1:14" hidden="1">
      <c r="A279" s="3" t="s">
        <v>516</v>
      </c>
      <c r="B279" s="10" t="s">
        <v>517</v>
      </c>
      <c r="C279" s="5"/>
      <c r="D279" s="5">
        <f t="shared" si="7"/>
        <v>0</v>
      </c>
      <c r="E279" s="6">
        <f t="shared" si="8"/>
        <v>0</v>
      </c>
      <c r="F279" s="6">
        <f t="shared" si="8"/>
        <v>0</v>
      </c>
      <c r="G279" s="94">
        <f>'TB-Jan'!G279+'TB-Feb'!G279+'TB-Mar'!G279+'TB-Apr'!G279+'TB-May'!G279+'TB-Jun'!G279+'TB-Jul'!G279+'TB-Aug'!G279+'TB-Sep'!G279+'TB-Oct'!G279+'TB-Nov'!G279+'TB-Dec'!G279</f>
        <v>0</v>
      </c>
      <c r="H279" s="94">
        <f>'TB-Jan'!H279+'TB-Feb'!H279+'TB-Mar'!H279+'TB-Apr'!H279+'TB-May'!H279+'TB-Jun'!H279+'TB-Jul'!H279+'TB-Aug'!H279+'TB-Sep'!H279+'TB-Oct'!H279+'TB-Nov'!H279+'TB-Dec'!H279</f>
        <v>0</v>
      </c>
      <c r="I279" s="95">
        <f>'TB-Jan'!I279+'TB-Feb'!I279+'TB-Mar'!I279+'TB-Apr'!I279+'TB-May'!I279+'TB-Jun'!I279+'TB-Jul'!I279+'TB-Aug'!I279+'TB-Sep'!I279+'TB-Oct'!I279+'TB-Nov'!I279+'TB-Dec'!I279</f>
        <v>0</v>
      </c>
      <c r="J279" s="95">
        <f>'TB-Jan'!J279+'TB-Feb'!J279+'TB-Mar'!J279+'TB-Apr'!J279+'TB-May'!J279+'TB-Jun'!J279+'TB-Jul'!J279+'TB-Aug'!J279+'TB-Sep'!J279+'TB-Oct'!J279+'TB-Nov'!J279+'TB-Dec'!J279</f>
        <v>0</v>
      </c>
      <c r="K279" s="96">
        <f>'TB-Jan'!K279+'TB-Feb'!K279+'TB-Mar'!K279+'TB-Apr'!K279+'TB-May'!K279+'TB-Jun'!K279+'TB-Jul'!K279+'TB-Aug'!K279+'TB-Sep'!K279+'TB-Oct'!K279+'TB-Nov'!K279+'TB-Dec'!K279</f>
        <v>0</v>
      </c>
      <c r="L279" s="96">
        <f>'TB-Jan'!L279+'TB-Feb'!L279+'TB-Mar'!L279+'TB-Apr'!L279+'TB-May'!L279+'TB-Jun'!L279+'TB-Jul'!L279+'TB-Aug'!L279+'TB-Sep'!L279+'TB-Oct'!L279+'TB-Nov'!L279+'TB-Dec'!L279</f>
        <v>0</v>
      </c>
      <c r="M279" s="97">
        <f>'TB-Jan'!M279+'TB-Feb'!M279+'TB-Mar'!M279+'TB-Apr'!M279+'TB-May'!M279+'TB-Jun'!M279+'TB-Jul'!M279+'TB-Aug'!M279+'TB-Sep'!M279+'TB-Oct'!M279+'TB-Nov'!M279+'TB-Dec'!M279</f>
        <v>0</v>
      </c>
      <c r="N279" s="97">
        <f>'TB-Jan'!N279+'TB-Feb'!N279+'TB-Mar'!N279+'TB-Apr'!N279+'TB-May'!N279+'TB-Jun'!N279+'TB-Jul'!N279+'TB-Aug'!N279+'TB-Sep'!N279+'TB-Oct'!N279+'TB-Nov'!N279+'TB-Dec'!N279</f>
        <v>0</v>
      </c>
    </row>
    <row r="280" spans="1:14" hidden="1">
      <c r="A280" s="3" t="s">
        <v>518</v>
      </c>
      <c r="B280" s="10" t="s">
        <v>519</v>
      </c>
      <c r="C280" s="5"/>
      <c r="D280" s="5">
        <f t="shared" si="7"/>
        <v>0</v>
      </c>
      <c r="E280" s="6">
        <f t="shared" si="8"/>
        <v>0</v>
      </c>
      <c r="F280" s="6">
        <f t="shared" si="8"/>
        <v>0</v>
      </c>
      <c r="G280" s="94">
        <f>'TB-Jan'!G280+'TB-Feb'!G280+'TB-Mar'!G280+'TB-Apr'!G280+'TB-May'!G280+'TB-Jun'!G280+'TB-Jul'!G280+'TB-Aug'!G280+'TB-Sep'!G280+'TB-Oct'!G280+'TB-Nov'!G280+'TB-Dec'!G280</f>
        <v>0</v>
      </c>
      <c r="H280" s="94">
        <f>'TB-Jan'!H280+'TB-Feb'!H280+'TB-Mar'!H280+'TB-Apr'!H280+'TB-May'!H280+'TB-Jun'!H280+'TB-Jul'!H280+'TB-Aug'!H280+'TB-Sep'!H280+'TB-Oct'!H280+'TB-Nov'!H280+'TB-Dec'!H280</f>
        <v>0</v>
      </c>
      <c r="I280" s="95">
        <f>'TB-Jan'!I280+'TB-Feb'!I280+'TB-Mar'!I280+'TB-Apr'!I280+'TB-May'!I280+'TB-Jun'!I280+'TB-Jul'!I280+'TB-Aug'!I280+'TB-Sep'!I280+'TB-Oct'!I280+'TB-Nov'!I280+'TB-Dec'!I280</f>
        <v>0</v>
      </c>
      <c r="J280" s="95">
        <f>'TB-Jan'!J280+'TB-Feb'!J280+'TB-Mar'!J280+'TB-Apr'!J280+'TB-May'!J280+'TB-Jun'!J280+'TB-Jul'!J280+'TB-Aug'!J280+'TB-Sep'!J280+'TB-Oct'!J280+'TB-Nov'!J280+'TB-Dec'!J280</f>
        <v>0</v>
      </c>
      <c r="K280" s="96">
        <f>'TB-Jan'!K280+'TB-Feb'!K280+'TB-Mar'!K280+'TB-Apr'!K280+'TB-May'!K280+'TB-Jun'!K280+'TB-Jul'!K280+'TB-Aug'!K280+'TB-Sep'!K280+'TB-Oct'!K280+'TB-Nov'!K280+'TB-Dec'!K280</f>
        <v>0</v>
      </c>
      <c r="L280" s="96">
        <f>'TB-Jan'!L280+'TB-Feb'!L280+'TB-Mar'!L280+'TB-Apr'!L280+'TB-May'!L280+'TB-Jun'!L280+'TB-Jul'!L280+'TB-Aug'!L280+'TB-Sep'!L280+'TB-Oct'!L280+'TB-Nov'!L280+'TB-Dec'!L280</f>
        <v>0</v>
      </c>
      <c r="M280" s="97">
        <f>'TB-Jan'!M280+'TB-Feb'!M280+'TB-Mar'!M280+'TB-Apr'!M280+'TB-May'!M280+'TB-Jun'!M280+'TB-Jul'!M280+'TB-Aug'!M280+'TB-Sep'!M280+'TB-Oct'!M280+'TB-Nov'!M280+'TB-Dec'!M280</f>
        <v>0</v>
      </c>
      <c r="N280" s="97">
        <f>'TB-Jan'!N280+'TB-Feb'!N280+'TB-Mar'!N280+'TB-Apr'!N280+'TB-May'!N280+'TB-Jun'!N280+'TB-Jul'!N280+'TB-Aug'!N280+'TB-Sep'!N280+'TB-Oct'!N280+'TB-Nov'!N280+'TB-Dec'!N280</f>
        <v>0</v>
      </c>
    </row>
    <row r="281" spans="1:14" hidden="1">
      <c r="A281" s="3" t="s">
        <v>520</v>
      </c>
      <c r="B281" s="4" t="s">
        <v>521</v>
      </c>
      <c r="C281" s="5">
        <f t="shared" ref="C281:C344" si="9">E281-F281</f>
        <v>0</v>
      </c>
      <c r="D281" s="5"/>
      <c r="E281" s="6">
        <f t="shared" si="8"/>
        <v>0</v>
      </c>
      <c r="F281" s="6">
        <f t="shared" si="8"/>
        <v>0</v>
      </c>
      <c r="G281" s="94">
        <f>'TB-Jan'!G281+'TB-Feb'!G281+'TB-Mar'!G281+'TB-Apr'!G281+'TB-May'!G281+'TB-Jun'!G281+'TB-Jul'!G281+'TB-Aug'!G281+'TB-Sep'!G281+'TB-Oct'!G281+'TB-Nov'!G281+'TB-Dec'!G281</f>
        <v>0</v>
      </c>
      <c r="H281" s="94">
        <f>'TB-Jan'!H281+'TB-Feb'!H281+'TB-Mar'!H281+'TB-Apr'!H281+'TB-May'!H281+'TB-Jun'!H281+'TB-Jul'!H281+'TB-Aug'!H281+'TB-Sep'!H281+'TB-Oct'!H281+'TB-Nov'!H281+'TB-Dec'!H281</f>
        <v>0</v>
      </c>
      <c r="I281" s="95">
        <f>'TB-Jan'!I281+'TB-Feb'!I281+'TB-Mar'!I281+'TB-Apr'!I281+'TB-May'!I281+'TB-Jun'!I281+'TB-Jul'!I281+'TB-Aug'!I281+'TB-Sep'!I281+'TB-Oct'!I281+'TB-Nov'!I281+'TB-Dec'!I281</f>
        <v>0</v>
      </c>
      <c r="J281" s="95">
        <f>'TB-Jan'!J281+'TB-Feb'!J281+'TB-Mar'!J281+'TB-Apr'!J281+'TB-May'!J281+'TB-Jun'!J281+'TB-Jul'!J281+'TB-Aug'!J281+'TB-Sep'!J281+'TB-Oct'!J281+'TB-Nov'!J281+'TB-Dec'!J281</f>
        <v>0</v>
      </c>
      <c r="K281" s="96">
        <f>'TB-Jan'!K281+'TB-Feb'!K281+'TB-Mar'!K281+'TB-Apr'!K281+'TB-May'!K281+'TB-Jun'!K281+'TB-Jul'!K281+'TB-Aug'!K281+'TB-Sep'!K281+'TB-Oct'!K281+'TB-Nov'!K281+'TB-Dec'!K281</f>
        <v>0</v>
      </c>
      <c r="L281" s="96">
        <f>'TB-Jan'!L281+'TB-Feb'!L281+'TB-Mar'!L281+'TB-Apr'!L281+'TB-May'!L281+'TB-Jun'!L281+'TB-Jul'!L281+'TB-Aug'!L281+'TB-Sep'!L281+'TB-Oct'!L281+'TB-Nov'!L281+'TB-Dec'!L281</f>
        <v>0</v>
      </c>
      <c r="M281" s="97">
        <f>'TB-Jan'!M281+'TB-Feb'!M281+'TB-Mar'!M281+'TB-Apr'!M281+'TB-May'!M281+'TB-Jun'!M281+'TB-Jul'!M281+'TB-Aug'!M281+'TB-Sep'!M281+'TB-Oct'!M281+'TB-Nov'!M281+'TB-Dec'!M281</f>
        <v>0</v>
      </c>
      <c r="N281" s="97">
        <f>'TB-Jan'!N281+'TB-Feb'!N281+'TB-Mar'!N281+'TB-Apr'!N281+'TB-May'!N281+'TB-Jun'!N281+'TB-Jul'!N281+'TB-Aug'!N281+'TB-Sep'!N281+'TB-Oct'!N281+'TB-Nov'!N281+'TB-Dec'!N281</f>
        <v>0</v>
      </c>
    </row>
    <row r="282" spans="1:14" hidden="1">
      <c r="A282" s="3" t="s">
        <v>522</v>
      </c>
      <c r="B282" s="4" t="s">
        <v>523</v>
      </c>
      <c r="C282" s="5">
        <f t="shared" si="9"/>
        <v>0</v>
      </c>
      <c r="D282" s="5"/>
      <c r="E282" s="6">
        <f t="shared" si="8"/>
        <v>0</v>
      </c>
      <c r="F282" s="6">
        <f t="shared" si="8"/>
        <v>0</v>
      </c>
      <c r="G282" s="94">
        <f>'TB-Jan'!G282+'TB-Feb'!G282+'TB-Mar'!G282+'TB-Apr'!G282+'TB-May'!G282+'TB-Jun'!G282+'TB-Jul'!G282+'TB-Aug'!G282+'TB-Sep'!G282+'TB-Oct'!G282+'TB-Nov'!G282+'TB-Dec'!G282</f>
        <v>0</v>
      </c>
      <c r="H282" s="94">
        <f>'TB-Jan'!H282+'TB-Feb'!H282+'TB-Mar'!H282+'TB-Apr'!H282+'TB-May'!H282+'TB-Jun'!H282+'TB-Jul'!H282+'TB-Aug'!H282+'TB-Sep'!H282+'TB-Oct'!H282+'TB-Nov'!H282+'TB-Dec'!H282</f>
        <v>0</v>
      </c>
      <c r="I282" s="95">
        <f>'TB-Jan'!I282+'TB-Feb'!I282+'TB-Mar'!I282+'TB-Apr'!I282+'TB-May'!I282+'TB-Jun'!I282+'TB-Jul'!I282+'TB-Aug'!I282+'TB-Sep'!I282+'TB-Oct'!I282+'TB-Nov'!I282+'TB-Dec'!I282</f>
        <v>0</v>
      </c>
      <c r="J282" s="95">
        <f>'TB-Jan'!J282+'TB-Feb'!J282+'TB-Mar'!J282+'TB-Apr'!J282+'TB-May'!J282+'TB-Jun'!J282+'TB-Jul'!J282+'TB-Aug'!J282+'TB-Sep'!J282+'TB-Oct'!J282+'TB-Nov'!J282+'TB-Dec'!J282</f>
        <v>0</v>
      </c>
      <c r="K282" s="96">
        <f>'TB-Jan'!K282+'TB-Feb'!K282+'TB-Mar'!K282+'TB-Apr'!K282+'TB-May'!K282+'TB-Jun'!K282+'TB-Jul'!K282+'TB-Aug'!K282+'TB-Sep'!K282+'TB-Oct'!K282+'TB-Nov'!K282+'TB-Dec'!K282</f>
        <v>0</v>
      </c>
      <c r="L282" s="96">
        <f>'TB-Jan'!L282+'TB-Feb'!L282+'TB-Mar'!L282+'TB-Apr'!L282+'TB-May'!L282+'TB-Jun'!L282+'TB-Jul'!L282+'TB-Aug'!L282+'TB-Sep'!L282+'TB-Oct'!L282+'TB-Nov'!L282+'TB-Dec'!L282</f>
        <v>0</v>
      </c>
      <c r="M282" s="97">
        <f>'TB-Jan'!M282+'TB-Feb'!M282+'TB-Mar'!M282+'TB-Apr'!M282+'TB-May'!M282+'TB-Jun'!M282+'TB-Jul'!M282+'TB-Aug'!M282+'TB-Sep'!M282+'TB-Oct'!M282+'TB-Nov'!M282+'TB-Dec'!M282</f>
        <v>0</v>
      </c>
      <c r="N282" s="97">
        <f>'TB-Jan'!N282+'TB-Feb'!N282+'TB-Mar'!N282+'TB-Apr'!N282+'TB-May'!N282+'TB-Jun'!N282+'TB-Jul'!N282+'TB-Aug'!N282+'TB-Sep'!N282+'TB-Oct'!N282+'TB-Nov'!N282+'TB-Dec'!N282</f>
        <v>0</v>
      </c>
    </row>
    <row r="283" spans="1:14" hidden="1">
      <c r="A283" s="3" t="s">
        <v>524</v>
      </c>
      <c r="B283" s="4" t="s">
        <v>525</v>
      </c>
      <c r="C283" s="5">
        <f t="shared" si="9"/>
        <v>0</v>
      </c>
      <c r="D283" s="5"/>
      <c r="E283" s="6">
        <f t="shared" si="8"/>
        <v>0</v>
      </c>
      <c r="F283" s="6">
        <f t="shared" si="8"/>
        <v>0</v>
      </c>
      <c r="G283" s="94">
        <f>'TB-Jan'!G283+'TB-Feb'!G283+'TB-Mar'!G283+'TB-Apr'!G283+'TB-May'!G283+'TB-Jun'!G283+'TB-Jul'!G283+'TB-Aug'!G283+'TB-Sep'!G283+'TB-Oct'!G283+'TB-Nov'!G283+'TB-Dec'!G283</f>
        <v>0</v>
      </c>
      <c r="H283" s="94">
        <f>'TB-Jan'!H283+'TB-Feb'!H283+'TB-Mar'!H283+'TB-Apr'!H283+'TB-May'!H283+'TB-Jun'!H283+'TB-Jul'!H283+'TB-Aug'!H283+'TB-Sep'!H283+'TB-Oct'!H283+'TB-Nov'!H283+'TB-Dec'!H283</f>
        <v>0</v>
      </c>
      <c r="I283" s="95">
        <f>'TB-Jan'!I283+'TB-Feb'!I283+'TB-Mar'!I283+'TB-Apr'!I283+'TB-May'!I283+'TB-Jun'!I283+'TB-Jul'!I283+'TB-Aug'!I283+'TB-Sep'!I283+'TB-Oct'!I283+'TB-Nov'!I283+'TB-Dec'!I283</f>
        <v>0</v>
      </c>
      <c r="J283" s="95">
        <f>'TB-Jan'!J283+'TB-Feb'!J283+'TB-Mar'!J283+'TB-Apr'!J283+'TB-May'!J283+'TB-Jun'!J283+'TB-Jul'!J283+'TB-Aug'!J283+'TB-Sep'!J283+'TB-Oct'!J283+'TB-Nov'!J283+'TB-Dec'!J283</f>
        <v>0</v>
      </c>
      <c r="K283" s="96">
        <f>'TB-Jan'!K283+'TB-Feb'!K283+'TB-Mar'!K283+'TB-Apr'!K283+'TB-May'!K283+'TB-Jun'!K283+'TB-Jul'!K283+'TB-Aug'!K283+'TB-Sep'!K283+'TB-Oct'!K283+'TB-Nov'!K283+'TB-Dec'!K283</f>
        <v>0</v>
      </c>
      <c r="L283" s="96">
        <f>'TB-Jan'!L283+'TB-Feb'!L283+'TB-Mar'!L283+'TB-Apr'!L283+'TB-May'!L283+'TB-Jun'!L283+'TB-Jul'!L283+'TB-Aug'!L283+'TB-Sep'!L283+'TB-Oct'!L283+'TB-Nov'!L283+'TB-Dec'!L283</f>
        <v>0</v>
      </c>
      <c r="M283" s="97">
        <f>'TB-Jan'!M283+'TB-Feb'!M283+'TB-Mar'!M283+'TB-Apr'!M283+'TB-May'!M283+'TB-Jun'!M283+'TB-Jul'!M283+'TB-Aug'!M283+'TB-Sep'!M283+'TB-Oct'!M283+'TB-Nov'!M283+'TB-Dec'!M283</f>
        <v>0</v>
      </c>
      <c r="N283" s="97">
        <f>'TB-Jan'!N283+'TB-Feb'!N283+'TB-Mar'!N283+'TB-Apr'!N283+'TB-May'!N283+'TB-Jun'!N283+'TB-Jul'!N283+'TB-Aug'!N283+'TB-Sep'!N283+'TB-Oct'!N283+'TB-Nov'!N283+'TB-Dec'!N283</f>
        <v>0</v>
      </c>
    </row>
    <row r="284" spans="1:14" hidden="1">
      <c r="A284" s="3" t="s">
        <v>526</v>
      </c>
      <c r="B284" s="4" t="s">
        <v>527</v>
      </c>
      <c r="C284" s="5">
        <f t="shared" si="9"/>
        <v>0</v>
      </c>
      <c r="D284" s="5"/>
      <c r="E284" s="6">
        <f t="shared" si="8"/>
        <v>0</v>
      </c>
      <c r="F284" s="6">
        <f t="shared" si="8"/>
        <v>0</v>
      </c>
      <c r="G284" s="94">
        <f>'TB-Jan'!G284+'TB-Feb'!G284+'TB-Mar'!G284+'TB-Apr'!G284+'TB-May'!G284+'TB-Jun'!G284+'TB-Jul'!G284+'TB-Aug'!G284+'TB-Sep'!G284+'TB-Oct'!G284+'TB-Nov'!G284+'TB-Dec'!G284</f>
        <v>0</v>
      </c>
      <c r="H284" s="94">
        <f>'TB-Jan'!H284+'TB-Feb'!H284+'TB-Mar'!H284+'TB-Apr'!H284+'TB-May'!H284+'TB-Jun'!H284+'TB-Jul'!H284+'TB-Aug'!H284+'TB-Sep'!H284+'TB-Oct'!H284+'TB-Nov'!H284+'TB-Dec'!H284</f>
        <v>0</v>
      </c>
      <c r="I284" s="95">
        <f>'TB-Jan'!I284+'TB-Feb'!I284+'TB-Mar'!I284+'TB-Apr'!I284+'TB-May'!I284+'TB-Jun'!I284+'TB-Jul'!I284+'TB-Aug'!I284+'TB-Sep'!I284+'TB-Oct'!I284+'TB-Nov'!I284+'TB-Dec'!I284</f>
        <v>0</v>
      </c>
      <c r="J284" s="95">
        <f>'TB-Jan'!J284+'TB-Feb'!J284+'TB-Mar'!J284+'TB-Apr'!J284+'TB-May'!J284+'TB-Jun'!J284+'TB-Jul'!J284+'TB-Aug'!J284+'TB-Sep'!J284+'TB-Oct'!J284+'TB-Nov'!J284+'TB-Dec'!J284</f>
        <v>0</v>
      </c>
      <c r="K284" s="96">
        <f>'TB-Jan'!K284+'TB-Feb'!K284+'TB-Mar'!K284+'TB-Apr'!K284+'TB-May'!K284+'TB-Jun'!K284+'TB-Jul'!K284+'TB-Aug'!K284+'TB-Sep'!K284+'TB-Oct'!K284+'TB-Nov'!K284+'TB-Dec'!K284</f>
        <v>0</v>
      </c>
      <c r="L284" s="96">
        <f>'TB-Jan'!L284+'TB-Feb'!L284+'TB-Mar'!L284+'TB-Apr'!L284+'TB-May'!L284+'TB-Jun'!L284+'TB-Jul'!L284+'TB-Aug'!L284+'TB-Sep'!L284+'TB-Oct'!L284+'TB-Nov'!L284+'TB-Dec'!L284</f>
        <v>0</v>
      </c>
      <c r="M284" s="97">
        <f>'TB-Jan'!M284+'TB-Feb'!M284+'TB-Mar'!M284+'TB-Apr'!M284+'TB-May'!M284+'TB-Jun'!M284+'TB-Jul'!M284+'TB-Aug'!M284+'TB-Sep'!M284+'TB-Oct'!M284+'TB-Nov'!M284+'TB-Dec'!M284</f>
        <v>0</v>
      </c>
      <c r="N284" s="97">
        <f>'TB-Jan'!N284+'TB-Feb'!N284+'TB-Mar'!N284+'TB-Apr'!N284+'TB-May'!N284+'TB-Jun'!N284+'TB-Jul'!N284+'TB-Aug'!N284+'TB-Sep'!N284+'TB-Oct'!N284+'TB-Nov'!N284+'TB-Dec'!N284</f>
        <v>0</v>
      </c>
    </row>
    <row r="285" spans="1:14" hidden="1">
      <c r="A285" s="3" t="s">
        <v>528</v>
      </c>
      <c r="B285" s="4" t="s">
        <v>529</v>
      </c>
      <c r="C285" s="5">
        <f t="shared" si="9"/>
        <v>0</v>
      </c>
      <c r="D285" s="5"/>
      <c r="E285" s="6">
        <f t="shared" si="8"/>
        <v>0</v>
      </c>
      <c r="F285" s="6">
        <f t="shared" si="8"/>
        <v>0</v>
      </c>
      <c r="G285" s="94">
        <f>'TB-Jan'!G285+'TB-Feb'!G285+'TB-Mar'!G285+'TB-Apr'!G285+'TB-May'!G285+'TB-Jun'!G285+'TB-Jul'!G285+'TB-Aug'!G285+'TB-Sep'!G285+'TB-Oct'!G285+'TB-Nov'!G285+'TB-Dec'!G285</f>
        <v>0</v>
      </c>
      <c r="H285" s="94">
        <f>'TB-Jan'!H285+'TB-Feb'!H285+'TB-Mar'!H285+'TB-Apr'!H285+'TB-May'!H285+'TB-Jun'!H285+'TB-Jul'!H285+'TB-Aug'!H285+'TB-Sep'!H285+'TB-Oct'!H285+'TB-Nov'!H285+'TB-Dec'!H285</f>
        <v>0</v>
      </c>
      <c r="I285" s="95">
        <f>'TB-Jan'!I285+'TB-Feb'!I285+'TB-Mar'!I285+'TB-Apr'!I285+'TB-May'!I285+'TB-Jun'!I285+'TB-Jul'!I285+'TB-Aug'!I285+'TB-Sep'!I285+'TB-Oct'!I285+'TB-Nov'!I285+'TB-Dec'!I285</f>
        <v>0</v>
      </c>
      <c r="J285" s="95">
        <f>'TB-Jan'!J285+'TB-Feb'!J285+'TB-Mar'!J285+'TB-Apr'!J285+'TB-May'!J285+'TB-Jun'!J285+'TB-Jul'!J285+'TB-Aug'!J285+'TB-Sep'!J285+'TB-Oct'!J285+'TB-Nov'!J285+'TB-Dec'!J285</f>
        <v>0</v>
      </c>
      <c r="K285" s="96">
        <f>'TB-Jan'!K285+'TB-Feb'!K285+'TB-Mar'!K285+'TB-Apr'!K285+'TB-May'!K285+'TB-Jun'!K285+'TB-Jul'!K285+'TB-Aug'!K285+'TB-Sep'!K285+'TB-Oct'!K285+'TB-Nov'!K285+'TB-Dec'!K285</f>
        <v>0</v>
      </c>
      <c r="L285" s="96">
        <f>'TB-Jan'!L285+'TB-Feb'!L285+'TB-Mar'!L285+'TB-Apr'!L285+'TB-May'!L285+'TB-Jun'!L285+'TB-Jul'!L285+'TB-Aug'!L285+'TB-Sep'!L285+'TB-Oct'!L285+'TB-Nov'!L285+'TB-Dec'!L285</f>
        <v>0</v>
      </c>
      <c r="M285" s="97">
        <f>'TB-Jan'!M285+'TB-Feb'!M285+'TB-Mar'!M285+'TB-Apr'!M285+'TB-May'!M285+'TB-Jun'!M285+'TB-Jul'!M285+'TB-Aug'!M285+'TB-Sep'!M285+'TB-Oct'!M285+'TB-Nov'!M285+'TB-Dec'!M285</f>
        <v>0</v>
      </c>
      <c r="N285" s="97">
        <f>'TB-Jan'!N285+'TB-Feb'!N285+'TB-Mar'!N285+'TB-Apr'!N285+'TB-May'!N285+'TB-Jun'!N285+'TB-Jul'!N285+'TB-Aug'!N285+'TB-Sep'!N285+'TB-Oct'!N285+'TB-Nov'!N285+'TB-Dec'!N285</f>
        <v>0</v>
      </c>
    </row>
    <row r="286" spans="1:14" hidden="1">
      <c r="A286" s="3" t="s">
        <v>530</v>
      </c>
      <c r="B286" s="4" t="s">
        <v>531</v>
      </c>
      <c r="C286" s="5">
        <f t="shared" si="9"/>
        <v>0</v>
      </c>
      <c r="D286" s="5"/>
      <c r="E286" s="6">
        <f t="shared" si="8"/>
        <v>0</v>
      </c>
      <c r="F286" s="6">
        <f t="shared" si="8"/>
        <v>0</v>
      </c>
      <c r="G286" s="94">
        <f>'TB-Jan'!G286+'TB-Feb'!G286+'TB-Mar'!G286+'TB-Apr'!G286+'TB-May'!G286+'TB-Jun'!G286+'TB-Jul'!G286+'TB-Aug'!G286+'TB-Sep'!G286+'TB-Oct'!G286+'TB-Nov'!G286+'TB-Dec'!G286</f>
        <v>0</v>
      </c>
      <c r="H286" s="94">
        <f>'TB-Jan'!H286+'TB-Feb'!H286+'TB-Mar'!H286+'TB-Apr'!H286+'TB-May'!H286+'TB-Jun'!H286+'TB-Jul'!H286+'TB-Aug'!H286+'TB-Sep'!H286+'TB-Oct'!H286+'TB-Nov'!H286+'TB-Dec'!H286</f>
        <v>0</v>
      </c>
      <c r="I286" s="95">
        <f>'TB-Jan'!I286+'TB-Feb'!I286+'TB-Mar'!I286+'TB-Apr'!I286+'TB-May'!I286+'TB-Jun'!I286+'TB-Jul'!I286+'TB-Aug'!I286+'TB-Sep'!I286+'TB-Oct'!I286+'TB-Nov'!I286+'TB-Dec'!I286</f>
        <v>0</v>
      </c>
      <c r="J286" s="95">
        <f>'TB-Jan'!J286+'TB-Feb'!J286+'TB-Mar'!J286+'TB-Apr'!J286+'TB-May'!J286+'TB-Jun'!J286+'TB-Jul'!J286+'TB-Aug'!J286+'TB-Sep'!J286+'TB-Oct'!J286+'TB-Nov'!J286+'TB-Dec'!J286</f>
        <v>0</v>
      </c>
      <c r="K286" s="96">
        <f>'TB-Jan'!K286+'TB-Feb'!K286+'TB-Mar'!K286+'TB-Apr'!K286+'TB-May'!K286+'TB-Jun'!K286+'TB-Jul'!K286+'TB-Aug'!K286+'TB-Sep'!K286+'TB-Oct'!K286+'TB-Nov'!K286+'TB-Dec'!K286</f>
        <v>0</v>
      </c>
      <c r="L286" s="96">
        <f>'TB-Jan'!L286+'TB-Feb'!L286+'TB-Mar'!L286+'TB-Apr'!L286+'TB-May'!L286+'TB-Jun'!L286+'TB-Jul'!L286+'TB-Aug'!L286+'TB-Sep'!L286+'TB-Oct'!L286+'TB-Nov'!L286+'TB-Dec'!L286</f>
        <v>0</v>
      </c>
      <c r="M286" s="97">
        <f>'TB-Jan'!M286+'TB-Feb'!M286+'TB-Mar'!M286+'TB-Apr'!M286+'TB-May'!M286+'TB-Jun'!M286+'TB-Jul'!M286+'TB-Aug'!M286+'TB-Sep'!M286+'TB-Oct'!M286+'TB-Nov'!M286+'TB-Dec'!M286</f>
        <v>0</v>
      </c>
      <c r="N286" s="97">
        <f>'TB-Jan'!N286+'TB-Feb'!N286+'TB-Mar'!N286+'TB-Apr'!N286+'TB-May'!N286+'TB-Jun'!N286+'TB-Jul'!N286+'TB-Aug'!N286+'TB-Sep'!N286+'TB-Oct'!N286+'TB-Nov'!N286+'TB-Dec'!N286</f>
        <v>0</v>
      </c>
    </row>
    <row r="287" spans="1:14" hidden="1">
      <c r="A287" s="3" t="s">
        <v>532</v>
      </c>
      <c r="B287" s="4" t="s">
        <v>533</v>
      </c>
      <c r="C287" s="5">
        <f t="shared" si="9"/>
        <v>0</v>
      </c>
      <c r="D287" s="5"/>
      <c r="E287" s="6">
        <f t="shared" si="8"/>
        <v>0</v>
      </c>
      <c r="F287" s="6">
        <f t="shared" si="8"/>
        <v>0</v>
      </c>
      <c r="G287" s="94">
        <f>'TB-Jan'!G287+'TB-Feb'!G287+'TB-Mar'!G287+'TB-Apr'!G287+'TB-May'!G287+'TB-Jun'!G287+'TB-Jul'!G287+'TB-Aug'!G287+'TB-Sep'!G287+'TB-Oct'!G287+'TB-Nov'!G287+'TB-Dec'!G287</f>
        <v>0</v>
      </c>
      <c r="H287" s="94">
        <f>'TB-Jan'!H287+'TB-Feb'!H287+'TB-Mar'!H287+'TB-Apr'!H287+'TB-May'!H287+'TB-Jun'!H287+'TB-Jul'!H287+'TB-Aug'!H287+'TB-Sep'!H287+'TB-Oct'!H287+'TB-Nov'!H287+'TB-Dec'!H287</f>
        <v>0</v>
      </c>
      <c r="I287" s="95">
        <f>'TB-Jan'!I287+'TB-Feb'!I287+'TB-Mar'!I287+'TB-Apr'!I287+'TB-May'!I287+'TB-Jun'!I287+'TB-Jul'!I287+'TB-Aug'!I287+'TB-Sep'!I287+'TB-Oct'!I287+'TB-Nov'!I287+'TB-Dec'!I287</f>
        <v>0</v>
      </c>
      <c r="J287" s="95">
        <f>'TB-Jan'!J287+'TB-Feb'!J287+'TB-Mar'!J287+'TB-Apr'!J287+'TB-May'!J287+'TB-Jun'!J287+'TB-Jul'!J287+'TB-Aug'!J287+'TB-Sep'!J287+'TB-Oct'!J287+'TB-Nov'!J287+'TB-Dec'!J287</f>
        <v>0</v>
      </c>
      <c r="K287" s="96">
        <f>'TB-Jan'!K287+'TB-Feb'!K287+'TB-Mar'!K287+'TB-Apr'!K287+'TB-May'!K287+'TB-Jun'!K287+'TB-Jul'!K287+'TB-Aug'!K287+'TB-Sep'!K287+'TB-Oct'!K287+'TB-Nov'!K287+'TB-Dec'!K287</f>
        <v>0</v>
      </c>
      <c r="L287" s="96">
        <f>'TB-Jan'!L287+'TB-Feb'!L287+'TB-Mar'!L287+'TB-Apr'!L287+'TB-May'!L287+'TB-Jun'!L287+'TB-Jul'!L287+'TB-Aug'!L287+'TB-Sep'!L287+'TB-Oct'!L287+'TB-Nov'!L287+'TB-Dec'!L287</f>
        <v>0</v>
      </c>
      <c r="M287" s="97">
        <f>'TB-Jan'!M287+'TB-Feb'!M287+'TB-Mar'!M287+'TB-Apr'!M287+'TB-May'!M287+'TB-Jun'!M287+'TB-Jul'!M287+'TB-Aug'!M287+'TB-Sep'!M287+'TB-Oct'!M287+'TB-Nov'!M287+'TB-Dec'!M287</f>
        <v>0</v>
      </c>
      <c r="N287" s="97">
        <f>'TB-Jan'!N287+'TB-Feb'!N287+'TB-Mar'!N287+'TB-Apr'!N287+'TB-May'!N287+'TB-Jun'!N287+'TB-Jul'!N287+'TB-Aug'!N287+'TB-Sep'!N287+'TB-Oct'!N287+'TB-Nov'!N287+'TB-Dec'!N287</f>
        <v>0</v>
      </c>
    </row>
    <row r="288" spans="1:14" hidden="1">
      <c r="A288" s="3" t="s">
        <v>534</v>
      </c>
      <c r="B288" s="4" t="s">
        <v>535</v>
      </c>
      <c r="C288" s="5">
        <f t="shared" si="9"/>
        <v>0</v>
      </c>
      <c r="D288" s="5"/>
      <c r="E288" s="6">
        <f t="shared" si="8"/>
        <v>0</v>
      </c>
      <c r="F288" s="6">
        <f t="shared" si="8"/>
        <v>0</v>
      </c>
      <c r="G288" s="94">
        <f>'TB-Jan'!G288+'TB-Feb'!G288+'TB-Mar'!G288+'TB-Apr'!G288+'TB-May'!G288+'TB-Jun'!G288+'TB-Jul'!G288+'TB-Aug'!G288+'TB-Sep'!G288+'TB-Oct'!G288+'TB-Nov'!G288+'TB-Dec'!G288</f>
        <v>0</v>
      </c>
      <c r="H288" s="94">
        <f>'TB-Jan'!H288+'TB-Feb'!H288+'TB-Mar'!H288+'TB-Apr'!H288+'TB-May'!H288+'TB-Jun'!H288+'TB-Jul'!H288+'TB-Aug'!H288+'TB-Sep'!H288+'TB-Oct'!H288+'TB-Nov'!H288+'TB-Dec'!H288</f>
        <v>0</v>
      </c>
      <c r="I288" s="95">
        <f>'TB-Jan'!I288+'TB-Feb'!I288+'TB-Mar'!I288+'TB-Apr'!I288+'TB-May'!I288+'TB-Jun'!I288+'TB-Jul'!I288+'TB-Aug'!I288+'TB-Sep'!I288+'TB-Oct'!I288+'TB-Nov'!I288+'TB-Dec'!I288</f>
        <v>0</v>
      </c>
      <c r="J288" s="95">
        <f>'TB-Jan'!J288+'TB-Feb'!J288+'TB-Mar'!J288+'TB-Apr'!J288+'TB-May'!J288+'TB-Jun'!J288+'TB-Jul'!J288+'TB-Aug'!J288+'TB-Sep'!J288+'TB-Oct'!J288+'TB-Nov'!J288+'TB-Dec'!J288</f>
        <v>0</v>
      </c>
      <c r="K288" s="96">
        <f>'TB-Jan'!K288+'TB-Feb'!K288+'TB-Mar'!K288+'TB-Apr'!K288+'TB-May'!K288+'TB-Jun'!K288+'TB-Jul'!K288+'TB-Aug'!K288+'TB-Sep'!K288+'TB-Oct'!K288+'TB-Nov'!K288+'TB-Dec'!K288</f>
        <v>0</v>
      </c>
      <c r="L288" s="96">
        <f>'TB-Jan'!L288+'TB-Feb'!L288+'TB-Mar'!L288+'TB-Apr'!L288+'TB-May'!L288+'TB-Jun'!L288+'TB-Jul'!L288+'TB-Aug'!L288+'TB-Sep'!L288+'TB-Oct'!L288+'TB-Nov'!L288+'TB-Dec'!L288</f>
        <v>0</v>
      </c>
      <c r="M288" s="97">
        <f>'TB-Jan'!M288+'TB-Feb'!M288+'TB-Mar'!M288+'TB-Apr'!M288+'TB-May'!M288+'TB-Jun'!M288+'TB-Jul'!M288+'TB-Aug'!M288+'TB-Sep'!M288+'TB-Oct'!M288+'TB-Nov'!M288+'TB-Dec'!M288</f>
        <v>0</v>
      </c>
      <c r="N288" s="97">
        <f>'TB-Jan'!N288+'TB-Feb'!N288+'TB-Mar'!N288+'TB-Apr'!N288+'TB-May'!N288+'TB-Jun'!N288+'TB-Jul'!N288+'TB-Aug'!N288+'TB-Sep'!N288+'TB-Oct'!N288+'TB-Nov'!N288+'TB-Dec'!N288</f>
        <v>0</v>
      </c>
    </row>
    <row r="289" spans="1:14" hidden="1">
      <c r="A289" s="3" t="s">
        <v>536</v>
      </c>
      <c r="B289" s="4" t="s">
        <v>537</v>
      </c>
      <c r="C289" s="5">
        <f t="shared" si="9"/>
        <v>0</v>
      </c>
      <c r="D289" s="5"/>
      <c r="E289" s="6">
        <f t="shared" si="8"/>
        <v>0</v>
      </c>
      <c r="F289" s="6">
        <f t="shared" si="8"/>
        <v>0</v>
      </c>
      <c r="G289" s="94">
        <f>'TB-Jan'!G289+'TB-Feb'!G289+'TB-Mar'!G289+'TB-Apr'!G289+'TB-May'!G289+'TB-Jun'!G289+'TB-Jul'!G289+'TB-Aug'!G289+'TB-Sep'!G289+'TB-Oct'!G289+'TB-Nov'!G289+'TB-Dec'!G289</f>
        <v>0</v>
      </c>
      <c r="H289" s="94">
        <f>'TB-Jan'!H289+'TB-Feb'!H289+'TB-Mar'!H289+'TB-Apr'!H289+'TB-May'!H289+'TB-Jun'!H289+'TB-Jul'!H289+'TB-Aug'!H289+'TB-Sep'!H289+'TB-Oct'!H289+'TB-Nov'!H289+'TB-Dec'!H289</f>
        <v>0</v>
      </c>
      <c r="I289" s="95">
        <f>'TB-Jan'!I289+'TB-Feb'!I289+'TB-Mar'!I289+'TB-Apr'!I289+'TB-May'!I289+'TB-Jun'!I289+'TB-Jul'!I289+'TB-Aug'!I289+'TB-Sep'!I289+'TB-Oct'!I289+'TB-Nov'!I289+'TB-Dec'!I289</f>
        <v>0</v>
      </c>
      <c r="J289" s="95">
        <f>'TB-Jan'!J289+'TB-Feb'!J289+'TB-Mar'!J289+'TB-Apr'!J289+'TB-May'!J289+'TB-Jun'!J289+'TB-Jul'!J289+'TB-Aug'!J289+'TB-Sep'!J289+'TB-Oct'!J289+'TB-Nov'!J289+'TB-Dec'!J289</f>
        <v>0</v>
      </c>
      <c r="K289" s="96">
        <f>'TB-Jan'!K289+'TB-Feb'!K289+'TB-Mar'!K289+'TB-Apr'!K289+'TB-May'!K289+'TB-Jun'!K289+'TB-Jul'!K289+'TB-Aug'!K289+'TB-Sep'!K289+'TB-Oct'!K289+'TB-Nov'!K289+'TB-Dec'!K289</f>
        <v>0</v>
      </c>
      <c r="L289" s="96">
        <f>'TB-Jan'!L289+'TB-Feb'!L289+'TB-Mar'!L289+'TB-Apr'!L289+'TB-May'!L289+'TB-Jun'!L289+'TB-Jul'!L289+'TB-Aug'!L289+'TB-Sep'!L289+'TB-Oct'!L289+'TB-Nov'!L289+'TB-Dec'!L289</f>
        <v>0</v>
      </c>
      <c r="M289" s="97">
        <f>'TB-Jan'!M289+'TB-Feb'!M289+'TB-Mar'!M289+'TB-Apr'!M289+'TB-May'!M289+'TB-Jun'!M289+'TB-Jul'!M289+'TB-Aug'!M289+'TB-Sep'!M289+'TB-Oct'!M289+'TB-Nov'!M289+'TB-Dec'!M289</f>
        <v>0</v>
      </c>
      <c r="N289" s="97">
        <f>'TB-Jan'!N289+'TB-Feb'!N289+'TB-Mar'!N289+'TB-Apr'!N289+'TB-May'!N289+'TB-Jun'!N289+'TB-Jul'!N289+'TB-Aug'!N289+'TB-Sep'!N289+'TB-Oct'!N289+'TB-Nov'!N289+'TB-Dec'!N289</f>
        <v>0</v>
      </c>
    </row>
    <row r="290" spans="1:14" hidden="1">
      <c r="A290" s="3" t="s">
        <v>538</v>
      </c>
      <c r="B290" s="4" t="s">
        <v>539</v>
      </c>
      <c r="C290" s="5">
        <f t="shared" si="9"/>
        <v>0</v>
      </c>
      <c r="D290" s="5"/>
      <c r="E290" s="6">
        <f t="shared" si="8"/>
        <v>0</v>
      </c>
      <c r="F290" s="6">
        <f t="shared" si="8"/>
        <v>0</v>
      </c>
      <c r="G290" s="94">
        <f>'TB-Jan'!G290+'TB-Feb'!G290+'TB-Mar'!G290+'TB-Apr'!G290+'TB-May'!G290+'TB-Jun'!G290+'TB-Jul'!G290+'TB-Aug'!G290+'TB-Sep'!G290+'TB-Oct'!G290+'TB-Nov'!G290+'TB-Dec'!G290</f>
        <v>0</v>
      </c>
      <c r="H290" s="94">
        <f>'TB-Jan'!H290+'TB-Feb'!H290+'TB-Mar'!H290+'TB-Apr'!H290+'TB-May'!H290+'TB-Jun'!H290+'TB-Jul'!H290+'TB-Aug'!H290+'TB-Sep'!H290+'TB-Oct'!H290+'TB-Nov'!H290+'TB-Dec'!H290</f>
        <v>0</v>
      </c>
      <c r="I290" s="95">
        <f>'TB-Jan'!I290+'TB-Feb'!I290+'TB-Mar'!I290+'TB-Apr'!I290+'TB-May'!I290+'TB-Jun'!I290+'TB-Jul'!I290+'TB-Aug'!I290+'TB-Sep'!I290+'TB-Oct'!I290+'TB-Nov'!I290+'TB-Dec'!I290</f>
        <v>0</v>
      </c>
      <c r="J290" s="95">
        <f>'TB-Jan'!J290+'TB-Feb'!J290+'TB-Mar'!J290+'TB-Apr'!J290+'TB-May'!J290+'TB-Jun'!J290+'TB-Jul'!J290+'TB-Aug'!J290+'TB-Sep'!J290+'TB-Oct'!J290+'TB-Nov'!J290+'TB-Dec'!J290</f>
        <v>0</v>
      </c>
      <c r="K290" s="96">
        <f>'TB-Jan'!K290+'TB-Feb'!K290+'TB-Mar'!K290+'TB-Apr'!K290+'TB-May'!K290+'TB-Jun'!K290+'TB-Jul'!K290+'TB-Aug'!K290+'TB-Sep'!K290+'TB-Oct'!K290+'TB-Nov'!K290+'TB-Dec'!K290</f>
        <v>0</v>
      </c>
      <c r="L290" s="96">
        <f>'TB-Jan'!L290+'TB-Feb'!L290+'TB-Mar'!L290+'TB-Apr'!L290+'TB-May'!L290+'TB-Jun'!L290+'TB-Jul'!L290+'TB-Aug'!L290+'TB-Sep'!L290+'TB-Oct'!L290+'TB-Nov'!L290+'TB-Dec'!L290</f>
        <v>0</v>
      </c>
      <c r="M290" s="97">
        <f>'TB-Jan'!M290+'TB-Feb'!M290+'TB-Mar'!M290+'TB-Apr'!M290+'TB-May'!M290+'TB-Jun'!M290+'TB-Jul'!M290+'TB-Aug'!M290+'TB-Sep'!M290+'TB-Oct'!M290+'TB-Nov'!M290+'TB-Dec'!M290</f>
        <v>0</v>
      </c>
      <c r="N290" s="97">
        <f>'TB-Jan'!N290+'TB-Feb'!N290+'TB-Mar'!N290+'TB-Apr'!N290+'TB-May'!N290+'TB-Jun'!N290+'TB-Jul'!N290+'TB-Aug'!N290+'TB-Sep'!N290+'TB-Oct'!N290+'TB-Nov'!N290+'TB-Dec'!N290</f>
        <v>0</v>
      </c>
    </row>
    <row r="291" spans="1:14" hidden="1">
      <c r="A291" s="3" t="s">
        <v>540</v>
      </c>
      <c r="B291" s="4" t="s">
        <v>541</v>
      </c>
      <c r="C291" s="5">
        <f t="shared" si="9"/>
        <v>0</v>
      </c>
      <c r="D291" s="5"/>
      <c r="E291" s="6">
        <f t="shared" si="8"/>
        <v>0</v>
      </c>
      <c r="F291" s="6">
        <f t="shared" si="8"/>
        <v>0</v>
      </c>
      <c r="G291" s="94">
        <f>'TB-Jan'!G291+'TB-Feb'!G291+'TB-Mar'!G291+'TB-Apr'!G291+'TB-May'!G291+'TB-Jun'!G291+'TB-Jul'!G291+'TB-Aug'!G291+'TB-Sep'!G291+'TB-Oct'!G291+'TB-Nov'!G291+'TB-Dec'!G291</f>
        <v>0</v>
      </c>
      <c r="H291" s="94">
        <f>'TB-Jan'!H291+'TB-Feb'!H291+'TB-Mar'!H291+'TB-Apr'!H291+'TB-May'!H291+'TB-Jun'!H291+'TB-Jul'!H291+'TB-Aug'!H291+'TB-Sep'!H291+'TB-Oct'!H291+'TB-Nov'!H291+'TB-Dec'!H291</f>
        <v>0</v>
      </c>
      <c r="I291" s="95">
        <f>'TB-Jan'!I291+'TB-Feb'!I291+'TB-Mar'!I291+'TB-Apr'!I291+'TB-May'!I291+'TB-Jun'!I291+'TB-Jul'!I291+'TB-Aug'!I291+'TB-Sep'!I291+'TB-Oct'!I291+'TB-Nov'!I291+'TB-Dec'!I291</f>
        <v>0</v>
      </c>
      <c r="J291" s="95">
        <f>'TB-Jan'!J291+'TB-Feb'!J291+'TB-Mar'!J291+'TB-Apr'!J291+'TB-May'!J291+'TB-Jun'!J291+'TB-Jul'!J291+'TB-Aug'!J291+'TB-Sep'!J291+'TB-Oct'!J291+'TB-Nov'!J291+'TB-Dec'!J291</f>
        <v>0</v>
      </c>
      <c r="K291" s="96">
        <f>'TB-Jan'!K291+'TB-Feb'!K291+'TB-Mar'!K291+'TB-Apr'!K291+'TB-May'!K291+'TB-Jun'!K291+'TB-Jul'!K291+'TB-Aug'!K291+'TB-Sep'!K291+'TB-Oct'!K291+'TB-Nov'!K291+'TB-Dec'!K291</f>
        <v>0</v>
      </c>
      <c r="L291" s="96">
        <f>'TB-Jan'!L291+'TB-Feb'!L291+'TB-Mar'!L291+'TB-Apr'!L291+'TB-May'!L291+'TB-Jun'!L291+'TB-Jul'!L291+'TB-Aug'!L291+'TB-Sep'!L291+'TB-Oct'!L291+'TB-Nov'!L291+'TB-Dec'!L291</f>
        <v>0</v>
      </c>
      <c r="M291" s="97">
        <f>'TB-Jan'!M291+'TB-Feb'!M291+'TB-Mar'!M291+'TB-Apr'!M291+'TB-May'!M291+'TB-Jun'!M291+'TB-Jul'!M291+'TB-Aug'!M291+'TB-Sep'!M291+'TB-Oct'!M291+'TB-Nov'!M291+'TB-Dec'!M291</f>
        <v>0</v>
      </c>
      <c r="N291" s="97">
        <f>'TB-Jan'!N291+'TB-Feb'!N291+'TB-Mar'!N291+'TB-Apr'!N291+'TB-May'!N291+'TB-Jun'!N291+'TB-Jul'!N291+'TB-Aug'!N291+'TB-Sep'!N291+'TB-Oct'!N291+'TB-Nov'!N291+'TB-Dec'!N291</f>
        <v>0</v>
      </c>
    </row>
    <row r="292" spans="1:14" hidden="1">
      <c r="A292" s="3" t="s">
        <v>542</v>
      </c>
      <c r="B292" s="4" t="s">
        <v>543</v>
      </c>
      <c r="C292" s="5">
        <f t="shared" si="9"/>
        <v>0</v>
      </c>
      <c r="D292" s="5"/>
      <c r="E292" s="6">
        <f t="shared" si="8"/>
        <v>0</v>
      </c>
      <c r="F292" s="6">
        <f t="shared" si="8"/>
        <v>0</v>
      </c>
      <c r="G292" s="94">
        <f>'TB-Jan'!G292+'TB-Feb'!G292+'TB-Mar'!G292+'TB-Apr'!G292+'TB-May'!G292+'TB-Jun'!G292+'TB-Jul'!G292+'TB-Aug'!G292+'TB-Sep'!G292+'TB-Oct'!G292+'TB-Nov'!G292+'TB-Dec'!G292</f>
        <v>0</v>
      </c>
      <c r="H292" s="94">
        <f>'TB-Jan'!H292+'TB-Feb'!H292+'TB-Mar'!H292+'TB-Apr'!H292+'TB-May'!H292+'TB-Jun'!H292+'TB-Jul'!H292+'TB-Aug'!H292+'TB-Sep'!H292+'TB-Oct'!H292+'TB-Nov'!H292+'TB-Dec'!H292</f>
        <v>0</v>
      </c>
      <c r="I292" s="95">
        <f>'TB-Jan'!I292+'TB-Feb'!I292+'TB-Mar'!I292+'TB-Apr'!I292+'TB-May'!I292+'TB-Jun'!I292+'TB-Jul'!I292+'TB-Aug'!I292+'TB-Sep'!I292+'TB-Oct'!I292+'TB-Nov'!I292+'TB-Dec'!I292</f>
        <v>0</v>
      </c>
      <c r="J292" s="95">
        <f>'TB-Jan'!J292+'TB-Feb'!J292+'TB-Mar'!J292+'TB-Apr'!J292+'TB-May'!J292+'TB-Jun'!J292+'TB-Jul'!J292+'TB-Aug'!J292+'TB-Sep'!J292+'TB-Oct'!J292+'TB-Nov'!J292+'TB-Dec'!J292</f>
        <v>0</v>
      </c>
      <c r="K292" s="96">
        <f>'TB-Jan'!K292+'TB-Feb'!K292+'TB-Mar'!K292+'TB-Apr'!K292+'TB-May'!K292+'TB-Jun'!K292+'TB-Jul'!K292+'TB-Aug'!K292+'TB-Sep'!K292+'TB-Oct'!K292+'TB-Nov'!K292+'TB-Dec'!K292</f>
        <v>0</v>
      </c>
      <c r="L292" s="96">
        <f>'TB-Jan'!L292+'TB-Feb'!L292+'TB-Mar'!L292+'TB-Apr'!L292+'TB-May'!L292+'TB-Jun'!L292+'TB-Jul'!L292+'TB-Aug'!L292+'TB-Sep'!L292+'TB-Oct'!L292+'TB-Nov'!L292+'TB-Dec'!L292</f>
        <v>0</v>
      </c>
      <c r="M292" s="97">
        <f>'TB-Jan'!M292+'TB-Feb'!M292+'TB-Mar'!M292+'TB-Apr'!M292+'TB-May'!M292+'TB-Jun'!M292+'TB-Jul'!M292+'TB-Aug'!M292+'TB-Sep'!M292+'TB-Oct'!M292+'TB-Nov'!M292+'TB-Dec'!M292</f>
        <v>0</v>
      </c>
      <c r="N292" s="97">
        <f>'TB-Jan'!N292+'TB-Feb'!N292+'TB-Mar'!N292+'TB-Apr'!N292+'TB-May'!N292+'TB-Jun'!N292+'TB-Jul'!N292+'TB-Aug'!N292+'TB-Sep'!N292+'TB-Oct'!N292+'TB-Nov'!N292+'TB-Dec'!N292</f>
        <v>0</v>
      </c>
    </row>
    <row r="293" spans="1:14" hidden="1">
      <c r="A293" s="3" t="s">
        <v>544</v>
      </c>
      <c r="B293" s="4" t="s">
        <v>545</v>
      </c>
      <c r="C293" s="5">
        <f t="shared" si="9"/>
        <v>0</v>
      </c>
      <c r="D293" s="5"/>
      <c r="E293" s="6">
        <f t="shared" si="8"/>
        <v>0</v>
      </c>
      <c r="F293" s="6">
        <f t="shared" si="8"/>
        <v>0</v>
      </c>
      <c r="G293" s="94">
        <f>'TB-Jan'!G293+'TB-Feb'!G293+'TB-Mar'!G293+'TB-Apr'!G293+'TB-May'!G293+'TB-Jun'!G293+'TB-Jul'!G293+'TB-Aug'!G293+'TB-Sep'!G293+'TB-Oct'!G293+'TB-Nov'!G293+'TB-Dec'!G293</f>
        <v>0</v>
      </c>
      <c r="H293" s="94">
        <f>'TB-Jan'!H293+'TB-Feb'!H293+'TB-Mar'!H293+'TB-Apr'!H293+'TB-May'!H293+'TB-Jun'!H293+'TB-Jul'!H293+'TB-Aug'!H293+'TB-Sep'!H293+'TB-Oct'!H293+'TB-Nov'!H293+'TB-Dec'!H293</f>
        <v>0</v>
      </c>
      <c r="I293" s="95">
        <f>'TB-Jan'!I293+'TB-Feb'!I293+'TB-Mar'!I293+'TB-Apr'!I293+'TB-May'!I293+'TB-Jun'!I293+'TB-Jul'!I293+'TB-Aug'!I293+'TB-Sep'!I293+'TB-Oct'!I293+'TB-Nov'!I293+'TB-Dec'!I293</f>
        <v>0</v>
      </c>
      <c r="J293" s="95">
        <f>'TB-Jan'!J293+'TB-Feb'!J293+'TB-Mar'!J293+'TB-Apr'!J293+'TB-May'!J293+'TB-Jun'!J293+'TB-Jul'!J293+'TB-Aug'!J293+'TB-Sep'!J293+'TB-Oct'!J293+'TB-Nov'!J293+'TB-Dec'!J293</f>
        <v>0</v>
      </c>
      <c r="K293" s="96">
        <f>'TB-Jan'!K293+'TB-Feb'!K293+'TB-Mar'!K293+'TB-Apr'!K293+'TB-May'!K293+'TB-Jun'!K293+'TB-Jul'!K293+'TB-Aug'!K293+'TB-Sep'!K293+'TB-Oct'!K293+'TB-Nov'!K293+'TB-Dec'!K293</f>
        <v>0</v>
      </c>
      <c r="L293" s="96">
        <f>'TB-Jan'!L293+'TB-Feb'!L293+'TB-Mar'!L293+'TB-Apr'!L293+'TB-May'!L293+'TB-Jun'!L293+'TB-Jul'!L293+'TB-Aug'!L293+'TB-Sep'!L293+'TB-Oct'!L293+'TB-Nov'!L293+'TB-Dec'!L293</f>
        <v>0</v>
      </c>
      <c r="M293" s="97">
        <f>'TB-Jan'!M293+'TB-Feb'!M293+'TB-Mar'!M293+'TB-Apr'!M293+'TB-May'!M293+'TB-Jun'!M293+'TB-Jul'!M293+'TB-Aug'!M293+'TB-Sep'!M293+'TB-Oct'!M293+'TB-Nov'!M293+'TB-Dec'!M293</f>
        <v>0</v>
      </c>
      <c r="N293" s="97">
        <f>'TB-Jan'!N293+'TB-Feb'!N293+'TB-Mar'!N293+'TB-Apr'!N293+'TB-May'!N293+'TB-Jun'!N293+'TB-Jul'!N293+'TB-Aug'!N293+'TB-Sep'!N293+'TB-Oct'!N293+'TB-Nov'!N293+'TB-Dec'!N293</f>
        <v>0</v>
      </c>
    </row>
    <row r="294" spans="1:14" hidden="1">
      <c r="A294" s="3" t="s">
        <v>546</v>
      </c>
      <c r="B294" s="4" t="s">
        <v>547</v>
      </c>
      <c r="C294" s="5">
        <f t="shared" si="9"/>
        <v>0</v>
      </c>
      <c r="D294" s="5"/>
      <c r="E294" s="6">
        <f t="shared" si="8"/>
        <v>0</v>
      </c>
      <c r="F294" s="6">
        <f t="shared" si="8"/>
        <v>0</v>
      </c>
      <c r="G294" s="94">
        <f>'TB-Jan'!G294+'TB-Feb'!G294+'TB-Mar'!G294+'TB-Apr'!G294+'TB-May'!G294+'TB-Jun'!G294+'TB-Jul'!G294+'TB-Aug'!G294+'TB-Sep'!G294+'TB-Oct'!G294+'TB-Nov'!G294+'TB-Dec'!G294</f>
        <v>0</v>
      </c>
      <c r="H294" s="94">
        <f>'TB-Jan'!H294+'TB-Feb'!H294+'TB-Mar'!H294+'TB-Apr'!H294+'TB-May'!H294+'TB-Jun'!H294+'TB-Jul'!H294+'TB-Aug'!H294+'TB-Sep'!H294+'TB-Oct'!H294+'TB-Nov'!H294+'TB-Dec'!H294</f>
        <v>0</v>
      </c>
      <c r="I294" s="95">
        <f>'TB-Jan'!I294+'TB-Feb'!I294+'TB-Mar'!I294+'TB-Apr'!I294+'TB-May'!I294+'TB-Jun'!I294+'TB-Jul'!I294+'TB-Aug'!I294+'TB-Sep'!I294+'TB-Oct'!I294+'TB-Nov'!I294+'TB-Dec'!I294</f>
        <v>0</v>
      </c>
      <c r="J294" s="95">
        <f>'TB-Jan'!J294+'TB-Feb'!J294+'TB-Mar'!J294+'TB-Apr'!J294+'TB-May'!J294+'TB-Jun'!J294+'TB-Jul'!J294+'TB-Aug'!J294+'TB-Sep'!J294+'TB-Oct'!J294+'TB-Nov'!J294+'TB-Dec'!J294</f>
        <v>0</v>
      </c>
      <c r="K294" s="96">
        <f>'TB-Jan'!K294+'TB-Feb'!K294+'TB-Mar'!K294+'TB-Apr'!K294+'TB-May'!K294+'TB-Jun'!K294+'TB-Jul'!K294+'TB-Aug'!K294+'TB-Sep'!K294+'TB-Oct'!K294+'TB-Nov'!K294+'TB-Dec'!K294</f>
        <v>0</v>
      </c>
      <c r="L294" s="96">
        <f>'TB-Jan'!L294+'TB-Feb'!L294+'TB-Mar'!L294+'TB-Apr'!L294+'TB-May'!L294+'TB-Jun'!L294+'TB-Jul'!L294+'TB-Aug'!L294+'TB-Sep'!L294+'TB-Oct'!L294+'TB-Nov'!L294+'TB-Dec'!L294</f>
        <v>0</v>
      </c>
      <c r="M294" s="97">
        <f>'TB-Jan'!M294+'TB-Feb'!M294+'TB-Mar'!M294+'TB-Apr'!M294+'TB-May'!M294+'TB-Jun'!M294+'TB-Jul'!M294+'TB-Aug'!M294+'TB-Sep'!M294+'TB-Oct'!M294+'TB-Nov'!M294+'TB-Dec'!M294</f>
        <v>0</v>
      </c>
      <c r="N294" s="97">
        <f>'TB-Jan'!N294+'TB-Feb'!N294+'TB-Mar'!N294+'TB-Apr'!N294+'TB-May'!N294+'TB-Jun'!N294+'TB-Jul'!N294+'TB-Aug'!N294+'TB-Sep'!N294+'TB-Oct'!N294+'TB-Nov'!N294+'TB-Dec'!N294</f>
        <v>0</v>
      </c>
    </row>
    <row r="295" spans="1:14" hidden="1">
      <c r="A295" s="3" t="s">
        <v>548</v>
      </c>
      <c r="B295" s="4" t="s">
        <v>549</v>
      </c>
      <c r="C295" s="5">
        <f t="shared" si="9"/>
        <v>0</v>
      </c>
      <c r="D295" s="5"/>
      <c r="E295" s="6">
        <f t="shared" si="8"/>
        <v>0</v>
      </c>
      <c r="F295" s="6">
        <f t="shared" si="8"/>
        <v>0</v>
      </c>
      <c r="G295" s="94">
        <f>'TB-Jan'!G295+'TB-Feb'!G295+'TB-Mar'!G295+'TB-Apr'!G295+'TB-May'!G295+'TB-Jun'!G295+'TB-Jul'!G295+'TB-Aug'!G295+'TB-Sep'!G295+'TB-Oct'!G295+'TB-Nov'!G295+'TB-Dec'!G295</f>
        <v>0</v>
      </c>
      <c r="H295" s="94">
        <f>'TB-Jan'!H295+'TB-Feb'!H295+'TB-Mar'!H295+'TB-Apr'!H295+'TB-May'!H295+'TB-Jun'!H295+'TB-Jul'!H295+'TB-Aug'!H295+'TB-Sep'!H295+'TB-Oct'!H295+'TB-Nov'!H295+'TB-Dec'!H295</f>
        <v>0</v>
      </c>
      <c r="I295" s="95">
        <f>'TB-Jan'!I295+'TB-Feb'!I295+'TB-Mar'!I295+'TB-Apr'!I295+'TB-May'!I295+'TB-Jun'!I295+'TB-Jul'!I295+'TB-Aug'!I295+'TB-Sep'!I295+'TB-Oct'!I295+'TB-Nov'!I295+'TB-Dec'!I295</f>
        <v>0</v>
      </c>
      <c r="J295" s="95">
        <f>'TB-Jan'!J295+'TB-Feb'!J295+'TB-Mar'!J295+'TB-Apr'!J295+'TB-May'!J295+'TB-Jun'!J295+'TB-Jul'!J295+'TB-Aug'!J295+'TB-Sep'!J295+'TB-Oct'!J295+'TB-Nov'!J295+'TB-Dec'!J295</f>
        <v>0</v>
      </c>
      <c r="K295" s="96">
        <f>'TB-Jan'!K295+'TB-Feb'!K295+'TB-Mar'!K295+'TB-Apr'!K295+'TB-May'!K295+'TB-Jun'!K295+'TB-Jul'!K295+'TB-Aug'!K295+'TB-Sep'!K295+'TB-Oct'!K295+'TB-Nov'!K295+'TB-Dec'!K295</f>
        <v>0</v>
      </c>
      <c r="L295" s="96">
        <f>'TB-Jan'!L295+'TB-Feb'!L295+'TB-Mar'!L295+'TB-Apr'!L295+'TB-May'!L295+'TB-Jun'!L295+'TB-Jul'!L295+'TB-Aug'!L295+'TB-Sep'!L295+'TB-Oct'!L295+'TB-Nov'!L295+'TB-Dec'!L295</f>
        <v>0</v>
      </c>
      <c r="M295" s="97">
        <f>'TB-Jan'!M295+'TB-Feb'!M295+'TB-Mar'!M295+'TB-Apr'!M295+'TB-May'!M295+'TB-Jun'!M295+'TB-Jul'!M295+'TB-Aug'!M295+'TB-Sep'!M295+'TB-Oct'!M295+'TB-Nov'!M295+'TB-Dec'!M295</f>
        <v>0</v>
      </c>
      <c r="N295" s="97">
        <f>'TB-Jan'!N295+'TB-Feb'!N295+'TB-Mar'!N295+'TB-Apr'!N295+'TB-May'!N295+'TB-Jun'!N295+'TB-Jul'!N295+'TB-Aug'!N295+'TB-Sep'!N295+'TB-Oct'!N295+'TB-Nov'!N295+'TB-Dec'!N295</f>
        <v>0</v>
      </c>
    </row>
    <row r="296" spans="1:14" hidden="1">
      <c r="A296" s="3" t="s">
        <v>550</v>
      </c>
      <c r="B296" s="4" t="s">
        <v>551</v>
      </c>
      <c r="C296" s="5">
        <f t="shared" si="9"/>
        <v>0</v>
      </c>
      <c r="D296" s="5"/>
      <c r="E296" s="6">
        <f t="shared" si="8"/>
        <v>0</v>
      </c>
      <c r="F296" s="6">
        <f t="shared" si="8"/>
        <v>0</v>
      </c>
      <c r="G296" s="94">
        <f>'TB-Jan'!G296+'TB-Feb'!G296+'TB-Mar'!G296+'TB-Apr'!G296+'TB-May'!G296+'TB-Jun'!G296+'TB-Jul'!G296+'TB-Aug'!G296+'TB-Sep'!G296+'TB-Oct'!G296+'TB-Nov'!G296+'TB-Dec'!G296</f>
        <v>0</v>
      </c>
      <c r="H296" s="94">
        <f>'TB-Jan'!H296+'TB-Feb'!H296+'TB-Mar'!H296+'TB-Apr'!H296+'TB-May'!H296+'TB-Jun'!H296+'TB-Jul'!H296+'TB-Aug'!H296+'TB-Sep'!H296+'TB-Oct'!H296+'TB-Nov'!H296+'TB-Dec'!H296</f>
        <v>0</v>
      </c>
      <c r="I296" s="95">
        <f>'TB-Jan'!I296+'TB-Feb'!I296+'TB-Mar'!I296+'TB-Apr'!I296+'TB-May'!I296+'TB-Jun'!I296+'TB-Jul'!I296+'TB-Aug'!I296+'TB-Sep'!I296+'TB-Oct'!I296+'TB-Nov'!I296+'TB-Dec'!I296</f>
        <v>0</v>
      </c>
      <c r="J296" s="95">
        <f>'TB-Jan'!J296+'TB-Feb'!J296+'TB-Mar'!J296+'TB-Apr'!J296+'TB-May'!J296+'TB-Jun'!J296+'TB-Jul'!J296+'TB-Aug'!J296+'TB-Sep'!J296+'TB-Oct'!J296+'TB-Nov'!J296+'TB-Dec'!J296</f>
        <v>0</v>
      </c>
      <c r="K296" s="96">
        <f>'TB-Jan'!K296+'TB-Feb'!K296+'TB-Mar'!K296+'TB-Apr'!K296+'TB-May'!K296+'TB-Jun'!K296+'TB-Jul'!K296+'TB-Aug'!K296+'TB-Sep'!K296+'TB-Oct'!K296+'TB-Nov'!K296+'TB-Dec'!K296</f>
        <v>0</v>
      </c>
      <c r="L296" s="96">
        <f>'TB-Jan'!L296+'TB-Feb'!L296+'TB-Mar'!L296+'TB-Apr'!L296+'TB-May'!L296+'TB-Jun'!L296+'TB-Jul'!L296+'TB-Aug'!L296+'TB-Sep'!L296+'TB-Oct'!L296+'TB-Nov'!L296+'TB-Dec'!L296</f>
        <v>0</v>
      </c>
      <c r="M296" s="97">
        <f>'TB-Jan'!M296+'TB-Feb'!M296+'TB-Mar'!M296+'TB-Apr'!M296+'TB-May'!M296+'TB-Jun'!M296+'TB-Jul'!M296+'TB-Aug'!M296+'TB-Sep'!M296+'TB-Oct'!M296+'TB-Nov'!M296+'TB-Dec'!M296</f>
        <v>0</v>
      </c>
      <c r="N296" s="97">
        <f>'TB-Jan'!N296+'TB-Feb'!N296+'TB-Mar'!N296+'TB-Apr'!N296+'TB-May'!N296+'TB-Jun'!N296+'TB-Jul'!N296+'TB-Aug'!N296+'TB-Sep'!N296+'TB-Oct'!N296+'TB-Nov'!N296+'TB-Dec'!N296</f>
        <v>0</v>
      </c>
    </row>
    <row r="297" spans="1:14" hidden="1">
      <c r="A297" s="3" t="s">
        <v>552</v>
      </c>
      <c r="B297" s="4" t="s">
        <v>553</v>
      </c>
      <c r="C297" s="5">
        <f t="shared" si="9"/>
        <v>0</v>
      </c>
      <c r="D297" s="5"/>
      <c r="E297" s="6">
        <f t="shared" si="8"/>
        <v>0</v>
      </c>
      <c r="F297" s="6">
        <f t="shared" si="8"/>
        <v>0</v>
      </c>
      <c r="G297" s="94">
        <f>'TB-Jan'!G297+'TB-Feb'!G297+'TB-Mar'!G297+'TB-Apr'!G297+'TB-May'!G297+'TB-Jun'!G297+'TB-Jul'!G297+'TB-Aug'!G297+'TB-Sep'!G297+'TB-Oct'!G297+'TB-Nov'!G297+'TB-Dec'!G297</f>
        <v>0</v>
      </c>
      <c r="H297" s="94">
        <f>'TB-Jan'!H297+'TB-Feb'!H297+'TB-Mar'!H297+'TB-Apr'!H297+'TB-May'!H297+'TB-Jun'!H297+'TB-Jul'!H297+'TB-Aug'!H297+'TB-Sep'!H297+'TB-Oct'!H297+'TB-Nov'!H297+'TB-Dec'!H297</f>
        <v>0</v>
      </c>
      <c r="I297" s="95">
        <f>'TB-Jan'!I297+'TB-Feb'!I297+'TB-Mar'!I297+'TB-Apr'!I297+'TB-May'!I297+'TB-Jun'!I297+'TB-Jul'!I297+'TB-Aug'!I297+'TB-Sep'!I297+'TB-Oct'!I297+'TB-Nov'!I297+'TB-Dec'!I297</f>
        <v>0</v>
      </c>
      <c r="J297" s="95">
        <f>'TB-Jan'!J297+'TB-Feb'!J297+'TB-Mar'!J297+'TB-Apr'!J297+'TB-May'!J297+'TB-Jun'!J297+'TB-Jul'!J297+'TB-Aug'!J297+'TB-Sep'!J297+'TB-Oct'!J297+'TB-Nov'!J297+'TB-Dec'!J297</f>
        <v>0</v>
      </c>
      <c r="K297" s="96">
        <f>'TB-Jan'!K297+'TB-Feb'!K297+'TB-Mar'!K297+'TB-Apr'!K297+'TB-May'!K297+'TB-Jun'!K297+'TB-Jul'!K297+'TB-Aug'!K297+'TB-Sep'!K297+'TB-Oct'!K297+'TB-Nov'!K297+'TB-Dec'!K297</f>
        <v>0</v>
      </c>
      <c r="L297" s="96">
        <f>'TB-Jan'!L297+'TB-Feb'!L297+'TB-Mar'!L297+'TB-Apr'!L297+'TB-May'!L297+'TB-Jun'!L297+'TB-Jul'!L297+'TB-Aug'!L297+'TB-Sep'!L297+'TB-Oct'!L297+'TB-Nov'!L297+'TB-Dec'!L297</f>
        <v>0</v>
      </c>
      <c r="M297" s="97">
        <f>'TB-Jan'!M297+'TB-Feb'!M297+'TB-Mar'!M297+'TB-Apr'!M297+'TB-May'!M297+'TB-Jun'!M297+'TB-Jul'!M297+'TB-Aug'!M297+'TB-Sep'!M297+'TB-Oct'!M297+'TB-Nov'!M297+'TB-Dec'!M297</f>
        <v>0</v>
      </c>
      <c r="N297" s="97">
        <f>'TB-Jan'!N297+'TB-Feb'!N297+'TB-Mar'!N297+'TB-Apr'!N297+'TB-May'!N297+'TB-Jun'!N297+'TB-Jul'!N297+'TB-Aug'!N297+'TB-Sep'!N297+'TB-Oct'!N297+'TB-Nov'!N297+'TB-Dec'!N297</f>
        <v>0</v>
      </c>
    </row>
    <row r="298" spans="1:14" hidden="1">
      <c r="A298" s="3" t="s">
        <v>554</v>
      </c>
      <c r="B298" s="4" t="s">
        <v>555</v>
      </c>
      <c r="C298" s="5">
        <f t="shared" si="9"/>
        <v>0</v>
      </c>
      <c r="D298" s="5"/>
      <c r="E298" s="6">
        <f t="shared" si="8"/>
        <v>0</v>
      </c>
      <c r="F298" s="6">
        <f t="shared" si="8"/>
        <v>0</v>
      </c>
      <c r="G298" s="94">
        <f>'TB-Jan'!G298+'TB-Feb'!G298+'TB-Mar'!G298+'TB-Apr'!G298+'TB-May'!G298+'TB-Jun'!G298+'TB-Jul'!G298+'TB-Aug'!G298+'TB-Sep'!G298+'TB-Oct'!G298+'TB-Nov'!G298+'TB-Dec'!G298</f>
        <v>0</v>
      </c>
      <c r="H298" s="94">
        <f>'TB-Jan'!H298+'TB-Feb'!H298+'TB-Mar'!H298+'TB-Apr'!H298+'TB-May'!H298+'TB-Jun'!H298+'TB-Jul'!H298+'TB-Aug'!H298+'TB-Sep'!H298+'TB-Oct'!H298+'TB-Nov'!H298+'TB-Dec'!H298</f>
        <v>0</v>
      </c>
      <c r="I298" s="95">
        <f>'TB-Jan'!I298+'TB-Feb'!I298+'TB-Mar'!I298+'TB-Apr'!I298+'TB-May'!I298+'TB-Jun'!I298+'TB-Jul'!I298+'TB-Aug'!I298+'TB-Sep'!I298+'TB-Oct'!I298+'TB-Nov'!I298+'TB-Dec'!I298</f>
        <v>0</v>
      </c>
      <c r="J298" s="95">
        <f>'TB-Jan'!J298+'TB-Feb'!J298+'TB-Mar'!J298+'TB-Apr'!J298+'TB-May'!J298+'TB-Jun'!J298+'TB-Jul'!J298+'TB-Aug'!J298+'TB-Sep'!J298+'TB-Oct'!J298+'TB-Nov'!J298+'TB-Dec'!J298</f>
        <v>0</v>
      </c>
      <c r="K298" s="96">
        <f>'TB-Jan'!K298+'TB-Feb'!K298+'TB-Mar'!K298+'TB-Apr'!K298+'TB-May'!K298+'TB-Jun'!K298+'TB-Jul'!K298+'TB-Aug'!K298+'TB-Sep'!K298+'TB-Oct'!K298+'TB-Nov'!K298+'TB-Dec'!K298</f>
        <v>0</v>
      </c>
      <c r="L298" s="96">
        <f>'TB-Jan'!L298+'TB-Feb'!L298+'TB-Mar'!L298+'TB-Apr'!L298+'TB-May'!L298+'TB-Jun'!L298+'TB-Jul'!L298+'TB-Aug'!L298+'TB-Sep'!L298+'TB-Oct'!L298+'TB-Nov'!L298+'TB-Dec'!L298</f>
        <v>0</v>
      </c>
      <c r="M298" s="97">
        <f>'TB-Jan'!M298+'TB-Feb'!M298+'TB-Mar'!M298+'TB-Apr'!M298+'TB-May'!M298+'TB-Jun'!M298+'TB-Jul'!M298+'TB-Aug'!M298+'TB-Sep'!M298+'TB-Oct'!M298+'TB-Nov'!M298+'TB-Dec'!M298</f>
        <v>0</v>
      </c>
      <c r="N298" s="97">
        <f>'TB-Jan'!N298+'TB-Feb'!N298+'TB-Mar'!N298+'TB-Apr'!N298+'TB-May'!N298+'TB-Jun'!N298+'TB-Jul'!N298+'TB-Aug'!N298+'TB-Sep'!N298+'TB-Oct'!N298+'TB-Nov'!N298+'TB-Dec'!N298</f>
        <v>0</v>
      </c>
    </row>
    <row r="299" spans="1:14" hidden="1">
      <c r="A299" s="3" t="s">
        <v>556</v>
      </c>
      <c r="B299" s="4" t="s">
        <v>557</v>
      </c>
      <c r="C299" s="5">
        <f t="shared" si="9"/>
        <v>0</v>
      </c>
      <c r="D299" s="5"/>
      <c r="E299" s="6">
        <f t="shared" si="8"/>
        <v>0</v>
      </c>
      <c r="F299" s="6">
        <f t="shared" si="8"/>
        <v>0</v>
      </c>
      <c r="G299" s="94">
        <f>'TB-Jan'!G299+'TB-Feb'!G299+'TB-Mar'!G299+'TB-Apr'!G299+'TB-May'!G299+'TB-Jun'!G299+'TB-Jul'!G299+'TB-Aug'!G299+'TB-Sep'!G299+'TB-Oct'!G299+'TB-Nov'!G299+'TB-Dec'!G299</f>
        <v>0</v>
      </c>
      <c r="H299" s="94">
        <f>'TB-Jan'!H299+'TB-Feb'!H299+'TB-Mar'!H299+'TB-Apr'!H299+'TB-May'!H299+'TB-Jun'!H299+'TB-Jul'!H299+'TB-Aug'!H299+'TB-Sep'!H299+'TB-Oct'!H299+'TB-Nov'!H299+'TB-Dec'!H299</f>
        <v>0</v>
      </c>
      <c r="I299" s="95">
        <f>'TB-Jan'!I299+'TB-Feb'!I299+'TB-Mar'!I299+'TB-Apr'!I299+'TB-May'!I299+'TB-Jun'!I299+'TB-Jul'!I299+'TB-Aug'!I299+'TB-Sep'!I299+'TB-Oct'!I299+'TB-Nov'!I299+'TB-Dec'!I299</f>
        <v>0</v>
      </c>
      <c r="J299" s="95">
        <f>'TB-Jan'!J299+'TB-Feb'!J299+'TB-Mar'!J299+'TB-Apr'!J299+'TB-May'!J299+'TB-Jun'!J299+'TB-Jul'!J299+'TB-Aug'!J299+'TB-Sep'!J299+'TB-Oct'!J299+'TB-Nov'!J299+'TB-Dec'!J299</f>
        <v>0</v>
      </c>
      <c r="K299" s="96">
        <f>'TB-Jan'!K299+'TB-Feb'!K299+'TB-Mar'!K299+'TB-Apr'!K299+'TB-May'!K299+'TB-Jun'!K299+'TB-Jul'!K299+'TB-Aug'!K299+'TB-Sep'!K299+'TB-Oct'!K299+'TB-Nov'!K299+'TB-Dec'!K299</f>
        <v>0</v>
      </c>
      <c r="L299" s="96">
        <f>'TB-Jan'!L299+'TB-Feb'!L299+'TB-Mar'!L299+'TB-Apr'!L299+'TB-May'!L299+'TB-Jun'!L299+'TB-Jul'!L299+'TB-Aug'!L299+'TB-Sep'!L299+'TB-Oct'!L299+'TB-Nov'!L299+'TB-Dec'!L299</f>
        <v>0</v>
      </c>
      <c r="M299" s="97">
        <f>'TB-Jan'!M299+'TB-Feb'!M299+'TB-Mar'!M299+'TB-Apr'!M299+'TB-May'!M299+'TB-Jun'!M299+'TB-Jul'!M299+'TB-Aug'!M299+'TB-Sep'!M299+'TB-Oct'!M299+'TB-Nov'!M299+'TB-Dec'!M299</f>
        <v>0</v>
      </c>
      <c r="N299" s="97">
        <f>'TB-Jan'!N299+'TB-Feb'!N299+'TB-Mar'!N299+'TB-Apr'!N299+'TB-May'!N299+'TB-Jun'!N299+'TB-Jul'!N299+'TB-Aug'!N299+'TB-Sep'!N299+'TB-Oct'!N299+'TB-Nov'!N299+'TB-Dec'!N299</f>
        <v>0</v>
      </c>
    </row>
    <row r="300" spans="1:14" hidden="1">
      <c r="A300" s="3" t="s">
        <v>558</v>
      </c>
      <c r="B300" s="4" t="s">
        <v>559</v>
      </c>
      <c r="C300" s="5">
        <f t="shared" si="9"/>
        <v>0</v>
      </c>
      <c r="D300" s="5"/>
      <c r="E300" s="6">
        <f t="shared" si="8"/>
        <v>0</v>
      </c>
      <c r="F300" s="6">
        <f t="shared" si="8"/>
        <v>0</v>
      </c>
      <c r="G300" s="94">
        <f>'TB-Jan'!G300+'TB-Feb'!G300+'TB-Mar'!G300+'TB-Apr'!G300+'TB-May'!G300+'TB-Jun'!G300+'TB-Jul'!G300+'TB-Aug'!G300+'TB-Sep'!G300+'TB-Oct'!G300+'TB-Nov'!G300+'TB-Dec'!G300</f>
        <v>0</v>
      </c>
      <c r="H300" s="94">
        <f>'TB-Jan'!H300+'TB-Feb'!H300+'TB-Mar'!H300+'TB-Apr'!H300+'TB-May'!H300+'TB-Jun'!H300+'TB-Jul'!H300+'TB-Aug'!H300+'TB-Sep'!H300+'TB-Oct'!H300+'TB-Nov'!H300+'TB-Dec'!H300</f>
        <v>0</v>
      </c>
      <c r="I300" s="95">
        <f>'TB-Jan'!I300+'TB-Feb'!I300+'TB-Mar'!I300+'TB-Apr'!I300+'TB-May'!I300+'TB-Jun'!I300+'TB-Jul'!I300+'TB-Aug'!I300+'TB-Sep'!I300+'TB-Oct'!I300+'TB-Nov'!I300+'TB-Dec'!I300</f>
        <v>0</v>
      </c>
      <c r="J300" s="95">
        <f>'TB-Jan'!J300+'TB-Feb'!J300+'TB-Mar'!J300+'TB-Apr'!J300+'TB-May'!J300+'TB-Jun'!J300+'TB-Jul'!J300+'TB-Aug'!J300+'TB-Sep'!J300+'TB-Oct'!J300+'TB-Nov'!J300+'TB-Dec'!J300</f>
        <v>0</v>
      </c>
      <c r="K300" s="96">
        <f>'TB-Jan'!K300+'TB-Feb'!K300+'TB-Mar'!K300+'TB-Apr'!K300+'TB-May'!K300+'TB-Jun'!K300+'TB-Jul'!K300+'TB-Aug'!K300+'TB-Sep'!K300+'TB-Oct'!K300+'TB-Nov'!K300+'TB-Dec'!K300</f>
        <v>0</v>
      </c>
      <c r="L300" s="96">
        <f>'TB-Jan'!L300+'TB-Feb'!L300+'TB-Mar'!L300+'TB-Apr'!L300+'TB-May'!L300+'TB-Jun'!L300+'TB-Jul'!L300+'TB-Aug'!L300+'TB-Sep'!L300+'TB-Oct'!L300+'TB-Nov'!L300+'TB-Dec'!L300</f>
        <v>0</v>
      </c>
      <c r="M300" s="97">
        <f>'TB-Jan'!M300+'TB-Feb'!M300+'TB-Mar'!M300+'TB-Apr'!M300+'TB-May'!M300+'TB-Jun'!M300+'TB-Jul'!M300+'TB-Aug'!M300+'TB-Sep'!M300+'TB-Oct'!M300+'TB-Nov'!M300+'TB-Dec'!M300</f>
        <v>0</v>
      </c>
      <c r="N300" s="97">
        <f>'TB-Jan'!N300+'TB-Feb'!N300+'TB-Mar'!N300+'TB-Apr'!N300+'TB-May'!N300+'TB-Jun'!N300+'TB-Jul'!N300+'TB-Aug'!N300+'TB-Sep'!N300+'TB-Oct'!N300+'TB-Nov'!N300+'TB-Dec'!N300</f>
        <v>0</v>
      </c>
    </row>
    <row r="301" spans="1:14" hidden="1">
      <c r="A301" s="3" t="s">
        <v>560</v>
      </c>
      <c r="B301" s="4" t="s">
        <v>561</v>
      </c>
      <c r="C301" s="5">
        <f t="shared" si="9"/>
        <v>0</v>
      </c>
      <c r="D301" s="5"/>
      <c r="E301" s="6">
        <f t="shared" si="8"/>
        <v>0</v>
      </c>
      <c r="F301" s="6">
        <f t="shared" si="8"/>
        <v>0</v>
      </c>
      <c r="G301" s="94">
        <f>'TB-Jan'!G301+'TB-Feb'!G301+'TB-Mar'!G301+'TB-Apr'!G301+'TB-May'!G301+'TB-Jun'!G301+'TB-Jul'!G301+'TB-Aug'!G301+'TB-Sep'!G301+'TB-Oct'!G301+'TB-Nov'!G301+'TB-Dec'!G301</f>
        <v>0</v>
      </c>
      <c r="H301" s="94">
        <f>'TB-Jan'!H301+'TB-Feb'!H301+'TB-Mar'!H301+'TB-Apr'!H301+'TB-May'!H301+'TB-Jun'!H301+'TB-Jul'!H301+'TB-Aug'!H301+'TB-Sep'!H301+'TB-Oct'!H301+'TB-Nov'!H301+'TB-Dec'!H301</f>
        <v>0</v>
      </c>
      <c r="I301" s="95">
        <f>'TB-Jan'!I301+'TB-Feb'!I301+'TB-Mar'!I301+'TB-Apr'!I301+'TB-May'!I301+'TB-Jun'!I301+'TB-Jul'!I301+'TB-Aug'!I301+'TB-Sep'!I301+'TB-Oct'!I301+'TB-Nov'!I301+'TB-Dec'!I301</f>
        <v>0</v>
      </c>
      <c r="J301" s="95">
        <f>'TB-Jan'!J301+'TB-Feb'!J301+'TB-Mar'!J301+'TB-Apr'!J301+'TB-May'!J301+'TB-Jun'!J301+'TB-Jul'!J301+'TB-Aug'!J301+'TB-Sep'!J301+'TB-Oct'!J301+'TB-Nov'!J301+'TB-Dec'!J301</f>
        <v>0</v>
      </c>
      <c r="K301" s="96">
        <f>'TB-Jan'!K301+'TB-Feb'!K301+'TB-Mar'!K301+'TB-Apr'!K301+'TB-May'!K301+'TB-Jun'!K301+'TB-Jul'!K301+'TB-Aug'!K301+'TB-Sep'!K301+'TB-Oct'!K301+'TB-Nov'!K301+'TB-Dec'!K301</f>
        <v>0</v>
      </c>
      <c r="L301" s="96">
        <f>'TB-Jan'!L301+'TB-Feb'!L301+'TB-Mar'!L301+'TB-Apr'!L301+'TB-May'!L301+'TB-Jun'!L301+'TB-Jul'!L301+'TB-Aug'!L301+'TB-Sep'!L301+'TB-Oct'!L301+'TB-Nov'!L301+'TB-Dec'!L301</f>
        <v>0</v>
      </c>
      <c r="M301" s="97">
        <f>'TB-Jan'!M301+'TB-Feb'!M301+'TB-Mar'!M301+'TB-Apr'!M301+'TB-May'!M301+'TB-Jun'!M301+'TB-Jul'!M301+'TB-Aug'!M301+'TB-Sep'!M301+'TB-Oct'!M301+'TB-Nov'!M301+'TB-Dec'!M301</f>
        <v>0</v>
      </c>
      <c r="N301" s="97">
        <f>'TB-Jan'!N301+'TB-Feb'!N301+'TB-Mar'!N301+'TB-Apr'!N301+'TB-May'!N301+'TB-Jun'!N301+'TB-Jul'!N301+'TB-Aug'!N301+'TB-Sep'!N301+'TB-Oct'!N301+'TB-Nov'!N301+'TB-Dec'!N301</f>
        <v>0</v>
      </c>
    </row>
    <row r="302" spans="1:14" hidden="1">
      <c r="A302" s="3" t="s">
        <v>562</v>
      </c>
      <c r="B302" s="4" t="s">
        <v>563</v>
      </c>
      <c r="C302" s="5">
        <f t="shared" si="9"/>
        <v>0</v>
      </c>
      <c r="D302" s="5"/>
      <c r="E302" s="6">
        <f t="shared" si="8"/>
        <v>0</v>
      </c>
      <c r="F302" s="6">
        <f t="shared" si="8"/>
        <v>0</v>
      </c>
      <c r="G302" s="94">
        <f>'TB-Jan'!G302+'TB-Feb'!G302+'TB-Mar'!G302+'TB-Apr'!G302+'TB-May'!G302+'TB-Jun'!G302+'TB-Jul'!G302+'TB-Aug'!G302+'TB-Sep'!G302+'TB-Oct'!G302+'TB-Nov'!G302+'TB-Dec'!G302</f>
        <v>0</v>
      </c>
      <c r="H302" s="94">
        <f>'TB-Jan'!H302+'TB-Feb'!H302+'TB-Mar'!H302+'TB-Apr'!H302+'TB-May'!H302+'TB-Jun'!H302+'TB-Jul'!H302+'TB-Aug'!H302+'TB-Sep'!H302+'TB-Oct'!H302+'TB-Nov'!H302+'TB-Dec'!H302</f>
        <v>0</v>
      </c>
      <c r="I302" s="95">
        <f>'TB-Jan'!I302+'TB-Feb'!I302+'TB-Mar'!I302+'TB-Apr'!I302+'TB-May'!I302+'TB-Jun'!I302+'TB-Jul'!I302+'TB-Aug'!I302+'TB-Sep'!I302+'TB-Oct'!I302+'TB-Nov'!I302+'TB-Dec'!I302</f>
        <v>0</v>
      </c>
      <c r="J302" s="95">
        <f>'TB-Jan'!J302+'TB-Feb'!J302+'TB-Mar'!J302+'TB-Apr'!J302+'TB-May'!J302+'TB-Jun'!J302+'TB-Jul'!J302+'TB-Aug'!J302+'TB-Sep'!J302+'TB-Oct'!J302+'TB-Nov'!J302+'TB-Dec'!J302</f>
        <v>0</v>
      </c>
      <c r="K302" s="96">
        <f>'TB-Jan'!K302+'TB-Feb'!K302+'TB-Mar'!K302+'TB-Apr'!K302+'TB-May'!K302+'TB-Jun'!K302+'TB-Jul'!K302+'TB-Aug'!K302+'TB-Sep'!K302+'TB-Oct'!K302+'TB-Nov'!K302+'TB-Dec'!K302</f>
        <v>0</v>
      </c>
      <c r="L302" s="96">
        <f>'TB-Jan'!L302+'TB-Feb'!L302+'TB-Mar'!L302+'TB-Apr'!L302+'TB-May'!L302+'TB-Jun'!L302+'TB-Jul'!L302+'TB-Aug'!L302+'TB-Sep'!L302+'TB-Oct'!L302+'TB-Nov'!L302+'TB-Dec'!L302</f>
        <v>0</v>
      </c>
      <c r="M302" s="97">
        <f>'TB-Jan'!M302+'TB-Feb'!M302+'TB-Mar'!M302+'TB-Apr'!M302+'TB-May'!M302+'TB-Jun'!M302+'TB-Jul'!M302+'TB-Aug'!M302+'TB-Sep'!M302+'TB-Oct'!M302+'TB-Nov'!M302+'TB-Dec'!M302</f>
        <v>0</v>
      </c>
      <c r="N302" s="97">
        <f>'TB-Jan'!N302+'TB-Feb'!N302+'TB-Mar'!N302+'TB-Apr'!N302+'TB-May'!N302+'TB-Jun'!N302+'TB-Jul'!N302+'TB-Aug'!N302+'TB-Sep'!N302+'TB-Oct'!N302+'TB-Nov'!N302+'TB-Dec'!N302</f>
        <v>0</v>
      </c>
    </row>
    <row r="303" spans="1:14" hidden="1">
      <c r="A303" s="3" t="s">
        <v>564</v>
      </c>
      <c r="B303" s="4" t="s">
        <v>565</v>
      </c>
      <c r="C303" s="5">
        <f t="shared" si="9"/>
        <v>0</v>
      </c>
      <c r="D303" s="5"/>
      <c r="E303" s="6">
        <f t="shared" si="8"/>
        <v>0</v>
      </c>
      <c r="F303" s="6">
        <f t="shared" si="8"/>
        <v>0</v>
      </c>
      <c r="G303" s="94">
        <f>'TB-Jan'!G303+'TB-Feb'!G303+'TB-Mar'!G303+'TB-Apr'!G303+'TB-May'!G303+'TB-Jun'!G303+'TB-Jul'!G303+'TB-Aug'!G303+'TB-Sep'!G303+'TB-Oct'!G303+'TB-Nov'!G303+'TB-Dec'!G303</f>
        <v>0</v>
      </c>
      <c r="H303" s="94">
        <f>'TB-Jan'!H303+'TB-Feb'!H303+'TB-Mar'!H303+'TB-Apr'!H303+'TB-May'!H303+'TB-Jun'!H303+'TB-Jul'!H303+'TB-Aug'!H303+'TB-Sep'!H303+'TB-Oct'!H303+'TB-Nov'!H303+'TB-Dec'!H303</f>
        <v>0</v>
      </c>
      <c r="I303" s="95">
        <f>'TB-Jan'!I303+'TB-Feb'!I303+'TB-Mar'!I303+'TB-Apr'!I303+'TB-May'!I303+'TB-Jun'!I303+'TB-Jul'!I303+'TB-Aug'!I303+'TB-Sep'!I303+'TB-Oct'!I303+'TB-Nov'!I303+'TB-Dec'!I303</f>
        <v>0</v>
      </c>
      <c r="J303" s="95">
        <f>'TB-Jan'!J303+'TB-Feb'!J303+'TB-Mar'!J303+'TB-Apr'!J303+'TB-May'!J303+'TB-Jun'!J303+'TB-Jul'!J303+'TB-Aug'!J303+'TB-Sep'!J303+'TB-Oct'!J303+'TB-Nov'!J303+'TB-Dec'!J303</f>
        <v>0</v>
      </c>
      <c r="K303" s="96">
        <f>'TB-Jan'!K303+'TB-Feb'!K303+'TB-Mar'!K303+'TB-Apr'!K303+'TB-May'!K303+'TB-Jun'!K303+'TB-Jul'!K303+'TB-Aug'!K303+'TB-Sep'!K303+'TB-Oct'!K303+'TB-Nov'!K303+'TB-Dec'!K303</f>
        <v>0</v>
      </c>
      <c r="L303" s="96">
        <f>'TB-Jan'!L303+'TB-Feb'!L303+'TB-Mar'!L303+'TB-Apr'!L303+'TB-May'!L303+'TB-Jun'!L303+'TB-Jul'!L303+'TB-Aug'!L303+'TB-Sep'!L303+'TB-Oct'!L303+'TB-Nov'!L303+'TB-Dec'!L303</f>
        <v>0</v>
      </c>
      <c r="M303" s="97">
        <f>'TB-Jan'!M303+'TB-Feb'!M303+'TB-Mar'!M303+'TB-Apr'!M303+'TB-May'!M303+'TB-Jun'!M303+'TB-Jul'!M303+'TB-Aug'!M303+'TB-Sep'!M303+'TB-Oct'!M303+'TB-Nov'!M303+'TB-Dec'!M303</f>
        <v>0</v>
      </c>
      <c r="N303" s="97">
        <f>'TB-Jan'!N303+'TB-Feb'!N303+'TB-Mar'!N303+'TB-Apr'!N303+'TB-May'!N303+'TB-Jun'!N303+'TB-Jul'!N303+'TB-Aug'!N303+'TB-Sep'!N303+'TB-Oct'!N303+'TB-Nov'!N303+'TB-Dec'!N303</f>
        <v>0</v>
      </c>
    </row>
    <row r="304" spans="1:14" hidden="1">
      <c r="A304" s="3" t="s">
        <v>566</v>
      </c>
      <c r="B304" s="4" t="s">
        <v>567</v>
      </c>
      <c r="C304" s="5">
        <f t="shared" si="9"/>
        <v>0</v>
      </c>
      <c r="D304" s="5"/>
      <c r="E304" s="6">
        <f t="shared" si="8"/>
        <v>0</v>
      </c>
      <c r="F304" s="6">
        <f t="shared" si="8"/>
        <v>0</v>
      </c>
      <c r="G304" s="94">
        <f>'TB-Jan'!G304+'TB-Feb'!G304+'TB-Mar'!G304+'TB-Apr'!G304+'TB-May'!G304+'TB-Jun'!G304+'TB-Jul'!G304+'TB-Aug'!G304+'TB-Sep'!G304+'TB-Oct'!G304+'TB-Nov'!G304+'TB-Dec'!G304</f>
        <v>0</v>
      </c>
      <c r="H304" s="94">
        <f>'TB-Jan'!H304+'TB-Feb'!H304+'TB-Mar'!H304+'TB-Apr'!H304+'TB-May'!H304+'TB-Jun'!H304+'TB-Jul'!H304+'TB-Aug'!H304+'TB-Sep'!H304+'TB-Oct'!H304+'TB-Nov'!H304+'TB-Dec'!H304</f>
        <v>0</v>
      </c>
      <c r="I304" s="95">
        <f>'TB-Jan'!I304+'TB-Feb'!I304+'TB-Mar'!I304+'TB-Apr'!I304+'TB-May'!I304+'TB-Jun'!I304+'TB-Jul'!I304+'TB-Aug'!I304+'TB-Sep'!I304+'TB-Oct'!I304+'TB-Nov'!I304+'TB-Dec'!I304</f>
        <v>0</v>
      </c>
      <c r="J304" s="95">
        <f>'TB-Jan'!J304+'TB-Feb'!J304+'TB-Mar'!J304+'TB-Apr'!J304+'TB-May'!J304+'TB-Jun'!J304+'TB-Jul'!J304+'TB-Aug'!J304+'TB-Sep'!J304+'TB-Oct'!J304+'TB-Nov'!J304+'TB-Dec'!J304</f>
        <v>0</v>
      </c>
      <c r="K304" s="96">
        <f>'TB-Jan'!K304+'TB-Feb'!K304+'TB-Mar'!K304+'TB-Apr'!K304+'TB-May'!K304+'TB-Jun'!K304+'TB-Jul'!K304+'TB-Aug'!K304+'TB-Sep'!K304+'TB-Oct'!K304+'TB-Nov'!K304+'TB-Dec'!K304</f>
        <v>0</v>
      </c>
      <c r="L304" s="96">
        <f>'TB-Jan'!L304+'TB-Feb'!L304+'TB-Mar'!L304+'TB-Apr'!L304+'TB-May'!L304+'TB-Jun'!L304+'TB-Jul'!L304+'TB-Aug'!L304+'TB-Sep'!L304+'TB-Oct'!L304+'TB-Nov'!L304+'TB-Dec'!L304</f>
        <v>0</v>
      </c>
      <c r="M304" s="97">
        <f>'TB-Jan'!M304+'TB-Feb'!M304+'TB-Mar'!M304+'TB-Apr'!M304+'TB-May'!M304+'TB-Jun'!M304+'TB-Jul'!M304+'TB-Aug'!M304+'TB-Sep'!M304+'TB-Oct'!M304+'TB-Nov'!M304+'TB-Dec'!M304</f>
        <v>0</v>
      </c>
      <c r="N304" s="97">
        <f>'TB-Jan'!N304+'TB-Feb'!N304+'TB-Mar'!N304+'TB-Apr'!N304+'TB-May'!N304+'TB-Jun'!N304+'TB-Jul'!N304+'TB-Aug'!N304+'TB-Sep'!N304+'TB-Oct'!N304+'TB-Nov'!N304+'TB-Dec'!N304</f>
        <v>0</v>
      </c>
    </row>
    <row r="305" spans="1:14" hidden="1">
      <c r="A305" s="3" t="s">
        <v>568</v>
      </c>
      <c r="B305" s="4" t="s">
        <v>569</v>
      </c>
      <c r="C305" s="5">
        <f t="shared" si="9"/>
        <v>0</v>
      </c>
      <c r="D305" s="5"/>
      <c r="E305" s="6">
        <f t="shared" si="8"/>
        <v>0</v>
      </c>
      <c r="F305" s="6">
        <f t="shared" si="8"/>
        <v>0</v>
      </c>
      <c r="G305" s="94">
        <f>'TB-Jan'!G305+'TB-Feb'!G305+'TB-Mar'!G305+'TB-Apr'!G305+'TB-May'!G305+'TB-Jun'!G305+'TB-Jul'!G305+'TB-Aug'!G305+'TB-Sep'!G305+'TB-Oct'!G305+'TB-Nov'!G305+'TB-Dec'!G305</f>
        <v>0</v>
      </c>
      <c r="H305" s="94">
        <f>'TB-Jan'!H305+'TB-Feb'!H305+'TB-Mar'!H305+'TB-Apr'!H305+'TB-May'!H305+'TB-Jun'!H305+'TB-Jul'!H305+'TB-Aug'!H305+'TB-Sep'!H305+'TB-Oct'!H305+'TB-Nov'!H305+'TB-Dec'!H305</f>
        <v>0</v>
      </c>
      <c r="I305" s="95">
        <f>'TB-Jan'!I305+'TB-Feb'!I305+'TB-Mar'!I305+'TB-Apr'!I305+'TB-May'!I305+'TB-Jun'!I305+'TB-Jul'!I305+'TB-Aug'!I305+'TB-Sep'!I305+'TB-Oct'!I305+'TB-Nov'!I305+'TB-Dec'!I305</f>
        <v>0</v>
      </c>
      <c r="J305" s="95">
        <f>'TB-Jan'!J305+'TB-Feb'!J305+'TB-Mar'!J305+'TB-Apr'!J305+'TB-May'!J305+'TB-Jun'!J305+'TB-Jul'!J305+'TB-Aug'!J305+'TB-Sep'!J305+'TB-Oct'!J305+'TB-Nov'!J305+'TB-Dec'!J305</f>
        <v>0</v>
      </c>
      <c r="K305" s="96">
        <f>'TB-Jan'!K305+'TB-Feb'!K305+'TB-Mar'!K305+'TB-Apr'!K305+'TB-May'!K305+'TB-Jun'!K305+'TB-Jul'!K305+'TB-Aug'!K305+'TB-Sep'!K305+'TB-Oct'!K305+'TB-Nov'!K305+'TB-Dec'!K305</f>
        <v>0</v>
      </c>
      <c r="L305" s="96">
        <f>'TB-Jan'!L305+'TB-Feb'!L305+'TB-Mar'!L305+'TB-Apr'!L305+'TB-May'!L305+'TB-Jun'!L305+'TB-Jul'!L305+'TB-Aug'!L305+'TB-Sep'!L305+'TB-Oct'!L305+'TB-Nov'!L305+'TB-Dec'!L305</f>
        <v>0</v>
      </c>
      <c r="M305" s="97">
        <f>'TB-Jan'!M305+'TB-Feb'!M305+'TB-Mar'!M305+'TB-Apr'!M305+'TB-May'!M305+'TB-Jun'!M305+'TB-Jul'!M305+'TB-Aug'!M305+'TB-Sep'!M305+'TB-Oct'!M305+'TB-Nov'!M305+'TB-Dec'!M305</f>
        <v>0</v>
      </c>
      <c r="N305" s="97">
        <f>'TB-Jan'!N305+'TB-Feb'!N305+'TB-Mar'!N305+'TB-Apr'!N305+'TB-May'!N305+'TB-Jun'!N305+'TB-Jul'!N305+'TB-Aug'!N305+'TB-Sep'!N305+'TB-Oct'!N305+'TB-Nov'!N305+'TB-Dec'!N305</f>
        <v>0</v>
      </c>
    </row>
    <row r="306" spans="1:14" hidden="1">
      <c r="A306" s="3" t="s">
        <v>570</v>
      </c>
      <c r="B306" s="4" t="s">
        <v>571</v>
      </c>
      <c r="C306" s="5">
        <f t="shared" si="9"/>
        <v>0</v>
      </c>
      <c r="D306" s="5"/>
      <c r="E306" s="6">
        <f t="shared" si="8"/>
        <v>0</v>
      </c>
      <c r="F306" s="6">
        <f t="shared" si="8"/>
        <v>0</v>
      </c>
      <c r="G306" s="94">
        <f>'TB-Jan'!G306+'TB-Feb'!G306+'TB-Mar'!G306+'TB-Apr'!G306+'TB-May'!G306+'TB-Jun'!G306+'TB-Jul'!G306+'TB-Aug'!G306+'TB-Sep'!G306+'TB-Oct'!G306+'TB-Nov'!G306+'TB-Dec'!G306</f>
        <v>0</v>
      </c>
      <c r="H306" s="94">
        <f>'TB-Jan'!H306+'TB-Feb'!H306+'TB-Mar'!H306+'TB-Apr'!H306+'TB-May'!H306+'TB-Jun'!H306+'TB-Jul'!H306+'TB-Aug'!H306+'TB-Sep'!H306+'TB-Oct'!H306+'TB-Nov'!H306+'TB-Dec'!H306</f>
        <v>0</v>
      </c>
      <c r="I306" s="95">
        <f>'TB-Jan'!I306+'TB-Feb'!I306+'TB-Mar'!I306+'TB-Apr'!I306+'TB-May'!I306+'TB-Jun'!I306+'TB-Jul'!I306+'TB-Aug'!I306+'TB-Sep'!I306+'TB-Oct'!I306+'TB-Nov'!I306+'TB-Dec'!I306</f>
        <v>0</v>
      </c>
      <c r="J306" s="95">
        <f>'TB-Jan'!J306+'TB-Feb'!J306+'TB-Mar'!J306+'TB-Apr'!J306+'TB-May'!J306+'TB-Jun'!J306+'TB-Jul'!J306+'TB-Aug'!J306+'TB-Sep'!J306+'TB-Oct'!J306+'TB-Nov'!J306+'TB-Dec'!J306</f>
        <v>0</v>
      </c>
      <c r="K306" s="96">
        <f>'TB-Jan'!K306+'TB-Feb'!K306+'TB-Mar'!K306+'TB-Apr'!K306+'TB-May'!K306+'TB-Jun'!K306+'TB-Jul'!K306+'TB-Aug'!K306+'TB-Sep'!K306+'TB-Oct'!K306+'TB-Nov'!K306+'TB-Dec'!K306</f>
        <v>0</v>
      </c>
      <c r="L306" s="96">
        <f>'TB-Jan'!L306+'TB-Feb'!L306+'TB-Mar'!L306+'TB-Apr'!L306+'TB-May'!L306+'TB-Jun'!L306+'TB-Jul'!L306+'TB-Aug'!L306+'TB-Sep'!L306+'TB-Oct'!L306+'TB-Nov'!L306+'TB-Dec'!L306</f>
        <v>0</v>
      </c>
      <c r="M306" s="97">
        <f>'TB-Jan'!M306+'TB-Feb'!M306+'TB-Mar'!M306+'TB-Apr'!M306+'TB-May'!M306+'TB-Jun'!M306+'TB-Jul'!M306+'TB-Aug'!M306+'TB-Sep'!M306+'TB-Oct'!M306+'TB-Nov'!M306+'TB-Dec'!M306</f>
        <v>0</v>
      </c>
      <c r="N306" s="97">
        <f>'TB-Jan'!N306+'TB-Feb'!N306+'TB-Mar'!N306+'TB-Apr'!N306+'TB-May'!N306+'TB-Jun'!N306+'TB-Jul'!N306+'TB-Aug'!N306+'TB-Sep'!N306+'TB-Oct'!N306+'TB-Nov'!N306+'TB-Dec'!N306</f>
        <v>0</v>
      </c>
    </row>
    <row r="307" spans="1:14" hidden="1">
      <c r="A307" s="3" t="s">
        <v>572</v>
      </c>
      <c r="B307" s="4" t="s">
        <v>573</v>
      </c>
      <c r="C307" s="5">
        <f t="shared" si="9"/>
        <v>0</v>
      </c>
      <c r="D307" s="5"/>
      <c r="E307" s="6">
        <f t="shared" si="8"/>
        <v>0</v>
      </c>
      <c r="F307" s="6">
        <f t="shared" si="8"/>
        <v>0</v>
      </c>
      <c r="G307" s="94">
        <f>'TB-Jan'!G307+'TB-Feb'!G307+'TB-Mar'!G307+'TB-Apr'!G307+'TB-May'!G307+'TB-Jun'!G307+'TB-Jul'!G307+'TB-Aug'!G307+'TB-Sep'!G307+'TB-Oct'!G307+'TB-Nov'!G307+'TB-Dec'!G307</f>
        <v>0</v>
      </c>
      <c r="H307" s="94">
        <f>'TB-Jan'!H307+'TB-Feb'!H307+'TB-Mar'!H307+'TB-Apr'!H307+'TB-May'!H307+'TB-Jun'!H307+'TB-Jul'!H307+'TB-Aug'!H307+'TB-Sep'!H307+'TB-Oct'!H307+'TB-Nov'!H307+'TB-Dec'!H307</f>
        <v>0</v>
      </c>
      <c r="I307" s="95">
        <f>'TB-Jan'!I307+'TB-Feb'!I307+'TB-Mar'!I307+'TB-Apr'!I307+'TB-May'!I307+'TB-Jun'!I307+'TB-Jul'!I307+'TB-Aug'!I307+'TB-Sep'!I307+'TB-Oct'!I307+'TB-Nov'!I307+'TB-Dec'!I307</f>
        <v>0</v>
      </c>
      <c r="J307" s="95">
        <f>'TB-Jan'!J307+'TB-Feb'!J307+'TB-Mar'!J307+'TB-Apr'!J307+'TB-May'!J307+'TB-Jun'!J307+'TB-Jul'!J307+'TB-Aug'!J307+'TB-Sep'!J307+'TB-Oct'!J307+'TB-Nov'!J307+'TB-Dec'!J307</f>
        <v>0</v>
      </c>
      <c r="K307" s="96">
        <f>'TB-Jan'!K307+'TB-Feb'!K307+'TB-Mar'!K307+'TB-Apr'!K307+'TB-May'!K307+'TB-Jun'!K307+'TB-Jul'!K307+'TB-Aug'!K307+'TB-Sep'!K307+'TB-Oct'!K307+'TB-Nov'!K307+'TB-Dec'!K307</f>
        <v>0</v>
      </c>
      <c r="L307" s="96">
        <f>'TB-Jan'!L307+'TB-Feb'!L307+'TB-Mar'!L307+'TB-Apr'!L307+'TB-May'!L307+'TB-Jun'!L307+'TB-Jul'!L307+'TB-Aug'!L307+'TB-Sep'!L307+'TB-Oct'!L307+'TB-Nov'!L307+'TB-Dec'!L307</f>
        <v>0</v>
      </c>
      <c r="M307" s="97">
        <f>'TB-Jan'!M307+'TB-Feb'!M307+'TB-Mar'!M307+'TB-Apr'!M307+'TB-May'!M307+'TB-Jun'!M307+'TB-Jul'!M307+'TB-Aug'!M307+'TB-Sep'!M307+'TB-Oct'!M307+'TB-Nov'!M307+'TB-Dec'!M307</f>
        <v>0</v>
      </c>
      <c r="N307" s="97">
        <f>'TB-Jan'!N307+'TB-Feb'!N307+'TB-Mar'!N307+'TB-Apr'!N307+'TB-May'!N307+'TB-Jun'!N307+'TB-Jul'!N307+'TB-Aug'!N307+'TB-Sep'!N307+'TB-Oct'!N307+'TB-Nov'!N307+'TB-Dec'!N307</f>
        <v>0</v>
      </c>
    </row>
    <row r="308" spans="1:14" hidden="1">
      <c r="A308" s="3" t="s">
        <v>574</v>
      </c>
      <c r="B308" s="4" t="s">
        <v>575</v>
      </c>
      <c r="C308" s="5">
        <f t="shared" si="9"/>
        <v>0</v>
      </c>
      <c r="D308" s="5"/>
      <c r="E308" s="6">
        <f t="shared" si="8"/>
        <v>0</v>
      </c>
      <c r="F308" s="6">
        <f t="shared" si="8"/>
        <v>0</v>
      </c>
      <c r="G308" s="94">
        <f>'TB-Jan'!G308+'TB-Feb'!G308+'TB-Mar'!G308+'TB-Apr'!G308+'TB-May'!G308+'TB-Jun'!G308+'TB-Jul'!G308+'TB-Aug'!G308+'TB-Sep'!G308+'TB-Oct'!G308+'TB-Nov'!G308+'TB-Dec'!G308</f>
        <v>0</v>
      </c>
      <c r="H308" s="94">
        <f>'TB-Jan'!H308+'TB-Feb'!H308+'TB-Mar'!H308+'TB-Apr'!H308+'TB-May'!H308+'TB-Jun'!H308+'TB-Jul'!H308+'TB-Aug'!H308+'TB-Sep'!H308+'TB-Oct'!H308+'TB-Nov'!H308+'TB-Dec'!H308</f>
        <v>0</v>
      </c>
      <c r="I308" s="95">
        <f>'TB-Jan'!I308+'TB-Feb'!I308+'TB-Mar'!I308+'TB-Apr'!I308+'TB-May'!I308+'TB-Jun'!I308+'TB-Jul'!I308+'TB-Aug'!I308+'TB-Sep'!I308+'TB-Oct'!I308+'TB-Nov'!I308+'TB-Dec'!I308</f>
        <v>0</v>
      </c>
      <c r="J308" s="95">
        <f>'TB-Jan'!J308+'TB-Feb'!J308+'TB-Mar'!J308+'TB-Apr'!J308+'TB-May'!J308+'TB-Jun'!J308+'TB-Jul'!J308+'TB-Aug'!J308+'TB-Sep'!J308+'TB-Oct'!J308+'TB-Nov'!J308+'TB-Dec'!J308</f>
        <v>0</v>
      </c>
      <c r="K308" s="96">
        <f>'TB-Jan'!K308+'TB-Feb'!K308+'TB-Mar'!K308+'TB-Apr'!K308+'TB-May'!K308+'TB-Jun'!K308+'TB-Jul'!K308+'TB-Aug'!K308+'TB-Sep'!K308+'TB-Oct'!K308+'TB-Nov'!K308+'TB-Dec'!K308</f>
        <v>0</v>
      </c>
      <c r="L308" s="96">
        <f>'TB-Jan'!L308+'TB-Feb'!L308+'TB-Mar'!L308+'TB-Apr'!L308+'TB-May'!L308+'TB-Jun'!L308+'TB-Jul'!L308+'TB-Aug'!L308+'TB-Sep'!L308+'TB-Oct'!L308+'TB-Nov'!L308+'TB-Dec'!L308</f>
        <v>0</v>
      </c>
      <c r="M308" s="97">
        <f>'TB-Jan'!M308+'TB-Feb'!M308+'TB-Mar'!M308+'TB-Apr'!M308+'TB-May'!M308+'TB-Jun'!M308+'TB-Jul'!M308+'TB-Aug'!M308+'TB-Sep'!M308+'TB-Oct'!M308+'TB-Nov'!M308+'TB-Dec'!M308</f>
        <v>0</v>
      </c>
      <c r="N308" s="97">
        <f>'TB-Jan'!N308+'TB-Feb'!N308+'TB-Mar'!N308+'TB-Apr'!N308+'TB-May'!N308+'TB-Jun'!N308+'TB-Jul'!N308+'TB-Aug'!N308+'TB-Sep'!N308+'TB-Oct'!N308+'TB-Nov'!N308+'TB-Dec'!N308</f>
        <v>0</v>
      </c>
    </row>
    <row r="309" spans="1:14" hidden="1">
      <c r="A309" s="3" t="s">
        <v>576</v>
      </c>
      <c r="B309" s="4" t="s">
        <v>577</v>
      </c>
      <c r="C309" s="5">
        <f t="shared" si="9"/>
        <v>0</v>
      </c>
      <c r="D309" s="5"/>
      <c r="E309" s="6">
        <f t="shared" si="8"/>
        <v>0</v>
      </c>
      <c r="F309" s="6">
        <f t="shared" si="8"/>
        <v>0</v>
      </c>
      <c r="G309" s="94">
        <f>'TB-Jan'!G309+'TB-Feb'!G309+'TB-Mar'!G309+'TB-Apr'!G309+'TB-May'!G309+'TB-Jun'!G309+'TB-Jul'!G309+'TB-Aug'!G309+'TB-Sep'!G309+'TB-Oct'!G309+'TB-Nov'!G309+'TB-Dec'!G309</f>
        <v>0</v>
      </c>
      <c r="H309" s="94">
        <f>'TB-Jan'!H309+'TB-Feb'!H309+'TB-Mar'!H309+'TB-Apr'!H309+'TB-May'!H309+'TB-Jun'!H309+'TB-Jul'!H309+'TB-Aug'!H309+'TB-Sep'!H309+'TB-Oct'!H309+'TB-Nov'!H309+'TB-Dec'!H309</f>
        <v>0</v>
      </c>
      <c r="I309" s="95">
        <f>'TB-Jan'!I309+'TB-Feb'!I309+'TB-Mar'!I309+'TB-Apr'!I309+'TB-May'!I309+'TB-Jun'!I309+'TB-Jul'!I309+'TB-Aug'!I309+'TB-Sep'!I309+'TB-Oct'!I309+'TB-Nov'!I309+'TB-Dec'!I309</f>
        <v>0</v>
      </c>
      <c r="J309" s="95">
        <f>'TB-Jan'!J309+'TB-Feb'!J309+'TB-Mar'!J309+'TB-Apr'!J309+'TB-May'!J309+'TB-Jun'!J309+'TB-Jul'!J309+'TB-Aug'!J309+'TB-Sep'!J309+'TB-Oct'!J309+'TB-Nov'!J309+'TB-Dec'!J309</f>
        <v>0</v>
      </c>
      <c r="K309" s="96">
        <f>'TB-Jan'!K309+'TB-Feb'!K309+'TB-Mar'!K309+'TB-Apr'!K309+'TB-May'!K309+'TB-Jun'!K309+'TB-Jul'!K309+'TB-Aug'!K309+'TB-Sep'!K309+'TB-Oct'!K309+'TB-Nov'!K309+'TB-Dec'!K309</f>
        <v>0</v>
      </c>
      <c r="L309" s="96">
        <f>'TB-Jan'!L309+'TB-Feb'!L309+'TB-Mar'!L309+'TB-Apr'!L309+'TB-May'!L309+'TB-Jun'!L309+'TB-Jul'!L309+'TB-Aug'!L309+'TB-Sep'!L309+'TB-Oct'!L309+'TB-Nov'!L309+'TB-Dec'!L309</f>
        <v>0</v>
      </c>
      <c r="M309" s="97">
        <f>'TB-Jan'!M309+'TB-Feb'!M309+'TB-Mar'!M309+'TB-Apr'!M309+'TB-May'!M309+'TB-Jun'!M309+'TB-Jul'!M309+'TB-Aug'!M309+'TB-Sep'!M309+'TB-Oct'!M309+'TB-Nov'!M309+'TB-Dec'!M309</f>
        <v>0</v>
      </c>
      <c r="N309" s="97">
        <f>'TB-Jan'!N309+'TB-Feb'!N309+'TB-Mar'!N309+'TB-Apr'!N309+'TB-May'!N309+'TB-Jun'!N309+'TB-Jul'!N309+'TB-Aug'!N309+'TB-Sep'!N309+'TB-Oct'!N309+'TB-Nov'!N309+'TB-Dec'!N309</f>
        <v>0</v>
      </c>
    </row>
    <row r="310" spans="1:14" hidden="1">
      <c r="A310" s="3" t="s">
        <v>578</v>
      </c>
      <c r="B310" s="4" t="s">
        <v>579</v>
      </c>
      <c r="C310" s="5">
        <f t="shared" si="9"/>
        <v>0</v>
      </c>
      <c r="D310" s="5"/>
      <c r="E310" s="6">
        <f t="shared" si="8"/>
        <v>0</v>
      </c>
      <c r="F310" s="6">
        <f t="shared" si="8"/>
        <v>0</v>
      </c>
      <c r="G310" s="94">
        <f>'TB-Jan'!G310+'TB-Feb'!G310+'TB-Mar'!G310+'TB-Apr'!G310+'TB-May'!G310+'TB-Jun'!G310+'TB-Jul'!G310+'TB-Aug'!G310+'TB-Sep'!G310+'TB-Oct'!G310+'TB-Nov'!G310+'TB-Dec'!G310</f>
        <v>0</v>
      </c>
      <c r="H310" s="94">
        <f>'TB-Jan'!H310+'TB-Feb'!H310+'TB-Mar'!H310+'TB-Apr'!H310+'TB-May'!H310+'TB-Jun'!H310+'TB-Jul'!H310+'TB-Aug'!H310+'TB-Sep'!H310+'TB-Oct'!H310+'TB-Nov'!H310+'TB-Dec'!H310</f>
        <v>0</v>
      </c>
      <c r="I310" s="95">
        <f>'TB-Jan'!I310+'TB-Feb'!I310+'TB-Mar'!I310+'TB-Apr'!I310+'TB-May'!I310+'TB-Jun'!I310+'TB-Jul'!I310+'TB-Aug'!I310+'TB-Sep'!I310+'TB-Oct'!I310+'TB-Nov'!I310+'TB-Dec'!I310</f>
        <v>0</v>
      </c>
      <c r="J310" s="95">
        <f>'TB-Jan'!J310+'TB-Feb'!J310+'TB-Mar'!J310+'TB-Apr'!J310+'TB-May'!J310+'TB-Jun'!J310+'TB-Jul'!J310+'TB-Aug'!J310+'TB-Sep'!J310+'TB-Oct'!J310+'TB-Nov'!J310+'TB-Dec'!J310</f>
        <v>0</v>
      </c>
      <c r="K310" s="96">
        <f>'TB-Jan'!K310+'TB-Feb'!K310+'TB-Mar'!K310+'TB-Apr'!K310+'TB-May'!K310+'TB-Jun'!K310+'TB-Jul'!K310+'TB-Aug'!K310+'TB-Sep'!K310+'TB-Oct'!K310+'TB-Nov'!K310+'TB-Dec'!K310</f>
        <v>0</v>
      </c>
      <c r="L310" s="96">
        <f>'TB-Jan'!L310+'TB-Feb'!L310+'TB-Mar'!L310+'TB-Apr'!L310+'TB-May'!L310+'TB-Jun'!L310+'TB-Jul'!L310+'TB-Aug'!L310+'TB-Sep'!L310+'TB-Oct'!L310+'TB-Nov'!L310+'TB-Dec'!L310</f>
        <v>0</v>
      </c>
      <c r="M310" s="97">
        <f>'TB-Jan'!M310+'TB-Feb'!M310+'TB-Mar'!M310+'TB-Apr'!M310+'TB-May'!M310+'TB-Jun'!M310+'TB-Jul'!M310+'TB-Aug'!M310+'TB-Sep'!M310+'TB-Oct'!M310+'TB-Nov'!M310+'TB-Dec'!M310</f>
        <v>0</v>
      </c>
      <c r="N310" s="97">
        <f>'TB-Jan'!N310+'TB-Feb'!N310+'TB-Mar'!N310+'TB-Apr'!N310+'TB-May'!N310+'TB-Jun'!N310+'TB-Jul'!N310+'TB-Aug'!N310+'TB-Sep'!N310+'TB-Oct'!N310+'TB-Nov'!N310+'TB-Dec'!N310</f>
        <v>0</v>
      </c>
    </row>
    <row r="311" spans="1:14" hidden="1">
      <c r="A311" s="3" t="s">
        <v>580</v>
      </c>
      <c r="B311" s="4" t="s">
        <v>581</v>
      </c>
      <c r="C311" s="5">
        <f t="shared" si="9"/>
        <v>0</v>
      </c>
      <c r="D311" s="5"/>
      <c r="E311" s="6">
        <f t="shared" si="8"/>
        <v>0</v>
      </c>
      <c r="F311" s="6">
        <f t="shared" si="8"/>
        <v>0</v>
      </c>
      <c r="G311" s="94">
        <f>'TB-Jan'!G311+'TB-Feb'!G311+'TB-Mar'!G311+'TB-Apr'!G311+'TB-May'!G311+'TB-Jun'!G311+'TB-Jul'!G311+'TB-Aug'!G311+'TB-Sep'!G311+'TB-Oct'!G311+'TB-Nov'!G311+'TB-Dec'!G311</f>
        <v>0</v>
      </c>
      <c r="H311" s="94">
        <f>'TB-Jan'!H311+'TB-Feb'!H311+'TB-Mar'!H311+'TB-Apr'!H311+'TB-May'!H311+'TB-Jun'!H311+'TB-Jul'!H311+'TB-Aug'!H311+'TB-Sep'!H311+'TB-Oct'!H311+'TB-Nov'!H311+'TB-Dec'!H311</f>
        <v>0</v>
      </c>
      <c r="I311" s="95">
        <f>'TB-Jan'!I311+'TB-Feb'!I311+'TB-Mar'!I311+'TB-Apr'!I311+'TB-May'!I311+'TB-Jun'!I311+'TB-Jul'!I311+'TB-Aug'!I311+'TB-Sep'!I311+'TB-Oct'!I311+'TB-Nov'!I311+'TB-Dec'!I311</f>
        <v>0</v>
      </c>
      <c r="J311" s="95">
        <f>'TB-Jan'!J311+'TB-Feb'!J311+'TB-Mar'!J311+'TB-Apr'!J311+'TB-May'!J311+'TB-Jun'!J311+'TB-Jul'!J311+'TB-Aug'!J311+'TB-Sep'!J311+'TB-Oct'!J311+'TB-Nov'!J311+'TB-Dec'!J311</f>
        <v>0</v>
      </c>
      <c r="K311" s="96">
        <f>'TB-Jan'!K311+'TB-Feb'!K311+'TB-Mar'!K311+'TB-Apr'!K311+'TB-May'!K311+'TB-Jun'!K311+'TB-Jul'!K311+'TB-Aug'!K311+'TB-Sep'!K311+'TB-Oct'!K311+'TB-Nov'!K311+'TB-Dec'!K311</f>
        <v>0</v>
      </c>
      <c r="L311" s="96">
        <f>'TB-Jan'!L311+'TB-Feb'!L311+'TB-Mar'!L311+'TB-Apr'!L311+'TB-May'!L311+'TB-Jun'!L311+'TB-Jul'!L311+'TB-Aug'!L311+'TB-Sep'!L311+'TB-Oct'!L311+'TB-Nov'!L311+'TB-Dec'!L311</f>
        <v>0</v>
      </c>
      <c r="M311" s="97">
        <f>'TB-Jan'!M311+'TB-Feb'!M311+'TB-Mar'!M311+'TB-Apr'!M311+'TB-May'!M311+'TB-Jun'!M311+'TB-Jul'!M311+'TB-Aug'!M311+'TB-Sep'!M311+'TB-Oct'!M311+'TB-Nov'!M311+'TB-Dec'!M311</f>
        <v>0</v>
      </c>
      <c r="N311" s="97">
        <f>'TB-Jan'!N311+'TB-Feb'!N311+'TB-Mar'!N311+'TB-Apr'!N311+'TB-May'!N311+'TB-Jun'!N311+'TB-Jul'!N311+'TB-Aug'!N311+'TB-Sep'!N311+'TB-Oct'!N311+'TB-Nov'!N311+'TB-Dec'!N311</f>
        <v>0</v>
      </c>
    </row>
    <row r="312" spans="1:14" hidden="1">
      <c r="A312" s="3" t="s">
        <v>582</v>
      </c>
      <c r="B312" s="4" t="s">
        <v>583</v>
      </c>
      <c r="C312" s="5">
        <f t="shared" si="9"/>
        <v>0</v>
      </c>
      <c r="D312" s="5"/>
      <c r="E312" s="6">
        <f t="shared" si="8"/>
        <v>0</v>
      </c>
      <c r="F312" s="6">
        <f t="shared" si="8"/>
        <v>0</v>
      </c>
      <c r="G312" s="94">
        <f>'TB-Jan'!G312+'TB-Feb'!G312+'TB-Mar'!G312+'TB-Apr'!G312+'TB-May'!G312+'TB-Jun'!G312+'TB-Jul'!G312+'TB-Aug'!G312+'TB-Sep'!G312+'TB-Oct'!G312+'TB-Nov'!G312+'TB-Dec'!G312</f>
        <v>0</v>
      </c>
      <c r="H312" s="94">
        <f>'TB-Jan'!H312+'TB-Feb'!H312+'TB-Mar'!H312+'TB-Apr'!H312+'TB-May'!H312+'TB-Jun'!H312+'TB-Jul'!H312+'TB-Aug'!H312+'TB-Sep'!H312+'TB-Oct'!H312+'TB-Nov'!H312+'TB-Dec'!H312</f>
        <v>0</v>
      </c>
      <c r="I312" s="95">
        <f>'TB-Jan'!I312+'TB-Feb'!I312+'TB-Mar'!I312+'TB-Apr'!I312+'TB-May'!I312+'TB-Jun'!I312+'TB-Jul'!I312+'TB-Aug'!I312+'TB-Sep'!I312+'TB-Oct'!I312+'TB-Nov'!I312+'TB-Dec'!I312</f>
        <v>0</v>
      </c>
      <c r="J312" s="95">
        <f>'TB-Jan'!J312+'TB-Feb'!J312+'TB-Mar'!J312+'TB-Apr'!J312+'TB-May'!J312+'TB-Jun'!J312+'TB-Jul'!J312+'TB-Aug'!J312+'TB-Sep'!J312+'TB-Oct'!J312+'TB-Nov'!J312+'TB-Dec'!J312</f>
        <v>0</v>
      </c>
      <c r="K312" s="96">
        <f>'TB-Jan'!K312+'TB-Feb'!K312+'TB-Mar'!K312+'TB-Apr'!K312+'TB-May'!K312+'TB-Jun'!K312+'TB-Jul'!K312+'TB-Aug'!K312+'TB-Sep'!K312+'TB-Oct'!K312+'TB-Nov'!K312+'TB-Dec'!K312</f>
        <v>0</v>
      </c>
      <c r="L312" s="96">
        <f>'TB-Jan'!L312+'TB-Feb'!L312+'TB-Mar'!L312+'TB-Apr'!L312+'TB-May'!L312+'TB-Jun'!L312+'TB-Jul'!L312+'TB-Aug'!L312+'TB-Sep'!L312+'TB-Oct'!L312+'TB-Nov'!L312+'TB-Dec'!L312</f>
        <v>0</v>
      </c>
      <c r="M312" s="97">
        <f>'TB-Jan'!M312+'TB-Feb'!M312+'TB-Mar'!M312+'TB-Apr'!M312+'TB-May'!M312+'TB-Jun'!M312+'TB-Jul'!M312+'TB-Aug'!M312+'TB-Sep'!M312+'TB-Oct'!M312+'TB-Nov'!M312+'TB-Dec'!M312</f>
        <v>0</v>
      </c>
      <c r="N312" s="97">
        <f>'TB-Jan'!N312+'TB-Feb'!N312+'TB-Mar'!N312+'TB-Apr'!N312+'TB-May'!N312+'TB-Jun'!N312+'TB-Jul'!N312+'TB-Aug'!N312+'TB-Sep'!N312+'TB-Oct'!N312+'TB-Nov'!N312+'TB-Dec'!N312</f>
        <v>0</v>
      </c>
    </row>
    <row r="313" spans="1:14" hidden="1">
      <c r="A313" s="3" t="s">
        <v>584</v>
      </c>
      <c r="B313" s="4" t="s">
        <v>585</v>
      </c>
      <c r="C313" s="5">
        <f t="shared" si="9"/>
        <v>0</v>
      </c>
      <c r="D313" s="5"/>
      <c r="E313" s="6">
        <f t="shared" si="8"/>
        <v>0</v>
      </c>
      <c r="F313" s="6">
        <f t="shared" si="8"/>
        <v>0</v>
      </c>
      <c r="G313" s="94">
        <f>'TB-Jan'!G313+'TB-Feb'!G313+'TB-Mar'!G313+'TB-Apr'!G313+'TB-May'!G313+'TB-Jun'!G313+'TB-Jul'!G313+'TB-Aug'!G313+'TB-Sep'!G313+'TB-Oct'!G313+'TB-Nov'!G313+'TB-Dec'!G313</f>
        <v>0</v>
      </c>
      <c r="H313" s="94">
        <f>'TB-Jan'!H313+'TB-Feb'!H313+'TB-Mar'!H313+'TB-Apr'!H313+'TB-May'!H313+'TB-Jun'!H313+'TB-Jul'!H313+'TB-Aug'!H313+'TB-Sep'!H313+'TB-Oct'!H313+'TB-Nov'!H313+'TB-Dec'!H313</f>
        <v>0</v>
      </c>
      <c r="I313" s="95">
        <f>'TB-Jan'!I313+'TB-Feb'!I313+'TB-Mar'!I313+'TB-Apr'!I313+'TB-May'!I313+'TB-Jun'!I313+'TB-Jul'!I313+'TB-Aug'!I313+'TB-Sep'!I313+'TB-Oct'!I313+'TB-Nov'!I313+'TB-Dec'!I313</f>
        <v>0</v>
      </c>
      <c r="J313" s="95">
        <f>'TB-Jan'!J313+'TB-Feb'!J313+'TB-Mar'!J313+'TB-Apr'!J313+'TB-May'!J313+'TB-Jun'!J313+'TB-Jul'!J313+'TB-Aug'!J313+'TB-Sep'!J313+'TB-Oct'!J313+'TB-Nov'!J313+'TB-Dec'!J313</f>
        <v>0</v>
      </c>
      <c r="K313" s="96">
        <f>'TB-Jan'!K313+'TB-Feb'!K313+'TB-Mar'!K313+'TB-Apr'!K313+'TB-May'!K313+'TB-Jun'!K313+'TB-Jul'!K313+'TB-Aug'!K313+'TB-Sep'!K313+'TB-Oct'!K313+'TB-Nov'!K313+'TB-Dec'!K313</f>
        <v>0</v>
      </c>
      <c r="L313" s="96">
        <f>'TB-Jan'!L313+'TB-Feb'!L313+'TB-Mar'!L313+'TB-Apr'!L313+'TB-May'!L313+'TB-Jun'!L313+'TB-Jul'!L313+'TB-Aug'!L313+'TB-Sep'!L313+'TB-Oct'!L313+'TB-Nov'!L313+'TB-Dec'!L313</f>
        <v>0</v>
      </c>
      <c r="M313" s="97">
        <f>'TB-Jan'!M313+'TB-Feb'!M313+'TB-Mar'!M313+'TB-Apr'!M313+'TB-May'!M313+'TB-Jun'!M313+'TB-Jul'!M313+'TB-Aug'!M313+'TB-Sep'!M313+'TB-Oct'!M313+'TB-Nov'!M313+'TB-Dec'!M313</f>
        <v>0</v>
      </c>
      <c r="N313" s="97">
        <f>'TB-Jan'!N313+'TB-Feb'!N313+'TB-Mar'!N313+'TB-Apr'!N313+'TB-May'!N313+'TB-Jun'!N313+'TB-Jul'!N313+'TB-Aug'!N313+'TB-Sep'!N313+'TB-Oct'!N313+'TB-Nov'!N313+'TB-Dec'!N313</f>
        <v>0</v>
      </c>
    </row>
    <row r="314" spans="1:14" hidden="1">
      <c r="A314" s="3" t="s">
        <v>586</v>
      </c>
      <c r="B314" s="4" t="s">
        <v>587</v>
      </c>
      <c r="C314" s="5">
        <f t="shared" si="9"/>
        <v>0</v>
      </c>
      <c r="D314" s="5"/>
      <c r="E314" s="6">
        <f t="shared" si="8"/>
        <v>0</v>
      </c>
      <c r="F314" s="6">
        <f t="shared" si="8"/>
        <v>0</v>
      </c>
      <c r="G314" s="94">
        <f>'TB-Jan'!G314+'TB-Feb'!G314+'TB-Mar'!G314+'TB-Apr'!G314+'TB-May'!G314+'TB-Jun'!G314+'TB-Jul'!G314+'TB-Aug'!G314+'TB-Sep'!G314+'TB-Oct'!G314+'TB-Nov'!G314+'TB-Dec'!G314</f>
        <v>0</v>
      </c>
      <c r="H314" s="94">
        <f>'TB-Jan'!H314+'TB-Feb'!H314+'TB-Mar'!H314+'TB-Apr'!H314+'TB-May'!H314+'TB-Jun'!H314+'TB-Jul'!H314+'TB-Aug'!H314+'TB-Sep'!H314+'TB-Oct'!H314+'TB-Nov'!H314+'TB-Dec'!H314</f>
        <v>0</v>
      </c>
      <c r="I314" s="95">
        <f>'TB-Jan'!I314+'TB-Feb'!I314+'TB-Mar'!I314+'TB-Apr'!I314+'TB-May'!I314+'TB-Jun'!I314+'TB-Jul'!I314+'TB-Aug'!I314+'TB-Sep'!I314+'TB-Oct'!I314+'TB-Nov'!I314+'TB-Dec'!I314</f>
        <v>0</v>
      </c>
      <c r="J314" s="95">
        <f>'TB-Jan'!J314+'TB-Feb'!J314+'TB-Mar'!J314+'TB-Apr'!J314+'TB-May'!J314+'TB-Jun'!J314+'TB-Jul'!J314+'TB-Aug'!J314+'TB-Sep'!J314+'TB-Oct'!J314+'TB-Nov'!J314+'TB-Dec'!J314</f>
        <v>0</v>
      </c>
      <c r="K314" s="96">
        <f>'TB-Jan'!K314+'TB-Feb'!K314+'TB-Mar'!K314+'TB-Apr'!K314+'TB-May'!K314+'TB-Jun'!K314+'TB-Jul'!K314+'TB-Aug'!K314+'TB-Sep'!K314+'TB-Oct'!K314+'TB-Nov'!K314+'TB-Dec'!K314</f>
        <v>0</v>
      </c>
      <c r="L314" s="96">
        <f>'TB-Jan'!L314+'TB-Feb'!L314+'TB-Mar'!L314+'TB-Apr'!L314+'TB-May'!L314+'TB-Jun'!L314+'TB-Jul'!L314+'TB-Aug'!L314+'TB-Sep'!L314+'TB-Oct'!L314+'TB-Nov'!L314+'TB-Dec'!L314</f>
        <v>0</v>
      </c>
      <c r="M314" s="97">
        <f>'TB-Jan'!M314+'TB-Feb'!M314+'TB-Mar'!M314+'TB-Apr'!M314+'TB-May'!M314+'TB-Jun'!M314+'TB-Jul'!M314+'TB-Aug'!M314+'TB-Sep'!M314+'TB-Oct'!M314+'TB-Nov'!M314+'TB-Dec'!M314</f>
        <v>0</v>
      </c>
      <c r="N314" s="97">
        <f>'TB-Jan'!N314+'TB-Feb'!N314+'TB-Mar'!N314+'TB-Apr'!N314+'TB-May'!N314+'TB-Jun'!N314+'TB-Jul'!N314+'TB-Aug'!N314+'TB-Sep'!N314+'TB-Oct'!N314+'TB-Nov'!N314+'TB-Dec'!N314</f>
        <v>0</v>
      </c>
    </row>
    <row r="315" spans="1:14" hidden="1">
      <c r="A315" s="3" t="s">
        <v>588</v>
      </c>
      <c r="B315" s="4" t="s">
        <v>589</v>
      </c>
      <c r="C315" s="5">
        <f t="shared" si="9"/>
        <v>0</v>
      </c>
      <c r="D315" s="5"/>
      <c r="E315" s="6">
        <f t="shared" si="8"/>
        <v>0</v>
      </c>
      <c r="F315" s="6">
        <f t="shared" si="8"/>
        <v>0</v>
      </c>
      <c r="G315" s="94">
        <f>'TB-Jan'!G315+'TB-Feb'!G315+'TB-Mar'!G315+'TB-Apr'!G315+'TB-May'!G315+'TB-Jun'!G315+'TB-Jul'!G315+'TB-Aug'!G315+'TB-Sep'!G315+'TB-Oct'!G315+'TB-Nov'!G315+'TB-Dec'!G315</f>
        <v>0</v>
      </c>
      <c r="H315" s="94">
        <f>'TB-Jan'!H315+'TB-Feb'!H315+'TB-Mar'!H315+'TB-Apr'!H315+'TB-May'!H315+'TB-Jun'!H315+'TB-Jul'!H315+'TB-Aug'!H315+'TB-Sep'!H315+'TB-Oct'!H315+'TB-Nov'!H315+'TB-Dec'!H315</f>
        <v>0</v>
      </c>
      <c r="I315" s="95">
        <f>'TB-Jan'!I315+'TB-Feb'!I315+'TB-Mar'!I315+'TB-Apr'!I315+'TB-May'!I315+'TB-Jun'!I315+'TB-Jul'!I315+'TB-Aug'!I315+'TB-Sep'!I315+'TB-Oct'!I315+'TB-Nov'!I315+'TB-Dec'!I315</f>
        <v>0</v>
      </c>
      <c r="J315" s="95">
        <f>'TB-Jan'!J315+'TB-Feb'!J315+'TB-Mar'!J315+'TB-Apr'!J315+'TB-May'!J315+'TB-Jun'!J315+'TB-Jul'!J315+'TB-Aug'!J315+'TB-Sep'!J315+'TB-Oct'!J315+'TB-Nov'!J315+'TB-Dec'!J315</f>
        <v>0</v>
      </c>
      <c r="K315" s="96">
        <f>'TB-Jan'!K315+'TB-Feb'!K315+'TB-Mar'!K315+'TB-Apr'!K315+'TB-May'!K315+'TB-Jun'!K315+'TB-Jul'!K315+'TB-Aug'!K315+'TB-Sep'!K315+'TB-Oct'!K315+'TB-Nov'!K315+'TB-Dec'!K315</f>
        <v>0</v>
      </c>
      <c r="L315" s="96">
        <f>'TB-Jan'!L315+'TB-Feb'!L315+'TB-Mar'!L315+'TB-Apr'!L315+'TB-May'!L315+'TB-Jun'!L315+'TB-Jul'!L315+'TB-Aug'!L315+'TB-Sep'!L315+'TB-Oct'!L315+'TB-Nov'!L315+'TB-Dec'!L315</f>
        <v>0</v>
      </c>
      <c r="M315" s="97">
        <f>'TB-Jan'!M315+'TB-Feb'!M315+'TB-Mar'!M315+'TB-Apr'!M315+'TB-May'!M315+'TB-Jun'!M315+'TB-Jul'!M315+'TB-Aug'!M315+'TB-Sep'!M315+'TB-Oct'!M315+'TB-Nov'!M315+'TB-Dec'!M315</f>
        <v>0</v>
      </c>
      <c r="N315" s="97">
        <f>'TB-Jan'!N315+'TB-Feb'!N315+'TB-Mar'!N315+'TB-Apr'!N315+'TB-May'!N315+'TB-Jun'!N315+'TB-Jul'!N315+'TB-Aug'!N315+'TB-Sep'!N315+'TB-Oct'!N315+'TB-Nov'!N315+'TB-Dec'!N315</f>
        <v>0</v>
      </c>
    </row>
    <row r="316" spans="1:14" hidden="1">
      <c r="A316" s="3" t="s">
        <v>590</v>
      </c>
      <c r="B316" s="4" t="s">
        <v>591</v>
      </c>
      <c r="C316" s="5">
        <f t="shared" si="9"/>
        <v>0</v>
      </c>
      <c r="D316" s="5"/>
      <c r="E316" s="6">
        <f t="shared" si="8"/>
        <v>0</v>
      </c>
      <c r="F316" s="6">
        <f t="shared" si="8"/>
        <v>0</v>
      </c>
      <c r="G316" s="94">
        <f>'TB-Jan'!G316+'TB-Feb'!G316+'TB-Mar'!G316+'TB-Apr'!G316+'TB-May'!G316+'TB-Jun'!G316+'TB-Jul'!G316+'TB-Aug'!G316+'TB-Sep'!G316+'TB-Oct'!G316+'TB-Nov'!G316+'TB-Dec'!G316</f>
        <v>0</v>
      </c>
      <c r="H316" s="94">
        <f>'TB-Jan'!H316+'TB-Feb'!H316+'TB-Mar'!H316+'TB-Apr'!H316+'TB-May'!H316+'TB-Jun'!H316+'TB-Jul'!H316+'TB-Aug'!H316+'TB-Sep'!H316+'TB-Oct'!H316+'TB-Nov'!H316+'TB-Dec'!H316</f>
        <v>0</v>
      </c>
      <c r="I316" s="95">
        <f>'TB-Jan'!I316+'TB-Feb'!I316+'TB-Mar'!I316+'TB-Apr'!I316+'TB-May'!I316+'TB-Jun'!I316+'TB-Jul'!I316+'TB-Aug'!I316+'TB-Sep'!I316+'TB-Oct'!I316+'TB-Nov'!I316+'TB-Dec'!I316</f>
        <v>0</v>
      </c>
      <c r="J316" s="95">
        <f>'TB-Jan'!J316+'TB-Feb'!J316+'TB-Mar'!J316+'TB-Apr'!J316+'TB-May'!J316+'TB-Jun'!J316+'TB-Jul'!J316+'TB-Aug'!J316+'TB-Sep'!J316+'TB-Oct'!J316+'TB-Nov'!J316+'TB-Dec'!J316</f>
        <v>0</v>
      </c>
      <c r="K316" s="96">
        <f>'TB-Jan'!K316+'TB-Feb'!K316+'TB-Mar'!K316+'TB-Apr'!K316+'TB-May'!K316+'TB-Jun'!K316+'TB-Jul'!K316+'TB-Aug'!K316+'TB-Sep'!K316+'TB-Oct'!K316+'TB-Nov'!K316+'TB-Dec'!K316</f>
        <v>0</v>
      </c>
      <c r="L316" s="96">
        <f>'TB-Jan'!L316+'TB-Feb'!L316+'TB-Mar'!L316+'TB-Apr'!L316+'TB-May'!L316+'TB-Jun'!L316+'TB-Jul'!L316+'TB-Aug'!L316+'TB-Sep'!L316+'TB-Oct'!L316+'TB-Nov'!L316+'TB-Dec'!L316</f>
        <v>0</v>
      </c>
      <c r="M316" s="97">
        <f>'TB-Jan'!M316+'TB-Feb'!M316+'TB-Mar'!M316+'TB-Apr'!M316+'TB-May'!M316+'TB-Jun'!M316+'TB-Jul'!M316+'TB-Aug'!M316+'TB-Sep'!M316+'TB-Oct'!M316+'TB-Nov'!M316+'TB-Dec'!M316</f>
        <v>0</v>
      </c>
      <c r="N316" s="97">
        <f>'TB-Jan'!N316+'TB-Feb'!N316+'TB-Mar'!N316+'TB-Apr'!N316+'TB-May'!N316+'TB-Jun'!N316+'TB-Jul'!N316+'TB-Aug'!N316+'TB-Sep'!N316+'TB-Oct'!N316+'TB-Nov'!N316+'TB-Dec'!N316</f>
        <v>0</v>
      </c>
    </row>
    <row r="317" spans="1:14" hidden="1">
      <c r="A317" s="3" t="s">
        <v>592</v>
      </c>
      <c r="B317" s="4" t="s">
        <v>593</v>
      </c>
      <c r="C317" s="5">
        <f t="shared" si="9"/>
        <v>0</v>
      </c>
      <c r="D317" s="5"/>
      <c r="E317" s="6">
        <f t="shared" si="8"/>
        <v>0</v>
      </c>
      <c r="F317" s="6">
        <f t="shared" si="8"/>
        <v>0</v>
      </c>
      <c r="G317" s="94">
        <f>'TB-Jan'!G317+'TB-Feb'!G317+'TB-Mar'!G317+'TB-Apr'!G317+'TB-May'!G317+'TB-Jun'!G317+'TB-Jul'!G317+'TB-Aug'!G317+'TB-Sep'!G317+'TB-Oct'!G317+'TB-Nov'!G317+'TB-Dec'!G317</f>
        <v>0</v>
      </c>
      <c r="H317" s="94">
        <f>'TB-Jan'!H317+'TB-Feb'!H317+'TB-Mar'!H317+'TB-Apr'!H317+'TB-May'!H317+'TB-Jun'!H317+'TB-Jul'!H317+'TB-Aug'!H317+'TB-Sep'!H317+'TB-Oct'!H317+'TB-Nov'!H317+'TB-Dec'!H317</f>
        <v>0</v>
      </c>
      <c r="I317" s="95">
        <f>'TB-Jan'!I317+'TB-Feb'!I317+'TB-Mar'!I317+'TB-Apr'!I317+'TB-May'!I317+'TB-Jun'!I317+'TB-Jul'!I317+'TB-Aug'!I317+'TB-Sep'!I317+'TB-Oct'!I317+'TB-Nov'!I317+'TB-Dec'!I317</f>
        <v>0</v>
      </c>
      <c r="J317" s="95">
        <f>'TB-Jan'!J317+'TB-Feb'!J317+'TB-Mar'!J317+'TB-Apr'!J317+'TB-May'!J317+'TB-Jun'!J317+'TB-Jul'!J317+'TB-Aug'!J317+'TB-Sep'!J317+'TB-Oct'!J317+'TB-Nov'!J317+'TB-Dec'!J317</f>
        <v>0</v>
      </c>
      <c r="K317" s="96">
        <f>'TB-Jan'!K317+'TB-Feb'!K317+'TB-Mar'!K317+'TB-Apr'!K317+'TB-May'!K317+'TB-Jun'!K317+'TB-Jul'!K317+'TB-Aug'!K317+'TB-Sep'!K317+'TB-Oct'!K317+'TB-Nov'!K317+'TB-Dec'!K317</f>
        <v>0</v>
      </c>
      <c r="L317" s="96">
        <f>'TB-Jan'!L317+'TB-Feb'!L317+'TB-Mar'!L317+'TB-Apr'!L317+'TB-May'!L317+'TB-Jun'!L317+'TB-Jul'!L317+'TB-Aug'!L317+'TB-Sep'!L317+'TB-Oct'!L317+'TB-Nov'!L317+'TB-Dec'!L317</f>
        <v>0</v>
      </c>
      <c r="M317" s="97">
        <f>'TB-Jan'!M317+'TB-Feb'!M317+'TB-Mar'!M317+'TB-Apr'!M317+'TB-May'!M317+'TB-Jun'!M317+'TB-Jul'!M317+'TB-Aug'!M317+'TB-Sep'!M317+'TB-Oct'!M317+'TB-Nov'!M317+'TB-Dec'!M317</f>
        <v>0</v>
      </c>
      <c r="N317" s="97">
        <f>'TB-Jan'!N317+'TB-Feb'!N317+'TB-Mar'!N317+'TB-Apr'!N317+'TB-May'!N317+'TB-Jun'!N317+'TB-Jul'!N317+'TB-Aug'!N317+'TB-Sep'!N317+'TB-Oct'!N317+'TB-Nov'!N317+'TB-Dec'!N317</f>
        <v>0</v>
      </c>
    </row>
    <row r="318" spans="1:14" hidden="1">
      <c r="A318" s="3" t="s">
        <v>594</v>
      </c>
      <c r="B318" s="4" t="s">
        <v>595</v>
      </c>
      <c r="C318" s="5">
        <f t="shared" si="9"/>
        <v>0</v>
      </c>
      <c r="D318" s="5"/>
      <c r="E318" s="6">
        <f t="shared" si="8"/>
        <v>0</v>
      </c>
      <c r="F318" s="6">
        <f t="shared" si="8"/>
        <v>0</v>
      </c>
      <c r="G318" s="94">
        <f>'TB-Jan'!G318+'TB-Feb'!G318+'TB-Mar'!G318+'TB-Apr'!G318+'TB-May'!G318+'TB-Jun'!G318+'TB-Jul'!G318+'TB-Aug'!G318+'TB-Sep'!G318+'TB-Oct'!G318+'TB-Nov'!G318+'TB-Dec'!G318</f>
        <v>0</v>
      </c>
      <c r="H318" s="94">
        <f>'TB-Jan'!H318+'TB-Feb'!H318+'TB-Mar'!H318+'TB-Apr'!H318+'TB-May'!H318+'TB-Jun'!H318+'TB-Jul'!H318+'TB-Aug'!H318+'TB-Sep'!H318+'TB-Oct'!H318+'TB-Nov'!H318+'TB-Dec'!H318</f>
        <v>0</v>
      </c>
      <c r="I318" s="95">
        <f>'TB-Jan'!I318+'TB-Feb'!I318+'TB-Mar'!I318+'TB-Apr'!I318+'TB-May'!I318+'TB-Jun'!I318+'TB-Jul'!I318+'TB-Aug'!I318+'TB-Sep'!I318+'TB-Oct'!I318+'TB-Nov'!I318+'TB-Dec'!I318</f>
        <v>0</v>
      </c>
      <c r="J318" s="95">
        <f>'TB-Jan'!J318+'TB-Feb'!J318+'TB-Mar'!J318+'TB-Apr'!J318+'TB-May'!J318+'TB-Jun'!J318+'TB-Jul'!J318+'TB-Aug'!J318+'TB-Sep'!J318+'TB-Oct'!J318+'TB-Nov'!J318+'TB-Dec'!J318</f>
        <v>0</v>
      </c>
      <c r="K318" s="96">
        <f>'TB-Jan'!K318+'TB-Feb'!K318+'TB-Mar'!K318+'TB-Apr'!K318+'TB-May'!K318+'TB-Jun'!K318+'TB-Jul'!K318+'TB-Aug'!K318+'TB-Sep'!K318+'TB-Oct'!K318+'TB-Nov'!K318+'TB-Dec'!K318</f>
        <v>0</v>
      </c>
      <c r="L318" s="96">
        <f>'TB-Jan'!L318+'TB-Feb'!L318+'TB-Mar'!L318+'TB-Apr'!L318+'TB-May'!L318+'TB-Jun'!L318+'TB-Jul'!L318+'TB-Aug'!L318+'TB-Sep'!L318+'TB-Oct'!L318+'TB-Nov'!L318+'TB-Dec'!L318</f>
        <v>0</v>
      </c>
      <c r="M318" s="97">
        <f>'TB-Jan'!M318+'TB-Feb'!M318+'TB-Mar'!M318+'TB-Apr'!M318+'TB-May'!M318+'TB-Jun'!M318+'TB-Jul'!M318+'TB-Aug'!M318+'TB-Sep'!M318+'TB-Oct'!M318+'TB-Nov'!M318+'TB-Dec'!M318</f>
        <v>0</v>
      </c>
      <c r="N318" s="97">
        <f>'TB-Jan'!N318+'TB-Feb'!N318+'TB-Mar'!N318+'TB-Apr'!N318+'TB-May'!N318+'TB-Jun'!N318+'TB-Jul'!N318+'TB-Aug'!N318+'TB-Sep'!N318+'TB-Oct'!N318+'TB-Nov'!N318+'TB-Dec'!N318</f>
        <v>0</v>
      </c>
    </row>
    <row r="319" spans="1:14" hidden="1">
      <c r="A319" s="3" t="s">
        <v>596</v>
      </c>
      <c r="B319" s="4" t="s">
        <v>597</v>
      </c>
      <c r="C319" s="5">
        <f t="shared" si="9"/>
        <v>0</v>
      </c>
      <c r="D319" s="5"/>
      <c r="E319" s="6">
        <f t="shared" si="8"/>
        <v>0</v>
      </c>
      <c r="F319" s="6">
        <f t="shared" si="8"/>
        <v>0</v>
      </c>
      <c r="G319" s="94">
        <f>'TB-Jan'!G319+'TB-Feb'!G319+'TB-Mar'!G319+'TB-Apr'!G319+'TB-May'!G319+'TB-Jun'!G319+'TB-Jul'!G319+'TB-Aug'!G319+'TB-Sep'!G319+'TB-Oct'!G319+'TB-Nov'!G319+'TB-Dec'!G319</f>
        <v>0</v>
      </c>
      <c r="H319" s="94">
        <f>'TB-Jan'!H319+'TB-Feb'!H319+'TB-Mar'!H319+'TB-Apr'!H319+'TB-May'!H319+'TB-Jun'!H319+'TB-Jul'!H319+'TB-Aug'!H319+'TB-Sep'!H319+'TB-Oct'!H319+'TB-Nov'!H319+'TB-Dec'!H319</f>
        <v>0</v>
      </c>
      <c r="I319" s="95">
        <f>'TB-Jan'!I319+'TB-Feb'!I319+'TB-Mar'!I319+'TB-Apr'!I319+'TB-May'!I319+'TB-Jun'!I319+'TB-Jul'!I319+'TB-Aug'!I319+'TB-Sep'!I319+'TB-Oct'!I319+'TB-Nov'!I319+'TB-Dec'!I319</f>
        <v>0</v>
      </c>
      <c r="J319" s="95">
        <f>'TB-Jan'!J319+'TB-Feb'!J319+'TB-Mar'!J319+'TB-Apr'!J319+'TB-May'!J319+'TB-Jun'!J319+'TB-Jul'!J319+'TB-Aug'!J319+'TB-Sep'!J319+'TB-Oct'!J319+'TB-Nov'!J319+'TB-Dec'!J319</f>
        <v>0</v>
      </c>
      <c r="K319" s="96">
        <f>'TB-Jan'!K319+'TB-Feb'!K319+'TB-Mar'!K319+'TB-Apr'!K319+'TB-May'!K319+'TB-Jun'!K319+'TB-Jul'!K319+'TB-Aug'!K319+'TB-Sep'!K319+'TB-Oct'!K319+'TB-Nov'!K319+'TB-Dec'!K319</f>
        <v>0</v>
      </c>
      <c r="L319" s="96">
        <f>'TB-Jan'!L319+'TB-Feb'!L319+'TB-Mar'!L319+'TB-Apr'!L319+'TB-May'!L319+'TB-Jun'!L319+'TB-Jul'!L319+'TB-Aug'!L319+'TB-Sep'!L319+'TB-Oct'!L319+'TB-Nov'!L319+'TB-Dec'!L319</f>
        <v>0</v>
      </c>
      <c r="M319" s="97">
        <f>'TB-Jan'!M319+'TB-Feb'!M319+'TB-Mar'!M319+'TB-Apr'!M319+'TB-May'!M319+'TB-Jun'!M319+'TB-Jul'!M319+'TB-Aug'!M319+'TB-Sep'!M319+'TB-Oct'!M319+'TB-Nov'!M319+'TB-Dec'!M319</f>
        <v>0</v>
      </c>
      <c r="N319" s="97">
        <f>'TB-Jan'!N319+'TB-Feb'!N319+'TB-Mar'!N319+'TB-Apr'!N319+'TB-May'!N319+'TB-Jun'!N319+'TB-Jul'!N319+'TB-Aug'!N319+'TB-Sep'!N319+'TB-Oct'!N319+'TB-Nov'!N319+'TB-Dec'!N319</f>
        <v>0</v>
      </c>
    </row>
    <row r="320" spans="1:14" hidden="1">
      <c r="A320" s="3" t="s">
        <v>598</v>
      </c>
      <c r="B320" s="4" t="s">
        <v>599</v>
      </c>
      <c r="C320" s="5">
        <f t="shared" si="9"/>
        <v>0</v>
      </c>
      <c r="D320" s="5"/>
      <c r="E320" s="6">
        <f t="shared" si="8"/>
        <v>0</v>
      </c>
      <c r="F320" s="6">
        <f t="shared" si="8"/>
        <v>0</v>
      </c>
      <c r="G320" s="94">
        <f>'TB-Jan'!G320+'TB-Feb'!G320+'TB-Mar'!G320+'TB-Apr'!G320+'TB-May'!G320+'TB-Jun'!G320+'TB-Jul'!G320+'TB-Aug'!G320+'TB-Sep'!G320+'TB-Oct'!G320+'TB-Nov'!G320+'TB-Dec'!G320</f>
        <v>0</v>
      </c>
      <c r="H320" s="94">
        <f>'TB-Jan'!H320+'TB-Feb'!H320+'TB-Mar'!H320+'TB-Apr'!H320+'TB-May'!H320+'TB-Jun'!H320+'TB-Jul'!H320+'TB-Aug'!H320+'TB-Sep'!H320+'TB-Oct'!H320+'TB-Nov'!H320+'TB-Dec'!H320</f>
        <v>0</v>
      </c>
      <c r="I320" s="95">
        <f>'TB-Jan'!I320+'TB-Feb'!I320+'TB-Mar'!I320+'TB-Apr'!I320+'TB-May'!I320+'TB-Jun'!I320+'TB-Jul'!I320+'TB-Aug'!I320+'TB-Sep'!I320+'TB-Oct'!I320+'TB-Nov'!I320+'TB-Dec'!I320</f>
        <v>0</v>
      </c>
      <c r="J320" s="95">
        <f>'TB-Jan'!J320+'TB-Feb'!J320+'TB-Mar'!J320+'TB-Apr'!J320+'TB-May'!J320+'TB-Jun'!J320+'TB-Jul'!J320+'TB-Aug'!J320+'TB-Sep'!J320+'TB-Oct'!J320+'TB-Nov'!J320+'TB-Dec'!J320</f>
        <v>0</v>
      </c>
      <c r="K320" s="96">
        <f>'TB-Jan'!K320+'TB-Feb'!K320+'TB-Mar'!K320+'TB-Apr'!K320+'TB-May'!K320+'TB-Jun'!K320+'TB-Jul'!K320+'TB-Aug'!K320+'TB-Sep'!K320+'TB-Oct'!K320+'TB-Nov'!K320+'TB-Dec'!K320</f>
        <v>0</v>
      </c>
      <c r="L320" s="96">
        <f>'TB-Jan'!L320+'TB-Feb'!L320+'TB-Mar'!L320+'TB-Apr'!L320+'TB-May'!L320+'TB-Jun'!L320+'TB-Jul'!L320+'TB-Aug'!L320+'TB-Sep'!L320+'TB-Oct'!L320+'TB-Nov'!L320+'TB-Dec'!L320</f>
        <v>0</v>
      </c>
      <c r="M320" s="97">
        <f>'TB-Jan'!M320+'TB-Feb'!M320+'TB-Mar'!M320+'TB-Apr'!M320+'TB-May'!M320+'TB-Jun'!M320+'TB-Jul'!M320+'TB-Aug'!M320+'TB-Sep'!M320+'TB-Oct'!M320+'TB-Nov'!M320+'TB-Dec'!M320</f>
        <v>0</v>
      </c>
      <c r="N320" s="97">
        <f>'TB-Jan'!N320+'TB-Feb'!N320+'TB-Mar'!N320+'TB-Apr'!N320+'TB-May'!N320+'TB-Jun'!N320+'TB-Jul'!N320+'TB-Aug'!N320+'TB-Sep'!N320+'TB-Oct'!N320+'TB-Nov'!N320+'TB-Dec'!N320</f>
        <v>0</v>
      </c>
    </row>
    <row r="321" spans="1:14" hidden="1">
      <c r="A321" s="3" t="s">
        <v>600</v>
      </c>
      <c r="B321" s="4" t="s">
        <v>601</v>
      </c>
      <c r="C321" s="5">
        <f t="shared" si="9"/>
        <v>0</v>
      </c>
      <c r="D321" s="5"/>
      <c r="E321" s="6">
        <f t="shared" si="8"/>
        <v>0</v>
      </c>
      <c r="F321" s="6">
        <f t="shared" si="8"/>
        <v>0</v>
      </c>
      <c r="G321" s="94">
        <f>'TB-Jan'!G321+'TB-Feb'!G321+'TB-Mar'!G321+'TB-Apr'!G321+'TB-May'!G321+'TB-Jun'!G321+'TB-Jul'!G321+'TB-Aug'!G321+'TB-Sep'!G321+'TB-Oct'!G321+'TB-Nov'!G321+'TB-Dec'!G321</f>
        <v>0</v>
      </c>
      <c r="H321" s="94">
        <f>'TB-Jan'!H321+'TB-Feb'!H321+'TB-Mar'!H321+'TB-Apr'!H321+'TB-May'!H321+'TB-Jun'!H321+'TB-Jul'!H321+'TB-Aug'!H321+'TB-Sep'!H321+'TB-Oct'!H321+'TB-Nov'!H321+'TB-Dec'!H321</f>
        <v>0</v>
      </c>
      <c r="I321" s="95">
        <f>'TB-Jan'!I321+'TB-Feb'!I321+'TB-Mar'!I321+'TB-Apr'!I321+'TB-May'!I321+'TB-Jun'!I321+'TB-Jul'!I321+'TB-Aug'!I321+'TB-Sep'!I321+'TB-Oct'!I321+'TB-Nov'!I321+'TB-Dec'!I321</f>
        <v>0</v>
      </c>
      <c r="J321" s="95">
        <f>'TB-Jan'!J321+'TB-Feb'!J321+'TB-Mar'!J321+'TB-Apr'!J321+'TB-May'!J321+'TB-Jun'!J321+'TB-Jul'!J321+'TB-Aug'!J321+'TB-Sep'!J321+'TB-Oct'!J321+'TB-Nov'!J321+'TB-Dec'!J321</f>
        <v>0</v>
      </c>
      <c r="K321" s="96">
        <f>'TB-Jan'!K321+'TB-Feb'!K321+'TB-Mar'!K321+'TB-Apr'!K321+'TB-May'!K321+'TB-Jun'!K321+'TB-Jul'!K321+'TB-Aug'!K321+'TB-Sep'!K321+'TB-Oct'!K321+'TB-Nov'!K321+'TB-Dec'!K321</f>
        <v>0</v>
      </c>
      <c r="L321" s="96">
        <f>'TB-Jan'!L321+'TB-Feb'!L321+'TB-Mar'!L321+'TB-Apr'!L321+'TB-May'!L321+'TB-Jun'!L321+'TB-Jul'!L321+'TB-Aug'!L321+'TB-Sep'!L321+'TB-Oct'!L321+'TB-Nov'!L321+'TB-Dec'!L321</f>
        <v>0</v>
      </c>
      <c r="M321" s="97">
        <f>'TB-Jan'!M321+'TB-Feb'!M321+'TB-Mar'!M321+'TB-Apr'!M321+'TB-May'!M321+'TB-Jun'!M321+'TB-Jul'!M321+'TB-Aug'!M321+'TB-Sep'!M321+'TB-Oct'!M321+'TB-Nov'!M321+'TB-Dec'!M321</f>
        <v>0</v>
      </c>
      <c r="N321" s="97">
        <f>'TB-Jan'!N321+'TB-Feb'!N321+'TB-Mar'!N321+'TB-Apr'!N321+'TB-May'!N321+'TB-Jun'!N321+'TB-Jul'!N321+'TB-Aug'!N321+'TB-Sep'!N321+'TB-Oct'!N321+'TB-Nov'!N321+'TB-Dec'!N321</f>
        <v>0</v>
      </c>
    </row>
    <row r="322" spans="1:14" hidden="1">
      <c r="A322" s="3" t="s">
        <v>602</v>
      </c>
      <c r="B322" s="4" t="s">
        <v>603</v>
      </c>
      <c r="C322" s="5">
        <f t="shared" si="9"/>
        <v>0</v>
      </c>
      <c r="D322" s="5"/>
      <c r="E322" s="6">
        <f t="shared" si="8"/>
        <v>0</v>
      </c>
      <c r="F322" s="6">
        <f t="shared" si="8"/>
        <v>0</v>
      </c>
      <c r="G322" s="94">
        <f>'TB-Jan'!G322+'TB-Feb'!G322+'TB-Mar'!G322+'TB-Apr'!G322+'TB-May'!G322+'TB-Jun'!G322+'TB-Jul'!G322+'TB-Aug'!G322+'TB-Sep'!G322+'TB-Oct'!G322+'TB-Nov'!G322+'TB-Dec'!G322</f>
        <v>0</v>
      </c>
      <c r="H322" s="94">
        <f>'TB-Jan'!H322+'TB-Feb'!H322+'TB-Mar'!H322+'TB-Apr'!H322+'TB-May'!H322+'TB-Jun'!H322+'TB-Jul'!H322+'TB-Aug'!H322+'TB-Sep'!H322+'TB-Oct'!H322+'TB-Nov'!H322+'TB-Dec'!H322</f>
        <v>0</v>
      </c>
      <c r="I322" s="95">
        <f>'TB-Jan'!I322+'TB-Feb'!I322+'TB-Mar'!I322+'TB-Apr'!I322+'TB-May'!I322+'TB-Jun'!I322+'TB-Jul'!I322+'TB-Aug'!I322+'TB-Sep'!I322+'TB-Oct'!I322+'TB-Nov'!I322+'TB-Dec'!I322</f>
        <v>0</v>
      </c>
      <c r="J322" s="95">
        <f>'TB-Jan'!J322+'TB-Feb'!J322+'TB-Mar'!J322+'TB-Apr'!J322+'TB-May'!J322+'TB-Jun'!J322+'TB-Jul'!J322+'TB-Aug'!J322+'TB-Sep'!J322+'TB-Oct'!J322+'TB-Nov'!J322+'TB-Dec'!J322</f>
        <v>0</v>
      </c>
      <c r="K322" s="96">
        <f>'TB-Jan'!K322+'TB-Feb'!K322+'TB-Mar'!K322+'TB-Apr'!K322+'TB-May'!K322+'TB-Jun'!K322+'TB-Jul'!K322+'TB-Aug'!K322+'TB-Sep'!K322+'TB-Oct'!K322+'TB-Nov'!K322+'TB-Dec'!K322</f>
        <v>0</v>
      </c>
      <c r="L322" s="96">
        <f>'TB-Jan'!L322+'TB-Feb'!L322+'TB-Mar'!L322+'TB-Apr'!L322+'TB-May'!L322+'TB-Jun'!L322+'TB-Jul'!L322+'TB-Aug'!L322+'TB-Sep'!L322+'TB-Oct'!L322+'TB-Nov'!L322+'TB-Dec'!L322</f>
        <v>0</v>
      </c>
      <c r="M322" s="97">
        <f>'TB-Jan'!M322+'TB-Feb'!M322+'TB-Mar'!M322+'TB-Apr'!M322+'TB-May'!M322+'TB-Jun'!M322+'TB-Jul'!M322+'TB-Aug'!M322+'TB-Sep'!M322+'TB-Oct'!M322+'TB-Nov'!M322+'TB-Dec'!M322</f>
        <v>0</v>
      </c>
      <c r="N322" s="97">
        <f>'TB-Jan'!N322+'TB-Feb'!N322+'TB-Mar'!N322+'TB-Apr'!N322+'TB-May'!N322+'TB-Jun'!N322+'TB-Jul'!N322+'TB-Aug'!N322+'TB-Sep'!N322+'TB-Oct'!N322+'TB-Nov'!N322+'TB-Dec'!N322</f>
        <v>0</v>
      </c>
    </row>
    <row r="323" spans="1:14" hidden="1">
      <c r="A323" s="3" t="s">
        <v>604</v>
      </c>
      <c r="B323" s="4" t="s">
        <v>605</v>
      </c>
      <c r="C323" s="5">
        <f t="shared" si="9"/>
        <v>0</v>
      </c>
      <c r="D323" s="5"/>
      <c r="E323" s="6">
        <f t="shared" si="8"/>
        <v>0</v>
      </c>
      <c r="F323" s="6">
        <f t="shared" si="8"/>
        <v>0</v>
      </c>
      <c r="G323" s="94">
        <f>'TB-Jan'!G323+'TB-Feb'!G323+'TB-Mar'!G323+'TB-Apr'!G323+'TB-May'!G323+'TB-Jun'!G323+'TB-Jul'!G323+'TB-Aug'!G323+'TB-Sep'!G323+'TB-Oct'!G323+'TB-Nov'!G323+'TB-Dec'!G323</f>
        <v>0</v>
      </c>
      <c r="H323" s="94">
        <f>'TB-Jan'!H323+'TB-Feb'!H323+'TB-Mar'!H323+'TB-Apr'!H323+'TB-May'!H323+'TB-Jun'!H323+'TB-Jul'!H323+'TB-Aug'!H323+'TB-Sep'!H323+'TB-Oct'!H323+'TB-Nov'!H323+'TB-Dec'!H323</f>
        <v>0</v>
      </c>
      <c r="I323" s="95">
        <f>'TB-Jan'!I323+'TB-Feb'!I323+'TB-Mar'!I323+'TB-Apr'!I323+'TB-May'!I323+'TB-Jun'!I323+'TB-Jul'!I323+'TB-Aug'!I323+'TB-Sep'!I323+'TB-Oct'!I323+'TB-Nov'!I323+'TB-Dec'!I323</f>
        <v>0</v>
      </c>
      <c r="J323" s="95">
        <f>'TB-Jan'!J323+'TB-Feb'!J323+'TB-Mar'!J323+'TB-Apr'!J323+'TB-May'!J323+'TB-Jun'!J323+'TB-Jul'!J323+'TB-Aug'!J323+'TB-Sep'!J323+'TB-Oct'!J323+'TB-Nov'!J323+'TB-Dec'!J323</f>
        <v>0</v>
      </c>
      <c r="K323" s="96">
        <f>'TB-Jan'!K323+'TB-Feb'!K323+'TB-Mar'!K323+'TB-Apr'!K323+'TB-May'!K323+'TB-Jun'!K323+'TB-Jul'!K323+'TB-Aug'!K323+'TB-Sep'!K323+'TB-Oct'!K323+'TB-Nov'!K323+'TB-Dec'!K323</f>
        <v>0</v>
      </c>
      <c r="L323" s="96">
        <f>'TB-Jan'!L323+'TB-Feb'!L323+'TB-Mar'!L323+'TB-Apr'!L323+'TB-May'!L323+'TB-Jun'!L323+'TB-Jul'!L323+'TB-Aug'!L323+'TB-Sep'!L323+'TB-Oct'!L323+'TB-Nov'!L323+'TB-Dec'!L323</f>
        <v>0</v>
      </c>
      <c r="M323" s="97">
        <f>'TB-Jan'!M323+'TB-Feb'!M323+'TB-Mar'!M323+'TB-Apr'!M323+'TB-May'!M323+'TB-Jun'!M323+'TB-Jul'!M323+'TB-Aug'!M323+'TB-Sep'!M323+'TB-Oct'!M323+'TB-Nov'!M323+'TB-Dec'!M323</f>
        <v>0</v>
      </c>
      <c r="N323" s="97">
        <f>'TB-Jan'!N323+'TB-Feb'!N323+'TB-Mar'!N323+'TB-Apr'!N323+'TB-May'!N323+'TB-Jun'!N323+'TB-Jul'!N323+'TB-Aug'!N323+'TB-Sep'!N323+'TB-Oct'!N323+'TB-Nov'!N323+'TB-Dec'!N323</f>
        <v>0</v>
      </c>
    </row>
    <row r="324" spans="1:14" s="70" customFormat="1" hidden="1">
      <c r="A324" s="3" t="s">
        <v>606</v>
      </c>
      <c r="B324" s="4" t="s">
        <v>607</v>
      </c>
      <c r="C324" s="5">
        <f t="shared" si="9"/>
        <v>0</v>
      </c>
      <c r="D324" s="5"/>
      <c r="E324" s="6">
        <f t="shared" si="8"/>
        <v>0</v>
      </c>
      <c r="F324" s="6">
        <f t="shared" si="8"/>
        <v>0</v>
      </c>
      <c r="G324" s="94">
        <f>'TB-Jan'!G324+'TB-Feb'!G324+'TB-Mar'!G324+'TB-Apr'!G324+'TB-May'!G324+'TB-Jun'!G324+'TB-Jul'!G324+'TB-Aug'!G324+'TB-Sep'!G324+'TB-Oct'!G324+'TB-Nov'!G324+'TB-Dec'!G324</f>
        <v>0</v>
      </c>
      <c r="H324" s="94">
        <f>'TB-Jan'!H324+'TB-Feb'!H324+'TB-Mar'!H324+'TB-Apr'!H324+'TB-May'!H324+'TB-Jun'!H324+'TB-Jul'!H324+'TB-Aug'!H324+'TB-Sep'!H324+'TB-Oct'!H324+'TB-Nov'!H324+'TB-Dec'!H324</f>
        <v>0</v>
      </c>
      <c r="I324" s="95">
        <f>'TB-Jan'!I324+'TB-Feb'!I324+'TB-Mar'!I324+'TB-Apr'!I324+'TB-May'!I324+'TB-Jun'!I324+'TB-Jul'!I324+'TB-Aug'!I324+'TB-Sep'!I324+'TB-Oct'!I324+'TB-Nov'!I324+'TB-Dec'!I324</f>
        <v>0</v>
      </c>
      <c r="J324" s="95">
        <f>'TB-Jan'!J324+'TB-Feb'!J324+'TB-Mar'!J324+'TB-Apr'!J324+'TB-May'!J324+'TB-Jun'!J324+'TB-Jul'!J324+'TB-Aug'!J324+'TB-Sep'!J324+'TB-Oct'!J324+'TB-Nov'!J324+'TB-Dec'!J324</f>
        <v>0</v>
      </c>
      <c r="K324" s="96">
        <f>'TB-Jan'!K324+'TB-Feb'!K324+'TB-Mar'!K324+'TB-Apr'!K324+'TB-May'!K324+'TB-Jun'!K324+'TB-Jul'!K324+'TB-Aug'!K324+'TB-Sep'!K324+'TB-Oct'!K324+'TB-Nov'!K324+'TB-Dec'!K324</f>
        <v>0</v>
      </c>
      <c r="L324" s="96">
        <f>'TB-Jan'!L324+'TB-Feb'!L324+'TB-Mar'!L324+'TB-Apr'!L324+'TB-May'!L324+'TB-Jun'!L324+'TB-Jul'!L324+'TB-Aug'!L324+'TB-Sep'!L324+'TB-Oct'!L324+'TB-Nov'!L324+'TB-Dec'!L324</f>
        <v>0</v>
      </c>
      <c r="M324" s="97">
        <f>'TB-Jan'!M324+'TB-Feb'!M324+'TB-Mar'!M324+'TB-Apr'!M324+'TB-May'!M324+'TB-Jun'!M324+'TB-Jul'!M324+'TB-Aug'!M324+'TB-Sep'!M324+'TB-Oct'!M324+'TB-Nov'!M324+'TB-Dec'!M324</f>
        <v>0</v>
      </c>
      <c r="N324" s="97">
        <f>'TB-Jan'!N324+'TB-Feb'!N324+'TB-Mar'!N324+'TB-Apr'!N324+'TB-May'!N324+'TB-Jun'!N324+'TB-Jul'!N324+'TB-Aug'!N324+'TB-Sep'!N324+'TB-Oct'!N324+'TB-Nov'!N324+'TB-Dec'!N324</f>
        <v>0</v>
      </c>
    </row>
    <row r="325" spans="1:14" s="70" customFormat="1" hidden="1">
      <c r="A325" s="3" t="s">
        <v>608</v>
      </c>
      <c r="B325" s="4" t="s">
        <v>609</v>
      </c>
      <c r="C325" s="5">
        <f t="shared" si="9"/>
        <v>0</v>
      </c>
      <c r="D325" s="5"/>
      <c r="E325" s="6">
        <f t="shared" si="8"/>
        <v>0</v>
      </c>
      <c r="F325" s="6">
        <f t="shared" si="8"/>
        <v>0</v>
      </c>
      <c r="G325" s="94">
        <f>'TB-Jan'!G325+'TB-Feb'!G325+'TB-Mar'!G325+'TB-Apr'!G325+'TB-May'!G325+'TB-Jun'!G325+'TB-Jul'!G325+'TB-Aug'!G325+'TB-Sep'!G325+'TB-Oct'!G325+'TB-Nov'!G325+'TB-Dec'!G325</f>
        <v>0</v>
      </c>
      <c r="H325" s="94">
        <f>'TB-Jan'!H325+'TB-Feb'!H325+'TB-Mar'!H325+'TB-Apr'!H325+'TB-May'!H325+'TB-Jun'!H325+'TB-Jul'!H325+'TB-Aug'!H325+'TB-Sep'!H325+'TB-Oct'!H325+'TB-Nov'!H325+'TB-Dec'!H325</f>
        <v>0</v>
      </c>
      <c r="I325" s="95">
        <f>'TB-Jan'!I325+'TB-Feb'!I325+'TB-Mar'!I325+'TB-Apr'!I325+'TB-May'!I325+'TB-Jun'!I325+'TB-Jul'!I325+'TB-Aug'!I325+'TB-Sep'!I325+'TB-Oct'!I325+'TB-Nov'!I325+'TB-Dec'!I325</f>
        <v>0</v>
      </c>
      <c r="J325" s="95">
        <f>'TB-Jan'!J325+'TB-Feb'!J325+'TB-Mar'!J325+'TB-Apr'!J325+'TB-May'!J325+'TB-Jun'!J325+'TB-Jul'!J325+'TB-Aug'!J325+'TB-Sep'!J325+'TB-Oct'!J325+'TB-Nov'!J325+'TB-Dec'!J325</f>
        <v>0</v>
      </c>
      <c r="K325" s="96">
        <f>'TB-Jan'!K325+'TB-Feb'!K325+'TB-Mar'!K325+'TB-Apr'!K325+'TB-May'!K325+'TB-Jun'!K325+'TB-Jul'!K325+'TB-Aug'!K325+'TB-Sep'!K325+'TB-Oct'!K325+'TB-Nov'!K325+'TB-Dec'!K325</f>
        <v>0</v>
      </c>
      <c r="L325" s="96">
        <f>'TB-Jan'!L325+'TB-Feb'!L325+'TB-Mar'!L325+'TB-Apr'!L325+'TB-May'!L325+'TB-Jun'!L325+'TB-Jul'!L325+'TB-Aug'!L325+'TB-Sep'!L325+'TB-Oct'!L325+'TB-Nov'!L325+'TB-Dec'!L325</f>
        <v>0</v>
      </c>
      <c r="M325" s="97">
        <f>'TB-Jan'!M325+'TB-Feb'!M325+'TB-Mar'!M325+'TB-Apr'!M325+'TB-May'!M325+'TB-Jun'!M325+'TB-Jul'!M325+'TB-Aug'!M325+'TB-Sep'!M325+'TB-Oct'!M325+'TB-Nov'!M325+'TB-Dec'!M325</f>
        <v>0</v>
      </c>
      <c r="N325" s="97">
        <f>'TB-Jan'!N325+'TB-Feb'!N325+'TB-Mar'!N325+'TB-Apr'!N325+'TB-May'!N325+'TB-Jun'!N325+'TB-Jul'!N325+'TB-Aug'!N325+'TB-Sep'!N325+'TB-Oct'!N325+'TB-Nov'!N325+'TB-Dec'!N325</f>
        <v>0</v>
      </c>
    </row>
    <row r="326" spans="1:14" s="70" customFormat="1" hidden="1">
      <c r="A326" s="3" t="s">
        <v>610</v>
      </c>
      <c r="B326" s="4" t="s">
        <v>611</v>
      </c>
      <c r="C326" s="5">
        <f t="shared" si="9"/>
        <v>0</v>
      </c>
      <c r="D326" s="5"/>
      <c r="E326" s="6">
        <f t="shared" si="8"/>
        <v>0</v>
      </c>
      <c r="F326" s="6">
        <f t="shared" si="8"/>
        <v>0</v>
      </c>
      <c r="G326" s="94">
        <f>'TB-Jan'!G326+'TB-Feb'!G326+'TB-Mar'!G326+'TB-Apr'!G326+'TB-May'!G326+'TB-Jun'!G326+'TB-Jul'!G326+'TB-Aug'!G326+'TB-Sep'!G326+'TB-Oct'!G326+'TB-Nov'!G326+'TB-Dec'!G326</f>
        <v>0</v>
      </c>
      <c r="H326" s="94">
        <f>'TB-Jan'!H326+'TB-Feb'!H326+'TB-Mar'!H326+'TB-Apr'!H326+'TB-May'!H326+'TB-Jun'!H326+'TB-Jul'!H326+'TB-Aug'!H326+'TB-Sep'!H326+'TB-Oct'!H326+'TB-Nov'!H326+'TB-Dec'!H326</f>
        <v>0</v>
      </c>
      <c r="I326" s="95">
        <f>'TB-Jan'!I326+'TB-Feb'!I326+'TB-Mar'!I326+'TB-Apr'!I326+'TB-May'!I326+'TB-Jun'!I326+'TB-Jul'!I326+'TB-Aug'!I326+'TB-Sep'!I326+'TB-Oct'!I326+'TB-Nov'!I326+'TB-Dec'!I326</f>
        <v>0</v>
      </c>
      <c r="J326" s="95">
        <f>'TB-Jan'!J326+'TB-Feb'!J326+'TB-Mar'!J326+'TB-Apr'!J326+'TB-May'!J326+'TB-Jun'!J326+'TB-Jul'!J326+'TB-Aug'!J326+'TB-Sep'!J326+'TB-Oct'!J326+'TB-Nov'!J326+'TB-Dec'!J326</f>
        <v>0</v>
      </c>
      <c r="K326" s="96">
        <f>'TB-Jan'!K326+'TB-Feb'!K326+'TB-Mar'!K326+'TB-Apr'!K326+'TB-May'!K326+'TB-Jun'!K326+'TB-Jul'!K326+'TB-Aug'!K326+'TB-Sep'!K326+'TB-Oct'!K326+'TB-Nov'!K326+'TB-Dec'!K326</f>
        <v>0</v>
      </c>
      <c r="L326" s="96">
        <f>'TB-Jan'!L326+'TB-Feb'!L326+'TB-Mar'!L326+'TB-Apr'!L326+'TB-May'!L326+'TB-Jun'!L326+'TB-Jul'!L326+'TB-Aug'!L326+'TB-Sep'!L326+'TB-Oct'!L326+'TB-Nov'!L326+'TB-Dec'!L326</f>
        <v>0</v>
      </c>
      <c r="M326" s="97">
        <f>'TB-Jan'!M326+'TB-Feb'!M326+'TB-Mar'!M326+'TB-Apr'!M326+'TB-May'!M326+'TB-Jun'!M326+'TB-Jul'!M326+'TB-Aug'!M326+'TB-Sep'!M326+'TB-Oct'!M326+'TB-Nov'!M326+'TB-Dec'!M326</f>
        <v>0</v>
      </c>
      <c r="N326" s="97">
        <f>'TB-Jan'!N326+'TB-Feb'!N326+'TB-Mar'!N326+'TB-Apr'!N326+'TB-May'!N326+'TB-Jun'!N326+'TB-Jul'!N326+'TB-Aug'!N326+'TB-Sep'!N326+'TB-Oct'!N326+'TB-Nov'!N326+'TB-Dec'!N326</f>
        <v>0</v>
      </c>
    </row>
    <row r="327" spans="1:14" s="70" customFormat="1" hidden="1">
      <c r="A327" s="3" t="s">
        <v>612</v>
      </c>
      <c r="B327" s="4" t="s">
        <v>613</v>
      </c>
      <c r="C327" s="5">
        <f t="shared" si="9"/>
        <v>0</v>
      </c>
      <c r="D327" s="5"/>
      <c r="E327" s="6">
        <f t="shared" si="8"/>
        <v>0</v>
      </c>
      <c r="F327" s="6">
        <f t="shared" si="8"/>
        <v>0</v>
      </c>
      <c r="G327" s="94">
        <f>'TB-Jan'!G327+'TB-Feb'!G327+'TB-Mar'!G327+'TB-Apr'!G327+'TB-May'!G327+'TB-Jun'!G327+'TB-Jul'!G327+'TB-Aug'!G327+'TB-Sep'!G327+'TB-Oct'!G327+'TB-Nov'!G327+'TB-Dec'!G327</f>
        <v>0</v>
      </c>
      <c r="H327" s="94">
        <f>'TB-Jan'!H327+'TB-Feb'!H327+'TB-Mar'!H327+'TB-Apr'!H327+'TB-May'!H327+'TB-Jun'!H327+'TB-Jul'!H327+'TB-Aug'!H327+'TB-Sep'!H327+'TB-Oct'!H327+'TB-Nov'!H327+'TB-Dec'!H327</f>
        <v>0</v>
      </c>
      <c r="I327" s="95">
        <f>'TB-Jan'!I327+'TB-Feb'!I327+'TB-Mar'!I327+'TB-Apr'!I327+'TB-May'!I327+'TB-Jun'!I327+'TB-Jul'!I327+'TB-Aug'!I327+'TB-Sep'!I327+'TB-Oct'!I327+'TB-Nov'!I327+'TB-Dec'!I327</f>
        <v>0</v>
      </c>
      <c r="J327" s="95">
        <f>'TB-Jan'!J327+'TB-Feb'!J327+'TB-Mar'!J327+'TB-Apr'!J327+'TB-May'!J327+'TB-Jun'!J327+'TB-Jul'!J327+'TB-Aug'!J327+'TB-Sep'!J327+'TB-Oct'!J327+'TB-Nov'!J327+'TB-Dec'!J327</f>
        <v>0</v>
      </c>
      <c r="K327" s="96">
        <f>'TB-Jan'!K327+'TB-Feb'!K327+'TB-Mar'!K327+'TB-Apr'!K327+'TB-May'!K327+'TB-Jun'!K327+'TB-Jul'!K327+'TB-Aug'!K327+'TB-Sep'!K327+'TB-Oct'!K327+'TB-Nov'!K327+'TB-Dec'!K327</f>
        <v>0</v>
      </c>
      <c r="L327" s="96">
        <f>'TB-Jan'!L327+'TB-Feb'!L327+'TB-Mar'!L327+'TB-Apr'!L327+'TB-May'!L327+'TB-Jun'!L327+'TB-Jul'!L327+'TB-Aug'!L327+'TB-Sep'!L327+'TB-Oct'!L327+'TB-Nov'!L327+'TB-Dec'!L327</f>
        <v>0</v>
      </c>
      <c r="M327" s="97">
        <f>'TB-Jan'!M327+'TB-Feb'!M327+'TB-Mar'!M327+'TB-Apr'!M327+'TB-May'!M327+'TB-Jun'!M327+'TB-Jul'!M327+'TB-Aug'!M327+'TB-Sep'!M327+'TB-Oct'!M327+'TB-Nov'!M327+'TB-Dec'!M327</f>
        <v>0</v>
      </c>
      <c r="N327" s="97">
        <f>'TB-Jan'!N327+'TB-Feb'!N327+'TB-Mar'!N327+'TB-Apr'!N327+'TB-May'!N327+'TB-Jun'!N327+'TB-Jul'!N327+'TB-Aug'!N327+'TB-Sep'!N327+'TB-Oct'!N327+'TB-Nov'!N327+'TB-Dec'!N327</f>
        <v>0</v>
      </c>
    </row>
    <row r="328" spans="1:14" s="1" customFormat="1" hidden="1">
      <c r="A328" s="3" t="s">
        <v>614</v>
      </c>
      <c r="B328" s="4" t="s">
        <v>615</v>
      </c>
      <c r="C328" s="5">
        <f t="shared" si="9"/>
        <v>0</v>
      </c>
      <c r="D328" s="5"/>
      <c r="E328" s="6">
        <f t="shared" si="8"/>
        <v>0</v>
      </c>
      <c r="F328" s="6">
        <f t="shared" si="8"/>
        <v>0</v>
      </c>
      <c r="G328" s="94">
        <f>'TB-Jan'!G328+'TB-Feb'!G328+'TB-Mar'!G328+'TB-Apr'!G328+'TB-May'!G328+'TB-Jun'!G328+'TB-Jul'!G328+'TB-Aug'!G328+'TB-Sep'!G328+'TB-Oct'!G328+'TB-Nov'!G328+'TB-Dec'!G328</f>
        <v>0</v>
      </c>
      <c r="H328" s="94">
        <f>'TB-Jan'!H328+'TB-Feb'!H328+'TB-Mar'!H328+'TB-Apr'!H328+'TB-May'!H328+'TB-Jun'!H328+'TB-Jul'!H328+'TB-Aug'!H328+'TB-Sep'!H328+'TB-Oct'!H328+'TB-Nov'!H328+'TB-Dec'!H328</f>
        <v>0</v>
      </c>
      <c r="I328" s="95">
        <f>'TB-Jan'!I328+'TB-Feb'!I328+'TB-Mar'!I328+'TB-Apr'!I328+'TB-May'!I328+'TB-Jun'!I328+'TB-Jul'!I328+'TB-Aug'!I328+'TB-Sep'!I328+'TB-Oct'!I328+'TB-Nov'!I328+'TB-Dec'!I328</f>
        <v>0</v>
      </c>
      <c r="J328" s="95">
        <f>'TB-Jan'!J328+'TB-Feb'!J328+'TB-Mar'!J328+'TB-Apr'!J328+'TB-May'!J328+'TB-Jun'!J328+'TB-Jul'!J328+'TB-Aug'!J328+'TB-Sep'!J328+'TB-Oct'!J328+'TB-Nov'!J328+'TB-Dec'!J328</f>
        <v>0</v>
      </c>
      <c r="K328" s="96">
        <f>'TB-Jan'!K328+'TB-Feb'!K328+'TB-Mar'!K328+'TB-Apr'!K328+'TB-May'!K328+'TB-Jun'!K328+'TB-Jul'!K328+'TB-Aug'!K328+'TB-Sep'!K328+'TB-Oct'!K328+'TB-Nov'!K328+'TB-Dec'!K328</f>
        <v>0</v>
      </c>
      <c r="L328" s="96">
        <f>'TB-Jan'!L328+'TB-Feb'!L328+'TB-Mar'!L328+'TB-Apr'!L328+'TB-May'!L328+'TB-Jun'!L328+'TB-Jul'!L328+'TB-Aug'!L328+'TB-Sep'!L328+'TB-Oct'!L328+'TB-Nov'!L328+'TB-Dec'!L328</f>
        <v>0</v>
      </c>
      <c r="M328" s="97">
        <f>'TB-Jan'!M328+'TB-Feb'!M328+'TB-Mar'!M328+'TB-Apr'!M328+'TB-May'!M328+'TB-Jun'!M328+'TB-Jul'!M328+'TB-Aug'!M328+'TB-Sep'!M328+'TB-Oct'!M328+'TB-Nov'!M328+'TB-Dec'!M328</f>
        <v>0</v>
      </c>
      <c r="N328" s="97">
        <f>'TB-Jan'!N328+'TB-Feb'!N328+'TB-Mar'!N328+'TB-Apr'!N328+'TB-May'!N328+'TB-Jun'!N328+'TB-Jul'!N328+'TB-Aug'!N328+'TB-Sep'!N328+'TB-Oct'!N328+'TB-Nov'!N328+'TB-Dec'!N328</f>
        <v>0</v>
      </c>
    </row>
    <row r="329" spans="1:14" s="70" customFormat="1" hidden="1">
      <c r="A329" s="3" t="s">
        <v>616</v>
      </c>
      <c r="B329" s="4" t="s">
        <v>617</v>
      </c>
      <c r="C329" s="5">
        <f t="shared" si="9"/>
        <v>0</v>
      </c>
      <c r="D329" s="5"/>
      <c r="E329" s="6">
        <f t="shared" si="8"/>
        <v>0</v>
      </c>
      <c r="F329" s="6">
        <f t="shared" si="8"/>
        <v>0</v>
      </c>
      <c r="G329" s="94">
        <f>'TB-Jan'!G329+'TB-Feb'!G329+'TB-Mar'!G329+'TB-Apr'!G329+'TB-May'!G329+'TB-Jun'!G329+'TB-Jul'!G329+'TB-Aug'!G329+'TB-Sep'!G329+'TB-Oct'!G329+'TB-Nov'!G329+'TB-Dec'!G329</f>
        <v>0</v>
      </c>
      <c r="H329" s="94">
        <f>'TB-Jan'!H329+'TB-Feb'!H329+'TB-Mar'!H329+'TB-Apr'!H329+'TB-May'!H329+'TB-Jun'!H329+'TB-Jul'!H329+'TB-Aug'!H329+'TB-Sep'!H329+'TB-Oct'!H329+'TB-Nov'!H329+'TB-Dec'!H329</f>
        <v>0</v>
      </c>
      <c r="I329" s="95">
        <f>'TB-Jan'!I329+'TB-Feb'!I329+'TB-Mar'!I329+'TB-Apr'!I329+'TB-May'!I329+'TB-Jun'!I329+'TB-Jul'!I329+'TB-Aug'!I329+'TB-Sep'!I329+'TB-Oct'!I329+'TB-Nov'!I329+'TB-Dec'!I329</f>
        <v>0</v>
      </c>
      <c r="J329" s="95">
        <f>'TB-Jan'!J329+'TB-Feb'!J329+'TB-Mar'!J329+'TB-Apr'!J329+'TB-May'!J329+'TB-Jun'!J329+'TB-Jul'!J329+'TB-Aug'!J329+'TB-Sep'!J329+'TB-Oct'!J329+'TB-Nov'!J329+'TB-Dec'!J329</f>
        <v>0</v>
      </c>
      <c r="K329" s="96">
        <f>'TB-Jan'!K329+'TB-Feb'!K329+'TB-Mar'!K329+'TB-Apr'!K329+'TB-May'!K329+'TB-Jun'!K329+'TB-Jul'!K329+'TB-Aug'!K329+'TB-Sep'!K329+'TB-Oct'!K329+'TB-Nov'!K329+'TB-Dec'!K329</f>
        <v>0</v>
      </c>
      <c r="L329" s="96">
        <f>'TB-Jan'!L329+'TB-Feb'!L329+'TB-Mar'!L329+'TB-Apr'!L329+'TB-May'!L329+'TB-Jun'!L329+'TB-Jul'!L329+'TB-Aug'!L329+'TB-Sep'!L329+'TB-Oct'!L329+'TB-Nov'!L329+'TB-Dec'!L329</f>
        <v>0</v>
      </c>
      <c r="M329" s="97">
        <f>'TB-Jan'!M329+'TB-Feb'!M329+'TB-Mar'!M329+'TB-Apr'!M329+'TB-May'!M329+'TB-Jun'!M329+'TB-Jul'!M329+'TB-Aug'!M329+'TB-Sep'!M329+'TB-Oct'!M329+'TB-Nov'!M329+'TB-Dec'!M329</f>
        <v>0</v>
      </c>
      <c r="N329" s="97">
        <f>'TB-Jan'!N329+'TB-Feb'!N329+'TB-Mar'!N329+'TB-Apr'!N329+'TB-May'!N329+'TB-Jun'!N329+'TB-Jul'!N329+'TB-Aug'!N329+'TB-Sep'!N329+'TB-Oct'!N329+'TB-Nov'!N329+'TB-Dec'!N329</f>
        <v>0</v>
      </c>
    </row>
    <row r="330" spans="1:14" s="70" customFormat="1" hidden="1">
      <c r="A330" s="3" t="s">
        <v>618</v>
      </c>
      <c r="B330" s="4" t="s">
        <v>619</v>
      </c>
      <c r="C330" s="5">
        <f t="shared" si="9"/>
        <v>0</v>
      </c>
      <c r="D330" s="5"/>
      <c r="E330" s="6">
        <f t="shared" si="8"/>
        <v>0</v>
      </c>
      <c r="F330" s="6">
        <f t="shared" si="8"/>
        <v>0</v>
      </c>
      <c r="G330" s="94">
        <f>'TB-Jan'!G330+'TB-Feb'!G330+'TB-Mar'!G330+'TB-Apr'!G330+'TB-May'!G330+'TB-Jun'!G330+'TB-Jul'!G330+'TB-Aug'!G330+'TB-Sep'!G330+'TB-Oct'!G330+'TB-Nov'!G330+'TB-Dec'!G330</f>
        <v>0</v>
      </c>
      <c r="H330" s="94">
        <f>'TB-Jan'!H330+'TB-Feb'!H330+'TB-Mar'!H330+'TB-Apr'!H330+'TB-May'!H330+'TB-Jun'!H330+'TB-Jul'!H330+'TB-Aug'!H330+'TB-Sep'!H330+'TB-Oct'!H330+'TB-Nov'!H330+'TB-Dec'!H330</f>
        <v>0</v>
      </c>
      <c r="I330" s="95">
        <f>'TB-Jan'!I330+'TB-Feb'!I330+'TB-Mar'!I330+'TB-Apr'!I330+'TB-May'!I330+'TB-Jun'!I330+'TB-Jul'!I330+'TB-Aug'!I330+'TB-Sep'!I330+'TB-Oct'!I330+'TB-Nov'!I330+'TB-Dec'!I330</f>
        <v>0</v>
      </c>
      <c r="J330" s="95">
        <f>'TB-Jan'!J330+'TB-Feb'!J330+'TB-Mar'!J330+'TB-Apr'!J330+'TB-May'!J330+'TB-Jun'!J330+'TB-Jul'!J330+'TB-Aug'!J330+'TB-Sep'!J330+'TB-Oct'!J330+'TB-Nov'!J330+'TB-Dec'!J330</f>
        <v>0</v>
      </c>
      <c r="K330" s="96">
        <f>'TB-Jan'!K330+'TB-Feb'!K330+'TB-Mar'!K330+'TB-Apr'!K330+'TB-May'!K330+'TB-Jun'!K330+'TB-Jul'!K330+'TB-Aug'!K330+'TB-Sep'!K330+'TB-Oct'!K330+'TB-Nov'!K330+'TB-Dec'!K330</f>
        <v>0</v>
      </c>
      <c r="L330" s="96">
        <f>'TB-Jan'!L330+'TB-Feb'!L330+'TB-Mar'!L330+'TB-Apr'!L330+'TB-May'!L330+'TB-Jun'!L330+'TB-Jul'!L330+'TB-Aug'!L330+'TB-Sep'!L330+'TB-Oct'!L330+'TB-Nov'!L330+'TB-Dec'!L330</f>
        <v>0</v>
      </c>
      <c r="M330" s="97">
        <f>'TB-Jan'!M330+'TB-Feb'!M330+'TB-Mar'!M330+'TB-Apr'!M330+'TB-May'!M330+'TB-Jun'!M330+'TB-Jul'!M330+'TB-Aug'!M330+'TB-Sep'!M330+'TB-Oct'!M330+'TB-Nov'!M330+'TB-Dec'!M330</f>
        <v>0</v>
      </c>
      <c r="N330" s="97">
        <f>'TB-Jan'!N330+'TB-Feb'!N330+'TB-Mar'!N330+'TB-Apr'!N330+'TB-May'!N330+'TB-Jun'!N330+'TB-Jul'!N330+'TB-Aug'!N330+'TB-Sep'!N330+'TB-Oct'!N330+'TB-Nov'!N330+'TB-Dec'!N330</f>
        <v>0</v>
      </c>
    </row>
    <row r="331" spans="1:14" s="70" customFormat="1" hidden="1">
      <c r="A331" s="11" t="s">
        <v>620</v>
      </c>
      <c r="B331" s="12" t="s">
        <v>621</v>
      </c>
      <c r="C331" s="5">
        <f t="shared" si="9"/>
        <v>0</v>
      </c>
      <c r="D331" s="5"/>
      <c r="E331" s="6">
        <f t="shared" si="8"/>
        <v>0</v>
      </c>
      <c r="F331" s="6">
        <f t="shared" si="8"/>
        <v>0</v>
      </c>
      <c r="G331" s="94">
        <f>'TB-Jan'!G331+'TB-Feb'!G331+'TB-Mar'!G331+'TB-Apr'!G331+'TB-May'!G331+'TB-Jun'!G331+'TB-Jul'!G331+'TB-Aug'!G331+'TB-Sep'!G331+'TB-Oct'!G331+'TB-Nov'!G331+'TB-Dec'!G331</f>
        <v>0</v>
      </c>
      <c r="H331" s="94">
        <f>'TB-Jan'!H331+'TB-Feb'!H331+'TB-Mar'!H331+'TB-Apr'!H331+'TB-May'!H331+'TB-Jun'!H331+'TB-Jul'!H331+'TB-Aug'!H331+'TB-Sep'!H331+'TB-Oct'!H331+'TB-Nov'!H331+'TB-Dec'!H331</f>
        <v>0</v>
      </c>
      <c r="I331" s="95">
        <f>'TB-Jan'!I331+'TB-Feb'!I331+'TB-Mar'!I331+'TB-Apr'!I331+'TB-May'!I331+'TB-Jun'!I331+'TB-Jul'!I331+'TB-Aug'!I331+'TB-Sep'!I331+'TB-Oct'!I331+'TB-Nov'!I331+'TB-Dec'!I331</f>
        <v>0</v>
      </c>
      <c r="J331" s="95">
        <f>'TB-Jan'!J331+'TB-Feb'!J331+'TB-Mar'!J331+'TB-Apr'!J331+'TB-May'!J331+'TB-Jun'!J331+'TB-Jul'!J331+'TB-Aug'!J331+'TB-Sep'!J331+'TB-Oct'!J331+'TB-Nov'!J331+'TB-Dec'!J331</f>
        <v>0</v>
      </c>
      <c r="K331" s="96">
        <f>'TB-Jan'!K331+'TB-Feb'!K331+'TB-Mar'!K331+'TB-Apr'!K331+'TB-May'!K331+'TB-Jun'!K331+'TB-Jul'!K331+'TB-Aug'!K331+'TB-Sep'!K331+'TB-Oct'!K331+'TB-Nov'!K331+'TB-Dec'!K331</f>
        <v>0</v>
      </c>
      <c r="L331" s="96">
        <f>'TB-Jan'!L331+'TB-Feb'!L331+'TB-Mar'!L331+'TB-Apr'!L331+'TB-May'!L331+'TB-Jun'!L331+'TB-Jul'!L331+'TB-Aug'!L331+'TB-Sep'!L331+'TB-Oct'!L331+'TB-Nov'!L331+'TB-Dec'!L331</f>
        <v>0</v>
      </c>
      <c r="M331" s="97">
        <f>'TB-Jan'!M331+'TB-Feb'!M331+'TB-Mar'!M331+'TB-Apr'!M331+'TB-May'!M331+'TB-Jun'!M331+'TB-Jul'!M331+'TB-Aug'!M331+'TB-Sep'!M331+'TB-Oct'!M331+'TB-Nov'!M331+'TB-Dec'!M331</f>
        <v>0</v>
      </c>
      <c r="N331" s="97">
        <f>'TB-Jan'!N331+'TB-Feb'!N331+'TB-Mar'!N331+'TB-Apr'!N331+'TB-May'!N331+'TB-Jun'!N331+'TB-Jul'!N331+'TB-Aug'!N331+'TB-Sep'!N331+'TB-Oct'!N331+'TB-Nov'!N331+'TB-Dec'!N331</f>
        <v>0</v>
      </c>
    </row>
    <row r="332" spans="1:14" s="70" customFormat="1" hidden="1">
      <c r="A332" s="3" t="s">
        <v>622</v>
      </c>
      <c r="B332" s="4" t="s">
        <v>623</v>
      </c>
      <c r="C332" s="5">
        <f t="shared" si="9"/>
        <v>0</v>
      </c>
      <c r="D332" s="5"/>
      <c r="E332" s="6">
        <f t="shared" si="8"/>
        <v>0</v>
      </c>
      <c r="F332" s="6">
        <f t="shared" si="8"/>
        <v>0</v>
      </c>
      <c r="G332" s="94">
        <f>'TB-Jan'!G332+'TB-Feb'!G332+'TB-Mar'!G332+'TB-Apr'!G332+'TB-May'!G332+'TB-Jun'!G332+'TB-Jul'!G332+'TB-Aug'!G332+'TB-Sep'!G332+'TB-Oct'!G332+'TB-Nov'!G332+'TB-Dec'!G332</f>
        <v>0</v>
      </c>
      <c r="H332" s="94">
        <f>'TB-Jan'!H332+'TB-Feb'!H332+'TB-Mar'!H332+'TB-Apr'!H332+'TB-May'!H332+'TB-Jun'!H332+'TB-Jul'!H332+'TB-Aug'!H332+'TB-Sep'!H332+'TB-Oct'!H332+'TB-Nov'!H332+'TB-Dec'!H332</f>
        <v>0</v>
      </c>
      <c r="I332" s="95">
        <f>'TB-Jan'!I332+'TB-Feb'!I332+'TB-Mar'!I332+'TB-Apr'!I332+'TB-May'!I332+'TB-Jun'!I332+'TB-Jul'!I332+'TB-Aug'!I332+'TB-Sep'!I332+'TB-Oct'!I332+'TB-Nov'!I332+'TB-Dec'!I332</f>
        <v>0</v>
      </c>
      <c r="J332" s="95">
        <f>'TB-Jan'!J332+'TB-Feb'!J332+'TB-Mar'!J332+'TB-Apr'!J332+'TB-May'!J332+'TB-Jun'!J332+'TB-Jul'!J332+'TB-Aug'!J332+'TB-Sep'!J332+'TB-Oct'!J332+'TB-Nov'!J332+'TB-Dec'!J332</f>
        <v>0</v>
      </c>
      <c r="K332" s="96">
        <f>'TB-Jan'!K332+'TB-Feb'!K332+'TB-Mar'!K332+'TB-Apr'!K332+'TB-May'!K332+'TB-Jun'!K332+'TB-Jul'!K332+'TB-Aug'!K332+'TB-Sep'!K332+'TB-Oct'!K332+'TB-Nov'!K332+'TB-Dec'!K332</f>
        <v>0</v>
      </c>
      <c r="L332" s="96">
        <f>'TB-Jan'!L332+'TB-Feb'!L332+'TB-Mar'!L332+'TB-Apr'!L332+'TB-May'!L332+'TB-Jun'!L332+'TB-Jul'!L332+'TB-Aug'!L332+'TB-Sep'!L332+'TB-Oct'!L332+'TB-Nov'!L332+'TB-Dec'!L332</f>
        <v>0</v>
      </c>
      <c r="M332" s="97">
        <f>'TB-Jan'!M332+'TB-Feb'!M332+'TB-Mar'!M332+'TB-Apr'!M332+'TB-May'!M332+'TB-Jun'!M332+'TB-Jul'!M332+'TB-Aug'!M332+'TB-Sep'!M332+'TB-Oct'!M332+'TB-Nov'!M332+'TB-Dec'!M332</f>
        <v>0</v>
      </c>
      <c r="N332" s="97">
        <f>'TB-Jan'!N332+'TB-Feb'!N332+'TB-Mar'!N332+'TB-Apr'!N332+'TB-May'!N332+'TB-Jun'!N332+'TB-Jul'!N332+'TB-Aug'!N332+'TB-Sep'!N332+'TB-Oct'!N332+'TB-Nov'!N332+'TB-Dec'!N332</f>
        <v>0</v>
      </c>
    </row>
    <row r="333" spans="1:14" s="70" customFormat="1" hidden="1">
      <c r="A333" s="3" t="s">
        <v>624</v>
      </c>
      <c r="B333" s="4" t="s">
        <v>625</v>
      </c>
      <c r="C333" s="5">
        <f t="shared" si="9"/>
        <v>0</v>
      </c>
      <c r="D333" s="5"/>
      <c r="E333" s="6">
        <f t="shared" si="8"/>
        <v>0</v>
      </c>
      <c r="F333" s="6">
        <f t="shared" si="8"/>
        <v>0</v>
      </c>
      <c r="G333" s="94">
        <f>'TB-Jan'!G333+'TB-Feb'!G333+'TB-Mar'!G333+'TB-Apr'!G333+'TB-May'!G333+'TB-Jun'!G333+'TB-Jul'!G333+'TB-Aug'!G333+'TB-Sep'!G333+'TB-Oct'!G333+'TB-Nov'!G333+'TB-Dec'!G333</f>
        <v>0</v>
      </c>
      <c r="H333" s="94">
        <f>'TB-Jan'!H333+'TB-Feb'!H333+'TB-Mar'!H333+'TB-Apr'!H333+'TB-May'!H333+'TB-Jun'!H333+'TB-Jul'!H333+'TB-Aug'!H333+'TB-Sep'!H333+'TB-Oct'!H333+'TB-Nov'!H333+'TB-Dec'!H333</f>
        <v>0</v>
      </c>
      <c r="I333" s="95">
        <f>'TB-Jan'!I333+'TB-Feb'!I333+'TB-Mar'!I333+'TB-Apr'!I333+'TB-May'!I333+'TB-Jun'!I333+'TB-Jul'!I333+'TB-Aug'!I333+'TB-Sep'!I333+'TB-Oct'!I333+'TB-Nov'!I333+'TB-Dec'!I333</f>
        <v>0</v>
      </c>
      <c r="J333" s="95">
        <f>'TB-Jan'!J333+'TB-Feb'!J333+'TB-Mar'!J333+'TB-Apr'!J333+'TB-May'!J333+'TB-Jun'!J333+'TB-Jul'!J333+'TB-Aug'!J333+'TB-Sep'!J333+'TB-Oct'!J333+'TB-Nov'!J333+'TB-Dec'!J333</f>
        <v>0</v>
      </c>
      <c r="K333" s="96">
        <f>'TB-Jan'!K333+'TB-Feb'!K333+'TB-Mar'!K333+'TB-Apr'!K333+'TB-May'!K333+'TB-Jun'!K333+'TB-Jul'!K333+'TB-Aug'!K333+'TB-Sep'!K333+'TB-Oct'!K333+'TB-Nov'!K333+'TB-Dec'!K333</f>
        <v>0</v>
      </c>
      <c r="L333" s="96">
        <f>'TB-Jan'!L333+'TB-Feb'!L333+'TB-Mar'!L333+'TB-Apr'!L333+'TB-May'!L333+'TB-Jun'!L333+'TB-Jul'!L333+'TB-Aug'!L333+'TB-Sep'!L333+'TB-Oct'!L333+'TB-Nov'!L333+'TB-Dec'!L333</f>
        <v>0</v>
      </c>
      <c r="M333" s="97">
        <f>'TB-Jan'!M333+'TB-Feb'!M333+'TB-Mar'!M333+'TB-Apr'!M333+'TB-May'!M333+'TB-Jun'!M333+'TB-Jul'!M333+'TB-Aug'!M333+'TB-Sep'!M333+'TB-Oct'!M333+'TB-Nov'!M333+'TB-Dec'!M333</f>
        <v>0</v>
      </c>
      <c r="N333" s="97">
        <f>'TB-Jan'!N333+'TB-Feb'!N333+'TB-Mar'!N333+'TB-Apr'!N333+'TB-May'!N333+'TB-Jun'!N333+'TB-Jul'!N333+'TB-Aug'!N333+'TB-Sep'!N333+'TB-Oct'!N333+'TB-Nov'!N333+'TB-Dec'!N333</f>
        <v>0</v>
      </c>
    </row>
    <row r="334" spans="1:14" hidden="1">
      <c r="A334" s="3" t="s">
        <v>626</v>
      </c>
      <c r="B334" s="4" t="s">
        <v>627</v>
      </c>
      <c r="C334" s="5">
        <f t="shared" si="9"/>
        <v>0</v>
      </c>
      <c r="D334" s="5"/>
      <c r="E334" s="6">
        <f t="shared" ref="E334:F397" si="10">SUM(G334,I334,K334,M334)</f>
        <v>0</v>
      </c>
      <c r="F334" s="6">
        <f t="shared" si="10"/>
        <v>0</v>
      </c>
      <c r="G334" s="94">
        <f>'TB-Jan'!G334+'TB-Feb'!G334+'TB-Mar'!G334+'TB-Apr'!G334+'TB-May'!G334+'TB-Jun'!G334+'TB-Jul'!G334+'TB-Aug'!G334+'TB-Sep'!G334+'TB-Oct'!G334+'TB-Nov'!G334+'TB-Dec'!G334</f>
        <v>0</v>
      </c>
      <c r="H334" s="94">
        <f>'TB-Jan'!H334+'TB-Feb'!H334+'TB-Mar'!H334+'TB-Apr'!H334+'TB-May'!H334+'TB-Jun'!H334+'TB-Jul'!H334+'TB-Aug'!H334+'TB-Sep'!H334+'TB-Oct'!H334+'TB-Nov'!H334+'TB-Dec'!H334</f>
        <v>0</v>
      </c>
      <c r="I334" s="95">
        <f>'TB-Jan'!I334+'TB-Feb'!I334+'TB-Mar'!I334+'TB-Apr'!I334+'TB-May'!I334+'TB-Jun'!I334+'TB-Jul'!I334+'TB-Aug'!I334+'TB-Sep'!I334+'TB-Oct'!I334+'TB-Nov'!I334+'TB-Dec'!I334</f>
        <v>0</v>
      </c>
      <c r="J334" s="95">
        <f>'TB-Jan'!J334+'TB-Feb'!J334+'TB-Mar'!J334+'TB-Apr'!J334+'TB-May'!J334+'TB-Jun'!J334+'TB-Jul'!J334+'TB-Aug'!J334+'TB-Sep'!J334+'TB-Oct'!J334+'TB-Nov'!J334+'TB-Dec'!J334</f>
        <v>0</v>
      </c>
      <c r="K334" s="96">
        <f>'TB-Jan'!K334+'TB-Feb'!K334+'TB-Mar'!K334+'TB-Apr'!K334+'TB-May'!K334+'TB-Jun'!K334+'TB-Jul'!K334+'TB-Aug'!K334+'TB-Sep'!K334+'TB-Oct'!K334+'TB-Nov'!K334+'TB-Dec'!K334</f>
        <v>0</v>
      </c>
      <c r="L334" s="96">
        <f>'TB-Jan'!L334+'TB-Feb'!L334+'TB-Mar'!L334+'TB-Apr'!L334+'TB-May'!L334+'TB-Jun'!L334+'TB-Jul'!L334+'TB-Aug'!L334+'TB-Sep'!L334+'TB-Oct'!L334+'TB-Nov'!L334+'TB-Dec'!L334</f>
        <v>0</v>
      </c>
      <c r="M334" s="97">
        <f>'TB-Jan'!M334+'TB-Feb'!M334+'TB-Mar'!M334+'TB-Apr'!M334+'TB-May'!M334+'TB-Jun'!M334+'TB-Jul'!M334+'TB-Aug'!M334+'TB-Sep'!M334+'TB-Oct'!M334+'TB-Nov'!M334+'TB-Dec'!M334</f>
        <v>0</v>
      </c>
      <c r="N334" s="97">
        <f>'TB-Jan'!N334+'TB-Feb'!N334+'TB-Mar'!N334+'TB-Apr'!N334+'TB-May'!N334+'TB-Jun'!N334+'TB-Jul'!N334+'TB-Aug'!N334+'TB-Sep'!N334+'TB-Oct'!N334+'TB-Nov'!N334+'TB-Dec'!N334</f>
        <v>0</v>
      </c>
    </row>
    <row r="335" spans="1:14" hidden="1">
      <c r="A335" s="3" t="s">
        <v>628</v>
      </c>
      <c r="B335" s="4" t="s">
        <v>629</v>
      </c>
      <c r="C335" s="5">
        <f t="shared" si="9"/>
        <v>0</v>
      </c>
      <c r="D335" s="5"/>
      <c r="E335" s="6">
        <f t="shared" si="10"/>
        <v>0</v>
      </c>
      <c r="F335" s="6">
        <f t="shared" si="10"/>
        <v>0</v>
      </c>
      <c r="G335" s="94">
        <f>'TB-Jan'!G335+'TB-Feb'!G335+'TB-Mar'!G335+'TB-Apr'!G335+'TB-May'!G335+'TB-Jun'!G335+'TB-Jul'!G335+'TB-Aug'!G335+'TB-Sep'!G335+'TB-Oct'!G335+'TB-Nov'!G335+'TB-Dec'!G335</f>
        <v>0</v>
      </c>
      <c r="H335" s="94">
        <f>'TB-Jan'!H335+'TB-Feb'!H335+'TB-Mar'!H335+'TB-Apr'!H335+'TB-May'!H335+'TB-Jun'!H335+'TB-Jul'!H335+'TB-Aug'!H335+'TB-Sep'!H335+'TB-Oct'!H335+'TB-Nov'!H335+'TB-Dec'!H335</f>
        <v>0</v>
      </c>
      <c r="I335" s="95">
        <f>'TB-Jan'!I335+'TB-Feb'!I335+'TB-Mar'!I335+'TB-Apr'!I335+'TB-May'!I335+'TB-Jun'!I335+'TB-Jul'!I335+'TB-Aug'!I335+'TB-Sep'!I335+'TB-Oct'!I335+'TB-Nov'!I335+'TB-Dec'!I335</f>
        <v>0</v>
      </c>
      <c r="J335" s="95">
        <f>'TB-Jan'!J335+'TB-Feb'!J335+'TB-Mar'!J335+'TB-Apr'!J335+'TB-May'!J335+'TB-Jun'!J335+'TB-Jul'!J335+'TB-Aug'!J335+'TB-Sep'!J335+'TB-Oct'!J335+'TB-Nov'!J335+'TB-Dec'!J335</f>
        <v>0</v>
      </c>
      <c r="K335" s="96">
        <f>'TB-Jan'!K335+'TB-Feb'!K335+'TB-Mar'!K335+'TB-Apr'!K335+'TB-May'!K335+'TB-Jun'!K335+'TB-Jul'!K335+'TB-Aug'!K335+'TB-Sep'!K335+'TB-Oct'!K335+'TB-Nov'!K335+'TB-Dec'!K335</f>
        <v>0</v>
      </c>
      <c r="L335" s="96">
        <f>'TB-Jan'!L335+'TB-Feb'!L335+'TB-Mar'!L335+'TB-Apr'!L335+'TB-May'!L335+'TB-Jun'!L335+'TB-Jul'!L335+'TB-Aug'!L335+'TB-Sep'!L335+'TB-Oct'!L335+'TB-Nov'!L335+'TB-Dec'!L335</f>
        <v>0</v>
      </c>
      <c r="M335" s="97">
        <f>'TB-Jan'!M335+'TB-Feb'!M335+'TB-Mar'!M335+'TB-Apr'!M335+'TB-May'!M335+'TB-Jun'!M335+'TB-Jul'!M335+'TB-Aug'!M335+'TB-Sep'!M335+'TB-Oct'!M335+'TB-Nov'!M335+'TB-Dec'!M335</f>
        <v>0</v>
      </c>
      <c r="N335" s="97">
        <f>'TB-Jan'!N335+'TB-Feb'!N335+'TB-Mar'!N335+'TB-Apr'!N335+'TB-May'!N335+'TB-Jun'!N335+'TB-Jul'!N335+'TB-Aug'!N335+'TB-Sep'!N335+'TB-Oct'!N335+'TB-Nov'!N335+'TB-Dec'!N335</f>
        <v>0</v>
      </c>
    </row>
    <row r="336" spans="1:14" hidden="1">
      <c r="A336" s="3" t="s">
        <v>630</v>
      </c>
      <c r="B336" s="4" t="s">
        <v>631</v>
      </c>
      <c r="C336" s="5">
        <f t="shared" si="9"/>
        <v>0</v>
      </c>
      <c r="D336" s="5"/>
      <c r="E336" s="6">
        <f t="shared" si="10"/>
        <v>0</v>
      </c>
      <c r="F336" s="6">
        <f t="shared" si="10"/>
        <v>0</v>
      </c>
      <c r="G336" s="94">
        <f>'TB-Jan'!G336+'TB-Feb'!G336+'TB-Mar'!G336+'TB-Apr'!G336+'TB-May'!G336+'TB-Jun'!G336+'TB-Jul'!G336+'TB-Aug'!G336+'TB-Sep'!G336+'TB-Oct'!G336+'TB-Nov'!G336+'TB-Dec'!G336</f>
        <v>0</v>
      </c>
      <c r="H336" s="94">
        <f>'TB-Jan'!H336+'TB-Feb'!H336+'TB-Mar'!H336+'TB-Apr'!H336+'TB-May'!H336+'TB-Jun'!H336+'TB-Jul'!H336+'TB-Aug'!H336+'TB-Sep'!H336+'TB-Oct'!H336+'TB-Nov'!H336+'TB-Dec'!H336</f>
        <v>0</v>
      </c>
      <c r="I336" s="95">
        <f>'TB-Jan'!I336+'TB-Feb'!I336+'TB-Mar'!I336+'TB-Apr'!I336+'TB-May'!I336+'TB-Jun'!I336+'TB-Jul'!I336+'TB-Aug'!I336+'TB-Sep'!I336+'TB-Oct'!I336+'TB-Nov'!I336+'TB-Dec'!I336</f>
        <v>0</v>
      </c>
      <c r="J336" s="95">
        <f>'TB-Jan'!J336+'TB-Feb'!J336+'TB-Mar'!J336+'TB-Apr'!J336+'TB-May'!J336+'TB-Jun'!J336+'TB-Jul'!J336+'TB-Aug'!J336+'TB-Sep'!J336+'TB-Oct'!J336+'TB-Nov'!J336+'TB-Dec'!J336</f>
        <v>0</v>
      </c>
      <c r="K336" s="96">
        <f>'TB-Jan'!K336+'TB-Feb'!K336+'TB-Mar'!K336+'TB-Apr'!K336+'TB-May'!K336+'TB-Jun'!K336+'TB-Jul'!K336+'TB-Aug'!K336+'TB-Sep'!K336+'TB-Oct'!K336+'TB-Nov'!K336+'TB-Dec'!K336</f>
        <v>0</v>
      </c>
      <c r="L336" s="96">
        <f>'TB-Jan'!L336+'TB-Feb'!L336+'TB-Mar'!L336+'TB-Apr'!L336+'TB-May'!L336+'TB-Jun'!L336+'TB-Jul'!L336+'TB-Aug'!L336+'TB-Sep'!L336+'TB-Oct'!L336+'TB-Nov'!L336+'TB-Dec'!L336</f>
        <v>0</v>
      </c>
      <c r="M336" s="97">
        <f>'TB-Jan'!M336+'TB-Feb'!M336+'TB-Mar'!M336+'TB-Apr'!M336+'TB-May'!M336+'TB-Jun'!M336+'TB-Jul'!M336+'TB-Aug'!M336+'TB-Sep'!M336+'TB-Oct'!M336+'TB-Nov'!M336+'TB-Dec'!M336</f>
        <v>0</v>
      </c>
      <c r="N336" s="97">
        <f>'TB-Jan'!N336+'TB-Feb'!N336+'TB-Mar'!N336+'TB-Apr'!N336+'TB-May'!N336+'TB-Jun'!N336+'TB-Jul'!N336+'TB-Aug'!N336+'TB-Sep'!N336+'TB-Oct'!N336+'TB-Nov'!N336+'TB-Dec'!N336</f>
        <v>0</v>
      </c>
    </row>
    <row r="337" spans="1:14" hidden="1">
      <c r="A337" s="3" t="s">
        <v>632</v>
      </c>
      <c r="B337" s="4" t="s">
        <v>633</v>
      </c>
      <c r="C337" s="5">
        <f t="shared" si="9"/>
        <v>0</v>
      </c>
      <c r="D337" s="5"/>
      <c r="E337" s="6">
        <f t="shared" si="10"/>
        <v>0</v>
      </c>
      <c r="F337" s="6">
        <f t="shared" si="10"/>
        <v>0</v>
      </c>
      <c r="G337" s="94">
        <f>'TB-Jan'!G337+'TB-Feb'!G337+'TB-Mar'!G337+'TB-Apr'!G337+'TB-May'!G337+'TB-Jun'!G337+'TB-Jul'!G337+'TB-Aug'!G337+'TB-Sep'!G337+'TB-Oct'!G337+'TB-Nov'!G337+'TB-Dec'!G337</f>
        <v>0</v>
      </c>
      <c r="H337" s="94">
        <f>'TB-Jan'!H337+'TB-Feb'!H337+'TB-Mar'!H337+'TB-Apr'!H337+'TB-May'!H337+'TB-Jun'!H337+'TB-Jul'!H337+'TB-Aug'!H337+'TB-Sep'!H337+'TB-Oct'!H337+'TB-Nov'!H337+'TB-Dec'!H337</f>
        <v>0</v>
      </c>
      <c r="I337" s="95">
        <f>'TB-Jan'!I337+'TB-Feb'!I337+'TB-Mar'!I337+'TB-Apr'!I337+'TB-May'!I337+'TB-Jun'!I337+'TB-Jul'!I337+'TB-Aug'!I337+'TB-Sep'!I337+'TB-Oct'!I337+'TB-Nov'!I337+'TB-Dec'!I337</f>
        <v>0</v>
      </c>
      <c r="J337" s="95">
        <f>'TB-Jan'!J337+'TB-Feb'!J337+'TB-Mar'!J337+'TB-Apr'!J337+'TB-May'!J337+'TB-Jun'!J337+'TB-Jul'!J337+'TB-Aug'!J337+'TB-Sep'!J337+'TB-Oct'!J337+'TB-Nov'!J337+'TB-Dec'!J337</f>
        <v>0</v>
      </c>
      <c r="K337" s="96">
        <f>'TB-Jan'!K337+'TB-Feb'!K337+'TB-Mar'!K337+'TB-Apr'!K337+'TB-May'!K337+'TB-Jun'!K337+'TB-Jul'!K337+'TB-Aug'!K337+'TB-Sep'!K337+'TB-Oct'!K337+'TB-Nov'!K337+'TB-Dec'!K337</f>
        <v>0</v>
      </c>
      <c r="L337" s="96">
        <f>'TB-Jan'!L337+'TB-Feb'!L337+'TB-Mar'!L337+'TB-Apr'!L337+'TB-May'!L337+'TB-Jun'!L337+'TB-Jul'!L337+'TB-Aug'!L337+'TB-Sep'!L337+'TB-Oct'!L337+'TB-Nov'!L337+'TB-Dec'!L337</f>
        <v>0</v>
      </c>
      <c r="M337" s="97">
        <f>'TB-Jan'!M337+'TB-Feb'!M337+'TB-Mar'!M337+'TB-Apr'!M337+'TB-May'!M337+'TB-Jun'!M337+'TB-Jul'!M337+'TB-Aug'!M337+'TB-Sep'!M337+'TB-Oct'!M337+'TB-Nov'!M337+'TB-Dec'!M337</f>
        <v>0</v>
      </c>
      <c r="N337" s="97">
        <f>'TB-Jan'!N337+'TB-Feb'!N337+'TB-Mar'!N337+'TB-Apr'!N337+'TB-May'!N337+'TB-Jun'!N337+'TB-Jul'!N337+'TB-Aug'!N337+'TB-Sep'!N337+'TB-Oct'!N337+'TB-Nov'!N337+'TB-Dec'!N337</f>
        <v>0</v>
      </c>
    </row>
    <row r="338" spans="1:14" hidden="1">
      <c r="A338" s="3" t="s">
        <v>634</v>
      </c>
      <c r="B338" s="4" t="s">
        <v>635</v>
      </c>
      <c r="C338" s="5">
        <f t="shared" si="9"/>
        <v>0</v>
      </c>
      <c r="D338" s="5"/>
      <c r="E338" s="6">
        <f t="shared" si="10"/>
        <v>0</v>
      </c>
      <c r="F338" s="6">
        <f t="shared" si="10"/>
        <v>0</v>
      </c>
      <c r="G338" s="94">
        <f>'TB-Jan'!G338+'TB-Feb'!G338+'TB-Mar'!G338+'TB-Apr'!G338+'TB-May'!G338+'TB-Jun'!G338+'TB-Jul'!G338+'TB-Aug'!G338+'TB-Sep'!G338+'TB-Oct'!G338+'TB-Nov'!G338+'TB-Dec'!G338</f>
        <v>0</v>
      </c>
      <c r="H338" s="94">
        <f>'TB-Jan'!H338+'TB-Feb'!H338+'TB-Mar'!H338+'TB-Apr'!H338+'TB-May'!H338+'TB-Jun'!H338+'TB-Jul'!H338+'TB-Aug'!H338+'TB-Sep'!H338+'TB-Oct'!H338+'TB-Nov'!H338+'TB-Dec'!H338</f>
        <v>0</v>
      </c>
      <c r="I338" s="95">
        <f>'TB-Jan'!I338+'TB-Feb'!I338+'TB-Mar'!I338+'TB-Apr'!I338+'TB-May'!I338+'TB-Jun'!I338+'TB-Jul'!I338+'TB-Aug'!I338+'TB-Sep'!I338+'TB-Oct'!I338+'TB-Nov'!I338+'TB-Dec'!I338</f>
        <v>0</v>
      </c>
      <c r="J338" s="95">
        <f>'TB-Jan'!J338+'TB-Feb'!J338+'TB-Mar'!J338+'TB-Apr'!J338+'TB-May'!J338+'TB-Jun'!J338+'TB-Jul'!J338+'TB-Aug'!J338+'TB-Sep'!J338+'TB-Oct'!J338+'TB-Nov'!J338+'TB-Dec'!J338</f>
        <v>0</v>
      </c>
      <c r="K338" s="96">
        <f>'TB-Jan'!K338+'TB-Feb'!K338+'TB-Mar'!K338+'TB-Apr'!K338+'TB-May'!K338+'TB-Jun'!K338+'TB-Jul'!K338+'TB-Aug'!K338+'TB-Sep'!K338+'TB-Oct'!K338+'TB-Nov'!K338+'TB-Dec'!K338</f>
        <v>0</v>
      </c>
      <c r="L338" s="96">
        <f>'TB-Jan'!L338+'TB-Feb'!L338+'TB-Mar'!L338+'TB-Apr'!L338+'TB-May'!L338+'TB-Jun'!L338+'TB-Jul'!L338+'TB-Aug'!L338+'TB-Sep'!L338+'TB-Oct'!L338+'TB-Nov'!L338+'TB-Dec'!L338</f>
        <v>0</v>
      </c>
      <c r="M338" s="97">
        <f>'TB-Jan'!M338+'TB-Feb'!M338+'TB-Mar'!M338+'TB-Apr'!M338+'TB-May'!M338+'TB-Jun'!M338+'TB-Jul'!M338+'TB-Aug'!M338+'TB-Sep'!M338+'TB-Oct'!M338+'TB-Nov'!M338+'TB-Dec'!M338</f>
        <v>0</v>
      </c>
      <c r="N338" s="97">
        <f>'TB-Jan'!N338+'TB-Feb'!N338+'TB-Mar'!N338+'TB-Apr'!N338+'TB-May'!N338+'TB-Jun'!N338+'TB-Jul'!N338+'TB-Aug'!N338+'TB-Sep'!N338+'TB-Oct'!N338+'TB-Nov'!N338+'TB-Dec'!N338</f>
        <v>0</v>
      </c>
    </row>
    <row r="339" spans="1:14" hidden="1">
      <c r="A339" s="3" t="s">
        <v>636</v>
      </c>
      <c r="B339" s="4" t="s">
        <v>637</v>
      </c>
      <c r="C339" s="5">
        <f t="shared" si="9"/>
        <v>0</v>
      </c>
      <c r="D339" s="5"/>
      <c r="E339" s="6">
        <f t="shared" si="10"/>
        <v>0</v>
      </c>
      <c r="F339" s="6">
        <f t="shared" si="10"/>
        <v>0</v>
      </c>
      <c r="G339" s="94">
        <f>'TB-Jan'!G339+'TB-Feb'!G339+'TB-Mar'!G339+'TB-Apr'!G339+'TB-May'!G339+'TB-Jun'!G339+'TB-Jul'!G339+'TB-Aug'!G339+'TB-Sep'!G339+'TB-Oct'!G339+'TB-Nov'!G339+'TB-Dec'!G339</f>
        <v>0</v>
      </c>
      <c r="H339" s="94">
        <f>'TB-Jan'!H339+'TB-Feb'!H339+'TB-Mar'!H339+'TB-Apr'!H339+'TB-May'!H339+'TB-Jun'!H339+'TB-Jul'!H339+'TB-Aug'!H339+'TB-Sep'!H339+'TB-Oct'!H339+'TB-Nov'!H339+'TB-Dec'!H339</f>
        <v>0</v>
      </c>
      <c r="I339" s="95">
        <f>'TB-Jan'!I339+'TB-Feb'!I339+'TB-Mar'!I339+'TB-Apr'!I339+'TB-May'!I339+'TB-Jun'!I339+'TB-Jul'!I339+'TB-Aug'!I339+'TB-Sep'!I339+'TB-Oct'!I339+'TB-Nov'!I339+'TB-Dec'!I339</f>
        <v>0</v>
      </c>
      <c r="J339" s="95">
        <f>'TB-Jan'!J339+'TB-Feb'!J339+'TB-Mar'!J339+'TB-Apr'!J339+'TB-May'!J339+'TB-Jun'!J339+'TB-Jul'!J339+'TB-Aug'!J339+'TB-Sep'!J339+'TB-Oct'!J339+'TB-Nov'!J339+'TB-Dec'!J339</f>
        <v>0</v>
      </c>
      <c r="K339" s="96">
        <f>'TB-Jan'!K339+'TB-Feb'!K339+'TB-Mar'!K339+'TB-Apr'!K339+'TB-May'!K339+'TB-Jun'!K339+'TB-Jul'!K339+'TB-Aug'!K339+'TB-Sep'!K339+'TB-Oct'!K339+'TB-Nov'!K339+'TB-Dec'!K339</f>
        <v>0</v>
      </c>
      <c r="L339" s="96">
        <f>'TB-Jan'!L339+'TB-Feb'!L339+'TB-Mar'!L339+'TB-Apr'!L339+'TB-May'!L339+'TB-Jun'!L339+'TB-Jul'!L339+'TB-Aug'!L339+'TB-Sep'!L339+'TB-Oct'!L339+'TB-Nov'!L339+'TB-Dec'!L339</f>
        <v>0</v>
      </c>
      <c r="M339" s="97">
        <f>'TB-Jan'!M339+'TB-Feb'!M339+'TB-Mar'!M339+'TB-Apr'!M339+'TB-May'!M339+'TB-Jun'!M339+'TB-Jul'!M339+'TB-Aug'!M339+'TB-Sep'!M339+'TB-Oct'!M339+'TB-Nov'!M339+'TB-Dec'!M339</f>
        <v>0</v>
      </c>
      <c r="N339" s="97">
        <f>'TB-Jan'!N339+'TB-Feb'!N339+'TB-Mar'!N339+'TB-Apr'!N339+'TB-May'!N339+'TB-Jun'!N339+'TB-Jul'!N339+'TB-Aug'!N339+'TB-Sep'!N339+'TB-Oct'!N339+'TB-Nov'!N339+'TB-Dec'!N339</f>
        <v>0</v>
      </c>
    </row>
    <row r="340" spans="1:14" hidden="1">
      <c r="A340" s="3" t="s">
        <v>638</v>
      </c>
      <c r="B340" s="4" t="s">
        <v>639</v>
      </c>
      <c r="C340" s="5">
        <f t="shared" si="9"/>
        <v>0</v>
      </c>
      <c r="D340" s="5"/>
      <c r="E340" s="6">
        <f t="shared" si="10"/>
        <v>0</v>
      </c>
      <c r="F340" s="6">
        <f t="shared" si="10"/>
        <v>0</v>
      </c>
      <c r="G340" s="94">
        <f>'TB-Jan'!G340+'TB-Feb'!G340+'TB-Mar'!G340+'TB-Apr'!G340+'TB-May'!G340+'TB-Jun'!G340+'TB-Jul'!G340+'TB-Aug'!G340+'TB-Sep'!G340+'TB-Oct'!G340+'TB-Nov'!G340+'TB-Dec'!G340</f>
        <v>0</v>
      </c>
      <c r="H340" s="94">
        <f>'TB-Jan'!H340+'TB-Feb'!H340+'TB-Mar'!H340+'TB-Apr'!H340+'TB-May'!H340+'TB-Jun'!H340+'TB-Jul'!H340+'TB-Aug'!H340+'TB-Sep'!H340+'TB-Oct'!H340+'TB-Nov'!H340+'TB-Dec'!H340</f>
        <v>0</v>
      </c>
      <c r="I340" s="95">
        <f>'TB-Jan'!I340+'TB-Feb'!I340+'TB-Mar'!I340+'TB-Apr'!I340+'TB-May'!I340+'TB-Jun'!I340+'TB-Jul'!I340+'TB-Aug'!I340+'TB-Sep'!I340+'TB-Oct'!I340+'TB-Nov'!I340+'TB-Dec'!I340</f>
        <v>0</v>
      </c>
      <c r="J340" s="95">
        <f>'TB-Jan'!J340+'TB-Feb'!J340+'TB-Mar'!J340+'TB-Apr'!J340+'TB-May'!J340+'TB-Jun'!J340+'TB-Jul'!J340+'TB-Aug'!J340+'TB-Sep'!J340+'TB-Oct'!J340+'TB-Nov'!J340+'TB-Dec'!J340</f>
        <v>0</v>
      </c>
      <c r="K340" s="96">
        <f>'TB-Jan'!K340+'TB-Feb'!K340+'TB-Mar'!K340+'TB-Apr'!K340+'TB-May'!K340+'TB-Jun'!K340+'TB-Jul'!K340+'TB-Aug'!K340+'TB-Sep'!K340+'TB-Oct'!K340+'TB-Nov'!K340+'TB-Dec'!K340</f>
        <v>0</v>
      </c>
      <c r="L340" s="96">
        <f>'TB-Jan'!L340+'TB-Feb'!L340+'TB-Mar'!L340+'TB-Apr'!L340+'TB-May'!L340+'TB-Jun'!L340+'TB-Jul'!L340+'TB-Aug'!L340+'TB-Sep'!L340+'TB-Oct'!L340+'TB-Nov'!L340+'TB-Dec'!L340</f>
        <v>0</v>
      </c>
      <c r="M340" s="97">
        <f>'TB-Jan'!M340+'TB-Feb'!M340+'TB-Mar'!M340+'TB-Apr'!M340+'TB-May'!M340+'TB-Jun'!M340+'TB-Jul'!M340+'TB-Aug'!M340+'TB-Sep'!M340+'TB-Oct'!M340+'TB-Nov'!M340+'TB-Dec'!M340</f>
        <v>0</v>
      </c>
      <c r="N340" s="97">
        <f>'TB-Jan'!N340+'TB-Feb'!N340+'TB-Mar'!N340+'TB-Apr'!N340+'TB-May'!N340+'TB-Jun'!N340+'TB-Jul'!N340+'TB-Aug'!N340+'TB-Sep'!N340+'TB-Oct'!N340+'TB-Nov'!N340+'TB-Dec'!N340</f>
        <v>0</v>
      </c>
    </row>
    <row r="341" spans="1:14" hidden="1">
      <c r="A341" s="3" t="s">
        <v>640</v>
      </c>
      <c r="B341" s="4" t="s">
        <v>641</v>
      </c>
      <c r="C341" s="5">
        <f t="shared" si="9"/>
        <v>0</v>
      </c>
      <c r="D341" s="5"/>
      <c r="E341" s="6">
        <f t="shared" si="10"/>
        <v>0</v>
      </c>
      <c r="F341" s="6">
        <f t="shared" si="10"/>
        <v>0</v>
      </c>
      <c r="G341" s="94">
        <f>'TB-Jan'!G341+'TB-Feb'!G341+'TB-Mar'!G341+'TB-Apr'!G341+'TB-May'!G341+'TB-Jun'!G341+'TB-Jul'!G341+'TB-Aug'!G341+'TB-Sep'!G341+'TB-Oct'!G341+'TB-Nov'!G341+'TB-Dec'!G341</f>
        <v>0</v>
      </c>
      <c r="H341" s="94">
        <f>'TB-Jan'!H341+'TB-Feb'!H341+'TB-Mar'!H341+'TB-Apr'!H341+'TB-May'!H341+'TB-Jun'!H341+'TB-Jul'!H341+'TB-Aug'!H341+'TB-Sep'!H341+'TB-Oct'!H341+'TB-Nov'!H341+'TB-Dec'!H341</f>
        <v>0</v>
      </c>
      <c r="I341" s="95">
        <f>'TB-Jan'!I341+'TB-Feb'!I341+'TB-Mar'!I341+'TB-Apr'!I341+'TB-May'!I341+'TB-Jun'!I341+'TB-Jul'!I341+'TB-Aug'!I341+'TB-Sep'!I341+'TB-Oct'!I341+'TB-Nov'!I341+'TB-Dec'!I341</f>
        <v>0</v>
      </c>
      <c r="J341" s="95">
        <f>'TB-Jan'!J341+'TB-Feb'!J341+'TB-Mar'!J341+'TB-Apr'!J341+'TB-May'!J341+'TB-Jun'!J341+'TB-Jul'!J341+'TB-Aug'!J341+'TB-Sep'!J341+'TB-Oct'!J341+'TB-Nov'!J341+'TB-Dec'!J341</f>
        <v>0</v>
      </c>
      <c r="K341" s="96">
        <f>'TB-Jan'!K341+'TB-Feb'!K341+'TB-Mar'!K341+'TB-Apr'!K341+'TB-May'!K341+'TB-Jun'!K341+'TB-Jul'!K341+'TB-Aug'!K341+'TB-Sep'!K341+'TB-Oct'!K341+'TB-Nov'!K341+'TB-Dec'!K341</f>
        <v>0</v>
      </c>
      <c r="L341" s="96">
        <f>'TB-Jan'!L341+'TB-Feb'!L341+'TB-Mar'!L341+'TB-Apr'!L341+'TB-May'!L341+'TB-Jun'!L341+'TB-Jul'!L341+'TB-Aug'!L341+'TB-Sep'!L341+'TB-Oct'!L341+'TB-Nov'!L341+'TB-Dec'!L341</f>
        <v>0</v>
      </c>
      <c r="M341" s="97">
        <f>'TB-Jan'!M341+'TB-Feb'!M341+'TB-Mar'!M341+'TB-Apr'!M341+'TB-May'!M341+'TB-Jun'!M341+'TB-Jul'!M341+'TB-Aug'!M341+'TB-Sep'!M341+'TB-Oct'!M341+'TB-Nov'!M341+'TB-Dec'!M341</f>
        <v>0</v>
      </c>
      <c r="N341" s="97">
        <f>'TB-Jan'!N341+'TB-Feb'!N341+'TB-Mar'!N341+'TB-Apr'!N341+'TB-May'!N341+'TB-Jun'!N341+'TB-Jul'!N341+'TB-Aug'!N341+'TB-Sep'!N341+'TB-Oct'!N341+'TB-Nov'!N341+'TB-Dec'!N341</f>
        <v>0</v>
      </c>
    </row>
    <row r="342" spans="1:14" hidden="1">
      <c r="A342" s="3" t="s">
        <v>642</v>
      </c>
      <c r="B342" s="4" t="s">
        <v>643</v>
      </c>
      <c r="C342" s="5">
        <f t="shared" si="9"/>
        <v>0</v>
      </c>
      <c r="D342" s="5"/>
      <c r="E342" s="6">
        <f t="shared" si="10"/>
        <v>0</v>
      </c>
      <c r="F342" s="6">
        <f t="shared" si="10"/>
        <v>0</v>
      </c>
      <c r="G342" s="94">
        <f>'TB-Jan'!G342+'TB-Feb'!G342+'TB-Mar'!G342+'TB-Apr'!G342+'TB-May'!G342+'TB-Jun'!G342+'TB-Jul'!G342+'TB-Aug'!G342+'TB-Sep'!G342+'TB-Oct'!G342+'TB-Nov'!G342+'TB-Dec'!G342</f>
        <v>0</v>
      </c>
      <c r="H342" s="94">
        <f>'TB-Jan'!H342+'TB-Feb'!H342+'TB-Mar'!H342+'TB-Apr'!H342+'TB-May'!H342+'TB-Jun'!H342+'TB-Jul'!H342+'TB-Aug'!H342+'TB-Sep'!H342+'TB-Oct'!H342+'TB-Nov'!H342+'TB-Dec'!H342</f>
        <v>0</v>
      </c>
      <c r="I342" s="95">
        <f>'TB-Jan'!I342+'TB-Feb'!I342+'TB-Mar'!I342+'TB-Apr'!I342+'TB-May'!I342+'TB-Jun'!I342+'TB-Jul'!I342+'TB-Aug'!I342+'TB-Sep'!I342+'TB-Oct'!I342+'TB-Nov'!I342+'TB-Dec'!I342</f>
        <v>0</v>
      </c>
      <c r="J342" s="95">
        <f>'TB-Jan'!J342+'TB-Feb'!J342+'TB-Mar'!J342+'TB-Apr'!J342+'TB-May'!J342+'TB-Jun'!J342+'TB-Jul'!J342+'TB-Aug'!J342+'TB-Sep'!J342+'TB-Oct'!J342+'TB-Nov'!J342+'TB-Dec'!J342</f>
        <v>0</v>
      </c>
      <c r="K342" s="96">
        <f>'TB-Jan'!K342+'TB-Feb'!K342+'TB-Mar'!K342+'TB-Apr'!K342+'TB-May'!K342+'TB-Jun'!K342+'TB-Jul'!K342+'TB-Aug'!K342+'TB-Sep'!K342+'TB-Oct'!K342+'TB-Nov'!K342+'TB-Dec'!K342</f>
        <v>0</v>
      </c>
      <c r="L342" s="96">
        <f>'TB-Jan'!L342+'TB-Feb'!L342+'TB-Mar'!L342+'TB-Apr'!L342+'TB-May'!L342+'TB-Jun'!L342+'TB-Jul'!L342+'TB-Aug'!L342+'TB-Sep'!L342+'TB-Oct'!L342+'TB-Nov'!L342+'TB-Dec'!L342</f>
        <v>0</v>
      </c>
      <c r="M342" s="97">
        <f>'TB-Jan'!M342+'TB-Feb'!M342+'TB-Mar'!M342+'TB-Apr'!M342+'TB-May'!M342+'TB-Jun'!M342+'TB-Jul'!M342+'TB-Aug'!M342+'TB-Sep'!M342+'TB-Oct'!M342+'TB-Nov'!M342+'TB-Dec'!M342</f>
        <v>0</v>
      </c>
      <c r="N342" s="97">
        <f>'TB-Jan'!N342+'TB-Feb'!N342+'TB-Mar'!N342+'TB-Apr'!N342+'TB-May'!N342+'TB-Jun'!N342+'TB-Jul'!N342+'TB-Aug'!N342+'TB-Sep'!N342+'TB-Oct'!N342+'TB-Nov'!N342+'TB-Dec'!N342</f>
        <v>0</v>
      </c>
    </row>
    <row r="343" spans="1:14" hidden="1">
      <c r="A343" s="3" t="s">
        <v>644</v>
      </c>
      <c r="B343" s="4" t="s">
        <v>645</v>
      </c>
      <c r="C343" s="5">
        <f t="shared" si="9"/>
        <v>0</v>
      </c>
      <c r="D343" s="5"/>
      <c r="E343" s="6">
        <f t="shared" si="10"/>
        <v>0</v>
      </c>
      <c r="F343" s="6">
        <f t="shared" si="10"/>
        <v>0</v>
      </c>
      <c r="G343" s="94">
        <f>'TB-Jan'!G343+'TB-Feb'!G343+'TB-Mar'!G343+'TB-Apr'!G343+'TB-May'!G343+'TB-Jun'!G343+'TB-Jul'!G343+'TB-Aug'!G343+'TB-Sep'!G343+'TB-Oct'!G343+'TB-Nov'!G343+'TB-Dec'!G343</f>
        <v>0</v>
      </c>
      <c r="H343" s="94">
        <f>'TB-Jan'!H343+'TB-Feb'!H343+'TB-Mar'!H343+'TB-Apr'!H343+'TB-May'!H343+'TB-Jun'!H343+'TB-Jul'!H343+'TB-Aug'!H343+'TB-Sep'!H343+'TB-Oct'!H343+'TB-Nov'!H343+'TB-Dec'!H343</f>
        <v>0</v>
      </c>
      <c r="I343" s="95">
        <f>'TB-Jan'!I343+'TB-Feb'!I343+'TB-Mar'!I343+'TB-Apr'!I343+'TB-May'!I343+'TB-Jun'!I343+'TB-Jul'!I343+'TB-Aug'!I343+'TB-Sep'!I343+'TB-Oct'!I343+'TB-Nov'!I343+'TB-Dec'!I343</f>
        <v>0</v>
      </c>
      <c r="J343" s="95">
        <f>'TB-Jan'!J343+'TB-Feb'!J343+'TB-Mar'!J343+'TB-Apr'!J343+'TB-May'!J343+'TB-Jun'!J343+'TB-Jul'!J343+'TB-Aug'!J343+'TB-Sep'!J343+'TB-Oct'!J343+'TB-Nov'!J343+'TB-Dec'!J343</f>
        <v>0</v>
      </c>
      <c r="K343" s="96">
        <f>'TB-Jan'!K343+'TB-Feb'!K343+'TB-Mar'!K343+'TB-Apr'!K343+'TB-May'!K343+'TB-Jun'!K343+'TB-Jul'!K343+'TB-Aug'!K343+'TB-Sep'!K343+'TB-Oct'!K343+'TB-Nov'!K343+'TB-Dec'!K343</f>
        <v>0</v>
      </c>
      <c r="L343" s="96">
        <f>'TB-Jan'!L343+'TB-Feb'!L343+'TB-Mar'!L343+'TB-Apr'!L343+'TB-May'!L343+'TB-Jun'!L343+'TB-Jul'!L343+'TB-Aug'!L343+'TB-Sep'!L343+'TB-Oct'!L343+'TB-Nov'!L343+'TB-Dec'!L343</f>
        <v>0</v>
      </c>
      <c r="M343" s="97">
        <f>'TB-Jan'!M343+'TB-Feb'!M343+'TB-Mar'!M343+'TB-Apr'!M343+'TB-May'!M343+'TB-Jun'!M343+'TB-Jul'!M343+'TB-Aug'!M343+'TB-Sep'!M343+'TB-Oct'!M343+'TB-Nov'!M343+'TB-Dec'!M343</f>
        <v>0</v>
      </c>
      <c r="N343" s="97">
        <f>'TB-Jan'!N343+'TB-Feb'!N343+'TB-Mar'!N343+'TB-Apr'!N343+'TB-May'!N343+'TB-Jun'!N343+'TB-Jul'!N343+'TB-Aug'!N343+'TB-Sep'!N343+'TB-Oct'!N343+'TB-Nov'!N343+'TB-Dec'!N343</f>
        <v>0</v>
      </c>
    </row>
    <row r="344" spans="1:14" hidden="1">
      <c r="A344" s="3" t="s">
        <v>646</v>
      </c>
      <c r="B344" s="4" t="s">
        <v>647</v>
      </c>
      <c r="C344" s="5">
        <f t="shared" si="9"/>
        <v>0</v>
      </c>
      <c r="D344" s="5"/>
      <c r="E344" s="6">
        <f t="shared" si="10"/>
        <v>0</v>
      </c>
      <c r="F344" s="6">
        <f t="shared" si="10"/>
        <v>0</v>
      </c>
      <c r="G344" s="94">
        <f>'TB-Jan'!G344+'TB-Feb'!G344+'TB-Mar'!G344+'TB-Apr'!G344+'TB-May'!G344+'TB-Jun'!G344+'TB-Jul'!G344+'TB-Aug'!G344+'TB-Sep'!G344+'TB-Oct'!G344+'TB-Nov'!G344+'TB-Dec'!G344</f>
        <v>0</v>
      </c>
      <c r="H344" s="94">
        <f>'TB-Jan'!H344+'TB-Feb'!H344+'TB-Mar'!H344+'TB-Apr'!H344+'TB-May'!H344+'TB-Jun'!H344+'TB-Jul'!H344+'TB-Aug'!H344+'TB-Sep'!H344+'TB-Oct'!H344+'TB-Nov'!H344+'TB-Dec'!H344</f>
        <v>0</v>
      </c>
      <c r="I344" s="95">
        <f>'TB-Jan'!I344+'TB-Feb'!I344+'TB-Mar'!I344+'TB-Apr'!I344+'TB-May'!I344+'TB-Jun'!I344+'TB-Jul'!I344+'TB-Aug'!I344+'TB-Sep'!I344+'TB-Oct'!I344+'TB-Nov'!I344+'TB-Dec'!I344</f>
        <v>0</v>
      </c>
      <c r="J344" s="95">
        <f>'TB-Jan'!J344+'TB-Feb'!J344+'TB-Mar'!J344+'TB-Apr'!J344+'TB-May'!J344+'TB-Jun'!J344+'TB-Jul'!J344+'TB-Aug'!J344+'TB-Sep'!J344+'TB-Oct'!J344+'TB-Nov'!J344+'TB-Dec'!J344</f>
        <v>0</v>
      </c>
      <c r="K344" s="96">
        <f>'TB-Jan'!K344+'TB-Feb'!K344+'TB-Mar'!K344+'TB-Apr'!K344+'TB-May'!K344+'TB-Jun'!K344+'TB-Jul'!K344+'TB-Aug'!K344+'TB-Sep'!K344+'TB-Oct'!K344+'TB-Nov'!K344+'TB-Dec'!K344</f>
        <v>0</v>
      </c>
      <c r="L344" s="96">
        <f>'TB-Jan'!L344+'TB-Feb'!L344+'TB-Mar'!L344+'TB-Apr'!L344+'TB-May'!L344+'TB-Jun'!L344+'TB-Jul'!L344+'TB-Aug'!L344+'TB-Sep'!L344+'TB-Oct'!L344+'TB-Nov'!L344+'TB-Dec'!L344</f>
        <v>0</v>
      </c>
      <c r="M344" s="97">
        <f>'TB-Jan'!M344+'TB-Feb'!M344+'TB-Mar'!M344+'TB-Apr'!M344+'TB-May'!M344+'TB-Jun'!M344+'TB-Jul'!M344+'TB-Aug'!M344+'TB-Sep'!M344+'TB-Oct'!M344+'TB-Nov'!M344+'TB-Dec'!M344</f>
        <v>0</v>
      </c>
      <c r="N344" s="97">
        <f>'TB-Jan'!N344+'TB-Feb'!N344+'TB-Mar'!N344+'TB-Apr'!N344+'TB-May'!N344+'TB-Jun'!N344+'TB-Jul'!N344+'TB-Aug'!N344+'TB-Sep'!N344+'TB-Oct'!N344+'TB-Nov'!N344+'TB-Dec'!N344</f>
        <v>0</v>
      </c>
    </row>
    <row r="345" spans="1:14" hidden="1">
      <c r="A345" s="3" t="s">
        <v>648</v>
      </c>
      <c r="B345" s="4" t="s">
        <v>649</v>
      </c>
      <c r="C345" s="5">
        <f t="shared" ref="C345:C408" si="11">E345-F345</f>
        <v>0</v>
      </c>
      <c r="D345" s="5"/>
      <c r="E345" s="6">
        <f t="shared" si="10"/>
        <v>0</v>
      </c>
      <c r="F345" s="6">
        <f t="shared" si="10"/>
        <v>0</v>
      </c>
      <c r="G345" s="94">
        <f>'TB-Jan'!G345+'TB-Feb'!G345+'TB-Mar'!G345+'TB-Apr'!G345+'TB-May'!G345+'TB-Jun'!G345+'TB-Jul'!G345+'TB-Aug'!G345+'TB-Sep'!G345+'TB-Oct'!G345+'TB-Nov'!G345+'TB-Dec'!G345</f>
        <v>0</v>
      </c>
      <c r="H345" s="94">
        <f>'TB-Jan'!H345+'TB-Feb'!H345+'TB-Mar'!H345+'TB-Apr'!H345+'TB-May'!H345+'TB-Jun'!H345+'TB-Jul'!H345+'TB-Aug'!H345+'TB-Sep'!H345+'TB-Oct'!H345+'TB-Nov'!H345+'TB-Dec'!H345</f>
        <v>0</v>
      </c>
      <c r="I345" s="95">
        <f>'TB-Jan'!I345+'TB-Feb'!I345+'TB-Mar'!I345+'TB-Apr'!I345+'TB-May'!I345+'TB-Jun'!I345+'TB-Jul'!I345+'TB-Aug'!I345+'TB-Sep'!I345+'TB-Oct'!I345+'TB-Nov'!I345+'TB-Dec'!I345</f>
        <v>0</v>
      </c>
      <c r="J345" s="95">
        <f>'TB-Jan'!J345+'TB-Feb'!J345+'TB-Mar'!J345+'TB-Apr'!J345+'TB-May'!J345+'TB-Jun'!J345+'TB-Jul'!J345+'TB-Aug'!J345+'TB-Sep'!J345+'TB-Oct'!J345+'TB-Nov'!J345+'TB-Dec'!J345</f>
        <v>0</v>
      </c>
      <c r="K345" s="96">
        <f>'TB-Jan'!K345+'TB-Feb'!K345+'TB-Mar'!K345+'TB-Apr'!K345+'TB-May'!K345+'TB-Jun'!K345+'TB-Jul'!K345+'TB-Aug'!K345+'TB-Sep'!K345+'TB-Oct'!K345+'TB-Nov'!K345+'TB-Dec'!K345</f>
        <v>0</v>
      </c>
      <c r="L345" s="96">
        <f>'TB-Jan'!L345+'TB-Feb'!L345+'TB-Mar'!L345+'TB-Apr'!L345+'TB-May'!L345+'TB-Jun'!L345+'TB-Jul'!L345+'TB-Aug'!L345+'TB-Sep'!L345+'TB-Oct'!L345+'TB-Nov'!L345+'TB-Dec'!L345</f>
        <v>0</v>
      </c>
      <c r="M345" s="97">
        <f>'TB-Jan'!M345+'TB-Feb'!M345+'TB-Mar'!M345+'TB-Apr'!M345+'TB-May'!M345+'TB-Jun'!M345+'TB-Jul'!M345+'TB-Aug'!M345+'TB-Sep'!M345+'TB-Oct'!M345+'TB-Nov'!M345+'TB-Dec'!M345</f>
        <v>0</v>
      </c>
      <c r="N345" s="97">
        <f>'TB-Jan'!N345+'TB-Feb'!N345+'TB-Mar'!N345+'TB-Apr'!N345+'TB-May'!N345+'TB-Jun'!N345+'TB-Jul'!N345+'TB-Aug'!N345+'TB-Sep'!N345+'TB-Oct'!N345+'TB-Nov'!N345+'TB-Dec'!N345</f>
        <v>0</v>
      </c>
    </row>
    <row r="346" spans="1:14" hidden="1">
      <c r="A346" s="3" t="s">
        <v>650</v>
      </c>
      <c r="B346" s="4" t="s">
        <v>651</v>
      </c>
      <c r="C346" s="5">
        <f t="shared" si="11"/>
        <v>0</v>
      </c>
      <c r="D346" s="5"/>
      <c r="E346" s="6">
        <f t="shared" si="10"/>
        <v>0</v>
      </c>
      <c r="F346" s="6">
        <f t="shared" si="10"/>
        <v>0</v>
      </c>
      <c r="G346" s="94">
        <f>'TB-Jan'!G346+'TB-Feb'!G346+'TB-Mar'!G346+'TB-Apr'!G346+'TB-May'!G346+'TB-Jun'!G346+'TB-Jul'!G346+'TB-Aug'!G346+'TB-Sep'!G346+'TB-Oct'!G346+'TB-Nov'!G346+'TB-Dec'!G346</f>
        <v>0</v>
      </c>
      <c r="H346" s="94">
        <f>'TB-Jan'!H346+'TB-Feb'!H346+'TB-Mar'!H346+'TB-Apr'!H346+'TB-May'!H346+'TB-Jun'!H346+'TB-Jul'!H346+'TB-Aug'!H346+'TB-Sep'!H346+'TB-Oct'!H346+'TB-Nov'!H346+'TB-Dec'!H346</f>
        <v>0</v>
      </c>
      <c r="I346" s="95">
        <f>'TB-Jan'!I346+'TB-Feb'!I346+'TB-Mar'!I346+'TB-Apr'!I346+'TB-May'!I346+'TB-Jun'!I346+'TB-Jul'!I346+'TB-Aug'!I346+'TB-Sep'!I346+'TB-Oct'!I346+'TB-Nov'!I346+'TB-Dec'!I346</f>
        <v>0</v>
      </c>
      <c r="J346" s="95">
        <f>'TB-Jan'!J346+'TB-Feb'!J346+'TB-Mar'!J346+'TB-Apr'!J346+'TB-May'!J346+'TB-Jun'!J346+'TB-Jul'!J346+'TB-Aug'!J346+'TB-Sep'!J346+'TB-Oct'!J346+'TB-Nov'!J346+'TB-Dec'!J346</f>
        <v>0</v>
      </c>
      <c r="K346" s="96">
        <f>'TB-Jan'!K346+'TB-Feb'!K346+'TB-Mar'!K346+'TB-Apr'!K346+'TB-May'!K346+'TB-Jun'!K346+'TB-Jul'!K346+'TB-Aug'!K346+'TB-Sep'!K346+'TB-Oct'!K346+'TB-Nov'!K346+'TB-Dec'!K346</f>
        <v>0</v>
      </c>
      <c r="L346" s="96">
        <f>'TB-Jan'!L346+'TB-Feb'!L346+'TB-Mar'!L346+'TB-Apr'!L346+'TB-May'!L346+'TB-Jun'!L346+'TB-Jul'!L346+'TB-Aug'!L346+'TB-Sep'!L346+'TB-Oct'!L346+'TB-Nov'!L346+'TB-Dec'!L346</f>
        <v>0</v>
      </c>
      <c r="M346" s="97">
        <f>'TB-Jan'!M346+'TB-Feb'!M346+'TB-Mar'!M346+'TB-Apr'!M346+'TB-May'!M346+'TB-Jun'!M346+'TB-Jul'!M346+'TB-Aug'!M346+'TB-Sep'!M346+'TB-Oct'!M346+'TB-Nov'!M346+'TB-Dec'!M346</f>
        <v>0</v>
      </c>
      <c r="N346" s="97">
        <f>'TB-Jan'!N346+'TB-Feb'!N346+'TB-Mar'!N346+'TB-Apr'!N346+'TB-May'!N346+'TB-Jun'!N346+'TB-Jul'!N346+'TB-Aug'!N346+'TB-Sep'!N346+'TB-Oct'!N346+'TB-Nov'!N346+'TB-Dec'!N346</f>
        <v>0</v>
      </c>
    </row>
    <row r="347" spans="1:14" hidden="1">
      <c r="A347" s="3" t="s">
        <v>652</v>
      </c>
      <c r="B347" s="4" t="s">
        <v>653</v>
      </c>
      <c r="C347" s="5">
        <f t="shared" si="11"/>
        <v>0</v>
      </c>
      <c r="D347" s="5"/>
      <c r="E347" s="6">
        <f t="shared" si="10"/>
        <v>0</v>
      </c>
      <c r="F347" s="6">
        <f t="shared" si="10"/>
        <v>0</v>
      </c>
      <c r="G347" s="94">
        <f>'TB-Jan'!G347+'TB-Feb'!G347+'TB-Mar'!G347+'TB-Apr'!G347+'TB-May'!G347+'TB-Jun'!G347+'TB-Jul'!G347+'TB-Aug'!G347+'TB-Sep'!G347+'TB-Oct'!G347+'TB-Nov'!G347+'TB-Dec'!G347</f>
        <v>0</v>
      </c>
      <c r="H347" s="94">
        <f>'TB-Jan'!H347+'TB-Feb'!H347+'TB-Mar'!H347+'TB-Apr'!H347+'TB-May'!H347+'TB-Jun'!H347+'TB-Jul'!H347+'TB-Aug'!H347+'TB-Sep'!H347+'TB-Oct'!H347+'TB-Nov'!H347+'TB-Dec'!H347</f>
        <v>0</v>
      </c>
      <c r="I347" s="95">
        <f>'TB-Jan'!I347+'TB-Feb'!I347+'TB-Mar'!I347+'TB-Apr'!I347+'TB-May'!I347+'TB-Jun'!I347+'TB-Jul'!I347+'TB-Aug'!I347+'TB-Sep'!I347+'TB-Oct'!I347+'TB-Nov'!I347+'TB-Dec'!I347</f>
        <v>0</v>
      </c>
      <c r="J347" s="95">
        <f>'TB-Jan'!J347+'TB-Feb'!J347+'TB-Mar'!J347+'TB-Apr'!J347+'TB-May'!J347+'TB-Jun'!J347+'TB-Jul'!J347+'TB-Aug'!J347+'TB-Sep'!J347+'TB-Oct'!J347+'TB-Nov'!J347+'TB-Dec'!J347</f>
        <v>0</v>
      </c>
      <c r="K347" s="96">
        <f>'TB-Jan'!K347+'TB-Feb'!K347+'TB-Mar'!K347+'TB-Apr'!K347+'TB-May'!K347+'TB-Jun'!K347+'TB-Jul'!K347+'TB-Aug'!K347+'TB-Sep'!K347+'TB-Oct'!K347+'TB-Nov'!K347+'TB-Dec'!K347</f>
        <v>0</v>
      </c>
      <c r="L347" s="96">
        <f>'TB-Jan'!L347+'TB-Feb'!L347+'TB-Mar'!L347+'TB-Apr'!L347+'TB-May'!L347+'TB-Jun'!L347+'TB-Jul'!L347+'TB-Aug'!L347+'TB-Sep'!L347+'TB-Oct'!L347+'TB-Nov'!L347+'TB-Dec'!L347</f>
        <v>0</v>
      </c>
      <c r="M347" s="97">
        <f>'TB-Jan'!M347+'TB-Feb'!M347+'TB-Mar'!M347+'TB-Apr'!M347+'TB-May'!M347+'TB-Jun'!M347+'TB-Jul'!M347+'TB-Aug'!M347+'TB-Sep'!M347+'TB-Oct'!M347+'TB-Nov'!M347+'TB-Dec'!M347</f>
        <v>0</v>
      </c>
      <c r="N347" s="97">
        <f>'TB-Jan'!N347+'TB-Feb'!N347+'TB-Mar'!N347+'TB-Apr'!N347+'TB-May'!N347+'TB-Jun'!N347+'TB-Jul'!N347+'TB-Aug'!N347+'TB-Sep'!N347+'TB-Oct'!N347+'TB-Nov'!N347+'TB-Dec'!N347</f>
        <v>0</v>
      </c>
    </row>
    <row r="348" spans="1:14" hidden="1">
      <c r="A348" s="3" t="s">
        <v>654</v>
      </c>
      <c r="B348" s="4" t="s">
        <v>655</v>
      </c>
      <c r="C348" s="5">
        <f t="shared" si="11"/>
        <v>0</v>
      </c>
      <c r="D348" s="5"/>
      <c r="E348" s="6">
        <f t="shared" si="10"/>
        <v>0</v>
      </c>
      <c r="F348" s="6">
        <f t="shared" si="10"/>
        <v>0</v>
      </c>
      <c r="G348" s="94">
        <f>'TB-Jan'!G348+'TB-Feb'!G348+'TB-Mar'!G348+'TB-Apr'!G348+'TB-May'!G348+'TB-Jun'!G348+'TB-Jul'!G348+'TB-Aug'!G348+'TB-Sep'!G348+'TB-Oct'!G348+'TB-Nov'!G348+'TB-Dec'!G348</f>
        <v>0</v>
      </c>
      <c r="H348" s="94">
        <f>'TB-Jan'!H348+'TB-Feb'!H348+'TB-Mar'!H348+'TB-Apr'!H348+'TB-May'!H348+'TB-Jun'!H348+'TB-Jul'!H348+'TB-Aug'!H348+'TB-Sep'!H348+'TB-Oct'!H348+'TB-Nov'!H348+'TB-Dec'!H348</f>
        <v>0</v>
      </c>
      <c r="I348" s="95">
        <f>'TB-Jan'!I348+'TB-Feb'!I348+'TB-Mar'!I348+'TB-Apr'!I348+'TB-May'!I348+'TB-Jun'!I348+'TB-Jul'!I348+'TB-Aug'!I348+'TB-Sep'!I348+'TB-Oct'!I348+'TB-Nov'!I348+'TB-Dec'!I348</f>
        <v>0</v>
      </c>
      <c r="J348" s="95">
        <f>'TB-Jan'!J348+'TB-Feb'!J348+'TB-Mar'!J348+'TB-Apr'!J348+'TB-May'!J348+'TB-Jun'!J348+'TB-Jul'!J348+'TB-Aug'!J348+'TB-Sep'!J348+'TB-Oct'!J348+'TB-Nov'!J348+'TB-Dec'!J348</f>
        <v>0</v>
      </c>
      <c r="K348" s="96">
        <f>'TB-Jan'!K348+'TB-Feb'!K348+'TB-Mar'!K348+'TB-Apr'!K348+'TB-May'!K348+'TB-Jun'!K348+'TB-Jul'!K348+'TB-Aug'!K348+'TB-Sep'!K348+'TB-Oct'!K348+'TB-Nov'!K348+'TB-Dec'!K348</f>
        <v>0</v>
      </c>
      <c r="L348" s="96">
        <f>'TB-Jan'!L348+'TB-Feb'!L348+'TB-Mar'!L348+'TB-Apr'!L348+'TB-May'!L348+'TB-Jun'!L348+'TB-Jul'!L348+'TB-Aug'!L348+'TB-Sep'!L348+'TB-Oct'!L348+'TB-Nov'!L348+'TB-Dec'!L348</f>
        <v>0</v>
      </c>
      <c r="M348" s="97">
        <f>'TB-Jan'!M348+'TB-Feb'!M348+'TB-Mar'!M348+'TB-Apr'!M348+'TB-May'!M348+'TB-Jun'!M348+'TB-Jul'!M348+'TB-Aug'!M348+'TB-Sep'!M348+'TB-Oct'!M348+'TB-Nov'!M348+'TB-Dec'!M348</f>
        <v>0</v>
      </c>
      <c r="N348" s="97">
        <f>'TB-Jan'!N348+'TB-Feb'!N348+'TB-Mar'!N348+'TB-Apr'!N348+'TB-May'!N348+'TB-Jun'!N348+'TB-Jul'!N348+'TB-Aug'!N348+'TB-Sep'!N348+'TB-Oct'!N348+'TB-Nov'!N348+'TB-Dec'!N348</f>
        <v>0</v>
      </c>
    </row>
    <row r="349" spans="1:14" hidden="1">
      <c r="A349" s="3" t="s">
        <v>656</v>
      </c>
      <c r="B349" s="4" t="s">
        <v>657</v>
      </c>
      <c r="C349" s="5">
        <f t="shared" si="11"/>
        <v>0</v>
      </c>
      <c r="D349" s="5"/>
      <c r="E349" s="6">
        <f t="shared" si="10"/>
        <v>0</v>
      </c>
      <c r="F349" s="6">
        <f t="shared" si="10"/>
        <v>0</v>
      </c>
      <c r="G349" s="94">
        <f>'TB-Jan'!G349+'TB-Feb'!G349+'TB-Mar'!G349+'TB-Apr'!G349+'TB-May'!G349+'TB-Jun'!G349+'TB-Jul'!G349+'TB-Aug'!G349+'TB-Sep'!G349+'TB-Oct'!G349+'TB-Nov'!G349+'TB-Dec'!G349</f>
        <v>0</v>
      </c>
      <c r="H349" s="94">
        <f>'TB-Jan'!H349+'TB-Feb'!H349+'TB-Mar'!H349+'TB-Apr'!H349+'TB-May'!H349+'TB-Jun'!H349+'TB-Jul'!H349+'TB-Aug'!H349+'TB-Sep'!H349+'TB-Oct'!H349+'TB-Nov'!H349+'TB-Dec'!H349</f>
        <v>0</v>
      </c>
      <c r="I349" s="95">
        <f>'TB-Jan'!I349+'TB-Feb'!I349+'TB-Mar'!I349+'TB-Apr'!I349+'TB-May'!I349+'TB-Jun'!I349+'TB-Jul'!I349+'TB-Aug'!I349+'TB-Sep'!I349+'TB-Oct'!I349+'TB-Nov'!I349+'TB-Dec'!I349</f>
        <v>0</v>
      </c>
      <c r="J349" s="95">
        <f>'TB-Jan'!J349+'TB-Feb'!J349+'TB-Mar'!J349+'TB-Apr'!J349+'TB-May'!J349+'TB-Jun'!J349+'TB-Jul'!J349+'TB-Aug'!J349+'TB-Sep'!J349+'TB-Oct'!J349+'TB-Nov'!J349+'TB-Dec'!J349</f>
        <v>0</v>
      </c>
      <c r="K349" s="96">
        <f>'TB-Jan'!K349+'TB-Feb'!K349+'TB-Mar'!K349+'TB-Apr'!K349+'TB-May'!K349+'TB-Jun'!K349+'TB-Jul'!K349+'TB-Aug'!K349+'TB-Sep'!K349+'TB-Oct'!K349+'TB-Nov'!K349+'TB-Dec'!K349</f>
        <v>0</v>
      </c>
      <c r="L349" s="96">
        <f>'TB-Jan'!L349+'TB-Feb'!L349+'TB-Mar'!L349+'TB-Apr'!L349+'TB-May'!L349+'TB-Jun'!L349+'TB-Jul'!L349+'TB-Aug'!L349+'TB-Sep'!L349+'TB-Oct'!L349+'TB-Nov'!L349+'TB-Dec'!L349</f>
        <v>0</v>
      </c>
      <c r="M349" s="97">
        <f>'TB-Jan'!M349+'TB-Feb'!M349+'TB-Mar'!M349+'TB-Apr'!M349+'TB-May'!M349+'TB-Jun'!M349+'TB-Jul'!M349+'TB-Aug'!M349+'TB-Sep'!M349+'TB-Oct'!M349+'TB-Nov'!M349+'TB-Dec'!M349</f>
        <v>0</v>
      </c>
      <c r="N349" s="97">
        <f>'TB-Jan'!N349+'TB-Feb'!N349+'TB-Mar'!N349+'TB-Apr'!N349+'TB-May'!N349+'TB-Jun'!N349+'TB-Jul'!N349+'TB-Aug'!N349+'TB-Sep'!N349+'TB-Oct'!N349+'TB-Nov'!N349+'TB-Dec'!N349</f>
        <v>0</v>
      </c>
    </row>
    <row r="350" spans="1:14" hidden="1">
      <c r="A350" s="3" t="s">
        <v>658</v>
      </c>
      <c r="B350" s="4" t="s">
        <v>659</v>
      </c>
      <c r="C350" s="5">
        <f t="shared" si="11"/>
        <v>0</v>
      </c>
      <c r="D350" s="5"/>
      <c r="E350" s="6">
        <f t="shared" si="10"/>
        <v>0</v>
      </c>
      <c r="F350" s="6">
        <f t="shared" si="10"/>
        <v>0</v>
      </c>
      <c r="G350" s="94">
        <f>'TB-Jan'!G350+'TB-Feb'!G350+'TB-Mar'!G350+'TB-Apr'!G350+'TB-May'!G350+'TB-Jun'!G350+'TB-Jul'!G350+'TB-Aug'!G350+'TB-Sep'!G350+'TB-Oct'!G350+'TB-Nov'!G350+'TB-Dec'!G350</f>
        <v>0</v>
      </c>
      <c r="H350" s="94">
        <f>'TB-Jan'!H350+'TB-Feb'!H350+'TB-Mar'!H350+'TB-Apr'!H350+'TB-May'!H350+'TB-Jun'!H350+'TB-Jul'!H350+'TB-Aug'!H350+'TB-Sep'!H350+'TB-Oct'!H350+'TB-Nov'!H350+'TB-Dec'!H350</f>
        <v>0</v>
      </c>
      <c r="I350" s="95">
        <f>'TB-Jan'!I350+'TB-Feb'!I350+'TB-Mar'!I350+'TB-Apr'!I350+'TB-May'!I350+'TB-Jun'!I350+'TB-Jul'!I350+'TB-Aug'!I350+'TB-Sep'!I350+'TB-Oct'!I350+'TB-Nov'!I350+'TB-Dec'!I350</f>
        <v>0</v>
      </c>
      <c r="J350" s="95">
        <f>'TB-Jan'!J350+'TB-Feb'!J350+'TB-Mar'!J350+'TB-Apr'!J350+'TB-May'!J350+'TB-Jun'!J350+'TB-Jul'!J350+'TB-Aug'!J350+'TB-Sep'!J350+'TB-Oct'!J350+'TB-Nov'!J350+'TB-Dec'!J350</f>
        <v>0</v>
      </c>
      <c r="K350" s="96">
        <f>'TB-Jan'!K350+'TB-Feb'!K350+'TB-Mar'!K350+'TB-Apr'!K350+'TB-May'!K350+'TB-Jun'!K350+'TB-Jul'!K350+'TB-Aug'!K350+'TB-Sep'!K350+'TB-Oct'!K350+'TB-Nov'!K350+'TB-Dec'!K350</f>
        <v>0</v>
      </c>
      <c r="L350" s="96">
        <f>'TB-Jan'!L350+'TB-Feb'!L350+'TB-Mar'!L350+'TB-Apr'!L350+'TB-May'!L350+'TB-Jun'!L350+'TB-Jul'!L350+'TB-Aug'!L350+'TB-Sep'!L350+'TB-Oct'!L350+'TB-Nov'!L350+'TB-Dec'!L350</f>
        <v>0</v>
      </c>
      <c r="M350" s="97">
        <f>'TB-Jan'!M350+'TB-Feb'!M350+'TB-Mar'!M350+'TB-Apr'!M350+'TB-May'!M350+'TB-Jun'!M350+'TB-Jul'!M350+'TB-Aug'!M350+'TB-Sep'!M350+'TB-Oct'!M350+'TB-Nov'!M350+'TB-Dec'!M350</f>
        <v>0</v>
      </c>
      <c r="N350" s="97">
        <f>'TB-Jan'!N350+'TB-Feb'!N350+'TB-Mar'!N350+'TB-Apr'!N350+'TB-May'!N350+'TB-Jun'!N350+'TB-Jul'!N350+'TB-Aug'!N350+'TB-Sep'!N350+'TB-Oct'!N350+'TB-Nov'!N350+'TB-Dec'!N350</f>
        <v>0</v>
      </c>
    </row>
    <row r="351" spans="1:14" hidden="1">
      <c r="A351" s="3" t="s">
        <v>660</v>
      </c>
      <c r="B351" s="4" t="s">
        <v>661</v>
      </c>
      <c r="C351" s="5">
        <f t="shared" si="11"/>
        <v>0</v>
      </c>
      <c r="D351" s="5"/>
      <c r="E351" s="6">
        <f t="shared" si="10"/>
        <v>0</v>
      </c>
      <c r="F351" s="6">
        <f t="shared" si="10"/>
        <v>0</v>
      </c>
      <c r="G351" s="94">
        <f>'TB-Jan'!G351+'TB-Feb'!G351+'TB-Mar'!G351+'TB-Apr'!G351+'TB-May'!G351+'TB-Jun'!G351+'TB-Jul'!G351+'TB-Aug'!G351+'TB-Sep'!G351+'TB-Oct'!G351+'TB-Nov'!G351+'TB-Dec'!G351</f>
        <v>0</v>
      </c>
      <c r="H351" s="94">
        <f>'TB-Jan'!H351+'TB-Feb'!H351+'TB-Mar'!H351+'TB-Apr'!H351+'TB-May'!H351+'TB-Jun'!H351+'TB-Jul'!H351+'TB-Aug'!H351+'TB-Sep'!H351+'TB-Oct'!H351+'TB-Nov'!H351+'TB-Dec'!H351</f>
        <v>0</v>
      </c>
      <c r="I351" s="95">
        <f>'TB-Jan'!I351+'TB-Feb'!I351+'TB-Mar'!I351+'TB-Apr'!I351+'TB-May'!I351+'TB-Jun'!I351+'TB-Jul'!I351+'TB-Aug'!I351+'TB-Sep'!I351+'TB-Oct'!I351+'TB-Nov'!I351+'TB-Dec'!I351</f>
        <v>0</v>
      </c>
      <c r="J351" s="95">
        <f>'TB-Jan'!J351+'TB-Feb'!J351+'TB-Mar'!J351+'TB-Apr'!J351+'TB-May'!J351+'TB-Jun'!J351+'TB-Jul'!J351+'TB-Aug'!J351+'TB-Sep'!J351+'TB-Oct'!J351+'TB-Nov'!J351+'TB-Dec'!J351</f>
        <v>0</v>
      </c>
      <c r="K351" s="96">
        <f>'TB-Jan'!K351+'TB-Feb'!K351+'TB-Mar'!K351+'TB-Apr'!K351+'TB-May'!K351+'TB-Jun'!K351+'TB-Jul'!K351+'TB-Aug'!K351+'TB-Sep'!K351+'TB-Oct'!K351+'TB-Nov'!K351+'TB-Dec'!K351</f>
        <v>0</v>
      </c>
      <c r="L351" s="96">
        <f>'TB-Jan'!L351+'TB-Feb'!L351+'TB-Mar'!L351+'TB-Apr'!L351+'TB-May'!L351+'TB-Jun'!L351+'TB-Jul'!L351+'TB-Aug'!L351+'TB-Sep'!L351+'TB-Oct'!L351+'TB-Nov'!L351+'TB-Dec'!L351</f>
        <v>0</v>
      </c>
      <c r="M351" s="97">
        <f>'TB-Jan'!M351+'TB-Feb'!M351+'TB-Mar'!M351+'TB-Apr'!M351+'TB-May'!M351+'TB-Jun'!M351+'TB-Jul'!M351+'TB-Aug'!M351+'TB-Sep'!M351+'TB-Oct'!M351+'TB-Nov'!M351+'TB-Dec'!M351</f>
        <v>0</v>
      </c>
      <c r="N351" s="97">
        <f>'TB-Jan'!N351+'TB-Feb'!N351+'TB-Mar'!N351+'TB-Apr'!N351+'TB-May'!N351+'TB-Jun'!N351+'TB-Jul'!N351+'TB-Aug'!N351+'TB-Sep'!N351+'TB-Oct'!N351+'TB-Nov'!N351+'TB-Dec'!N351</f>
        <v>0</v>
      </c>
    </row>
    <row r="352" spans="1:14" hidden="1">
      <c r="A352" s="3" t="s">
        <v>662</v>
      </c>
      <c r="B352" s="4" t="s">
        <v>663</v>
      </c>
      <c r="C352" s="5">
        <f t="shared" si="11"/>
        <v>0</v>
      </c>
      <c r="D352" s="5"/>
      <c r="E352" s="6">
        <f t="shared" si="10"/>
        <v>0</v>
      </c>
      <c r="F352" s="6">
        <f t="shared" si="10"/>
        <v>0</v>
      </c>
      <c r="G352" s="94">
        <f>'TB-Jan'!G352+'TB-Feb'!G352+'TB-Mar'!G352+'TB-Apr'!G352+'TB-May'!G352+'TB-Jun'!G352+'TB-Jul'!G352+'TB-Aug'!G352+'TB-Sep'!G352+'TB-Oct'!G352+'TB-Nov'!G352+'TB-Dec'!G352</f>
        <v>0</v>
      </c>
      <c r="H352" s="94">
        <f>'TB-Jan'!H352+'TB-Feb'!H352+'TB-Mar'!H352+'TB-Apr'!H352+'TB-May'!H352+'TB-Jun'!H352+'TB-Jul'!H352+'TB-Aug'!H352+'TB-Sep'!H352+'TB-Oct'!H352+'TB-Nov'!H352+'TB-Dec'!H352</f>
        <v>0</v>
      </c>
      <c r="I352" s="95">
        <f>'TB-Jan'!I352+'TB-Feb'!I352+'TB-Mar'!I352+'TB-Apr'!I352+'TB-May'!I352+'TB-Jun'!I352+'TB-Jul'!I352+'TB-Aug'!I352+'TB-Sep'!I352+'TB-Oct'!I352+'TB-Nov'!I352+'TB-Dec'!I352</f>
        <v>0</v>
      </c>
      <c r="J352" s="95">
        <f>'TB-Jan'!J352+'TB-Feb'!J352+'TB-Mar'!J352+'TB-Apr'!J352+'TB-May'!J352+'TB-Jun'!J352+'TB-Jul'!J352+'TB-Aug'!J352+'TB-Sep'!J352+'TB-Oct'!J352+'TB-Nov'!J352+'TB-Dec'!J352</f>
        <v>0</v>
      </c>
      <c r="K352" s="96">
        <f>'TB-Jan'!K352+'TB-Feb'!K352+'TB-Mar'!K352+'TB-Apr'!K352+'TB-May'!K352+'TB-Jun'!K352+'TB-Jul'!K352+'TB-Aug'!K352+'TB-Sep'!K352+'TB-Oct'!K352+'TB-Nov'!K352+'TB-Dec'!K352</f>
        <v>0</v>
      </c>
      <c r="L352" s="96">
        <f>'TB-Jan'!L352+'TB-Feb'!L352+'TB-Mar'!L352+'TB-Apr'!L352+'TB-May'!L352+'TB-Jun'!L352+'TB-Jul'!L352+'TB-Aug'!L352+'TB-Sep'!L352+'TB-Oct'!L352+'TB-Nov'!L352+'TB-Dec'!L352</f>
        <v>0</v>
      </c>
      <c r="M352" s="97">
        <f>'TB-Jan'!M352+'TB-Feb'!M352+'TB-Mar'!M352+'TB-Apr'!M352+'TB-May'!M352+'TB-Jun'!M352+'TB-Jul'!M352+'TB-Aug'!M352+'TB-Sep'!M352+'TB-Oct'!M352+'TB-Nov'!M352+'TB-Dec'!M352</f>
        <v>0</v>
      </c>
      <c r="N352" s="97">
        <f>'TB-Jan'!N352+'TB-Feb'!N352+'TB-Mar'!N352+'TB-Apr'!N352+'TB-May'!N352+'TB-Jun'!N352+'TB-Jul'!N352+'TB-Aug'!N352+'TB-Sep'!N352+'TB-Oct'!N352+'TB-Nov'!N352+'TB-Dec'!N352</f>
        <v>0</v>
      </c>
    </row>
    <row r="353" spans="1:14" hidden="1">
      <c r="A353" s="3" t="s">
        <v>664</v>
      </c>
      <c r="B353" s="4" t="s">
        <v>665</v>
      </c>
      <c r="C353" s="5">
        <f t="shared" si="11"/>
        <v>0</v>
      </c>
      <c r="D353" s="5"/>
      <c r="E353" s="6">
        <f t="shared" si="10"/>
        <v>0</v>
      </c>
      <c r="F353" s="6">
        <f t="shared" si="10"/>
        <v>0</v>
      </c>
      <c r="G353" s="94">
        <f>'TB-Jan'!G353+'TB-Feb'!G353+'TB-Mar'!G353+'TB-Apr'!G353+'TB-May'!G353+'TB-Jun'!G353+'TB-Jul'!G353+'TB-Aug'!G353+'TB-Sep'!G353+'TB-Oct'!G353+'TB-Nov'!G353+'TB-Dec'!G353</f>
        <v>0</v>
      </c>
      <c r="H353" s="94">
        <f>'TB-Jan'!H353+'TB-Feb'!H353+'TB-Mar'!H353+'TB-Apr'!H353+'TB-May'!H353+'TB-Jun'!H353+'TB-Jul'!H353+'TB-Aug'!H353+'TB-Sep'!H353+'TB-Oct'!H353+'TB-Nov'!H353+'TB-Dec'!H353</f>
        <v>0</v>
      </c>
      <c r="I353" s="95">
        <f>'TB-Jan'!I353+'TB-Feb'!I353+'TB-Mar'!I353+'TB-Apr'!I353+'TB-May'!I353+'TB-Jun'!I353+'TB-Jul'!I353+'TB-Aug'!I353+'TB-Sep'!I353+'TB-Oct'!I353+'TB-Nov'!I353+'TB-Dec'!I353</f>
        <v>0</v>
      </c>
      <c r="J353" s="95">
        <f>'TB-Jan'!J353+'TB-Feb'!J353+'TB-Mar'!J353+'TB-Apr'!J353+'TB-May'!J353+'TB-Jun'!J353+'TB-Jul'!J353+'TB-Aug'!J353+'TB-Sep'!J353+'TB-Oct'!J353+'TB-Nov'!J353+'TB-Dec'!J353</f>
        <v>0</v>
      </c>
      <c r="K353" s="96">
        <f>'TB-Jan'!K353+'TB-Feb'!K353+'TB-Mar'!K353+'TB-Apr'!K353+'TB-May'!K353+'TB-Jun'!K353+'TB-Jul'!K353+'TB-Aug'!K353+'TB-Sep'!K353+'TB-Oct'!K353+'TB-Nov'!K353+'TB-Dec'!K353</f>
        <v>0</v>
      </c>
      <c r="L353" s="96">
        <f>'TB-Jan'!L353+'TB-Feb'!L353+'TB-Mar'!L353+'TB-Apr'!L353+'TB-May'!L353+'TB-Jun'!L353+'TB-Jul'!L353+'TB-Aug'!L353+'TB-Sep'!L353+'TB-Oct'!L353+'TB-Nov'!L353+'TB-Dec'!L353</f>
        <v>0</v>
      </c>
      <c r="M353" s="97">
        <f>'TB-Jan'!M353+'TB-Feb'!M353+'TB-Mar'!M353+'TB-Apr'!M353+'TB-May'!M353+'TB-Jun'!M353+'TB-Jul'!M353+'TB-Aug'!M353+'TB-Sep'!M353+'TB-Oct'!M353+'TB-Nov'!M353+'TB-Dec'!M353</f>
        <v>0</v>
      </c>
      <c r="N353" s="97">
        <f>'TB-Jan'!N353+'TB-Feb'!N353+'TB-Mar'!N353+'TB-Apr'!N353+'TB-May'!N353+'TB-Jun'!N353+'TB-Jul'!N353+'TB-Aug'!N353+'TB-Sep'!N353+'TB-Oct'!N353+'TB-Nov'!N353+'TB-Dec'!N353</f>
        <v>0</v>
      </c>
    </row>
    <row r="354" spans="1:14" hidden="1">
      <c r="A354" s="3" t="s">
        <v>666</v>
      </c>
      <c r="B354" s="4" t="s">
        <v>667</v>
      </c>
      <c r="C354" s="5">
        <f t="shared" si="11"/>
        <v>0</v>
      </c>
      <c r="D354" s="5"/>
      <c r="E354" s="6">
        <f t="shared" si="10"/>
        <v>0</v>
      </c>
      <c r="F354" s="6">
        <f t="shared" si="10"/>
        <v>0</v>
      </c>
      <c r="G354" s="94">
        <f>'TB-Jan'!G354+'TB-Feb'!G354+'TB-Mar'!G354+'TB-Apr'!G354+'TB-May'!G354+'TB-Jun'!G354+'TB-Jul'!G354+'TB-Aug'!G354+'TB-Sep'!G354+'TB-Oct'!G354+'TB-Nov'!G354+'TB-Dec'!G354</f>
        <v>0</v>
      </c>
      <c r="H354" s="94">
        <f>'TB-Jan'!H354+'TB-Feb'!H354+'TB-Mar'!H354+'TB-Apr'!H354+'TB-May'!H354+'TB-Jun'!H354+'TB-Jul'!H354+'TB-Aug'!H354+'TB-Sep'!H354+'TB-Oct'!H354+'TB-Nov'!H354+'TB-Dec'!H354</f>
        <v>0</v>
      </c>
      <c r="I354" s="95">
        <f>'TB-Jan'!I354+'TB-Feb'!I354+'TB-Mar'!I354+'TB-Apr'!I354+'TB-May'!I354+'TB-Jun'!I354+'TB-Jul'!I354+'TB-Aug'!I354+'TB-Sep'!I354+'TB-Oct'!I354+'TB-Nov'!I354+'TB-Dec'!I354</f>
        <v>0</v>
      </c>
      <c r="J354" s="95">
        <f>'TB-Jan'!J354+'TB-Feb'!J354+'TB-Mar'!J354+'TB-Apr'!J354+'TB-May'!J354+'TB-Jun'!J354+'TB-Jul'!J354+'TB-Aug'!J354+'TB-Sep'!J354+'TB-Oct'!J354+'TB-Nov'!J354+'TB-Dec'!J354</f>
        <v>0</v>
      </c>
      <c r="K354" s="96">
        <f>'TB-Jan'!K354+'TB-Feb'!K354+'TB-Mar'!K354+'TB-Apr'!K354+'TB-May'!K354+'TB-Jun'!K354+'TB-Jul'!K354+'TB-Aug'!K354+'TB-Sep'!K354+'TB-Oct'!K354+'TB-Nov'!K354+'TB-Dec'!K354</f>
        <v>0</v>
      </c>
      <c r="L354" s="96">
        <f>'TB-Jan'!L354+'TB-Feb'!L354+'TB-Mar'!L354+'TB-Apr'!L354+'TB-May'!L354+'TB-Jun'!L354+'TB-Jul'!L354+'TB-Aug'!L354+'TB-Sep'!L354+'TB-Oct'!L354+'TB-Nov'!L354+'TB-Dec'!L354</f>
        <v>0</v>
      </c>
      <c r="M354" s="97">
        <f>'TB-Jan'!M354+'TB-Feb'!M354+'TB-Mar'!M354+'TB-Apr'!M354+'TB-May'!M354+'TB-Jun'!M354+'TB-Jul'!M354+'TB-Aug'!M354+'TB-Sep'!M354+'TB-Oct'!M354+'TB-Nov'!M354+'TB-Dec'!M354</f>
        <v>0</v>
      </c>
      <c r="N354" s="97">
        <f>'TB-Jan'!N354+'TB-Feb'!N354+'TB-Mar'!N354+'TB-Apr'!N354+'TB-May'!N354+'TB-Jun'!N354+'TB-Jul'!N354+'TB-Aug'!N354+'TB-Sep'!N354+'TB-Oct'!N354+'TB-Nov'!N354+'TB-Dec'!N354</f>
        <v>0</v>
      </c>
    </row>
    <row r="355" spans="1:14" hidden="1">
      <c r="A355" s="3" t="s">
        <v>668</v>
      </c>
      <c r="B355" s="4" t="s">
        <v>669</v>
      </c>
      <c r="C355" s="5">
        <f t="shared" si="11"/>
        <v>0</v>
      </c>
      <c r="D355" s="5"/>
      <c r="E355" s="6">
        <f t="shared" si="10"/>
        <v>0</v>
      </c>
      <c r="F355" s="6">
        <f t="shared" si="10"/>
        <v>0</v>
      </c>
      <c r="G355" s="94">
        <f>'TB-Jan'!G355+'TB-Feb'!G355+'TB-Mar'!G355+'TB-Apr'!G355+'TB-May'!G355+'TB-Jun'!G355+'TB-Jul'!G355+'TB-Aug'!G355+'TB-Sep'!G355+'TB-Oct'!G355+'TB-Nov'!G355+'TB-Dec'!G355</f>
        <v>0</v>
      </c>
      <c r="H355" s="94">
        <f>'TB-Jan'!H355+'TB-Feb'!H355+'TB-Mar'!H355+'TB-Apr'!H355+'TB-May'!H355+'TB-Jun'!H355+'TB-Jul'!H355+'TB-Aug'!H355+'TB-Sep'!H355+'TB-Oct'!H355+'TB-Nov'!H355+'TB-Dec'!H355</f>
        <v>0</v>
      </c>
      <c r="I355" s="95">
        <f>'TB-Jan'!I355+'TB-Feb'!I355+'TB-Mar'!I355+'TB-Apr'!I355+'TB-May'!I355+'TB-Jun'!I355+'TB-Jul'!I355+'TB-Aug'!I355+'TB-Sep'!I355+'TB-Oct'!I355+'TB-Nov'!I355+'TB-Dec'!I355</f>
        <v>0</v>
      </c>
      <c r="J355" s="95">
        <f>'TB-Jan'!J355+'TB-Feb'!J355+'TB-Mar'!J355+'TB-Apr'!J355+'TB-May'!J355+'TB-Jun'!J355+'TB-Jul'!J355+'TB-Aug'!J355+'TB-Sep'!J355+'TB-Oct'!J355+'TB-Nov'!J355+'TB-Dec'!J355</f>
        <v>0</v>
      </c>
      <c r="K355" s="96">
        <f>'TB-Jan'!K355+'TB-Feb'!K355+'TB-Mar'!K355+'TB-Apr'!K355+'TB-May'!K355+'TB-Jun'!K355+'TB-Jul'!K355+'TB-Aug'!K355+'TB-Sep'!K355+'TB-Oct'!K355+'TB-Nov'!K355+'TB-Dec'!K355</f>
        <v>0</v>
      </c>
      <c r="L355" s="96">
        <f>'TB-Jan'!L355+'TB-Feb'!L355+'TB-Mar'!L355+'TB-Apr'!L355+'TB-May'!L355+'TB-Jun'!L355+'TB-Jul'!L355+'TB-Aug'!L355+'TB-Sep'!L355+'TB-Oct'!L355+'TB-Nov'!L355+'TB-Dec'!L355</f>
        <v>0</v>
      </c>
      <c r="M355" s="97">
        <f>'TB-Jan'!M355+'TB-Feb'!M355+'TB-Mar'!M355+'TB-Apr'!M355+'TB-May'!M355+'TB-Jun'!M355+'TB-Jul'!M355+'TB-Aug'!M355+'TB-Sep'!M355+'TB-Oct'!M355+'TB-Nov'!M355+'TB-Dec'!M355</f>
        <v>0</v>
      </c>
      <c r="N355" s="97">
        <f>'TB-Jan'!N355+'TB-Feb'!N355+'TB-Mar'!N355+'TB-Apr'!N355+'TB-May'!N355+'TB-Jun'!N355+'TB-Jul'!N355+'TB-Aug'!N355+'TB-Sep'!N355+'TB-Oct'!N355+'TB-Nov'!N355+'TB-Dec'!N355</f>
        <v>0</v>
      </c>
    </row>
    <row r="356" spans="1:14" hidden="1">
      <c r="A356" s="3" t="s">
        <v>670</v>
      </c>
      <c r="B356" s="4" t="s">
        <v>671</v>
      </c>
      <c r="C356" s="5">
        <f t="shared" si="11"/>
        <v>0</v>
      </c>
      <c r="D356" s="5"/>
      <c r="E356" s="6">
        <f t="shared" si="10"/>
        <v>0</v>
      </c>
      <c r="F356" s="6">
        <f t="shared" si="10"/>
        <v>0</v>
      </c>
      <c r="G356" s="94">
        <f>'TB-Jan'!G356+'TB-Feb'!G356+'TB-Mar'!G356+'TB-Apr'!G356+'TB-May'!G356+'TB-Jun'!G356+'TB-Jul'!G356+'TB-Aug'!G356+'TB-Sep'!G356+'TB-Oct'!G356+'TB-Nov'!G356+'TB-Dec'!G356</f>
        <v>0</v>
      </c>
      <c r="H356" s="94">
        <f>'TB-Jan'!H356+'TB-Feb'!H356+'TB-Mar'!H356+'TB-Apr'!H356+'TB-May'!H356+'TB-Jun'!H356+'TB-Jul'!H356+'TB-Aug'!H356+'TB-Sep'!H356+'TB-Oct'!H356+'TB-Nov'!H356+'TB-Dec'!H356</f>
        <v>0</v>
      </c>
      <c r="I356" s="95">
        <f>'TB-Jan'!I356+'TB-Feb'!I356+'TB-Mar'!I356+'TB-Apr'!I356+'TB-May'!I356+'TB-Jun'!I356+'TB-Jul'!I356+'TB-Aug'!I356+'TB-Sep'!I356+'TB-Oct'!I356+'TB-Nov'!I356+'TB-Dec'!I356</f>
        <v>0</v>
      </c>
      <c r="J356" s="95">
        <f>'TB-Jan'!J356+'TB-Feb'!J356+'TB-Mar'!J356+'TB-Apr'!J356+'TB-May'!J356+'TB-Jun'!J356+'TB-Jul'!J356+'TB-Aug'!J356+'TB-Sep'!J356+'TB-Oct'!J356+'TB-Nov'!J356+'TB-Dec'!J356</f>
        <v>0</v>
      </c>
      <c r="K356" s="96">
        <f>'TB-Jan'!K356+'TB-Feb'!K356+'TB-Mar'!K356+'TB-Apr'!K356+'TB-May'!K356+'TB-Jun'!K356+'TB-Jul'!K356+'TB-Aug'!K356+'TB-Sep'!K356+'TB-Oct'!K356+'TB-Nov'!K356+'TB-Dec'!K356</f>
        <v>0</v>
      </c>
      <c r="L356" s="96">
        <f>'TB-Jan'!L356+'TB-Feb'!L356+'TB-Mar'!L356+'TB-Apr'!L356+'TB-May'!L356+'TB-Jun'!L356+'TB-Jul'!L356+'TB-Aug'!L356+'TB-Sep'!L356+'TB-Oct'!L356+'TB-Nov'!L356+'TB-Dec'!L356</f>
        <v>0</v>
      </c>
      <c r="M356" s="97">
        <f>'TB-Jan'!M356+'TB-Feb'!M356+'TB-Mar'!M356+'TB-Apr'!M356+'TB-May'!M356+'TB-Jun'!M356+'TB-Jul'!M356+'TB-Aug'!M356+'TB-Sep'!M356+'TB-Oct'!M356+'TB-Nov'!M356+'TB-Dec'!M356</f>
        <v>0</v>
      </c>
      <c r="N356" s="97">
        <f>'TB-Jan'!N356+'TB-Feb'!N356+'TB-Mar'!N356+'TB-Apr'!N356+'TB-May'!N356+'TB-Jun'!N356+'TB-Jul'!N356+'TB-Aug'!N356+'TB-Sep'!N356+'TB-Oct'!N356+'TB-Nov'!N356+'TB-Dec'!N356</f>
        <v>0</v>
      </c>
    </row>
    <row r="357" spans="1:14" hidden="1">
      <c r="A357" s="3" t="s">
        <v>672</v>
      </c>
      <c r="B357" s="4" t="s">
        <v>673</v>
      </c>
      <c r="C357" s="5">
        <f t="shared" si="11"/>
        <v>0</v>
      </c>
      <c r="D357" s="5"/>
      <c r="E357" s="6">
        <f t="shared" si="10"/>
        <v>0</v>
      </c>
      <c r="F357" s="6">
        <f t="shared" si="10"/>
        <v>0</v>
      </c>
      <c r="G357" s="94">
        <f>'TB-Jan'!G357+'TB-Feb'!G357+'TB-Mar'!G357+'TB-Apr'!G357+'TB-May'!G357+'TB-Jun'!G357+'TB-Jul'!G357+'TB-Aug'!G357+'TB-Sep'!G357+'TB-Oct'!G357+'TB-Nov'!G357+'TB-Dec'!G357</f>
        <v>0</v>
      </c>
      <c r="H357" s="94">
        <f>'TB-Jan'!H357+'TB-Feb'!H357+'TB-Mar'!H357+'TB-Apr'!H357+'TB-May'!H357+'TB-Jun'!H357+'TB-Jul'!H357+'TB-Aug'!H357+'TB-Sep'!H357+'TB-Oct'!H357+'TB-Nov'!H357+'TB-Dec'!H357</f>
        <v>0</v>
      </c>
      <c r="I357" s="95">
        <f>'TB-Jan'!I357+'TB-Feb'!I357+'TB-Mar'!I357+'TB-Apr'!I357+'TB-May'!I357+'TB-Jun'!I357+'TB-Jul'!I357+'TB-Aug'!I357+'TB-Sep'!I357+'TB-Oct'!I357+'TB-Nov'!I357+'TB-Dec'!I357</f>
        <v>0</v>
      </c>
      <c r="J357" s="95">
        <f>'TB-Jan'!J357+'TB-Feb'!J357+'TB-Mar'!J357+'TB-Apr'!J357+'TB-May'!J357+'TB-Jun'!J357+'TB-Jul'!J357+'TB-Aug'!J357+'TB-Sep'!J357+'TB-Oct'!J357+'TB-Nov'!J357+'TB-Dec'!J357</f>
        <v>0</v>
      </c>
      <c r="K357" s="96">
        <f>'TB-Jan'!K357+'TB-Feb'!K357+'TB-Mar'!K357+'TB-Apr'!K357+'TB-May'!K357+'TB-Jun'!K357+'TB-Jul'!K357+'TB-Aug'!K357+'TB-Sep'!K357+'TB-Oct'!K357+'TB-Nov'!K357+'TB-Dec'!K357</f>
        <v>0</v>
      </c>
      <c r="L357" s="96">
        <f>'TB-Jan'!L357+'TB-Feb'!L357+'TB-Mar'!L357+'TB-Apr'!L357+'TB-May'!L357+'TB-Jun'!L357+'TB-Jul'!L357+'TB-Aug'!L357+'TB-Sep'!L357+'TB-Oct'!L357+'TB-Nov'!L357+'TB-Dec'!L357</f>
        <v>0</v>
      </c>
      <c r="M357" s="97">
        <f>'TB-Jan'!M357+'TB-Feb'!M357+'TB-Mar'!M357+'TB-Apr'!M357+'TB-May'!M357+'TB-Jun'!M357+'TB-Jul'!M357+'TB-Aug'!M357+'TB-Sep'!M357+'TB-Oct'!M357+'TB-Nov'!M357+'TB-Dec'!M357</f>
        <v>0</v>
      </c>
      <c r="N357" s="97">
        <f>'TB-Jan'!N357+'TB-Feb'!N357+'TB-Mar'!N357+'TB-Apr'!N357+'TB-May'!N357+'TB-Jun'!N357+'TB-Jul'!N357+'TB-Aug'!N357+'TB-Sep'!N357+'TB-Oct'!N357+'TB-Nov'!N357+'TB-Dec'!N357</f>
        <v>0</v>
      </c>
    </row>
    <row r="358" spans="1:14" hidden="1">
      <c r="A358" s="3" t="s">
        <v>674</v>
      </c>
      <c r="B358" s="4" t="s">
        <v>675</v>
      </c>
      <c r="C358" s="5">
        <f t="shared" si="11"/>
        <v>0</v>
      </c>
      <c r="D358" s="5"/>
      <c r="E358" s="6">
        <f t="shared" si="10"/>
        <v>0</v>
      </c>
      <c r="F358" s="6">
        <f t="shared" si="10"/>
        <v>0</v>
      </c>
      <c r="G358" s="94">
        <f>'TB-Jan'!G358+'TB-Feb'!G358+'TB-Mar'!G358+'TB-Apr'!G358+'TB-May'!G358+'TB-Jun'!G358+'TB-Jul'!G358+'TB-Aug'!G358+'TB-Sep'!G358+'TB-Oct'!G358+'TB-Nov'!G358+'TB-Dec'!G358</f>
        <v>0</v>
      </c>
      <c r="H358" s="94">
        <f>'TB-Jan'!H358+'TB-Feb'!H358+'TB-Mar'!H358+'TB-Apr'!H358+'TB-May'!H358+'TB-Jun'!H358+'TB-Jul'!H358+'TB-Aug'!H358+'TB-Sep'!H358+'TB-Oct'!H358+'TB-Nov'!H358+'TB-Dec'!H358</f>
        <v>0</v>
      </c>
      <c r="I358" s="95">
        <f>'TB-Jan'!I358+'TB-Feb'!I358+'TB-Mar'!I358+'TB-Apr'!I358+'TB-May'!I358+'TB-Jun'!I358+'TB-Jul'!I358+'TB-Aug'!I358+'TB-Sep'!I358+'TB-Oct'!I358+'TB-Nov'!I358+'TB-Dec'!I358</f>
        <v>0</v>
      </c>
      <c r="J358" s="95">
        <f>'TB-Jan'!J358+'TB-Feb'!J358+'TB-Mar'!J358+'TB-Apr'!J358+'TB-May'!J358+'TB-Jun'!J358+'TB-Jul'!J358+'TB-Aug'!J358+'TB-Sep'!J358+'TB-Oct'!J358+'TB-Nov'!J358+'TB-Dec'!J358</f>
        <v>0</v>
      </c>
      <c r="K358" s="96">
        <f>'TB-Jan'!K358+'TB-Feb'!K358+'TB-Mar'!K358+'TB-Apr'!K358+'TB-May'!K358+'TB-Jun'!K358+'TB-Jul'!K358+'TB-Aug'!K358+'TB-Sep'!K358+'TB-Oct'!K358+'TB-Nov'!K358+'TB-Dec'!K358</f>
        <v>0</v>
      </c>
      <c r="L358" s="96">
        <f>'TB-Jan'!L358+'TB-Feb'!L358+'TB-Mar'!L358+'TB-Apr'!L358+'TB-May'!L358+'TB-Jun'!L358+'TB-Jul'!L358+'TB-Aug'!L358+'TB-Sep'!L358+'TB-Oct'!L358+'TB-Nov'!L358+'TB-Dec'!L358</f>
        <v>0</v>
      </c>
      <c r="M358" s="97">
        <f>'TB-Jan'!M358+'TB-Feb'!M358+'TB-Mar'!M358+'TB-Apr'!M358+'TB-May'!M358+'TB-Jun'!M358+'TB-Jul'!M358+'TB-Aug'!M358+'TB-Sep'!M358+'TB-Oct'!M358+'TB-Nov'!M358+'TB-Dec'!M358</f>
        <v>0</v>
      </c>
      <c r="N358" s="97">
        <f>'TB-Jan'!N358+'TB-Feb'!N358+'TB-Mar'!N358+'TB-Apr'!N358+'TB-May'!N358+'TB-Jun'!N358+'TB-Jul'!N358+'TB-Aug'!N358+'TB-Sep'!N358+'TB-Oct'!N358+'TB-Nov'!N358+'TB-Dec'!N358</f>
        <v>0</v>
      </c>
    </row>
    <row r="359" spans="1:14" hidden="1">
      <c r="A359" s="3" t="s">
        <v>676</v>
      </c>
      <c r="B359" s="4" t="s">
        <v>677</v>
      </c>
      <c r="C359" s="5">
        <f t="shared" si="11"/>
        <v>0</v>
      </c>
      <c r="D359" s="5"/>
      <c r="E359" s="6">
        <f t="shared" si="10"/>
        <v>0</v>
      </c>
      <c r="F359" s="6">
        <f t="shared" si="10"/>
        <v>0</v>
      </c>
      <c r="G359" s="94">
        <f>'TB-Jan'!G359+'TB-Feb'!G359+'TB-Mar'!G359+'TB-Apr'!G359+'TB-May'!G359+'TB-Jun'!G359+'TB-Jul'!G359+'TB-Aug'!G359+'TB-Sep'!G359+'TB-Oct'!G359+'TB-Nov'!G359+'TB-Dec'!G359</f>
        <v>0</v>
      </c>
      <c r="H359" s="94">
        <f>'TB-Jan'!H359+'TB-Feb'!H359+'TB-Mar'!H359+'TB-Apr'!H359+'TB-May'!H359+'TB-Jun'!H359+'TB-Jul'!H359+'TB-Aug'!H359+'TB-Sep'!H359+'TB-Oct'!H359+'TB-Nov'!H359+'TB-Dec'!H359</f>
        <v>0</v>
      </c>
      <c r="I359" s="95">
        <f>'TB-Jan'!I359+'TB-Feb'!I359+'TB-Mar'!I359+'TB-Apr'!I359+'TB-May'!I359+'TB-Jun'!I359+'TB-Jul'!I359+'TB-Aug'!I359+'TB-Sep'!I359+'TB-Oct'!I359+'TB-Nov'!I359+'TB-Dec'!I359</f>
        <v>0</v>
      </c>
      <c r="J359" s="95">
        <f>'TB-Jan'!J359+'TB-Feb'!J359+'TB-Mar'!J359+'TB-Apr'!J359+'TB-May'!J359+'TB-Jun'!J359+'TB-Jul'!J359+'TB-Aug'!J359+'TB-Sep'!J359+'TB-Oct'!J359+'TB-Nov'!J359+'TB-Dec'!J359</f>
        <v>0</v>
      </c>
      <c r="K359" s="96">
        <f>'TB-Jan'!K359+'TB-Feb'!K359+'TB-Mar'!K359+'TB-Apr'!K359+'TB-May'!K359+'TB-Jun'!K359+'TB-Jul'!K359+'TB-Aug'!K359+'TB-Sep'!K359+'TB-Oct'!K359+'TB-Nov'!K359+'TB-Dec'!K359</f>
        <v>0</v>
      </c>
      <c r="L359" s="96">
        <f>'TB-Jan'!L359+'TB-Feb'!L359+'TB-Mar'!L359+'TB-Apr'!L359+'TB-May'!L359+'TB-Jun'!L359+'TB-Jul'!L359+'TB-Aug'!L359+'TB-Sep'!L359+'TB-Oct'!L359+'TB-Nov'!L359+'TB-Dec'!L359</f>
        <v>0</v>
      </c>
      <c r="M359" s="97">
        <f>'TB-Jan'!M359+'TB-Feb'!M359+'TB-Mar'!M359+'TB-Apr'!M359+'TB-May'!M359+'TB-Jun'!M359+'TB-Jul'!M359+'TB-Aug'!M359+'TB-Sep'!M359+'TB-Oct'!M359+'TB-Nov'!M359+'TB-Dec'!M359</f>
        <v>0</v>
      </c>
      <c r="N359" s="97">
        <f>'TB-Jan'!N359+'TB-Feb'!N359+'TB-Mar'!N359+'TB-Apr'!N359+'TB-May'!N359+'TB-Jun'!N359+'TB-Jul'!N359+'TB-Aug'!N359+'TB-Sep'!N359+'TB-Oct'!N359+'TB-Nov'!N359+'TB-Dec'!N359</f>
        <v>0</v>
      </c>
    </row>
    <row r="360" spans="1:14" hidden="1">
      <c r="A360" s="3" t="s">
        <v>678</v>
      </c>
      <c r="B360" s="4" t="s">
        <v>679</v>
      </c>
      <c r="C360" s="5">
        <f t="shared" si="11"/>
        <v>0</v>
      </c>
      <c r="D360" s="5"/>
      <c r="E360" s="6">
        <f t="shared" si="10"/>
        <v>0</v>
      </c>
      <c r="F360" s="6">
        <f t="shared" si="10"/>
        <v>0</v>
      </c>
      <c r="G360" s="94">
        <f>'TB-Jan'!G360+'TB-Feb'!G360+'TB-Mar'!G360+'TB-Apr'!G360+'TB-May'!G360+'TB-Jun'!G360+'TB-Jul'!G360+'TB-Aug'!G360+'TB-Sep'!G360+'TB-Oct'!G360+'TB-Nov'!G360+'TB-Dec'!G360</f>
        <v>0</v>
      </c>
      <c r="H360" s="94">
        <f>'TB-Jan'!H360+'TB-Feb'!H360+'TB-Mar'!H360+'TB-Apr'!H360+'TB-May'!H360+'TB-Jun'!H360+'TB-Jul'!H360+'TB-Aug'!H360+'TB-Sep'!H360+'TB-Oct'!H360+'TB-Nov'!H360+'TB-Dec'!H360</f>
        <v>0</v>
      </c>
      <c r="I360" s="95">
        <f>'TB-Jan'!I360+'TB-Feb'!I360+'TB-Mar'!I360+'TB-Apr'!I360+'TB-May'!I360+'TB-Jun'!I360+'TB-Jul'!I360+'TB-Aug'!I360+'TB-Sep'!I360+'TB-Oct'!I360+'TB-Nov'!I360+'TB-Dec'!I360</f>
        <v>0</v>
      </c>
      <c r="J360" s="95">
        <f>'TB-Jan'!J360+'TB-Feb'!J360+'TB-Mar'!J360+'TB-Apr'!J360+'TB-May'!J360+'TB-Jun'!J360+'TB-Jul'!J360+'TB-Aug'!J360+'TB-Sep'!J360+'TB-Oct'!J360+'TB-Nov'!J360+'TB-Dec'!J360</f>
        <v>0</v>
      </c>
      <c r="K360" s="96">
        <f>'TB-Jan'!K360+'TB-Feb'!K360+'TB-Mar'!K360+'TB-Apr'!K360+'TB-May'!K360+'TB-Jun'!K360+'TB-Jul'!K360+'TB-Aug'!K360+'TB-Sep'!K360+'TB-Oct'!K360+'TB-Nov'!K360+'TB-Dec'!K360</f>
        <v>0</v>
      </c>
      <c r="L360" s="96">
        <f>'TB-Jan'!L360+'TB-Feb'!L360+'TB-Mar'!L360+'TB-Apr'!L360+'TB-May'!L360+'TB-Jun'!L360+'TB-Jul'!L360+'TB-Aug'!L360+'TB-Sep'!L360+'TB-Oct'!L360+'TB-Nov'!L360+'TB-Dec'!L360</f>
        <v>0</v>
      </c>
      <c r="M360" s="97">
        <f>'TB-Jan'!M360+'TB-Feb'!M360+'TB-Mar'!M360+'TB-Apr'!M360+'TB-May'!M360+'TB-Jun'!M360+'TB-Jul'!M360+'TB-Aug'!M360+'TB-Sep'!M360+'TB-Oct'!M360+'TB-Nov'!M360+'TB-Dec'!M360</f>
        <v>0</v>
      </c>
      <c r="N360" s="97">
        <f>'TB-Jan'!N360+'TB-Feb'!N360+'TB-Mar'!N360+'TB-Apr'!N360+'TB-May'!N360+'TB-Jun'!N360+'TB-Jul'!N360+'TB-Aug'!N360+'TB-Sep'!N360+'TB-Oct'!N360+'TB-Nov'!N360+'TB-Dec'!N360</f>
        <v>0</v>
      </c>
    </row>
    <row r="361" spans="1:14" hidden="1">
      <c r="A361" s="3" t="s">
        <v>680</v>
      </c>
      <c r="B361" s="4" t="s">
        <v>681</v>
      </c>
      <c r="C361" s="5">
        <f t="shared" si="11"/>
        <v>0</v>
      </c>
      <c r="D361" s="5"/>
      <c r="E361" s="6">
        <f t="shared" si="10"/>
        <v>0</v>
      </c>
      <c r="F361" s="6">
        <f t="shared" si="10"/>
        <v>0</v>
      </c>
      <c r="G361" s="94">
        <f>'TB-Jan'!G361+'TB-Feb'!G361+'TB-Mar'!G361+'TB-Apr'!G361+'TB-May'!G361+'TB-Jun'!G361+'TB-Jul'!G361+'TB-Aug'!G361+'TB-Sep'!G361+'TB-Oct'!G361+'TB-Nov'!G361+'TB-Dec'!G361</f>
        <v>0</v>
      </c>
      <c r="H361" s="94">
        <f>'TB-Jan'!H361+'TB-Feb'!H361+'TB-Mar'!H361+'TB-Apr'!H361+'TB-May'!H361+'TB-Jun'!H361+'TB-Jul'!H361+'TB-Aug'!H361+'TB-Sep'!H361+'TB-Oct'!H361+'TB-Nov'!H361+'TB-Dec'!H361</f>
        <v>0</v>
      </c>
      <c r="I361" s="95">
        <f>'TB-Jan'!I361+'TB-Feb'!I361+'TB-Mar'!I361+'TB-Apr'!I361+'TB-May'!I361+'TB-Jun'!I361+'TB-Jul'!I361+'TB-Aug'!I361+'TB-Sep'!I361+'TB-Oct'!I361+'TB-Nov'!I361+'TB-Dec'!I361</f>
        <v>0</v>
      </c>
      <c r="J361" s="95">
        <f>'TB-Jan'!J361+'TB-Feb'!J361+'TB-Mar'!J361+'TB-Apr'!J361+'TB-May'!J361+'TB-Jun'!J361+'TB-Jul'!J361+'TB-Aug'!J361+'TB-Sep'!J361+'TB-Oct'!J361+'TB-Nov'!J361+'TB-Dec'!J361</f>
        <v>0</v>
      </c>
      <c r="K361" s="96">
        <f>'TB-Jan'!K361+'TB-Feb'!K361+'TB-Mar'!K361+'TB-Apr'!K361+'TB-May'!K361+'TB-Jun'!K361+'TB-Jul'!K361+'TB-Aug'!K361+'TB-Sep'!K361+'TB-Oct'!K361+'TB-Nov'!K361+'TB-Dec'!K361</f>
        <v>0</v>
      </c>
      <c r="L361" s="96">
        <f>'TB-Jan'!L361+'TB-Feb'!L361+'TB-Mar'!L361+'TB-Apr'!L361+'TB-May'!L361+'TB-Jun'!L361+'TB-Jul'!L361+'TB-Aug'!L361+'TB-Sep'!L361+'TB-Oct'!L361+'TB-Nov'!L361+'TB-Dec'!L361</f>
        <v>0</v>
      </c>
      <c r="M361" s="97">
        <f>'TB-Jan'!M361+'TB-Feb'!M361+'TB-Mar'!M361+'TB-Apr'!M361+'TB-May'!M361+'TB-Jun'!M361+'TB-Jul'!M361+'TB-Aug'!M361+'TB-Sep'!M361+'TB-Oct'!M361+'TB-Nov'!M361+'TB-Dec'!M361</f>
        <v>0</v>
      </c>
      <c r="N361" s="97">
        <f>'TB-Jan'!N361+'TB-Feb'!N361+'TB-Mar'!N361+'TB-Apr'!N361+'TB-May'!N361+'TB-Jun'!N361+'TB-Jul'!N361+'TB-Aug'!N361+'TB-Sep'!N361+'TB-Oct'!N361+'TB-Nov'!N361+'TB-Dec'!N361</f>
        <v>0</v>
      </c>
    </row>
    <row r="362" spans="1:14" hidden="1">
      <c r="A362" s="3" t="s">
        <v>682</v>
      </c>
      <c r="B362" s="4" t="s">
        <v>683</v>
      </c>
      <c r="C362" s="5">
        <f t="shared" si="11"/>
        <v>0</v>
      </c>
      <c r="D362" s="5"/>
      <c r="E362" s="6">
        <f t="shared" si="10"/>
        <v>0</v>
      </c>
      <c r="F362" s="6">
        <f t="shared" si="10"/>
        <v>0</v>
      </c>
      <c r="G362" s="94">
        <f>'TB-Jan'!G362+'TB-Feb'!G362+'TB-Mar'!G362+'TB-Apr'!G362+'TB-May'!G362+'TB-Jun'!G362+'TB-Jul'!G362+'TB-Aug'!G362+'TB-Sep'!G362+'TB-Oct'!G362+'TB-Nov'!G362+'TB-Dec'!G362</f>
        <v>0</v>
      </c>
      <c r="H362" s="94">
        <f>'TB-Jan'!H362+'TB-Feb'!H362+'TB-Mar'!H362+'TB-Apr'!H362+'TB-May'!H362+'TB-Jun'!H362+'TB-Jul'!H362+'TB-Aug'!H362+'TB-Sep'!H362+'TB-Oct'!H362+'TB-Nov'!H362+'TB-Dec'!H362</f>
        <v>0</v>
      </c>
      <c r="I362" s="95">
        <f>'TB-Jan'!I362+'TB-Feb'!I362+'TB-Mar'!I362+'TB-Apr'!I362+'TB-May'!I362+'TB-Jun'!I362+'TB-Jul'!I362+'TB-Aug'!I362+'TB-Sep'!I362+'TB-Oct'!I362+'TB-Nov'!I362+'TB-Dec'!I362</f>
        <v>0</v>
      </c>
      <c r="J362" s="95">
        <f>'TB-Jan'!J362+'TB-Feb'!J362+'TB-Mar'!J362+'TB-Apr'!J362+'TB-May'!J362+'TB-Jun'!J362+'TB-Jul'!J362+'TB-Aug'!J362+'TB-Sep'!J362+'TB-Oct'!J362+'TB-Nov'!J362+'TB-Dec'!J362</f>
        <v>0</v>
      </c>
      <c r="K362" s="96">
        <f>'TB-Jan'!K362+'TB-Feb'!K362+'TB-Mar'!K362+'TB-Apr'!K362+'TB-May'!K362+'TB-Jun'!K362+'TB-Jul'!K362+'TB-Aug'!K362+'TB-Sep'!K362+'TB-Oct'!K362+'TB-Nov'!K362+'TB-Dec'!K362</f>
        <v>0</v>
      </c>
      <c r="L362" s="96">
        <f>'TB-Jan'!L362+'TB-Feb'!L362+'TB-Mar'!L362+'TB-Apr'!L362+'TB-May'!L362+'TB-Jun'!L362+'TB-Jul'!L362+'TB-Aug'!L362+'TB-Sep'!L362+'TB-Oct'!L362+'TB-Nov'!L362+'TB-Dec'!L362</f>
        <v>0</v>
      </c>
      <c r="M362" s="97">
        <f>'TB-Jan'!M362+'TB-Feb'!M362+'TB-Mar'!M362+'TB-Apr'!M362+'TB-May'!M362+'TB-Jun'!M362+'TB-Jul'!M362+'TB-Aug'!M362+'TB-Sep'!M362+'TB-Oct'!M362+'TB-Nov'!M362+'TB-Dec'!M362</f>
        <v>0</v>
      </c>
      <c r="N362" s="97">
        <f>'TB-Jan'!N362+'TB-Feb'!N362+'TB-Mar'!N362+'TB-Apr'!N362+'TB-May'!N362+'TB-Jun'!N362+'TB-Jul'!N362+'TB-Aug'!N362+'TB-Sep'!N362+'TB-Oct'!N362+'TB-Nov'!N362+'TB-Dec'!N362</f>
        <v>0</v>
      </c>
    </row>
    <row r="363" spans="1:14" hidden="1">
      <c r="A363" s="3" t="s">
        <v>684</v>
      </c>
      <c r="B363" s="4" t="s">
        <v>685</v>
      </c>
      <c r="C363" s="5">
        <f t="shared" si="11"/>
        <v>0</v>
      </c>
      <c r="D363" s="5"/>
      <c r="E363" s="6">
        <f t="shared" si="10"/>
        <v>0</v>
      </c>
      <c r="F363" s="6">
        <f t="shared" si="10"/>
        <v>0</v>
      </c>
      <c r="G363" s="94">
        <f>'TB-Jan'!G363+'TB-Feb'!G363+'TB-Mar'!G363+'TB-Apr'!G363+'TB-May'!G363+'TB-Jun'!G363+'TB-Jul'!G363+'TB-Aug'!G363+'TB-Sep'!G363+'TB-Oct'!G363+'TB-Nov'!G363+'TB-Dec'!G363</f>
        <v>0</v>
      </c>
      <c r="H363" s="94">
        <f>'TB-Jan'!H363+'TB-Feb'!H363+'TB-Mar'!H363+'TB-Apr'!H363+'TB-May'!H363+'TB-Jun'!H363+'TB-Jul'!H363+'TB-Aug'!H363+'TB-Sep'!H363+'TB-Oct'!H363+'TB-Nov'!H363+'TB-Dec'!H363</f>
        <v>0</v>
      </c>
      <c r="I363" s="95">
        <f>'TB-Jan'!I363+'TB-Feb'!I363+'TB-Mar'!I363+'TB-Apr'!I363+'TB-May'!I363+'TB-Jun'!I363+'TB-Jul'!I363+'TB-Aug'!I363+'TB-Sep'!I363+'TB-Oct'!I363+'TB-Nov'!I363+'TB-Dec'!I363</f>
        <v>0</v>
      </c>
      <c r="J363" s="95">
        <f>'TB-Jan'!J363+'TB-Feb'!J363+'TB-Mar'!J363+'TB-Apr'!J363+'TB-May'!J363+'TB-Jun'!J363+'TB-Jul'!J363+'TB-Aug'!J363+'TB-Sep'!J363+'TB-Oct'!J363+'TB-Nov'!J363+'TB-Dec'!J363</f>
        <v>0</v>
      </c>
      <c r="K363" s="96">
        <f>'TB-Jan'!K363+'TB-Feb'!K363+'TB-Mar'!K363+'TB-Apr'!K363+'TB-May'!K363+'TB-Jun'!K363+'TB-Jul'!K363+'TB-Aug'!K363+'TB-Sep'!K363+'TB-Oct'!K363+'TB-Nov'!K363+'TB-Dec'!K363</f>
        <v>0</v>
      </c>
      <c r="L363" s="96">
        <f>'TB-Jan'!L363+'TB-Feb'!L363+'TB-Mar'!L363+'TB-Apr'!L363+'TB-May'!L363+'TB-Jun'!L363+'TB-Jul'!L363+'TB-Aug'!L363+'TB-Sep'!L363+'TB-Oct'!L363+'TB-Nov'!L363+'TB-Dec'!L363</f>
        <v>0</v>
      </c>
      <c r="M363" s="97">
        <f>'TB-Jan'!M363+'TB-Feb'!M363+'TB-Mar'!M363+'TB-Apr'!M363+'TB-May'!M363+'TB-Jun'!M363+'TB-Jul'!M363+'TB-Aug'!M363+'TB-Sep'!M363+'TB-Oct'!M363+'TB-Nov'!M363+'TB-Dec'!M363</f>
        <v>0</v>
      </c>
      <c r="N363" s="97">
        <f>'TB-Jan'!N363+'TB-Feb'!N363+'TB-Mar'!N363+'TB-Apr'!N363+'TB-May'!N363+'TB-Jun'!N363+'TB-Jul'!N363+'TB-Aug'!N363+'TB-Sep'!N363+'TB-Oct'!N363+'TB-Nov'!N363+'TB-Dec'!N363</f>
        <v>0</v>
      </c>
    </row>
    <row r="364" spans="1:14" hidden="1">
      <c r="A364" s="3" t="s">
        <v>686</v>
      </c>
      <c r="B364" s="4" t="s">
        <v>687</v>
      </c>
      <c r="C364" s="5">
        <f t="shared" si="11"/>
        <v>0</v>
      </c>
      <c r="D364" s="5"/>
      <c r="E364" s="6">
        <f t="shared" si="10"/>
        <v>0</v>
      </c>
      <c r="F364" s="6">
        <f t="shared" si="10"/>
        <v>0</v>
      </c>
      <c r="G364" s="94">
        <f>'TB-Jan'!G364+'TB-Feb'!G364+'TB-Mar'!G364+'TB-Apr'!G364+'TB-May'!G364+'TB-Jun'!G364+'TB-Jul'!G364+'TB-Aug'!G364+'TB-Sep'!G364+'TB-Oct'!G364+'TB-Nov'!G364+'TB-Dec'!G364</f>
        <v>0</v>
      </c>
      <c r="H364" s="94">
        <f>'TB-Jan'!H364+'TB-Feb'!H364+'TB-Mar'!H364+'TB-Apr'!H364+'TB-May'!H364+'TB-Jun'!H364+'TB-Jul'!H364+'TB-Aug'!H364+'TB-Sep'!H364+'TB-Oct'!H364+'TB-Nov'!H364+'TB-Dec'!H364</f>
        <v>0</v>
      </c>
      <c r="I364" s="95">
        <f>'TB-Jan'!I364+'TB-Feb'!I364+'TB-Mar'!I364+'TB-Apr'!I364+'TB-May'!I364+'TB-Jun'!I364+'TB-Jul'!I364+'TB-Aug'!I364+'TB-Sep'!I364+'TB-Oct'!I364+'TB-Nov'!I364+'TB-Dec'!I364</f>
        <v>0</v>
      </c>
      <c r="J364" s="95">
        <f>'TB-Jan'!J364+'TB-Feb'!J364+'TB-Mar'!J364+'TB-Apr'!J364+'TB-May'!J364+'TB-Jun'!J364+'TB-Jul'!J364+'TB-Aug'!J364+'TB-Sep'!J364+'TB-Oct'!J364+'TB-Nov'!J364+'TB-Dec'!J364</f>
        <v>0</v>
      </c>
      <c r="K364" s="96">
        <f>'TB-Jan'!K364+'TB-Feb'!K364+'TB-Mar'!K364+'TB-Apr'!K364+'TB-May'!K364+'TB-Jun'!K364+'TB-Jul'!K364+'TB-Aug'!K364+'TB-Sep'!K364+'TB-Oct'!K364+'TB-Nov'!K364+'TB-Dec'!K364</f>
        <v>0</v>
      </c>
      <c r="L364" s="96">
        <f>'TB-Jan'!L364+'TB-Feb'!L364+'TB-Mar'!L364+'TB-Apr'!L364+'TB-May'!L364+'TB-Jun'!L364+'TB-Jul'!L364+'TB-Aug'!L364+'TB-Sep'!L364+'TB-Oct'!L364+'TB-Nov'!L364+'TB-Dec'!L364</f>
        <v>0</v>
      </c>
      <c r="M364" s="97">
        <f>'TB-Jan'!M364+'TB-Feb'!M364+'TB-Mar'!M364+'TB-Apr'!M364+'TB-May'!M364+'TB-Jun'!M364+'TB-Jul'!M364+'TB-Aug'!M364+'TB-Sep'!M364+'TB-Oct'!M364+'TB-Nov'!M364+'TB-Dec'!M364</f>
        <v>0</v>
      </c>
      <c r="N364" s="97">
        <f>'TB-Jan'!N364+'TB-Feb'!N364+'TB-Mar'!N364+'TB-Apr'!N364+'TB-May'!N364+'TB-Jun'!N364+'TB-Jul'!N364+'TB-Aug'!N364+'TB-Sep'!N364+'TB-Oct'!N364+'TB-Nov'!N364+'TB-Dec'!N364</f>
        <v>0</v>
      </c>
    </row>
    <row r="365" spans="1:14" hidden="1">
      <c r="A365" s="3" t="s">
        <v>688</v>
      </c>
      <c r="B365" s="4" t="s">
        <v>689</v>
      </c>
      <c r="C365" s="5">
        <f t="shared" si="11"/>
        <v>0</v>
      </c>
      <c r="D365" s="5"/>
      <c r="E365" s="6">
        <f t="shared" si="10"/>
        <v>0</v>
      </c>
      <c r="F365" s="6">
        <f t="shared" si="10"/>
        <v>0</v>
      </c>
      <c r="G365" s="94">
        <f>'TB-Jan'!G365+'TB-Feb'!G365+'TB-Mar'!G365+'TB-Apr'!G365+'TB-May'!G365+'TB-Jun'!G365+'TB-Jul'!G365+'TB-Aug'!G365+'TB-Sep'!G365+'TB-Oct'!G365+'TB-Nov'!G365+'TB-Dec'!G365</f>
        <v>0</v>
      </c>
      <c r="H365" s="94">
        <f>'TB-Jan'!H365+'TB-Feb'!H365+'TB-Mar'!H365+'TB-Apr'!H365+'TB-May'!H365+'TB-Jun'!H365+'TB-Jul'!H365+'TB-Aug'!H365+'TB-Sep'!H365+'TB-Oct'!H365+'TB-Nov'!H365+'TB-Dec'!H365</f>
        <v>0</v>
      </c>
      <c r="I365" s="95">
        <f>'TB-Jan'!I365+'TB-Feb'!I365+'TB-Mar'!I365+'TB-Apr'!I365+'TB-May'!I365+'TB-Jun'!I365+'TB-Jul'!I365+'TB-Aug'!I365+'TB-Sep'!I365+'TB-Oct'!I365+'TB-Nov'!I365+'TB-Dec'!I365</f>
        <v>0</v>
      </c>
      <c r="J365" s="95">
        <f>'TB-Jan'!J365+'TB-Feb'!J365+'TB-Mar'!J365+'TB-Apr'!J365+'TB-May'!J365+'TB-Jun'!J365+'TB-Jul'!J365+'TB-Aug'!J365+'TB-Sep'!J365+'TB-Oct'!J365+'TB-Nov'!J365+'TB-Dec'!J365</f>
        <v>0</v>
      </c>
      <c r="K365" s="96">
        <f>'TB-Jan'!K365+'TB-Feb'!K365+'TB-Mar'!K365+'TB-Apr'!K365+'TB-May'!K365+'TB-Jun'!K365+'TB-Jul'!K365+'TB-Aug'!K365+'TB-Sep'!K365+'TB-Oct'!K365+'TB-Nov'!K365+'TB-Dec'!K365</f>
        <v>0</v>
      </c>
      <c r="L365" s="96">
        <f>'TB-Jan'!L365+'TB-Feb'!L365+'TB-Mar'!L365+'TB-Apr'!L365+'TB-May'!L365+'TB-Jun'!L365+'TB-Jul'!L365+'TB-Aug'!L365+'TB-Sep'!L365+'TB-Oct'!L365+'TB-Nov'!L365+'TB-Dec'!L365</f>
        <v>0</v>
      </c>
      <c r="M365" s="97">
        <f>'TB-Jan'!M365+'TB-Feb'!M365+'TB-Mar'!M365+'TB-Apr'!M365+'TB-May'!M365+'TB-Jun'!M365+'TB-Jul'!M365+'TB-Aug'!M365+'TB-Sep'!M365+'TB-Oct'!M365+'TB-Nov'!M365+'TB-Dec'!M365</f>
        <v>0</v>
      </c>
      <c r="N365" s="97">
        <f>'TB-Jan'!N365+'TB-Feb'!N365+'TB-Mar'!N365+'TB-Apr'!N365+'TB-May'!N365+'TB-Jun'!N365+'TB-Jul'!N365+'TB-Aug'!N365+'TB-Sep'!N365+'TB-Oct'!N365+'TB-Nov'!N365+'TB-Dec'!N365</f>
        <v>0</v>
      </c>
    </row>
    <row r="366" spans="1:14" hidden="1">
      <c r="A366" s="3" t="s">
        <v>690</v>
      </c>
      <c r="B366" s="4" t="s">
        <v>691</v>
      </c>
      <c r="C366" s="5">
        <f t="shared" si="11"/>
        <v>0</v>
      </c>
      <c r="D366" s="5"/>
      <c r="E366" s="6">
        <f t="shared" si="10"/>
        <v>0</v>
      </c>
      <c r="F366" s="6">
        <f t="shared" si="10"/>
        <v>0</v>
      </c>
      <c r="G366" s="94">
        <f>'TB-Jan'!G366+'TB-Feb'!G366+'TB-Mar'!G366+'TB-Apr'!G366+'TB-May'!G366+'TB-Jun'!G366+'TB-Jul'!G366+'TB-Aug'!G366+'TB-Sep'!G366+'TB-Oct'!G366+'TB-Nov'!G366+'TB-Dec'!G366</f>
        <v>0</v>
      </c>
      <c r="H366" s="94">
        <f>'TB-Jan'!H366+'TB-Feb'!H366+'TB-Mar'!H366+'TB-Apr'!H366+'TB-May'!H366+'TB-Jun'!H366+'TB-Jul'!H366+'TB-Aug'!H366+'TB-Sep'!H366+'TB-Oct'!H366+'TB-Nov'!H366+'TB-Dec'!H366</f>
        <v>0</v>
      </c>
      <c r="I366" s="95">
        <f>'TB-Jan'!I366+'TB-Feb'!I366+'TB-Mar'!I366+'TB-Apr'!I366+'TB-May'!I366+'TB-Jun'!I366+'TB-Jul'!I366+'TB-Aug'!I366+'TB-Sep'!I366+'TB-Oct'!I366+'TB-Nov'!I366+'TB-Dec'!I366</f>
        <v>0</v>
      </c>
      <c r="J366" s="95">
        <f>'TB-Jan'!J366+'TB-Feb'!J366+'TB-Mar'!J366+'TB-Apr'!J366+'TB-May'!J366+'TB-Jun'!J366+'TB-Jul'!J366+'TB-Aug'!J366+'TB-Sep'!J366+'TB-Oct'!J366+'TB-Nov'!J366+'TB-Dec'!J366</f>
        <v>0</v>
      </c>
      <c r="K366" s="96">
        <f>'TB-Jan'!K366+'TB-Feb'!K366+'TB-Mar'!K366+'TB-Apr'!K366+'TB-May'!K366+'TB-Jun'!K366+'TB-Jul'!K366+'TB-Aug'!K366+'TB-Sep'!K366+'TB-Oct'!K366+'TB-Nov'!K366+'TB-Dec'!K366</f>
        <v>0</v>
      </c>
      <c r="L366" s="96">
        <f>'TB-Jan'!L366+'TB-Feb'!L366+'TB-Mar'!L366+'TB-Apr'!L366+'TB-May'!L366+'TB-Jun'!L366+'TB-Jul'!L366+'TB-Aug'!L366+'TB-Sep'!L366+'TB-Oct'!L366+'TB-Nov'!L366+'TB-Dec'!L366</f>
        <v>0</v>
      </c>
      <c r="M366" s="97">
        <f>'TB-Jan'!M366+'TB-Feb'!M366+'TB-Mar'!M366+'TB-Apr'!M366+'TB-May'!M366+'TB-Jun'!M366+'TB-Jul'!M366+'TB-Aug'!M366+'TB-Sep'!M366+'TB-Oct'!M366+'TB-Nov'!M366+'TB-Dec'!M366</f>
        <v>0</v>
      </c>
      <c r="N366" s="97">
        <f>'TB-Jan'!N366+'TB-Feb'!N366+'TB-Mar'!N366+'TB-Apr'!N366+'TB-May'!N366+'TB-Jun'!N366+'TB-Jul'!N366+'TB-Aug'!N366+'TB-Sep'!N366+'TB-Oct'!N366+'TB-Nov'!N366+'TB-Dec'!N366</f>
        <v>0</v>
      </c>
    </row>
    <row r="367" spans="1:14" hidden="1">
      <c r="A367" s="3" t="s">
        <v>692</v>
      </c>
      <c r="B367" s="4" t="s">
        <v>693</v>
      </c>
      <c r="C367" s="5">
        <f t="shared" si="11"/>
        <v>0</v>
      </c>
      <c r="D367" s="5"/>
      <c r="E367" s="6">
        <f t="shared" si="10"/>
        <v>0</v>
      </c>
      <c r="F367" s="6">
        <f t="shared" si="10"/>
        <v>0</v>
      </c>
      <c r="G367" s="94">
        <f>'TB-Jan'!G367+'TB-Feb'!G367+'TB-Mar'!G367+'TB-Apr'!G367+'TB-May'!G367+'TB-Jun'!G367+'TB-Jul'!G367+'TB-Aug'!G367+'TB-Sep'!G367+'TB-Oct'!G367+'TB-Nov'!G367+'TB-Dec'!G367</f>
        <v>0</v>
      </c>
      <c r="H367" s="94">
        <f>'TB-Jan'!H367+'TB-Feb'!H367+'TB-Mar'!H367+'TB-Apr'!H367+'TB-May'!H367+'TB-Jun'!H367+'TB-Jul'!H367+'TB-Aug'!H367+'TB-Sep'!H367+'TB-Oct'!H367+'TB-Nov'!H367+'TB-Dec'!H367</f>
        <v>0</v>
      </c>
      <c r="I367" s="95">
        <f>'TB-Jan'!I367+'TB-Feb'!I367+'TB-Mar'!I367+'TB-Apr'!I367+'TB-May'!I367+'TB-Jun'!I367+'TB-Jul'!I367+'TB-Aug'!I367+'TB-Sep'!I367+'TB-Oct'!I367+'TB-Nov'!I367+'TB-Dec'!I367</f>
        <v>0</v>
      </c>
      <c r="J367" s="95">
        <f>'TB-Jan'!J367+'TB-Feb'!J367+'TB-Mar'!J367+'TB-Apr'!J367+'TB-May'!J367+'TB-Jun'!J367+'TB-Jul'!J367+'TB-Aug'!J367+'TB-Sep'!J367+'TB-Oct'!J367+'TB-Nov'!J367+'TB-Dec'!J367</f>
        <v>0</v>
      </c>
      <c r="K367" s="96">
        <f>'TB-Jan'!K367+'TB-Feb'!K367+'TB-Mar'!K367+'TB-Apr'!K367+'TB-May'!K367+'TB-Jun'!K367+'TB-Jul'!K367+'TB-Aug'!K367+'TB-Sep'!K367+'TB-Oct'!K367+'TB-Nov'!K367+'TB-Dec'!K367</f>
        <v>0</v>
      </c>
      <c r="L367" s="96">
        <f>'TB-Jan'!L367+'TB-Feb'!L367+'TB-Mar'!L367+'TB-Apr'!L367+'TB-May'!L367+'TB-Jun'!L367+'TB-Jul'!L367+'TB-Aug'!L367+'TB-Sep'!L367+'TB-Oct'!L367+'TB-Nov'!L367+'TB-Dec'!L367</f>
        <v>0</v>
      </c>
      <c r="M367" s="97">
        <f>'TB-Jan'!M367+'TB-Feb'!M367+'TB-Mar'!M367+'TB-Apr'!M367+'TB-May'!M367+'TB-Jun'!M367+'TB-Jul'!M367+'TB-Aug'!M367+'TB-Sep'!M367+'TB-Oct'!M367+'TB-Nov'!M367+'TB-Dec'!M367</f>
        <v>0</v>
      </c>
      <c r="N367" s="97">
        <f>'TB-Jan'!N367+'TB-Feb'!N367+'TB-Mar'!N367+'TB-Apr'!N367+'TB-May'!N367+'TB-Jun'!N367+'TB-Jul'!N367+'TB-Aug'!N367+'TB-Sep'!N367+'TB-Oct'!N367+'TB-Nov'!N367+'TB-Dec'!N367</f>
        <v>0</v>
      </c>
    </row>
    <row r="368" spans="1:14" hidden="1">
      <c r="A368" s="3" t="s">
        <v>694</v>
      </c>
      <c r="B368" s="4" t="s">
        <v>695</v>
      </c>
      <c r="C368" s="5">
        <f t="shared" si="11"/>
        <v>0</v>
      </c>
      <c r="D368" s="5"/>
      <c r="E368" s="6">
        <f t="shared" si="10"/>
        <v>0</v>
      </c>
      <c r="F368" s="6">
        <f t="shared" si="10"/>
        <v>0</v>
      </c>
      <c r="G368" s="94">
        <f>'TB-Jan'!G368+'TB-Feb'!G368+'TB-Mar'!G368+'TB-Apr'!G368+'TB-May'!G368+'TB-Jun'!G368+'TB-Jul'!G368+'TB-Aug'!G368+'TB-Sep'!G368+'TB-Oct'!G368+'TB-Nov'!G368+'TB-Dec'!G368</f>
        <v>0</v>
      </c>
      <c r="H368" s="94">
        <f>'TB-Jan'!H368+'TB-Feb'!H368+'TB-Mar'!H368+'TB-Apr'!H368+'TB-May'!H368+'TB-Jun'!H368+'TB-Jul'!H368+'TB-Aug'!H368+'TB-Sep'!H368+'TB-Oct'!H368+'TB-Nov'!H368+'TB-Dec'!H368</f>
        <v>0</v>
      </c>
      <c r="I368" s="95">
        <f>'TB-Jan'!I368+'TB-Feb'!I368+'TB-Mar'!I368+'TB-Apr'!I368+'TB-May'!I368+'TB-Jun'!I368+'TB-Jul'!I368+'TB-Aug'!I368+'TB-Sep'!I368+'TB-Oct'!I368+'TB-Nov'!I368+'TB-Dec'!I368</f>
        <v>0</v>
      </c>
      <c r="J368" s="95">
        <f>'TB-Jan'!J368+'TB-Feb'!J368+'TB-Mar'!J368+'TB-Apr'!J368+'TB-May'!J368+'TB-Jun'!J368+'TB-Jul'!J368+'TB-Aug'!J368+'TB-Sep'!J368+'TB-Oct'!J368+'TB-Nov'!J368+'TB-Dec'!J368</f>
        <v>0</v>
      </c>
      <c r="K368" s="96">
        <f>'TB-Jan'!K368+'TB-Feb'!K368+'TB-Mar'!K368+'TB-Apr'!K368+'TB-May'!K368+'TB-Jun'!K368+'TB-Jul'!K368+'TB-Aug'!K368+'TB-Sep'!K368+'TB-Oct'!K368+'TB-Nov'!K368+'TB-Dec'!K368</f>
        <v>0</v>
      </c>
      <c r="L368" s="96">
        <f>'TB-Jan'!L368+'TB-Feb'!L368+'TB-Mar'!L368+'TB-Apr'!L368+'TB-May'!L368+'TB-Jun'!L368+'TB-Jul'!L368+'TB-Aug'!L368+'TB-Sep'!L368+'TB-Oct'!L368+'TB-Nov'!L368+'TB-Dec'!L368</f>
        <v>0</v>
      </c>
      <c r="M368" s="97">
        <f>'TB-Jan'!M368+'TB-Feb'!M368+'TB-Mar'!M368+'TB-Apr'!M368+'TB-May'!M368+'TB-Jun'!M368+'TB-Jul'!M368+'TB-Aug'!M368+'TB-Sep'!M368+'TB-Oct'!M368+'TB-Nov'!M368+'TB-Dec'!M368</f>
        <v>0</v>
      </c>
      <c r="N368" s="97">
        <f>'TB-Jan'!N368+'TB-Feb'!N368+'TB-Mar'!N368+'TB-Apr'!N368+'TB-May'!N368+'TB-Jun'!N368+'TB-Jul'!N368+'TB-Aug'!N368+'TB-Sep'!N368+'TB-Oct'!N368+'TB-Nov'!N368+'TB-Dec'!N368</f>
        <v>0</v>
      </c>
    </row>
    <row r="369" spans="1:14" hidden="1">
      <c r="A369" s="3" t="s">
        <v>696</v>
      </c>
      <c r="B369" s="4" t="s">
        <v>697</v>
      </c>
      <c r="C369" s="5">
        <f t="shared" si="11"/>
        <v>0</v>
      </c>
      <c r="D369" s="5"/>
      <c r="E369" s="6">
        <f t="shared" si="10"/>
        <v>0</v>
      </c>
      <c r="F369" s="6">
        <f t="shared" si="10"/>
        <v>0</v>
      </c>
      <c r="G369" s="94">
        <f>'TB-Jan'!G369+'TB-Feb'!G369+'TB-Mar'!G369+'TB-Apr'!G369+'TB-May'!G369+'TB-Jun'!G369+'TB-Jul'!G369+'TB-Aug'!G369+'TB-Sep'!G369+'TB-Oct'!G369+'TB-Nov'!G369+'TB-Dec'!G369</f>
        <v>0</v>
      </c>
      <c r="H369" s="94">
        <f>'TB-Jan'!H369+'TB-Feb'!H369+'TB-Mar'!H369+'TB-Apr'!H369+'TB-May'!H369+'TB-Jun'!H369+'TB-Jul'!H369+'TB-Aug'!H369+'TB-Sep'!H369+'TB-Oct'!H369+'TB-Nov'!H369+'TB-Dec'!H369</f>
        <v>0</v>
      </c>
      <c r="I369" s="95">
        <f>'TB-Jan'!I369+'TB-Feb'!I369+'TB-Mar'!I369+'TB-Apr'!I369+'TB-May'!I369+'TB-Jun'!I369+'TB-Jul'!I369+'TB-Aug'!I369+'TB-Sep'!I369+'TB-Oct'!I369+'TB-Nov'!I369+'TB-Dec'!I369</f>
        <v>0</v>
      </c>
      <c r="J369" s="95">
        <f>'TB-Jan'!J369+'TB-Feb'!J369+'TB-Mar'!J369+'TB-Apr'!J369+'TB-May'!J369+'TB-Jun'!J369+'TB-Jul'!J369+'TB-Aug'!J369+'TB-Sep'!J369+'TB-Oct'!J369+'TB-Nov'!J369+'TB-Dec'!J369</f>
        <v>0</v>
      </c>
      <c r="K369" s="96">
        <f>'TB-Jan'!K369+'TB-Feb'!K369+'TB-Mar'!K369+'TB-Apr'!K369+'TB-May'!K369+'TB-Jun'!K369+'TB-Jul'!K369+'TB-Aug'!K369+'TB-Sep'!K369+'TB-Oct'!K369+'TB-Nov'!K369+'TB-Dec'!K369</f>
        <v>0</v>
      </c>
      <c r="L369" s="96">
        <f>'TB-Jan'!L369+'TB-Feb'!L369+'TB-Mar'!L369+'TB-Apr'!L369+'TB-May'!L369+'TB-Jun'!L369+'TB-Jul'!L369+'TB-Aug'!L369+'TB-Sep'!L369+'TB-Oct'!L369+'TB-Nov'!L369+'TB-Dec'!L369</f>
        <v>0</v>
      </c>
      <c r="M369" s="97">
        <f>'TB-Jan'!M369+'TB-Feb'!M369+'TB-Mar'!M369+'TB-Apr'!M369+'TB-May'!M369+'TB-Jun'!M369+'TB-Jul'!M369+'TB-Aug'!M369+'TB-Sep'!M369+'TB-Oct'!M369+'TB-Nov'!M369+'TB-Dec'!M369</f>
        <v>0</v>
      </c>
      <c r="N369" s="97">
        <f>'TB-Jan'!N369+'TB-Feb'!N369+'TB-Mar'!N369+'TB-Apr'!N369+'TB-May'!N369+'TB-Jun'!N369+'TB-Jul'!N369+'TB-Aug'!N369+'TB-Sep'!N369+'TB-Oct'!N369+'TB-Nov'!N369+'TB-Dec'!N369</f>
        <v>0</v>
      </c>
    </row>
    <row r="370" spans="1:14" hidden="1">
      <c r="A370" s="3" t="s">
        <v>698</v>
      </c>
      <c r="B370" s="4" t="s">
        <v>699</v>
      </c>
      <c r="C370" s="5">
        <f t="shared" si="11"/>
        <v>0</v>
      </c>
      <c r="D370" s="5"/>
      <c r="E370" s="6">
        <f t="shared" si="10"/>
        <v>0</v>
      </c>
      <c r="F370" s="6">
        <f t="shared" si="10"/>
        <v>0</v>
      </c>
      <c r="G370" s="94">
        <f>'TB-Jan'!G370+'TB-Feb'!G370+'TB-Mar'!G370+'TB-Apr'!G370+'TB-May'!G370+'TB-Jun'!G370+'TB-Jul'!G370+'TB-Aug'!G370+'TB-Sep'!G370+'TB-Oct'!G370+'TB-Nov'!G370+'TB-Dec'!G370</f>
        <v>0</v>
      </c>
      <c r="H370" s="94">
        <f>'TB-Jan'!H370+'TB-Feb'!H370+'TB-Mar'!H370+'TB-Apr'!H370+'TB-May'!H370+'TB-Jun'!H370+'TB-Jul'!H370+'TB-Aug'!H370+'TB-Sep'!H370+'TB-Oct'!H370+'TB-Nov'!H370+'TB-Dec'!H370</f>
        <v>0</v>
      </c>
      <c r="I370" s="95">
        <f>'TB-Jan'!I370+'TB-Feb'!I370+'TB-Mar'!I370+'TB-Apr'!I370+'TB-May'!I370+'TB-Jun'!I370+'TB-Jul'!I370+'TB-Aug'!I370+'TB-Sep'!I370+'TB-Oct'!I370+'TB-Nov'!I370+'TB-Dec'!I370</f>
        <v>0</v>
      </c>
      <c r="J370" s="95">
        <f>'TB-Jan'!J370+'TB-Feb'!J370+'TB-Mar'!J370+'TB-Apr'!J370+'TB-May'!J370+'TB-Jun'!J370+'TB-Jul'!J370+'TB-Aug'!J370+'TB-Sep'!J370+'TB-Oct'!J370+'TB-Nov'!J370+'TB-Dec'!J370</f>
        <v>0</v>
      </c>
      <c r="K370" s="96">
        <f>'TB-Jan'!K370+'TB-Feb'!K370+'TB-Mar'!K370+'TB-Apr'!K370+'TB-May'!K370+'TB-Jun'!K370+'TB-Jul'!K370+'TB-Aug'!K370+'TB-Sep'!K370+'TB-Oct'!K370+'TB-Nov'!K370+'TB-Dec'!K370</f>
        <v>0</v>
      </c>
      <c r="L370" s="96">
        <f>'TB-Jan'!L370+'TB-Feb'!L370+'TB-Mar'!L370+'TB-Apr'!L370+'TB-May'!L370+'TB-Jun'!L370+'TB-Jul'!L370+'TB-Aug'!L370+'TB-Sep'!L370+'TB-Oct'!L370+'TB-Nov'!L370+'TB-Dec'!L370</f>
        <v>0</v>
      </c>
      <c r="M370" s="97">
        <f>'TB-Jan'!M370+'TB-Feb'!M370+'TB-Mar'!M370+'TB-Apr'!M370+'TB-May'!M370+'TB-Jun'!M370+'TB-Jul'!M370+'TB-Aug'!M370+'TB-Sep'!M370+'TB-Oct'!M370+'TB-Nov'!M370+'TB-Dec'!M370</f>
        <v>0</v>
      </c>
      <c r="N370" s="97">
        <f>'TB-Jan'!N370+'TB-Feb'!N370+'TB-Mar'!N370+'TB-Apr'!N370+'TB-May'!N370+'TB-Jun'!N370+'TB-Jul'!N370+'TB-Aug'!N370+'TB-Sep'!N370+'TB-Oct'!N370+'TB-Nov'!N370+'TB-Dec'!N370</f>
        <v>0</v>
      </c>
    </row>
    <row r="371" spans="1:14" hidden="1">
      <c r="A371" s="3" t="s">
        <v>700</v>
      </c>
      <c r="B371" s="4" t="s">
        <v>701</v>
      </c>
      <c r="C371" s="5">
        <f t="shared" si="11"/>
        <v>0</v>
      </c>
      <c r="D371" s="5"/>
      <c r="E371" s="6">
        <f t="shared" si="10"/>
        <v>0</v>
      </c>
      <c r="F371" s="6">
        <f t="shared" si="10"/>
        <v>0</v>
      </c>
      <c r="G371" s="94">
        <f>'TB-Jan'!G371+'TB-Feb'!G371+'TB-Mar'!G371+'TB-Apr'!G371+'TB-May'!G371+'TB-Jun'!G371+'TB-Jul'!G371+'TB-Aug'!G371+'TB-Sep'!G371+'TB-Oct'!G371+'TB-Nov'!G371+'TB-Dec'!G371</f>
        <v>0</v>
      </c>
      <c r="H371" s="94">
        <f>'TB-Jan'!H371+'TB-Feb'!H371+'TB-Mar'!H371+'TB-Apr'!H371+'TB-May'!H371+'TB-Jun'!H371+'TB-Jul'!H371+'TB-Aug'!H371+'TB-Sep'!H371+'TB-Oct'!H371+'TB-Nov'!H371+'TB-Dec'!H371</f>
        <v>0</v>
      </c>
      <c r="I371" s="95">
        <f>'TB-Jan'!I371+'TB-Feb'!I371+'TB-Mar'!I371+'TB-Apr'!I371+'TB-May'!I371+'TB-Jun'!I371+'TB-Jul'!I371+'TB-Aug'!I371+'TB-Sep'!I371+'TB-Oct'!I371+'TB-Nov'!I371+'TB-Dec'!I371</f>
        <v>0</v>
      </c>
      <c r="J371" s="95">
        <f>'TB-Jan'!J371+'TB-Feb'!J371+'TB-Mar'!J371+'TB-Apr'!J371+'TB-May'!J371+'TB-Jun'!J371+'TB-Jul'!J371+'TB-Aug'!J371+'TB-Sep'!J371+'TB-Oct'!J371+'TB-Nov'!J371+'TB-Dec'!J371</f>
        <v>0</v>
      </c>
      <c r="K371" s="96">
        <f>'TB-Jan'!K371+'TB-Feb'!K371+'TB-Mar'!K371+'TB-Apr'!K371+'TB-May'!K371+'TB-Jun'!K371+'TB-Jul'!K371+'TB-Aug'!K371+'TB-Sep'!K371+'TB-Oct'!K371+'TB-Nov'!K371+'TB-Dec'!K371</f>
        <v>0</v>
      </c>
      <c r="L371" s="96">
        <f>'TB-Jan'!L371+'TB-Feb'!L371+'TB-Mar'!L371+'TB-Apr'!L371+'TB-May'!L371+'TB-Jun'!L371+'TB-Jul'!L371+'TB-Aug'!L371+'TB-Sep'!L371+'TB-Oct'!L371+'TB-Nov'!L371+'TB-Dec'!L371</f>
        <v>0</v>
      </c>
      <c r="M371" s="97">
        <f>'TB-Jan'!M371+'TB-Feb'!M371+'TB-Mar'!M371+'TB-Apr'!M371+'TB-May'!M371+'TB-Jun'!M371+'TB-Jul'!M371+'TB-Aug'!M371+'TB-Sep'!M371+'TB-Oct'!M371+'TB-Nov'!M371+'TB-Dec'!M371</f>
        <v>0</v>
      </c>
      <c r="N371" s="97">
        <f>'TB-Jan'!N371+'TB-Feb'!N371+'TB-Mar'!N371+'TB-Apr'!N371+'TB-May'!N371+'TB-Jun'!N371+'TB-Jul'!N371+'TB-Aug'!N371+'TB-Sep'!N371+'TB-Oct'!N371+'TB-Nov'!N371+'TB-Dec'!N371</f>
        <v>0</v>
      </c>
    </row>
    <row r="372" spans="1:14" hidden="1">
      <c r="A372" s="3" t="s">
        <v>702</v>
      </c>
      <c r="B372" s="4" t="s">
        <v>703</v>
      </c>
      <c r="C372" s="5">
        <f t="shared" si="11"/>
        <v>0</v>
      </c>
      <c r="D372" s="5"/>
      <c r="E372" s="6">
        <f t="shared" si="10"/>
        <v>0</v>
      </c>
      <c r="F372" s="6">
        <f t="shared" si="10"/>
        <v>0</v>
      </c>
      <c r="G372" s="94">
        <f>'TB-Jan'!G372+'TB-Feb'!G372+'TB-Mar'!G372+'TB-Apr'!G372+'TB-May'!G372+'TB-Jun'!G372+'TB-Jul'!G372+'TB-Aug'!G372+'TB-Sep'!G372+'TB-Oct'!G372+'TB-Nov'!G372+'TB-Dec'!G372</f>
        <v>0</v>
      </c>
      <c r="H372" s="94">
        <f>'TB-Jan'!H372+'TB-Feb'!H372+'TB-Mar'!H372+'TB-Apr'!H372+'TB-May'!H372+'TB-Jun'!H372+'TB-Jul'!H372+'TB-Aug'!H372+'TB-Sep'!H372+'TB-Oct'!H372+'TB-Nov'!H372+'TB-Dec'!H372</f>
        <v>0</v>
      </c>
      <c r="I372" s="95">
        <f>'TB-Jan'!I372+'TB-Feb'!I372+'TB-Mar'!I372+'TB-Apr'!I372+'TB-May'!I372+'TB-Jun'!I372+'TB-Jul'!I372+'TB-Aug'!I372+'TB-Sep'!I372+'TB-Oct'!I372+'TB-Nov'!I372+'TB-Dec'!I372</f>
        <v>0</v>
      </c>
      <c r="J372" s="95">
        <f>'TB-Jan'!J372+'TB-Feb'!J372+'TB-Mar'!J372+'TB-Apr'!J372+'TB-May'!J372+'TB-Jun'!J372+'TB-Jul'!J372+'TB-Aug'!J372+'TB-Sep'!J372+'TB-Oct'!J372+'TB-Nov'!J372+'TB-Dec'!J372</f>
        <v>0</v>
      </c>
      <c r="K372" s="96">
        <f>'TB-Jan'!K372+'TB-Feb'!K372+'TB-Mar'!K372+'TB-Apr'!K372+'TB-May'!K372+'TB-Jun'!K372+'TB-Jul'!K372+'TB-Aug'!K372+'TB-Sep'!K372+'TB-Oct'!K372+'TB-Nov'!K372+'TB-Dec'!K372</f>
        <v>0</v>
      </c>
      <c r="L372" s="96">
        <f>'TB-Jan'!L372+'TB-Feb'!L372+'TB-Mar'!L372+'TB-Apr'!L372+'TB-May'!L372+'TB-Jun'!L372+'TB-Jul'!L372+'TB-Aug'!L372+'TB-Sep'!L372+'TB-Oct'!L372+'TB-Nov'!L372+'TB-Dec'!L372</f>
        <v>0</v>
      </c>
      <c r="M372" s="97">
        <f>'TB-Jan'!M372+'TB-Feb'!M372+'TB-Mar'!M372+'TB-Apr'!M372+'TB-May'!M372+'TB-Jun'!M372+'TB-Jul'!M372+'TB-Aug'!M372+'TB-Sep'!M372+'TB-Oct'!M372+'TB-Nov'!M372+'TB-Dec'!M372</f>
        <v>0</v>
      </c>
      <c r="N372" s="97">
        <f>'TB-Jan'!N372+'TB-Feb'!N372+'TB-Mar'!N372+'TB-Apr'!N372+'TB-May'!N372+'TB-Jun'!N372+'TB-Jul'!N372+'TB-Aug'!N372+'TB-Sep'!N372+'TB-Oct'!N372+'TB-Nov'!N372+'TB-Dec'!N372</f>
        <v>0</v>
      </c>
    </row>
    <row r="373" spans="1:14" hidden="1">
      <c r="A373" s="3" t="s">
        <v>704</v>
      </c>
      <c r="B373" s="4" t="s">
        <v>705</v>
      </c>
      <c r="C373" s="5">
        <f t="shared" si="11"/>
        <v>0</v>
      </c>
      <c r="D373" s="5"/>
      <c r="E373" s="6">
        <f t="shared" si="10"/>
        <v>0</v>
      </c>
      <c r="F373" s="6">
        <f t="shared" si="10"/>
        <v>0</v>
      </c>
      <c r="G373" s="94">
        <f>'TB-Jan'!G373+'TB-Feb'!G373+'TB-Mar'!G373+'TB-Apr'!G373+'TB-May'!G373+'TB-Jun'!G373+'TB-Jul'!G373+'TB-Aug'!G373+'TB-Sep'!G373+'TB-Oct'!G373+'TB-Nov'!G373+'TB-Dec'!G373</f>
        <v>0</v>
      </c>
      <c r="H373" s="94">
        <f>'TB-Jan'!H373+'TB-Feb'!H373+'TB-Mar'!H373+'TB-Apr'!H373+'TB-May'!H373+'TB-Jun'!H373+'TB-Jul'!H373+'TB-Aug'!H373+'TB-Sep'!H373+'TB-Oct'!H373+'TB-Nov'!H373+'TB-Dec'!H373</f>
        <v>0</v>
      </c>
      <c r="I373" s="95">
        <f>'TB-Jan'!I373+'TB-Feb'!I373+'TB-Mar'!I373+'TB-Apr'!I373+'TB-May'!I373+'TB-Jun'!I373+'TB-Jul'!I373+'TB-Aug'!I373+'TB-Sep'!I373+'TB-Oct'!I373+'TB-Nov'!I373+'TB-Dec'!I373</f>
        <v>0</v>
      </c>
      <c r="J373" s="95">
        <f>'TB-Jan'!J373+'TB-Feb'!J373+'TB-Mar'!J373+'TB-Apr'!J373+'TB-May'!J373+'TB-Jun'!J373+'TB-Jul'!J373+'TB-Aug'!J373+'TB-Sep'!J373+'TB-Oct'!J373+'TB-Nov'!J373+'TB-Dec'!J373</f>
        <v>0</v>
      </c>
      <c r="K373" s="96">
        <f>'TB-Jan'!K373+'TB-Feb'!K373+'TB-Mar'!K373+'TB-Apr'!K373+'TB-May'!K373+'TB-Jun'!K373+'TB-Jul'!K373+'TB-Aug'!K373+'TB-Sep'!K373+'TB-Oct'!K373+'TB-Nov'!K373+'TB-Dec'!K373</f>
        <v>0</v>
      </c>
      <c r="L373" s="96">
        <f>'TB-Jan'!L373+'TB-Feb'!L373+'TB-Mar'!L373+'TB-Apr'!L373+'TB-May'!L373+'TB-Jun'!L373+'TB-Jul'!L373+'TB-Aug'!L373+'TB-Sep'!L373+'TB-Oct'!L373+'TB-Nov'!L373+'TB-Dec'!L373</f>
        <v>0</v>
      </c>
      <c r="M373" s="97">
        <f>'TB-Jan'!M373+'TB-Feb'!M373+'TB-Mar'!M373+'TB-Apr'!M373+'TB-May'!M373+'TB-Jun'!M373+'TB-Jul'!M373+'TB-Aug'!M373+'TB-Sep'!M373+'TB-Oct'!M373+'TB-Nov'!M373+'TB-Dec'!M373</f>
        <v>0</v>
      </c>
      <c r="N373" s="97">
        <f>'TB-Jan'!N373+'TB-Feb'!N373+'TB-Mar'!N373+'TB-Apr'!N373+'TB-May'!N373+'TB-Jun'!N373+'TB-Jul'!N373+'TB-Aug'!N373+'TB-Sep'!N373+'TB-Oct'!N373+'TB-Nov'!N373+'TB-Dec'!N373</f>
        <v>0</v>
      </c>
    </row>
    <row r="374" spans="1:14" hidden="1">
      <c r="A374" s="3" t="s">
        <v>706</v>
      </c>
      <c r="B374" s="4" t="s">
        <v>707</v>
      </c>
      <c r="C374" s="5">
        <f t="shared" si="11"/>
        <v>0</v>
      </c>
      <c r="D374" s="5"/>
      <c r="E374" s="6">
        <f t="shared" si="10"/>
        <v>0</v>
      </c>
      <c r="F374" s="6">
        <f t="shared" si="10"/>
        <v>0</v>
      </c>
      <c r="G374" s="94">
        <f>'TB-Jan'!G374+'TB-Feb'!G374+'TB-Mar'!G374+'TB-Apr'!G374+'TB-May'!G374+'TB-Jun'!G374+'TB-Jul'!G374+'TB-Aug'!G374+'TB-Sep'!G374+'TB-Oct'!G374+'TB-Nov'!G374+'TB-Dec'!G374</f>
        <v>0</v>
      </c>
      <c r="H374" s="94">
        <f>'TB-Jan'!H374+'TB-Feb'!H374+'TB-Mar'!H374+'TB-Apr'!H374+'TB-May'!H374+'TB-Jun'!H374+'TB-Jul'!H374+'TB-Aug'!H374+'TB-Sep'!H374+'TB-Oct'!H374+'TB-Nov'!H374+'TB-Dec'!H374</f>
        <v>0</v>
      </c>
      <c r="I374" s="95">
        <f>'TB-Jan'!I374+'TB-Feb'!I374+'TB-Mar'!I374+'TB-Apr'!I374+'TB-May'!I374+'TB-Jun'!I374+'TB-Jul'!I374+'TB-Aug'!I374+'TB-Sep'!I374+'TB-Oct'!I374+'TB-Nov'!I374+'TB-Dec'!I374</f>
        <v>0</v>
      </c>
      <c r="J374" s="95">
        <f>'TB-Jan'!J374+'TB-Feb'!J374+'TB-Mar'!J374+'TB-Apr'!J374+'TB-May'!J374+'TB-Jun'!J374+'TB-Jul'!J374+'TB-Aug'!J374+'TB-Sep'!J374+'TB-Oct'!J374+'TB-Nov'!J374+'TB-Dec'!J374</f>
        <v>0</v>
      </c>
      <c r="K374" s="96">
        <f>'TB-Jan'!K374+'TB-Feb'!K374+'TB-Mar'!K374+'TB-Apr'!K374+'TB-May'!K374+'TB-Jun'!K374+'TB-Jul'!K374+'TB-Aug'!K374+'TB-Sep'!K374+'TB-Oct'!K374+'TB-Nov'!K374+'TB-Dec'!K374</f>
        <v>0</v>
      </c>
      <c r="L374" s="96">
        <f>'TB-Jan'!L374+'TB-Feb'!L374+'TB-Mar'!L374+'TB-Apr'!L374+'TB-May'!L374+'TB-Jun'!L374+'TB-Jul'!L374+'TB-Aug'!L374+'TB-Sep'!L374+'TB-Oct'!L374+'TB-Nov'!L374+'TB-Dec'!L374</f>
        <v>0</v>
      </c>
      <c r="M374" s="97">
        <f>'TB-Jan'!M374+'TB-Feb'!M374+'TB-Mar'!M374+'TB-Apr'!M374+'TB-May'!M374+'TB-Jun'!M374+'TB-Jul'!M374+'TB-Aug'!M374+'TB-Sep'!M374+'TB-Oct'!M374+'TB-Nov'!M374+'TB-Dec'!M374</f>
        <v>0</v>
      </c>
      <c r="N374" s="97">
        <f>'TB-Jan'!N374+'TB-Feb'!N374+'TB-Mar'!N374+'TB-Apr'!N374+'TB-May'!N374+'TB-Jun'!N374+'TB-Jul'!N374+'TB-Aug'!N374+'TB-Sep'!N374+'TB-Oct'!N374+'TB-Nov'!N374+'TB-Dec'!N374</f>
        <v>0</v>
      </c>
    </row>
    <row r="375" spans="1:14" hidden="1">
      <c r="A375" s="3" t="s">
        <v>708</v>
      </c>
      <c r="B375" s="4" t="s">
        <v>709</v>
      </c>
      <c r="C375" s="5">
        <f t="shared" si="11"/>
        <v>0</v>
      </c>
      <c r="D375" s="5"/>
      <c r="E375" s="6">
        <f t="shared" si="10"/>
        <v>0</v>
      </c>
      <c r="F375" s="6">
        <f t="shared" si="10"/>
        <v>0</v>
      </c>
      <c r="G375" s="94">
        <f>'TB-Jan'!G375+'TB-Feb'!G375+'TB-Mar'!G375+'TB-Apr'!G375+'TB-May'!G375+'TB-Jun'!G375+'TB-Jul'!G375+'TB-Aug'!G375+'TB-Sep'!G375+'TB-Oct'!G375+'TB-Nov'!G375+'TB-Dec'!G375</f>
        <v>0</v>
      </c>
      <c r="H375" s="94">
        <f>'TB-Jan'!H375+'TB-Feb'!H375+'TB-Mar'!H375+'TB-Apr'!H375+'TB-May'!H375+'TB-Jun'!H375+'TB-Jul'!H375+'TB-Aug'!H375+'TB-Sep'!H375+'TB-Oct'!H375+'TB-Nov'!H375+'TB-Dec'!H375</f>
        <v>0</v>
      </c>
      <c r="I375" s="95">
        <f>'TB-Jan'!I375+'TB-Feb'!I375+'TB-Mar'!I375+'TB-Apr'!I375+'TB-May'!I375+'TB-Jun'!I375+'TB-Jul'!I375+'TB-Aug'!I375+'TB-Sep'!I375+'TB-Oct'!I375+'TB-Nov'!I375+'TB-Dec'!I375</f>
        <v>0</v>
      </c>
      <c r="J375" s="95">
        <f>'TB-Jan'!J375+'TB-Feb'!J375+'TB-Mar'!J375+'TB-Apr'!J375+'TB-May'!J375+'TB-Jun'!J375+'TB-Jul'!J375+'TB-Aug'!J375+'TB-Sep'!J375+'TB-Oct'!J375+'TB-Nov'!J375+'TB-Dec'!J375</f>
        <v>0</v>
      </c>
      <c r="K375" s="96">
        <f>'TB-Jan'!K375+'TB-Feb'!K375+'TB-Mar'!K375+'TB-Apr'!K375+'TB-May'!K375+'TB-Jun'!K375+'TB-Jul'!K375+'TB-Aug'!K375+'TB-Sep'!K375+'TB-Oct'!K375+'TB-Nov'!K375+'TB-Dec'!K375</f>
        <v>0</v>
      </c>
      <c r="L375" s="96">
        <f>'TB-Jan'!L375+'TB-Feb'!L375+'TB-Mar'!L375+'TB-Apr'!L375+'TB-May'!L375+'TB-Jun'!L375+'TB-Jul'!L375+'TB-Aug'!L375+'TB-Sep'!L375+'TB-Oct'!L375+'TB-Nov'!L375+'TB-Dec'!L375</f>
        <v>0</v>
      </c>
      <c r="M375" s="97">
        <f>'TB-Jan'!M375+'TB-Feb'!M375+'TB-Mar'!M375+'TB-Apr'!M375+'TB-May'!M375+'TB-Jun'!M375+'TB-Jul'!M375+'TB-Aug'!M375+'TB-Sep'!M375+'TB-Oct'!M375+'TB-Nov'!M375+'TB-Dec'!M375</f>
        <v>0</v>
      </c>
      <c r="N375" s="97">
        <f>'TB-Jan'!N375+'TB-Feb'!N375+'TB-Mar'!N375+'TB-Apr'!N375+'TB-May'!N375+'TB-Jun'!N375+'TB-Jul'!N375+'TB-Aug'!N375+'TB-Sep'!N375+'TB-Oct'!N375+'TB-Nov'!N375+'TB-Dec'!N375</f>
        <v>0</v>
      </c>
    </row>
    <row r="376" spans="1:14" hidden="1">
      <c r="A376" s="3" t="s">
        <v>710</v>
      </c>
      <c r="B376" s="4" t="s">
        <v>711</v>
      </c>
      <c r="C376" s="5">
        <f t="shared" si="11"/>
        <v>0</v>
      </c>
      <c r="D376" s="5"/>
      <c r="E376" s="6">
        <f t="shared" si="10"/>
        <v>0</v>
      </c>
      <c r="F376" s="6">
        <f t="shared" si="10"/>
        <v>0</v>
      </c>
      <c r="G376" s="94">
        <f>'TB-Jan'!G376+'TB-Feb'!G376+'TB-Mar'!G376+'TB-Apr'!G376+'TB-May'!G376+'TB-Jun'!G376+'TB-Jul'!G376+'TB-Aug'!G376+'TB-Sep'!G376+'TB-Oct'!G376+'TB-Nov'!G376+'TB-Dec'!G376</f>
        <v>0</v>
      </c>
      <c r="H376" s="94">
        <f>'TB-Jan'!H376+'TB-Feb'!H376+'TB-Mar'!H376+'TB-Apr'!H376+'TB-May'!H376+'TB-Jun'!H376+'TB-Jul'!H376+'TB-Aug'!H376+'TB-Sep'!H376+'TB-Oct'!H376+'TB-Nov'!H376+'TB-Dec'!H376</f>
        <v>0</v>
      </c>
      <c r="I376" s="95">
        <f>'TB-Jan'!I376+'TB-Feb'!I376+'TB-Mar'!I376+'TB-Apr'!I376+'TB-May'!I376+'TB-Jun'!I376+'TB-Jul'!I376+'TB-Aug'!I376+'TB-Sep'!I376+'TB-Oct'!I376+'TB-Nov'!I376+'TB-Dec'!I376</f>
        <v>0</v>
      </c>
      <c r="J376" s="95">
        <f>'TB-Jan'!J376+'TB-Feb'!J376+'TB-Mar'!J376+'TB-Apr'!J376+'TB-May'!J376+'TB-Jun'!J376+'TB-Jul'!J376+'TB-Aug'!J376+'TB-Sep'!J376+'TB-Oct'!J376+'TB-Nov'!J376+'TB-Dec'!J376</f>
        <v>0</v>
      </c>
      <c r="K376" s="96">
        <f>'TB-Jan'!K376+'TB-Feb'!K376+'TB-Mar'!K376+'TB-Apr'!K376+'TB-May'!K376+'TB-Jun'!K376+'TB-Jul'!K376+'TB-Aug'!K376+'TB-Sep'!K376+'TB-Oct'!K376+'TB-Nov'!K376+'TB-Dec'!K376</f>
        <v>0</v>
      </c>
      <c r="L376" s="96">
        <f>'TB-Jan'!L376+'TB-Feb'!L376+'TB-Mar'!L376+'TB-Apr'!L376+'TB-May'!L376+'TB-Jun'!L376+'TB-Jul'!L376+'TB-Aug'!L376+'TB-Sep'!L376+'TB-Oct'!L376+'TB-Nov'!L376+'TB-Dec'!L376</f>
        <v>0</v>
      </c>
      <c r="M376" s="97">
        <f>'TB-Jan'!M376+'TB-Feb'!M376+'TB-Mar'!M376+'TB-Apr'!M376+'TB-May'!M376+'TB-Jun'!M376+'TB-Jul'!M376+'TB-Aug'!M376+'TB-Sep'!M376+'TB-Oct'!M376+'TB-Nov'!M376+'TB-Dec'!M376</f>
        <v>0</v>
      </c>
      <c r="N376" s="97">
        <f>'TB-Jan'!N376+'TB-Feb'!N376+'TB-Mar'!N376+'TB-Apr'!N376+'TB-May'!N376+'TB-Jun'!N376+'TB-Jul'!N376+'TB-Aug'!N376+'TB-Sep'!N376+'TB-Oct'!N376+'TB-Nov'!N376+'TB-Dec'!N376</f>
        <v>0</v>
      </c>
    </row>
    <row r="377" spans="1:14" hidden="1">
      <c r="A377" s="3" t="s">
        <v>712</v>
      </c>
      <c r="B377" s="4" t="s">
        <v>713</v>
      </c>
      <c r="C377" s="5">
        <f t="shared" si="11"/>
        <v>0</v>
      </c>
      <c r="D377" s="5"/>
      <c r="E377" s="6">
        <f t="shared" si="10"/>
        <v>0</v>
      </c>
      <c r="F377" s="6">
        <f t="shared" si="10"/>
        <v>0</v>
      </c>
      <c r="G377" s="94">
        <f>'TB-Jan'!G377+'TB-Feb'!G377+'TB-Mar'!G377+'TB-Apr'!G377+'TB-May'!G377+'TB-Jun'!G377+'TB-Jul'!G377+'TB-Aug'!G377+'TB-Sep'!G377+'TB-Oct'!G377+'TB-Nov'!G377+'TB-Dec'!G377</f>
        <v>0</v>
      </c>
      <c r="H377" s="94">
        <f>'TB-Jan'!H377+'TB-Feb'!H377+'TB-Mar'!H377+'TB-Apr'!H377+'TB-May'!H377+'TB-Jun'!H377+'TB-Jul'!H377+'TB-Aug'!H377+'TB-Sep'!H377+'TB-Oct'!H377+'TB-Nov'!H377+'TB-Dec'!H377</f>
        <v>0</v>
      </c>
      <c r="I377" s="95">
        <f>'TB-Jan'!I377+'TB-Feb'!I377+'TB-Mar'!I377+'TB-Apr'!I377+'TB-May'!I377+'TB-Jun'!I377+'TB-Jul'!I377+'TB-Aug'!I377+'TB-Sep'!I377+'TB-Oct'!I377+'TB-Nov'!I377+'TB-Dec'!I377</f>
        <v>0</v>
      </c>
      <c r="J377" s="95">
        <f>'TB-Jan'!J377+'TB-Feb'!J377+'TB-Mar'!J377+'TB-Apr'!J377+'TB-May'!J377+'TB-Jun'!J377+'TB-Jul'!J377+'TB-Aug'!J377+'TB-Sep'!J377+'TB-Oct'!J377+'TB-Nov'!J377+'TB-Dec'!J377</f>
        <v>0</v>
      </c>
      <c r="K377" s="96">
        <f>'TB-Jan'!K377+'TB-Feb'!K377+'TB-Mar'!K377+'TB-Apr'!K377+'TB-May'!K377+'TB-Jun'!K377+'TB-Jul'!K377+'TB-Aug'!K377+'TB-Sep'!K377+'TB-Oct'!K377+'TB-Nov'!K377+'TB-Dec'!K377</f>
        <v>0</v>
      </c>
      <c r="L377" s="96">
        <f>'TB-Jan'!L377+'TB-Feb'!L377+'TB-Mar'!L377+'TB-Apr'!L377+'TB-May'!L377+'TB-Jun'!L377+'TB-Jul'!L377+'TB-Aug'!L377+'TB-Sep'!L377+'TB-Oct'!L377+'TB-Nov'!L377+'TB-Dec'!L377</f>
        <v>0</v>
      </c>
      <c r="M377" s="97">
        <f>'TB-Jan'!M377+'TB-Feb'!M377+'TB-Mar'!M377+'TB-Apr'!M377+'TB-May'!M377+'TB-Jun'!M377+'TB-Jul'!M377+'TB-Aug'!M377+'TB-Sep'!M377+'TB-Oct'!M377+'TB-Nov'!M377+'TB-Dec'!M377</f>
        <v>0</v>
      </c>
      <c r="N377" s="97">
        <f>'TB-Jan'!N377+'TB-Feb'!N377+'TB-Mar'!N377+'TB-Apr'!N377+'TB-May'!N377+'TB-Jun'!N377+'TB-Jul'!N377+'TB-Aug'!N377+'TB-Sep'!N377+'TB-Oct'!N377+'TB-Nov'!N377+'TB-Dec'!N377</f>
        <v>0</v>
      </c>
    </row>
    <row r="378" spans="1:14" hidden="1">
      <c r="A378" s="3" t="s">
        <v>714</v>
      </c>
      <c r="B378" s="4" t="s">
        <v>715</v>
      </c>
      <c r="C378" s="5">
        <f t="shared" si="11"/>
        <v>0</v>
      </c>
      <c r="D378" s="5"/>
      <c r="E378" s="6">
        <f t="shared" si="10"/>
        <v>0</v>
      </c>
      <c r="F378" s="6">
        <f t="shared" si="10"/>
        <v>0</v>
      </c>
      <c r="G378" s="94">
        <f>'TB-Jan'!G378+'TB-Feb'!G378+'TB-Mar'!G378+'TB-Apr'!G378+'TB-May'!G378+'TB-Jun'!G378+'TB-Jul'!G378+'TB-Aug'!G378+'TB-Sep'!G378+'TB-Oct'!G378+'TB-Nov'!G378+'TB-Dec'!G378</f>
        <v>0</v>
      </c>
      <c r="H378" s="94">
        <f>'TB-Jan'!H378+'TB-Feb'!H378+'TB-Mar'!H378+'TB-Apr'!H378+'TB-May'!H378+'TB-Jun'!H378+'TB-Jul'!H378+'TB-Aug'!H378+'TB-Sep'!H378+'TB-Oct'!H378+'TB-Nov'!H378+'TB-Dec'!H378</f>
        <v>0</v>
      </c>
      <c r="I378" s="95">
        <f>'TB-Jan'!I378+'TB-Feb'!I378+'TB-Mar'!I378+'TB-Apr'!I378+'TB-May'!I378+'TB-Jun'!I378+'TB-Jul'!I378+'TB-Aug'!I378+'TB-Sep'!I378+'TB-Oct'!I378+'TB-Nov'!I378+'TB-Dec'!I378</f>
        <v>0</v>
      </c>
      <c r="J378" s="95">
        <f>'TB-Jan'!J378+'TB-Feb'!J378+'TB-Mar'!J378+'TB-Apr'!J378+'TB-May'!J378+'TB-Jun'!J378+'TB-Jul'!J378+'TB-Aug'!J378+'TB-Sep'!J378+'TB-Oct'!J378+'TB-Nov'!J378+'TB-Dec'!J378</f>
        <v>0</v>
      </c>
      <c r="K378" s="96">
        <f>'TB-Jan'!K378+'TB-Feb'!K378+'TB-Mar'!K378+'TB-Apr'!K378+'TB-May'!K378+'TB-Jun'!K378+'TB-Jul'!K378+'TB-Aug'!K378+'TB-Sep'!K378+'TB-Oct'!K378+'TB-Nov'!K378+'TB-Dec'!K378</f>
        <v>0</v>
      </c>
      <c r="L378" s="96">
        <f>'TB-Jan'!L378+'TB-Feb'!L378+'TB-Mar'!L378+'TB-Apr'!L378+'TB-May'!L378+'TB-Jun'!L378+'TB-Jul'!L378+'TB-Aug'!L378+'TB-Sep'!L378+'TB-Oct'!L378+'TB-Nov'!L378+'TB-Dec'!L378</f>
        <v>0</v>
      </c>
      <c r="M378" s="97">
        <f>'TB-Jan'!M378+'TB-Feb'!M378+'TB-Mar'!M378+'TB-Apr'!M378+'TB-May'!M378+'TB-Jun'!M378+'TB-Jul'!M378+'TB-Aug'!M378+'TB-Sep'!M378+'TB-Oct'!M378+'TB-Nov'!M378+'TB-Dec'!M378</f>
        <v>0</v>
      </c>
      <c r="N378" s="97">
        <f>'TB-Jan'!N378+'TB-Feb'!N378+'TB-Mar'!N378+'TB-Apr'!N378+'TB-May'!N378+'TB-Jun'!N378+'TB-Jul'!N378+'TB-Aug'!N378+'TB-Sep'!N378+'TB-Oct'!N378+'TB-Nov'!N378+'TB-Dec'!N378</f>
        <v>0</v>
      </c>
    </row>
    <row r="379" spans="1:14" hidden="1">
      <c r="A379" s="3" t="s">
        <v>716</v>
      </c>
      <c r="B379" s="4" t="s">
        <v>717</v>
      </c>
      <c r="C379" s="5">
        <f t="shared" si="11"/>
        <v>0</v>
      </c>
      <c r="D379" s="5"/>
      <c r="E379" s="6">
        <f t="shared" si="10"/>
        <v>0</v>
      </c>
      <c r="F379" s="6">
        <f t="shared" si="10"/>
        <v>0</v>
      </c>
      <c r="G379" s="94">
        <f>'TB-Jan'!G379+'TB-Feb'!G379+'TB-Mar'!G379+'TB-Apr'!G379+'TB-May'!G379+'TB-Jun'!G379+'TB-Jul'!G379+'TB-Aug'!G379+'TB-Sep'!G379+'TB-Oct'!G379+'TB-Nov'!G379+'TB-Dec'!G379</f>
        <v>0</v>
      </c>
      <c r="H379" s="94">
        <f>'TB-Jan'!H379+'TB-Feb'!H379+'TB-Mar'!H379+'TB-Apr'!H379+'TB-May'!H379+'TB-Jun'!H379+'TB-Jul'!H379+'TB-Aug'!H379+'TB-Sep'!H379+'TB-Oct'!H379+'TB-Nov'!H379+'TB-Dec'!H379</f>
        <v>0</v>
      </c>
      <c r="I379" s="95">
        <f>'TB-Jan'!I379+'TB-Feb'!I379+'TB-Mar'!I379+'TB-Apr'!I379+'TB-May'!I379+'TB-Jun'!I379+'TB-Jul'!I379+'TB-Aug'!I379+'TB-Sep'!I379+'TB-Oct'!I379+'TB-Nov'!I379+'TB-Dec'!I379</f>
        <v>0</v>
      </c>
      <c r="J379" s="95">
        <f>'TB-Jan'!J379+'TB-Feb'!J379+'TB-Mar'!J379+'TB-Apr'!J379+'TB-May'!J379+'TB-Jun'!J379+'TB-Jul'!J379+'TB-Aug'!J379+'TB-Sep'!J379+'TB-Oct'!J379+'TB-Nov'!J379+'TB-Dec'!J379</f>
        <v>0</v>
      </c>
      <c r="K379" s="96">
        <f>'TB-Jan'!K379+'TB-Feb'!K379+'TB-Mar'!K379+'TB-Apr'!K379+'TB-May'!K379+'TB-Jun'!K379+'TB-Jul'!K379+'TB-Aug'!K379+'TB-Sep'!K379+'TB-Oct'!K379+'TB-Nov'!K379+'TB-Dec'!K379</f>
        <v>0</v>
      </c>
      <c r="L379" s="96">
        <f>'TB-Jan'!L379+'TB-Feb'!L379+'TB-Mar'!L379+'TB-Apr'!L379+'TB-May'!L379+'TB-Jun'!L379+'TB-Jul'!L379+'TB-Aug'!L379+'TB-Sep'!L379+'TB-Oct'!L379+'TB-Nov'!L379+'TB-Dec'!L379</f>
        <v>0</v>
      </c>
      <c r="M379" s="97">
        <f>'TB-Jan'!M379+'TB-Feb'!M379+'TB-Mar'!M379+'TB-Apr'!M379+'TB-May'!M379+'TB-Jun'!M379+'TB-Jul'!M379+'TB-Aug'!M379+'TB-Sep'!M379+'TB-Oct'!M379+'TB-Nov'!M379+'TB-Dec'!M379</f>
        <v>0</v>
      </c>
      <c r="N379" s="97">
        <f>'TB-Jan'!N379+'TB-Feb'!N379+'TB-Mar'!N379+'TB-Apr'!N379+'TB-May'!N379+'TB-Jun'!N379+'TB-Jul'!N379+'TB-Aug'!N379+'TB-Sep'!N379+'TB-Oct'!N379+'TB-Nov'!N379+'TB-Dec'!N379</f>
        <v>0</v>
      </c>
    </row>
    <row r="380" spans="1:14" hidden="1">
      <c r="A380" s="3" t="s">
        <v>718</v>
      </c>
      <c r="B380" s="4" t="s">
        <v>719</v>
      </c>
      <c r="C380" s="5">
        <f t="shared" si="11"/>
        <v>0</v>
      </c>
      <c r="D380" s="5"/>
      <c r="E380" s="6">
        <f t="shared" si="10"/>
        <v>0</v>
      </c>
      <c r="F380" s="6">
        <f t="shared" si="10"/>
        <v>0</v>
      </c>
      <c r="G380" s="94">
        <f>'TB-Jan'!G380+'TB-Feb'!G380+'TB-Mar'!G380+'TB-Apr'!G380+'TB-May'!G380+'TB-Jun'!G380+'TB-Jul'!G380+'TB-Aug'!G380+'TB-Sep'!G380+'TB-Oct'!G380+'TB-Nov'!G380+'TB-Dec'!G380</f>
        <v>0</v>
      </c>
      <c r="H380" s="94">
        <f>'TB-Jan'!H380+'TB-Feb'!H380+'TB-Mar'!H380+'TB-Apr'!H380+'TB-May'!H380+'TB-Jun'!H380+'TB-Jul'!H380+'TB-Aug'!H380+'TB-Sep'!H380+'TB-Oct'!H380+'TB-Nov'!H380+'TB-Dec'!H380</f>
        <v>0</v>
      </c>
      <c r="I380" s="95">
        <f>'TB-Jan'!I380+'TB-Feb'!I380+'TB-Mar'!I380+'TB-Apr'!I380+'TB-May'!I380+'TB-Jun'!I380+'TB-Jul'!I380+'TB-Aug'!I380+'TB-Sep'!I380+'TB-Oct'!I380+'TB-Nov'!I380+'TB-Dec'!I380</f>
        <v>0</v>
      </c>
      <c r="J380" s="95">
        <f>'TB-Jan'!J380+'TB-Feb'!J380+'TB-Mar'!J380+'TB-Apr'!J380+'TB-May'!J380+'TB-Jun'!J380+'TB-Jul'!J380+'TB-Aug'!J380+'TB-Sep'!J380+'TB-Oct'!J380+'TB-Nov'!J380+'TB-Dec'!J380</f>
        <v>0</v>
      </c>
      <c r="K380" s="96">
        <f>'TB-Jan'!K380+'TB-Feb'!K380+'TB-Mar'!K380+'TB-Apr'!K380+'TB-May'!K380+'TB-Jun'!K380+'TB-Jul'!K380+'TB-Aug'!K380+'TB-Sep'!K380+'TB-Oct'!K380+'TB-Nov'!K380+'TB-Dec'!K380</f>
        <v>0</v>
      </c>
      <c r="L380" s="96">
        <f>'TB-Jan'!L380+'TB-Feb'!L380+'TB-Mar'!L380+'TB-Apr'!L380+'TB-May'!L380+'TB-Jun'!L380+'TB-Jul'!L380+'TB-Aug'!L380+'TB-Sep'!L380+'TB-Oct'!L380+'TB-Nov'!L380+'TB-Dec'!L380</f>
        <v>0</v>
      </c>
      <c r="M380" s="97">
        <f>'TB-Jan'!M380+'TB-Feb'!M380+'TB-Mar'!M380+'TB-Apr'!M380+'TB-May'!M380+'TB-Jun'!M380+'TB-Jul'!M380+'TB-Aug'!M380+'TB-Sep'!M380+'TB-Oct'!M380+'TB-Nov'!M380+'TB-Dec'!M380</f>
        <v>0</v>
      </c>
      <c r="N380" s="97">
        <f>'TB-Jan'!N380+'TB-Feb'!N380+'TB-Mar'!N380+'TB-Apr'!N380+'TB-May'!N380+'TB-Jun'!N380+'TB-Jul'!N380+'TB-Aug'!N380+'TB-Sep'!N380+'TB-Oct'!N380+'TB-Nov'!N380+'TB-Dec'!N380</f>
        <v>0</v>
      </c>
    </row>
    <row r="381" spans="1:14" hidden="1">
      <c r="A381" s="3" t="s">
        <v>720</v>
      </c>
      <c r="B381" s="4" t="s">
        <v>721</v>
      </c>
      <c r="C381" s="5">
        <f t="shared" si="11"/>
        <v>0</v>
      </c>
      <c r="D381" s="5"/>
      <c r="E381" s="6">
        <f t="shared" si="10"/>
        <v>0</v>
      </c>
      <c r="F381" s="6">
        <f t="shared" si="10"/>
        <v>0</v>
      </c>
      <c r="G381" s="94">
        <f>'TB-Jan'!G381+'TB-Feb'!G381+'TB-Mar'!G381+'TB-Apr'!G381+'TB-May'!G381+'TB-Jun'!G381+'TB-Jul'!G381+'TB-Aug'!G381+'TB-Sep'!G381+'TB-Oct'!G381+'TB-Nov'!G381+'TB-Dec'!G381</f>
        <v>0</v>
      </c>
      <c r="H381" s="94">
        <f>'TB-Jan'!H381+'TB-Feb'!H381+'TB-Mar'!H381+'TB-Apr'!H381+'TB-May'!H381+'TB-Jun'!H381+'TB-Jul'!H381+'TB-Aug'!H381+'TB-Sep'!H381+'TB-Oct'!H381+'TB-Nov'!H381+'TB-Dec'!H381</f>
        <v>0</v>
      </c>
      <c r="I381" s="95">
        <f>'TB-Jan'!I381+'TB-Feb'!I381+'TB-Mar'!I381+'TB-Apr'!I381+'TB-May'!I381+'TB-Jun'!I381+'TB-Jul'!I381+'TB-Aug'!I381+'TB-Sep'!I381+'TB-Oct'!I381+'TB-Nov'!I381+'TB-Dec'!I381</f>
        <v>0</v>
      </c>
      <c r="J381" s="95">
        <f>'TB-Jan'!J381+'TB-Feb'!J381+'TB-Mar'!J381+'TB-Apr'!J381+'TB-May'!J381+'TB-Jun'!J381+'TB-Jul'!J381+'TB-Aug'!J381+'TB-Sep'!J381+'TB-Oct'!J381+'TB-Nov'!J381+'TB-Dec'!J381</f>
        <v>0</v>
      </c>
      <c r="K381" s="96">
        <f>'TB-Jan'!K381+'TB-Feb'!K381+'TB-Mar'!K381+'TB-Apr'!K381+'TB-May'!K381+'TB-Jun'!K381+'TB-Jul'!K381+'TB-Aug'!K381+'TB-Sep'!K381+'TB-Oct'!K381+'TB-Nov'!K381+'TB-Dec'!K381</f>
        <v>0</v>
      </c>
      <c r="L381" s="96">
        <f>'TB-Jan'!L381+'TB-Feb'!L381+'TB-Mar'!L381+'TB-Apr'!L381+'TB-May'!L381+'TB-Jun'!L381+'TB-Jul'!L381+'TB-Aug'!L381+'TB-Sep'!L381+'TB-Oct'!L381+'TB-Nov'!L381+'TB-Dec'!L381</f>
        <v>0</v>
      </c>
      <c r="M381" s="97">
        <f>'TB-Jan'!M381+'TB-Feb'!M381+'TB-Mar'!M381+'TB-Apr'!M381+'TB-May'!M381+'TB-Jun'!M381+'TB-Jul'!M381+'TB-Aug'!M381+'TB-Sep'!M381+'TB-Oct'!M381+'TB-Nov'!M381+'TB-Dec'!M381</f>
        <v>0</v>
      </c>
      <c r="N381" s="97">
        <f>'TB-Jan'!N381+'TB-Feb'!N381+'TB-Mar'!N381+'TB-Apr'!N381+'TB-May'!N381+'TB-Jun'!N381+'TB-Jul'!N381+'TB-Aug'!N381+'TB-Sep'!N381+'TB-Oct'!N381+'TB-Nov'!N381+'TB-Dec'!N381</f>
        <v>0</v>
      </c>
    </row>
    <row r="382" spans="1:14" hidden="1">
      <c r="A382" s="3" t="s">
        <v>722</v>
      </c>
      <c r="B382" s="4" t="s">
        <v>723</v>
      </c>
      <c r="C382" s="5">
        <f t="shared" si="11"/>
        <v>0</v>
      </c>
      <c r="D382" s="5"/>
      <c r="E382" s="6">
        <f t="shared" si="10"/>
        <v>0</v>
      </c>
      <c r="F382" s="6">
        <f t="shared" si="10"/>
        <v>0</v>
      </c>
      <c r="G382" s="94">
        <f>'TB-Jan'!G382+'TB-Feb'!G382+'TB-Mar'!G382+'TB-Apr'!G382+'TB-May'!G382+'TB-Jun'!G382+'TB-Jul'!G382+'TB-Aug'!G382+'TB-Sep'!G382+'TB-Oct'!G382+'TB-Nov'!G382+'TB-Dec'!G382</f>
        <v>0</v>
      </c>
      <c r="H382" s="94">
        <f>'TB-Jan'!H382+'TB-Feb'!H382+'TB-Mar'!H382+'TB-Apr'!H382+'TB-May'!H382+'TB-Jun'!H382+'TB-Jul'!H382+'TB-Aug'!H382+'TB-Sep'!H382+'TB-Oct'!H382+'TB-Nov'!H382+'TB-Dec'!H382</f>
        <v>0</v>
      </c>
      <c r="I382" s="95">
        <f>'TB-Jan'!I382+'TB-Feb'!I382+'TB-Mar'!I382+'TB-Apr'!I382+'TB-May'!I382+'TB-Jun'!I382+'TB-Jul'!I382+'TB-Aug'!I382+'TB-Sep'!I382+'TB-Oct'!I382+'TB-Nov'!I382+'TB-Dec'!I382</f>
        <v>0</v>
      </c>
      <c r="J382" s="95">
        <f>'TB-Jan'!J382+'TB-Feb'!J382+'TB-Mar'!J382+'TB-Apr'!J382+'TB-May'!J382+'TB-Jun'!J382+'TB-Jul'!J382+'TB-Aug'!J382+'TB-Sep'!J382+'TB-Oct'!J382+'TB-Nov'!J382+'TB-Dec'!J382</f>
        <v>0</v>
      </c>
      <c r="K382" s="96">
        <f>'TB-Jan'!K382+'TB-Feb'!K382+'TB-Mar'!K382+'TB-Apr'!K382+'TB-May'!K382+'TB-Jun'!K382+'TB-Jul'!K382+'TB-Aug'!K382+'TB-Sep'!K382+'TB-Oct'!K382+'TB-Nov'!K382+'TB-Dec'!K382</f>
        <v>0</v>
      </c>
      <c r="L382" s="96">
        <f>'TB-Jan'!L382+'TB-Feb'!L382+'TB-Mar'!L382+'TB-Apr'!L382+'TB-May'!L382+'TB-Jun'!L382+'TB-Jul'!L382+'TB-Aug'!L382+'TB-Sep'!L382+'TB-Oct'!L382+'TB-Nov'!L382+'TB-Dec'!L382</f>
        <v>0</v>
      </c>
      <c r="M382" s="97">
        <f>'TB-Jan'!M382+'TB-Feb'!M382+'TB-Mar'!M382+'TB-Apr'!M382+'TB-May'!M382+'TB-Jun'!M382+'TB-Jul'!M382+'TB-Aug'!M382+'TB-Sep'!M382+'TB-Oct'!M382+'TB-Nov'!M382+'TB-Dec'!M382</f>
        <v>0</v>
      </c>
      <c r="N382" s="97">
        <f>'TB-Jan'!N382+'TB-Feb'!N382+'TB-Mar'!N382+'TB-Apr'!N382+'TB-May'!N382+'TB-Jun'!N382+'TB-Jul'!N382+'TB-Aug'!N382+'TB-Sep'!N382+'TB-Oct'!N382+'TB-Nov'!N382+'TB-Dec'!N382</f>
        <v>0</v>
      </c>
    </row>
    <row r="383" spans="1:14" hidden="1">
      <c r="A383" s="3" t="s">
        <v>724</v>
      </c>
      <c r="B383" s="4" t="s">
        <v>725</v>
      </c>
      <c r="C383" s="5">
        <f t="shared" si="11"/>
        <v>0</v>
      </c>
      <c r="D383" s="5"/>
      <c r="E383" s="6">
        <f t="shared" si="10"/>
        <v>0</v>
      </c>
      <c r="F383" s="6">
        <f t="shared" si="10"/>
        <v>0</v>
      </c>
      <c r="G383" s="94">
        <f>'TB-Jan'!G383+'TB-Feb'!G383+'TB-Mar'!G383+'TB-Apr'!G383+'TB-May'!G383+'TB-Jun'!G383+'TB-Jul'!G383+'TB-Aug'!G383+'TB-Sep'!G383+'TB-Oct'!G383+'TB-Nov'!G383+'TB-Dec'!G383</f>
        <v>0</v>
      </c>
      <c r="H383" s="94">
        <f>'TB-Jan'!H383+'TB-Feb'!H383+'TB-Mar'!H383+'TB-Apr'!H383+'TB-May'!H383+'TB-Jun'!H383+'TB-Jul'!H383+'TB-Aug'!H383+'TB-Sep'!H383+'TB-Oct'!H383+'TB-Nov'!H383+'TB-Dec'!H383</f>
        <v>0</v>
      </c>
      <c r="I383" s="95">
        <f>'TB-Jan'!I383+'TB-Feb'!I383+'TB-Mar'!I383+'TB-Apr'!I383+'TB-May'!I383+'TB-Jun'!I383+'TB-Jul'!I383+'TB-Aug'!I383+'TB-Sep'!I383+'TB-Oct'!I383+'TB-Nov'!I383+'TB-Dec'!I383</f>
        <v>0</v>
      </c>
      <c r="J383" s="95">
        <f>'TB-Jan'!J383+'TB-Feb'!J383+'TB-Mar'!J383+'TB-Apr'!J383+'TB-May'!J383+'TB-Jun'!J383+'TB-Jul'!J383+'TB-Aug'!J383+'TB-Sep'!J383+'TB-Oct'!J383+'TB-Nov'!J383+'TB-Dec'!J383</f>
        <v>0</v>
      </c>
      <c r="K383" s="96">
        <f>'TB-Jan'!K383+'TB-Feb'!K383+'TB-Mar'!K383+'TB-Apr'!K383+'TB-May'!K383+'TB-Jun'!K383+'TB-Jul'!K383+'TB-Aug'!K383+'TB-Sep'!K383+'TB-Oct'!K383+'TB-Nov'!K383+'TB-Dec'!K383</f>
        <v>0</v>
      </c>
      <c r="L383" s="96">
        <f>'TB-Jan'!L383+'TB-Feb'!L383+'TB-Mar'!L383+'TB-Apr'!L383+'TB-May'!L383+'TB-Jun'!L383+'TB-Jul'!L383+'TB-Aug'!L383+'TB-Sep'!L383+'TB-Oct'!L383+'TB-Nov'!L383+'TB-Dec'!L383</f>
        <v>0</v>
      </c>
      <c r="M383" s="97">
        <f>'TB-Jan'!M383+'TB-Feb'!M383+'TB-Mar'!M383+'TB-Apr'!M383+'TB-May'!M383+'TB-Jun'!M383+'TB-Jul'!M383+'TB-Aug'!M383+'TB-Sep'!M383+'TB-Oct'!M383+'TB-Nov'!M383+'TB-Dec'!M383</f>
        <v>0</v>
      </c>
      <c r="N383" s="97">
        <f>'TB-Jan'!N383+'TB-Feb'!N383+'TB-Mar'!N383+'TB-Apr'!N383+'TB-May'!N383+'TB-Jun'!N383+'TB-Jul'!N383+'TB-Aug'!N383+'TB-Sep'!N383+'TB-Oct'!N383+'TB-Nov'!N383+'TB-Dec'!N383</f>
        <v>0</v>
      </c>
    </row>
    <row r="384" spans="1:14" hidden="1">
      <c r="A384" s="3" t="s">
        <v>726</v>
      </c>
      <c r="B384" s="4" t="s">
        <v>727</v>
      </c>
      <c r="C384" s="5">
        <f t="shared" si="11"/>
        <v>0</v>
      </c>
      <c r="D384" s="5"/>
      <c r="E384" s="6">
        <f t="shared" si="10"/>
        <v>0</v>
      </c>
      <c r="F384" s="6">
        <f t="shared" si="10"/>
        <v>0</v>
      </c>
      <c r="G384" s="94">
        <f>'TB-Jan'!G384+'TB-Feb'!G384+'TB-Mar'!G384+'TB-Apr'!G384+'TB-May'!G384+'TB-Jun'!G384+'TB-Jul'!G384+'TB-Aug'!G384+'TB-Sep'!G384+'TB-Oct'!G384+'TB-Nov'!G384+'TB-Dec'!G384</f>
        <v>0</v>
      </c>
      <c r="H384" s="94">
        <f>'TB-Jan'!H384+'TB-Feb'!H384+'TB-Mar'!H384+'TB-Apr'!H384+'TB-May'!H384+'TB-Jun'!H384+'TB-Jul'!H384+'TB-Aug'!H384+'TB-Sep'!H384+'TB-Oct'!H384+'TB-Nov'!H384+'TB-Dec'!H384</f>
        <v>0</v>
      </c>
      <c r="I384" s="95">
        <f>'TB-Jan'!I384+'TB-Feb'!I384+'TB-Mar'!I384+'TB-Apr'!I384+'TB-May'!I384+'TB-Jun'!I384+'TB-Jul'!I384+'TB-Aug'!I384+'TB-Sep'!I384+'TB-Oct'!I384+'TB-Nov'!I384+'TB-Dec'!I384</f>
        <v>0</v>
      </c>
      <c r="J384" s="95">
        <f>'TB-Jan'!J384+'TB-Feb'!J384+'TB-Mar'!J384+'TB-Apr'!J384+'TB-May'!J384+'TB-Jun'!J384+'TB-Jul'!J384+'TB-Aug'!J384+'TB-Sep'!J384+'TB-Oct'!J384+'TB-Nov'!J384+'TB-Dec'!J384</f>
        <v>0</v>
      </c>
      <c r="K384" s="96">
        <f>'TB-Jan'!K384+'TB-Feb'!K384+'TB-Mar'!K384+'TB-Apr'!K384+'TB-May'!K384+'TB-Jun'!K384+'TB-Jul'!K384+'TB-Aug'!K384+'TB-Sep'!K384+'TB-Oct'!K384+'TB-Nov'!K384+'TB-Dec'!K384</f>
        <v>0</v>
      </c>
      <c r="L384" s="96">
        <f>'TB-Jan'!L384+'TB-Feb'!L384+'TB-Mar'!L384+'TB-Apr'!L384+'TB-May'!L384+'TB-Jun'!L384+'TB-Jul'!L384+'TB-Aug'!L384+'TB-Sep'!L384+'TB-Oct'!L384+'TB-Nov'!L384+'TB-Dec'!L384</f>
        <v>0</v>
      </c>
      <c r="M384" s="97">
        <f>'TB-Jan'!M384+'TB-Feb'!M384+'TB-Mar'!M384+'TB-Apr'!M384+'TB-May'!M384+'TB-Jun'!M384+'TB-Jul'!M384+'TB-Aug'!M384+'TB-Sep'!M384+'TB-Oct'!M384+'TB-Nov'!M384+'TB-Dec'!M384</f>
        <v>0</v>
      </c>
      <c r="N384" s="97">
        <f>'TB-Jan'!N384+'TB-Feb'!N384+'TB-Mar'!N384+'TB-Apr'!N384+'TB-May'!N384+'TB-Jun'!N384+'TB-Jul'!N384+'TB-Aug'!N384+'TB-Sep'!N384+'TB-Oct'!N384+'TB-Nov'!N384+'TB-Dec'!N384</f>
        <v>0</v>
      </c>
    </row>
    <row r="385" spans="1:14" hidden="1">
      <c r="A385" s="3" t="s">
        <v>728</v>
      </c>
      <c r="B385" s="4" t="s">
        <v>729</v>
      </c>
      <c r="C385" s="5">
        <f t="shared" si="11"/>
        <v>0</v>
      </c>
      <c r="D385" s="5"/>
      <c r="E385" s="6">
        <f t="shared" si="10"/>
        <v>0</v>
      </c>
      <c r="F385" s="6">
        <f t="shared" si="10"/>
        <v>0</v>
      </c>
      <c r="G385" s="94">
        <f>'TB-Jan'!G385+'TB-Feb'!G385+'TB-Mar'!G385+'TB-Apr'!G385+'TB-May'!G385+'TB-Jun'!G385+'TB-Jul'!G385+'TB-Aug'!G385+'TB-Sep'!G385+'TB-Oct'!G385+'TB-Nov'!G385+'TB-Dec'!G385</f>
        <v>0</v>
      </c>
      <c r="H385" s="94">
        <f>'TB-Jan'!H385+'TB-Feb'!H385+'TB-Mar'!H385+'TB-Apr'!H385+'TB-May'!H385+'TB-Jun'!H385+'TB-Jul'!H385+'TB-Aug'!H385+'TB-Sep'!H385+'TB-Oct'!H385+'TB-Nov'!H385+'TB-Dec'!H385</f>
        <v>0</v>
      </c>
      <c r="I385" s="95">
        <f>'TB-Jan'!I385+'TB-Feb'!I385+'TB-Mar'!I385+'TB-Apr'!I385+'TB-May'!I385+'TB-Jun'!I385+'TB-Jul'!I385+'TB-Aug'!I385+'TB-Sep'!I385+'TB-Oct'!I385+'TB-Nov'!I385+'TB-Dec'!I385</f>
        <v>0</v>
      </c>
      <c r="J385" s="95">
        <f>'TB-Jan'!J385+'TB-Feb'!J385+'TB-Mar'!J385+'TB-Apr'!J385+'TB-May'!J385+'TB-Jun'!J385+'TB-Jul'!J385+'TB-Aug'!J385+'TB-Sep'!J385+'TB-Oct'!J385+'TB-Nov'!J385+'TB-Dec'!J385</f>
        <v>0</v>
      </c>
      <c r="K385" s="96">
        <f>'TB-Jan'!K385+'TB-Feb'!K385+'TB-Mar'!K385+'TB-Apr'!K385+'TB-May'!K385+'TB-Jun'!K385+'TB-Jul'!K385+'TB-Aug'!K385+'TB-Sep'!K385+'TB-Oct'!K385+'TB-Nov'!K385+'TB-Dec'!K385</f>
        <v>0</v>
      </c>
      <c r="L385" s="96">
        <f>'TB-Jan'!L385+'TB-Feb'!L385+'TB-Mar'!L385+'TB-Apr'!L385+'TB-May'!L385+'TB-Jun'!L385+'TB-Jul'!L385+'TB-Aug'!L385+'TB-Sep'!L385+'TB-Oct'!L385+'TB-Nov'!L385+'TB-Dec'!L385</f>
        <v>0</v>
      </c>
      <c r="M385" s="97">
        <f>'TB-Jan'!M385+'TB-Feb'!M385+'TB-Mar'!M385+'TB-Apr'!M385+'TB-May'!M385+'TB-Jun'!M385+'TB-Jul'!M385+'TB-Aug'!M385+'TB-Sep'!M385+'TB-Oct'!M385+'TB-Nov'!M385+'TB-Dec'!M385</f>
        <v>0</v>
      </c>
      <c r="N385" s="97">
        <f>'TB-Jan'!N385+'TB-Feb'!N385+'TB-Mar'!N385+'TB-Apr'!N385+'TB-May'!N385+'TB-Jun'!N385+'TB-Jul'!N385+'TB-Aug'!N385+'TB-Sep'!N385+'TB-Oct'!N385+'TB-Nov'!N385+'TB-Dec'!N385</f>
        <v>0</v>
      </c>
    </row>
    <row r="386" spans="1:14" hidden="1">
      <c r="A386" s="3" t="s">
        <v>730</v>
      </c>
      <c r="B386" s="4" t="s">
        <v>731</v>
      </c>
      <c r="C386" s="5">
        <f t="shared" si="11"/>
        <v>0</v>
      </c>
      <c r="D386" s="5"/>
      <c r="E386" s="6">
        <f t="shared" si="10"/>
        <v>0</v>
      </c>
      <c r="F386" s="6">
        <f t="shared" si="10"/>
        <v>0</v>
      </c>
      <c r="G386" s="94">
        <f>'TB-Jan'!G386+'TB-Feb'!G386+'TB-Mar'!G386+'TB-Apr'!G386+'TB-May'!G386+'TB-Jun'!G386+'TB-Jul'!G386+'TB-Aug'!G386+'TB-Sep'!G386+'TB-Oct'!G386+'TB-Nov'!G386+'TB-Dec'!G386</f>
        <v>0</v>
      </c>
      <c r="H386" s="94">
        <f>'TB-Jan'!H386+'TB-Feb'!H386+'TB-Mar'!H386+'TB-Apr'!H386+'TB-May'!H386+'TB-Jun'!H386+'TB-Jul'!H386+'TB-Aug'!H386+'TB-Sep'!H386+'TB-Oct'!H386+'TB-Nov'!H386+'TB-Dec'!H386</f>
        <v>0</v>
      </c>
      <c r="I386" s="95">
        <f>'TB-Jan'!I386+'TB-Feb'!I386+'TB-Mar'!I386+'TB-Apr'!I386+'TB-May'!I386+'TB-Jun'!I386+'TB-Jul'!I386+'TB-Aug'!I386+'TB-Sep'!I386+'TB-Oct'!I386+'TB-Nov'!I386+'TB-Dec'!I386</f>
        <v>0</v>
      </c>
      <c r="J386" s="95">
        <f>'TB-Jan'!J386+'TB-Feb'!J386+'TB-Mar'!J386+'TB-Apr'!J386+'TB-May'!J386+'TB-Jun'!J386+'TB-Jul'!J386+'TB-Aug'!J386+'TB-Sep'!J386+'TB-Oct'!J386+'TB-Nov'!J386+'TB-Dec'!J386</f>
        <v>0</v>
      </c>
      <c r="K386" s="96">
        <f>'TB-Jan'!K386+'TB-Feb'!K386+'TB-Mar'!K386+'TB-Apr'!K386+'TB-May'!K386+'TB-Jun'!K386+'TB-Jul'!K386+'TB-Aug'!K386+'TB-Sep'!K386+'TB-Oct'!K386+'TB-Nov'!K386+'TB-Dec'!K386</f>
        <v>0</v>
      </c>
      <c r="L386" s="96">
        <f>'TB-Jan'!L386+'TB-Feb'!L386+'TB-Mar'!L386+'TB-Apr'!L386+'TB-May'!L386+'TB-Jun'!L386+'TB-Jul'!L386+'TB-Aug'!L386+'TB-Sep'!L386+'TB-Oct'!L386+'TB-Nov'!L386+'TB-Dec'!L386</f>
        <v>0</v>
      </c>
      <c r="M386" s="97">
        <f>'TB-Jan'!M386+'TB-Feb'!M386+'TB-Mar'!M386+'TB-Apr'!M386+'TB-May'!M386+'TB-Jun'!M386+'TB-Jul'!M386+'TB-Aug'!M386+'TB-Sep'!M386+'TB-Oct'!M386+'TB-Nov'!M386+'TB-Dec'!M386</f>
        <v>0</v>
      </c>
      <c r="N386" s="97">
        <f>'TB-Jan'!N386+'TB-Feb'!N386+'TB-Mar'!N386+'TB-Apr'!N386+'TB-May'!N386+'TB-Jun'!N386+'TB-Jul'!N386+'TB-Aug'!N386+'TB-Sep'!N386+'TB-Oct'!N386+'TB-Nov'!N386+'TB-Dec'!N386</f>
        <v>0</v>
      </c>
    </row>
    <row r="387" spans="1:14" hidden="1">
      <c r="A387" s="3" t="s">
        <v>732</v>
      </c>
      <c r="B387" s="4" t="s">
        <v>733</v>
      </c>
      <c r="C387" s="5">
        <f t="shared" si="11"/>
        <v>0</v>
      </c>
      <c r="D387" s="5"/>
      <c r="E387" s="6">
        <f t="shared" si="10"/>
        <v>0</v>
      </c>
      <c r="F387" s="6">
        <f t="shared" si="10"/>
        <v>0</v>
      </c>
      <c r="G387" s="94">
        <f>'TB-Jan'!G387+'TB-Feb'!G387+'TB-Mar'!G387+'TB-Apr'!G387+'TB-May'!G387+'TB-Jun'!G387+'TB-Jul'!G387+'TB-Aug'!G387+'TB-Sep'!G387+'TB-Oct'!G387+'TB-Nov'!G387+'TB-Dec'!G387</f>
        <v>0</v>
      </c>
      <c r="H387" s="94">
        <f>'TB-Jan'!H387+'TB-Feb'!H387+'TB-Mar'!H387+'TB-Apr'!H387+'TB-May'!H387+'TB-Jun'!H387+'TB-Jul'!H387+'TB-Aug'!H387+'TB-Sep'!H387+'TB-Oct'!H387+'TB-Nov'!H387+'TB-Dec'!H387</f>
        <v>0</v>
      </c>
      <c r="I387" s="95">
        <f>'TB-Jan'!I387+'TB-Feb'!I387+'TB-Mar'!I387+'TB-Apr'!I387+'TB-May'!I387+'TB-Jun'!I387+'TB-Jul'!I387+'TB-Aug'!I387+'TB-Sep'!I387+'TB-Oct'!I387+'TB-Nov'!I387+'TB-Dec'!I387</f>
        <v>0</v>
      </c>
      <c r="J387" s="95">
        <f>'TB-Jan'!J387+'TB-Feb'!J387+'TB-Mar'!J387+'TB-Apr'!J387+'TB-May'!J387+'TB-Jun'!J387+'TB-Jul'!J387+'TB-Aug'!J387+'TB-Sep'!J387+'TB-Oct'!J387+'TB-Nov'!J387+'TB-Dec'!J387</f>
        <v>0</v>
      </c>
      <c r="K387" s="96">
        <f>'TB-Jan'!K387+'TB-Feb'!K387+'TB-Mar'!K387+'TB-Apr'!K387+'TB-May'!K387+'TB-Jun'!K387+'TB-Jul'!K387+'TB-Aug'!K387+'TB-Sep'!K387+'TB-Oct'!K387+'TB-Nov'!K387+'TB-Dec'!K387</f>
        <v>0</v>
      </c>
      <c r="L387" s="96">
        <f>'TB-Jan'!L387+'TB-Feb'!L387+'TB-Mar'!L387+'TB-Apr'!L387+'TB-May'!L387+'TB-Jun'!L387+'TB-Jul'!L387+'TB-Aug'!L387+'TB-Sep'!L387+'TB-Oct'!L387+'TB-Nov'!L387+'TB-Dec'!L387</f>
        <v>0</v>
      </c>
      <c r="M387" s="97">
        <f>'TB-Jan'!M387+'TB-Feb'!M387+'TB-Mar'!M387+'TB-Apr'!M387+'TB-May'!M387+'TB-Jun'!M387+'TB-Jul'!M387+'TB-Aug'!M387+'TB-Sep'!M387+'TB-Oct'!M387+'TB-Nov'!M387+'TB-Dec'!M387</f>
        <v>0</v>
      </c>
      <c r="N387" s="97">
        <f>'TB-Jan'!N387+'TB-Feb'!N387+'TB-Mar'!N387+'TB-Apr'!N387+'TB-May'!N387+'TB-Jun'!N387+'TB-Jul'!N387+'TB-Aug'!N387+'TB-Sep'!N387+'TB-Oct'!N387+'TB-Nov'!N387+'TB-Dec'!N387</f>
        <v>0</v>
      </c>
    </row>
    <row r="388" spans="1:14" hidden="1">
      <c r="A388" s="3" t="s">
        <v>734</v>
      </c>
      <c r="B388" s="4" t="s">
        <v>735</v>
      </c>
      <c r="C388" s="5">
        <f t="shared" si="11"/>
        <v>0</v>
      </c>
      <c r="D388" s="5"/>
      <c r="E388" s="6">
        <f t="shared" si="10"/>
        <v>0</v>
      </c>
      <c r="F388" s="6">
        <f t="shared" si="10"/>
        <v>0</v>
      </c>
      <c r="G388" s="94">
        <f>'TB-Jan'!G388+'TB-Feb'!G388+'TB-Mar'!G388+'TB-Apr'!G388+'TB-May'!G388+'TB-Jun'!G388+'TB-Jul'!G388+'TB-Aug'!G388+'TB-Sep'!G388+'TB-Oct'!G388+'TB-Nov'!G388+'TB-Dec'!G388</f>
        <v>0</v>
      </c>
      <c r="H388" s="94">
        <f>'TB-Jan'!H388+'TB-Feb'!H388+'TB-Mar'!H388+'TB-Apr'!H388+'TB-May'!H388+'TB-Jun'!H388+'TB-Jul'!H388+'TB-Aug'!H388+'TB-Sep'!H388+'TB-Oct'!H388+'TB-Nov'!H388+'TB-Dec'!H388</f>
        <v>0</v>
      </c>
      <c r="I388" s="95">
        <f>'TB-Jan'!I388+'TB-Feb'!I388+'TB-Mar'!I388+'TB-Apr'!I388+'TB-May'!I388+'TB-Jun'!I388+'TB-Jul'!I388+'TB-Aug'!I388+'TB-Sep'!I388+'TB-Oct'!I388+'TB-Nov'!I388+'TB-Dec'!I388</f>
        <v>0</v>
      </c>
      <c r="J388" s="95">
        <f>'TB-Jan'!J388+'TB-Feb'!J388+'TB-Mar'!J388+'TB-Apr'!J388+'TB-May'!J388+'TB-Jun'!J388+'TB-Jul'!J388+'TB-Aug'!J388+'TB-Sep'!J388+'TB-Oct'!J388+'TB-Nov'!J388+'TB-Dec'!J388</f>
        <v>0</v>
      </c>
      <c r="K388" s="96">
        <f>'TB-Jan'!K388+'TB-Feb'!K388+'TB-Mar'!K388+'TB-Apr'!K388+'TB-May'!K388+'TB-Jun'!K388+'TB-Jul'!K388+'TB-Aug'!K388+'TB-Sep'!K388+'TB-Oct'!K388+'TB-Nov'!K388+'TB-Dec'!K388</f>
        <v>0</v>
      </c>
      <c r="L388" s="96">
        <f>'TB-Jan'!L388+'TB-Feb'!L388+'TB-Mar'!L388+'TB-Apr'!L388+'TB-May'!L388+'TB-Jun'!L388+'TB-Jul'!L388+'TB-Aug'!L388+'TB-Sep'!L388+'TB-Oct'!L388+'TB-Nov'!L388+'TB-Dec'!L388</f>
        <v>0</v>
      </c>
      <c r="M388" s="97">
        <f>'TB-Jan'!M388+'TB-Feb'!M388+'TB-Mar'!M388+'TB-Apr'!M388+'TB-May'!M388+'TB-Jun'!M388+'TB-Jul'!M388+'TB-Aug'!M388+'TB-Sep'!M388+'TB-Oct'!M388+'TB-Nov'!M388+'TB-Dec'!M388</f>
        <v>0</v>
      </c>
      <c r="N388" s="97">
        <f>'TB-Jan'!N388+'TB-Feb'!N388+'TB-Mar'!N388+'TB-Apr'!N388+'TB-May'!N388+'TB-Jun'!N388+'TB-Jul'!N388+'TB-Aug'!N388+'TB-Sep'!N388+'TB-Oct'!N388+'TB-Nov'!N388+'TB-Dec'!N388</f>
        <v>0</v>
      </c>
    </row>
    <row r="389" spans="1:14" hidden="1">
      <c r="A389" s="3" t="s">
        <v>736</v>
      </c>
      <c r="B389" s="4" t="s">
        <v>737</v>
      </c>
      <c r="C389" s="5">
        <f t="shared" si="11"/>
        <v>0</v>
      </c>
      <c r="D389" s="5"/>
      <c r="E389" s="6">
        <f t="shared" si="10"/>
        <v>0</v>
      </c>
      <c r="F389" s="6">
        <f t="shared" si="10"/>
        <v>0</v>
      </c>
      <c r="G389" s="94">
        <f>'TB-Jan'!G389+'TB-Feb'!G389+'TB-Mar'!G389+'TB-Apr'!G389+'TB-May'!G389+'TB-Jun'!G389+'TB-Jul'!G389+'TB-Aug'!G389+'TB-Sep'!G389+'TB-Oct'!G389+'TB-Nov'!G389+'TB-Dec'!G389</f>
        <v>0</v>
      </c>
      <c r="H389" s="94">
        <f>'TB-Jan'!H389+'TB-Feb'!H389+'TB-Mar'!H389+'TB-Apr'!H389+'TB-May'!H389+'TB-Jun'!H389+'TB-Jul'!H389+'TB-Aug'!H389+'TB-Sep'!H389+'TB-Oct'!H389+'TB-Nov'!H389+'TB-Dec'!H389</f>
        <v>0</v>
      </c>
      <c r="I389" s="95">
        <f>'TB-Jan'!I389+'TB-Feb'!I389+'TB-Mar'!I389+'TB-Apr'!I389+'TB-May'!I389+'TB-Jun'!I389+'TB-Jul'!I389+'TB-Aug'!I389+'TB-Sep'!I389+'TB-Oct'!I389+'TB-Nov'!I389+'TB-Dec'!I389</f>
        <v>0</v>
      </c>
      <c r="J389" s="95">
        <f>'TB-Jan'!J389+'TB-Feb'!J389+'TB-Mar'!J389+'TB-Apr'!J389+'TB-May'!J389+'TB-Jun'!J389+'TB-Jul'!J389+'TB-Aug'!J389+'TB-Sep'!J389+'TB-Oct'!J389+'TB-Nov'!J389+'TB-Dec'!J389</f>
        <v>0</v>
      </c>
      <c r="K389" s="96">
        <f>'TB-Jan'!K389+'TB-Feb'!K389+'TB-Mar'!K389+'TB-Apr'!K389+'TB-May'!K389+'TB-Jun'!K389+'TB-Jul'!K389+'TB-Aug'!K389+'TB-Sep'!K389+'TB-Oct'!K389+'TB-Nov'!K389+'TB-Dec'!K389</f>
        <v>0</v>
      </c>
      <c r="L389" s="96">
        <f>'TB-Jan'!L389+'TB-Feb'!L389+'TB-Mar'!L389+'TB-Apr'!L389+'TB-May'!L389+'TB-Jun'!L389+'TB-Jul'!L389+'TB-Aug'!L389+'TB-Sep'!L389+'TB-Oct'!L389+'TB-Nov'!L389+'TB-Dec'!L389</f>
        <v>0</v>
      </c>
      <c r="M389" s="97">
        <f>'TB-Jan'!M389+'TB-Feb'!M389+'TB-Mar'!M389+'TB-Apr'!M389+'TB-May'!M389+'TB-Jun'!M389+'TB-Jul'!M389+'TB-Aug'!M389+'TB-Sep'!M389+'TB-Oct'!M389+'TB-Nov'!M389+'TB-Dec'!M389</f>
        <v>0</v>
      </c>
      <c r="N389" s="97">
        <f>'TB-Jan'!N389+'TB-Feb'!N389+'TB-Mar'!N389+'TB-Apr'!N389+'TB-May'!N389+'TB-Jun'!N389+'TB-Jul'!N389+'TB-Aug'!N389+'TB-Sep'!N389+'TB-Oct'!N389+'TB-Nov'!N389+'TB-Dec'!N389</f>
        <v>0</v>
      </c>
    </row>
    <row r="390" spans="1:14" hidden="1">
      <c r="A390" s="3" t="s">
        <v>738</v>
      </c>
      <c r="B390" s="4" t="s">
        <v>739</v>
      </c>
      <c r="C390" s="5">
        <f t="shared" si="11"/>
        <v>0</v>
      </c>
      <c r="D390" s="5"/>
      <c r="E390" s="6">
        <f t="shared" si="10"/>
        <v>0</v>
      </c>
      <c r="F390" s="6">
        <f t="shared" si="10"/>
        <v>0</v>
      </c>
      <c r="G390" s="94">
        <f>'TB-Jan'!G390+'TB-Feb'!G390+'TB-Mar'!G390+'TB-Apr'!G390+'TB-May'!G390+'TB-Jun'!G390+'TB-Jul'!G390+'TB-Aug'!G390+'TB-Sep'!G390+'TB-Oct'!G390+'TB-Nov'!G390+'TB-Dec'!G390</f>
        <v>0</v>
      </c>
      <c r="H390" s="94">
        <f>'TB-Jan'!H390+'TB-Feb'!H390+'TB-Mar'!H390+'TB-Apr'!H390+'TB-May'!H390+'TB-Jun'!H390+'TB-Jul'!H390+'TB-Aug'!H390+'TB-Sep'!H390+'TB-Oct'!H390+'TB-Nov'!H390+'TB-Dec'!H390</f>
        <v>0</v>
      </c>
      <c r="I390" s="95">
        <f>'TB-Jan'!I390+'TB-Feb'!I390+'TB-Mar'!I390+'TB-Apr'!I390+'TB-May'!I390+'TB-Jun'!I390+'TB-Jul'!I390+'TB-Aug'!I390+'TB-Sep'!I390+'TB-Oct'!I390+'TB-Nov'!I390+'TB-Dec'!I390</f>
        <v>0</v>
      </c>
      <c r="J390" s="95">
        <f>'TB-Jan'!J390+'TB-Feb'!J390+'TB-Mar'!J390+'TB-Apr'!J390+'TB-May'!J390+'TB-Jun'!J390+'TB-Jul'!J390+'TB-Aug'!J390+'TB-Sep'!J390+'TB-Oct'!J390+'TB-Nov'!J390+'TB-Dec'!J390</f>
        <v>0</v>
      </c>
      <c r="K390" s="96">
        <f>'TB-Jan'!K390+'TB-Feb'!K390+'TB-Mar'!K390+'TB-Apr'!K390+'TB-May'!K390+'TB-Jun'!K390+'TB-Jul'!K390+'TB-Aug'!K390+'TB-Sep'!K390+'TB-Oct'!K390+'TB-Nov'!K390+'TB-Dec'!K390</f>
        <v>0</v>
      </c>
      <c r="L390" s="96">
        <f>'TB-Jan'!L390+'TB-Feb'!L390+'TB-Mar'!L390+'TB-Apr'!L390+'TB-May'!L390+'TB-Jun'!L390+'TB-Jul'!L390+'TB-Aug'!L390+'TB-Sep'!L390+'TB-Oct'!L390+'TB-Nov'!L390+'TB-Dec'!L390</f>
        <v>0</v>
      </c>
      <c r="M390" s="97">
        <f>'TB-Jan'!M390+'TB-Feb'!M390+'TB-Mar'!M390+'TB-Apr'!M390+'TB-May'!M390+'TB-Jun'!M390+'TB-Jul'!M390+'TB-Aug'!M390+'TB-Sep'!M390+'TB-Oct'!M390+'TB-Nov'!M390+'TB-Dec'!M390</f>
        <v>0</v>
      </c>
      <c r="N390" s="97">
        <f>'TB-Jan'!N390+'TB-Feb'!N390+'TB-Mar'!N390+'TB-Apr'!N390+'TB-May'!N390+'TB-Jun'!N390+'TB-Jul'!N390+'TB-Aug'!N390+'TB-Sep'!N390+'TB-Oct'!N390+'TB-Nov'!N390+'TB-Dec'!N390</f>
        <v>0</v>
      </c>
    </row>
    <row r="391" spans="1:14" hidden="1">
      <c r="A391" s="3" t="s">
        <v>740</v>
      </c>
      <c r="B391" s="4" t="s">
        <v>741</v>
      </c>
      <c r="C391" s="5">
        <f t="shared" si="11"/>
        <v>0</v>
      </c>
      <c r="D391" s="5"/>
      <c r="E391" s="6">
        <f t="shared" si="10"/>
        <v>0</v>
      </c>
      <c r="F391" s="6">
        <f t="shared" si="10"/>
        <v>0</v>
      </c>
      <c r="G391" s="94">
        <f>'TB-Jan'!G391+'TB-Feb'!G391+'TB-Mar'!G391+'TB-Apr'!G391+'TB-May'!G391+'TB-Jun'!G391+'TB-Jul'!G391+'TB-Aug'!G391+'TB-Sep'!G391+'TB-Oct'!G391+'TB-Nov'!G391+'TB-Dec'!G391</f>
        <v>0</v>
      </c>
      <c r="H391" s="94">
        <f>'TB-Jan'!H391+'TB-Feb'!H391+'TB-Mar'!H391+'TB-Apr'!H391+'TB-May'!H391+'TB-Jun'!H391+'TB-Jul'!H391+'TB-Aug'!H391+'TB-Sep'!H391+'TB-Oct'!H391+'TB-Nov'!H391+'TB-Dec'!H391</f>
        <v>0</v>
      </c>
      <c r="I391" s="95">
        <f>'TB-Jan'!I391+'TB-Feb'!I391+'TB-Mar'!I391+'TB-Apr'!I391+'TB-May'!I391+'TB-Jun'!I391+'TB-Jul'!I391+'TB-Aug'!I391+'TB-Sep'!I391+'TB-Oct'!I391+'TB-Nov'!I391+'TB-Dec'!I391</f>
        <v>0</v>
      </c>
      <c r="J391" s="95">
        <f>'TB-Jan'!J391+'TB-Feb'!J391+'TB-Mar'!J391+'TB-Apr'!J391+'TB-May'!J391+'TB-Jun'!J391+'TB-Jul'!J391+'TB-Aug'!J391+'TB-Sep'!J391+'TB-Oct'!J391+'TB-Nov'!J391+'TB-Dec'!J391</f>
        <v>0</v>
      </c>
      <c r="K391" s="96">
        <f>'TB-Jan'!K391+'TB-Feb'!K391+'TB-Mar'!K391+'TB-Apr'!K391+'TB-May'!K391+'TB-Jun'!K391+'TB-Jul'!K391+'TB-Aug'!K391+'TB-Sep'!K391+'TB-Oct'!K391+'TB-Nov'!K391+'TB-Dec'!K391</f>
        <v>0</v>
      </c>
      <c r="L391" s="96">
        <f>'TB-Jan'!L391+'TB-Feb'!L391+'TB-Mar'!L391+'TB-Apr'!L391+'TB-May'!L391+'TB-Jun'!L391+'TB-Jul'!L391+'TB-Aug'!L391+'TB-Sep'!L391+'TB-Oct'!L391+'TB-Nov'!L391+'TB-Dec'!L391</f>
        <v>0</v>
      </c>
      <c r="M391" s="97">
        <f>'TB-Jan'!M391+'TB-Feb'!M391+'TB-Mar'!M391+'TB-Apr'!M391+'TB-May'!M391+'TB-Jun'!M391+'TB-Jul'!M391+'TB-Aug'!M391+'TB-Sep'!M391+'TB-Oct'!M391+'TB-Nov'!M391+'TB-Dec'!M391</f>
        <v>0</v>
      </c>
      <c r="N391" s="97">
        <f>'TB-Jan'!N391+'TB-Feb'!N391+'TB-Mar'!N391+'TB-Apr'!N391+'TB-May'!N391+'TB-Jun'!N391+'TB-Jul'!N391+'TB-Aug'!N391+'TB-Sep'!N391+'TB-Oct'!N391+'TB-Nov'!N391+'TB-Dec'!N391</f>
        <v>0</v>
      </c>
    </row>
    <row r="392" spans="1:14" hidden="1">
      <c r="A392" s="3" t="s">
        <v>742</v>
      </c>
      <c r="B392" s="4" t="s">
        <v>743</v>
      </c>
      <c r="C392" s="5">
        <f t="shared" si="11"/>
        <v>0</v>
      </c>
      <c r="D392" s="5"/>
      <c r="E392" s="6">
        <f t="shared" si="10"/>
        <v>0</v>
      </c>
      <c r="F392" s="6">
        <f t="shared" si="10"/>
        <v>0</v>
      </c>
      <c r="G392" s="94">
        <f>'TB-Jan'!G392+'TB-Feb'!G392+'TB-Mar'!G392+'TB-Apr'!G392+'TB-May'!G392+'TB-Jun'!G392+'TB-Jul'!G392+'TB-Aug'!G392+'TB-Sep'!G392+'TB-Oct'!G392+'TB-Nov'!G392+'TB-Dec'!G392</f>
        <v>0</v>
      </c>
      <c r="H392" s="94">
        <f>'TB-Jan'!H392+'TB-Feb'!H392+'TB-Mar'!H392+'TB-Apr'!H392+'TB-May'!H392+'TB-Jun'!H392+'TB-Jul'!H392+'TB-Aug'!H392+'TB-Sep'!H392+'TB-Oct'!H392+'TB-Nov'!H392+'TB-Dec'!H392</f>
        <v>0</v>
      </c>
      <c r="I392" s="95">
        <f>'TB-Jan'!I392+'TB-Feb'!I392+'TB-Mar'!I392+'TB-Apr'!I392+'TB-May'!I392+'TB-Jun'!I392+'TB-Jul'!I392+'TB-Aug'!I392+'TB-Sep'!I392+'TB-Oct'!I392+'TB-Nov'!I392+'TB-Dec'!I392</f>
        <v>0</v>
      </c>
      <c r="J392" s="95">
        <f>'TB-Jan'!J392+'TB-Feb'!J392+'TB-Mar'!J392+'TB-Apr'!J392+'TB-May'!J392+'TB-Jun'!J392+'TB-Jul'!J392+'TB-Aug'!J392+'TB-Sep'!J392+'TB-Oct'!J392+'TB-Nov'!J392+'TB-Dec'!J392</f>
        <v>0</v>
      </c>
      <c r="K392" s="96">
        <f>'TB-Jan'!K392+'TB-Feb'!K392+'TB-Mar'!K392+'TB-Apr'!K392+'TB-May'!K392+'TB-Jun'!K392+'TB-Jul'!K392+'TB-Aug'!K392+'TB-Sep'!K392+'TB-Oct'!K392+'TB-Nov'!K392+'TB-Dec'!K392</f>
        <v>0</v>
      </c>
      <c r="L392" s="96">
        <f>'TB-Jan'!L392+'TB-Feb'!L392+'TB-Mar'!L392+'TB-Apr'!L392+'TB-May'!L392+'TB-Jun'!L392+'TB-Jul'!L392+'TB-Aug'!L392+'TB-Sep'!L392+'TB-Oct'!L392+'TB-Nov'!L392+'TB-Dec'!L392</f>
        <v>0</v>
      </c>
      <c r="M392" s="97">
        <f>'TB-Jan'!M392+'TB-Feb'!M392+'TB-Mar'!M392+'TB-Apr'!M392+'TB-May'!M392+'TB-Jun'!M392+'TB-Jul'!M392+'TB-Aug'!M392+'TB-Sep'!M392+'TB-Oct'!M392+'TB-Nov'!M392+'TB-Dec'!M392</f>
        <v>0</v>
      </c>
      <c r="N392" s="97">
        <f>'TB-Jan'!N392+'TB-Feb'!N392+'TB-Mar'!N392+'TB-Apr'!N392+'TB-May'!N392+'TB-Jun'!N392+'TB-Jul'!N392+'TB-Aug'!N392+'TB-Sep'!N392+'TB-Oct'!N392+'TB-Nov'!N392+'TB-Dec'!N392</f>
        <v>0</v>
      </c>
    </row>
    <row r="393" spans="1:14" hidden="1">
      <c r="A393" s="3" t="s">
        <v>744</v>
      </c>
      <c r="B393" s="4" t="s">
        <v>745</v>
      </c>
      <c r="C393" s="5">
        <f t="shared" si="11"/>
        <v>0</v>
      </c>
      <c r="D393" s="5"/>
      <c r="E393" s="6">
        <f t="shared" si="10"/>
        <v>0</v>
      </c>
      <c r="F393" s="6">
        <f t="shared" si="10"/>
        <v>0</v>
      </c>
      <c r="G393" s="94">
        <f>'TB-Jan'!G393+'TB-Feb'!G393+'TB-Mar'!G393+'TB-Apr'!G393+'TB-May'!G393+'TB-Jun'!G393+'TB-Jul'!G393+'TB-Aug'!G393+'TB-Sep'!G393+'TB-Oct'!G393+'TB-Nov'!G393+'TB-Dec'!G393</f>
        <v>0</v>
      </c>
      <c r="H393" s="94">
        <f>'TB-Jan'!H393+'TB-Feb'!H393+'TB-Mar'!H393+'TB-Apr'!H393+'TB-May'!H393+'TB-Jun'!H393+'TB-Jul'!H393+'TB-Aug'!H393+'TB-Sep'!H393+'TB-Oct'!H393+'TB-Nov'!H393+'TB-Dec'!H393</f>
        <v>0</v>
      </c>
      <c r="I393" s="95">
        <f>'TB-Jan'!I393+'TB-Feb'!I393+'TB-Mar'!I393+'TB-Apr'!I393+'TB-May'!I393+'TB-Jun'!I393+'TB-Jul'!I393+'TB-Aug'!I393+'TB-Sep'!I393+'TB-Oct'!I393+'TB-Nov'!I393+'TB-Dec'!I393</f>
        <v>0</v>
      </c>
      <c r="J393" s="95">
        <f>'TB-Jan'!J393+'TB-Feb'!J393+'TB-Mar'!J393+'TB-Apr'!J393+'TB-May'!J393+'TB-Jun'!J393+'TB-Jul'!J393+'TB-Aug'!J393+'TB-Sep'!J393+'TB-Oct'!J393+'TB-Nov'!J393+'TB-Dec'!J393</f>
        <v>0</v>
      </c>
      <c r="K393" s="96">
        <f>'TB-Jan'!K393+'TB-Feb'!K393+'TB-Mar'!K393+'TB-Apr'!K393+'TB-May'!K393+'TB-Jun'!K393+'TB-Jul'!K393+'TB-Aug'!K393+'TB-Sep'!K393+'TB-Oct'!K393+'TB-Nov'!K393+'TB-Dec'!K393</f>
        <v>0</v>
      </c>
      <c r="L393" s="96">
        <f>'TB-Jan'!L393+'TB-Feb'!L393+'TB-Mar'!L393+'TB-Apr'!L393+'TB-May'!L393+'TB-Jun'!L393+'TB-Jul'!L393+'TB-Aug'!L393+'TB-Sep'!L393+'TB-Oct'!L393+'TB-Nov'!L393+'TB-Dec'!L393</f>
        <v>0</v>
      </c>
      <c r="M393" s="97">
        <f>'TB-Jan'!M393+'TB-Feb'!M393+'TB-Mar'!M393+'TB-Apr'!M393+'TB-May'!M393+'TB-Jun'!M393+'TB-Jul'!M393+'TB-Aug'!M393+'TB-Sep'!M393+'TB-Oct'!M393+'TB-Nov'!M393+'TB-Dec'!M393</f>
        <v>0</v>
      </c>
      <c r="N393" s="97">
        <f>'TB-Jan'!N393+'TB-Feb'!N393+'TB-Mar'!N393+'TB-Apr'!N393+'TB-May'!N393+'TB-Jun'!N393+'TB-Jul'!N393+'TB-Aug'!N393+'TB-Sep'!N393+'TB-Oct'!N393+'TB-Nov'!N393+'TB-Dec'!N393</f>
        <v>0</v>
      </c>
    </row>
    <row r="394" spans="1:14" hidden="1">
      <c r="A394" s="3" t="s">
        <v>746</v>
      </c>
      <c r="B394" s="4" t="s">
        <v>747</v>
      </c>
      <c r="C394" s="5">
        <f t="shared" si="11"/>
        <v>0</v>
      </c>
      <c r="D394" s="5"/>
      <c r="E394" s="6">
        <f t="shared" si="10"/>
        <v>0</v>
      </c>
      <c r="F394" s="6">
        <f t="shared" si="10"/>
        <v>0</v>
      </c>
      <c r="G394" s="94">
        <f>'TB-Jan'!G394+'TB-Feb'!G394+'TB-Mar'!G394+'TB-Apr'!G394+'TB-May'!G394+'TB-Jun'!G394+'TB-Jul'!G394+'TB-Aug'!G394+'TB-Sep'!G394+'TB-Oct'!G394+'TB-Nov'!G394+'TB-Dec'!G394</f>
        <v>0</v>
      </c>
      <c r="H394" s="94">
        <f>'TB-Jan'!H394+'TB-Feb'!H394+'TB-Mar'!H394+'TB-Apr'!H394+'TB-May'!H394+'TB-Jun'!H394+'TB-Jul'!H394+'TB-Aug'!H394+'TB-Sep'!H394+'TB-Oct'!H394+'TB-Nov'!H394+'TB-Dec'!H394</f>
        <v>0</v>
      </c>
      <c r="I394" s="95">
        <f>'TB-Jan'!I394+'TB-Feb'!I394+'TB-Mar'!I394+'TB-Apr'!I394+'TB-May'!I394+'TB-Jun'!I394+'TB-Jul'!I394+'TB-Aug'!I394+'TB-Sep'!I394+'TB-Oct'!I394+'TB-Nov'!I394+'TB-Dec'!I394</f>
        <v>0</v>
      </c>
      <c r="J394" s="95">
        <f>'TB-Jan'!J394+'TB-Feb'!J394+'TB-Mar'!J394+'TB-Apr'!J394+'TB-May'!J394+'TB-Jun'!J394+'TB-Jul'!J394+'TB-Aug'!J394+'TB-Sep'!J394+'TB-Oct'!J394+'TB-Nov'!J394+'TB-Dec'!J394</f>
        <v>0</v>
      </c>
      <c r="K394" s="96">
        <f>'TB-Jan'!K394+'TB-Feb'!K394+'TB-Mar'!K394+'TB-Apr'!K394+'TB-May'!K394+'TB-Jun'!K394+'TB-Jul'!K394+'TB-Aug'!K394+'TB-Sep'!K394+'TB-Oct'!K394+'TB-Nov'!K394+'TB-Dec'!K394</f>
        <v>0</v>
      </c>
      <c r="L394" s="96">
        <f>'TB-Jan'!L394+'TB-Feb'!L394+'TB-Mar'!L394+'TB-Apr'!L394+'TB-May'!L394+'TB-Jun'!L394+'TB-Jul'!L394+'TB-Aug'!L394+'TB-Sep'!L394+'TB-Oct'!L394+'TB-Nov'!L394+'TB-Dec'!L394</f>
        <v>0</v>
      </c>
      <c r="M394" s="97">
        <f>'TB-Jan'!M394+'TB-Feb'!M394+'TB-Mar'!M394+'TB-Apr'!M394+'TB-May'!M394+'TB-Jun'!M394+'TB-Jul'!M394+'TB-Aug'!M394+'TB-Sep'!M394+'TB-Oct'!M394+'TB-Nov'!M394+'TB-Dec'!M394</f>
        <v>0</v>
      </c>
      <c r="N394" s="97">
        <f>'TB-Jan'!N394+'TB-Feb'!N394+'TB-Mar'!N394+'TB-Apr'!N394+'TB-May'!N394+'TB-Jun'!N394+'TB-Jul'!N394+'TB-Aug'!N394+'TB-Sep'!N394+'TB-Oct'!N394+'TB-Nov'!N394+'TB-Dec'!N394</f>
        <v>0</v>
      </c>
    </row>
    <row r="395" spans="1:14" hidden="1">
      <c r="A395" s="3" t="s">
        <v>748</v>
      </c>
      <c r="B395" s="4" t="s">
        <v>749</v>
      </c>
      <c r="C395" s="5">
        <f t="shared" si="11"/>
        <v>0</v>
      </c>
      <c r="D395" s="5"/>
      <c r="E395" s="6">
        <f t="shared" si="10"/>
        <v>0</v>
      </c>
      <c r="F395" s="6">
        <f t="shared" si="10"/>
        <v>0</v>
      </c>
      <c r="G395" s="94">
        <f>'TB-Jan'!G395+'TB-Feb'!G395+'TB-Mar'!G395+'TB-Apr'!G395+'TB-May'!G395+'TB-Jun'!G395+'TB-Jul'!G395+'TB-Aug'!G395+'TB-Sep'!G395+'TB-Oct'!G395+'TB-Nov'!G395+'TB-Dec'!G395</f>
        <v>0</v>
      </c>
      <c r="H395" s="94">
        <f>'TB-Jan'!H395+'TB-Feb'!H395+'TB-Mar'!H395+'TB-Apr'!H395+'TB-May'!H395+'TB-Jun'!H395+'TB-Jul'!H395+'TB-Aug'!H395+'TB-Sep'!H395+'TB-Oct'!H395+'TB-Nov'!H395+'TB-Dec'!H395</f>
        <v>0</v>
      </c>
      <c r="I395" s="95">
        <f>'TB-Jan'!I395+'TB-Feb'!I395+'TB-Mar'!I395+'TB-Apr'!I395+'TB-May'!I395+'TB-Jun'!I395+'TB-Jul'!I395+'TB-Aug'!I395+'TB-Sep'!I395+'TB-Oct'!I395+'TB-Nov'!I395+'TB-Dec'!I395</f>
        <v>0</v>
      </c>
      <c r="J395" s="95">
        <f>'TB-Jan'!J395+'TB-Feb'!J395+'TB-Mar'!J395+'TB-Apr'!J395+'TB-May'!J395+'TB-Jun'!J395+'TB-Jul'!J395+'TB-Aug'!J395+'TB-Sep'!J395+'TB-Oct'!J395+'TB-Nov'!J395+'TB-Dec'!J395</f>
        <v>0</v>
      </c>
      <c r="K395" s="96">
        <f>'TB-Jan'!K395+'TB-Feb'!K395+'TB-Mar'!K395+'TB-Apr'!K395+'TB-May'!K395+'TB-Jun'!K395+'TB-Jul'!K395+'TB-Aug'!K395+'TB-Sep'!K395+'TB-Oct'!K395+'TB-Nov'!K395+'TB-Dec'!K395</f>
        <v>0</v>
      </c>
      <c r="L395" s="96">
        <f>'TB-Jan'!L395+'TB-Feb'!L395+'TB-Mar'!L395+'TB-Apr'!L395+'TB-May'!L395+'TB-Jun'!L395+'TB-Jul'!L395+'TB-Aug'!L395+'TB-Sep'!L395+'TB-Oct'!L395+'TB-Nov'!L395+'TB-Dec'!L395</f>
        <v>0</v>
      </c>
      <c r="M395" s="97">
        <f>'TB-Jan'!M395+'TB-Feb'!M395+'TB-Mar'!M395+'TB-Apr'!M395+'TB-May'!M395+'TB-Jun'!M395+'TB-Jul'!M395+'TB-Aug'!M395+'TB-Sep'!M395+'TB-Oct'!M395+'TB-Nov'!M395+'TB-Dec'!M395</f>
        <v>0</v>
      </c>
      <c r="N395" s="97">
        <f>'TB-Jan'!N395+'TB-Feb'!N395+'TB-Mar'!N395+'TB-Apr'!N395+'TB-May'!N395+'TB-Jun'!N395+'TB-Jul'!N395+'TB-Aug'!N395+'TB-Sep'!N395+'TB-Oct'!N395+'TB-Nov'!N395+'TB-Dec'!N395</f>
        <v>0</v>
      </c>
    </row>
    <row r="396" spans="1:14" hidden="1">
      <c r="A396" s="3" t="s">
        <v>750</v>
      </c>
      <c r="B396" s="4" t="s">
        <v>751</v>
      </c>
      <c r="C396" s="5">
        <f t="shared" si="11"/>
        <v>0</v>
      </c>
      <c r="D396" s="5"/>
      <c r="E396" s="6">
        <f t="shared" si="10"/>
        <v>0</v>
      </c>
      <c r="F396" s="6">
        <f t="shared" si="10"/>
        <v>0</v>
      </c>
      <c r="G396" s="94">
        <f>'TB-Jan'!G396+'TB-Feb'!G396+'TB-Mar'!G396+'TB-Apr'!G396+'TB-May'!G396+'TB-Jun'!G396+'TB-Jul'!G396+'TB-Aug'!G396+'TB-Sep'!G396+'TB-Oct'!G396+'TB-Nov'!G396+'TB-Dec'!G396</f>
        <v>0</v>
      </c>
      <c r="H396" s="94">
        <f>'TB-Jan'!H396+'TB-Feb'!H396+'TB-Mar'!H396+'TB-Apr'!H396+'TB-May'!H396+'TB-Jun'!H396+'TB-Jul'!H396+'TB-Aug'!H396+'TB-Sep'!H396+'TB-Oct'!H396+'TB-Nov'!H396+'TB-Dec'!H396</f>
        <v>0</v>
      </c>
      <c r="I396" s="95">
        <f>'TB-Jan'!I396+'TB-Feb'!I396+'TB-Mar'!I396+'TB-Apr'!I396+'TB-May'!I396+'TB-Jun'!I396+'TB-Jul'!I396+'TB-Aug'!I396+'TB-Sep'!I396+'TB-Oct'!I396+'TB-Nov'!I396+'TB-Dec'!I396</f>
        <v>0</v>
      </c>
      <c r="J396" s="95">
        <f>'TB-Jan'!J396+'TB-Feb'!J396+'TB-Mar'!J396+'TB-Apr'!J396+'TB-May'!J396+'TB-Jun'!J396+'TB-Jul'!J396+'TB-Aug'!J396+'TB-Sep'!J396+'TB-Oct'!J396+'TB-Nov'!J396+'TB-Dec'!J396</f>
        <v>0</v>
      </c>
      <c r="K396" s="96">
        <f>'TB-Jan'!K396+'TB-Feb'!K396+'TB-Mar'!K396+'TB-Apr'!K396+'TB-May'!K396+'TB-Jun'!K396+'TB-Jul'!K396+'TB-Aug'!K396+'TB-Sep'!K396+'TB-Oct'!K396+'TB-Nov'!K396+'TB-Dec'!K396</f>
        <v>0</v>
      </c>
      <c r="L396" s="96">
        <f>'TB-Jan'!L396+'TB-Feb'!L396+'TB-Mar'!L396+'TB-Apr'!L396+'TB-May'!L396+'TB-Jun'!L396+'TB-Jul'!L396+'TB-Aug'!L396+'TB-Sep'!L396+'TB-Oct'!L396+'TB-Nov'!L396+'TB-Dec'!L396</f>
        <v>0</v>
      </c>
      <c r="M396" s="97">
        <f>'TB-Jan'!M396+'TB-Feb'!M396+'TB-Mar'!M396+'TB-Apr'!M396+'TB-May'!M396+'TB-Jun'!M396+'TB-Jul'!M396+'TB-Aug'!M396+'TB-Sep'!M396+'TB-Oct'!M396+'TB-Nov'!M396+'TB-Dec'!M396</f>
        <v>0</v>
      </c>
      <c r="N396" s="97">
        <f>'TB-Jan'!N396+'TB-Feb'!N396+'TB-Mar'!N396+'TB-Apr'!N396+'TB-May'!N396+'TB-Jun'!N396+'TB-Jul'!N396+'TB-Aug'!N396+'TB-Sep'!N396+'TB-Oct'!N396+'TB-Nov'!N396+'TB-Dec'!N396</f>
        <v>0</v>
      </c>
    </row>
    <row r="397" spans="1:14" hidden="1">
      <c r="A397" s="3" t="s">
        <v>752</v>
      </c>
      <c r="B397" s="4" t="s">
        <v>753</v>
      </c>
      <c r="C397" s="5">
        <f t="shared" si="11"/>
        <v>0</v>
      </c>
      <c r="D397" s="5"/>
      <c r="E397" s="6">
        <f t="shared" si="10"/>
        <v>0</v>
      </c>
      <c r="F397" s="6">
        <f t="shared" si="10"/>
        <v>0</v>
      </c>
      <c r="G397" s="94">
        <f>'TB-Jan'!G397+'TB-Feb'!G397+'TB-Mar'!G397+'TB-Apr'!G397+'TB-May'!G397+'TB-Jun'!G397+'TB-Jul'!G397+'TB-Aug'!G397+'TB-Sep'!G397+'TB-Oct'!G397+'TB-Nov'!G397+'TB-Dec'!G397</f>
        <v>0</v>
      </c>
      <c r="H397" s="94">
        <f>'TB-Jan'!H397+'TB-Feb'!H397+'TB-Mar'!H397+'TB-Apr'!H397+'TB-May'!H397+'TB-Jun'!H397+'TB-Jul'!H397+'TB-Aug'!H397+'TB-Sep'!H397+'TB-Oct'!H397+'TB-Nov'!H397+'TB-Dec'!H397</f>
        <v>0</v>
      </c>
      <c r="I397" s="95">
        <f>'TB-Jan'!I397+'TB-Feb'!I397+'TB-Mar'!I397+'TB-Apr'!I397+'TB-May'!I397+'TB-Jun'!I397+'TB-Jul'!I397+'TB-Aug'!I397+'TB-Sep'!I397+'TB-Oct'!I397+'TB-Nov'!I397+'TB-Dec'!I397</f>
        <v>0</v>
      </c>
      <c r="J397" s="95">
        <f>'TB-Jan'!J397+'TB-Feb'!J397+'TB-Mar'!J397+'TB-Apr'!J397+'TB-May'!J397+'TB-Jun'!J397+'TB-Jul'!J397+'TB-Aug'!J397+'TB-Sep'!J397+'TB-Oct'!J397+'TB-Nov'!J397+'TB-Dec'!J397</f>
        <v>0</v>
      </c>
      <c r="K397" s="96">
        <f>'TB-Jan'!K397+'TB-Feb'!K397+'TB-Mar'!K397+'TB-Apr'!K397+'TB-May'!K397+'TB-Jun'!K397+'TB-Jul'!K397+'TB-Aug'!K397+'TB-Sep'!K397+'TB-Oct'!K397+'TB-Nov'!K397+'TB-Dec'!K397</f>
        <v>0</v>
      </c>
      <c r="L397" s="96">
        <f>'TB-Jan'!L397+'TB-Feb'!L397+'TB-Mar'!L397+'TB-Apr'!L397+'TB-May'!L397+'TB-Jun'!L397+'TB-Jul'!L397+'TB-Aug'!L397+'TB-Sep'!L397+'TB-Oct'!L397+'TB-Nov'!L397+'TB-Dec'!L397</f>
        <v>0</v>
      </c>
      <c r="M397" s="97">
        <f>'TB-Jan'!M397+'TB-Feb'!M397+'TB-Mar'!M397+'TB-Apr'!M397+'TB-May'!M397+'TB-Jun'!M397+'TB-Jul'!M397+'TB-Aug'!M397+'TB-Sep'!M397+'TB-Oct'!M397+'TB-Nov'!M397+'TB-Dec'!M397</f>
        <v>0</v>
      </c>
      <c r="N397" s="97">
        <f>'TB-Jan'!N397+'TB-Feb'!N397+'TB-Mar'!N397+'TB-Apr'!N397+'TB-May'!N397+'TB-Jun'!N397+'TB-Jul'!N397+'TB-Aug'!N397+'TB-Sep'!N397+'TB-Oct'!N397+'TB-Nov'!N397+'TB-Dec'!N397</f>
        <v>0</v>
      </c>
    </row>
    <row r="398" spans="1:14" hidden="1">
      <c r="A398" s="3" t="s">
        <v>754</v>
      </c>
      <c r="B398" s="4" t="s">
        <v>755</v>
      </c>
      <c r="C398" s="5">
        <f t="shared" si="11"/>
        <v>0</v>
      </c>
      <c r="D398" s="5"/>
      <c r="E398" s="6">
        <f t="shared" ref="E398:F461" si="12">SUM(G398,I398,K398,M398)</f>
        <v>0</v>
      </c>
      <c r="F398" s="6">
        <f t="shared" si="12"/>
        <v>0</v>
      </c>
      <c r="G398" s="94">
        <f>'TB-Jan'!G398+'TB-Feb'!G398+'TB-Mar'!G398+'TB-Apr'!G398+'TB-May'!G398+'TB-Jun'!G398+'TB-Jul'!G398+'TB-Aug'!G398+'TB-Sep'!G398+'TB-Oct'!G398+'TB-Nov'!G398+'TB-Dec'!G398</f>
        <v>0</v>
      </c>
      <c r="H398" s="94">
        <f>'TB-Jan'!H398+'TB-Feb'!H398+'TB-Mar'!H398+'TB-Apr'!H398+'TB-May'!H398+'TB-Jun'!H398+'TB-Jul'!H398+'TB-Aug'!H398+'TB-Sep'!H398+'TB-Oct'!H398+'TB-Nov'!H398+'TB-Dec'!H398</f>
        <v>0</v>
      </c>
      <c r="I398" s="95">
        <f>'TB-Jan'!I398+'TB-Feb'!I398+'TB-Mar'!I398+'TB-Apr'!I398+'TB-May'!I398+'TB-Jun'!I398+'TB-Jul'!I398+'TB-Aug'!I398+'TB-Sep'!I398+'TB-Oct'!I398+'TB-Nov'!I398+'TB-Dec'!I398</f>
        <v>0</v>
      </c>
      <c r="J398" s="95">
        <f>'TB-Jan'!J398+'TB-Feb'!J398+'TB-Mar'!J398+'TB-Apr'!J398+'TB-May'!J398+'TB-Jun'!J398+'TB-Jul'!J398+'TB-Aug'!J398+'TB-Sep'!J398+'TB-Oct'!J398+'TB-Nov'!J398+'TB-Dec'!J398</f>
        <v>0</v>
      </c>
      <c r="K398" s="96">
        <f>'TB-Jan'!K398+'TB-Feb'!K398+'TB-Mar'!K398+'TB-Apr'!K398+'TB-May'!K398+'TB-Jun'!K398+'TB-Jul'!K398+'TB-Aug'!K398+'TB-Sep'!K398+'TB-Oct'!K398+'TB-Nov'!K398+'TB-Dec'!K398</f>
        <v>0</v>
      </c>
      <c r="L398" s="96">
        <f>'TB-Jan'!L398+'TB-Feb'!L398+'TB-Mar'!L398+'TB-Apr'!L398+'TB-May'!L398+'TB-Jun'!L398+'TB-Jul'!L398+'TB-Aug'!L398+'TB-Sep'!L398+'TB-Oct'!L398+'TB-Nov'!L398+'TB-Dec'!L398</f>
        <v>0</v>
      </c>
      <c r="M398" s="97">
        <f>'TB-Jan'!M398+'TB-Feb'!M398+'TB-Mar'!M398+'TB-Apr'!M398+'TB-May'!M398+'TB-Jun'!M398+'TB-Jul'!M398+'TB-Aug'!M398+'TB-Sep'!M398+'TB-Oct'!M398+'TB-Nov'!M398+'TB-Dec'!M398</f>
        <v>0</v>
      </c>
      <c r="N398" s="97">
        <f>'TB-Jan'!N398+'TB-Feb'!N398+'TB-Mar'!N398+'TB-Apr'!N398+'TB-May'!N398+'TB-Jun'!N398+'TB-Jul'!N398+'TB-Aug'!N398+'TB-Sep'!N398+'TB-Oct'!N398+'TB-Nov'!N398+'TB-Dec'!N398</f>
        <v>0</v>
      </c>
    </row>
    <row r="399" spans="1:14" hidden="1">
      <c r="A399" s="3" t="s">
        <v>756</v>
      </c>
      <c r="B399" s="4" t="s">
        <v>757</v>
      </c>
      <c r="C399" s="5">
        <f t="shared" si="11"/>
        <v>0</v>
      </c>
      <c r="D399" s="5"/>
      <c r="E399" s="6">
        <f t="shared" si="12"/>
        <v>0</v>
      </c>
      <c r="F399" s="6">
        <f t="shared" si="12"/>
        <v>0</v>
      </c>
      <c r="G399" s="94">
        <f>'TB-Jan'!G399+'TB-Feb'!G399+'TB-Mar'!G399+'TB-Apr'!G399+'TB-May'!G399+'TB-Jun'!G399+'TB-Jul'!G399+'TB-Aug'!G399+'TB-Sep'!G399+'TB-Oct'!G399+'TB-Nov'!G399+'TB-Dec'!G399</f>
        <v>0</v>
      </c>
      <c r="H399" s="94">
        <f>'TB-Jan'!H399+'TB-Feb'!H399+'TB-Mar'!H399+'TB-Apr'!H399+'TB-May'!H399+'TB-Jun'!H399+'TB-Jul'!H399+'TB-Aug'!H399+'TB-Sep'!H399+'TB-Oct'!H399+'TB-Nov'!H399+'TB-Dec'!H399</f>
        <v>0</v>
      </c>
      <c r="I399" s="95">
        <f>'TB-Jan'!I399+'TB-Feb'!I399+'TB-Mar'!I399+'TB-Apr'!I399+'TB-May'!I399+'TB-Jun'!I399+'TB-Jul'!I399+'TB-Aug'!I399+'TB-Sep'!I399+'TB-Oct'!I399+'TB-Nov'!I399+'TB-Dec'!I399</f>
        <v>0</v>
      </c>
      <c r="J399" s="95">
        <f>'TB-Jan'!J399+'TB-Feb'!J399+'TB-Mar'!J399+'TB-Apr'!J399+'TB-May'!J399+'TB-Jun'!J399+'TB-Jul'!J399+'TB-Aug'!J399+'TB-Sep'!J399+'TB-Oct'!J399+'TB-Nov'!J399+'TB-Dec'!J399</f>
        <v>0</v>
      </c>
      <c r="K399" s="96">
        <f>'TB-Jan'!K399+'TB-Feb'!K399+'TB-Mar'!K399+'TB-Apr'!K399+'TB-May'!K399+'TB-Jun'!K399+'TB-Jul'!K399+'TB-Aug'!K399+'TB-Sep'!K399+'TB-Oct'!K399+'TB-Nov'!K399+'TB-Dec'!K399</f>
        <v>0</v>
      </c>
      <c r="L399" s="96">
        <f>'TB-Jan'!L399+'TB-Feb'!L399+'TB-Mar'!L399+'TB-Apr'!L399+'TB-May'!L399+'TB-Jun'!L399+'TB-Jul'!L399+'TB-Aug'!L399+'TB-Sep'!L399+'TB-Oct'!L399+'TB-Nov'!L399+'TB-Dec'!L399</f>
        <v>0</v>
      </c>
      <c r="M399" s="97">
        <f>'TB-Jan'!M399+'TB-Feb'!M399+'TB-Mar'!M399+'TB-Apr'!M399+'TB-May'!M399+'TB-Jun'!M399+'TB-Jul'!M399+'TB-Aug'!M399+'TB-Sep'!M399+'TB-Oct'!M399+'TB-Nov'!M399+'TB-Dec'!M399</f>
        <v>0</v>
      </c>
      <c r="N399" s="97">
        <f>'TB-Jan'!N399+'TB-Feb'!N399+'TB-Mar'!N399+'TB-Apr'!N399+'TB-May'!N399+'TB-Jun'!N399+'TB-Jul'!N399+'TB-Aug'!N399+'TB-Sep'!N399+'TB-Oct'!N399+'TB-Nov'!N399+'TB-Dec'!N399</f>
        <v>0</v>
      </c>
    </row>
    <row r="400" spans="1:14" hidden="1">
      <c r="A400" s="3" t="s">
        <v>758</v>
      </c>
      <c r="B400" s="4" t="s">
        <v>759</v>
      </c>
      <c r="C400" s="5">
        <f t="shared" si="11"/>
        <v>0</v>
      </c>
      <c r="D400" s="5"/>
      <c r="E400" s="6">
        <f t="shared" si="12"/>
        <v>0</v>
      </c>
      <c r="F400" s="6">
        <f t="shared" si="12"/>
        <v>0</v>
      </c>
      <c r="G400" s="94">
        <f>'TB-Jan'!G400+'TB-Feb'!G400+'TB-Mar'!G400+'TB-Apr'!G400+'TB-May'!G400+'TB-Jun'!G400+'TB-Jul'!G400+'TB-Aug'!G400+'TB-Sep'!G400+'TB-Oct'!G400+'TB-Nov'!G400+'TB-Dec'!G400</f>
        <v>0</v>
      </c>
      <c r="H400" s="94">
        <f>'TB-Jan'!H400+'TB-Feb'!H400+'TB-Mar'!H400+'TB-Apr'!H400+'TB-May'!H400+'TB-Jun'!H400+'TB-Jul'!H400+'TB-Aug'!H400+'TB-Sep'!H400+'TB-Oct'!H400+'TB-Nov'!H400+'TB-Dec'!H400</f>
        <v>0</v>
      </c>
      <c r="I400" s="95">
        <f>'TB-Jan'!I400+'TB-Feb'!I400+'TB-Mar'!I400+'TB-Apr'!I400+'TB-May'!I400+'TB-Jun'!I400+'TB-Jul'!I400+'TB-Aug'!I400+'TB-Sep'!I400+'TB-Oct'!I400+'TB-Nov'!I400+'TB-Dec'!I400</f>
        <v>0</v>
      </c>
      <c r="J400" s="95">
        <f>'TB-Jan'!J400+'TB-Feb'!J400+'TB-Mar'!J400+'TB-Apr'!J400+'TB-May'!J400+'TB-Jun'!J400+'TB-Jul'!J400+'TB-Aug'!J400+'TB-Sep'!J400+'TB-Oct'!J400+'TB-Nov'!J400+'TB-Dec'!J400</f>
        <v>0</v>
      </c>
      <c r="K400" s="96">
        <f>'TB-Jan'!K400+'TB-Feb'!K400+'TB-Mar'!K400+'TB-Apr'!K400+'TB-May'!K400+'TB-Jun'!K400+'TB-Jul'!K400+'TB-Aug'!K400+'TB-Sep'!K400+'TB-Oct'!K400+'TB-Nov'!K400+'TB-Dec'!K400</f>
        <v>0</v>
      </c>
      <c r="L400" s="96">
        <f>'TB-Jan'!L400+'TB-Feb'!L400+'TB-Mar'!L400+'TB-Apr'!L400+'TB-May'!L400+'TB-Jun'!L400+'TB-Jul'!L400+'TB-Aug'!L400+'TB-Sep'!L400+'TB-Oct'!L400+'TB-Nov'!L400+'TB-Dec'!L400</f>
        <v>0</v>
      </c>
      <c r="M400" s="97">
        <f>'TB-Jan'!M400+'TB-Feb'!M400+'TB-Mar'!M400+'TB-Apr'!M400+'TB-May'!M400+'TB-Jun'!M400+'TB-Jul'!M400+'TB-Aug'!M400+'TB-Sep'!M400+'TB-Oct'!M400+'TB-Nov'!M400+'TB-Dec'!M400</f>
        <v>0</v>
      </c>
      <c r="N400" s="97">
        <f>'TB-Jan'!N400+'TB-Feb'!N400+'TB-Mar'!N400+'TB-Apr'!N400+'TB-May'!N400+'TB-Jun'!N400+'TB-Jul'!N400+'TB-Aug'!N400+'TB-Sep'!N400+'TB-Oct'!N400+'TB-Nov'!N400+'TB-Dec'!N400</f>
        <v>0</v>
      </c>
    </row>
    <row r="401" spans="1:14" hidden="1">
      <c r="A401" s="3" t="s">
        <v>760</v>
      </c>
      <c r="B401" s="4" t="s">
        <v>761</v>
      </c>
      <c r="C401" s="5">
        <f t="shared" si="11"/>
        <v>0</v>
      </c>
      <c r="D401" s="5"/>
      <c r="E401" s="6">
        <f t="shared" si="12"/>
        <v>0</v>
      </c>
      <c r="F401" s="6">
        <f t="shared" si="12"/>
        <v>0</v>
      </c>
      <c r="G401" s="94">
        <f>'TB-Jan'!G401+'TB-Feb'!G401+'TB-Mar'!G401+'TB-Apr'!G401+'TB-May'!G401+'TB-Jun'!G401+'TB-Jul'!G401+'TB-Aug'!G401+'TB-Sep'!G401+'TB-Oct'!G401+'TB-Nov'!G401+'TB-Dec'!G401</f>
        <v>0</v>
      </c>
      <c r="H401" s="94">
        <f>'TB-Jan'!H401+'TB-Feb'!H401+'TB-Mar'!H401+'TB-Apr'!H401+'TB-May'!H401+'TB-Jun'!H401+'TB-Jul'!H401+'TB-Aug'!H401+'TB-Sep'!H401+'TB-Oct'!H401+'TB-Nov'!H401+'TB-Dec'!H401</f>
        <v>0</v>
      </c>
      <c r="I401" s="95">
        <f>'TB-Jan'!I401+'TB-Feb'!I401+'TB-Mar'!I401+'TB-Apr'!I401+'TB-May'!I401+'TB-Jun'!I401+'TB-Jul'!I401+'TB-Aug'!I401+'TB-Sep'!I401+'TB-Oct'!I401+'TB-Nov'!I401+'TB-Dec'!I401</f>
        <v>0</v>
      </c>
      <c r="J401" s="95">
        <f>'TB-Jan'!J401+'TB-Feb'!J401+'TB-Mar'!J401+'TB-Apr'!J401+'TB-May'!J401+'TB-Jun'!J401+'TB-Jul'!J401+'TB-Aug'!J401+'TB-Sep'!J401+'TB-Oct'!J401+'TB-Nov'!J401+'TB-Dec'!J401</f>
        <v>0</v>
      </c>
      <c r="K401" s="96">
        <f>'TB-Jan'!K401+'TB-Feb'!K401+'TB-Mar'!K401+'TB-Apr'!K401+'TB-May'!K401+'TB-Jun'!K401+'TB-Jul'!K401+'TB-Aug'!K401+'TB-Sep'!K401+'TB-Oct'!K401+'TB-Nov'!K401+'TB-Dec'!K401</f>
        <v>0</v>
      </c>
      <c r="L401" s="96">
        <f>'TB-Jan'!L401+'TB-Feb'!L401+'TB-Mar'!L401+'TB-Apr'!L401+'TB-May'!L401+'TB-Jun'!L401+'TB-Jul'!L401+'TB-Aug'!L401+'TB-Sep'!L401+'TB-Oct'!L401+'TB-Nov'!L401+'TB-Dec'!L401</f>
        <v>0</v>
      </c>
      <c r="M401" s="97">
        <f>'TB-Jan'!M401+'TB-Feb'!M401+'TB-Mar'!M401+'TB-Apr'!M401+'TB-May'!M401+'TB-Jun'!M401+'TB-Jul'!M401+'TB-Aug'!M401+'TB-Sep'!M401+'TB-Oct'!M401+'TB-Nov'!M401+'TB-Dec'!M401</f>
        <v>0</v>
      </c>
      <c r="N401" s="97">
        <f>'TB-Jan'!N401+'TB-Feb'!N401+'TB-Mar'!N401+'TB-Apr'!N401+'TB-May'!N401+'TB-Jun'!N401+'TB-Jul'!N401+'TB-Aug'!N401+'TB-Sep'!N401+'TB-Oct'!N401+'TB-Nov'!N401+'TB-Dec'!N401</f>
        <v>0</v>
      </c>
    </row>
    <row r="402" spans="1:14" hidden="1">
      <c r="A402" s="3" t="s">
        <v>762</v>
      </c>
      <c r="B402" s="4" t="s">
        <v>763</v>
      </c>
      <c r="C402" s="5">
        <f t="shared" si="11"/>
        <v>0</v>
      </c>
      <c r="D402" s="5"/>
      <c r="E402" s="6">
        <f t="shared" si="12"/>
        <v>0</v>
      </c>
      <c r="F402" s="6">
        <f t="shared" si="12"/>
        <v>0</v>
      </c>
      <c r="G402" s="94">
        <f>'TB-Jan'!G402+'TB-Feb'!G402+'TB-Mar'!G402+'TB-Apr'!G402+'TB-May'!G402+'TB-Jun'!G402+'TB-Jul'!G402+'TB-Aug'!G402+'TB-Sep'!G402+'TB-Oct'!G402+'TB-Nov'!G402+'TB-Dec'!G402</f>
        <v>0</v>
      </c>
      <c r="H402" s="94">
        <f>'TB-Jan'!H402+'TB-Feb'!H402+'TB-Mar'!H402+'TB-Apr'!H402+'TB-May'!H402+'TB-Jun'!H402+'TB-Jul'!H402+'TB-Aug'!H402+'TB-Sep'!H402+'TB-Oct'!H402+'TB-Nov'!H402+'TB-Dec'!H402</f>
        <v>0</v>
      </c>
      <c r="I402" s="95">
        <f>'TB-Jan'!I402+'TB-Feb'!I402+'TB-Mar'!I402+'TB-Apr'!I402+'TB-May'!I402+'TB-Jun'!I402+'TB-Jul'!I402+'TB-Aug'!I402+'TB-Sep'!I402+'TB-Oct'!I402+'TB-Nov'!I402+'TB-Dec'!I402</f>
        <v>0</v>
      </c>
      <c r="J402" s="95">
        <f>'TB-Jan'!J402+'TB-Feb'!J402+'TB-Mar'!J402+'TB-Apr'!J402+'TB-May'!J402+'TB-Jun'!J402+'TB-Jul'!J402+'TB-Aug'!J402+'TB-Sep'!J402+'TB-Oct'!J402+'TB-Nov'!J402+'TB-Dec'!J402</f>
        <v>0</v>
      </c>
      <c r="K402" s="96">
        <f>'TB-Jan'!K402+'TB-Feb'!K402+'TB-Mar'!K402+'TB-Apr'!K402+'TB-May'!K402+'TB-Jun'!K402+'TB-Jul'!K402+'TB-Aug'!K402+'TB-Sep'!K402+'TB-Oct'!K402+'TB-Nov'!K402+'TB-Dec'!K402</f>
        <v>0</v>
      </c>
      <c r="L402" s="96">
        <f>'TB-Jan'!L402+'TB-Feb'!L402+'TB-Mar'!L402+'TB-Apr'!L402+'TB-May'!L402+'TB-Jun'!L402+'TB-Jul'!L402+'TB-Aug'!L402+'TB-Sep'!L402+'TB-Oct'!L402+'TB-Nov'!L402+'TB-Dec'!L402</f>
        <v>0</v>
      </c>
      <c r="M402" s="97">
        <f>'TB-Jan'!M402+'TB-Feb'!M402+'TB-Mar'!M402+'TB-Apr'!M402+'TB-May'!M402+'TB-Jun'!M402+'TB-Jul'!M402+'TB-Aug'!M402+'TB-Sep'!M402+'TB-Oct'!M402+'TB-Nov'!M402+'TB-Dec'!M402</f>
        <v>0</v>
      </c>
      <c r="N402" s="97">
        <f>'TB-Jan'!N402+'TB-Feb'!N402+'TB-Mar'!N402+'TB-Apr'!N402+'TB-May'!N402+'TB-Jun'!N402+'TB-Jul'!N402+'TB-Aug'!N402+'TB-Sep'!N402+'TB-Oct'!N402+'TB-Nov'!N402+'TB-Dec'!N402</f>
        <v>0</v>
      </c>
    </row>
    <row r="403" spans="1:14" hidden="1">
      <c r="A403" s="3" t="s">
        <v>764</v>
      </c>
      <c r="B403" s="4" t="s">
        <v>765</v>
      </c>
      <c r="C403" s="5">
        <f t="shared" si="11"/>
        <v>0</v>
      </c>
      <c r="D403" s="5"/>
      <c r="E403" s="6">
        <f t="shared" si="12"/>
        <v>0</v>
      </c>
      <c r="F403" s="6">
        <f t="shared" si="12"/>
        <v>0</v>
      </c>
      <c r="G403" s="94">
        <f>'TB-Jan'!G403+'TB-Feb'!G403+'TB-Mar'!G403+'TB-Apr'!G403+'TB-May'!G403+'TB-Jun'!G403+'TB-Jul'!G403+'TB-Aug'!G403+'TB-Sep'!G403+'TB-Oct'!G403+'TB-Nov'!G403+'TB-Dec'!G403</f>
        <v>0</v>
      </c>
      <c r="H403" s="94">
        <f>'TB-Jan'!H403+'TB-Feb'!H403+'TB-Mar'!H403+'TB-Apr'!H403+'TB-May'!H403+'TB-Jun'!H403+'TB-Jul'!H403+'TB-Aug'!H403+'TB-Sep'!H403+'TB-Oct'!H403+'TB-Nov'!H403+'TB-Dec'!H403</f>
        <v>0</v>
      </c>
      <c r="I403" s="95">
        <f>'TB-Jan'!I403+'TB-Feb'!I403+'TB-Mar'!I403+'TB-Apr'!I403+'TB-May'!I403+'TB-Jun'!I403+'TB-Jul'!I403+'TB-Aug'!I403+'TB-Sep'!I403+'TB-Oct'!I403+'TB-Nov'!I403+'TB-Dec'!I403</f>
        <v>0</v>
      </c>
      <c r="J403" s="95">
        <f>'TB-Jan'!J403+'TB-Feb'!J403+'TB-Mar'!J403+'TB-Apr'!J403+'TB-May'!J403+'TB-Jun'!J403+'TB-Jul'!J403+'TB-Aug'!J403+'TB-Sep'!J403+'TB-Oct'!J403+'TB-Nov'!J403+'TB-Dec'!J403</f>
        <v>0</v>
      </c>
      <c r="K403" s="96">
        <f>'TB-Jan'!K403+'TB-Feb'!K403+'TB-Mar'!K403+'TB-Apr'!K403+'TB-May'!K403+'TB-Jun'!K403+'TB-Jul'!K403+'TB-Aug'!K403+'TB-Sep'!K403+'TB-Oct'!K403+'TB-Nov'!K403+'TB-Dec'!K403</f>
        <v>0</v>
      </c>
      <c r="L403" s="96">
        <f>'TB-Jan'!L403+'TB-Feb'!L403+'TB-Mar'!L403+'TB-Apr'!L403+'TB-May'!L403+'TB-Jun'!L403+'TB-Jul'!L403+'TB-Aug'!L403+'TB-Sep'!L403+'TB-Oct'!L403+'TB-Nov'!L403+'TB-Dec'!L403</f>
        <v>0</v>
      </c>
      <c r="M403" s="97">
        <f>'TB-Jan'!M403+'TB-Feb'!M403+'TB-Mar'!M403+'TB-Apr'!M403+'TB-May'!M403+'TB-Jun'!M403+'TB-Jul'!M403+'TB-Aug'!M403+'TB-Sep'!M403+'TB-Oct'!M403+'TB-Nov'!M403+'TB-Dec'!M403</f>
        <v>0</v>
      </c>
      <c r="N403" s="97">
        <f>'TB-Jan'!N403+'TB-Feb'!N403+'TB-Mar'!N403+'TB-Apr'!N403+'TB-May'!N403+'TB-Jun'!N403+'TB-Jul'!N403+'TB-Aug'!N403+'TB-Sep'!N403+'TB-Oct'!N403+'TB-Nov'!N403+'TB-Dec'!N403</f>
        <v>0</v>
      </c>
    </row>
    <row r="404" spans="1:14" hidden="1">
      <c r="A404" s="3" t="s">
        <v>766</v>
      </c>
      <c r="B404" s="4" t="s">
        <v>767</v>
      </c>
      <c r="C404" s="5">
        <f t="shared" si="11"/>
        <v>0</v>
      </c>
      <c r="D404" s="5"/>
      <c r="E404" s="6">
        <f t="shared" si="12"/>
        <v>0</v>
      </c>
      <c r="F404" s="6">
        <f t="shared" si="12"/>
        <v>0</v>
      </c>
      <c r="G404" s="94">
        <f>'TB-Jan'!G404+'TB-Feb'!G404+'TB-Mar'!G404+'TB-Apr'!G404+'TB-May'!G404+'TB-Jun'!G404+'TB-Jul'!G404+'TB-Aug'!G404+'TB-Sep'!G404+'TB-Oct'!G404+'TB-Nov'!G404+'TB-Dec'!G404</f>
        <v>0</v>
      </c>
      <c r="H404" s="94">
        <f>'TB-Jan'!H404+'TB-Feb'!H404+'TB-Mar'!H404+'TB-Apr'!H404+'TB-May'!H404+'TB-Jun'!H404+'TB-Jul'!H404+'TB-Aug'!H404+'TB-Sep'!H404+'TB-Oct'!H404+'TB-Nov'!H404+'TB-Dec'!H404</f>
        <v>0</v>
      </c>
      <c r="I404" s="95">
        <f>'TB-Jan'!I404+'TB-Feb'!I404+'TB-Mar'!I404+'TB-Apr'!I404+'TB-May'!I404+'TB-Jun'!I404+'TB-Jul'!I404+'TB-Aug'!I404+'TB-Sep'!I404+'TB-Oct'!I404+'TB-Nov'!I404+'TB-Dec'!I404</f>
        <v>0</v>
      </c>
      <c r="J404" s="95">
        <f>'TB-Jan'!J404+'TB-Feb'!J404+'TB-Mar'!J404+'TB-Apr'!J404+'TB-May'!J404+'TB-Jun'!J404+'TB-Jul'!J404+'TB-Aug'!J404+'TB-Sep'!J404+'TB-Oct'!J404+'TB-Nov'!J404+'TB-Dec'!J404</f>
        <v>0</v>
      </c>
      <c r="K404" s="96">
        <f>'TB-Jan'!K404+'TB-Feb'!K404+'TB-Mar'!K404+'TB-Apr'!K404+'TB-May'!K404+'TB-Jun'!K404+'TB-Jul'!K404+'TB-Aug'!K404+'TB-Sep'!K404+'TB-Oct'!K404+'TB-Nov'!K404+'TB-Dec'!K404</f>
        <v>0</v>
      </c>
      <c r="L404" s="96">
        <f>'TB-Jan'!L404+'TB-Feb'!L404+'TB-Mar'!L404+'TB-Apr'!L404+'TB-May'!L404+'TB-Jun'!L404+'TB-Jul'!L404+'TB-Aug'!L404+'TB-Sep'!L404+'TB-Oct'!L404+'TB-Nov'!L404+'TB-Dec'!L404</f>
        <v>0</v>
      </c>
      <c r="M404" s="97">
        <f>'TB-Jan'!M404+'TB-Feb'!M404+'TB-Mar'!M404+'TB-Apr'!M404+'TB-May'!M404+'TB-Jun'!M404+'TB-Jul'!M404+'TB-Aug'!M404+'TB-Sep'!M404+'TB-Oct'!M404+'TB-Nov'!M404+'TB-Dec'!M404</f>
        <v>0</v>
      </c>
      <c r="N404" s="97">
        <f>'TB-Jan'!N404+'TB-Feb'!N404+'TB-Mar'!N404+'TB-Apr'!N404+'TB-May'!N404+'TB-Jun'!N404+'TB-Jul'!N404+'TB-Aug'!N404+'TB-Sep'!N404+'TB-Oct'!N404+'TB-Nov'!N404+'TB-Dec'!N404</f>
        <v>0</v>
      </c>
    </row>
    <row r="405" spans="1:14" hidden="1">
      <c r="A405" s="3" t="s">
        <v>768</v>
      </c>
      <c r="B405" s="4" t="s">
        <v>769</v>
      </c>
      <c r="C405" s="5">
        <f t="shared" si="11"/>
        <v>0</v>
      </c>
      <c r="D405" s="5"/>
      <c r="E405" s="6">
        <f t="shared" si="12"/>
        <v>0</v>
      </c>
      <c r="F405" s="6">
        <f t="shared" si="12"/>
        <v>0</v>
      </c>
      <c r="G405" s="94">
        <f>'TB-Jan'!G405+'TB-Feb'!G405+'TB-Mar'!G405+'TB-Apr'!G405+'TB-May'!G405+'TB-Jun'!G405+'TB-Jul'!G405+'TB-Aug'!G405+'TB-Sep'!G405+'TB-Oct'!G405+'TB-Nov'!G405+'TB-Dec'!G405</f>
        <v>0</v>
      </c>
      <c r="H405" s="94">
        <f>'TB-Jan'!H405+'TB-Feb'!H405+'TB-Mar'!H405+'TB-Apr'!H405+'TB-May'!H405+'TB-Jun'!H405+'TB-Jul'!H405+'TB-Aug'!H405+'TB-Sep'!H405+'TB-Oct'!H405+'TB-Nov'!H405+'TB-Dec'!H405</f>
        <v>0</v>
      </c>
      <c r="I405" s="95">
        <f>'TB-Jan'!I405+'TB-Feb'!I405+'TB-Mar'!I405+'TB-Apr'!I405+'TB-May'!I405+'TB-Jun'!I405+'TB-Jul'!I405+'TB-Aug'!I405+'TB-Sep'!I405+'TB-Oct'!I405+'TB-Nov'!I405+'TB-Dec'!I405</f>
        <v>0</v>
      </c>
      <c r="J405" s="95">
        <f>'TB-Jan'!J405+'TB-Feb'!J405+'TB-Mar'!J405+'TB-Apr'!J405+'TB-May'!J405+'TB-Jun'!J405+'TB-Jul'!J405+'TB-Aug'!J405+'TB-Sep'!J405+'TB-Oct'!J405+'TB-Nov'!J405+'TB-Dec'!J405</f>
        <v>0</v>
      </c>
      <c r="K405" s="96">
        <f>'TB-Jan'!K405+'TB-Feb'!K405+'TB-Mar'!K405+'TB-Apr'!K405+'TB-May'!K405+'TB-Jun'!K405+'TB-Jul'!K405+'TB-Aug'!K405+'TB-Sep'!K405+'TB-Oct'!K405+'TB-Nov'!K405+'TB-Dec'!K405</f>
        <v>0</v>
      </c>
      <c r="L405" s="96">
        <f>'TB-Jan'!L405+'TB-Feb'!L405+'TB-Mar'!L405+'TB-Apr'!L405+'TB-May'!L405+'TB-Jun'!L405+'TB-Jul'!L405+'TB-Aug'!L405+'TB-Sep'!L405+'TB-Oct'!L405+'TB-Nov'!L405+'TB-Dec'!L405</f>
        <v>0</v>
      </c>
      <c r="M405" s="97">
        <f>'TB-Jan'!M405+'TB-Feb'!M405+'TB-Mar'!M405+'TB-Apr'!M405+'TB-May'!M405+'TB-Jun'!M405+'TB-Jul'!M405+'TB-Aug'!M405+'TB-Sep'!M405+'TB-Oct'!M405+'TB-Nov'!M405+'TB-Dec'!M405</f>
        <v>0</v>
      </c>
      <c r="N405" s="97">
        <f>'TB-Jan'!N405+'TB-Feb'!N405+'TB-Mar'!N405+'TB-Apr'!N405+'TB-May'!N405+'TB-Jun'!N405+'TB-Jul'!N405+'TB-Aug'!N405+'TB-Sep'!N405+'TB-Oct'!N405+'TB-Nov'!N405+'TB-Dec'!N405</f>
        <v>0</v>
      </c>
    </row>
    <row r="406" spans="1:14" hidden="1">
      <c r="A406" s="3" t="s">
        <v>770</v>
      </c>
      <c r="B406" s="4" t="s">
        <v>771</v>
      </c>
      <c r="C406" s="5">
        <f t="shared" si="11"/>
        <v>0</v>
      </c>
      <c r="D406" s="5"/>
      <c r="E406" s="6">
        <f t="shared" si="12"/>
        <v>0</v>
      </c>
      <c r="F406" s="6">
        <f t="shared" si="12"/>
        <v>0</v>
      </c>
      <c r="G406" s="94">
        <f>'TB-Jan'!G406+'TB-Feb'!G406+'TB-Mar'!G406+'TB-Apr'!G406+'TB-May'!G406+'TB-Jun'!G406+'TB-Jul'!G406+'TB-Aug'!G406+'TB-Sep'!G406+'TB-Oct'!G406+'TB-Nov'!G406+'TB-Dec'!G406</f>
        <v>0</v>
      </c>
      <c r="H406" s="94">
        <f>'TB-Jan'!H406+'TB-Feb'!H406+'TB-Mar'!H406+'TB-Apr'!H406+'TB-May'!H406+'TB-Jun'!H406+'TB-Jul'!H406+'TB-Aug'!H406+'TB-Sep'!H406+'TB-Oct'!H406+'TB-Nov'!H406+'TB-Dec'!H406</f>
        <v>0</v>
      </c>
      <c r="I406" s="95">
        <f>'TB-Jan'!I406+'TB-Feb'!I406+'TB-Mar'!I406+'TB-Apr'!I406+'TB-May'!I406+'TB-Jun'!I406+'TB-Jul'!I406+'TB-Aug'!I406+'TB-Sep'!I406+'TB-Oct'!I406+'TB-Nov'!I406+'TB-Dec'!I406</f>
        <v>0</v>
      </c>
      <c r="J406" s="95">
        <f>'TB-Jan'!J406+'TB-Feb'!J406+'TB-Mar'!J406+'TB-Apr'!J406+'TB-May'!J406+'TB-Jun'!J406+'TB-Jul'!J406+'TB-Aug'!J406+'TB-Sep'!J406+'TB-Oct'!J406+'TB-Nov'!J406+'TB-Dec'!J406</f>
        <v>0</v>
      </c>
      <c r="K406" s="96">
        <f>'TB-Jan'!K406+'TB-Feb'!K406+'TB-Mar'!K406+'TB-Apr'!K406+'TB-May'!K406+'TB-Jun'!K406+'TB-Jul'!K406+'TB-Aug'!K406+'TB-Sep'!K406+'TB-Oct'!K406+'TB-Nov'!K406+'TB-Dec'!K406</f>
        <v>0</v>
      </c>
      <c r="L406" s="96">
        <f>'TB-Jan'!L406+'TB-Feb'!L406+'TB-Mar'!L406+'TB-Apr'!L406+'TB-May'!L406+'TB-Jun'!L406+'TB-Jul'!L406+'TB-Aug'!L406+'TB-Sep'!L406+'TB-Oct'!L406+'TB-Nov'!L406+'TB-Dec'!L406</f>
        <v>0</v>
      </c>
      <c r="M406" s="97">
        <f>'TB-Jan'!M406+'TB-Feb'!M406+'TB-Mar'!M406+'TB-Apr'!M406+'TB-May'!M406+'TB-Jun'!M406+'TB-Jul'!M406+'TB-Aug'!M406+'TB-Sep'!M406+'TB-Oct'!M406+'TB-Nov'!M406+'TB-Dec'!M406</f>
        <v>0</v>
      </c>
      <c r="N406" s="97">
        <f>'TB-Jan'!N406+'TB-Feb'!N406+'TB-Mar'!N406+'TB-Apr'!N406+'TB-May'!N406+'TB-Jun'!N406+'TB-Jul'!N406+'TB-Aug'!N406+'TB-Sep'!N406+'TB-Oct'!N406+'TB-Nov'!N406+'TB-Dec'!N406</f>
        <v>0</v>
      </c>
    </row>
    <row r="407" spans="1:14" hidden="1">
      <c r="A407" s="3" t="s">
        <v>772</v>
      </c>
      <c r="B407" s="4" t="s">
        <v>773</v>
      </c>
      <c r="C407" s="5">
        <f t="shared" si="11"/>
        <v>0</v>
      </c>
      <c r="D407" s="5"/>
      <c r="E407" s="6">
        <f t="shared" si="12"/>
        <v>0</v>
      </c>
      <c r="F407" s="6">
        <f t="shared" si="12"/>
        <v>0</v>
      </c>
      <c r="G407" s="94">
        <f>'TB-Jan'!G407+'TB-Feb'!G407+'TB-Mar'!G407+'TB-Apr'!G407+'TB-May'!G407+'TB-Jun'!G407+'TB-Jul'!G407+'TB-Aug'!G407+'TB-Sep'!G407+'TB-Oct'!G407+'TB-Nov'!G407+'TB-Dec'!G407</f>
        <v>0</v>
      </c>
      <c r="H407" s="94">
        <f>'TB-Jan'!H407+'TB-Feb'!H407+'TB-Mar'!H407+'TB-Apr'!H407+'TB-May'!H407+'TB-Jun'!H407+'TB-Jul'!H407+'TB-Aug'!H407+'TB-Sep'!H407+'TB-Oct'!H407+'TB-Nov'!H407+'TB-Dec'!H407</f>
        <v>0</v>
      </c>
      <c r="I407" s="95">
        <f>'TB-Jan'!I407+'TB-Feb'!I407+'TB-Mar'!I407+'TB-Apr'!I407+'TB-May'!I407+'TB-Jun'!I407+'TB-Jul'!I407+'TB-Aug'!I407+'TB-Sep'!I407+'TB-Oct'!I407+'TB-Nov'!I407+'TB-Dec'!I407</f>
        <v>0</v>
      </c>
      <c r="J407" s="95">
        <f>'TB-Jan'!J407+'TB-Feb'!J407+'TB-Mar'!J407+'TB-Apr'!J407+'TB-May'!J407+'TB-Jun'!J407+'TB-Jul'!J407+'TB-Aug'!J407+'TB-Sep'!J407+'TB-Oct'!J407+'TB-Nov'!J407+'TB-Dec'!J407</f>
        <v>0</v>
      </c>
      <c r="K407" s="96">
        <f>'TB-Jan'!K407+'TB-Feb'!K407+'TB-Mar'!K407+'TB-Apr'!K407+'TB-May'!K407+'TB-Jun'!K407+'TB-Jul'!K407+'TB-Aug'!K407+'TB-Sep'!K407+'TB-Oct'!K407+'TB-Nov'!K407+'TB-Dec'!K407</f>
        <v>0</v>
      </c>
      <c r="L407" s="96">
        <f>'TB-Jan'!L407+'TB-Feb'!L407+'TB-Mar'!L407+'TB-Apr'!L407+'TB-May'!L407+'TB-Jun'!L407+'TB-Jul'!L407+'TB-Aug'!L407+'TB-Sep'!L407+'TB-Oct'!L407+'TB-Nov'!L407+'TB-Dec'!L407</f>
        <v>0</v>
      </c>
      <c r="M407" s="97">
        <f>'TB-Jan'!M407+'TB-Feb'!M407+'TB-Mar'!M407+'TB-Apr'!M407+'TB-May'!M407+'TB-Jun'!M407+'TB-Jul'!M407+'TB-Aug'!M407+'TB-Sep'!M407+'TB-Oct'!M407+'TB-Nov'!M407+'TB-Dec'!M407</f>
        <v>0</v>
      </c>
      <c r="N407" s="97">
        <f>'TB-Jan'!N407+'TB-Feb'!N407+'TB-Mar'!N407+'TB-Apr'!N407+'TB-May'!N407+'TB-Jun'!N407+'TB-Jul'!N407+'TB-Aug'!N407+'TB-Sep'!N407+'TB-Oct'!N407+'TB-Nov'!N407+'TB-Dec'!N407</f>
        <v>0</v>
      </c>
    </row>
    <row r="408" spans="1:14" hidden="1">
      <c r="A408" s="3" t="s">
        <v>774</v>
      </c>
      <c r="B408" s="4" t="s">
        <v>775</v>
      </c>
      <c r="C408" s="5">
        <f t="shared" si="11"/>
        <v>0</v>
      </c>
      <c r="D408" s="5"/>
      <c r="E408" s="6">
        <f t="shared" si="12"/>
        <v>0</v>
      </c>
      <c r="F408" s="6">
        <f t="shared" si="12"/>
        <v>0</v>
      </c>
      <c r="G408" s="94">
        <f>'TB-Jan'!G408+'TB-Feb'!G408+'TB-Mar'!G408+'TB-Apr'!G408+'TB-May'!G408+'TB-Jun'!G408+'TB-Jul'!G408+'TB-Aug'!G408+'TB-Sep'!G408+'TB-Oct'!G408+'TB-Nov'!G408+'TB-Dec'!G408</f>
        <v>0</v>
      </c>
      <c r="H408" s="94">
        <f>'TB-Jan'!H408+'TB-Feb'!H408+'TB-Mar'!H408+'TB-Apr'!H408+'TB-May'!H408+'TB-Jun'!H408+'TB-Jul'!H408+'TB-Aug'!H408+'TB-Sep'!H408+'TB-Oct'!H408+'TB-Nov'!H408+'TB-Dec'!H408</f>
        <v>0</v>
      </c>
      <c r="I408" s="95">
        <f>'TB-Jan'!I408+'TB-Feb'!I408+'TB-Mar'!I408+'TB-Apr'!I408+'TB-May'!I408+'TB-Jun'!I408+'TB-Jul'!I408+'TB-Aug'!I408+'TB-Sep'!I408+'TB-Oct'!I408+'TB-Nov'!I408+'TB-Dec'!I408</f>
        <v>0</v>
      </c>
      <c r="J408" s="95">
        <f>'TB-Jan'!J408+'TB-Feb'!J408+'TB-Mar'!J408+'TB-Apr'!J408+'TB-May'!J408+'TB-Jun'!J408+'TB-Jul'!J408+'TB-Aug'!J408+'TB-Sep'!J408+'TB-Oct'!J408+'TB-Nov'!J408+'TB-Dec'!J408</f>
        <v>0</v>
      </c>
      <c r="K408" s="96">
        <f>'TB-Jan'!K408+'TB-Feb'!K408+'TB-Mar'!K408+'TB-Apr'!K408+'TB-May'!K408+'TB-Jun'!K408+'TB-Jul'!K408+'TB-Aug'!K408+'TB-Sep'!K408+'TB-Oct'!K408+'TB-Nov'!K408+'TB-Dec'!K408</f>
        <v>0</v>
      </c>
      <c r="L408" s="96">
        <f>'TB-Jan'!L408+'TB-Feb'!L408+'TB-Mar'!L408+'TB-Apr'!L408+'TB-May'!L408+'TB-Jun'!L408+'TB-Jul'!L408+'TB-Aug'!L408+'TB-Sep'!L408+'TB-Oct'!L408+'TB-Nov'!L408+'TB-Dec'!L408</f>
        <v>0</v>
      </c>
      <c r="M408" s="97">
        <f>'TB-Jan'!M408+'TB-Feb'!M408+'TB-Mar'!M408+'TB-Apr'!M408+'TB-May'!M408+'TB-Jun'!M408+'TB-Jul'!M408+'TB-Aug'!M408+'TB-Sep'!M408+'TB-Oct'!M408+'TB-Nov'!M408+'TB-Dec'!M408</f>
        <v>0</v>
      </c>
      <c r="N408" s="97">
        <f>'TB-Jan'!N408+'TB-Feb'!N408+'TB-Mar'!N408+'TB-Apr'!N408+'TB-May'!N408+'TB-Jun'!N408+'TB-Jul'!N408+'TB-Aug'!N408+'TB-Sep'!N408+'TB-Oct'!N408+'TB-Nov'!N408+'TB-Dec'!N408</f>
        <v>0</v>
      </c>
    </row>
    <row r="409" spans="1:14" hidden="1">
      <c r="A409" s="3" t="s">
        <v>776</v>
      </c>
      <c r="B409" s="4" t="s">
        <v>777</v>
      </c>
      <c r="C409" s="5">
        <f t="shared" ref="C409:C461" si="13">E409-F409</f>
        <v>0</v>
      </c>
      <c r="D409" s="5"/>
      <c r="E409" s="6">
        <f t="shared" si="12"/>
        <v>0</v>
      </c>
      <c r="F409" s="6">
        <f t="shared" si="12"/>
        <v>0</v>
      </c>
      <c r="G409" s="94">
        <f>'TB-Jan'!G409+'TB-Feb'!G409+'TB-Mar'!G409+'TB-Apr'!G409+'TB-May'!G409+'TB-Jun'!G409+'TB-Jul'!G409+'TB-Aug'!G409+'TB-Sep'!G409+'TB-Oct'!G409+'TB-Nov'!G409+'TB-Dec'!G409</f>
        <v>0</v>
      </c>
      <c r="H409" s="94">
        <f>'TB-Jan'!H409+'TB-Feb'!H409+'TB-Mar'!H409+'TB-Apr'!H409+'TB-May'!H409+'TB-Jun'!H409+'TB-Jul'!H409+'TB-Aug'!H409+'TB-Sep'!H409+'TB-Oct'!H409+'TB-Nov'!H409+'TB-Dec'!H409</f>
        <v>0</v>
      </c>
      <c r="I409" s="95">
        <f>'TB-Jan'!I409+'TB-Feb'!I409+'TB-Mar'!I409+'TB-Apr'!I409+'TB-May'!I409+'TB-Jun'!I409+'TB-Jul'!I409+'TB-Aug'!I409+'TB-Sep'!I409+'TB-Oct'!I409+'TB-Nov'!I409+'TB-Dec'!I409</f>
        <v>0</v>
      </c>
      <c r="J409" s="95">
        <f>'TB-Jan'!J409+'TB-Feb'!J409+'TB-Mar'!J409+'TB-Apr'!J409+'TB-May'!J409+'TB-Jun'!J409+'TB-Jul'!J409+'TB-Aug'!J409+'TB-Sep'!J409+'TB-Oct'!J409+'TB-Nov'!J409+'TB-Dec'!J409</f>
        <v>0</v>
      </c>
      <c r="K409" s="96">
        <f>'TB-Jan'!K409+'TB-Feb'!K409+'TB-Mar'!K409+'TB-Apr'!K409+'TB-May'!K409+'TB-Jun'!K409+'TB-Jul'!K409+'TB-Aug'!K409+'TB-Sep'!K409+'TB-Oct'!K409+'TB-Nov'!K409+'TB-Dec'!K409</f>
        <v>0</v>
      </c>
      <c r="L409" s="96">
        <f>'TB-Jan'!L409+'TB-Feb'!L409+'TB-Mar'!L409+'TB-Apr'!L409+'TB-May'!L409+'TB-Jun'!L409+'TB-Jul'!L409+'TB-Aug'!L409+'TB-Sep'!L409+'TB-Oct'!L409+'TB-Nov'!L409+'TB-Dec'!L409</f>
        <v>0</v>
      </c>
      <c r="M409" s="97">
        <f>'TB-Jan'!M409+'TB-Feb'!M409+'TB-Mar'!M409+'TB-Apr'!M409+'TB-May'!M409+'TB-Jun'!M409+'TB-Jul'!M409+'TB-Aug'!M409+'TB-Sep'!M409+'TB-Oct'!M409+'TB-Nov'!M409+'TB-Dec'!M409</f>
        <v>0</v>
      </c>
      <c r="N409" s="97">
        <f>'TB-Jan'!N409+'TB-Feb'!N409+'TB-Mar'!N409+'TB-Apr'!N409+'TB-May'!N409+'TB-Jun'!N409+'TB-Jul'!N409+'TB-Aug'!N409+'TB-Sep'!N409+'TB-Oct'!N409+'TB-Nov'!N409+'TB-Dec'!N409</f>
        <v>0</v>
      </c>
    </row>
    <row r="410" spans="1:14" hidden="1">
      <c r="A410" s="3" t="s">
        <v>778</v>
      </c>
      <c r="B410" s="4" t="s">
        <v>779</v>
      </c>
      <c r="C410" s="5">
        <f t="shared" si="13"/>
        <v>0</v>
      </c>
      <c r="D410" s="5"/>
      <c r="E410" s="6">
        <f t="shared" si="12"/>
        <v>0</v>
      </c>
      <c r="F410" s="6">
        <f t="shared" si="12"/>
        <v>0</v>
      </c>
      <c r="G410" s="94">
        <f>'TB-Jan'!G410+'TB-Feb'!G410+'TB-Mar'!G410+'TB-Apr'!G410+'TB-May'!G410+'TB-Jun'!G410+'TB-Jul'!G410+'TB-Aug'!G410+'TB-Sep'!G410+'TB-Oct'!G410+'TB-Nov'!G410+'TB-Dec'!G410</f>
        <v>0</v>
      </c>
      <c r="H410" s="94">
        <f>'TB-Jan'!H410+'TB-Feb'!H410+'TB-Mar'!H410+'TB-Apr'!H410+'TB-May'!H410+'TB-Jun'!H410+'TB-Jul'!H410+'TB-Aug'!H410+'TB-Sep'!H410+'TB-Oct'!H410+'TB-Nov'!H410+'TB-Dec'!H410</f>
        <v>0</v>
      </c>
      <c r="I410" s="95">
        <f>'TB-Jan'!I410+'TB-Feb'!I410+'TB-Mar'!I410+'TB-Apr'!I410+'TB-May'!I410+'TB-Jun'!I410+'TB-Jul'!I410+'TB-Aug'!I410+'TB-Sep'!I410+'TB-Oct'!I410+'TB-Nov'!I410+'TB-Dec'!I410</f>
        <v>0</v>
      </c>
      <c r="J410" s="95">
        <f>'TB-Jan'!J410+'TB-Feb'!J410+'TB-Mar'!J410+'TB-Apr'!J410+'TB-May'!J410+'TB-Jun'!J410+'TB-Jul'!J410+'TB-Aug'!J410+'TB-Sep'!J410+'TB-Oct'!J410+'TB-Nov'!J410+'TB-Dec'!J410</f>
        <v>0</v>
      </c>
      <c r="K410" s="96">
        <f>'TB-Jan'!K410+'TB-Feb'!K410+'TB-Mar'!K410+'TB-Apr'!K410+'TB-May'!K410+'TB-Jun'!K410+'TB-Jul'!K410+'TB-Aug'!K410+'TB-Sep'!K410+'TB-Oct'!K410+'TB-Nov'!K410+'TB-Dec'!K410</f>
        <v>0</v>
      </c>
      <c r="L410" s="96">
        <f>'TB-Jan'!L410+'TB-Feb'!L410+'TB-Mar'!L410+'TB-Apr'!L410+'TB-May'!L410+'TB-Jun'!L410+'TB-Jul'!L410+'TB-Aug'!L410+'TB-Sep'!L410+'TB-Oct'!L410+'TB-Nov'!L410+'TB-Dec'!L410</f>
        <v>0</v>
      </c>
      <c r="M410" s="97">
        <f>'TB-Jan'!M410+'TB-Feb'!M410+'TB-Mar'!M410+'TB-Apr'!M410+'TB-May'!M410+'TB-Jun'!M410+'TB-Jul'!M410+'TB-Aug'!M410+'TB-Sep'!M410+'TB-Oct'!M410+'TB-Nov'!M410+'TB-Dec'!M410</f>
        <v>0</v>
      </c>
      <c r="N410" s="97">
        <f>'TB-Jan'!N410+'TB-Feb'!N410+'TB-Mar'!N410+'TB-Apr'!N410+'TB-May'!N410+'TB-Jun'!N410+'TB-Jul'!N410+'TB-Aug'!N410+'TB-Sep'!N410+'TB-Oct'!N410+'TB-Nov'!N410+'TB-Dec'!N410</f>
        <v>0</v>
      </c>
    </row>
    <row r="411" spans="1:14" hidden="1">
      <c r="A411" s="3" t="s">
        <v>780</v>
      </c>
      <c r="B411" s="4" t="s">
        <v>781</v>
      </c>
      <c r="C411" s="5">
        <f t="shared" si="13"/>
        <v>0</v>
      </c>
      <c r="D411" s="5"/>
      <c r="E411" s="6">
        <f t="shared" si="12"/>
        <v>0</v>
      </c>
      <c r="F411" s="6">
        <f t="shared" si="12"/>
        <v>0</v>
      </c>
      <c r="G411" s="94">
        <f>'TB-Jan'!G411+'TB-Feb'!G411+'TB-Mar'!G411+'TB-Apr'!G411+'TB-May'!G411+'TB-Jun'!G411+'TB-Jul'!G411+'TB-Aug'!G411+'TB-Sep'!G411+'TB-Oct'!G411+'TB-Nov'!G411+'TB-Dec'!G411</f>
        <v>0</v>
      </c>
      <c r="H411" s="94">
        <f>'TB-Jan'!H411+'TB-Feb'!H411+'TB-Mar'!H411+'TB-Apr'!H411+'TB-May'!H411+'TB-Jun'!H411+'TB-Jul'!H411+'TB-Aug'!H411+'TB-Sep'!H411+'TB-Oct'!H411+'TB-Nov'!H411+'TB-Dec'!H411</f>
        <v>0</v>
      </c>
      <c r="I411" s="95">
        <f>'TB-Jan'!I411+'TB-Feb'!I411+'TB-Mar'!I411+'TB-Apr'!I411+'TB-May'!I411+'TB-Jun'!I411+'TB-Jul'!I411+'TB-Aug'!I411+'TB-Sep'!I411+'TB-Oct'!I411+'TB-Nov'!I411+'TB-Dec'!I411</f>
        <v>0</v>
      </c>
      <c r="J411" s="95">
        <f>'TB-Jan'!J411+'TB-Feb'!J411+'TB-Mar'!J411+'TB-Apr'!J411+'TB-May'!J411+'TB-Jun'!J411+'TB-Jul'!J411+'TB-Aug'!J411+'TB-Sep'!J411+'TB-Oct'!J411+'TB-Nov'!J411+'TB-Dec'!J411</f>
        <v>0</v>
      </c>
      <c r="K411" s="96">
        <f>'TB-Jan'!K411+'TB-Feb'!K411+'TB-Mar'!K411+'TB-Apr'!K411+'TB-May'!K411+'TB-Jun'!K411+'TB-Jul'!K411+'TB-Aug'!K411+'TB-Sep'!K411+'TB-Oct'!K411+'TB-Nov'!K411+'TB-Dec'!K411</f>
        <v>0</v>
      </c>
      <c r="L411" s="96">
        <f>'TB-Jan'!L411+'TB-Feb'!L411+'TB-Mar'!L411+'TB-Apr'!L411+'TB-May'!L411+'TB-Jun'!L411+'TB-Jul'!L411+'TB-Aug'!L411+'TB-Sep'!L411+'TB-Oct'!L411+'TB-Nov'!L411+'TB-Dec'!L411</f>
        <v>0</v>
      </c>
      <c r="M411" s="97">
        <f>'TB-Jan'!M411+'TB-Feb'!M411+'TB-Mar'!M411+'TB-Apr'!M411+'TB-May'!M411+'TB-Jun'!M411+'TB-Jul'!M411+'TB-Aug'!M411+'TB-Sep'!M411+'TB-Oct'!M411+'TB-Nov'!M411+'TB-Dec'!M411</f>
        <v>0</v>
      </c>
      <c r="N411" s="97">
        <f>'TB-Jan'!N411+'TB-Feb'!N411+'TB-Mar'!N411+'TB-Apr'!N411+'TB-May'!N411+'TB-Jun'!N411+'TB-Jul'!N411+'TB-Aug'!N411+'TB-Sep'!N411+'TB-Oct'!N411+'TB-Nov'!N411+'TB-Dec'!N411</f>
        <v>0</v>
      </c>
    </row>
    <row r="412" spans="1:14" hidden="1">
      <c r="A412" s="3" t="s">
        <v>782</v>
      </c>
      <c r="B412" s="4" t="s">
        <v>783</v>
      </c>
      <c r="C412" s="5">
        <f t="shared" si="13"/>
        <v>0</v>
      </c>
      <c r="D412" s="5"/>
      <c r="E412" s="6">
        <f t="shared" si="12"/>
        <v>0</v>
      </c>
      <c r="F412" s="6">
        <f t="shared" si="12"/>
        <v>0</v>
      </c>
      <c r="G412" s="94">
        <f>'TB-Jan'!G412+'TB-Feb'!G412+'TB-Mar'!G412+'TB-Apr'!G412+'TB-May'!G412+'TB-Jun'!G412+'TB-Jul'!G412+'TB-Aug'!G412+'TB-Sep'!G412+'TB-Oct'!G412+'TB-Nov'!G412+'TB-Dec'!G412</f>
        <v>0</v>
      </c>
      <c r="H412" s="94">
        <f>'TB-Jan'!H412+'TB-Feb'!H412+'TB-Mar'!H412+'TB-Apr'!H412+'TB-May'!H412+'TB-Jun'!H412+'TB-Jul'!H412+'TB-Aug'!H412+'TB-Sep'!H412+'TB-Oct'!H412+'TB-Nov'!H412+'TB-Dec'!H412</f>
        <v>0</v>
      </c>
      <c r="I412" s="95">
        <f>'TB-Jan'!I412+'TB-Feb'!I412+'TB-Mar'!I412+'TB-Apr'!I412+'TB-May'!I412+'TB-Jun'!I412+'TB-Jul'!I412+'TB-Aug'!I412+'TB-Sep'!I412+'TB-Oct'!I412+'TB-Nov'!I412+'TB-Dec'!I412</f>
        <v>0</v>
      </c>
      <c r="J412" s="95">
        <f>'TB-Jan'!J412+'TB-Feb'!J412+'TB-Mar'!J412+'TB-Apr'!J412+'TB-May'!J412+'TB-Jun'!J412+'TB-Jul'!J412+'TB-Aug'!J412+'TB-Sep'!J412+'TB-Oct'!J412+'TB-Nov'!J412+'TB-Dec'!J412</f>
        <v>0</v>
      </c>
      <c r="K412" s="96">
        <f>'TB-Jan'!K412+'TB-Feb'!K412+'TB-Mar'!K412+'TB-Apr'!K412+'TB-May'!K412+'TB-Jun'!K412+'TB-Jul'!K412+'TB-Aug'!K412+'TB-Sep'!K412+'TB-Oct'!K412+'TB-Nov'!K412+'TB-Dec'!K412</f>
        <v>0</v>
      </c>
      <c r="L412" s="96">
        <f>'TB-Jan'!L412+'TB-Feb'!L412+'TB-Mar'!L412+'TB-Apr'!L412+'TB-May'!L412+'TB-Jun'!L412+'TB-Jul'!L412+'TB-Aug'!L412+'TB-Sep'!L412+'TB-Oct'!L412+'TB-Nov'!L412+'TB-Dec'!L412</f>
        <v>0</v>
      </c>
      <c r="M412" s="97">
        <f>'TB-Jan'!M412+'TB-Feb'!M412+'TB-Mar'!M412+'TB-Apr'!M412+'TB-May'!M412+'TB-Jun'!M412+'TB-Jul'!M412+'TB-Aug'!M412+'TB-Sep'!M412+'TB-Oct'!M412+'TB-Nov'!M412+'TB-Dec'!M412</f>
        <v>0</v>
      </c>
      <c r="N412" s="97">
        <f>'TB-Jan'!N412+'TB-Feb'!N412+'TB-Mar'!N412+'TB-Apr'!N412+'TB-May'!N412+'TB-Jun'!N412+'TB-Jul'!N412+'TB-Aug'!N412+'TB-Sep'!N412+'TB-Oct'!N412+'TB-Nov'!N412+'TB-Dec'!N412</f>
        <v>0</v>
      </c>
    </row>
    <row r="413" spans="1:14" hidden="1">
      <c r="A413" s="3" t="s">
        <v>784</v>
      </c>
      <c r="B413" s="4" t="s">
        <v>785</v>
      </c>
      <c r="C413" s="5">
        <f t="shared" si="13"/>
        <v>0</v>
      </c>
      <c r="D413" s="5"/>
      <c r="E413" s="6">
        <f t="shared" si="12"/>
        <v>0</v>
      </c>
      <c r="F413" s="6">
        <f t="shared" si="12"/>
        <v>0</v>
      </c>
      <c r="G413" s="94">
        <f>'TB-Jan'!G413+'TB-Feb'!G413+'TB-Mar'!G413+'TB-Apr'!G413+'TB-May'!G413+'TB-Jun'!G413+'TB-Jul'!G413+'TB-Aug'!G413+'TB-Sep'!G413+'TB-Oct'!G413+'TB-Nov'!G413+'TB-Dec'!G413</f>
        <v>0</v>
      </c>
      <c r="H413" s="94">
        <f>'TB-Jan'!H413+'TB-Feb'!H413+'TB-Mar'!H413+'TB-Apr'!H413+'TB-May'!H413+'TB-Jun'!H413+'TB-Jul'!H413+'TB-Aug'!H413+'TB-Sep'!H413+'TB-Oct'!H413+'TB-Nov'!H413+'TB-Dec'!H413</f>
        <v>0</v>
      </c>
      <c r="I413" s="95">
        <f>'TB-Jan'!I413+'TB-Feb'!I413+'TB-Mar'!I413+'TB-Apr'!I413+'TB-May'!I413+'TB-Jun'!I413+'TB-Jul'!I413+'TB-Aug'!I413+'TB-Sep'!I413+'TB-Oct'!I413+'TB-Nov'!I413+'TB-Dec'!I413</f>
        <v>0</v>
      </c>
      <c r="J413" s="95">
        <f>'TB-Jan'!J413+'TB-Feb'!J413+'TB-Mar'!J413+'TB-Apr'!J413+'TB-May'!J413+'TB-Jun'!J413+'TB-Jul'!J413+'TB-Aug'!J413+'TB-Sep'!J413+'TB-Oct'!J413+'TB-Nov'!J413+'TB-Dec'!J413</f>
        <v>0</v>
      </c>
      <c r="K413" s="96">
        <f>'TB-Jan'!K413+'TB-Feb'!K413+'TB-Mar'!K413+'TB-Apr'!K413+'TB-May'!K413+'TB-Jun'!K413+'TB-Jul'!K413+'TB-Aug'!K413+'TB-Sep'!K413+'TB-Oct'!K413+'TB-Nov'!K413+'TB-Dec'!K413</f>
        <v>0</v>
      </c>
      <c r="L413" s="96">
        <f>'TB-Jan'!L413+'TB-Feb'!L413+'TB-Mar'!L413+'TB-Apr'!L413+'TB-May'!L413+'TB-Jun'!L413+'TB-Jul'!L413+'TB-Aug'!L413+'TB-Sep'!L413+'TB-Oct'!L413+'TB-Nov'!L413+'TB-Dec'!L413</f>
        <v>0</v>
      </c>
      <c r="M413" s="97">
        <f>'TB-Jan'!M413+'TB-Feb'!M413+'TB-Mar'!M413+'TB-Apr'!M413+'TB-May'!M413+'TB-Jun'!M413+'TB-Jul'!M413+'TB-Aug'!M413+'TB-Sep'!M413+'TB-Oct'!M413+'TB-Nov'!M413+'TB-Dec'!M413</f>
        <v>0</v>
      </c>
      <c r="N413" s="97">
        <f>'TB-Jan'!N413+'TB-Feb'!N413+'TB-Mar'!N413+'TB-Apr'!N413+'TB-May'!N413+'TB-Jun'!N413+'TB-Jul'!N413+'TB-Aug'!N413+'TB-Sep'!N413+'TB-Oct'!N413+'TB-Nov'!N413+'TB-Dec'!N413</f>
        <v>0</v>
      </c>
    </row>
    <row r="414" spans="1:14" hidden="1">
      <c r="A414" s="3" t="s">
        <v>786</v>
      </c>
      <c r="B414" s="4" t="s">
        <v>787</v>
      </c>
      <c r="C414" s="5">
        <f t="shared" si="13"/>
        <v>0</v>
      </c>
      <c r="D414" s="5"/>
      <c r="E414" s="6">
        <f t="shared" si="12"/>
        <v>0</v>
      </c>
      <c r="F414" s="6">
        <f t="shared" si="12"/>
        <v>0</v>
      </c>
      <c r="G414" s="94">
        <f>'TB-Jan'!G414+'TB-Feb'!G414+'TB-Mar'!G414+'TB-Apr'!G414+'TB-May'!G414+'TB-Jun'!G414+'TB-Jul'!G414+'TB-Aug'!G414+'TB-Sep'!G414+'TB-Oct'!G414+'TB-Nov'!G414+'TB-Dec'!G414</f>
        <v>0</v>
      </c>
      <c r="H414" s="94">
        <f>'TB-Jan'!H414+'TB-Feb'!H414+'TB-Mar'!H414+'TB-Apr'!H414+'TB-May'!H414+'TB-Jun'!H414+'TB-Jul'!H414+'TB-Aug'!H414+'TB-Sep'!H414+'TB-Oct'!H414+'TB-Nov'!H414+'TB-Dec'!H414</f>
        <v>0</v>
      </c>
      <c r="I414" s="95">
        <f>'TB-Jan'!I414+'TB-Feb'!I414+'TB-Mar'!I414+'TB-Apr'!I414+'TB-May'!I414+'TB-Jun'!I414+'TB-Jul'!I414+'TB-Aug'!I414+'TB-Sep'!I414+'TB-Oct'!I414+'TB-Nov'!I414+'TB-Dec'!I414</f>
        <v>0</v>
      </c>
      <c r="J414" s="95">
        <f>'TB-Jan'!J414+'TB-Feb'!J414+'TB-Mar'!J414+'TB-Apr'!J414+'TB-May'!J414+'TB-Jun'!J414+'TB-Jul'!J414+'TB-Aug'!J414+'TB-Sep'!J414+'TB-Oct'!J414+'TB-Nov'!J414+'TB-Dec'!J414</f>
        <v>0</v>
      </c>
      <c r="K414" s="96">
        <f>'TB-Jan'!K414+'TB-Feb'!K414+'TB-Mar'!K414+'TB-Apr'!K414+'TB-May'!K414+'TB-Jun'!K414+'TB-Jul'!K414+'TB-Aug'!K414+'TB-Sep'!K414+'TB-Oct'!K414+'TB-Nov'!K414+'TB-Dec'!K414</f>
        <v>0</v>
      </c>
      <c r="L414" s="96">
        <f>'TB-Jan'!L414+'TB-Feb'!L414+'TB-Mar'!L414+'TB-Apr'!L414+'TB-May'!L414+'TB-Jun'!L414+'TB-Jul'!L414+'TB-Aug'!L414+'TB-Sep'!L414+'TB-Oct'!L414+'TB-Nov'!L414+'TB-Dec'!L414</f>
        <v>0</v>
      </c>
      <c r="M414" s="97">
        <f>'TB-Jan'!M414+'TB-Feb'!M414+'TB-Mar'!M414+'TB-Apr'!M414+'TB-May'!M414+'TB-Jun'!M414+'TB-Jul'!M414+'TB-Aug'!M414+'TB-Sep'!M414+'TB-Oct'!M414+'TB-Nov'!M414+'TB-Dec'!M414</f>
        <v>0</v>
      </c>
      <c r="N414" s="97">
        <f>'TB-Jan'!N414+'TB-Feb'!N414+'TB-Mar'!N414+'TB-Apr'!N414+'TB-May'!N414+'TB-Jun'!N414+'TB-Jul'!N414+'TB-Aug'!N414+'TB-Sep'!N414+'TB-Oct'!N414+'TB-Nov'!N414+'TB-Dec'!N414</f>
        <v>0</v>
      </c>
    </row>
    <row r="415" spans="1:14" hidden="1">
      <c r="A415" s="3" t="s">
        <v>788</v>
      </c>
      <c r="B415" s="4" t="s">
        <v>789</v>
      </c>
      <c r="C415" s="5">
        <f t="shared" si="13"/>
        <v>0</v>
      </c>
      <c r="D415" s="5"/>
      <c r="E415" s="6">
        <f t="shared" si="12"/>
        <v>0</v>
      </c>
      <c r="F415" s="6">
        <f t="shared" si="12"/>
        <v>0</v>
      </c>
      <c r="G415" s="94">
        <f>'TB-Jan'!G415+'TB-Feb'!G415+'TB-Mar'!G415+'TB-Apr'!G415+'TB-May'!G415+'TB-Jun'!G415+'TB-Jul'!G415+'TB-Aug'!G415+'TB-Sep'!G415+'TB-Oct'!G415+'TB-Nov'!G415+'TB-Dec'!G415</f>
        <v>0</v>
      </c>
      <c r="H415" s="94">
        <f>'TB-Jan'!H415+'TB-Feb'!H415+'TB-Mar'!H415+'TB-Apr'!H415+'TB-May'!H415+'TB-Jun'!H415+'TB-Jul'!H415+'TB-Aug'!H415+'TB-Sep'!H415+'TB-Oct'!H415+'TB-Nov'!H415+'TB-Dec'!H415</f>
        <v>0</v>
      </c>
      <c r="I415" s="95">
        <f>'TB-Jan'!I415+'TB-Feb'!I415+'TB-Mar'!I415+'TB-Apr'!I415+'TB-May'!I415+'TB-Jun'!I415+'TB-Jul'!I415+'TB-Aug'!I415+'TB-Sep'!I415+'TB-Oct'!I415+'TB-Nov'!I415+'TB-Dec'!I415</f>
        <v>0</v>
      </c>
      <c r="J415" s="95">
        <f>'TB-Jan'!J415+'TB-Feb'!J415+'TB-Mar'!J415+'TB-Apr'!J415+'TB-May'!J415+'TB-Jun'!J415+'TB-Jul'!J415+'TB-Aug'!J415+'TB-Sep'!J415+'TB-Oct'!J415+'TB-Nov'!J415+'TB-Dec'!J415</f>
        <v>0</v>
      </c>
      <c r="K415" s="96">
        <f>'TB-Jan'!K415+'TB-Feb'!K415+'TB-Mar'!K415+'TB-Apr'!K415+'TB-May'!K415+'TB-Jun'!K415+'TB-Jul'!K415+'TB-Aug'!K415+'TB-Sep'!K415+'TB-Oct'!K415+'TB-Nov'!K415+'TB-Dec'!K415</f>
        <v>0</v>
      </c>
      <c r="L415" s="96">
        <f>'TB-Jan'!L415+'TB-Feb'!L415+'TB-Mar'!L415+'TB-Apr'!L415+'TB-May'!L415+'TB-Jun'!L415+'TB-Jul'!L415+'TB-Aug'!L415+'TB-Sep'!L415+'TB-Oct'!L415+'TB-Nov'!L415+'TB-Dec'!L415</f>
        <v>0</v>
      </c>
      <c r="M415" s="97">
        <f>'TB-Jan'!M415+'TB-Feb'!M415+'TB-Mar'!M415+'TB-Apr'!M415+'TB-May'!M415+'TB-Jun'!M415+'TB-Jul'!M415+'TB-Aug'!M415+'TB-Sep'!M415+'TB-Oct'!M415+'TB-Nov'!M415+'TB-Dec'!M415</f>
        <v>0</v>
      </c>
      <c r="N415" s="97">
        <f>'TB-Jan'!N415+'TB-Feb'!N415+'TB-Mar'!N415+'TB-Apr'!N415+'TB-May'!N415+'TB-Jun'!N415+'TB-Jul'!N415+'TB-Aug'!N415+'TB-Sep'!N415+'TB-Oct'!N415+'TB-Nov'!N415+'TB-Dec'!N415</f>
        <v>0</v>
      </c>
    </row>
    <row r="416" spans="1:14" hidden="1">
      <c r="A416" s="3" t="s">
        <v>790</v>
      </c>
      <c r="B416" s="4" t="s">
        <v>791</v>
      </c>
      <c r="C416" s="5">
        <f t="shared" si="13"/>
        <v>0</v>
      </c>
      <c r="D416" s="5"/>
      <c r="E416" s="6">
        <f t="shared" si="12"/>
        <v>0</v>
      </c>
      <c r="F416" s="6">
        <f t="shared" si="12"/>
        <v>0</v>
      </c>
      <c r="G416" s="94">
        <f>'TB-Jan'!G416+'TB-Feb'!G416+'TB-Mar'!G416+'TB-Apr'!G416+'TB-May'!G416+'TB-Jun'!G416+'TB-Jul'!G416+'TB-Aug'!G416+'TB-Sep'!G416+'TB-Oct'!G416+'TB-Nov'!G416+'TB-Dec'!G416</f>
        <v>0</v>
      </c>
      <c r="H416" s="94">
        <f>'TB-Jan'!H416+'TB-Feb'!H416+'TB-Mar'!H416+'TB-Apr'!H416+'TB-May'!H416+'TB-Jun'!H416+'TB-Jul'!H416+'TB-Aug'!H416+'TB-Sep'!H416+'TB-Oct'!H416+'TB-Nov'!H416+'TB-Dec'!H416</f>
        <v>0</v>
      </c>
      <c r="I416" s="95">
        <f>'TB-Jan'!I416+'TB-Feb'!I416+'TB-Mar'!I416+'TB-Apr'!I416+'TB-May'!I416+'TB-Jun'!I416+'TB-Jul'!I416+'TB-Aug'!I416+'TB-Sep'!I416+'TB-Oct'!I416+'TB-Nov'!I416+'TB-Dec'!I416</f>
        <v>0</v>
      </c>
      <c r="J416" s="95">
        <f>'TB-Jan'!J416+'TB-Feb'!J416+'TB-Mar'!J416+'TB-Apr'!J416+'TB-May'!J416+'TB-Jun'!J416+'TB-Jul'!J416+'TB-Aug'!J416+'TB-Sep'!J416+'TB-Oct'!J416+'TB-Nov'!J416+'TB-Dec'!J416</f>
        <v>0</v>
      </c>
      <c r="K416" s="96">
        <f>'TB-Jan'!K416+'TB-Feb'!K416+'TB-Mar'!K416+'TB-Apr'!K416+'TB-May'!K416+'TB-Jun'!K416+'TB-Jul'!K416+'TB-Aug'!K416+'TB-Sep'!K416+'TB-Oct'!K416+'TB-Nov'!K416+'TB-Dec'!K416</f>
        <v>0</v>
      </c>
      <c r="L416" s="96">
        <f>'TB-Jan'!L416+'TB-Feb'!L416+'TB-Mar'!L416+'TB-Apr'!L416+'TB-May'!L416+'TB-Jun'!L416+'TB-Jul'!L416+'TB-Aug'!L416+'TB-Sep'!L416+'TB-Oct'!L416+'TB-Nov'!L416+'TB-Dec'!L416</f>
        <v>0</v>
      </c>
      <c r="M416" s="97">
        <f>'TB-Jan'!M416+'TB-Feb'!M416+'TB-Mar'!M416+'TB-Apr'!M416+'TB-May'!M416+'TB-Jun'!M416+'TB-Jul'!M416+'TB-Aug'!M416+'TB-Sep'!M416+'TB-Oct'!M416+'TB-Nov'!M416+'TB-Dec'!M416</f>
        <v>0</v>
      </c>
      <c r="N416" s="97">
        <f>'TB-Jan'!N416+'TB-Feb'!N416+'TB-Mar'!N416+'TB-Apr'!N416+'TB-May'!N416+'TB-Jun'!N416+'TB-Jul'!N416+'TB-Aug'!N416+'TB-Sep'!N416+'TB-Oct'!N416+'TB-Nov'!N416+'TB-Dec'!N416</f>
        <v>0</v>
      </c>
    </row>
    <row r="417" spans="1:14" hidden="1">
      <c r="A417" s="3" t="s">
        <v>792</v>
      </c>
      <c r="B417" s="4" t="s">
        <v>793</v>
      </c>
      <c r="C417" s="5">
        <f t="shared" si="13"/>
        <v>0</v>
      </c>
      <c r="D417" s="5"/>
      <c r="E417" s="6">
        <f t="shared" si="12"/>
        <v>0</v>
      </c>
      <c r="F417" s="6">
        <f t="shared" si="12"/>
        <v>0</v>
      </c>
      <c r="G417" s="94">
        <f>'TB-Jan'!G417+'TB-Feb'!G417+'TB-Mar'!G417+'TB-Apr'!G417+'TB-May'!G417+'TB-Jun'!G417+'TB-Jul'!G417+'TB-Aug'!G417+'TB-Sep'!G417+'TB-Oct'!G417+'TB-Nov'!G417+'TB-Dec'!G417</f>
        <v>0</v>
      </c>
      <c r="H417" s="94">
        <f>'TB-Jan'!H417+'TB-Feb'!H417+'TB-Mar'!H417+'TB-Apr'!H417+'TB-May'!H417+'TB-Jun'!H417+'TB-Jul'!H417+'TB-Aug'!H417+'TB-Sep'!H417+'TB-Oct'!H417+'TB-Nov'!H417+'TB-Dec'!H417</f>
        <v>0</v>
      </c>
      <c r="I417" s="95">
        <f>'TB-Jan'!I417+'TB-Feb'!I417+'TB-Mar'!I417+'TB-Apr'!I417+'TB-May'!I417+'TB-Jun'!I417+'TB-Jul'!I417+'TB-Aug'!I417+'TB-Sep'!I417+'TB-Oct'!I417+'TB-Nov'!I417+'TB-Dec'!I417</f>
        <v>0</v>
      </c>
      <c r="J417" s="95">
        <f>'TB-Jan'!J417+'TB-Feb'!J417+'TB-Mar'!J417+'TB-Apr'!J417+'TB-May'!J417+'TB-Jun'!J417+'TB-Jul'!J417+'TB-Aug'!J417+'TB-Sep'!J417+'TB-Oct'!J417+'TB-Nov'!J417+'TB-Dec'!J417</f>
        <v>0</v>
      </c>
      <c r="K417" s="96">
        <f>'TB-Jan'!K417+'TB-Feb'!K417+'TB-Mar'!K417+'TB-Apr'!K417+'TB-May'!K417+'TB-Jun'!K417+'TB-Jul'!K417+'TB-Aug'!K417+'TB-Sep'!K417+'TB-Oct'!K417+'TB-Nov'!K417+'TB-Dec'!K417</f>
        <v>0</v>
      </c>
      <c r="L417" s="96">
        <f>'TB-Jan'!L417+'TB-Feb'!L417+'TB-Mar'!L417+'TB-Apr'!L417+'TB-May'!L417+'TB-Jun'!L417+'TB-Jul'!L417+'TB-Aug'!L417+'TB-Sep'!L417+'TB-Oct'!L417+'TB-Nov'!L417+'TB-Dec'!L417</f>
        <v>0</v>
      </c>
      <c r="M417" s="97">
        <f>'TB-Jan'!M417+'TB-Feb'!M417+'TB-Mar'!M417+'TB-Apr'!M417+'TB-May'!M417+'TB-Jun'!M417+'TB-Jul'!M417+'TB-Aug'!M417+'TB-Sep'!M417+'TB-Oct'!M417+'TB-Nov'!M417+'TB-Dec'!M417</f>
        <v>0</v>
      </c>
      <c r="N417" s="97">
        <f>'TB-Jan'!N417+'TB-Feb'!N417+'TB-Mar'!N417+'TB-Apr'!N417+'TB-May'!N417+'TB-Jun'!N417+'TB-Jul'!N417+'TB-Aug'!N417+'TB-Sep'!N417+'TB-Oct'!N417+'TB-Nov'!N417+'TB-Dec'!N417</f>
        <v>0</v>
      </c>
    </row>
    <row r="418" spans="1:14" hidden="1">
      <c r="A418" s="3" t="s">
        <v>794</v>
      </c>
      <c r="B418" s="4" t="s">
        <v>795</v>
      </c>
      <c r="C418" s="5">
        <f t="shared" si="13"/>
        <v>0</v>
      </c>
      <c r="D418" s="5"/>
      <c r="E418" s="6">
        <f t="shared" si="12"/>
        <v>0</v>
      </c>
      <c r="F418" s="6">
        <f t="shared" si="12"/>
        <v>0</v>
      </c>
      <c r="G418" s="94">
        <f>'TB-Jan'!G418+'TB-Feb'!G418+'TB-Mar'!G418+'TB-Apr'!G418+'TB-May'!G418+'TB-Jun'!G418+'TB-Jul'!G418+'TB-Aug'!G418+'TB-Sep'!G418+'TB-Oct'!G418+'TB-Nov'!G418+'TB-Dec'!G418</f>
        <v>0</v>
      </c>
      <c r="H418" s="94">
        <f>'TB-Jan'!H418+'TB-Feb'!H418+'TB-Mar'!H418+'TB-Apr'!H418+'TB-May'!H418+'TB-Jun'!H418+'TB-Jul'!H418+'TB-Aug'!H418+'TB-Sep'!H418+'TB-Oct'!H418+'TB-Nov'!H418+'TB-Dec'!H418</f>
        <v>0</v>
      </c>
      <c r="I418" s="95">
        <f>'TB-Jan'!I418+'TB-Feb'!I418+'TB-Mar'!I418+'TB-Apr'!I418+'TB-May'!I418+'TB-Jun'!I418+'TB-Jul'!I418+'TB-Aug'!I418+'TB-Sep'!I418+'TB-Oct'!I418+'TB-Nov'!I418+'TB-Dec'!I418</f>
        <v>0</v>
      </c>
      <c r="J418" s="95">
        <f>'TB-Jan'!J418+'TB-Feb'!J418+'TB-Mar'!J418+'TB-Apr'!J418+'TB-May'!J418+'TB-Jun'!J418+'TB-Jul'!J418+'TB-Aug'!J418+'TB-Sep'!J418+'TB-Oct'!J418+'TB-Nov'!J418+'TB-Dec'!J418</f>
        <v>0</v>
      </c>
      <c r="K418" s="96">
        <f>'TB-Jan'!K418+'TB-Feb'!K418+'TB-Mar'!K418+'TB-Apr'!K418+'TB-May'!K418+'TB-Jun'!K418+'TB-Jul'!K418+'TB-Aug'!K418+'TB-Sep'!K418+'TB-Oct'!K418+'TB-Nov'!K418+'TB-Dec'!K418</f>
        <v>0</v>
      </c>
      <c r="L418" s="96">
        <f>'TB-Jan'!L418+'TB-Feb'!L418+'TB-Mar'!L418+'TB-Apr'!L418+'TB-May'!L418+'TB-Jun'!L418+'TB-Jul'!L418+'TB-Aug'!L418+'TB-Sep'!L418+'TB-Oct'!L418+'TB-Nov'!L418+'TB-Dec'!L418</f>
        <v>0</v>
      </c>
      <c r="M418" s="97">
        <f>'TB-Jan'!M418+'TB-Feb'!M418+'TB-Mar'!M418+'TB-Apr'!M418+'TB-May'!M418+'TB-Jun'!M418+'TB-Jul'!M418+'TB-Aug'!M418+'TB-Sep'!M418+'TB-Oct'!M418+'TB-Nov'!M418+'TB-Dec'!M418</f>
        <v>0</v>
      </c>
      <c r="N418" s="97">
        <f>'TB-Jan'!N418+'TB-Feb'!N418+'TB-Mar'!N418+'TB-Apr'!N418+'TB-May'!N418+'TB-Jun'!N418+'TB-Jul'!N418+'TB-Aug'!N418+'TB-Sep'!N418+'TB-Oct'!N418+'TB-Nov'!N418+'TB-Dec'!N418</f>
        <v>0</v>
      </c>
    </row>
    <row r="419" spans="1:14" hidden="1">
      <c r="A419" s="3" t="s">
        <v>796</v>
      </c>
      <c r="B419" s="4" t="s">
        <v>797</v>
      </c>
      <c r="C419" s="5">
        <f t="shared" si="13"/>
        <v>0</v>
      </c>
      <c r="D419" s="5"/>
      <c r="E419" s="6">
        <f t="shared" si="12"/>
        <v>0</v>
      </c>
      <c r="F419" s="6">
        <f t="shared" si="12"/>
        <v>0</v>
      </c>
      <c r="G419" s="94">
        <f>'TB-Jan'!G419+'TB-Feb'!G419+'TB-Mar'!G419+'TB-Apr'!G419+'TB-May'!G419+'TB-Jun'!G419+'TB-Jul'!G419+'TB-Aug'!G419+'TB-Sep'!G419+'TB-Oct'!G419+'TB-Nov'!G419+'TB-Dec'!G419</f>
        <v>0</v>
      </c>
      <c r="H419" s="94">
        <f>'TB-Jan'!H419+'TB-Feb'!H419+'TB-Mar'!H419+'TB-Apr'!H419+'TB-May'!H419+'TB-Jun'!H419+'TB-Jul'!H419+'TB-Aug'!H419+'TB-Sep'!H419+'TB-Oct'!H419+'TB-Nov'!H419+'TB-Dec'!H419</f>
        <v>0</v>
      </c>
      <c r="I419" s="95">
        <f>'TB-Jan'!I419+'TB-Feb'!I419+'TB-Mar'!I419+'TB-Apr'!I419+'TB-May'!I419+'TB-Jun'!I419+'TB-Jul'!I419+'TB-Aug'!I419+'TB-Sep'!I419+'TB-Oct'!I419+'TB-Nov'!I419+'TB-Dec'!I419</f>
        <v>0</v>
      </c>
      <c r="J419" s="95">
        <f>'TB-Jan'!J419+'TB-Feb'!J419+'TB-Mar'!J419+'TB-Apr'!J419+'TB-May'!J419+'TB-Jun'!J419+'TB-Jul'!J419+'TB-Aug'!J419+'TB-Sep'!J419+'TB-Oct'!J419+'TB-Nov'!J419+'TB-Dec'!J419</f>
        <v>0</v>
      </c>
      <c r="K419" s="96">
        <f>'TB-Jan'!K419+'TB-Feb'!K419+'TB-Mar'!K419+'TB-Apr'!K419+'TB-May'!K419+'TB-Jun'!K419+'TB-Jul'!K419+'TB-Aug'!K419+'TB-Sep'!K419+'TB-Oct'!K419+'TB-Nov'!K419+'TB-Dec'!K419</f>
        <v>0</v>
      </c>
      <c r="L419" s="96">
        <f>'TB-Jan'!L419+'TB-Feb'!L419+'TB-Mar'!L419+'TB-Apr'!L419+'TB-May'!L419+'TB-Jun'!L419+'TB-Jul'!L419+'TB-Aug'!L419+'TB-Sep'!L419+'TB-Oct'!L419+'TB-Nov'!L419+'TB-Dec'!L419</f>
        <v>0</v>
      </c>
      <c r="M419" s="97">
        <f>'TB-Jan'!M419+'TB-Feb'!M419+'TB-Mar'!M419+'TB-Apr'!M419+'TB-May'!M419+'TB-Jun'!M419+'TB-Jul'!M419+'TB-Aug'!M419+'TB-Sep'!M419+'TB-Oct'!M419+'TB-Nov'!M419+'TB-Dec'!M419</f>
        <v>0</v>
      </c>
      <c r="N419" s="97">
        <f>'TB-Jan'!N419+'TB-Feb'!N419+'TB-Mar'!N419+'TB-Apr'!N419+'TB-May'!N419+'TB-Jun'!N419+'TB-Jul'!N419+'TB-Aug'!N419+'TB-Sep'!N419+'TB-Oct'!N419+'TB-Nov'!N419+'TB-Dec'!N419</f>
        <v>0</v>
      </c>
    </row>
    <row r="420" spans="1:14" hidden="1">
      <c r="A420" s="3" t="s">
        <v>798</v>
      </c>
      <c r="B420" s="4" t="s">
        <v>799</v>
      </c>
      <c r="C420" s="5">
        <f t="shared" si="13"/>
        <v>0</v>
      </c>
      <c r="D420" s="5"/>
      <c r="E420" s="6">
        <f t="shared" si="12"/>
        <v>0</v>
      </c>
      <c r="F420" s="6">
        <f t="shared" si="12"/>
        <v>0</v>
      </c>
      <c r="G420" s="94">
        <f>'TB-Jan'!G420+'TB-Feb'!G420+'TB-Mar'!G420+'TB-Apr'!G420+'TB-May'!G420+'TB-Jun'!G420+'TB-Jul'!G420+'TB-Aug'!G420+'TB-Sep'!G420+'TB-Oct'!G420+'TB-Nov'!G420+'TB-Dec'!G420</f>
        <v>0</v>
      </c>
      <c r="H420" s="94">
        <f>'TB-Jan'!H420+'TB-Feb'!H420+'TB-Mar'!H420+'TB-Apr'!H420+'TB-May'!H420+'TB-Jun'!H420+'TB-Jul'!H420+'TB-Aug'!H420+'TB-Sep'!H420+'TB-Oct'!H420+'TB-Nov'!H420+'TB-Dec'!H420</f>
        <v>0</v>
      </c>
      <c r="I420" s="95">
        <f>'TB-Jan'!I420+'TB-Feb'!I420+'TB-Mar'!I420+'TB-Apr'!I420+'TB-May'!I420+'TB-Jun'!I420+'TB-Jul'!I420+'TB-Aug'!I420+'TB-Sep'!I420+'TB-Oct'!I420+'TB-Nov'!I420+'TB-Dec'!I420</f>
        <v>0</v>
      </c>
      <c r="J420" s="95">
        <f>'TB-Jan'!J420+'TB-Feb'!J420+'TB-Mar'!J420+'TB-Apr'!J420+'TB-May'!J420+'TB-Jun'!J420+'TB-Jul'!J420+'TB-Aug'!J420+'TB-Sep'!J420+'TB-Oct'!J420+'TB-Nov'!J420+'TB-Dec'!J420</f>
        <v>0</v>
      </c>
      <c r="K420" s="96">
        <f>'TB-Jan'!K420+'TB-Feb'!K420+'TB-Mar'!K420+'TB-Apr'!K420+'TB-May'!K420+'TB-Jun'!K420+'TB-Jul'!K420+'TB-Aug'!K420+'TB-Sep'!K420+'TB-Oct'!K420+'TB-Nov'!K420+'TB-Dec'!K420</f>
        <v>0</v>
      </c>
      <c r="L420" s="96">
        <f>'TB-Jan'!L420+'TB-Feb'!L420+'TB-Mar'!L420+'TB-Apr'!L420+'TB-May'!L420+'TB-Jun'!L420+'TB-Jul'!L420+'TB-Aug'!L420+'TB-Sep'!L420+'TB-Oct'!L420+'TB-Nov'!L420+'TB-Dec'!L420</f>
        <v>0</v>
      </c>
      <c r="M420" s="97">
        <f>'TB-Jan'!M420+'TB-Feb'!M420+'TB-Mar'!M420+'TB-Apr'!M420+'TB-May'!M420+'TB-Jun'!M420+'TB-Jul'!M420+'TB-Aug'!M420+'TB-Sep'!M420+'TB-Oct'!M420+'TB-Nov'!M420+'TB-Dec'!M420</f>
        <v>0</v>
      </c>
      <c r="N420" s="97">
        <f>'TB-Jan'!N420+'TB-Feb'!N420+'TB-Mar'!N420+'TB-Apr'!N420+'TB-May'!N420+'TB-Jun'!N420+'TB-Jul'!N420+'TB-Aug'!N420+'TB-Sep'!N420+'TB-Oct'!N420+'TB-Nov'!N420+'TB-Dec'!N420</f>
        <v>0</v>
      </c>
    </row>
    <row r="421" spans="1:14" hidden="1">
      <c r="A421" s="3" t="s">
        <v>800</v>
      </c>
      <c r="B421" s="4" t="s">
        <v>801</v>
      </c>
      <c r="C421" s="5">
        <f t="shared" si="13"/>
        <v>0</v>
      </c>
      <c r="D421" s="5"/>
      <c r="E421" s="6">
        <f t="shared" si="12"/>
        <v>0</v>
      </c>
      <c r="F421" s="6">
        <f t="shared" si="12"/>
        <v>0</v>
      </c>
      <c r="G421" s="94">
        <f>'TB-Jan'!G421+'TB-Feb'!G421+'TB-Mar'!G421+'TB-Apr'!G421+'TB-May'!G421+'TB-Jun'!G421+'TB-Jul'!G421+'TB-Aug'!G421+'TB-Sep'!G421+'TB-Oct'!G421+'TB-Nov'!G421+'TB-Dec'!G421</f>
        <v>0</v>
      </c>
      <c r="H421" s="94">
        <f>'TB-Jan'!H421+'TB-Feb'!H421+'TB-Mar'!H421+'TB-Apr'!H421+'TB-May'!H421+'TB-Jun'!H421+'TB-Jul'!H421+'TB-Aug'!H421+'TB-Sep'!H421+'TB-Oct'!H421+'TB-Nov'!H421+'TB-Dec'!H421</f>
        <v>0</v>
      </c>
      <c r="I421" s="95">
        <f>'TB-Jan'!I421+'TB-Feb'!I421+'TB-Mar'!I421+'TB-Apr'!I421+'TB-May'!I421+'TB-Jun'!I421+'TB-Jul'!I421+'TB-Aug'!I421+'TB-Sep'!I421+'TB-Oct'!I421+'TB-Nov'!I421+'TB-Dec'!I421</f>
        <v>0</v>
      </c>
      <c r="J421" s="95">
        <f>'TB-Jan'!J421+'TB-Feb'!J421+'TB-Mar'!J421+'TB-Apr'!J421+'TB-May'!J421+'TB-Jun'!J421+'TB-Jul'!J421+'TB-Aug'!J421+'TB-Sep'!J421+'TB-Oct'!J421+'TB-Nov'!J421+'TB-Dec'!J421</f>
        <v>0</v>
      </c>
      <c r="K421" s="96">
        <f>'TB-Jan'!K421+'TB-Feb'!K421+'TB-Mar'!K421+'TB-Apr'!K421+'TB-May'!K421+'TB-Jun'!K421+'TB-Jul'!K421+'TB-Aug'!K421+'TB-Sep'!K421+'TB-Oct'!K421+'TB-Nov'!K421+'TB-Dec'!K421</f>
        <v>0</v>
      </c>
      <c r="L421" s="96">
        <f>'TB-Jan'!L421+'TB-Feb'!L421+'TB-Mar'!L421+'TB-Apr'!L421+'TB-May'!L421+'TB-Jun'!L421+'TB-Jul'!L421+'TB-Aug'!L421+'TB-Sep'!L421+'TB-Oct'!L421+'TB-Nov'!L421+'TB-Dec'!L421</f>
        <v>0</v>
      </c>
      <c r="M421" s="97">
        <f>'TB-Jan'!M421+'TB-Feb'!M421+'TB-Mar'!M421+'TB-Apr'!M421+'TB-May'!M421+'TB-Jun'!M421+'TB-Jul'!M421+'TB-Aug'!M421+'TB-Sep'!M421+'TB-Oct'!M421+'TB-Nov'!M421+'TB-Dec'!M421</f>
        <v>0</v>
      </c>
      <c r="N421" s="97">
        <f>'TB-Jan'!N421+'TB-Feb'!N421+'TB-Mar'!N421+'TB-Apr'!N421+'TB-May'!N421+'TB-Jun'!N421+'TB-Jul'!N421+'TB-Aug'!N421+'TB-Sep'!N421+'TB-Oct'!N421+'TB-Nov'!N421+'TB-Dec'!N421</f>
        <v>0</v>
      </c>
    </row>
    <row r="422" spans="1:14" hidden="1">
      <c r="A422" s="3" t="s">
        <v>802</v>
      </c>
      <c r="B422" s="4" t="s">
        <v>803</v>
      </c>
      <c r="C422" s="5">
        <f t="shared" si="13"/>
        <v>0</v>
      </c>
      <c r="D422" s="5"/>
      <c r="E422" s="6">
        <f t="shared" si="12"/>
        <v>0</v>
      </c>
      <c r="F422" s="6">
        <f t="shared" si="12"/>
        <v>0</v>
      </c>
      <c r="G422" s="94">
        <f>'TB-Jan'!G422+'TB-Feb'!G422+'TB-Mar'!G422+'TB-Apr'!G422+'TB-May'!G422+'TB-Jun'!G422+'TB-Jul'!G422+'TB-Aug'!G422+'TB-Sep'!G422+'TB-Oct'!G422+'TB-Nov'!G422+'TB-Dec'!G422</f>
        <v>0</v>
      </c>
      <c r="H422" s="94">
        <f>'TB-Jan'!H422+'TB-Feb'!H422+'TB-Mar'!H422+'TB-Apr'!H422+'TB-May'!H422+'TB-Jun'!H422+'TB-Jul'!H422+'TB-Aug'!H422+'TB-Sep'!H422+'TB-Oct'!H422+'TB-Nov'!H422+'TB-Dec'!H422</f>
        <v>0</v>
      </c>
      <c r="I422" s="95">
        <f>'TB-Jan'!I422+'TB-Feb'!I422+'TB-Mar'!I422+'TB-Apr'!I422+'TB-May'!I422+'TB-Jun'!I422+'TB-Jul'!I422+'TB-Aug'!I422+'TB-Sep'!I422+'TB-Oct'!I422+'TB-Nov'!I422+'TB-Dec'!I422</f>
        <v>0</v>
      </c>
      <c r="J422" s="95">
        <f>'TB-Jan'!J422+'TB-Feb'!J422+'TB-Mar'!J422+'TB-Apr'!J422+'TB-May'!J422+'TB-Jun'!J422+'TB-Jul'!J422+'TB-Aug'!J422+'TB-Sep'!J422+'TB-Oct'!J422+'TB-Nov'!J422+'TB-Dec'!J422</f>
        <v>0</v>
      </c>
      <c r="K422" s="96">
        <f>'TB-Jan'!K422+'TB-Feb'!K422+'TB-Mar'!K422+'TB-Apr'!K422+'TB-May'!K422+'TB-Jun'!K422+'TB-Jul'!K422+'TB-Aug'!K422+'TB-Sep'!K422+'TB-Oct'!K422+'TB-Nov'!K422+'TB-Dec'!K422</f>
        <v>0</v>
      </c>
      <c r="L422" s="96">
        <f>'TB-Jan'!L422+'TB-Feb'!L422+'TB-Mar'!L422+'TB-Apr'!L422+'TB-May'!L422+'TB-Jun'!L422+'TB-Jul'!L422+'TB-Aug'!L422+'TB-Sep'!L422+'TB-Oct'!L422+'TB-Nov'!L422+'TB-Dec'!L422</f>
        <v>0</v>
      </c>
      <c r="M422" s="97">
        <f>'TB-Jan'!M422+'TB-Feb'!M422+'TB-Mar'!M422+'TB-Apr'!M422+'TB-May'!M422+'TB-Jun'!M422+'TB-Jul'!M422+'TB-Aug'!M422+'TB-Sep'!M422+'TB-Oct'!M422+'TB-Nov'!M422+'TB-Dec'!M422</f>
        <v>0</v>
      </c>
      <c r="N422" s="97">
        <f>'TB-Jan'!N422+'TB-Feb'!N422+'TB-Mar'!N422+'TB-Apr'!N422+'TB-May'!N422+'TB-Jun'!N422+'TB-Jul'!N422+'TB-Aug'!N422+'TB-Sep'!N422+'TB-Oct'!N422+'TB-Nov'!N422+'TB-Dec'!N422</f>
        <v>0</v>
      </c>
    </row>
    <row r="423" spans="1:14" hidden="1">
      <c r="A423" s="3" t="s">
        <v>804</v>
      </c>
      <c r="B423" s="4" t="s">
        <v>805</v>
      </c>
      <c r="C423" s="5">
        <f t="shared" si="13"/>
        <v>0</v>
      </c>
      <c r="D423" s="5"/>
      <c r="E423" s="6">
        <f t="shared" si="12"/>
        <v>0</v>
      </c>
      <c r="F423" s="6">
        <f t="shared" si="12"/>
        <v>0</v>
      </c>
      <c r="G423" s="94">
        <f>'TB-Jan'!G423+'TB-Feb'!G423+'TB-Mar'!G423+'TB-Apr'!G423+'TB-May'!G423+'TB-Jun'!G423+'TB-Jul'!G423+'TB-Aug'!G423+'TB-Sep'!G423+'TB-Oct'!G423+'TB-Nov'!G423+'TB-Dec'!G423</f>
        <v>0</v>
      </c>
      <c r="H423" s="94">
        <f>'TB-Jan'!H423+'TB-Feb'!H423+'TB-Mar'!H423+'TB-Apr'!H423+'TB-May'!H423+'TB-Jun'!H423+'TB-Jul'!H423+'TB-Aug'!H423+'TB-Sep'!H423+'TB-Oct'!H423+'TB-Nov'!H423+'TB-Dec'!H423</f>
        <v>0</v>
      </c>
      <c r="I423" s="95">
        <f>'TB-Jan'!I423+'TB-Feb'!I423+'TB-Mar'!I423+'TB-Apr'!I423+'TB-May'!I423+'TB-Jun'!I423+'TB-Jul'!I423+'TB-Aug'!I423+'TB-Sep'!I423+'TB-Oct'!I423+'TB-Nov'!I423+'TB-Dec'!I423</f>
        <v>0</v>
      </c>
      <c r="J423" s="95">
        <f>'TB-Jan'!J423+'TB-Feb'!J423+'TB-Mar'!J423+'TB-Apr'!J423+'TB-May'!J423+'TB-Jun'!J423+'TB-Jul'!J423+'TB-Aug'!J423+'TB-Sep'!J423+'TB-Oct'!J423+'TB-Nov'!J423+'TB-Dec'!J423</f>
        <v>0</v>
      </c>
      <c r="K423" s="96">
        <f>'TB-Jan'!K423+'TB-Feb'!K423+'TB-Mar'!K423+'TB-Apr'!K423+'TB-May'!K423+'TB-Jun'!K423+'TB-Jul'!K423+'TB-Aug'!K423+'TB-Sep'!K423+'TB-Oct'!K423+'TB-Nov'!K423+'TB-Dec'!K423</f>
        <v>0</v>
      </c>
      <c r="L423" s="96">
        <f>'TB-Jan'!L423+'TB-Feb'!L423+'TB-Mar'!L423+'TB-Apr'!L423+'TB-May'!L423+'TB-Jun'!L423+'TB-Jul'!L423+'TB-Aug'!L423+'TB-Sep'!L423+'TB-Oct'!L423+'TB-Nov'!L423+'TB-Dec'!L423</f>
        <v>0</v>
      </c>
      <c r="M423" s="97">
        <f>'TB-Jan'!M423+'TB-Feb'!M423+'TB-Mar'!M423+'TB-Apr'!M423+'TB-May'!M423+'TB-Jun'!M423+'TB-Jul'!M423+'TB-Aug'!M423+'TB-Sep'!M423+'TB-Oct'!M423+'TB-Nov'!M423+'TB-Dec'!M423</f>
        <v>0</v>
      </c>
      <c r="N423" s="97">
        <f>'TB-Jan'!N423+'TB-Feb'!N423+'TB-Mar'!N423+'TB-Apr'!N423+'TB-May'!N423+'TB-Jun'!N423+'TB-Jul'!N423+'TB-Aug'!N423+'TB-Sep'!N423+'TB-Oct'!N423+'TB-Nov'!N423+'TB-Dec'!N423</f>
        <v>0</v>
      </c>
    </row>
    <row r="424" spans="1:14" hidden="1">
      <c r="A424" s="3" t="s">
        <v>806</v>
      </c>
      <c r="B424" s="4" t="s">
        <v>807</v>
      </c>
      <c r="C424" s="5">
        <f t="shared" si="13"/>
        <v>0</v>
      </c>
      <c r="D424" s="5"/>
      <c r="E424" s="6">
        <f t="shared" si="12"/>
        <v>0</v>
      </c>
      <c r="F424" s="6">
        <f t="shared" si="12"/>
        <v>0</v>
      </c>
      <c r="G424" s="94">
        <f>'TB-Jan'!G424+'TB-Feb'!G424+'TB-Mar'!G424+'TB-Apr'!G424+'TB-May'!G424+'TB-Jun'!G424+'TB-Jul'!G424+'TB-Aug'!G424+'TB-Sep'!G424+'TB-Oct'!G424+'TB-Nov'!G424+'TB-Dec'!G424</f>
        <v>0</v>
      </c>
      <c r="H424" s="94">
        <f>'TB-Jan'!H424+'TB-Feb'!H424+'TB-Mar'!H424+'TB-Apr'!H424+'TB-May'!H424+'TB-Jun'!H424+'TB-Jul'!H424+'TB-Aug'!H424+'TB-Sep'!H424+'TB-Oct'!H424+'TB-Nov'!H424+'TB-Dec'!H424</f>
        <v>0</v>
      </c>
      <c r="I424" s="95">
        <f>'TB-Jan'!I424+'TB-Feb'!I424+'TB-Mar'!I424+'TB-Apr'!I424+'TB-May'!I424+'TB-Jun'!I424+'TB-Jul'!I424+'TB-Aug'!I424+'TB-Sep'!I424+'TB-Oct'!I424+'TB-Nov'!I424+'TB-Dec'!I424</f>
        <v>0</v>
      </c>
      <c r="J424" s="95">
        <f>'TB-Jan'!J424+'TB-Feb'!J424+'TB-Mar'!J424+'TB-Apr'!J424+'TB-May'!J424+'TB-Jun'!J424+'TB-Jul'!J424+'TB-Aug'!J424+'TB-Sep'!J424+'TB-Oct'!J424+'TB-Nov'!J424+'TB-Dec'!J424</f>
        <v>0</v>
      </c>
      <c r="K424" s="96">
        <f>'TB-Jan'!K424+'TB-Feb'!K424+'TB-Mar'!K424+'TB-Apr'!K424+'TB-May'!K424+'TB-Jun'!K424+'TB-Jul'!K424+'TB-Aug'!K424+'TB-Sep'!K424+'TB-Oct'!K424+'TB-Nov'!K424+'TB-Dec'!K424</f>
        <v>0</v>
      </c>
      <c r="L424" s="96">
        <f>'TB-Jan'!L424+'TB-Feb'!L424+'TB-Mar'!L424+'TB-Apr'!L424+'TB-May'!L424+'TB-Jun'!L424+'TB-Jul'!L424+'TB-Aug'!L424+'TB-Sep'!L424+'TB-Oct'!L424+'TB-Nov'!L424+'TB-Dec'!L424</f>
        <v>0</v>
      </c>
      <c r="M424" s="97">
        <f>'TB-Jan'!M424+'TB-Feb'!M424+'TB-Mar'!M424+'TB-Apr'!M424+'TB-May'!M424+'TB-Jun'!M424+'TB-Jul'!M424+'TB-Aug'!M424+'TB-Sep'!M424+'TB-Oct'!M424+'TB-Nov'!M424+'TB-Dec'!M424</f>
        <v>0</v>
      </c>
      <c r="N424" s="97">
        <f>'TB-Jan'!N424+'TB-Feb'!N424+'TB-Mar'!N424+'TB-Apr'!N424+'TB-May'!N424+'TB-Jun'!N424+'TB-Jul'!N424+'TB-Aug'!N424+'TB-Sep'!N424+'TB-Oct'!N424+'TB-Nov'!N424+'TB-Dec'!N424</f>
        <v>0</v>
      </c>
    </row>
    <row r="425" spans="1:14" hidden="1">
      <c r="A425" s="3" t="s">
        <v>808</v>
      </c>
      <c r="B425" s="4" t="s">
        <v>809</v>
      </c>
      <c r="C425" s="5">
        <f t="shared" si="13"/>
        <v>0</v>
      </c>
      <c r="D425" s="5"/>
      <c r="E425" s="6">
        <f t="shared" si="12"/>
        <v>0</v>
      </c>
      <c r="F425" s="6">
        <f t="shared" si="12"/>
        <v>0</v>
      </c>
      <c r="G425" s="94">
        <f>'TB-Jan'!G425+'TB-Feb'!G425+'TB-Mar'!G425+'TB-Apr'!G425+'TB-May'!G425+'TB-Jun'!G425+'TB-Jul'!G425+'TB-Aug'!G425+'TB-Sep'!G425+'TB-Oct'!G425+'TB-Nov'!G425+'TB-Dec'!G425</f>
        <v>0</v>
      </c>
      <c r="H425" s="94">
        <f>'TB-Jan'!H425+'TB-Feb'!H425+'TB-Mar'!H425+'TB-Apr'!H425+'TB-May'!H425+'TB-Jun'!H425+'TB-Jul'!H425+'TB-Aug'!H425+'TB-Sep'!H425+'TB-Oct'!H425+'TB-Nov'!H425+'TB-Dec'!H425</f>
        <v>0</v>
      </c>
      <c r="I425" s="95">
        <f>'TB-Jan'!I425+'TB-Feb'!I425+'TB-Mar'!I425+'TB-Apr'!I425+'TB-May'!I425+'TB-Jun'!I425+'TB-Jul'!I425+'TB-Aug'!I425+'TB-Sep'!I425+'TB-Oct'!I425+'TB-Nov'!I425+'TB-Dec'!I425</f>
        <v>0</v>
      </c>
      <c r="J425" s="95">
        <f>'TB-Jan'!J425+'TB-Feb'!J425+'TB-Mar'!J425+'TB-Apr'!J425+'TB-May'!J425+'TB-Jun'!J425+'TB-Jul'!J425+'TB-Aug'!J425+'TB-Sep'!J425+'TB-Oct'!J425+'TB-Nov'!J425+'TB-Dec'!J425</f>
        <v>0</v>
      </c>
      <c r="K425" s="96">
        <f>'TB-Jan'!K425+'TB-Feb'!K425+'TB-Mar'!K425+'TB-Apr'!K425+'TB-May'!K425+'TB-Jun'!K425+'TB-Jul'!K425+'TB-Aug'!K425+'TB-Sep'!K425+'TB-Oct'!K425+'TB-Nov'!K425+'TB-Dec'!K425</f>
        <v>0</v>
      </c>
      <c r="L425" s="96">
        <f>'TB-Jan'!L425+'TB-Feb'!L425+'TB-Mar'!L425+'TB-Apr'!L425+'TB-May'!L425+'TB-Jun'!L425+'TB-Jul'!L425+'TB-Aug'!L425+'TB-Sep'!L425+'TB-Oct'!L425+'TB-Nov'!L425+'TB-Dec'!L425</f>
        <v>0</v>
      </c>
      <c r="M425" s="97">
        <f>'TB-Jan'!M425+'TB-Feb'!M425+'TB-Mar'!M425+'TB-Apr'!M425+'TB-May'!M425+'TB-Jun'!M425+'TB-Jul'!M425+'TB-Aug'!M425+'TB-Sep'!M425+'TB-Oct'!M425+'TB-Nov'!M425+'TB-Dec'!M425</f>
        <v>0</v>
      </c>
      <c r="N425" s="97">
        <f>'TB-Jan'!N425+'TB-Feb'!N425+'TB-Mar'!N425+'TB-Apr'!N425+'TB-May'!N425+'TB-Jun'!N425+'TB-Jul'!N425+'TB-Aug'!N425+'TB-Sep'!N425+'TB-Oct'!N425+'TB-Nov'!N425+'TB-Dec'!N425</f>
        <v>0</v>
      </c>
    </row>
    <row r="426" spans="1:14" hidden="1">
      <c r="A426" s="3" t="s">
        <v>810</v>
      </c>
      <c r="B426" s="4" t="s">
        <v>811</v>
      </c>
      <c r="C426" s="5">
        <f t="shared" si="13"/>
        <v>0</v>
      </c>
      <c r="D426" s="5"/>
      <c r="E426" s="6">
        <f t="shared" si="12"/>
        <v>0</v>
      </c>
      <c r="F426" s="6">
        <f t="shared" si="12"/>
        <v>0</v>
      </c>
      <c r="G426" s="94">
        <f>'TB-Jan'!G426+'TB-Feb'!G426+'TB-Mar'!G426+'TB-Apr'!G426+'TB-May'!G426+'TB-Jun'!G426+'TB-Jul'!G426+'TB-Aug'!G426+'TB-Sep'!G426+'TB-Oct'!G426+'TB-Nov'!G426+'TB-Dec'!G426</f>
        <v>0</v>
      </c>
      <c r="H426" s="94">
        <f>'TB-Jan'!H426+'TB-Feb'!H426+'TB-Mar'!H426+'TB-Apr'!H426+'TB-May'!H426+'TB-Jun'!H426+'TB-Jul'!H426+'TB-Aug'!H426+'TB-Sep'!H426+'TB-Oct'!H426+'TB-Nov'!H426+'TB-Dec'!H426</f>
        <v>0</v>
      </c>
      <c r="I426" s="95">
        <f>'TB-Jan'!I426+'TB-Feb'!I426+'TB-Mar'!I426+'TB-Apr'!I426+'TB-May'!I426+'TB-Jun'!I426+'TB-Jul'!I426+'TB-Aug'!I426+'TB-Sep'!I426+'TB-Oct'!I426+'TB-Nov'!I426+'TB-Dec'!I426</f>
        <v>0</v>
      </c>
      <c r="J426" s="95">
        <f>'TB-Jan'!J426+'TB-Feb'!J426+'TB-Mar'!J426+'TB-Apr'!J426+'TB-May'!J426+'TB-Jun'!J426+'TB-Jul'!J426+'TB-Aug'!J426+'TB-Sep'!J426+'TB-Oct'!J426+'TB-Nov'!J426+'TB-Dec'!J426</f>
        <v>0</v>
      </c>
      <c r="K426" s="96">
        <f>'TB-Jan'!K426+'TB-Feb'!K426+'TB-Mar'!K426+'TB-Apr'!K426+'TB-May'!K426+'TB-Jun'!K426+'TB-Jul'!K426+'TB-Aug'!K426+'TB-Sep'!K426+'TB-Oct'!K426+'TB-Nov'!K426+'TB-Dec'!K426</f>
        <v>0</v>
      </c>
      <c r="L426" s="96">
        <f>'TB-Jan'!L426+'TB-Feb'!L426+'TB-Mar'!L426+'TB-Apr'!L426+'TB-May'!L426+'TB-Jun'!L426+'TB-Jul'!L426+'TB-Aug'!L426+'TB-Sep'!L426+'TB-Oct'!L426+'TB-Nov'!L426+'TB-Dec'!L426</f>
        <v>0</v>
      </c>
      <c r="M426" s="97">
        <f>'TB-Jan'!M426+'TB-Feb'!M426+'TB-Mar'!M426+'TB-Apr'!M426+'TB-May'!M426+'TB-Jun'!M426+'TB-Jul'!M426+'TB-Aug'!M426+'TB-Sep'!M426+'TB-Oct'!M426+'TB-Nov'!M426+'TB-Dec'!M426</f>
        <v>0</v>
      </c>
      <c r="N426" s="97">
        <f>'TB-Jan'!N426+'TB-Feb'!N426+'TB-Mar'!N426+'TB-Apr'!N426+'TB-May'!N426+'TB-Jun'!N426+'TB-Jul'!N426+'TB-Aug'!N426+'TB-Sep'!N426+'TB-Oct'!N426+'TB-Nov'!N426+'TB-Dec'!N426</f>
        <v>0</v>
      </c>
    </row>
    <row r="427" spans="1:14" hidden="1">
      <c r="A427" s="3" t="s">
        <v>812</v>
      </c>
      <c r="B427" s="4" t="s">
        <v>813</v>
      </c>
      <c r="C427" s="5">
        <f t="shared" si="13"/>
        <v>0</v>
      </c>
      <c r="D427" s="5"/>
      <c r="E427" s="6">
        <f t="shared" si="12"/>
        <v>0</v>
      </c>
      <c r="F427" s="6">
        <f t="shared" si="12"/>
        <v>0</v>
      </c>
      <c r="G427" s="94">
        <f>'TB-Jan'!G427+'TB-Feb'!G427+'TB-Mar'!G427+'TB-Apr'!G427+'TB-May'!G427+'TB-Jun'!G427+'TB-Jul'!G427+'TB-Aug'!G427+'TB-Sep'!G427+'TB-Oct'!G427+'TB-Nov'!G427+'TB-Dec'!G427</f>
        <v>0</v>
      </c>
      <c r="H427" s="94">
        <f>'TB-Jan'!H427+'TB-Feb'!H427+'TB-Mar'!H427+'TB-Apr'!H427+'TB-May'!H427+'TB-Jun'!H427+'TB-Jul'!H427+'TB-Aug'!H427+'TB-Sep'!H427+'TB-Oct'!H427+'TB-Nov'!H427+'TB-Dec'!H427</f>
        <v>0</v>
      </c>
      <c r="I427" s="95">
        <f>'TB-Jan'!I427+'TB-Feb'!I427+'TB-Mar'!I427+'TB-Apr'!I427+'TB-May'!I427+'TB-Jun'!I427+'TB-Jul'!I427+'TB-Aug'!I427+'TB-Sep'!I427+'TB-Oct'!I427+'TB-Nov'!I427+'TB-Dec'!I427</f>
        <v>0</v>
      </c>
      <c r="J427" s="95">
        <f>'TB-Jan'!J427+'TB-Feb'!J427+'TB-Mar'!J427+'TB-Apr'!J427+'TB-May'!J427+'TB-Jun'!J427+'TB-Jul'!J427+'TB-Aug'!J427+'TB-Sep'!J427+'TB-Oct'!J427+'TB-Nov'!J427+'TB-Dec'!J427</f>
        <v>0</v>
      </c>
      <c r="K427" s="96">
        <f>'TB-Jan'!K427+'TB-Feb'!K427+'TB-Mar'!K427+'TB-Apr'!K427+'TB-May'!K427+'TB-Jun'!K427+'TB-Jul'!K427+'TB-Aug'!K427+'TB-Sep'!K427+'TB-Oct'!K427+'TB-Nov'!K427+'TB-Dec'!K427</f>
        <v>0</v>
      </c>
      <c r="L427" s="96">
        <f>'TB-Jan'!L427+'TB-Feb'!L427+'TB-Mar'!L427+'TB-Apr'!L427+'TB-May'!L427+'TB-Jun'!L427+'TB-Jul'!L427+'TB-Aug'!L427+'TB-Sep'!L427+'TB-Oct'!L427+'TB-Nov'!L427+'TB-Dec'!L427</f>
        <v>0</v>
      </c>
      <c r="M427" s="97">
        <f>'TB-Jan'!M427+'TB-Feb'!M427+'TB-Mar'!M427+'TB-Apr'!M427+'TB-May'!M427+'TB-Jun'!M427+'TB-Jul'!M427+'TB-Aug'!M427+'TB-Sep'!M427+'TB-Oct'!M427+'TB-Nov'!M427+'TB-Dec'!M427</f>
        <v>0</v>
      </c>
      <c r="N427" s="97">
        <f>'TB-Jan'!N427+'TB-Feb'!N427+'TB-Mar'!N427+'TB-Apr'!N427+'TB-May'!N427+'TB-Jun'!N427+'TB-Jul'!N427+'TB-Aug'!N427+'TB-Sep'!N427+'TB-Oct'!N427+'TB-Nov'!N427+'TB-Dec'!N427</f>
        <v>0</v>
      </c>
    </row>
    <row r="428" spans="1:14" hidden="1">
      <c r="A428" s="3" t="s">
        <v>814</v>
      </c>
      <c r="B428" s="4" t="s">
        <v>815</v>
      </c>
      <c r="C428" s="5">
        <f t="shared" si="13"/>
        <v>0</v>
      </c>
      <c r="D428" s="5"/>
      <c r="E428" s="6">
        <f t="shared" si="12"/>
        <v>0</v>
      </c>
      <c r="F428" s="6">
        <f t="shared" si="12"/>
        <v>0</v>
      </c>
      <c r="G428" s="94">
        <f>'TB-Jan'!G428+'TB-Feb'!G428+'TB-Mar'!G428+'TB-Apr'!G428+'TB-May'!G428+'TB-Jun'!G428+'TB-Jul'!G428+'TB-Aug'!G428+'TB-Sep'!G428+'TB-Oct'!G428+'TB-Nov'!G428+'TB-Dec'!G428</f>
        <v>0</v>
      </c>
      <c r="H428" s="94">
        <f>'TB-Jan'!H428+'TB-Feb'!H428+'TB-Mar'!H428+'TB-Apr'!H428+'TB-May'!H428+'TB-Jun'!H428+'TB-Jul'!H428+'TB-Aug'!H428+'TB-Sep'!H428+'TB-Oct'!H428+'TB-Nov'!H428+'TB-Dec'!H428</f>
        <v>0</v>
      </c>
      <c r="I428" s="95">
        <f>'TB-Jan'!I428+'TB-Feb'!I428+'TB-Mar'!I428+'TB-Apr'!I428+'TB-May'!I428+'TB-Jun'!I428+'TB-Jul'!I428+'TB-Aug'!I428+'TB-Sep'!I428+'TB-Oct'!I428+'TB-Nov'!I428+'TB-Dec'!I428</f>
        <v>0</v>
      </c>
      <c r="J428" s="95">
        <f>'TB-Jan'!J428+'TB-Feb'!J428+'TB-Mar'!J428+'TB-Apr'!J428+'TB-May'!J428+'TB-Jun'!J428+'TB-Jul'!J428+'TB-Aug'!J428+'TB-Sep'!J428+'TB-Oct'!J428+'TB-Nov'!J428+'TB-Dec'!J428</f>
        <v>0</v>
      </c>
      <c r="K428" s="96">
        <f>'TB-Jan'!K428+'TB-Feb'!K428+'TB-Mar'!K428+'TB-Apr'!K428+'TB-May'!K428+'TB-Jun'!K428+'TB-Jul'!K428+'TB-Aug'!K428+'TB-Sep'!K428+'TB-Oct'!K428+'TB-Nov'!K428+'TB-Dec'!K428</f>
        <v>0</v>
      </c>
      <c r="L428" s="96">
        <f>'TB-Jan'!L428+'TB-Feb'!L428+'TB-Mar'!L428+'TB-Apr'!L428+'TB-May'!L428+'TB-Jun'!L428+'TB-Jul'!L428+'TB-Aug'!L428+'TB-Sep'!L428+'TB-Oct'!L428+'TB-Nov'!L428+'TB-Dec'!L428</f>
        <v>0</v>
      </c>
      <c r="M428" s="97">
        <f>'TB-Jan'!M428+'TB-Feb'!M428+'TB-Mar'!M428+'TB-Apr'!M428+'TB-May'!M428+'TB-Jun'!M428+'TB-Jul'!M428+'TB-Aug'!M428+'TB-Sep'!M428+'TB-Oct'!M428+'TB-Nov'!M428+'TB-Dec'!M428</f>
        <v>0</v>
      </c>
      <c r="N428" s="97">
        <f>'TB-Jan'!N428+'TB-Feb'!N428+'TB-Mar'!N428+'TB-Apr'!N428+'TB-May'!N428+'TB-Jun'!N428+'TB-Jul'!N428+'TB-Aug'!N428+'TB-Sep'!N428+'TB-Oct'!N428+'TB-Nov'!N428+'TB-Dec'!N428</f>
        <v>0</v>
      </c>
    </row>
    <row r="429" spans="1:14" hidden="1">
      <c r="A429" s="3" t="s">
        <v>816</v>
      </c>
      <c r="B429" s="4" t="s">
        <v>817</v>
      </c>
      <c r="C429" s="5">
        <f t="shared" si="13"/>
        <v>0</v>
      </c>
      <c r="D429" s="5"/>
      <c r="E429" s="6">
        <f t="shared" si="12"/>
        <v>0</v>
      </c>
      <c r="F429" s="6">
        <f t="shared" si="12"/>
        <v>0</v>
      </c>
      <c r="G429" s="94">
        <f>'TB-Jan'!G429+'TB-Feb'!G429+'TB-Mar'!G429+'TB-Apr'!G429+'TB-May'!G429+'TB-Jun'!G429+'TB-Jul'!G429+'TB-Aug'!G429+'TB-Sep'!G429+'TB-Oct'!G429+'TB-Nov'!G429+'TB-Dec'!G429</f>
        <v>0</v>
      </c>
      <c r="H429" s="94">
        <f>'TB-Jan'!H429+'TB-Feb'!H429+'TB-Mar'!H429+'TB-Apr'!H429+'TB-May'!H429+'TB-Jun'!H429+'TB-Jul'!H429+'TB-Aug'!H429+'TB-Sep'!H429+'TB-Oct'!H429+'TB-Nov'!H429+'TB-Dec'!H429</f>
        <v>0</v>
      </c>
      <c r="I429" s="95">
        <f>'TB-Jan'!I429+'TB-Feb'!I429+'TB-Mar'!I429+'TB-Apr'!I429+'TB-May'!I429+'TB-Jun'!I429+'TB-Jul'!I429+'TB-Aug'!I429+'TB-Sep'!I429+'TB-Oct'!I429+'TB-Nov'!I429+'TB-Dec'!I429</f>
        <v>0</v>
      </c>
      <c r="J429" s="95">
        <f>'TB-Jan'!J429+'TB-Feb'!J429+'TB-Mar'!J429+'TB-Apr'!J429+'TB-May'!J429+'TB-Jun'!J429+'TB-Jul'!J429+'TB-Aug'!J429+'TB-Sep'!J429+'TB-Oct'!J429+'TB-Nov'!J429+'TB-Dec'!J429</f>
        <v>0</v>
      </c>
      <c r="K429" s="96">
        <f>'TB-Jan'!K429+'TB-Feb'!K429+'TB-Mar'!K429+'TB-Apr'!K429+'TB-May'!K429+'TB-Jun'!K429+'TB-Jul'!K429+'TB-Aug'!K429+'TB-Sep'!K429+'TB-Oct'!K429+'TB-Nov'!K429+'TB-Dec'!K429</f>
        <v>0</v>
      </c>
      <c r="L429" s="96">
        <f>'TB-Jan'!L429+'TB-Feb'!L429+'TB-Mar'!L429+'TB-Apr'!L429+'TB-May'!L429+'TB-Jun'!L429+'TB-Jul'!L429+'TB-Aug'!L429+'TB-Sep'!L429+'TB-Oct'!L429+'TB-Nov'!L429+'TB-Dec'!L429</f>
        <v>0</v>
      </c>
      <c r="M429" s="97">
        <f>'TB-Jan'!M429+'TB-Feb'!M429+'TB-Mar'!M429+'TB-Apr'!M429+'TB-May'!M429+'TB-Jun'!M429+'TB-Jul'!M429+'TB-Aug'!M429+'TB-Sep'!M429+'TB-Oct'!M429+'TB-Nov'!M429+'TB-Dec'!M429</f>
        <v>0</v>
      </c>
      <c r="N429" s="97">
        <f>'TB-Jan'!N429+'TB-Feb'!N429+'TB-Mar'!N429+'TB-Apr'!N429+'TB-May'!N429+'TB-Jun'!N429+'TB-Jul'!N429+'TB-Aug'!N429+'TB-Sep'!N429+'TB-Oct'!N429+'TB-Nov'!N429+'TB-Dec'!N429</f>
        <v>0</v>
      </c>
    </row>
    <row r="430" spans="1:14" hidden="1">
      <c r="A430" s="3" t="s">
        <v>818</v>
      </c>
      <c r="B430" s="4" t="s">
        <v>819</v>
      </c>
      <c r="C430" s="5">
        <f t="shared" si="13"/>
        <v>0</v>
      </c>
      <c r="D430" s="5"/>
      <c r="E430" s="6">
        <f t="shared" si="12"/>
        <v>0</v>
      </c>
      <c r="F430" s="6">
        <f t="shared" si="12"/>
        <v>0</v>
      </c>
      <c r="G430" s="94">
        <f>'TB-Jan'!G430+'TB-Feb'!G430+'TB-Mar'!G430+'TB-Apr'!G430+'TB-May'!G430+'TB-Jun'!G430+'TB-Jul'!G430+'TB-Aug'!G430+'TB-Sep'!G430+'TB-Oct'!G430+'TB-Nov'!G430+'TB-Dec'!G430</f>
        <v>0</v>
      </c>
      <c r="H430" s="94">
        <f>'TB-Jan'!H430+'TB-Feb'!H430+'TB-Mar'!H430+'TB-Apr'!H430+'TB-May'!H430+'TB-Jun'!H430+'TB-Jul'!H430+'TB-Aug'!H430+'TB-Sep'!H430+'TB-Oct'!H430+'TB-Nov'!H430+'TB-Dec'!H430</f>
        <v>0</v>
      </c>
      <c r="I430" s="95">
        <f>'TB-Jan'!I430+'TB-Feb'!I430+'TB-Mar'!I430+'TB-Apr'!I430+'TB-May'!I430+'TB-Jun'!I430+'TB-Jul'!I430+'TB-Aug'!I430+'TB-Sep'!I430+'TB-Oct'!I430+'TB-Nov'!I430+'TB-Dec'!I430</f>
        <v>0</v>
      </c>
      <c r="J430" s="95">
        <f>'TB-Jan'!J430+'TB-Feb'!J430+'TB-Mar'!J430+'TB-Apr'!J430+'TB-May'!J430+'TB-Jun'!J430+'TB-Jul'!J430+'TB-Aug'!J430+'TB-Sep'!J430+'TB-Oct'!J430+'TB-Nov'!J430+'TB-Dec'!J430</f>
        <v>0</v>
      </c>
      <c r="K430" s="96">
        <f>'TB-Jan'!K430+'TB-Feb'!K430+'TB-Mar'!K430+'TB-Apr'!K430+'TB-May'!K430+'TB-Jun'!K430+'TB-Jul'!K430+'TB-Aug'!K430+'TB-Sep'!K430+'TB-Oct'!K430+'TB-Nov'!K430+'TB-Dec'!K430</f>
        <v>0</v>
      </c>
      <c r="L430" s="96">
        <f>'TB-Jan'!L430+'TB-Feb'!L430+'TB-Mar'!L430+'TB-Apr'!L430+'TB-May'!L430+'TB-Jun'!L430+'TB-Jul'!L430+'TB-Aug'!L430+'TB-Sep'!L430+'TB-Oct'!L430+'TB-Nov'!L430+'TB-Dec'!L430</f>
        <v>0</v>
      </c>
      <c r="M430" s="97">
        <f>'TB-Jan'!M430+'TB-Feb'!M430+'TB-Mar'!M430+'TB-Apr'!M430+'TB-May'!M430+'TB-Jun'!M430+'TB-Jul'!M430+'TB-Aug'!M430+'TB-Sep'!M430+'TB-Oct'!M430+'TB-Nov'!M430+'TB-Dec'!M430</f>
        <v>0</v>
      </c>
      <c r="N430" s="97">
        <f>'TB-Jan'!N430+'TB-Feb'!N430+'TB-Mar'!N430+'TB-Apr'!N430+'TB-May'!N430+'TB-Jun'!N430+'TB-Jul'!N430+'TB-Aug'!N430+'TB-Sep'!N430+'TB-Oct'!N430+'TB-Nov'!N430+'TB-Dec'!N430</f>
        <v>0</v>
      </c>
    </row>
    <row r="431" spans="1:14" hidden="1">
      <c r="A431" s="3" t="s">
        <v>820</v>
      </c>
      <c r="B431" s="4" t="s">
        <v>821</v>
      </c>
      <c r="C431" s="5">
        <f t="shared" si="13"/>
        <v>0</v>
      </c>
      <c r="D431" s="5"/>
      <c r="E431" s="6">
        <f t="shared" si="12"/>
        <v>0</v>
      </c>
      <c r="F431" s="6">
        <f t="shared" si="12"/>
        <v>0</v>
      </c>
      <c r="G431" s="94">
        <f>'TB-Jan'!G431+'TB-Feb'!G431+'TB-Mar'!G431+'TB-Apr'!G431+'TB-May'!G431+'TB-Jun'!G431+'TB-Jul'!G431+'TB-Aug'!G431+'TB-Sep'!G431+'TB-Oct'!G431+'TB-Nov'!G431+'TB-Dec'!G431</f>
        <v>0</v>
      </c>
      <c r="H431" s="94">
        <f>'TB-Jan'!H431+'TB-Feb'!H431+'TB-Mar'!H431+'TB-Apr'!H431+'TB-May'!H431+'TB-Jun'!H431+'TB-Jul'!H431+'TB-Aug'!H431+'TB-Sep'!H431+'TB-Oct'!H431+'TB-Nov'!H431+'TB-Dec'!H431</f>
        <v>0</v>
      </c>
      <c r="I431" s="95">
        <f>'TB-Jan'!I431+'TB-Feb'!I431+'TB-Mar'!I431+'TB-Apr'!I431+'TB-May'!I431+'TB-Jun'!I431+'TB-Jul'!I431+'TB-Aug'!I431+'TB-Sep'!I431+'TB-Oct'!I431+'TB-Nov'!I431+'TB-Dec'!I431</f>
        <v>0</v>
      </c>
      <c r="J431" s="95">
        <f>'TB-Jan'!J431+'TB-Feb'!J431+'TB-Mar'!J431+'TB-Apr'!J431+'TB-May'!J431+'TB-Jun'!J431+'TB-Jul'!J431+'TB-Aug'!J431+'TB-Sep'!J431+'TB-Oct'!J431+'TB-Nov'!J431+'TB-Dec'!J431</f>
        <v>0</v>
      </c>
      <c r="K431" s="96">
        <f>'TB-Jan'!K431+'TB-Feb'!K431+'TB-Mar'!K431+'TB-Apr'!K431+'TB-May'!K431+'TB-Jun'!K431+'TB-Jul'!K431+'TB-Aug'!K431+'TB-Sep'!K431+'TB-Oct'!K431+'TB-Nov'!K431+'TB-Dec'!K431</f>
        <v>0</v>
      </c>
      <c r="L431" s="96">
        <f>'TB-Jan'!L431+'TB-Feb'!L431+'TB-Mar'!L431+'TB-Apr'!L431+'TB-May'!L431+'TB-Jun'!L431+'TB-Jul'!L431+'TB-Aug'!L431+'TB-Sep'!L431+'TB-Oct'!L431+'TB-Nov'!L431+'TB-Dec'!L431</f>
        <v>0</v>
      </c>
      <c r="M431" s="97">
        <f>'TB-Jan'!M431+'TB-Feb'!M431+'TB-Mar'!M431+'TB-Apr'!M431+'TB-May'!M431+'TB-Jun'!M431+'TB-Jul'!M431+'TB-Aug'!M431+'TB-Sep'!M431+'TB-Oct'!M431+'TB-Nov'!M431+'TB-Dec'!M431</f>
        <v>0</v>
      </c>
      <c r="N431" s="97">
        <f>'TB-Jan'!N431+'TB-Feb'!N431+'TB-Mar'!N431+'TB-Apr'!N431+'TB-May'!N431+'TB-Jun'!N431+'TB-Jul'!N431+'TB-Aug'!N431+'TB-Sep'!N431+'TB-Oct'!N431+'TB-Nov'!N431+'TB-Dec'!N431</f>
        <v>0</v>
      </c>
    </row>
    <row r="432" spans="1:14" hidden="1">
      <c r="A432" s="3" t="s">
        <v>822</v>
      </c>
      <c r="B432" s="4" t="s">
        <v>823</v>
      </c>
      <c r="C432" s="5">
        <f t="shared" si="13"/>
        <v>0</v>
      </c>
      <c r="D432" s="5"/>
      <c r="E432" s="6">
        <f t="shared" si="12"/>
        <v>0</v>
      </c>
      <c r="F432" s="6">
        <f t="shared" si="12"/>
        <v>0</v>
      </c>
      <c r="G432" s="94">
        <f>'TB-Jan'!G432+'TB-Feb'!G432+'TB-Mar'!G432+'TB-Apr'!G432+'TB-May'!G432+'TB-Jun'!G432+'TB-Jul'!G432+'TB-Aug'!G432+'TB-Sep'!G432+'TB-Oct'!G432+'TB-Nov'!G432+'TB-Dec'!G432</f>
        <v>0</v>
      </c>
      <c r="H432" s="94">
        <f>'TB-Jan'!H432+'TB-Feb'!H432+'TB-Mar'!H432+'TB-Apr'!H432+'TB-May'!H432+'TB-Jun'!H432+'TB-Jul'!H432+'TB-Aug'!H432+'TB-Sep'!H432+'TB-Oct'!H432+'TB-Nov'!H432+'TB-Dec'!H432</f>
        <v>0</v>
      </c>
      <c r="I432" s="95">
        <f>'TB-Jan'!I432+'TB-Feb'!I432+'TB-Mar'!I432+'TB-Apr'!I432+'TB-May'!I432+'TB-Jun'!I432+'TB-Jul'!I432+'TB-Aug'!I432+'TB-Sep'!I432+'TB-Oct'!I432+'TB-Nov'!I432+'TB-Dec'!I432</f>
        <v>0</v>
      </c>
      <c r="J432" s="95">
        <f>'TB-Jan'!J432+'TB-Feb'!J432+'TB-Mar'!J432+'TB-Apr'!J432+'TB-May'!J432+'TB-Jun'!J432+'TB-Jul'!J432+'TB-Aug'!J432+'TB-Sep'!J432+'TB-Oct'!J432+'TB-Nov'!J432+'TB-Dec'!J432</f>
        <v>0</v>
      </c>
      <c r="K432" s="96">
        <f>'TB-Jan'!K432+'TB-Feb'!K432+'TB-Mar'!K432+'TB-Apr'!K432+'TB-May'!K432+'TB-Jun'!K432+'TB-Jul'!K432+'TB-Aug'!K432+'TB-Sep'!K432+'TB-Oct'!K432+'TB-Nov'!K432+'TB-Dec'!K432</f>
        <v>0</v>
      </c>
      <c r="L432" s="96">
        <f>'TB-Jan'!L432+'TB-Feb'!L432+'TB-Mar'!L432+'TB-Apr'!L432+'TB-May'!L432+'TB-Jun'!L432+'TB-Jul'!L432+'TB-Aug'!L432+'TB-Sep'!L432+'TB-Oct'!L432+'TB-Nov'!L432+'TB-Dec'!L432</f>
        <v>0</v>
      </c>
      <c r="M432" s="97">
        <f>'TB-Jan'!M432+'TB-Feb'!M432+'TB-Mar'!M432+'TB-Apr'!M432+'TB-May'!M432+'TB-Jun'!M432+'TB-Jul'!M432+'TB-Aug'!M432+'TB-Sep'!M432+'TB-Oct'!M432+'TB-Nov'!M432+'TB-Dec'!M432</f>
        <v>0</v>
      </c>
      <c r="N432" s="97">
        <f>'TB-Jan'!N432+'TB-Feb'!N432+'TB-Mar'!N432+'TB-Apr'!N432+'TB-May'!N432+'TB-Jun'!N432+'TB-Jul'!N432+'TB-Aug'!N432+'TB-Sep'!N432+'TB-Oct'!N432+'TB-Nov'!N432+'TB-Dec'!N432</f>
        <v>0</v>
      </c>
    </row>
    <row r="433" spans="1:14" hidden="1">
      <c r="A433" s="3" t="s">
        <v>824</v>
      </c>
      <c r="B433" s="4" t="s">
        <v>825</v>
      </c>
      <c r="C433" s="5">
        <f t="shared" si="13"/>
        <v>0</v>
      </c>
      <c r="D433" s="5"/>
      <c r="E433" s="6">
        <f t="shared" si="12"/>
        <v>0</v>
      </c>
      <c r="F433" s="6">
        <f t="shared" si="12"/>
        <v>0</v>
      </c>
      <c r="G433" s="94">
        <f>'TB-Jan'!G433+'TB-Feb'!G433+'TB-Mar'!G433+'TB-Apr'!G433+'TB-May'!G433+'TB-Jun'!G433+'TB-Jul'!G433+'TB-Aug'!G433+'TB-Sep'!G433+'TB-Oct'!G433+'TB-Nov'!G433+'TB-Dec'!G433</f>
        <v>0</v>
      </c>
      <c r="H433" s="94">
        <f>'TB-Jan'!H433+'TB-Feb'!H433+'TB-Mar'!H433+'TB-Apr'!H433+'TB-May'!H433+'TB-Jun'!H433+'TB-Jul'!H433+'TB-Aug'!H433+'TB-Sep'!H433+'TB-Oct'!H433+'TB-Nov'!H433+'TB-Dec'!H433</f>
        <v>0</v>
      </c>
      <c r="I433" s="95">
        <f>'TB-Jan'!I433+'TB-Feb'!I433+'TB-Mar'!I433+'TB-Apr'!I433+'TB-May'!I433+'TB-Jun'!I433+'TB-Jul'!I433+'TB-Aug'!I433+'TB-Sep'!I433+'TB-Oct'!I433+'TB-Nov'!I433+'TB-Dec'!I433</f>
        <v>0</v>
      </c>
      <c r="J433" s="95">
        <f>'TB-Jan'!J433+'TB-Feb'!J433+'TB-Mar'!J433+'TB-Apr'!J433+'TB-May'!J433+'TB-Jun'!J433+'TB-Jul'!J433+'TB-Aug'!J433+'TB-Sep'!J433+'TB-Oct'!J433+'TB-Nov'!J433+'TB-Dec'!J433</f>
        <v>0</v>
      </c>
      <c r="K433" s="96">
        <f>'TB-Jan'!K433+'TB-Feb'!K433+'TB-Mar'!K433+'TB-Apr'!K433+'TB-May'!K433+'TB-Jun'!K433+'TB-Jul'!K433+'TB-Aug'!K433+'TB-Sep'!K433+'TB-Oct'!K433+'TB-Nov'!K433+'TB-Dec'!K433</f>
        <v>0</v>
      </c>
      <c r="L433" s="96">
        <f>'TB-Jan'!L433+'TB-Feb'!L433+'TB-Mar'!L433+'TB-Apr'!L433+'TB-May'!L433+'TB-Jun'!L433+'TB-Jul'!L433+'TB-Aug'!L433+'TB-Sep'!L433+'TB-Oct'!L433+'TB-Nov'!L433+'TB-Dec'!L433</f>
        <v>0</v>
      </c>
      <c r="M433" s="97">
        <f>'TB-Jan'!M433+'TB-Feb'!M433+'TB-Mar'!M433+'TB-Apr'!M433+'TB-May'!M433+'TB-Jun'!M433+'TB-Jul'!M433+'TB-Aug'!M433+'TB-Sep'!M433+'TB-Oct'!M433+'TB-Nov'!M433+'TB-Dec'!M433</f>
        <v>0</v>
      </c>
      <c r="N433" s="97">
        <f>'TB-Jan'!N433+'TB-Feb'!N433+'TB-Mar'!N433+'TB-Apr'!N433+'TB-May'!N433+'TB-Jun'!N433+'TB-Jul'!N433+'TB-Aug'!N433+'TB-Sep'!N433+'TB-Oct'!N433+'TB-Nov'!N433+'TB-Dec'!N433</f>
        <v>0</v>
      </c>
    </row>
    <row r="434" spans="1:14" hidden="1">
      <c r="A434" s="3" t="s">
        <v>826</v>
      </c>
      <c r="B434" s="4" t="s">
        <v>827</v>
      </c>
      <c r="C434" s="5">
        <f t="shared" si="13"/>
        <v>0</v>
      </c>
      <c r="D434" s="5"/>
      <c r="E434" s="6">
        <f t="shared" si="12"/>
        <v>0</v>
      </c>
      <c r="F434" s="6">
        <f t="shared" si="12"/>
        <v>0</v>
      </c>
      <c r="G434" s="94">
        <f>'TB-Jan'!G434+'TB-Feb'!G434+'TB-Mar'!G434+'TB-Apr'!G434+'TB-May'!G434+'TB-Jun'!G434+'TB-Jul'!G434+'TB-Aug'!G434+'TB-Sep'!G434+'TB-Oct'!G434+'TB-Nov'!G434+'TB-Dec'!G434</f>
        <v>0</v>
      </c>
      <c r="H434" s="94">
        <f>'TB-Jan'!H434+'TB-Feb'!H434+'TB-Mar'!H434+'TB-Apr'!H434+'TB-May'!H434+'TB-Jun'!H434+'TB-Jul'!H434+'TB-Aug'!H434+'TB-Sep'!H434+'TB-Oct'!H434+'TB-Nov'!H434+'TB-Dec'!H434</f>
        <v>0</v>
      </c>
      <c r="I434" s="95">
        <f>'TB-Jan'!I434+'TB-Feb'!I434+'TB-Mar'!I434+'TB-Apr'!I434+'TB-May'!I434+'TB-Jun'!I434+'TB-Jul'!I434+'TB-Aug'!I434+'TB-Sep'!I434+'TB-Oct'!I434+'TB-Nov'!I434+'TB-Dec'!I434</f>
        <v>0</v>
      </c>
      <c r="J434" s="95">
        <f>'TB-Jan'!J434+'TB-Feb'!J434+'TB-Mar'!J434+'TB-Apr'!J434+'TB-May'!J434+'TB-Jun'!J434+'TB-Jul'!J434+'TB-Aug'!J434+'TB-Sep'!J434+'TB-Oct'!J434+'TB-Nov'!J434+'TB-Dec'!J434</f>
        <v>0</v>
      </c>
      <c r="K434" s="96">
        <f>'TB-Jan'!K434+'TB-Feb'!K434+'TB-Mar'!K434+'TB-Apr'!K434+'TB-May'!K434+'TB-Jun'!K434+'TB-Jul'!K434+'TB-Aug'!K434+'TB-Sep'!K434+'TB-Oct'!K434+'TB-Nov'!K434+'TB-Dec'!K434</f>
        <v>0</v>
      </c>
      <c r="L434" s="96">
        <f>'TB-Jan'!L434+'TB-Feb'!L434+'TB-Mar'!L434+'TB-Apr'!L434+'TB-May'!L434+'TB-Jun'!L434+'TB-Jul'!L434+'TB-Aug'!L434+'TB-Sep'!L434+'TB-Oct'!L434+'TB-Nov'!L434+'TB-Dec'!L434</f>
        <v>0</v>
      </c>
      <c r="M434" s="97">
        <f>'TB-Jan'!M434+'TB-Feb'!M434+'TB-Mar'!M434+'TB-Apr'!M434+'TB-May'!M434+'TB-Jun'!M434+'TB-Jul'!M434+'TB-Aug'!M434+'TB-Sep'!M434+'TB-Oct'!M434+'TB-Nov'!M434+'TB-Dec'!M434</f>
        <v>0</v>
      </c>
      <c r="N434" s="97">
        <f>'TB-Jan'!N434+'TB-Feb'!N434+'TB-Mar'!N434+'TB-Apr'!N434+'TB-May'!N434+'TB-Jun'!N434+'TB-Jul'!N434+'TB-Aug'!N434+'TB-Sep'!N434+'TB-Oct'!N434+'TB-Nov'!N434+'TB-Dec'!N434</f>
        <v>0</v>
      </c>
    </row>
    <row r="435" spans="1:14" hidden="1">
      <c r="A435" s="3" t="s">
        <v>828</v>
      </c>
      <c r="B435" s="4" t="s">
        <v>829</v>
      </c>
      <c r="C435" s="5">
        <f t="shared" si="13"/>
        <v>0</v>
      </c>
      <c r="D435" s="5"/>
      <c r="E435" s="6">
        <f t="shared" si="12"/>
        <v>0</v>
      </c>
      <c r="F435" s="6">
        <f t="shared" si="12"/>
        <v>0</v>
      </c>
      <c r="G435" s="94">
        <f>'TB-Jan'!G435+'TB-Feb'!G435+'TB-Mar'!G435+'TB-Apr'!G435+'TB-May'!G435+'TB-Jun'!G435+'TB-Jul'!G435+'TB-Aug'!G435+'TB-Sep'!G435+'TB-Oct'!G435+'TB-Nov'!G435+'TB-Dec'!G435</f>
        <v>0</v>
      </c>
      <c r="H435" s="94">
        <f>'TB-Jan'!H435+'TB-Feb'!H435+'TB-Mar'!H435+'TB-Apr'!H435+'TB-May'!H435+'TB-Jun'!H435+'TB-Jul'!H435+'TB-Aug'!H435+'TB-Sep'!H435+'TB-Oct'!H435+'TB-Nov'!H435+'TB-Dec'!H435</f>
        <v>0</v>
      </c>
      <c r="I435" s="95">
        <f>'TB-Jan'!I435+'TB-Feb'!I435+'TB-Mar'!I435+'TB-Apr'!I435+'TB-May'!I435+'TB-Jun'!I435+'TB-Jul'!I435+'TB-Aug'!I435+'TB-Sep'!I435+'TB-Oct'!I435+'TB-Nov'!I435+'TB-Dec'!I435</f>
        <v>0</v>
      </c>
      <c r="J435" s="95">
        <f>'TB-Jan'!J435+'TB-Feb'!J435+'TB-Mar'!J435+'TB-Apr'!J435+'TB-May'!J435+'TB-Jun'!J435+'TB-Jul'!J435+'TB-Aug'!J435+'TB-Sep'!J435+'TB-Oct'!J435+'TB-Nov'!J435+'TB-Dec'!J435</f>
        <v>0</v>
      </c>
      <c r="K435" s="96">
        <f>'TB-Jan'!K435+'TB-Feb'!K435+'TB-Mar'!K435+'TB-Apr'!K435+'TB-May'!K435+'TB-Jun'!K435+'TB-Jul'!K435+'TB-Aug'!K435+'TB-Sep'!K435+'TB-Oct'!K435+'TB-Nov'!K435+'TB-Dec'!K435</f>
        <v>0</v>
      </c>
      <c r="L435" s="96">
        <f>'TB-Jan'!L435+'TB-Feb'!L435+'TB-Mar'!L435+'TB-Apr'!L435+'TB-May'!L435+'TB-Jun'!L435+'TB-Jul'!L435+'TB-Aug'!L435+'TB-Sep'!L435+'TB-Oct'!L435+'TB-Nov'!L435+'TB-Dec'!L435</f>
        <v>0</v>
      </c>
      <c r="M435" s="97">
        <f>'TB-Jan'!M435+'TB-Feb'!M435+'TB-Mar'!M435+'TB-Apr'!M435+'TB-May'!M435+'TB-Jun'!M435+'TB-Jul'!M435+'TB-Aug'!M435+'TB-Sep'!M435+'TB-Oct'!M435+'TB-Nov'!M435+'TB-Dec'!M435</f>
        <v>0</v>
      </c>
      <c r="N435" s="97">
        <f>'TB-Jan'!N435+'TB-Feb'!N435+'TB-Mar'!N435+'TB-Apr'!N435+'TB-May'!N435+'TB-Jun'!N435+'TB-Jul'!N435+'TB-Aug'!N435+'TB-Sep'!N435+'TB-Oct'!N435+'TB-Nov'!N435+'TB-Dec'!N435</f>
        <v>0</v>
      </c>
    </row>
    <row r="436" spans="1:14" hidden="1">
      <c r="A436" s="3" t="s">
        <v>830</v>
      </c>
      <c r="B436" s="4" t="s">
        <v>831</v>
      </c>
      <c r="C436" s="5">
        <f t="shared" si="13"/>
        <v>0</v>
      </c>
      <c r="D436" s="5"/>
      <c r="E436" s="6">
        <f t="shared" si="12"/>
        <v>0</v>
      </c>
      <c r="F436" s="6">
        <f t="shared" si="12"/>
        <v>0</v>
      </c>
      <c r="G436" s="94">
        <f>'TB-Jan'!G436+'TB-Feb'!G436+'TB-Mar'!G436+'TB-Apr'!G436+'TB-May'!G436+'TB-Jun'!G436+'TB-Jul'!G436+'TB-Aug'!G436+'TB-Sep'!G436+'TB-Oct'!G436+'TB-Nov'!G436+'TB-Dec'!G436</f>
        <v>0</v>
      </c>
      <c r="H436" s="94">
        <f>'TB-Jan'!H436+'TB-Feb'!H436+'TB-Mar'!H436+'TB-Apr'!H436+'TB-May'!H436+'TB-Jun'!H436+'TB-Jul'!H436+'TB-Aug'!H436+'TB-Sep'!H436+'TB-Oct'!H436+'TB-Nov'!H436+'TB-Dec'!H436</f>
        <v>0</v>
      </c>
      <c r="I436" s="95">
        <f>'TB-Jan'!I436+'TB-Feb'!I436+'TB-Mar'!I436+'TB-Apr'!I436+'TB-May'!I436+'TB-Jun'!I436+'TB-Jul'!I436+'TB-Aug'!I436+'TB-Sep'!I436+'TB-Oct'!I436+'TB-Nov'!I436+'TB-Dec'!I436</f>
        <v>0</v>
      </c>
      <c r="J436" s="95">
        <f>'TB-Jan'!J436+'TB-Feb'!J436+'TB-Mar'!J436+'TB-Apr'!J436+'TB-May'!J436+'TB-Jun'!J436+'TB-Jul'!J436+'TB-Aug'!J436+'TB-Sep'!J436+'TB-Oct'!J436+'TB-Nov'!J436+'TB-Dec'!J436</f>
        <v>0</v>
      </c>
      <c r="K436" s="96">
        <f>'TB-Jan'!K436+'TB-Feb'!K436+'TB-Mar'!K436+'TB-Apr'!K436+'TB-May'!K436+'TB-Jun'!K436+'TB-Jul'!K436+'TB-Aug'!K436+'TB-Sep'!K436+'TB-Oct'!K436+'TB-Nov'!K436+'TB-Dec'!K436</f>
        <v>0</v>
      </c>
      <c r="L436" s="96">
        <f>'TB-Jan'!L436+'TB-Feb'!L436+'TB-Mar'!L436+'TB-Apr'!L436+'TB-May'!L436+'TB-Jun'!L436+'TB-Jul'!L436+'TB-Aug'!L436+'TB-Sep'!L436+'TB-Oct'!L436+'TB-Nov'!L436+'TB-Dec'!L436</f>
        <v>0</v>
      </c>
      <c r="M436" s="97">
        <f>'TB-Jan'!M436+'TB-Feb'!M436+'TB-Mar'!M436+'TB-Apr'!M436+'TB-May'!M436+'TB-Jun'!M436+'TB-Jul'!M436+'TB-Aug'!M436+'TB-Sep'!M436+'TB-Oct'!M436+'TB-Nov'!M436+'TB-Dec'!M436</f>
        <v>0</v>
      </c>
      <c r="N436" s="97">
        <f>'TB-Jan'!N436+'TB-Feb'!N436+'TB-Mar'!N436+'TB-Apr'!N436+'TB-May'!N436+'TB-Jun'!N436+'TB-Jul'!N436+'TB-Aug'!N436+'TB-Sep'!N436+'TB-Oct'!N436+'TB-Nov'!N436+'TB-Dec'!N436</f>
        <v>0</v>
      </c>
    </row>
    <row r="437" spans="1:14" hidden="1">
      <c r="A437" s="3" t="s">
        <v>832</v>
      </c>
      <c r="B437" s="4" t="s">
        <v>833</v>
      </c>
      <c r="C437" s="5">
        <f t="shared" si="13"/>
        <v>0</v>
      </c>
      <c r="D437" s="5"/>
      <c r="E437" s="6">
        <f t="shared" si="12"/>
        <v>0</v>
      </c>
      <c r="F437" s="6">
        <f t="shared" si="12"/>
        <v>0</v>
      </c>
      <c r="G437" s="94">
        <f>'TB-Jan'!G437+'TB-Feb'!G437+'TB-Mar'!G437+'TB-Apr'!G437+'TB-May'!G437+'TB-Jun'!G437+'TB-Jul'!G437+'TB-Aug'!G437+'TB-Sep'!G437+'TB-Oct'!G437+'TB-Nov'!G437+'TB-Dec'!G437</f>
        <v>0</v>
      </c>
      <c r="H437" s="94">
        <f>'TB-Jan'!H437+'TB-Feb'!H437+'TB-Mar'!H437+'TB-Apr'!H437+'TB-May'!H437+'TB-Jun'!H437+'TB-Jul'!H437+'TB-Aug'!H437+'TB-Sep'!H437+'TB-Oct'!H437+'TB-Nov'!H437+'TB-Dec'!H437</f>
        <v>0</v>
      </c>
      <c r="I437" s="95">
        <f>'TB-Jan'!I437+'TB-Feb'!I437+'TB-Mar'!I437+'TB-Apr'!I437+'TB-May'!I437+'TB-Jun'!I437+'TB-Jul'!I437+'TB-Aug'!I437+'TB-Sep'!I437+'TB-Oct'!I437+'TB-Nov'!I437+'TB-Dec'!I437</f>
        <v>0</v>
      </c>
      <c r="J437" s="95">
        <f>'TB-Jan'!J437+'TB-Feb'!J437+'TB-Mar'!J437+'TB-Apr'!J437+'TB-May'!J437+'TB-Jun'!J437+'TB-Jul'!J437+'TB-Aug'!J437+'TB-Sep'!J437+'TB-Oct'!J437+'TB-Nov'!J437+'TB-Dec'!J437</f>
        <v>0</v>
      </c>
      <c r="K437" s="96">
        <f>'TB-Jan'!K437+'TB-Feb'!K437+'TB-Mar'!K437+'TB-Apr'!K437+'TB-May'!K437+'TB-Jun'!K437+'TB-Jul'!K437+'TB-Aug'!K437+'TB-Sep'!K437+'TB-Oct'!K437+'TB-Nov'!K437+'TB-Dec'!K437</f>
        <v>0</v>
      </c>
      <c r="L437" s="96">
        <f>'TB-Jan'!L437+'TB-Feb'!L437+'TB-Mar'!L437+'TB-Apr'!L437+'TB-May'!L437+'TB-Jun'!L437+'TB-Jul'!L437+'TB-Aug'!L437+'TB-Sep'!L437+'TB-Oct'!L437+'TB-Nov'!L437+'TB-Dec'!L437</f>
        <v>0</v>
      </c>
      <c r="M437" s="97">
        <f>'TB-Jan'!M437+'TB-Feb'!M437+'TB-Mar'!M437+'TB-Apr'!M437+'TB-May'!M437+'TB-Jun'!M437+'TB-Jul'!M437+'TB-Aug'!M437+'TB-Sep'!M437+'TB-Oct'!M437+'TB-Nov'!M437+'TB-Dec'!M437</f>
        <v>0</v>
      </c>
      <c r="N437" s="97">
        <f>'TB-Jan'!N437+'TB-Feb'!N437+'TB-Mar'!N437+'TB-Apr'!N437+'TB-May'!N437+'TB-Jun'!N437+'TB-Jul'!N437+'TB-Aug'!N437+'TB-Sep'!N437+'TB-Oct'!N437+'TB-Nov'!N437+'TB-Dec'!N437</f>
        <v>0</v>
      </c>
    </row>
    <row r="438" spans="1:14" hidden="1">
      <c r="A438" s="3" t="s">
        <v>834</v>
      </c>
      <c r="B438" s="4" t="s">
        <v>835</v>
      </c>
      <c r="C438" s="5">
        <f t="shared" si="13"/>
        <v>0</v>
      </c>
      <c r="D438" s="5"/>
      <c r="E438" s="6">
        <f t="shared" si="12"/>
        <v>0</v>
      </c>
      <c r="F438" s="6">
        <f t="shared" si="12"/>
        <v>0</v>
      </c>
      <c r="G438" s="94">
        <f>'TB-Jan'!G438+'TB-Feb'!G438+'TB-Mar'!G438+'TB-Apr'!G438+'TB-May'!G438+'TB-Jun'!G438+'TB-Jul'!G438+'TB-Aug'!G438+'TB-Sep'!G438+'TB-Oct'!G438+'TB-Nov'!G438+'TB-Dec'!G438</f>
        <v>0</v>
      </c>
      <c r="H438" s="94">
        <f>'TB-Jan'!H438+'TB-Feb'!H438+'TB-Mar'!H438+'TB-Apr'!H438+'TB-May'!H438+'TB-Jun'!H438+'TB-Jul'!H438+'TB-Aug'!H438+'TB-Sep'!H438+'TB-Oct'!H438+'TB-Nov'!H438+'TB-Dec'!H438</f>
        <v>0</v>
      </c>
      <c r="I438" s="95">
        <f>'TB-Jan'!I438+'TB-Feb'!I438+'TB-Mar'!I438+'TB-Apr'!I438+'TB-May'!I438+'TB-Jun'!I438+'TB-Jul'!I438+'TB-Aug'!I438+'TB-Sep'!I438+'TB-Oct'!I438+'TB-Nov'!I438+'TB-Dec'!I438</f>
        <v>0</v>
      </c>
      <c r="J438" s="95">
        <f>'TB-Jan'!J438+'TB-Feb'!J438+'TB-Mar'!J438+'TB-Apr'!J438+'TB-May'!J438+'TB-Jun'!J438+'TB-Jul'!J438+'TB-Aug'!J438+'TB-Sep'!J438+'TB-Oct'!J438+'TB-Nov'!J438+'TB-Dec'!J438</f>
        <v>0</v>
      </c>
      <c r="K438" s="96">
        <f>'TB-Jan'!K438+'TB-Feb'!K438+'TB-Mar'!K438+'TB-Apr'!K438+'TB-May'!K438+'TB-Jun'!K438+'TB-Jul'!K438+'TB-Aug'!K438+'TB-Sep'!K438+'TB-Oct'!K438+'TB-Nov'!K438+'TB-Dec'!K438</f>
        <v>0</v>
      </c>
      <c r="L438" s="96">
        <f>'TB-Jan'!L438+'TB-Feb'!L438+'TB-Mar'!L438+'TB-Apr'!L438+'TB-May'!L438+'TB-Jun'!L438+'TB-Jul'!L438+'TB-Aug'!L438+'TB-Sep'!L438+'TB-Oct'!L438+'TB-Nov'!L438+'TB-Dec'!L438</f>
        <v>0</v>
      </c>
      <c r="M438" s="97">
        <f>'TB-Jan'!M438+'TB-Feb'!M438+'TB-Mar'!M438+'TB-Apr'!M438+'TB-May'!M438+'TB-Jun'!M438+'TB-Jul'!M438+'TB-Aug'!M438+'TB-Sep'!M438+'TB-Oct'!M438+'TB-Nov'!M438+'TB-Dec'!M438</f>
        <v>0</v>
      </c>
      <c r="N438" s="97">
        <f>'TB-Jan'!N438+'TB-Feb'!N438+'TB-Mar'!N438+'TB-Apr'!N438+'TB-May'!N438+'TB-Jun'!N438+'TB-Jul'!N438+'TB-Aug'!N438+'TB-Sep'!N438+'TB-Oct'!N438+'TB-Nov'!N438+'TB-Dec'!N438</f>
        <v>0</v>
      </c>
    </row>
    <row r="439" spans="1:14" hidden="1">
      <c r="A439" s="3" t="s">
        <v>836</v>
      </c>
      <c r="B439" s="4" t="s">
        <v>837</v>
      </c>
      <c r="C439" s="5">
        <f t="shared" si="13"/>
        <v>0</v>
      </c>
      <c r="D439" s="5"/>
      <c r="E439" s="6">
        <f t="shared" si="12"/>
        <v>0</v>
      </c>
      <c r="F439" s="6">
        <f t="shared" si="12"/>
        <v>0</v>
      </c>
      <c r="G439" s="94">
        <f>'TB-Jan'!G439+'TB-Feb'!G439+'TB-Mar'!G439+'TB-Apr'!G439+'TB-May'!G439+'TB-Jun'!G439+'TB-Jul'!G439+'TB-Aug'!G439+'TB-Sep'!G439+'TB-Oct'!G439+'TB-Nov'!G439+'TB-Dec'!G439</f>
        <v>0</v>
      </c>
      <c r="H439" s="94">
        <f>'TB-Jan'!H439+'TB-Feb'!H439+'TB-Mar'!H439+'TB-Apr'!H439+'TB-May'!H439+'TB-Jun'!H439+'TB-Jul'!H439+'TB-Aug'!H439+'TB-Sep'!H439+'TB-Oct'!H439+'TB-Nov'!H439+'TB-Dec'!H439</f>
        <v>0</v>
      </c>
      <c r="I439" s="95">
        <f>'TB-Jan'!I439+'TB-Feb'!I439+'TB-Mar'!I439+'TB-Apr'!I439+'TB-May'!I439+'TB-Jun'!I439+'TB-Jul'!I439+'TB-Aug'!I439+'TB-Sep'!I439+'TB-Oct'!I439+'TB-Nov'!I439+'TB-Dec'!I439</f>
        <v>0</v>
      </c>
      <c r="J439" s="95">
        <f>'TB-Jan'!J439+'TB-Feb'!J439+'TB-Mar'!J439+'TB-Apr'!J439+'TB-May'!J439+'TB-Jun'!J439+'TB-Jul'!J439+'TB-Aug'!J439+'TB-Sep'!J439+'TB-Oct'!J439+'TB-Nov'!J439+'TB-Dec'!J439</f>
        <v>0</v>
      </c>
      <c r="K439" s="96">
        <f>'TB-Jan'!K439+'TB-Feb'!K439+'TB-Mar'!K439+'TB-Apr'!K439+'TB-May'!K439+'TB-Jun'!K439+'TB-Jul'!K439+'TB-Aug'!K439+'TB-Sep'!K439+'TB-Oct'!K439+'TB-Nov'!K439+'TB-Dec'!K439</f>
        <v>0</v>
      </c>
      <c r="L439" s="96">
        <f>'TB-Jan'!L439+'TB-Feb'!L439+'TB-Mar'!L439+'TB-Apr'!L439+'TB-May'!L439+'TB-Jun'!L439+'TB-Jul'!L439+'TB-Aug'!L439+'TB-Sep'!L439+'TB-Oct'!L439+'TB-Nov'!L439+'TB-Dec'!L439</f>
        <v>0</v>
      </c>
      <c r="M439" s="97">
        <f>'TB-Jan'!M439+'TB-Feb'!M439+'TB-Mar'!M439+'TB-Apr'!M439+'TB-May'!M439+'TB-Jun'!M439+'TB-Jul'!M439+'TB-Aug'!M439+'TB-Sep'!M439+'TB-Oct'!M439+'TB-Nov'!M439+'TB-Dec'!M439</f>
        <v>0</v>
      </c>
      <c r="N439" s="97">
        <f>'TB-Jan'!N439+'TB-Feb'!N439+'TB-Mar'!N439+'TB-Apr'!N439+'TB-May'!N439+'TB-Jun'!N439+'TB-Jul'!N439+'TB-Aug'!N439+'TB-Sep'!N439+'TB-Oct'!N439+'TB-Nov'!N439+'TB-Dec'!N439</f>
        <v>0</v>
      </c>
    </row>
    <row r="440" spans="1:14" hidden="1">
      <c r="A440" s="3" t="s">
        <v>838</v>
      </c>
      <c r="B440" s="4" t="s">
        <v>839</v>
      </c>
      <c r="C440" s="5">
        <f t="shared" si="13"/>
        <v>0</v>
      </c>
      <c r="D440" s="5"/>
      <c r="E440" s="6">
        <f t="shared" si="12"/>
        <v>0</v>
      </c>
      <c r="F440" s="6">
        <f t="shared" si="12"/>
        <v>0</v>
      </c>
      <c r="G440" s="94">
        <f>'TB-Jan'!G440+'TB-Feb'!G440+'TB-Mar'!G440+'TB-Apr'!G440+'TB-May'!G440+'TB-Jun'!G440+'TB-Jul'!G440+'TB-Aug'!G440+'TB-Sep'!G440+'TB-Oct'!G440+'TB-Nov'!G440+'TB-Dec'!G440</f>
        <v>0</v>
      </c>
      <c r="H440" s="94">
        <f>'TB-Jan'!H440+'TB-Feb'!H440+'TB-Mar'!H440+'TB-Apr'!H440+'TB-May'!H440+'TB-Jun'!H440+'TB-Jul'!H440+'TB-Aug'!H440+'TB-Sep'!H440+'TB-Oct'!H440+'TB-Nov'!H440+'TB-Dec'!H440</f>
        <v>0</v>
      </c>
      <c r="I440" s="95">
        <f>'TB-Jan'!I440+'TB-Feb'!I440+'TB-Mar'!I440+'TB-Apr'!I440+'TB-May'!I440+'TB-Jun'!I440+'TB-Jul'!I440+'TB-Aug'!I440+'TB-Sep'!I440+'TB-Oct'!I440+'TB-Nov'!I440+'TB-Dec'!I440</f>
        <v>0</v>
      </c>
      <c r="J440" s="95">
        <f>'TB-Jan'!J440+'TB-Feb'!J440+'TB-Mar'!J440+'TB-Apr'!J440+'TB-May'!J440+'TB-Jun'!J440+'TB-Jul'!J440+'TB-Aug'!J440+'TB-Sep'!J440+'TB-Oct'!J440+'TB-Nov'!J440+'TB-Dec'!J440</f>
        <v>0</v>
      </c>
      <c r="K440" s="96">
        <f>'TB-Jan'!K440+'TB-Feb'!K440+'TB-Mar'!K440+'TB-Apr'!K440+'TB-May'!K440+'TB-Jun'!K440+'TB-Jul'!K440+'TB-Aug'!K440+'TB-Sep'!K440+'TB-Oct'!K440+'TB-Nov'!K440+'TB-Dec'!K440</f>
        <v>0</v>
      </c>
      <c r="L440" s="96">
        <f>'TB-Jan'!L440+'TB-Feb'!L440+'TB-Mar'!L440+'TB-Apr'!L440+'TB-May'!L440+'TB-Jun'!L440+'TB-Jul'!L440+'TB-Aug'!L440+'TB-Sep'!L440+'TB-Oct'!L440+'TB-Nov'!L440+'TB-Dec'!L440</f>
        <v>0</v>
      </c>
      <c r="M440" s="97">
        <f>'TB-Jan'!M440+'TB-Feb'!M440+'TB-Mar'!M440+'TB-Apr'!M440+'TB-May'!M440+'TB-Jun'!M440+'TB-Jul'!M440+'TB-Aug'!M440+'TB-Sep'!M440+'TB-Oct'!M440+'TB-Nov'!M440+'TB-Dec'!M440</f>
        <v>0</v>
      </c>
      <c r="N440" s="97">
        <f>'TB-Jan'!N440+'TB-Feb'!N440+'TB-Mar'!N440+'TB-Apr'!N440+'TB-May'!N440+'TB-Jun'!N440+'TB-Jul'!N440+'TB-Aug'!N440+'TB-Sep'!N440+'TB-Oct'!N440+'TB-Nov'!N440+'TB-Dec'!N440</f>
        <v>0</v>
      </c>
    </row>
    <row r="441" spans="1:14" hidden="1">
      <c r="A441" s="3" t="s">
        <v>840</v>
      </c>
      <c r="B441" s="4" t="s">
        <v>841</v>
      </c>
      <c r="C441" s="5">
        <f t="shared" si="13"/>
        <v>0</v>
      </c>
      <c r="D441" s="5"/>
      <c r="E441" s="6">
        <f t="shared" si="12"/>
        <v>0</v>
      </c>
      <c r="F441" s="6">
        <f t="shared" si="12"/>
        <v>0</v>
      </c>
      <c r="G441" s="94">
        <f>'TB-Jan'!G441+'TB-Feb'!G441+'TB-Mar'!G441+'TB-Apr'!G441+'TB-May'!G441+'TB-Jun'!G441+'TB-Jul'!G441+'TB-Aug'!G441+'TB-Sep'!G441+'TB-Oct'!G441+'TB-Nov'!G441+'TB-Dec'!G441</f>
        <v>0</v>
      </c>
      <c r="H441" s="94">
        <f>'TB-Jan'!H441+'TB-Feb'!H441+'TB-Mar'!H441+'TB-Apr'!H441+'TB-May'!H441+'TB-Jun'!H441+'TB-Jul'!H441+'TB-Aug'!H441+'TB-Sep'!H441+'TB-Oct'!H441+'TB-Nov'!H441+'TB-Dec'!H441</f>
        <v>0</v>
      </c>
      <c r="I441" s="95">
        <f>'TB-Jan'!I441+'TB-Feb'!I441+'TB-Mar'!I441+'TB-Apr'!I441+'TB-May'!I441+'TB-Jun'!I441+'TB-Jul'!I441+'TB-Aug'!I441+'TB-Sep'!I441+'TB-Oct'!I441+'TB-Nov'!I441+'TB-Dec'!I441</f>
        <v>0</v>
      </c>
      <c r="J441" s="95">
        <f>'TB-Jan'!J441+'TB-Feb'!J441+'TB-Mar'!J441+'TB-Apr'!J441+'TB-May'!J441+'TB-Jun'!J441+'TB-Jul'!J441+'TB-Aug'!J441+'TB-Sep'!J441+'TB-Oct'!J441+'TB-Nov'!J441+'TB-Dec'!J441</f>
        <v>0</v>
      </c>
      <c r="K441" s="96">
        <f>'TB-Jan'!K441+'TB-Feb'!K441+'TB-Mar'!K441+'TB-Apr'!K441+'TB-May'!K441+'TB-Jun'!K441+'TB-Jul'!K441+'TB-Aug'!K441+'TB-Sep'!K441+'TB-Oct'!K441+'TB-Nov'!K441+'TB-Dec'!K441</f>
        <v>0</v>
      </c>
      <c r="L441" s="96">
        <f>'TB-Jan'!L441+'TB-Feb'!L441+'TB-Mar'!L441+'TB-Apr'!L441+'TB-May'!L441+'TB-Jun'!L441+'TB-Jul'!L441+'TB-Aug'!L441+'TB-Sep'!L441+'TB-Oct'!L441+'TB-Nov'!L441+'TB-Dec'!L441</f>
        <v>0</v>
      </c>
      <c r="M441" s="97">
        <f>'TB-Jan'!M441+'TB-Feb'!M441+'TB-Mar'!M441+'TB-Apr'!M441+'TB-May'!M441+'TB-Jun'!M441+'TB-Jul'!M441+'TB-Aug'!M441+'TB-Sep'!M441+'TB-Oct'!M441+'TB-Nov'!M441+'TB-Dec'!M441</f>
        <v>0</v>
      </c>
      <c r="N441" s="97">
        <f>'TB-Jan'!N441+'TB-Feb'!N441+'TB-Mar'!N441+'TB-Apr'!N441+'TB-May'!N441+'TB-Jun'!N441+'TB-Jul'!N441+'TB-Aug'!N441+'TB-Sep'!N441+'TB-Oct'!N441+'TB-Nov'!N441+'TB-Dec'!N441</f>
        <v>0</v>
      </c>
    </row>
    <row r="442" spans="1:14" hidden="1">
      <c r="A442" s="3" t="s">
        <v>842</v>
      </c>
      <c r="B442" s="4" t="s">
        <v>843</v>
      </c>
      <c r="C442" s="5">
        <f t="shared" si="13"/>
        <v>0</v>
      </c>
      <c r="D442" s="5"/>
      <c r="E442" s="6">
        <f t="shared" si="12"/>
        <v>0</v>
      </c>
      <c r="F442" s="6">
        <f t="shared" si="12"/>
        <v>0</v>
      </c>
      <c r="G442" s="94">
        <f>'TB-Jan'!G442+'TB-Feb'!G442+'TB-Mar'!G442+'TB-Apr'!G442+'TB-May'!G442+'TB-Jun'!G442+'TB-Jul'!G442+'TB-Aug'!G442+'TB-Sep'!G442+'TB-Oct'!G442+'TB-Nov'!G442+'TB-Dec'!G442</f>
        <v>0</v>
      </c>
      <c r="H442" s="94">
        <f>'TB-Jan'!H442+'TB-Feb'!H442+'TB-Mar'!H442+'TB-Apr'!H442+'TB-May'!H442+'TB-Jun'!H442+'TB-Jul'!H442+'TB-Aug'!H442+'TB-Sep'!H442+'TB-Oct'!H442+'TB-Nov'!H442+'TB-Dec'!H442</f>
        <v>0</v>
      </c>
      <c r="I442" s="95">
        <f>'TB-Jan'!I442+'TB-Feb'!I442+'TB-Mar'!I442+'TB-Apr'!I442+'TB-May'!I442+'TB-Jun'!I442+'TB-Jul'!I442+'TB-Aug'!I442+'TB-Sep'!I442+'TB-Oct'!I442+'TB-Nov'!I442+'TB-Dec'!I442</f>
        <v>0</v>
      </c>
      <c r="J442" s="95">
        <f>'TB-Jan'!J442+'TB-Feb'!J442+'TB-Mar'!J442+'TB-Apr'!J442+'TB-May'!J442+'TB-Jun'!J442+'TB-Jul'!J442+'TB-Aug'!J442+'TB-Sep'!J442+'TB-Oct'!J442+'TB-Nov'!J442+'TB-Dec'!J442</f>
        <v>0</v>
      </c>
      <c r="K442" s="96">
        <f>'TB-Jan'!K442+'TB-Feb'!K442+'TB-Mar'!K442+'TB-Apr'!K442+'TB-May'!K442+'TB-Jun'!K442+'TB-Jul'!K442+'TB-Aug'!K442+'TB-Sep'!K442+'TB-Oct'!K442+'TB-Nov'!K442+'TB-Dec'!K442</f>
        <v>0</v>
      </c>
      <c r="L442" s="96">
        <f>'TB-Jan'!L442+'TB-Feb'!L442+'TB-Mar'!L442+'TB-Apr'!L442+'TB-May'!L442+'TB-Jun'!L442+'TB-Jul'!L442+'TB-Aug'!L442+'TB-Sep'!L442+'TB-Oct'!L442+'TB-Nov'!L442+'TB-Dec'!L442</f>
        <v>0</v>
      </c>
      <c r="M442" s="97">
        <f>'TB-Jan'!M442+'TB-Feb'!M442+'TB-Mar'!M442+'TB-Apr'!M442+'TB-May'!M442+'TB-Jun'!M442+'TB-Jul'!M442+'TB-Aug'!M442+'TB-Sep'!M442+'TB-Oct'!M442+'TB-Nov'!M442+'TB-Dec'!M442</f>
        <v>0</v>
      </c>
      <c r="N442" s="97">
        <f>'TB-Jan'!N442+'TB-Feb'!N442+'TB-Mar'!N442+'TB-Apr'!N442+'TB-May'!N442+'TB-Jun'!N442+'TB-Jul'!N442+'TB-Aug'!N442+'TB-Sep'!N442+'TB-Oct'!N442+'TB-Nov'!N442+'TB-Dec'!N442</f>
        <v>0</v>
      </c>
    </row>
    <row r="443" spans="1:14" hidden="1">
      <c r="A443" s="3" t="s">
        <v>844</v>
      </c>
      <c r="B443" s="4" t="s">
        <v>845</v>
      </c>
      <c r="C443" s="5">
        <f t="shared" si="13"/>
        <v>0</v>
      </c>
      <c r="D443" s="5"/>
      <c r="E443" s="6">
        <f t="shared" si="12"/>
        <v>0</v>
      </c>
      <c r="F443" s="6">
        <f t="shared" si="12"/>
        <v>0</v>
      </c>
      <c r="G443" s="94">
        <f>'TB-Jan'!G443+'TB-Feb'!G443+'TB-Mar'!G443+'TB-Apr'!G443+'TB-May'!G443+'TB-Jun'!G443+'TB-Jul'!G443+'TB-Aug'!G443+'TB-Sep'!G443+'TB-Oct'!G443+'TB-Nov'!G443+'TB-Dec'!G443</f>
        <v>0</v>
      </c>
      <c r="H443" s="94">
        <f>'TB-Jan'!H443+'TB-Feb'!H443+'TB-Mar'!H443+'TB-Apr'!H443+'TB-May'!H443+'TB-Jun'!H443+'TB-Jul'!H443+'TB-Aug'!H443+'TB-Sep'!H443+'TB-Oct'!H443+'TB-Nov'!H443+'TB-Dec'!H443</f>
        <v>0</v>
      </c>
      <c r="I443" s="95">
        <f>'TB-Jan'!I443+'TB-Feb'!I443+'TB-Mar'!I443+'TB-Apr'!I443+'TB-May'!I443+'TB-Jun'!I443+'TB-Jul'!I443+'TB-Aug'!I443+'TB-Sep'!I443+'TB-Oct'!I443+'TB-Nov'!I443+'TB-Dec'!I443</f>
        <v>0</v>
      </c>
      <c r="J443" s="95">
        <f>'TB-Jan'!J443+'TB-Feb'!J443+'TB-Mar'!J443+'TB-Apr'!J443+'TB-May'!J443+'TB-Jun'!J443+'TB-Jul'!J443+'TB-Aug'!J443+'TB-Sep'!J443+'TB-Oct'!J443+'TB-Nov'!J443+'TB-Dec'!J443</f>
        <v>0</v>
      </c>
      <c r="K443" s="96">
        <f>'TB-Jan'!K443+'TB-Feb'!K443+'TB-Mar'!K443+'TB-Apr'!K443+'TB-May'!K443+'TB-Jun'!K443+'TB-Jul'!K443+'TB-Aug'!K443+'TB-Sep'!K443+'TB-Oct'!K443+'TB-Nov'!K443+'TB-Dec'!K443</f>
        <v>0</v>
      </c>
      <c r="L443" s="96">
        <f>'TB-Jan'!L443+'TB-Feb'!L443+'TB-Mar'!L443+'TB-Apr'!L443+'TB-May'!L443+'TB-Jun'!L443+'TB-Jul'!L443+'TB-Aug'!L443+'TB-Sep'!L443+'TB-Oct'!L443+'TB-Nov'!L443+'TB-Dec'!L443</f>
        <v>0</v>
      </c>
      <c r="M443" s="97">
        <f>'TB-Jan'!M443+'TB-Feb'!M443+'TB-Mar'!M443+'TB-Apr'!M443+'TB-May'!M443+'TB-Jun'!M443+'TB-Jul'!M443+'TB-Aug'!M443+'TB-Sep'!M443+'TB-Oct'!M443+'TB-Nov'!M443+'TB-Dec'!M443</f>
        <v>0</v>
      </c>
      <c r="N443" s="97">
        <f>'TB-Jan'!N443+'TB-Feb'!N443+'TB-Mar'!N443+'TB-Apr'!N443+'TB-May'!N443+'TB-Jun'!N443+'TB-Jul'!N443+'TB-Aug'!N443+'TB-Sep'!N443+'TB-Oct'!N443+'TB-Nov'!N443+'TB-Dec'!N443</f>
        <v>0</v>
      </c>
    </row>
    <row r="444" spans="1:14" hidden="1">
      <c r="A444" s="3" t="s">
        <v>846</v>
      </c>
      <c r="B444" s="4" t="s">
        <v>847</v>
      </c>
      <c r="C444" s="5">
        <f t="shared" si="13"/>
        <v>0</v>
      </c>
      <c r="D444" s="5"/>
      <c r="E444" s="6">
        <f t="shared" si="12"/>
        <v>0</v>
      </c>
      <c r="F444" s="6">
        <f t="shared" si="12"/>
        <v>0</v>
      </c>
      <c r="G444" s="94">
        <f>'TB-Jan'!G444+'TB-Feb'!G444+'TB-Mar'!G444+'TB-Apr'!G444+'TB-May'!G444+'TB-Jun'!G444+'TB-Jul'!G444+'TB-Aug'!G444+'TB-Sep'!G444+'TB-Oct'!G444+'TB-Nov'!G444+'TB-Dec'!G444</f>
        <v>0</v>
      </c>
      <c r="H444" s="94">
        <f>'TB-Jan'!H444+'TB-Feb'!H444+'TB-Mar'!H444+'TB-Apr'!H444+'TB-May'!H444+'TB-Jun'!H444+'TB-Jul'!H444+'TB-Aug'!H444+'TB-Sep'!H444+'TB-Oct'!H444+'TB-Nov'!H444+'TB-Dec'!H444</f>
        <v>0</v>
      </c>
      <c r="I444" s="95">
        <f>'TB-Jan'!I444+'TB-Feb'!I444+'TB-Mar'!I444+'TB-Apr'!I444+'TB-May'!I444+'TB-Jun'!I444+'TB-Jul'!I444+'TB-Aug'!I444+'TB-Sep'!I444+'TB-Oct'!I444+'TB-Nov'!I444+'TB-Dec'!I444</f>
        <v>0</v>
      </c>
      <c r="J444" s="95">
        <f>'TB-Jan'!J444+'TB-Feb'!J444+'TB-Mar'!J444+'TB-Apr'!J444+'TB-May'!J444+'TB-Jun'!J444+'TB-Jul'!J444+'TB-Aug'!J444+'TB-Sep'!J444+'TB-Oct'!J444+'TB-Nov'!J444+'TB-Dec'!J444</f>
        <v>0</v>
      </c>
      <c r="K444" s="96">
        <f>'TB-Jan'!K444+'TB-Feb'!K444+'TB-Mar'!K444+'TB-Apr'!K444+'TB-May'!K444+'TB-Jun'!K444+'TB-Jul'!K444+'TB-Aug'!K444+'TB-Sep'!K444+'TB-Oct'!K444+'TB-Nov'!K444+'TB-Dec'!K444</f>
        <v>0</v>
      </c>
      <c r="L444" s="96">
        <f>'TB-Jan'!L444+'TB-Feb'!L444+'TB-Mar'!L444+'TB-Apr'!L444+'TB-May'!L444+'TB-Jun'!L444+'TB-Jul'!L444+'TB-Aug'!L444+'TB-Sep'!L444+'TB-Oct'!L444+'TB-Nov'!L444+'TB-Dec'!L444</f>
        <v>0</v>
      </c>
      <c r="M444" s="97">
        <f>'TB-Jan'!M444+'TB-Feb'!M444+'TB-Mar'!M444+'TB-Apr'!M444+'TB-May'!M444+'TB-Jun'!M444+'TB-Jul'!M444+'TB-Aug'!M444+'TB-Sep'!M444+'TB-Oct'!M444+'TB-Nov'!M444+'TB-Dec'!M444</f>
        <v>0</v>
      </c>
      <c r="N444" s="97">
        <f>'TB-Jan'!N444+'TB-Feb'!N444+'TB-Mar'!N444+'TB-Apr'!N444+'TB-May'!N444+'TB-Jun'!N444+'TB-Jul'!N444+'TB-Aug'!N444+'TB-Sep'!N444+'TB-Oct'!N444+'TB-Nov'!N444+'TB-Dec'!N444</f>
        <v>0</v>
      </c>
    </row>
    <row r="445" spans="1:14" hidden="1">
      <c r="A445" s="3" t="s">
        <v>848</v>
      </c>
      <c r="B445" s="4" t="s">
        <v>849</v>
      </c>
      <c r="C445" s="5">
        <f t="shared" si="13"/>
        <v>0</v>
      </c>
      <c r="D445" s="5"/>
      <c r="E445" s="6">
        <f t="shared" si="12"/>
        <v>0</v>
      </c>
      <c r="F445" s="6">
        <f t="shared" si="12"/>
        <v>0</v>
      </c>
      <c r="G445" s="94">
        <f>'TB-Jan'!G445+'TB-Feb'!G445+'TB-Mar'!G445+'TB-Apr'!G445+'TB-May'!G445+'TB-Jun'!G445+'TB-Jul'!G445+'TB-Aug'!G445+'TB-Sep'!G445+'TB-Oct'!G445+'TB-Nov'!G445+'TB-Dec'!G445</f>
        <v>0</v>
      </c>
      <c r="H445" s="94">
        <f>'TB-Jan'!H445+'TB-Feb'!H445+'TB-Mar'!H445+'TB-Apr'!H445+'TB-May'!H445+'TB-Jun'!H445+'TB-Jul'!H445+'TB-Aug'!H445+'TB-Sep'!H445+'TB-Oct'!H445+'TB-Nov'!H445+'TB-Dec'!H445</f>
        <v>0</v>
      </c>
      <c r="I445" s="95">
        <f>'TB-Jan'!I445+'TB-Feb'!I445+'TB-Mar'!I445+'TB-Apr'!I445+'TB-May'!I445+'TB-Jun'!I445+'TB-Jul'!I445+'TB-Aug'!I445+'TB-Sep'!I445+'TB-Oct'!I445+'TB-Nov'!I445+'TB-Dec'!I445</f>
        <v>0</v>
      </c>
      <c r="J445" s="95">
        <f>'TB-Jan'!J445+'TB-Feb'!J445+'TB-Mar'!J445+'TB-Apr'!J445+'TB-May'!J445+'TB-Jun'!J445+'TB-Jul'!J445+'TB-Aug'!J445+'TB-Sep'!J445+'TB-Oct'!J445+'TB-Nov'!J445+'TB-Dec'!J445</f>
        <v>0</v>
      </c>
      <c r="K445" s="96">
        <f>'TB-Jan'!K445+'TB-Feb'!K445+'TB-Mar'!K445+'TB-Apr'!K445+'TB-May'!K445+'TB-Jun'!K445+'TB-Jul'!K445+'TB-Aug'!K445+'TB-Sep'!K445+'TB-Oct'!K445+'TB-Nov'!K445+'TB-Dec'!K445</f>
        <v>0</v>
      </c>
      <c r="L445" s="96">
        <f>'TB-Jan'!L445+'TB-Feb'!L445+'TB-Mar'!L445+'TB-Apr'!L445+'TB-May'!L445+'TB-Jun'!L445+'TB-Jul'!L445+'TB-Aug'!L445+'TB-Sep'!L445+'TB-Oct'!L445+'TB-Nov'!L445+'TB-Dec'!L445</f>
        <v>0</v>
      </c>
      <c r="M445" s="97">
        <f>'TB-Jan'!M445+'TB-Feb'!M445+'TB-Mar'!M445+'TB-Apr'!M445+'TB-May'!M445+'TB-Jun'!M445+'TB-Jul'!M445+'TB-Aug'!M445+'TB-Sep'!M445+'TB-Oct'!M445+'TB-Nov'!M445+'TB-Dec'!M445</f>
        <v>0</v>
      </c>
      <c r="N445" s="97">
        <f>'TB-Jan'!N445+'TB-Feb'!N445+'TB-Mar'!N445+'TB-Apr'!N445+'TB-May'!N445+'TB-Jun'!N445+'TB-Jul'!N445+'TB-Aug'!N445+'TB-Sep'!N445+'TB-Oct'!N445+'TB-Nov'!N445+'TB-Dec'!N445</f>
        <v>0</v>
      </c>
    </row>
    <row r="446" spans="1:14" hidden="1">
      <c r="A446" s="3" t="s">
        <v>850</v>
      </c>
      <c r="B446" s="4" t="s">
        <v>851</v>
      </c>
      <c r="C446" s="5">
        <f t="shared" si="13"/>
        <v>0</v>
      </c>
      <c r="D446" s="5"/>
      <c r="E446" s="6">
        <f t="shared" si="12"/>
        <v>0</v>
      </c>
      <c r="F446" s="6">
        <f t="shared" si="12"/>
        <v>0</v>
      </c>
      <c r="G446" s="94">
        <f>'TB-Jan'!G446+'TB-Feb'!G446+'TB-Mar'!G446+'TB-Apr'!G446+'TB-May'!G446+'TB-Jun'!G446+'TB-Jul'!G446+'TB-Aug'!G446+'TB-Sep'!G446+'TB-Oct'!G446+'TB-Nov'!G446+'TB-Dec'!G446</f>
        <v>0</v>
      </c>
      <c r="H446" s="94">
        <f>'TB-Jan'!H446+'TB-Feb'!H446+'TB-Mar'!H446+'TB-Apr'!H446+'TB-May'!H446+'TB-Jun'!H446+'TB-Jul'!H446+'TB-Aug'!H446+'TB-Sep'!H446+'TB-Oct'!H446+'TB-Nov'!H446+'TB-Dec'!H446</f>
        <v>0</v>
      </c>
      <c r="I446" s="95">
        <f>'TB-Jan'!I446+'TB-Feb'!I446+'TB-Mar'!I446+'TB-Apr'!I446+'TB-May'!I446+'TB-Jun'!I446+'TB-Jul'!I446+'TB-Aug'!I446+'TB-Sep'!I446+'TB-Oct'!I446+'TB-Nov'!I446+'TB-Dec'!I446</f>
        <v>0</v>
      </c>
      <c r="J446" s="95">
        <f>'TB-Jan'!J446+'TB-Feb'!J446+'TB-Mar'!J446+'TB-Apr'!J446+'TB-May'!J446+'TB-Jun'!J446+'TB-Jul'!J446+'TB-Aug'!J446+'TB-Sep'!J446+'TB-Oct'!J446+'TB-Nov'!J446+'TB-Dec'!J446</f>
        <v>0</v>
      </c>
      <c r="K446" s="96">
        <f>'TB-Jan'!K446+'TB-Feb'!K446+'TB-Mar'!K446+'TB-Apr'!K446+'TB-May'!K446+'TB-Jun'!K446+'TB-Jul'!K446+'TB-Aug'!K446+'TB-Sep'!K446+'TB-Oct'!K446+'TB-Nov'!K446+'TB-Dec'!K446</f>
        <v>0</v>
      </c>
      <c r="L446" s="96">
        <f>'TB-Jan'!L446+'TB-Feb'!L446+'TB-Mar'!L446+'TB-Apr'!L446+'TB-May'!L446+'TB-Jun'!L446+'TB-Jul'!L446+'TB-Aug'!L446+'TB-Sep'!L446+'TB-Oct'!L446+'TB-Nov'!L446+'TB-Dec'!L446</f>
        <v>0</v>
      </c>
      <c r="M446" s="97">
        <f>'TB-Jan'!M446+'TB-Feb'!M446+'TB-Mar'!M446+'TB-Apr'!M446+'TB-May'!M446+'TB-Jun'!M446+'TB-Jul'!M446+'TB-Aug'!M446+'TB-Sep'!M446+'TB-Oct'!M446+'TB-Nov'!M446+'TB-Dec'!M446</f>
        <v>0</v>
      </c>
      <c r="N446" s="97">
        <f>'TB-Jan'!N446+'TB-Feb'!N446+'TB-Mar'!N446+'TB-Apr'!N446+'TB-May'!N446+'TB-Jun'!N446+'TB-Jul'!N446+'TB-Aug'!N446+'TB-Sep'!N446+'TB-Oct'!N446+'TB-Nov'!N446+'TB-Dec'!N446</f>
        <v>0</v>
      </c>
    </row>
    <row r="447" spans="1:14" hidden="1">
      <c r="A447" s="3" t="s">
        <v>852</v>
      </c>
      <c r="B447" s="4" t="s">
        <v>853</v>
      </c>
      <c r="C447" s="5">
        <f t="shared" si="13"/>
        <v>0</v>
      </c>
      <c r="D447" s="5"/>
      <c r="E447" s="6">
        <f t="shared" si="12"/>
        <v>0</v>
      </c>
      <c r="F447" s="6">
        <f t="shared" si="12"/>
        <v>0</v>
      </c>
      <c r="G447" s="94">
        <f>'TB-Jan'!G447+'TB-Feb'!G447+'TB-Mar'!G447+'TB-Apr'!G447+'TB-May'!G447+'TB-Jun'!G447+'TB-Jul'!G447+'TB-Aug'!G447+'TB-Sep'!G447+'TB-Oct'!G447+'TB-Nov'!G447+'TB-Dec'!G447</f>
        <v>0</v>
      </c>
      <c r="H447" s="94">
        <f>'TB-Jan'!H447+'TB-Feb'!H447+'TB-Mar'!H447+'TB-Apr'!H447+'TB-May'!H447+'TB-Jun'!H447+'TB-Jul'!H447+'TB-Aug'!H447+'TB-Sep'!H447+'TB-Oct'!H447+'TB-Nov'!H447+'TB-Dec'!H447</f>
        <v>0</v>
      </c>
      <c r="I447" s="95">
        <f>'TB-Jan'!I447+'TB-Feb'!I447+'TB-Mar'!I447+'TB-Apr'!I447+'TB-May'!I447+'TB-Jun'!I447+'TB-Jul'!I447+'TB-Aug'!I447+'TB-Sep'!I447+'TB-Oct'!I447+'TB-Nov'!I447+'TB-Dec'!I447</f>
        <v>0</v>
      </c>
      <c r="J447" s="95">
        <f>'TB-Jan'!J447+'TB-Feb'!J447+'TB-Mar'!J447+'TB-Apr'!J447+'TB-May'!J447+'TB-Jun'!J447+'TB-Jul'!J447+'TB-Aug'!J447+'TB-Sep'!J447+'TB-Oct'!J447+'TB-Nov'!J447+'TB-Dec'!J447</f>
        <v>0</v>
      </c>
      <c r="K447" s="96">
        <f>'TB-Jan'!K447+'TB-Feb'!K447+'TB-Mar'!K447+'TB-Apr'!K447+'TB-May'!K447+'TB-Jun'!K447+'TB-Jul'!K447+'TB-Aug'!K447+'TB-Sep'!K447+'TB-Oct'!K447+'TB-Nov'!K447+'TB-Dec'!K447</f>
        <v>0</v>
      </c>
      <c r="L447" s="96">
        <f>'TB-Jan'!L447+'TB-Feb'!L447+'TB-Mar'!L447+'TB-Apr'!L447+'TB-May'!L447+'TB-Jun'!L447+'TB-Jul'!L447+'TB-Aug'!L447+'TB-Sep'!L447+'TB-Oct'!L447+'TB-Nov'!L447+'TB-Dec'!L447</f>
        <v>0</v>
      </c>
      <c r="M447" s="97">
        <f>'TB-Jan'!M447+'TB-Feb'!M447+'TB-Mar'!M447+'TB-Apr'!M447+'TB-May'!M447+'TB-Jun'!M447+'TB-Jul'!M447+'TB-Aug'!M447+'TB-Sep'!M447+'TB-Oct'!M447+'TB-Nov'!M447+'TB-Dec'!M447</f>
        <v>0</v>
      </c>
      <c r="N447" s="97">
        <f>'TB-Jan'!N447+'TB-Feb'!N447+'TB-Mar'!N447+'TB-Apr'!N447+'TB-May'!N447+'TB-Jun'!N447+'TB-Jul'!N447+'TB-Aug'!N447+'TB-Sep'!N447+'TB-Oct'!N447+'TB-Nov'!N447+'TB-Dec'!N447</f>
        <v>0</v>
      </c>
    </row>
    <row r="448" spans="1:14" hidden="1">
      <c r="A448" s="3" t="s">
        <v>854</v>
      </c>
      <c r="B448" s="4">
        <v>954</v>
      </c>
      <c r="C448" s="5">
        <f t="shared" si="13"/>
        <v>0</v>
      </c>
      <c r="D448" s="5"/>
      <c r="E448" s="6">
        <f t="shared" si="12"/>
        <v>0</v>
      </c>
      <c r="F448" s="6">
        <f t="shared" si="12"/>
        <v>0</v>
      </c>
      <c r="G448" s="94">
        <f>'TB-Jan'!G448+'TB-Feb'!G448+'TB-Mar'!G448+'TB-Apr'!G448+'TB-May'!G448+'TB-Jun'!G448+'TB-Jul'!G448+'TB-Aug'!G448+'TB-Sep'!G448+'TB-Oct'!G448+'TB-Nov'!G448+'TB-Dec'!G448</f>
        <v>0</v>
      </c>
      <c r="H448" s="94">
        <f>'TB-Jan'!H448+'TB-Feb'!H448+'TB-Mar'!H448+'TB-Apr'!H448+'TB-May'!H448+'TB-Jun'!H448+'TB-Jul'!H448+'TB-Aug'!H448+'TB-Sep'!H448+'TB-Oct'!H448+'TB-Nov'!H448+'TB-Dec'!H448</f>
        <v>0</v>
      </c>
      <c r="I448" s="95">
        <f>'TB-Jan'!I448+'TB-Feb'!I448+'TB-Mar'!I448+'TB-Apr'!I448+'TB-May'!I448+'TB-Jun'!I448+'TB-Jul'!I448+'TB-Aug'!I448+'TB-Sep'!I448+'TB-Oct'!I448+'TB-Nov'!I448+'TB-Dec'!I448</f>
        <v>0</v>
      </c>
      <c r="J448" s="95">
        <f>'TB-Jan'!J448+'TB-Feb'!J448+'TB-Mar'!J448+'TB-Apr'!J448+'TB-May'!J448+'TB-Jun'!J448+'TB-Jul'!J448+'TB-Aug'!J448+'TB-Sep'!J448+'TB-Oct'!J448+'TB-Nov'!J448+'TB-Dec'!J448</f>
        <v>0</v>
      </c>
      <c r="K448" s="96">
        <f>'TB-Jan'!K448+'TB-Feb'!K448+'TB-Mar'!K448+'TB-Apr'!K448+'TB-May'!K448+'TB-Jun'!K448+'TB-Jul'!K448+'TB-Aug'!K448+'TB-Sep'!K448+'TB-Oct'!K448+'TB-Nov'!K448+'TB-Dec'!K448</f>
        <v>0</v>
      </c>
      <c r="L448" s="96">
        <f>'TB-Jan'!L448+'TB-Feb'!L448+'TB-Mar'!L448+'TB-Apr'!L448+'TB-May'!L448+'TB-Jun'!L448+'TB-Jul'!L448+'TB-Aug'!L448+'TB-Sep'!L448+'TB-Oct'!L448+'TB-Nov'!L448+'TB-Dec'!L448</f>
        <v>0</v>
      </c>
      <c r="M448" s="97">
        <f>'TB-Jan'!M448+'TB-Feb'!M448+'TB-Mar'!M448+'TB-Apr'!M448+'TB-May'!M448+'TB-Jun'!M448+'TB-Jul'!M448+'TB-Aug'!M448+'TB-Sep'!M448+'TB-Oct'!M448+'TB-Nov'!M448+'TB-Dec'!M448</f>
        <v>0</v>
      </c>
      <c r="N448" s="97">
        <f>'TB-Jan'!N448+'TB-Feb'!N448+'TB-Mar'!N448+'TB-Apr'!N448+'TB-May'!N448+'TB-Jun'!N448+'TB-Jul'!N448+'TB-Aug'!N448+'TB-Sep'!N448+'TB-Oct'!N448+'TB-Nov'!N448+'TB-Dec'!N448</f>
        <v>0</v>
      </c>
    </row>
    <row r="449" spans="1:14" hidden="1">
      <c r="A449" s="3" t="s">
        <v>855</v>
      </c>
      <c r="B449" s="4">
        <v>955</v>
      </c>
      <c r="C449" s="5">
        <f t="shared" si="13"/>
        <v>0</v>
      </c>
      <c r="D449" s="5"/>
      <c r="E449" s="6">
        <f t="shared" si="12"/>
        <v>0</v>
      </c>
      <c r="F449" s="6">
        <f t="shared" si="12"/>
        <v>0</v>
      </c>
      <c r="G449" s="94">
        <f>'TB-Jan'!G449+'TB-Feb'!G449+'TB-Mar'!G449+'TB-Apr'!G449+'TB-May'!G449+'TB-Jun'!G449+'TB-Jul'!G449+'TB-Aug'!G449+'TB-Sep'!G449+'TB-Oct'!G449+'TB-Nov'!G449+'TB-Dec'!G449</f>
        <v>0</v>
      </c>
      <c r="H449" s="94">
        <f>'TB-Jan'!H449+'TB-Feb'!H449+'TB-Mar'!H449+'TB-Apr'!H449+'TB-May'!H449+'TB-Jun'!H449+'TB-Jul'!H449+'TB-Aug'!H449+'TB-Sep'!H449+'TB-Oct'!H449+'TB-Nov'!H449+'TB-Dec'!H449</f>
        <v>0</v>
      </c>
      <c r="I449" s="95">
        <f>'TB-Jan'!I449+'TB-Feb'!I449+'TB-Mar'!I449+'TB-Apr'!I449+'TB-May'!I449+'TB-Jun'!I449+'TB-Jul'!I449+'TB-Aug'!I449+'TB-Sep'!I449+'TB-Oct'!I449+'TB-Nov'!I449+'TB-Dec'!I449</f>
        <v>0</v>
      </c>
      <c r="J449" s="95">
        <f>'TB-Jan'!J449+'TB-Feb'!J449+'TB-Mar'!J449+'TB-Apr'!J449+'TB-May'!J449+'TB-Jun'!J449+'TB-Jul'!J449+'TB-Aug'!J449+'TB-Sep'!J449+'TB-Oct'!J449+'TB-Nov'!J449+'TB-Dec'!J449</f>
        <v>0</v>
      </c>
      <c r="K449" s="96">
        <f>'TB-Jan'!K449+'TB-Feb'!K449+'TB-Mar'!K449+'TB-Apr'!K449+'TB-May'!K449+'TB-Jun'!K449+'TB-Jul'!K449+'TB-Aug'!K449+'TB-Sep'!K449+'TB-Oct'!K449+'TB-Nov'!K449+'TB-Dec'!K449</f>
        <v>0</v>
      </c>
      <c r="L449" s="96">
        <f>'TB-Jan'!L449+'TB-Feb'!L449+'TB-Mar'!L449+'TB-Apr'!L449+'TB-May'!L449+'TB-Jun'!L449+'TB-Jul'!L449+'TB-Aug'!L449+'TB-Sep'!L449+'TB-Oct'!L449+'TB-Nov'!L449+'TB-Dec'!L449</f>
        <v>0</v>
      </c>
      <c r="M449" s="97">
        <f>'TB-Jan'!M449+'TB-Feb'!M449+'TB-Mar'!M449+'TB-Apr'!M449+'TB-May'!M449+'TB-Jun'!M449+'TB-Jul'!M449+'TB-Aug'!M449+'TB-Sep'!M449+'TB-Oct'!M449+'TB-Nov'!M449+'TB-Dec'!M449</f>
        <v>0</v>
      </c>
      <c r="N449" s="97">
        <f>'TB-Jan'!N449+'TB-Feb'!N449+'TB-Mar'!N449+'TB-Apr'!N449+'TB-May'!N449+'TB-Jun'!N449+'TB-Jul'!N449+'TB-Aug'!N449+'TB-Sep'!N449+'TB-Oct'!N449+'TB-Nov'!N449+'TB-Dec'!N449</f>
        <v>0</v>
      </c>
    </row>
    <row r="450" spans="1:14" hidden="1">
      <c r="A450" s="3" t="s">
        <v>856</v>
      </c>
      <c r="B450" s="4" t="s">
        <v>857</v>
      </c>
      <c r="C450" s="5">
        <f t="shared" si="13"/>
        <v>0</v>
      </c>
      <c r="D450" s="5"/>
      <c r="E450" s="6">
        <f t="shared" si="12"/>
        <v>0</v>
      </c>
      <c r="F450" s="6">
        <f t="shared" si="12"/>
        <v>0</v>
      </c>
      <c r="G450" s="94">
        <f>'TB-Jan'!G450+'TB-Feb'!G450+'TB-Mar'!G450+'TB-Apr'!G450+'TB-May'!G450+'TB-Jun'!G450+'TB-Jul'!G450+'TB-Aug'!G450+'TB-Sep'!G450+'TB-Oct'!G450+'TB-Nov'!G450+'TB-Dec'!G450</f>
        <v>0</v>
      </c>
      <c r="H450" s="94">
        <f>'TB-Jan'!H450+'TB-Feb'!H450+'TB-Mar'!H450+'TB-Apr'!H450+'TB-May'!H450+'TB-Jun'!H450+'TB-Jul'!H450+'TB-Aug'!H450+'TB-Sep'!H450+'TB-Oct'!H450+'TB-Nov'!H450+'TB-Dec'!H450</f>
        <v>0</v>
      </c>
      <c r="I450" s="95">
        <f>'TB-Jan'!I450+'TB-Feb'!I450+'TB-Mar'!I450+'TB-Apr'!I450+'TB-May'!I450+'TB-Jun'!I450+'TB-Jul'!I450+'TB-Aug'!I450+'TB-Sep'!I450+'TB-Oct'!I450+'TB-Nov'!I450+'TB-Dec'!I450</f>
        <v>0</v>
      </c>
      <c r="J450" s="95">
        <f>'TB-Jan'!J450+'TB-Feb'!J450+'TB-Mar'!J450+'TB-Apr'!J450+'TB-May'!J450+'TB-Jun'!J450+'TB-Jul'!J450+'TB-Aug'!J450+'TB-Sep'!J450+'TB-Oct'!J450+'TB-Nov'!J450+'TB-Dec'!J450</f>
        <v>0</v>
      </c>
      <c r="K450" s="96">
        <f>'TB-Jan'!K450+'TB-Feb'!K450+'TB-Mar'!K450+'TB-Apr'!K450+'TB-May'!K450+'TB-Jun'!K450+'TB-Jul'!K450+'TB-Aug'!K450+'TB-Sep'!K450+'TB-Oct'!K450+'TB-Nov'!K450+'TB-Dec'!K450</f>
        <v>0</v>
      </c>
      <c r="L450" s="96">
        <f>'TB-Jan'!L450+'TB-Feb'!L450+'TB-Mar'!L450+'TB-Apr'!L450+'TB-May'!L450+'TB-Jun'!L450+'TB-Jul'!L450+'TB-Aug'!L450+'TB-Sep'!L450+'TB-Oct'!L450+'TB-Nov'!L450+'TB-Dec'!L450</f>
        <v>0</v>
      </c>
      <c r="M450" s="97">
        <f>'TB-Jan'!M450+'TB-Feb'!M450+'TB-Mar'!M450+'TB-Apr'!M450+'TB-May'!M450+'TB-Jun'!M450+'TB-Jul'!M450+'TB-Aug'!M450+'TB-Sep'!M450+'TB-Oct'!M450+'TB-Nov'!M450+'TB-Dec'!M450</f>
        <v>0</v>
      </c>
      <c r="N450" s="97">
        <f>'TB-Jan'!N450+'TB-Feb'!N450+'TB-Mar'!N450+'TB-Apr'!N450+'TB-May'!N450+'TB-Jun'!N450+'TB-Jul'!N450+'TB-Aug'!N450+'TB-Sep'!N450+'TB-Oct'!N450+'TB-Nov'!N450+'TB-Dec'!N450</f>
        <v>0</v>
      </c>
    </row>
    <row r="451" spans="1:14" hidden="1">
      <c r="A451" s="3" t="s">
        <v>858</v>
      </c>
      <c r="B451" s="4" t="s">
        <v>859</v>
      </c>
      <c r="C451" s="5">
        <f t="shared" si="13"/>
        <v>0</v>
      </c>
      <c r="D451" s="5"/>
      <c r="E451" s="6">
        <f t="shared" si="12"/>
        <v>0</v>
      </c>
      <c r="F451" s="6">
        <f t="shared" si="12"/>
        <v>0</v>
      </c>
      <c r="G451" s="94">
        <f>'TB-Jan'!G451+'TB-Feb'!G451+'TB-Mar'!G451+'TB-Apr'!G451+'TB-May'!G451+'TB-Jun'!G451+'TB-Jul'!G451+'TB-Aug'!G451+'TB-Sep'!G451+'TB-Oct'!G451+'TB-Nov'!G451+'TB-Dec'!G451</f>
        <v>0</v>
      </c>
      <c r="H451" s="94">
        <f>'TB-Jan'!H451+'TB-Feb'!H451+'TB-Mar'!H451+'TB-Apr'!H451+'TB-May'!H451+'TB-Jun'!H451+'TB-Jul'!H451+'TB-Aug'!H451+'TB-Sep'!H451+'TB-Oct'!H451+'TB-Nov'!H451+'TB-Dec'!H451</f>
        <v>0</v>
      </c>
      <c r="I451" s="95">
        <f>'TB-Jan'!I451+'TB-Feb'!I451+'TB-Mar'!I451+'TB-Apr'!I451+'TB-May'!I451+'TB-Jun'!I451+'TB-Jul'!I451+'TB-Aug'!I451+'TB-Sep'!I451+'TB-Oct'!I451+'TB-Nov'!I451+'TB-Dec'!I451</f>
        <v>0</v>
      </c>
      <c r="J451" s="95">
        <f>'TB-Jan'!J451+'TB-Feb'!J451+'TB-Mar'!J451+'TB-Apr'!J451+'TB-May'!J451+'TB-Jun'!J451+'TB-Jul'!J451+'TB-Aug'!J451+'TB-Sep'!J451+'TB-Oct'!J451+'TB-Nov'!J451+'TB-Dec'!J451</f>
        <v>0</v>
      </c>
      <c r="K451" s="96">
        <f>'TB-Jan'!K451+'TB-Feb'!K451+'TB-Mar'!K451+'TB-Apr'!K451+'TB-May'!K451+'TB-Jun'!K451+'TB-Jul'!K451+'TB-Aug'!K451+'TB-Sep'!K451+'TB-Oct'!K451+'TB-Nov'!K451+'TB-Dec'!K451</f>
        <v>0</v>
      </c>
      <c r="L451" s="96">
        <f>'TB-Jan'!L451+'TB-Feb'!L451+'TB-Mar'!L451+'TB-Apr'!L451+'TB-May'!L451+'TB-Jun'!L451+'TB-Jul'!L451+'TB-Aug'!L451+'TB-Sep'!L451+'TB-Oct'!L451+'TB-Nov'!L451+'TB-Dec'!L451</f>
        <v>0</v>
      </c>
      <c r="M451" s="97">
        <f>'TB-Jan'!M451+'TB-Feb'!M451+'TB-Mar'!M451+'TB-Apr'!M451+'TB-May'!M451+'TB-Jun'!M451+'TB-Jul'!M451+'TB-Aug'!M451+'TB-Sep'!M451+'TB-Oct'!M451+'TB-Nov'!M451+'TB-Dec'!M451</f>
        <v>0</v>
      </c>
      <c r="N451" s="97">
        <f>'TB-Jan'!N451+'TB-Feb'!N451+'TB-Mar'!N451+'TB-Apr'!N451+'TB-May'!N451+'TB-Jun'!N451+'TB-Jul'!N451+'TB-Aug'!N451+'TB-Sep'!N451+'TB-Oct'!N451+'TB-Nov'!N451+'TB-Dec'!N451</f>
        <v>0</v>
      </c>
    </row>
    <row r="452" spans="1:14" hidden="1">
      <c r="A452" s="3" t="s">
        <v>860</v>
      </c>
      <c r="B452" s="4" t="s">
        <v>861</v>
      </c>
      <c r="C452" s="5">
        <f t="shared" si="13"/>
        <v>0</v>
      </c>
      <c r="D452" s="5"/>
      <c r="E452" s="6">
        <f t="shared" si="12"/>
        <v>0</v>
      </c>
      <c r="F452" s="6">
        <f t="shared" si="12"/>
        <v>0</v>
      </c>
      <c r="G452" s="94">
        <f>'TB-Jan'!G452+'TB-Feb'!G452+'TB-Mar'!G452+'TB-Apr'!G452+'TB-May'!G452+'TB-Jun'!G452+'TB-Jul'!G452+'TB-Aug'!G452+'TB-Sep'!G452+'TB-Oct'!G452+'TB-Nov'!G452+'TB-Dec'!G452</f>
        <v>0</v>
      </c>
      <c r="H452" s="94">
        <f>'TB-Jan'!H452+'TB-Feb'!H452+'TB-Mar'!H452+'TB-Apr'!H452+'TB-May'!H452+'TB-Jun'!H452+'TB-Jul'!H452+'TB-Aug'!H452+'TB-Sep'!H452+'TB-Oct'!H452+'TB-Nov'!H452+'TB-Dec'!H452</f>
        <v>0</v>
      </c>
      <c r="I452" s="95">
        <f>'TB-Jan'!I452+'TB-Feb'!I452+'TB-Mar'!I452+'TB-Apr'!I452+'TB-May'!I452+'TB-Jun'!I452+'TB-Jul'!I452+'TB-Aug'!I452+'TB-Sep'!I452+'TB-Oct'!I452+'TB-Nov'!I452+'TB-Dec'!I452</f>
        <v>0</v>
      </c>
      <c r="J452" s="95">
        <f>'TB-Jan'!J452+'TB-Feb'!J452+'TB-Mar'!J452+'TB-Apr'!J452+'TB-May'!J452+'TB-Jun'!J452+'TB-Jul'!J452+'TB-Aug'!J452+'TB-Sep'!J452+'TB-Oct'!J452+'TB-Nov'!J452+'TB-Dec'!J452</f>
        <v>0</v>
      </c>
      <c r="K452" s="96">
        <f>'TB-Jan'!K452+'TB-Feb'!K452+'TB-Mar'!K452+'TB-Apr'!K452+'TB-May'!K452+'TB-Jun'!K452+'TB-Jul'!K452+'TB-Aug'!K452+'TB-Sep'!K452+'TB-Oct'!K452+'TB-Nov'!K452+'TB-Dec'!K452</f>
        <v>0</v>
      </c>
      <c r="L452" s="96">
        <f>'TB-Jan'!L452+'TB-Feb'!L452+'TB-Mar'!L452+'TB-Apr'!L452+'TB-May'!L452+'TB-Jun'!L452+'TB-Jul'!L452+'TB-Aug'!L452+'TB-Sep'!L452+'TB-Oct'!L452+'TB-Nov'!L452+'TB-Dec'!L452</f>
        <v>0</v>
      </c>
      <c r="M452" s="97">
        <f>'TB-Jan'!M452+'TB-Feb'!M452+'TB-Mar'!M452+'TB-Apr'!M452+'TB-May'!M452+'TB-Jun'!M452+'TB-Jul'!M452+'TB-Aug'!M452+'TB-Sep'!M452+'TB-Oct'!M452+'TB-Nov'!M452+'TB-Dec'!M452</f>
        <v>0</v>
      </c>
      <c r="N452" s="97">
        <f>'TB-Jan'!N452+'TB-Feb'!N452+'TB-Mar'!N452+'TB-Apr'!N452+'TB-May'!N452+'TB-Jun'!N452+'TB-Jul'!N452+'TB-Aug'!N452+'TB-Sep'!N452+'TB-Oct'!N452+'TB-Nov'!N452+'TB-Dec'!N452</f>
        <v>0</v>
      </c>
    </row>
    <row r="453" spans="1:14" hidden="1">
      <c r="A453" s="3" t="s">
        <v>862</v>
      </c>
      <c r="B453" s="4" t="s">
        <v>863</v>
      </c>
      <c r="C453" s="5">
        <f t="shared" si="13"/>
        <v>0</v>
      </c>
      <c r="D453" s="5"/>
      <c r="E453" s="6">
        <f t="shared" si="12"/>
        <v>0</v>
      </c>
      <c r="F453" s="6">
        <f t="shared" si="12"/>
        <v>0</v>
      </c>
      <c r="G453" s="94">
        <f>'TB-Jan'!G453+'TB-Feb'!G453+'TB-Mar'!G453+'TB-Apr'!G453+'TB-May'!G453+'TB-Jun'!G453+'TB-Jul'!G453+'TB-Aug'!G453+'TB-Sep'!G453+'TB-Oct'!G453+'TB-Nov'!G453+'TB-Dec'!G453</f>
        <v>0</v>
      </c>
      <c r="H453" s="94">
        <f>'TB-Jan'!H453+'TB-Feb'!H453+'TB-Mar'!H453+'TB-Apr'!H453+'TB-May'!H453+'TB-Jun'!H453+'TB-Jul'!H453+'TB-Aug'!H453+'TB-Sep'!H453+'TB-Oct'!H453+'TB-Nov'!H453+'TB-Dec'!H453</f>
        <v>0</v>
      </c>
      <c r="I453" s="95">
        <f>'TB-Jan'!I453+'TB-Feb'!I453+'TB-Mar'!I453+'TB-Apr'!I453+'TB-May'!I453+'TB-Jun'!I453+'TB-Jul'!I453+'TB-Aug'!I453+'TB-Sep'!I453+'TB-Oct'!I453+'TB-Nov'!I453+'TB-Dec'!I453</f>
        <v>0</v>
      </c>
      <c r="J453" s="95">
        <f>'TB-Jan'!J453+'TB-Feb'!J453+'TB-Mar'!J453+'TB-Apr'!J453+'TB-May'!J453+'TB-Jun'!J453+'TB-Jul'!J453+'TB-Aug'!J453+'TB-Sep'!J453+'TB-Oct'!J453+'TB-Nov'!J453+'TB-Dec'!J453</f>
        <v>0</v>
      </c>
      <c r="K453" s="96">
        <f>'TB-Jan'!K453+'TB-Feb'!K453+'TB-Mar'!K453+'TB-Apr'!K453+'TB-May'!K453+'TB-Jun'!K453+'TB-Jul'!K453+'TB-Aug'!K453+'TB-Sep'!K453+'TB-Oct'!K453+'TB-Nov'!K453+'TB-Dec'!K453</f>
        <v>0</v>
      </c>
      <c r="L453" s="96">
        <f>'TB-Jan'!L453+'TB-Feb'!L453+'TB-Mar'!L453+'TB-Apr'!L453+'TB-May'!L453+'TB-Jun'!L453+'TB-Jul'!L453+'TB-Aug'!L453+'TB-Sep'!L453+'TB-Oct'!L453+'TB-Nov'!L453+'TB-Dec'!L453</f>
        <v>0</v>
      </c>
      <c r="M453" s="97">
        <f>'TB-Jan'!M453+'TB-Feb'!M453+'TB-Mar'!M453+'TB-Apr'!M453+'TB-May'!M453+'TB-Jun'!M453+'TB-Jul'!M453+'TB-Aug'!M453+'TB-Sep'!M453+'TB-Oct'!M453+'TB-Nov'!M453+'TB-Dec'!M453</f>
        <v>0</v>
      </c>
      <c r="N453" s="97">
        <f>'TB-Jan'!N453+'TB-Feb'!N453+'TB-Mar'!N453+'TB-Apr'!N453+'TB-May'!N453+'TB-Jun'!N453+'TB-Jul'!N453+'TB-Aug'!N453+'TB-Sep'!N453+'TB-Oct'!N453+'TB-Nov'!N453+'TB-Dec'!N453</f>
        <v>0</v>
      </c>
    </row>
    <row r="454" spans="1:14" hidden="1">
      <c r="A454" s="3" t="s">
        <v>864</v>
      </c>
      <c r="B454" s="4" t="s">
        <v>865</v>
      </c>
      <c r="C454" s="5">
        <f t="shared" si="13"/>
        <v>0</v>
      </c>
      <c r="D454" s="5"/>
      <c r="E454" s="6">
        <f t="shared" si="12"/>
        <v>0</v>
      </c>
      <c r="F454" s="6">
        <f t="shared" si="12"/>
        <v>0</v>
      </c>
      <c r="G454" s="94">
        <f>'TB-Jan'!G454+'TB-Feb'!G454+'TB-Mar'!G454+'TB-Apr'!G454+'TB-May'!G454+'TB-Jun'!G454+'TB-Jul'!G454+'TB-Aug'!G454+'TB-Sep'!G454+'TB-Oct'!G454+'TB-Nov'!G454+'TB-Dec'!G454</f>
        <v>0</v>
      </c>
      <c r="H454" s="94">
        <f>'TB-Jan'!H454+'TB-Feb'!H454+'TB-Mar'!H454+'TB-Apr'!H454+'TB-May'!H454+'TB-Jun'!H454+'TB-Jul'!H454+'TB-Aug'!H454+'TB-Sep'!H454+'TB-Oct'!H454+'TB-Nov'!H454+'TB-Dec'!H454</f>
        <v>0</v>
      </c>
      <c r="I454" s="95">
        <f>'TB-Jan'!I454+'TB-Feb'!I454+'TB-Mar'!I454+'TB-Apr'!I454+'TB-May'!I454+'TB-Jun'!I454+'TB-Jul'!I454+'TB-Aug'!I454+'TB-Sep'!I454+'TB-Oct'!I454+'TB-Nov'!I454+'TB-Dec'!I454</f>
        <v>0</v>
      </c>
      <c r="J454" s="95">
        <f>'TB-Jan'!J454+'TB-Feb'!J454+'TB-Mar'!J454+'TB-Apr'!J454+'TB-May'!J454+'TB-Jun'!J454+'TB-Jul'!J454+'TB-Aug'!J454+'TB-Sep'!J454+'TB-Oct'!J454+'TB-Nov'!J454+'TB-Dec'!J454</f>
        <v>0</v>
      </c>
      <c r="K454" s="96">
        <f>'TB-Jan'!K454+'TB-Feb'!K454+'TB-Mar'!K454+'TB-Apr'!K454+'TB-May'!K454+'TB-Jun'!K454+'TB-Jul'!K454+'TB-Aug'!K454+'TB-Sep'!K454+'TB-Oct'!K454+'TB-Nov'!K454+'TB-Dec'!K454</f>
        <v>0</v>
      </c>
      <c r="L454" s="96">
        <f>'TB-Jan'!L454+'TB-Feb'!L454+'TB-Mar'!L454+'TB-Apr'!L454+'TB-May'!L454+'TB-Jun'!L454+'TB-Jul'!L454+'TB-Aug'!L454+'TB-Sep'!L454+'TB-Oct'!L454+'TB-Nov'!L454+'TB-Dec'!L454</f>
        <v>0</v>
      </c>
      <c r="M454" s="97">
        <f>'TB-Jan'!M454+'TB-Feb'!M454+'TB-Mar'!M454+'TB-Apr'!M454+'TB-May'!M454+'TB-Jun'!M454+'TB-Jul'!M454+'TB-Aug'!M454+'TB-Sep'!M454+'TB-Oct'!M454+'TB-Nov'!M454+'TB-Dec'!M454</f>
        <v>0</v>
      </c>
      <c r="N454" s="97">
        <f>'TB-Jan'!N454+'TB-Feb'!N454+'TB-Mar'!N454+'TB-Apr'!N454+'TB-May'!N454+'TB-Jun'!N454+'TB-Jul'!N454+'TB-Aug'!N454+'TB-Sep'!N454+'TB-Oct'!N454+'TB-Nov'!N454+'TB-Dec'!N454</f>
        <v>0</v>
      </c>
    </row>
    <row r="455" spans="1:14" hidden="1">
      <c r="A455" s="3" t="s">
        <v>866</v>
      </c>
      <c r="B455" s="4" t="s">
        <v>867</v>
      </c>
      <c r="C455" s="5">
        <f t="shared" si="13"/>
        <v>0</v>
      </c>
      <c r="D455" s="5"/>
      <c r="E455" s="6">
        <f t="shared" si="12"/>
        <v>0</v>
      </c>
      <c r="F455" s="6">
        <f t="shared" si="12"/>
        <v>0</v>
      </c>
      <c r="G455" s="94">
        <f>'TB-Jan'!G455+'TB-Feb'!G455+'TB-Mar'!G455+'TB-Apr'!G455+'TB-May'!G455+'TB-Jun'!G455+'TB-Jul'!G455+'TB-Aug'!G455+'TB-Sep'!G455+'TB-Oct'!G455+'TB-Nov'!G455+'TB-Dec'!G455</f>
        <v>0</v>
      </c>
      <c r="H455" s="94">
        <f>'TB-Jan'!H455+'TB-Feb'!H455+'TB-Mar'!H455+'TB-Apr'!H455+'TB-May'!H455+'TB-Jun'!H455+'TB-Jul'!H455+'TB-Aug'!H455+'TB-Sep'!H455+'TB-Oct'!H455+'TB-Nov'!H455+'TB-Dec'!H455</f>
        <v>0</v>
      </c>
      <c r="I455" s="95">
        <f>'TB-Jan'!I455+'TB-Feb'!I455+'TB-Mar'!I455+'TB-Apr'!I455+'TB-May'!I455+'TB-Jun'!I455+'TB-Jul'!I455+'TB-Aug'!I455+'TB-Sep'!I455+'TB-Oct'!I455+'TB-Nov'!I455+'TB-Dec'!I455</f>
        <v>0</v>
      </c>
      <c r="J455" s="95">
        <f>'TB-Jan'!J455+'TB-Feb'!J455+'TB-Mar'!J455+'TB-Apr'!J455+'TB-May'!J455+'TB-Jun'!J455+'TB-Jul'!J455+'TB-Aug'!J455+'TB-Sep'!J455+'TB-Oct'!J455+'TB-Nov'!J455+'TB-Dec'!J455</f>
        <v>0</v>
      </c>
      <c r="K455" s="96">
        <f>'TB-Jan'!K455+'TB-Feb'!K455+'TB-Mar'!K455+'TB-Apr'!K455+'TB-May'!K455+'TB-Jun'!K455+'TB-Jul'!K455+'TB-Aug'!K455+'TB-Sep'!K455+'TB-Oct'!K455+'TB-Nov'!K455+'TB-Dec'!K455</f>
        <v>0</v>
      </c>
      <c r="L455" s="96">
        <f>'TB-Jan'!L455+'TB-Feb'!L455+'TB-Mar'!L455+'TB-Apr'!L455+'TB-May'!L455+'TB-Jun'!L455+'TB-Jul'!L455+'TB-Aug'!L455+'TB-Sep'!L455+'TB-Oct'!L455+'TB-Nov'!L455+'TB-Dec'!L455</f>
        <v>0</v>
      </c>
      <c r="M455" s="97">
        <f>'TB-Jan'!M455+'TB-Feb'!M455+'TB-Mar'!M455+'TB-Apr'!M455+'TB-May'!M455+'TB-Jun'!M455+'TB-Jul'!M455+'TB-Aug'!M455+'TB-Sep'!M455+'TB-Oct'!M455+'TB-Nov'!M455+'TB-Dec'!M455</f>
        <v>0</v>
      </c>
      <c r="N455" s="97">
        <f>'TB-Jan'!N455+'TB-Feb'!N455+'TB-Mar'!N455+'TB-Apr'!N455+'TB-May'!N455+'TB-Jun'!N455+'TB-Jul'!N455+'TB-Aug'!N455+'TB-Sep'!N455+'TB-Oct'!N455+'TB-Nov'!N455+'TB-Dec'!N455</f>
        <v>0</v>
      </c>
    </row>
    <row r="456" spans="1:14" hidden="1">
      <c r="A456" s="3" t="s">
        <v>868</v>
      </c>
      <c r="B456" s="4" t="s">
        <v>869</v>
      </c>
      <c r="C456" s="5">
        <f t="shared" si="13"/>
        <v>0</v>
      </c>
      <c r="D456" s="5"/>
      <c r="E456" s="6">
        <f t="shared" si="12"/>
        <v>0</v>
      </c>
      <c r="F456" s="6">
        <f t="shared" si="12"/>
        <v>0</v>
      </c>
      <c r="G456" s="94">
        <f>'TB-Jan'!G456+'TB-Feb'!G456+'TB-Mar'!G456+'TB-Apr'!G456+'TB-May'!G456+'TB-Jun'!G456+'TB-Jul'!G456+'TB-Aug'!G456+'TB-Sep'!G456+'TB-Oct'!G456+'TB-Nov'!G456+'TB-Dec'!G456</f>
        <v>0</v>
      </c>
      <c r="H456" s="94">
        <f>'TB-Jan'!H456+'TB-Feb'!H456+'TB-Mar'!H456+'TB-Apr'!H456+'TB-May'!H456+'TB-Jun'!H456+'TB-Jul'!H456+'TB-Aug'!H456+'TB-Sep'!H456+'TB-Oct'!H456+'TB-Nov'!H456+'TB-Dec'!H456</f>
        <v>0</v>
      </c>
      <c r="I456" s="95">
        <f>'TB-Jan'!I456+'TB-Feb'!I456+'TB-Mar'!I456+'TB-Apr'!I456+'TB-May'!I456+'TB-Jun'!I456+'TB-Jul'!I456+'TB-Aug'!I456+'TB-Sep'!I456+'TB-Oct'!I456+'TB-Nov'!I456+'TB-Dec'!I456</f>
        <v>0</v>
      </c>
      <c r="J456" s="95">
        <f>'TB-Jan'!J456+'TB-Feb'!J456+'TB-Mar'!J456+'TB-Apr'!J456+'TB-May'!J456+'TB-Jun'!J456+'TB-Jul'!J456+'TB-Aug'!J456+'TB-Sep'!J456+'TB-Oct'!J456+'TB-Nov'!J456+'TB-Dec'!J456</f>
        <v>0</v>
      </c>
      <c r="K456" s="96">
        <f>'TB-Jan'!K456+'TB-Feb'!K456+'TB-Mar'!K456+'TB-Apr'!K456+'TB-May'!K456+'TB-Jun'!K456+'TB-Jul'!K456+'TB-Aug'!K456+'TB-Sep'!K456+'TB-Oct'!K456+'TB-Nov'!K456+'TB-Dec'!K456</f>
        <v>0</v>
      </c>
      <c r="L456" s="96">
        <f>'TB-Jan'!L456+'TB-Feb'!L456+'TB-Mar'!L456+'TB-Apr'!L456+'TB-May'!L456+'TB-Jun'!L456+'TB-Jul'!L456+'TB-Aug'!L456+'TB-Sep'!L456+'TB-Oct'!L456+'TB-Nov'!L456+'TB-Dec'!L456</f>
        <v>0</v>
      </c>
      <c r="M456" s="97">
        <f>'TB-Jan'!M456+'TB-Feb'!M456+'TB-Mar'!M456+'TB-Apr'!M456+'TB-May'!M456+'TB-Jun'!M456+'TB-Jul'!M456+'TB-Aug'!M456+'TB-Sep'!M456+'TB-Oct'!M456+'TB-Nov'!M456+'TB-Dec'!M456</f>
        <v>0</v>
      </c>
      <c r="N456" s="97">
        <f>'TB-Jan'!N456+'TB-Feb'!N456+'TB-Mar'!N456+'TB-Apr'!N456+'TB-May'!N456+'TB-Jun'!N456+'TB-Jul'!N456+'TB-Aug'!N456+'TB-Sep'!N456+'TB-Oct'!N456+'TB-Nov'!N456+'TB-Dec'!N456</f>
        <v>0</v>
      </c>
    </row>
    <row r="457" spans="1:14" hidden="1">
      <c r="A457" s="3" t="s">
        <v>870</v>
      </c>
      <c r="B457" s="4" t="s">
        <v>871</v>
      </c>
      <c r="C457" s="5">
        <f t="shared" si="13"/>
        <v>0</v>
      </c>
      <c r="D457" s="5"/>
      <c r="E457" s="6">
        <f t="shared" si="12"/>
        <v>0</v>
      </c>
      <c r="F457" s="6">
        <f t="shared" si="12"/>
        <v>0</v>
      </c>
      <c r="G457" s="94">
        <f>'TB-Jan'!G457+'TB-Feb'!G457+'TB-Mar'!G457+'TB-Apr'!G457+'TB-May'!G457+'TB-Jun'!G457+'TB-Jul'!G457+'TB-Aug'!G457+'TB-Sep'!G457+'TB-Oct'!G457+'TB-Nov'!G457+'TB-Dec'!G457</f>
        <v>0</v>
      </c>
      <c r="H457" s="94">
        <f>'TB-Jan'!H457+'TB-Feb'!H457+'TB-Mar'!H457+'TB-Apr'!H457+'TB-May'!H457+'TB-Jun'!H457+'TB-Jul'!H457+'TB-Aug'!H457+'TB-Sep'!H457+'TB-Oct'!H457+'TB-Nov'!H457+'TB-Dec'!H457</f>
        <v>0</v>
      </c>
      <c r="I457" s="95">
        <f>'TB-Jan'!I457+'TB-Feb'!I457+'TB-Mar'!I457+'TB-Apr'!I457+'TB-May'!I457+'TB-Jun'!I457+'TB-Jul'!I457+'TB-Aug'!I457+'TB-Sep'!I457+'TB-Oct'!I457+'TB-Nov'!I457+'TB-Dec'!I457</f>
        <v>0</v>
      </c>
      <c r="J457" s="95">
        <f>'TB-Jan'!J457+'TB-Feb'!J457+'TB-Mar'!J457+'TB-Apr'!J457+'TB-May'!J457+'TB-Jun'!J457+'TB-Jul'!J457+'TB-Aug'!J457+'TB-Sep'!J457+'TB-Oct'!J457+'TB-Nov'!J457+'TB-Dec'!J457</f>
        <v>0</v>
      </c>
      <c r="K457" s="96">
        <f>'TB-Jan'!K457+'TB-Feb'!K457+'TB-Mar'!K457+'TB-Apr'!K457+'TB-May'!K457+'TB-Jun'!K457+'TB-Jul'!K457+'TB-Aug'!K457+'TB-Sep'!K457+'TB-Oct'!K457+'TB-Nov'!K457+'TB-Dec'!K457</f>
        <v>0</v>
      </c>
      <c r="L457" s="96">
        <f>'TB-Jan'!L457+'TB-Feb'!L457+'TB-Mar'!L457+'TB-Apr'!L457+'TB-May'!L457+'TB-Jun'!L457+'TB-Jul'!L457+'TB-Aug'!L457+'TB-Sep'!L457+'TB-Oct'!L457+'TB-Nov'!L457+'TB-Dec'!L457</f>
        <v>0</v>
      </c>
      <c r="M457" s="97">
        <f>'TB-Jan'!M457+'TB-Feb'!M457+'TB-Mar'!M457+'TB-Apr'!M457+'TB-May'!M457+'TB-Jun'!M457+'TB-Jul'!M457+'TB-Aug'!M457+'TB-Sep'!M457+'TB-Oct'!M457+'TB-Nov'!M457+'TB-Dec'!M457</f>
        <v>0</v>
      </c>
      <c r="N457" s="97">
        <f>'TB-Jan'!N457+'TB-Feb'!N457+'TB-Mar'!N457+'TB-Apr'!N457+'TB-May'!N457+'TB-Jun'!N457+'TB-Jul'!N457+'TB-Aug'!N457+'TB-Sep'!N457+'TB-Oct'!N457+'TB-Nov'!N457+'TB-Dec'!N457</f>
        <v>0</v>
      </c>
    </row>
    <row r="458" spans="1:14" hidden="1">
      <c r="A458" s="3" t="s">
        <v>872</v>
      </c>
      <c r="B458" s="4" t="s">
        <v>873</v>
      </c>
      <c r="C458" s="5">
        <f t="shared" si="13"/>
        <v>0</v>
      </c>
      <c r="D458" s="5"/>
      <c r="E458" s="6">
        <f t="shared" si="12"/>
        <v>0</v>
      </c>
      <c r="F458" s="6">
        <f t="shared" si="12"/>
        <v>0</v>
      </c>
      <c r="G458" s="94">
        <f>'TB-Jan'!G458+'TB-Feb'!G458+'TB-Mar'!G458+'TB-Apr'!G458+'TB-May'!G458+'TB-Jun'!G458+'TB-Jul'!G458+'TB-Aug'!G458+'TB-Sep'!G458+'TB-Oct'!G458+'TB-Nov'!G458+'TB-Dec'!G458</f>
        <v>0</v>
      </c>
      <c r="H458" s="94">
        <f>'TB-Jan'!H458+'TB-Feb'!H458+'TB-Mar'!H458+'TB-Apr'!H458+'TB-May'!H458+'TB-Jun'!H458+'TB-Jul'!H458+'TB-Aug'!H458+'TB-Sep'!H458+'TB-Oct'!H458+'TB-Nov'!H458+'TB-Dec'!H458</f>
        <v>0</v>
      </c>
      <c r="I458" s="95">
        <f>'TB-Jan'!I458+'TB-Feb'!I458+'TB-Mar'!I458+'TB-Apr'!I458+'TB-May'!I458+'TB-Jun'!I458+'TB-Jul'!I458+'TB-Aug'!I458+'TB-Sep'!I458+'TB-Oct'!I458+'TB-Nov'!I458+'TB-Dec'!I458</f>
        <v>0</v>
      </c>
      <c r="J458" s="95">
        <f>'TB-Jan'!J458+'TB-Feb'!J458+'TB-Mar'!J458+'TB-Apr'!J458+'TB-May'!J458+'TB-Jun'!J458+'TB-Jul'!J458+'TB-Aug'!J458+'TB-Sep'!J458+'TB-Oct'!J458+'TB-Nov'!J458+'TB-Dec'!J458</f>
        <v>0</v>
      </c>
      <c r="K458" s="96">
        <f>'TB-Jan'!K458+'TB-Feb'!K458+'TB-Mar'!K458+'TB-Apr'!K458+'TB-May'!K458+'TB-Jun'!K458+'TB-Jul'!K458+'TB-Aug'!K458+'TB-Sep'!K458+'TB-Oct'!K458+'TB-Nov'!K458+'TB-Dec'!K458</f>
        <v>0</v>
      </c>
      <c r="L458" s="96">
        <f>'TB-Jan'!L458+'TB-Feb'!L458+'TB-Mar'!L458+'TB-Apr'!L458+'TB-May'!L458+'TB-Jun'!L458+'TB-Jul'!L458+'TB-Aug'!L458+'TB-Sep'!L458+'TB-Oct'!L458+'TB-Nov'!L458+'TB-Dec'!L458</f>
        <v>0</v>
      </c>
      <c r="M458" s="97">
        <f>'TB-Jan'!M458+'TB-Feb'!M458+'TB-Mar'!M458+'TB-Apr'!M458+'TB-May'!M458+'TB-Jun'!M458+'TB-Jul'!M458+'TB-Aug'!M458+'TB-Sep'!M458+'TB-Oct'!M458+'TB-Nov'!M458+'TB-Dec'!M458</f>
        <v>0</v>
      </c>
      <c r="N458" s="97">
        <f>'TB-Jan'!N458+'TB-Feb'!N458+'TB-Mar'!N458+'TB-Apr'!N458+'TB-May'!N458+'TB-Jun'!N458+'TB-Jul'!N458+'TB-Aug'!N458+'TB-Sep'!N458+'TB-Oct'!N458+'TB-Nov'!N458+'TB-Dec'!N458</f>
        <v>0</v>
      </c>
    </row>
    <row r="459" spans="1:14" s="67" customFormat="1" ht="15" hidden="1">
      <c r="A459" s="3" t="s">
        <v>874</v>
      </c>
      <c r="B459" s="4" t="s">
        <v>875</v>
      </c>
      <c r="C459" s="5">
        <f t="shared" si="13"/>
        <v>0</v>
      </c>
      <c r="D459" s="5"/>
      <c r="E459" s="6">
        <f t="shared" si="12"/>
        <v>0</v>
      </c>
      <c r="F459" s="6">
        <f t="shared" si="12"/>
        <v>0</v>
      </c>
      <c r="G459" s="94">
        <f>'TB-Jan'!G459+'TB-Feb'!G459+'TB-Mar'!G459+'TB-Apr'!G459+'TB-May'!G459+'TB-Jun'!G459+'TB-Jul'!G459+'TB-Aug'!G459+'TB-Sep'!G459+'TB-Oct'!G459+'TB-Nov'!G459+'TB-Dec'!G459</f>
        <v>0</v>
      </c>
      <c r="H459" s="94">
        <f>'TB-Jan'!H459+'TB-Feb'!H459+'TB-Mar'!H459+'TB-Apr'!H459+'TB-May'!H459+'TB-Jun'!H459+'TB-Jul'!H459+'TB-Aug'!H459+'TB-Sep'!H459+'TB-Oct'!H459+'TB-Nov'!H459+'TB-Dec'!H459</f>
        <v>0</v>
      </c>
      <c r="I459" s="95">
        <f>'TB-Jan'!I459+'TB-Feb'!I459+'TB-Mar'!I459+'TB-Apr'!I459+'TB-May'!I459+'TB-Jun'!I459+'TB-Jul'!I459+'TB-Aug'!I459+'TB-Sep'!I459+'TB-Oct'!I459+'TB-Nov'!I459+'TB-Dec'!I459</f>
        <v>0</v>
      </c>
      <c r="J459" s="95">
        <f>'TB-Jan'!J459+'TB-Feb'!J459+'TB-Mar'!J459+'TB-Apr'!J459+'TB-May'!J459+'TB-Jun'!J459+'TB-Jul'!J459+'TB-Aug'!J459+'TB-Sep'!J459+'TB-Oct'!J459+'TB-Nov'!J459+'TB-Dec'!J459</f>
        <v>0</v>
      </c>
      <c r="K459" s="96">
        <f>'TB-Jan'!K459+'TB-Feb'!K459+'TB-Mar'!K459+'TB-Apr'!K459+'TB-May'!K459+'TB-Jun'!K459+'TB-Jul'!K459+'TB-Aug'!K459+'TB-Sep'!K459+'TB-Oct'!K459+'TB-Nov'!K459+'TB-Dec'!K459</f>
        <v>0</v>
      </c>
      <c r="L459" s="96">
        <f>'TB-Jan'!L459+'TB-Feb'!L459+'TB-Mar'!L459+'TB-Apr'!L459+'TB-May'!L459+'TB-Jun'!L459+'TB-Jul'!L459+'TB-Aug'!L459+'TB-Sep'!L459+'TB-Oct'!L459+'TB-Nov'!L459+'TB-Dec'!L459</f>
        <v>0</v>
      </c>
      <c r="M459" s="97">
        <f>'TB-Jan'!M459+'TB-Feb'!M459+'TB-Mar'!M459+'TB-Apr'!M459+'TB-May'!M459+'TB-Jun'!M459+'TB-Jul'!M459+'TB-Aug'!M459+'TB-Sep'!M459+'TB-Oct'!M459+'TB-Nov'!M459+'TB-Dec'!M459</f>
        <v>0</v>
      </c>
      <c r="N459" s="97">
        <f>'TB-Jan'!N459+'TB-Feb'!N459+'TB-Mar'!N459+'TB-Apr'!N459+'TB-May'!N459+'TB-Jun'!N459+'TB-Jul'!N459+'TB-Aug'!N459+'TB-Sep'!N459+'TB-Oct'!N459+'TB-Nov'!N459+'TB-Dec'!N459</f>
        <v>0</v>
      </c>
    </row>
    <row r="460" spans="1:14" hidden="1">
      <c r="A460" s="3" t="s">
        <v>876</v>
      </c>
      <c r="B460" s="4" t="s">
        <v>877</v>
      </c>
      <c r="C460" s="5">
        <f t="shared" si="13"/>
        <v>0</v>
      </c>
      <c r="D460" s="5"/>
      <c r="E460" s="6">
        <f t="shared" si="12"/>
        <v>0</v>
      </c>
      <c r="F460" s="6">
        <f t="shared" si="12"/>
        <v>0</v>
      </c>
      <c r="G460" s="94">
        <f>'TB-Jan'!G460+'TB-Feb'!G460+'TB-Mar'!G460+'TB-Apr'!G460+'TB-May'!G460+'TB-Jun'!G460+'TB-Jul'!G460+'TB-Aug'!G460+'TB-Sep'!G460+'TB-Oct'!G460+'TB-Nov'!G460+'TB-Dec'!G460</f>
        <v>0</v>
      </c>
      <c r="H460" s="94">
        <f>'TB-Jan'!H460+'TB-Feb'!H460+'TB-Mar'!H460+'TB-Apr'!H460+'TB-May'!H460+'TB-Jun'!H460+'TB-Jul'!H460+'TB-Aug'!H460+'TB-Sep'!H460+'TB-Oct'!H460+'TB-Nov'!H460+'TB-Dec'!H460</f>
        <v>0</v>
      </c>
      <c r="I460" s="95">
        <f>'TB-Jan'!I460+'TB-Feb'!I460+'TB-Mar'!I460+'TB-Apr'!I460+'TB-May'!I460+'TB-Jun'!I460+'TB-Jul'!I460+'TB-Aug'!I460+'TB-Sep'!I460+'TB-Oct'!I460+'TB-Nov'!I460+'TB-Dec'!I460</f>
        <v>0</v>
      </c>
      <c r="J460" s="95">
        <f>'TB-Jan'!J460+'TB-Feb'!J460+'TB-Mar'!J460+'TB-Apr'!J460+'TB-May'!J460+'TB-Jun'!J460+'TB-Jul'!J460+'TB-Aug'!J460+'TB-Sep'!J460+'TB-Oct'!J460+'TB-Nov'!J460+'TB-Dec'!J460</f>
        <v>0</v>
      </c>
      <c r="K460" s="96">
        <f>'TB-Jan'!K460+'TB-Feb'!K460+'TB-Mar'!K460+'TB-Apr'!K460+'TB-May'!K460+'TB-Jun'!K460+'TB-Jul'!K460+'TB-Aug'!K460+'TB-Sep'!K460+'TB-Oct'!K460+'TB-Nov'!K460+'TB-Dec'!K460</f>
        <v>0</v>
      </c>
      <c r="L460" s="96">
        <f>'TB-Jan'!L460+'TB-Feb'!L460+'TB-Mar'!L460+'TB-Apr'!L460+'TB-May'!L460+'TB-Jun'!L460+'TB-Jul'!L460+'TB-Aug'!L460+'TB-Sep'!L460+'TB-Oct'!L460+'TB-Nov'!L460+'TB-Dec'!L460</f>
        <v>0</v>
      </c>
      <c r="M460" s="97">
        <f>'TB-Jan'!M460+'TB-Feb'!M460+'TB-Mar'!M460+'TB-Apr'!M460+'TB-May'!M460+'TB-Jun'!M460+'TB-Jul'!M460+'TB-Aug'!M460+'TB-Sep'!M460+'TB-Oct'!M460+'TB-Nov'!M460+'TB-Dec'!M460</f>
        <v>0</v>
      </c>
      <c r="N460" s="97">
        <f>'TB-Jan'!N460+'TB-Feb'!N460+'TB-Mar'!N460+'TB-Apr'!N460+'TB-May'!N460+'TB-Jun'!N460+'TB-Jul'!N460+'TB-Aug'!N460+'TB-Sep'!N460+'TB-Oct'!N460+'TB-Nov'!N460+'TB-Dec'!N460</f>
        <v>0</v>
      </c>
    </row>
    <row r="461" spans="1:14" s="1" customFormat="1" hidden="1">
      <c r="A461" s="3" t="s">
        <v>878</v>
      </c>
      <c r="B461" s="4" t="s">
        <v>879</v>
      </c>
      <c r="C461" s="5">
        <f t="shared" si="13"/>
        <v>0</v>
      </c>
      <c r="D461" s="5"/>
      <c r="E461" s="6">
        <f t="shared" si="12"/>
        <v>0</v>
      </c>
      <c r="F461" s="6">
        <f t="shared" si="12"/>
        <v>0</v>
      </c>
      <c r="G461" s="94">
        <f>'TB-Jan'!G461+'TB-Feb'!G461+'TB-Mar'!G461+'TB-Apr'!G461+'TB-May'!G461+'TB-Jun'!G461+'TB-Jul'!G461+'TB-Aug'!G461+'TB-Sep'!G461+'TB-Oct'!G461+'TB-Nov'!G461+'TB-Dec'!G461</f>
        <v>0</v>
      </c>
      <c r="H461" s="94">
        <f>'TB-Jan'!H461+'TB-Feb'!H461+'TB-Mar'!H461+'TB-Apr'!H461+'TB-May'!H461+'TB-Jun'!H461+'TB-Jul'!H461+'TB-Aug'!H461+'TB-Sep'!H461+'TB-Oct'!H461+'TB-Nov'!H461+'TB-Dec'!H461</f>
        <v>0</v>
      </c>
      <c r="I461" s="95">
        <f>'TB-Jan'!I461+'TB-Feb'!I461+'TB-Mar'!I461+'TB-Apr'!I461+'TB-May'!I461+'TB-Jun'!I461+'TB-Jul'!I461+'TB-Aug'!I461+'TB-Sep'!I461+'TB-Oct'!I461+'TB-Nov'!I461+'TB-Dec'!I461</f>
        <v>0</v>
      </c>
      <c r="J461" s="95">
        <f>'TB-Jan'!J461+'TB-Feb'!J461+'TB-Mar'!J461+'TB-Apr'!J461+'TB-May'!J461+'TB-Jun'!J461+'TB-Jul'!J461+'TB-Aug'!J461+'TB-Sep'!J461+'TB-Oct'!J461+'TB-Nov'!J461+'TB-Dec'!J461</f>
        <v>0</v>
      </c>
      <c r="K461" s="96">
        <f>'TB-Jan'!K461+'TB-Feb'!K461+'TB-Mar'!K461+'TB-Apr'!K461+'TB-May'!K461+'TB-Jun'!K461+'TB-Jul'!K461+'TB-Aug'!K461+'TB-Sep'!K461+'TB-Oct'!K461+'TB-Nov'!K461+'TB-Dec'!K461</f>
        <v>0</v>
      </c>
      <c r="L461" s="96">
        <f>'TB-Jan'!L461+'TB-Feb'!L461+'TB-Mar'!L461+'TB-Apr'!L461+'TB-May'!L461+'TB-Jun'!L461+'TB-Jul'!L461+'TB-Aug'!L461+'TB-Sep'!L461+'TB-Oct'!L461+'TB-Nov'!L461+'TB-Dec'!L461</f>
        <v>0</v>
      </c>
      <c r="M461" s="97">
        <f>'TB-Jan'!M461+'TB-Feb'!M461+'TB-Mar'!M461+'TB-Apr'!M461+'TB-May'!M461+'TB-Jun'!M461+'TB-Jul'!M461+'TB-Aug'!M461+'TB-Sep'!M461+'TB-Oct'!M461+'TB-Nov'!M461+'TB-Dec'!M461</f>
        <v>0</v>
      </c>
      <c r="N461" s="97">
        <f>'TB-Jan'!N461+'TB-Feb'!N461+'TB-Mar'!N461+'TB-Apr'!N461+'TB-May'!N461+'TB-Jun'!N461+'TB-Jul'!N461+'TB-Aug'!N461+'TB-Sep'!N461+'TB-Oct'!N461+'TB-Nov'!N461+'TB-Dec'!N461</f>
        <v>0</v>
      </c>
    </row>
    <row r="462" spans="1:14" ht="17.25">
      <c r="A462" s="13" t="s">
        <v>880</v>
      </c>
      <c r="B462" s="14"/>
      <c r="C462" s="15">
        <f>SUM(C13:C461)</f>
        <v>254893227.01999992</v>
      </c>
      <c r="D462" s="15">
        <f>SUM(D13:D461)</f>
        <v>254893227.02000001</v>
      </c>
      <c r="E462" s="16">
        <f>SUM(E13:E461)</f>
        <v>367553159.72999996</v>
      </c>
      <c r="F462" s="16">
        <f>SUM(F13:F461)</f>
        <v>367553159.73000002</v>
      </c>
      <c r="G462" s="98">
        <f>SUM(G13:G461)</f>
        <v>252664585.48999992</v>
      </c>
      <c r="H462" s="98">
        <f t="shared" ref="H462:N462" si="14">SUM(H13:H461)</f>
        <v>252664585.48999998</v>
      </c>
      <c r="I462" s="72">
        <f t="shared" si="14"/>
        <v>5450891.3799999999</v>
      </c>
      <c r="J462" s="72">
        <f t="shared" si="14"/>
        <v>5450891.3799999999</v>
      </c>
      <c r="K462" s="73">
        <f t="shared" si="14"/>
        <v>89890351.629999995</v>
      </c>
      <c r="L462" s="73">
        <f t="shared" si="14"/>
        <v>89890351.63000001</v>
      </c>
      <c r="M462" s="74">
        <f t="shared" si="14"/>
        <v>19547331.23</v>
      </c>
      <c r="N462" s="74">
        <f t="shared" si="14"/>
        <v>19547331.23</v>
      </c>
    </row>
    <row r="463" spans="1:14" hidden="1">
      <c r="A463" s="17" t="s">
        <v>881</v>
      </c>
      <c r="B463" s="18"/>
    </row>
    <row r="464" spans="1:14" hidden="1">
      <c r="A464" s="20" t="s">
        <v>882</v>
      </c>
      <c r="B464" s="21"/>
    </row>
    <row r="465" spans="1:14" hidden="1">
      <c r="A465" s="20" t="s">
        <v>883</v>
      </c>
      <c r="B465" s="21"/>
    </row>
    <row r="466" spans="1:14" hidden="1">
      <c r="A466" s="22" t="s">
        <v>884</v>
      </c>
      <c r="B466" s="21"/>
    </row>
    <row r="467" spans="1:14" hidden="1">
      <c r="A467" s="22" t="s">
        <v>885</v>
      </c>
      <c r="B467" s="21"/>
    </row>
    <row r="468" spans="1:14" hidden="1">
      <c r="A468" s="20" t="s">
        <v>886</v>
      </c>
      <c r="B468" s="21"/>
    </row>
    <row r="469" spans="1:14" hidden="1">
      <c r="A469" s="20" t="s">
        <v>887</v>
      </c>
      <c r="B469" s="21"/>
    </row>
    <row r="470" spans="1:14" hidden="1">
      <c r="A470" s="20" t="s">
        <v>888</v>
      </c>
      <c r="B470" s="21"/>
    </row>
    <row r="471" spans="1:14" hidden="1">
      <c r="A471" s="22" t="s">
        <v>889</v>
      </c>
      <c r="B471" s="21"/>
    </row>
    <row r="472" spans="1:14" hidden="1">
      <c r="A472" s="22" t="s">
        <v>890</v>
      </c>
      <c r="B472" s="21"/>
    </row>
    <row r="473" spans="1:14" hidden="1">
      <c r="A473" s="20" t="s">
        <v>891</v>
      </c>
      <c r="B473" s="21"/>
    </row>
    <row r="474" spans="1:14" hidden="1">
      <c r="A474" s="20" t="s">
        <v>892</v>
      </c>
      <c r="B474" s="21"/>
    </row>
    <row r="475" spans="1:14" hidden="1">
      <c r="A475" s="23"/>
      <c r="B475" s="24"/>
      <c r="D475" s="19">
        <f>D462-C462</f>
        <v>0</v>
      </c>
      <c r="F475" s="19">
        <f>F462-E462</f>
        <v>0</v>
      </c>
      <c r="H475" s="19">
        <f>H462-G462</f>
        <v>0</v>
      </c>
      <c r="J475" s="19">
        <f>J462-I462</f>
        <v>0</v>
      </c>
      <c r="L475" s="19">
        <f>L462-K462</f>
        <v>0</v>
      </c>
      <c r="N475" s="19">
        <f>N462-M462</f>
        <v>0</v>
      </c>
    </row>
    <row r="476" spans="1:14">
      <c r="A476" s="23"/>
      <c r="B476" s="24"/>
    </row>
    <row r="477" spans="1:14">
      <c r="A477" s="23"/>
      <c r="B477" s="24"/>
    </row>
    <row r="478" spans="1:14">
      <c r="A478" s="23"/>
      <c r="B478" s="24"/>
    </row>
    <row r="479" spans="1:14">
      <c r="A479" s="23"/>
      <c r="B479" s="24"/>
    </row>
    <row r="480" spans="1:14">
      <c r="A480" s="23"/>
      <c r="B480" s="24"/>
    </row>
    <row r="481" spans="1:5">
      <c r="A481" s="23"/>
      <c r="B481" s="75" t="s">
        <v>893</v>
      </c>
    </row>
    <row r="482" spans="1:5">
      <c r="A482" s="23"/>
      <c r="B482" s="24"/>
    </row>
    <row r="483" spans="1:5">
      <c r="A483" s="23"/>
      <c r="B483" s="24"/>
    </row>
    <row r="484" spans="1:5" ht="15">
      <c r="A484" s="23"/>
      <c r="B484" s="269" t="s">
        <v>2312</v>
      </c>
      <c r="C484" s="269"/>
      <c r="D484" s="269"/>
      <c r="E484" s="269"/>
    </row>
    <row r="485" spans="1:5">
      <c r="A485" s="23"/>
      <c r="B485" s="270" t="s">
        <v>983</v>
      </c>
      <c r="C485" s="270"/>
      <c r="D485" s="270"/>
      <c r="E485" s="270"/>
    </row>
    <row r="486" spans="1:5">
      <c r="A486" s="23"/>
      <c r="B486" s="24"/>
    </row>
  </sheetData>
  <mergeCells count="30">
    <mergeCell ref="D11:D12"/>
    <mergeCell ref="G9:H10"/>
    <mergeCell ref="I9:J10"/>
    <mergeCell ref="K9:L10"/>
    <mergeCell ref="M9:N10"/>
    <mergeCell ref="K11:K12"/>
    <mergeCell ref="L11:L12"/>
    <mergeCell ref="M11:M12"/>
    <mergeCell ref="N11:N12"/>
    <mergeCell ref="F11:F12"/>
    <mergeCell ref="G11:G12"/>
    <mergeCell ref="H11:H12"/>
    <mergeCell ref="I11:I12"/>
    <mergeCell ref="J11:J12"/>
    <mergeCell ref="B484:E484"/>
    <mergeCell ref="B485:E485"/>
    <mergeCell ref="A6:D6"/>
    <mergeCell ref="A1:D1"/>
    <mergeCell ref="A2:D2"/>
    <mergeCell ref="A3:D3"/>
    <mergeCell ref="A4:D4"/>
    <mergeCell ref="A5:D5"/>
    <mergeCell ref="A7:D7"/>
    <mergeCell ref="A8:D8"/>
    <mergeCell ref="E9:F10"/>
    <mergeCell ref="E11:E12"/>
    <mergeCell ref="C10:D10"/>
    <mergeCell ref="A11:A12"/>
    <mergeCell ref="B11:B12"/>
    <mergeCell ref="C11:C12"/>
  </mergeCells>
  <printOptions horizontalCentered="1"/>
  <pageMargins left="0.75" right="0.75" top="1" bottom="1" header="0.5" footer="0.5"/>
  <pageSetup paperSize="256" scale="90" orientation="portrait" horizontalDpi="4294967293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0B050"/>
  </sheetPr>
  <dimension ref="A1:AB289"/>
  <sheetViews>
    <sheetView topLeftCell="A237" workbookViewId="0">
      <selection activeCell="L278" sqref="L278"/>
    </sheetView>
  </sheetViews>
  <sheetFormatPr defaultRowHeight="15.75" customHeight="1" outlineLevelRow="3"/>
  <cols>
    <col min="1" max="2" width="1.28515625" style="76" customWidth="1"/>
    <col min="3" max="3" width="1.7109375" style="76" customWidth="1"/>
    <col min="4" max="4" width="66.7109375" style="76" customWidth="1"/>
    <col min="5" max="7" width="16.7109375" style="76" hidden="1" customWidth="1"/>
    <col min="8" max="8" width="15" style="76" hidden="1" customWidth="1"/>
    <col min="9" max="9" width="20.140625" style="76" hidden="1" customWidth="1"/>
    <col min="10" max="11" width="16.7109375" style="76" hidden="1" customWidth="1"/>
    <col min="12" max="12" width="16.7109375" style="76" customWidth="1"/>
    <col min="13" max="16" width="16.7109375" style="76" hidden="1" customWidth="1"/>
    <col min="17" max="17" width="15.5703125" style="76" hidden="1" customWidth="1"/>
    <col min="18" max="18" width="16.5703125" style="76" hidden="1" customWidth="1"/>
    <col min="19" max="19" width="12.85546875" style="76" hidden="1" customWidth="1"/>
    <col min="20" max="20" width="15" style="76" hidden="1" customWidth="1"/>
    <col min="21" max="22" width="12.85546875" style="76" hidden="1" customWidth="1"/>
    <col min="23" max="23" width="13.5703125" style="76" hidden="1" customWidth="1"/>
    <col min="24" max="24" width="14" style="76" hidden="1" customWidth="1"/>
    <col min="25" max="25" width="14.5703125" style="76" hidden="1" customWidth="1"/>
    <col min="26" max="26" width="12.85546875" style="76" hidden="1" customWidth="1"/>
    <col min="27" max="27" width="13.85546875" style="76" hidden="1" customWidth="1"/>
    <col min="28" max="28" width="14" style="76" hidden="1" customWidth="1"/>
    <col min="29" max="29" width="9.140625" style="76" customWidth="1"/>
    <col min="30" max="263" width="9.140625" style="76"/>
    <col min="264" max="265" width="1.28515625" style="76" customWidth="1"/>
    <col min="266" max="266" width="1.7109375" style="76" customWidth="1"/>
    <col min="267" max="267" width="60.7109375" style="76" customWidth="1"/>
    <col min="268" max="268" width="0" style="76" hidden="1" customWidth="1"/>
    <col min="269" max="269" width="16.7109375" style="76" customWidth="1"/>
    <col min="270" max="271" width="0" style="76" hidden="1" customWidth="1"/>
    <col min="272" max="272" width="9.140625" style="76"/>
    <col min="273" max="273" width="13.85546875" style="76" customWidth="1"/>
    <col min="274" max="519" width="9.140625" style="76"/>
    <col min="520" max="521" width="1.28515625" style="76" customWidth="1"/>
    <col min="522" max="522" width="1.7109375" style="76" customWidth="1"/>
    <col min="523" max="523" width="60.7109375" style="76" customWidth="1"/>
    <col min="524" max="524" width="0" style="76" hidden="1" customWidth="1"/>
    <col min="525" max="525" width="16.7109375" style="76" customWidth="1"/>
    <col min="526" max="527" width="0" style="76" hidden="1" customWidth="1"/>
    <col min="528" max="528" width="9.140625" style="76"/>
    <col min="529" max="529" width="13.85546875" style="76" customWidth="1"/>
    <col min="530" max="775" width="9.140625" style="76"/>
    <col min="776" max="777" width="1.28515625" style="76" customWidth="1"/>
    <col min="778" max="778" width="1.7109375" style="76" customWidth="1"/>
    <col min="779" max="779" width="60.7109375" style="76" customWidth="1"/>
    <col min="780" max="780" width="0" style="76" hidden="1" customWidth="1"/>
    <col min="781" max="781" width="16.7109375" style="76" customWidth="1"/>
    <col min="782" max="783" width="0" style="76" hidden="1" customWidth="1"/>
    <col min="784" max="784" width="9.140625" style="76"/>
    <col min="785" max="785" width="13.85546875" style="76" customWidth="1"/>
    <col min="786" max="1031" width="9.140625" style="76"/>
    <col min="1032" max="1033" width="1.28515625" style="76" customWidth="1"/>
    <col min="1034" max="1034" width="1.7109375" style="76" customWidth="1"/>
    <col min="1035" max="1035" width="60.7109375" style="76" customWidth="1"/>
    <col min="1036" max="1036" width="0" style="76" hidden="1" customWidth="1"/>
    <col min="1037" max="1037" width="16.7109375" style="76" customWidth="1"/>
    <col min="1038" max="1039" width="0" style="76" hidden="1" customWidth="1"/>
    <col min="1040" max="1040" width="9.140625" style="76"/>
    <col min="1041" max="1041" width="13.85546875" style="76" customWidth="1"/>
    <col min="1042" max="1287" width="9.140625" style="76"/>
    <col min="1288" max="1289" width="1.28515625" style="76" customWidth="1"/>
    <col min="1290" max="1290" width="1.7109375" style="76" customWidth="1"/>
    <col min="1291" max="1291" width="60.7109375" style="76" customWidth="1"/>
    <col min="1292" max="1292" width="0" style="76" hidden="1" customWidth="1"/>
    <col min="1293" max="1293" width="16.7109375" style="76" customWidth="1"/>
    <col min="1294" max="1295" width="0" style="76" hidden="1" customWidth="1"/>
    <col min="1296" max="1296" width="9.140625" style="76"/>
    <col min="1297" max="1297" width="13.85546875" style="76" customWidth="1"/>
    <col min="1298" max="1543" width="9.140625" style="76"/>
    <col min="1544" max="1545" width="1.28515625" style="76" customWidth="1"/>
    <col min="1546" max="1546" width="1.7109375" style="76" customWidth="1"/>
    <col min="1547" max="1547" width="60.7109375" style="76" customWidth="1"/>
    <col min="1548" max="1548" width="0" style="76" hidden="1" customWidth="1"/>
    <col min="1549" max="1549" width="16.7109375" style="76" customWidth="1"/>
    <col min="1550" max="1551" width="0" style="76" hidden="1" customWidth="1"/>
    <col min="1552" max="1552" width="9.140625" style="76"/>
    <col min="1553" max="1553" width="13.85546875" style="76" customWidth="1"/>
    <col min="1554" max="1799" width="9.140625" style="76"/>
    <col min="1800" max="1801" width="1.28515625" style="76" customWidth="1"/>
    <col min="1802" max="1802" width="1.7109375" style="76" customWidth="1"/>
    <col min="1803" max="1803" width="60.7109375" style="76" customWidth="1"/>
    <col min="1804" max="1804" width="0" style="76" hidden="1" customWidth="1"/>
    <col min="1805" max="1805" width="16.7109375" style="76" customWidth="1"/>
    <col min="1806" max="1807" width="0" style="76" hidden="1" customWidth="1"/>
    <col min="1808" max="1808" width="9.140625" style="76"/>
    <col min="1809" max="1809" width="13.85546875" style="76" customWidth="1"/>
    <col min="1810" max="2055" width="9.140625" style="76"/>
    <col min="2056" max="2057" width="1.28515625" style="76" customWidth="1"/>
    <col min="2058" max="2058" width="1.7109375" style="76" customWidth="1"/>
    <col min="2059" max="2059" width="60.7109375" style="76" customWidth="1"/>
    <col min="2060" max="2060" width="0" style="76" hidden="1" customWidth="1"/>
    <col min="2061" max="2061" width="16.7109375" style="76" customWidth="1"/>
    <col min="2062" max="2063" width="0" style="76" hidden="1" customWidth="1"/>
    <col min="2064" max="2064" width="9.140625" style="76"/>
    <col min="2065" max="2065" width="13.85546875" style="76" customWidth="1"/>
    <col min="2066" max="2311" width="9.140625" style="76"/>
    <col min="2312" max="2313" width="1.28515625" style="76" customWidth="1"/>
    <col min="2314" max="2314" width="1.7109375" style="76" customWidth="1"/>
    <col min="2315" max="2315" width="60.7109375" style="76" customWidth="1"/>
    <col min="2316" max="2316" width="0" style="76" hidden="1" customWidth="1"/>
    <col min="2317" max="2317" width="16.7109375" style="76" customWidth="1"/>
    <col min="2318" max="2319" width="0" style="76" hidden="1" customWidth="1"/>
    <col min="2320" max="2320" width="9.140625" style="76"/>
    <col min="2321" max="2321" width="13.85546875" style="76" customWidth="1"/>
    <col min="2322" max="2567" width="9.140625" style="76"/>
    <col min="2568" max="2569" width="1.28515625" style="76" customWidth="1"/>
    <col min="2570" max="2570" width="1.7109375" style="76" customWidth="1"/>
    <col min="2571" max="2571" width="60.7109375" style="76" customWidth="1"/>
    <col min="2572" max="2572" width="0" style="76" hidden="1" customWidth="1"/>
    <col min="2573" max="2573" width="16.7109375" style="76" customWidth="1"/>
    <col min="2574" max="2575" width="0" style="76" hidden="1" customWidth="1"/>
    <col min="2576" max="2576" width="9.140625" style="76"/>
    <col min="2577" max="2577" width="13.85546875" style="76" customWidth="1"/>
    <col min="2578" max="2823" width="9.140625" style="76"/>
    <col min="2824" max="2825" width="1.28515625" style="76" customWidth="1"/>
    <col min="2826" max="2826" width="1.7109375" style="76" customWidth="1"/>
    <col min="2827" max="2827" width="60.7109375" style="76" customWidth="1"/>
    <col min="2828" max="2828" width="0" style="76" hidden="1" customWidth="1"/>
    <col min="2829" max="2829" width="16.7109375" style="76" customWidth="1"/>
    <col min="2830" max="2831" width="0" style="76" hidden="1" customWidth="1"/>
    <col min="2832" max="2832" width="9.140625" style="76"/>
    <col min="2833" max="2833" width="13.85546875" style="76" customWidth="1"/>
    <col min="2834" max="3079" width="9.140625" style="76"/>
    <col min="3080" max="3081" width="1.28515625" style="76" customWidth="1"/>
    <col min="3082" max="3082" width="1.7109375" style="76" customWidth="1"/>
    <col min="3083" max="3083" width="60.7109375" style="76" customWidth="1"/>
    <col min="3084" max="3084" width="0" style="76" hidden="1" customWidth="1"/>
    <col min="3085" max="3085" width="16.7109375" style="76" customWidth="1"/>
    <col min="3086" max="3087" width="0" style="76" hidden="1" customWidth="1"/>
    <col min="3088" max="3088" width="9.140625" style="76"/>
    <col min="3089" max="3089" width="13.85546875" style="76" customWidth="1"/>
    <col min="3090" max="3335" width="9.140625" style="76"/>
    <col min="3336" max="3337" width="1.28515625" style="76" customWidth="1"/>
    <col min="3338" max="3338" width="1.7109375" style="76" customWidth="1"/>
    <col min="3339" max="3339" width="60.7109375" style="76" customWidth="1"/>
    <col min="3340" max="3340" width="0" style="76" hidden="1" customWidth="1"/>
    <col min="3341" max="3341" width="16.7109375" style="76" customWidth="1"/>
    <col min="3342" max="3343" width="0" style="76" hidden="1" customWidth="1"/>
    <col min="3344" max="3344" width="9.140625" style="76"/>
    <col min="3345" max="3345" width="13.85546875" style="76" customWidth="1"/>
    <col min="3346" max="3591" width="9.140625" style="76"/>
    <col min="3592" max="3593" width="1.28515625" style="76" customWidth="1"/>
    <col min="3594" max="3594" width="1.7109375" style="76" customWidth="1"/>
    <col min="3595" max="3595" width="60.7109375" style="76" customWidth="1"/>
    <col min="3596" max="3596" width="0" style="76" hidden="1" customWidth="1"/>
    <col min="3597" max="3597" width="16.7109375" style="76" customWidth="1"/>
    <col min="3598" max="3599" width="0" style="76" hidden="1" customWidth="1"/>
    <col min="3600" max="3600" width="9.140625" style="76"/>
    <col min="3601" max="3601" width="13.85546875" style="76" customWidth="1"/>
    <col min="3602" max="3847" width="9.140625" style="76"/>
    <col min="3848" max="3849" width="1.28515625" style="76" customWidth="1"/>
    <col min="3850" max="3850" width="1.7109375" style="76" customWidth="1"/>
    <col min="3851" max="3851" width="60.7109375" style="76" customWidth="1"/>
    <col min="3852" max="3852" width="0" style="76" hidden="1" customWidth="1"/>
    <col min="3853" max="3853" width="16.7109375" style="76" customWidth="1"/>
    <col min="3854" max="3855" width="0" style="76" hidden="1" customWidth="1"/>
    <col min="3856" max="3856" width="9.140625" style="76"/>
    <col min="3857" max="3857" width="13.85546875" style="76" customWidth="1"/>
    <col min="3858" max="4103" width="9.140625" style="76"/>
    <col min="4104" max="4105" width="1.28515625" style="76" customWidth="1"/>
    <col min="4106" max="4106" width="1.7109375" style="76" customWidth="1"/>
    <col min="4107" max="4107" width="60.7109375" style="76" customWidth="1"/>
    <col min="4108" max="4108" width="0" style="76" hidden="1" customWidth="1"/>
    <col min="4109" max="4109" width="16.7109375" style="76" customWidth="1"/>
    <col min="4110" max="4111" width="0" style="76" hidden="1" customWidth="1"/>
    <col min="4112" max="4112" width="9.140625" style="76"/>
    <col min="4113" max="4113" width="13.85546875" style="76" customWidth="1"/>
    <col min="4114" max="4359" width="9.140625" style="76"/>
    <col min="4360" max="4361" width="1.28515625" style="76" customWidth="1"/>
    <col min="4362" max="4362" width="1.7109375" style="76" customWidth="1"/>
    <col min="4363" max="4363" width="60.7109375" style="76" customWidth="1"/>
    <col min="4364" max="4364" width="0" style="76" hidden="1" customWidth="1"/>
    <col min="4365" max="4365" width="16.7109375" style="76" customWidth="1"/>
    <col min="4366" max="4367" width="0" style="76" hidden="1" customWidth="1"/>
    <col min="4368" max="4368" width="9.140625" style="76"/>
    <col min="4369" max="4369" width="13.85546875" style="76" customWidth="1"/>
    <col min="4370" max="4615" width="9.140625" style="76"/>
    <col min="4616" max="4617" width="1.28515625" style="76" customWidth="1"/>
    <col min="4618" max="4618" width="1.7109375" style="76" customWidth="1"/>
    <col min="4619" max="4619" width="60.7109375" style="76" customWidth="1"/>
    <col min="4620" max="4620" width="0" style="76" hidden="1" customWidth="1"/>
    <col min="4621" max="4621" width="16.7109375" style="76" customWidth="1"/>
    <col min="4622" max="4623" width="0" style="76" hidden="1" customWidth="1"/>
    <col min="4624" max="4624" width="9.140625" style="76"/>
    <col min="4625" max="4625" width="13.85546875" style="76" customWidth="1"/>
    <col min="4626" max="4871" width="9.140625" style="76"/>
    <col min="4872" max="4873" width="1.28515625" style="76" customWidth="1"/>
    <col min="4874" max="4874" width="1.7109375" style="76" customWidth="1"/>
    <col min="4875" max="4875" width="60.7109375" style="76" customWidth="1"/>
    <col min="4876" max="4876" width="0" style="76" hidden="1" customWidth="1"/>
    <col min="4877" max="4877" width="16.7109375" style="76" customWidth="1"/>
    <col min="4878" max="4879" width="0" style="76" hidden="1" customWidth="1"/>
    <col min="4880" max="4880" width="9.140625" style="76"/>
    <col min="4881" max="4881" width="13.85546875" style="76" customWidth="1"/>
    <col min="4882" max="5127" width="9.140625" style="76"/>
    <col min="5128" max="5129" width="1.28515625" style="76" customWidth="1"/>
    <col min="5130" max="5130" width="1.7109375" style="76" customWidth="1"/>
    <col min="5131" max="5131" width="60.7109375" style="76" customWidth="1"/>
    <col min="5132" max="5132" width="0" style="76" hidden="1" customWidth="1"/>
    <col min="5133" max="5133" width="16.7109375" style="76" customWidth="1"/>
    <col min="5134" max="5135" width="0" style="76" hidden="1" customWidth="1"/>
    <col min="5136" max="5136" width="9.140625" style="76"/>
    <col min="5137" max="5137" width="13.85546875" style="76" customWidth="1"/>
    <col min="5138" max="5383" width="9.140625" style="76"/>
    <col min="5384" max="5385" width="1.28515625" style="76" customWidth="1"/>
    <col min="5386" max="5386" width="1.7109375" style="76" customWidth="1"/>
    <col min="5387" max="5387" width="60.7109375" style="76" customWidth="1"/>
    <col min="5388" max="5388" width="0" style="76" hidden="1" customWidth="1"/>
    <col min="5389" max="5389" width="16.7109375" style="76" customWidth="1"/>
    <col min="5390" max="5391" width="0" style="76" hidden="1" customWidth="1"/>
    <col min="5392" max="5392" width="9.140625" style="76"/>
    <col min="5393" max="5393" width="13.85546875" style="76" customWidth="1"/>
    <col min="5394" max="5639" width="9.140625" style="76"/>
    <col min="5640" max="5641" width="1.28515625" style="76" customWidth="1"/>
    <col min="5642" max="5642" width="1.7109375" style="76" customWidth="1"/>
    <col min="5643" max="5643" width="60.7109375" style="76" customWidth="1"/>
    <col min="5644" max="5644" width="0" style="76" hidden="1" customWidth="1"/>
    <col min="5645" max="5645" width="16.7109375" style="76" customWidth="1"/>
    <col min="5646" max="5647" width="0" style="76" hidden="1" customWidth="1"/>
    <col min="5648" max="5648" width="9.140625" style="76"/>
    <col min="5649" max="5649" width="13.85546875" style="76" customWidth="1"/>
    <col min="5650" max="5895" width="9.140625" style="76"/>
    <col min="5896" max="5897" width="1.28515625" style="76" customWidth="1"/>
    <col min="5898" max="5898" width="1.7109375" style="76" customWidth="1"/>
    <col min="5899" max="5899" width="60.7109375" style="76" customWidth="1"/>
    <col min="5900" max="5900" width="0" style="76" hidden="1" customWidth="1"/>
    <col min="5901" max="5901" width="16.7109375" style="76" customWidth="1"/>
    <col min="5902" max="5903" width="0" style="76" hidden="1" customWidth="1"/>
    <col min="5904" max="5904" width="9.140625" style="76"/>
    <col min="5905" max="5905" width="13.85546875" style="76" customWidth="1"/>
    <col min="5906" max="6151" width="9.140625" style="76"/>
    <col min="6152" max="6153" width="1.28515625" style="76" customWidth="1"/>
    <col min="6154" max="6154" width="1.7109375" style="76" customWidth="1"/>
    <col min="6155" max="6155" width="60.7109375" style="76" customWidth="1"/>
    <col min="6156" max="6156" width="0" style="76" hidden="1" customWidth="1"/>
    <col min="6157" max="6157" width="16.7109375" style="76" customWidth="1"/>
    <col min="6158" max="6159" width="0" style="76" hidden="1" customWidth="1"/>
    <col min="6160" max="6160" width="9.140625" style="76"/>
    <col min="6161" max="6161" width="13.85546875" style="76" customWidth="1"/>
    <col min="6162" max="6407" width="9.140625" style="76"/>
    <col min="6408" max="6409" width="1.28515625" style="76" customWidth="1"/>
    <col min="6410" max="6410" width="1.7109375" style="76" customWidth="1"/>
    <col min="6411" max="6411" width="60.7109375" style="76" customWidth="1"/>
    <col min="6412" max="6412" width="0" style="76" hidden="1" customWidth="1"/>
    <col min="6413" max="6413" width="16.7109375" style="76" customWidth="1"/>
    <col min="6414" max="6415" width="0" style="76" hidden="1" customWidth="1"/>
    <col min="6416" max="6416" width="9.140625" style="76"/>
    <col min="6417" max="6417" width="13.85546875" style="76" customWidth="1"/>
    <col min="6418" max="6663" width="9.140625" style="76"/>
    <col min="6664" max="6665" width="1.28515625" style="76" customWidth="1"/>
    <col min="6666" max="6666" width="1.7109375" style="76" customWidth="1"/>
    <col min="6667" max="6667" width="60.7109375" style="76" customWidth="1"/>
    <col min="6668" max="6668" width="0" style="76" hidden="1" customWidth="1"/>
    <col min="6669" max="6669" width="16.7109375" style="76" customWidth="1"/>
    <col min="6670" max="6671" width="0" style="76" hidden="1" customWidth="1"/>
    <col min="6672" max="6672" width="9.140625" style="76"/>
    <col min="6673" max="6673" width="13.85546875" style="76" customWidth="1"/>
    <col min="6674" max="6919" width="9.140625" style="76"/>
    <col min="6920" max="6921" width="1.28515625" style="76" customWidth="1"/>
    <col min="6922" max="6922" width="1.7109375" style="76" customWidth="1"/>
    <col min="6923" max="6923" width="60.7109375" style="76" customWidth="1"/>
    <col min="6924" max="6924" width="0" style="76" hidden="1" customWidth="1"/>
    <col min="6925" max="6925" width="16.7109375" style="76" customWidth="1"/>
    <col min="6926" max="6927" width="0" style="76" hidden="1" customWidth="1"/>
    <col min="6928" max="6928" width="9.140625" style="76"/>
    <col min="6929" max="6929" width="13.85546875" style="76" customWidth="1"/>
    <col min="6930" max="7175" width="9.140625" style="76"/>
    <col min="7176" max="7177" width="1.28515625" style="76" customWidth="1"/>
    <col min="7178" max="7178" width="1.7109375" style="76" customWidth="1"/>
    <col min="7179" max="7179" width="60.7109375" style="76" customWidth="1"/>
    <col min="7180" max="7180" width="0" style="76" hidden="1" customWidth="1"/>
    <col min="7181" max="7181" width="16.7109375" style="76" customWidth="1"/>
    <col min="7182" max="7183" width="0" style="76" hidden="1" customWidth="1"/>
    <col min="7184" max="7184" width="9.140625" style="76"/>
    <col min="7185" max="7185" width="13.85546875" style="76" customWidth="1"/>
    <col min="7186" max="7431" width="9.140625" style="76"/>
    <col min="7432" max="7433" width="1.28515625" style="76" customWidth="1"/>
    <col min="7434" max="7434" width="1.7109375" style="76" customWidth="1"/>
    <col min="7435" max="7435" width="60.7109375" style="76" customWidth="1"/>
    <col min="7436" max="7436" width="0" style="76" hidden="1" customWidth="1"/>
    <col min="7437" max="7437" width="16.7109375" style="76" customWidth="1"/>
    <col min="7438" max="7439" width="0" style="76" hidden="1" customWidth="1"/>
    <col min="7440" max="7440" width="9.140625" style="76"/>
    <col min="7441" max="7441" width="13.85546875" style="76" customWidth="1"/>
    <col min="7442" max="7687" width="9.140625" style="76"/>
    <col min="7688" max="7689" width="1.28515625" style="76" customWidth="1"/>
    <col min="7690" max="7690" width="1.7109375" style="76" customWidth="1"/>
    <col min="7691" max="7691" width="60.7109375" style="76" customWidth="1"/>
    <col min="7692" max="7692" width="0" style="76" hidden="1" customWidth="1"/>
    <col min="7693" max="7693" width="16.7109375" style="76" customWidth="1"/>
    <col min="7694" max="7695" width="0" style="76" hidden="1" customWidth="1"/>
    <col min="7696" max="7696" width="9.140625" style="76"/>
    <col min="7697" max="7697" width="13.85546875" style="76" customWidth="1"/>
    <col min="7698" max="7943" width="9.140625" style="76"/>
    <col min="7944" max="7945" width="1.28515625" style="76" customWidth="1"/>
    <col min="7946" max="7946" width="1.7109375" style="76" customWidth="1"/>
    <col min="7947" max="7947" width="60.7109375" style="76" customWidth="1"/>
    <col min="7948" max="7948" width="0" style="76" hidden="1" customWidth="1"/>
    <col min="7949" max="7949" width="16.7109375" style="76" customWidth="1"/>
    <col min="7950" max="7951" width="0" style="76" hidden="1" customWidth="1"/>
    <col min="7952" max="7952" width="9.140625" style="76"/>
    <col min="7953" max="7953" width="13.85546875" style="76" customWidth="1"/>
    <col min="7954" max="8199" width="9.140625" style="76"/>
    <col min="8200" max="8201" width="1.28515625" style="76" customWidth="1"/>
    <col min="8202" max="8202" width="1.7109375" style="76" customWidth="1"/>
    <col min="8203" max="8203" width="60.7109375" style="76" customWidth="1"/>
    <col min="8204" max="8204" width="0" style="76" hidden="1" customWidth="1"/>
    <col min="8205" max="8205" width="16.7109375" style="76" customWidth="1"/>
    <col min="8206" max="8207" width="0" style="76" hidden="1" customWidth="1"/>
    <col min="8208" max="8208" width="9.140625" style="76"/>
    <col min="8209" max="8209" width="13.85546875" style="76" customWidth="1"/>
    <col min="8210" max="8455" width="9.140625" style="76"/>
    <col min="8456" max="8457" width="1.28515625" style="76" customWidth="1"/>
    <col min="8458" max="8458" width="1.7109375" style="76" customWidth="1"/>
    <col min="8459" max="8459" width="60.7109375" style="76" customWidth="1"/>
    <col min="8460" max="8460" width="0" style="76" hidden="1" customWidth="1"/>
    <col min="8461" max="8461" width="16.7109375" style="76" customWidth="1"/>
    <col min="8462" max="8463" width="0" style="76" hidden="1" customWidth="1"/>
    <col min="8464" max="8464" width="9.140625" style="76"/>
    <col min="8465" max="8465" width="13.85546875" style="76" customWidth="1"/>
    <col min="8466" max="8711" width="9.140625" style="76"/>
    <col min="8712" max="8713" width="1.28515625" style="76" customWidth="1"/>
    <col min="8714" max="8714" width="1.7109375" style="76" customWidth="1"/>
    <col min="8715" max="8715" width="60.7109375" style="76" customWidth="1"/>
    <col min="8716" max="8716" width="0" style="76" hidden="1" customWidth="1"/>
    <col min="8717" max="8717" width="16.7109375" style="76" customWidth="1"/>
    <col min="8718" max="8719" width="0" style="76" hidden="1" customWidth="1"/>
    <col min="8720" max="8720" width="9.140625" style="76"/>
    <col min="8721" max="8721" width="13.85546875" style="76" customWidth="1"/>
    <col min="8722" max="8967" width="9.140625" style="76"/>
    <col min="8968" max="8969" width="1.28515625" style="76" customWidth="1"/>
    <col min="8970" max="8970" width="1.7109375" style="76" customWidth="1"/>
    <col min="8971" max="8971" width="60.7109375" style="76" customWidth="1"/>
    <col min="8972" max="8972" width="0" style="76" hidden="1" customWidth="1"/>
    <col min="8973" max="8973" width="16.7109375" style="76" customWidth="1"/>
    <col min="8974" max="8975" width="0" style="76" hidden="1" customWidth="1"/>
    <col min="8976" max="8976" width="9.140625" style="76"/>
    <col min="8977" max="8977" width="13.85546875" style="76" customWidth="1"/>
    <col min="8978" max="9223" width="9.140625" style="76"/>
    <col min="9224" max="9225" width="1.28515625" style="76" customWidth="1"/>
    <col min="9226" max="9226" width="1.7109375" style="76" customWidth="1"/>
    <col min="9227" max="9227" width="60.7109375" style="76" customWidth="1"/>
    <col min="9228" max="9228" width="0" style="76" hidden="1" customWidth="1"/>
    <col min="9229" max="9229" width="16.7109375" style="76" customWidth="1"/>
    <col min="9230" max="9231" width="0" style="76" hidden="1" customWidth="1"/>
    <col min="9232" max="9232" width="9.140625" style="76"/>
    <col min="9233" max="9233" width="13.85546875" style="76" customWidth="1"/>
    <col min="9234" max="9479" width="9.140625" style="76"/>
    <col min="9480" max="9481" width="1.28515625" style="76" customWidth="1"/>
    <col min="9482" max="9482" width="1.7109375" style="76" customWidth="1"/>
    <col min="9483" max="9483" width="60.7109375" style="76" customWidth="1"/>
    <col min="9484" max="9484" width="0" style="76" hidden="1" customWidth="1"/>
    <col min="9485" max="9485" width="16.7109375" style="76" customWidth="1"/>
    <col min="9486" max="9487" width="0" style="76" hidden="1" customWidth="1"/>
    <col min="9488" max="9488" width="9.140625" style="76"/>
    <col min="9489" max="9489" width="13.85546875" style="76" customWidth="1"/>
    <col min="9490" max="9735" width="9.140625" style="76"/>
    <col min="9736" max="9737" width="1.28515625" style="76" customWidth="1"/>
    <col min="9738" max="9738" width="1.7109375" style="76" customWidth="1"/>
    <col min="9739" max="9739" width="60.7109375" style="76" customWidth="1"/>
    <col min="9740" max="9740" width="0" style="76" hidden="1" customWidth="1"/>
    <col min="9741" max="9741" width="16.7109375" style="76" customWidth="1"/>
    <col min="9742" max="9743" width="0" style="76" hidden="1" customWidth="1"/>
    <col min="9744" max="9744" width="9.140625" style="76"/>
    <col min="9745" max="9745" width="13.85546875" style="76" customWidth="1"/>
    <col min="9746" max="9991" width="9.140625" style="76"/>
    <col min="9992" max="9993" width="1.28515625" style="76" customWidth="1"/>
    <col min="9994" max="9994" width="1.7109375" style="76" customWidth="1"/>
    <col min="9995" max="9995" width="60.7109375" style="76" customWidth="1"/>
    <col min="9996" max="9996" width="0" style="76" hidden="1" customWidth="1"/>
    <col min="9997" max="9997" width="16.7109375" style="76" customWidth="1"/>
    <col min="9998" max="9999" width="0" style="76" hidden="1" customWidth="1"/>
    <col min="10000" max="10000" width="9.140625" style="76"/>
    <col min="10001" max="10001" width="13.85546875" style="76" customWidth="1"/>
    <col min="10002" max="10247" width="9.140625" style="76"/>
    <col min="10248" max="10249" width="1.28515625" style="76" customWidth="1"/>
    <col min="10250" max="10250" width="1.7109375" style="76" customWidth="1"/>
    <col min="10251" max="10251" width="60.7109375" style="76" customWidth="1"/>
    <col min="10252" max="10252" width="0" style="76" hidden="1" customWidth="1"/>
    <col min="10253" max="10253" width="16.7109375" style="76" customWidth="1"/>
    <col min="10254" max="10255" width="0" style="76" hidden="1" customWidth="1"/>
    <col min="10256" max="10256" width="9.140625" style="76"/>
    <col min="10257" max="10257" width="13.85546875" style="76" customWidth="1"/>
    <col min="10258" max="10503" width="9.140625" style="76"/>
    <col min="10504" max="10505" width="1.28515625" style="76" customWidth="1"/>
    <col min="10506" max="10506" width="1.7109375" style="76" customWidth="1"/>
    <col min="10507" max="10507" width="60.7109375" style="76" customWidth="1"/>
    <col min="10508" max="10508" width="0" style="76" hidden="1" customWidth="1"/>
    <col min="10509" max="10509" width="16.7109375" style="76" customWidth="1"/>
    <col min="10510" max="10511" width="0" style="76" hidden="1" customWidth="1"/>
    <col min="10512" max="10512" width="9.140625" style="76"/>
    <col min="10513" max="10513" width="13.85546875" style="76" customWidth="1"/>
    <col min="10514" max="10759" width="9.140625" style="76"/>
    <col min="10760" max="10761" width="1.28515625" style="76" customWidth="1"/>
    <col min="10762" max="10762" width="1.7109375" style="76" customWidth="1"/>
    <col min="10763" max="10763" width="60.7109375" style="76" customWidth="1"/>
    <col min="10764" max="10764" width="0" style="76" hidden="1" customWidth="1"/>
    <col min="10765" max="10765" width="16.7109375" style="76" customWidth="1"/>
    <col min="10766" max="10767" width="0" style="76" hidden="1" customWidth="1"/>
    <col min="10768" max="10768" width="9.140625" style="76"/>
    <col min="10769" max="10769" width="13.85546875" style="76" customWidth="1"/>
    <col min="10770" max="11015" width="9.140625" style="76"/>
    <col min="11016" max="11017" width="1.28515625" style="76" customWidth="1"/>
    <col min="11018" max="11018" width="1.7109375" style="76" customWidth="1"/>
    <col min="11019" max="11019" width="60.7109375" style="76" customWidth="1"/>
    <col min="11020" max="11020" width="0" style="76" hidden="1" customWidth="1"/>
    <col min="11021" max="11021" width="16.7109375" style="76" customWidth="1"/>
    <col min="11022" max="11023" width="0" style="76" hidden="1" customWidth="1"/>
    <col min="11024" max="11024" width="9.140625" style="76"/>
    <col min="11025" max="11025" width="13.85546875" style="76" customWidth="1"/>
    <col min="11026" max="11271" width="9.140625" style="76"/>
    <col min="11272" max="11273" width="1.28515625" style="76" customWidth="1"/>
    <col min="11274" max="11274" width="1.7109375" style="76" customWidth="1"/>
    <col min="11275" max="11275" width="60.7109375" style="76" customWidth="1"/>
    <col min="11276" max="11276" width="0" style="76" hidden="1" customWidth="1"/>
    <col min="11277" max="11277" width="16.7109375" style="76" customWidth="1"/>
    <col min="11278" max="11279" width="0" style="76" hidden="1" customWidth="1"/>
    <col min="11280" max="11280" width="9.140625" style="76"/>
    <col min="11281" max="11281" width="13.85546875" style="76" customWidth="1"/>
    <col min="11282" max="11527" width="9.140625" style="76"/>
    <col min="11528" max="11529" width="1.28515625" style="76" customWidth="1"/>
    <col min="11530" max="11530" width="1.7109375" style="76" customWidth="1"/>
    <col min="11531" max="11531" width="60.7109375" style="76" customWidth="1"/>
    <col min="11532" max="11532" width="0" style="76" hidden="1" customWidth="1"/>
    <col min="11533" max="11533" width="16.7109375" style="76" customWidth="1"/>
    <col min="11534" max="11535" width="0" style="76" hidden="1" customWidth="1"/>
    <col min="11536" max="11536" width="9.140625" style="76"/>
    <col min="11537" max="11537" width="13.85546875" style="76" customWidth="1"/>
    <col min="11538" max="11783" width="9.140625" style="76"/>
    <col min="11784" max="11785" width="1.28515625" style="76" customWidth="1"/>
    <col min="11786" max="11786" width="1.7109375" style="76" customWidth="1"/>
    <col min="11787" max="11787" width="60.7109375" style="76" customWidth="1"/>
    <col min="11788" max="11788" width="0" style="76" hidden="1" customWidth="1"/>
    <col min="11789" max="11789" width="16.7109375" style="76" customWidth="1"/>
    <col min="11790" max="11791" width="0" style="76" hidden="1" customWidth="1"/>
    <col min="11792" max="11792" width="9.140625" style="76"/>
    <col min="11793" max="11793" width="13.85546875" style="76" customWidth="1"/>
    <col min="11794" max="12039" width="9.140625" style="76"/>
    <col min="12040" max="12041" width="1.28515625" style="76" customWidth="1"/>
    <col min="12042" max="12042" width="1.7109375" style="76" customWidth="1"/>
    <col min="12043" max="12043" width="60.7109375" style="76" customWidth="1"/>
    <col min="12044" max="12044" width="0" style="76" hidden="1" customWidth="1"/>
    <col min="12045" max="12045" width="16.7109375" style="76" customWidth="1"/>
    <col min="12046" max="12047" width="0" style="76" hidden="1" customWidth="1"/>
    <col min="12048" max="12048" width="9.140625" style="76"/>
    <col min="12049" max="12049" width="13.85546875" style="76" customWidth="1"/>
    <col min="12050" max="12295" width="9.140625" style="76"/>
    <col min="12296" max="12297" width="1.28515625" style="76" customWidth="1"/>
    <col min="12298" max="12298" width="1.7109375" style="76" customWidth="1"/>
    <col min="12299" max="12299" width="60.7109375" style="76" customWidth="1"/>
    <col min="12300" max="12300" width="0" style="76" hidden="1" customWidth="1"/>
    <col min="12301" max="12301" width="16.7109375" style="76" customWidth="1"/>
    <col min="12302" max="12303" width="0" style="76" hidden="1" customWidth="1"/>
    <col min="12304" max="12304" width="9.140625" style="76"/>
    <col min="12305" max="12305" width="13.85546875" style="76" customWidth="1"/>
    <col min="12306" max="12551" width="9.140625" style="76"/>
    <col min="12552" max="12553" width="1.28515625" style="76" customWidth="1"/>
    <col min="12554" max="12554" width="1.7109375" style="76" customWidth="1"/>
    <col min="12555" max="12555" width="60.7109375" style="76" customWidth="1"/>
    <col min="12556" max="12556" width="0" style="76" hidden="1" customWidth="1"/>
    <col min="12557" max="12557" width="16.7109375" style="76" customWidth="1"/>
    <col min="12558" max="12559" width="0" style="76" hidden="1" customWidth="1"/>
    <col min="12560" max="12560" width="9.140625" style="76"/>
    <col min="12561" max="12561" width="13.85546875" style="76" customWidth="1"/>
    <col min="12562" max="12807" width="9.140625" style="76"/>
    <col min="12808" max="12809" width="1.28515625" style="76" customWidth="1"/>
    <col min="12810" max="12810" width="1.7109375" style="76" customWidth="1"/>
    <col min="12811" max="12811" width="60.7109375" style="76" customWidth="1"/>
    <col min="12812" max="12812" width="0" style="76" hidden="1" customWidth="1"/>
    <col min="12813" max="12813" width="16.7109375" style="76" customWidth="1"/>
    <col min="12814" max="12815" width="0" style="76" hidden="1" customWidth="1"/>
    <col min="12816" max="12816" width="9.140625" style="76"/>
    <col min="12817" max="12817" width="13.85546875" style="76" customWidth="1"/>
    <col min="12818" max="13063" width="9.140625" style="76"/>
    <col min="13064" max="13065" width="1.28515625" style="76" customWidth="1"/>
    <col min="13066" max="13066" width="1.7109375" style="76" customWidth="1"/>
    <col min="13067" max="13067" width="60.7109375" style="76" customWidth="1"/>
    <col min="13068" max="13068" width="0" style="76" hidden="1" customWidth="1"/>
    <col min="13069" max="13069" width="16.7109375" style="76" customWidth="1"/>
    <col min="13070" max="13071" width="0" style="76" hidden="1" customWidth="1"/>
    <col min="13072" max="13072" width="9.140625" style="76"/>
    <col min="13073" max="13073" width="13.85546875" style="76" customWidth="1"/>
    <col min="13074" max="13319" width="9.140625" style="76"/>
    <col min="13320" max="13321" width="1.28515625" style="76" customWidth="1"/>
    <col min="13322" max="13322" width="1.7109375" style="76" customWidth="1"/>
    <col min="13323" max="13323" width="60.7109375" style="76" customWidth="1"/>
    <col min="13324" max="13324" width="0" style="76" hidden="1" customWidth="1"/>
    <col min="13325" max="13325" width="16.7109375" style="76" customWidth="1"/>
    <col min="13326" max="13327" width="0" style="76" hidden="1" customWidth="1"/>
    <col min="13328" max="13328" width="9.140625" style="76"/>
    <col min="13329" max="13329" width="13.85546875" style="76" customWidth="1"/>
    <col min="13330" max="13575" width="9.140625" style="76"/>
    <col min="13576" max="13577" width="1.28515625" style="76" customWidth="1"/>
    <col min="13578" max="13578" width="1.7109375" style="76" customWidth="1"/>
    <col min="13579" max="13579" width="60.7109375" style="76" customWidth="1"/>
    <col min="13580" max="13580" width="0" style="76" hidden="1" customWidth="1"/>
    <col min="13581" max="13581" width="16.7109375" style="76" customWidth="1"/>
    <col min="13582" max="13583" width="0" style="76" hidden="1" customWidth="1"/>
    <col min="13584" max="13584" width="9.140625" style="76"/>
    <col min="13585" max="13585" width="13.85546875" style="76" customWidth="1"/>
    <col min="13586" max="13831" width="9.140625" style="76"/>
    <col min="13832" max="13833" width="1.28515625" style="76" customWidth="1"/>
    <col min="13834" max="13834" width="1.7109375" style="76" customWidth="1"/>
    <col min="13835" max="13835" width="60.7109375" style="76" customWidth="1"/>
    <col min="13836" max="13836" width="0" style="76" hidden="1" customWidth="1"/>
    <col min="13837" max="13837" width="16.7109375" style="76" customWidth="1"/>
    <col min="13838" max="13839" width="0" style="76" hidden="1" customWidth="1"/>
    <col min="13840" max="13840" width="9.140625" style="76"/>
    <col min="13841" max="13841" width="13.85546875" style="76" customWidth="1"/>
    <col min="13842" max="14087" width="9.140625" style="76"/>
    <col min="14088" max="14089" width="1.28515625" style="76" customWidth="1"/>
    <col min="14090" max="14090" width="1.7109375" style="76" customWidth="1"/>
    <col min="14091" max="14091" width="60.7109375" style="76" customWidth="1"/>
    <col min="14092" max="14092" width="0" style="76" hidden="1" customWidth="1"/>
    <col min="14093" max="14093" width="16.7109375" style="76" customWidth="1"/>
    <col min="14094" max="14095" width="0" style="76" hidden="1" customWidth="1"/>
    <col min="14096" max="14096" width="9.140625" style="76"/>
    <col min="14097" max="14097" width="13.85546875" style="76" customWidth="1"/>
    <col min="14098" max="14343" width="9.140625" style="76"/>
    <col min="14344" max="14345" width="1.28515625" style="76" customWidth="1"/>
    <col min="14346" max="14346" width="1.7109375" style="76" customWidth="1"/>
    <col min="14347" max="14347" width="60.7109375" style="76" customWidth="1"/>
    <col min="14348" max="14348" width="0" style="76" hidden="1" customWidth="1"/>
    <col min="14349" max="14349" width="16.7109375" style="76" customWidth="1"/>
    <col min="14350" max="14351" width="0" style="76" hidden="1" customWidth="1"/>
    <col min="14352" max="14352" width="9.140625" style="76"/>
    <col min="14353" max="14353" width="13.85546875" style="76" customWidth="1"/>
    <col min="14354" max="14599" width="9.140625" style="76"/>
    <col min="14600" max="14601" width="1.28515625" style="76" customWidth="1"/>
    <col min="14602" max="14602" width="1.7109375" style="76" customWidth="1"/>
    <col min="14603" max="14603" width="60.7109375" style="76" customWidth="1"/>
    <col min="14604" max="14604" width="0" style="76" hidden="1" customWidth="1"/>
    <col min="14605" max="14605" width="16.7109375" style="76" customWidth="1"/>
    <col min="14606" max="14607" width="0" style="76" hidden="1" customWidth="1"/>
    <col min="14608" max="14608" width="9.140625" style="76"/>
    <col min="14609" max="14609" width="13.85546875" style="76" customWidth="1"/>
    <col min="14610" max="14855" width="9.140625" style="76"/>
    <col min="14856" max="14857" width="1.28515625" style="76" customWidth="1"/>
    <col min="14858" max="14858" width="1.7109375" style="76" customWidth="1"/>
    <col min="14859" max="14859" width="60.7109375" style="76" customWidth="1"/>
    <col min="14860" max="14860" width="0" style="76" hidden="1" customWidth="1"/>
    <col min="14861" max="14861" width="16.7109375" style="76" customWidth="1"/>
    <col min="14862" max="14863" width="0" style="76" hidden="1" customWidth="1"/>
    <col min="14864" max="14864" width="9.140625" style="76"/>
    <col min="14865" max="14865" width="13.85546875" style="76" customWidth="1"/>
    <col min="14866" max="15111" width="9.140625" style="76"/>
    <col min="15112" max="15113" width="1.28515625" style="76" customWidth="1"/>
    <col min="15114" max="15114" width="1.7109375" style="76" customWidth="1"/>
    <col min="15115" max="15115" width="60.7109375" style="76" customWidth="1"/>
    <col min="15116" max="15116" width="0" style="76" hidden="1" customWidth="1"/>
    <col min="15117" max="15117" width="16.7109375" style="76" customWidth="1"/>
    <col min="15118" max="15119" width="0" style="76" hidden="1" customWidth="1"/>
    <col min="15120" max="15120" width="9.140625" style="76"/>
    <col min="15121" max="15121" width="13.85546875" style="76" customWidth="1"/>
    <col min="15122" max="15367" width="9.140625" style="76"/>
    <col min="15368" max="15369" width="1.28515625" style="76" customWidth="1"/>
    <col min="15370" max="15370" width="1.7109375" style="76" customWidth="1"/>
    <col min="15371" max="15371" width="60.7109375" style="76" customWidth="1"/>
    <col min="15372" max="15372" width="0" style="76" hidden="1" customWidth="1"/>
    <col min="15373" max="15373" width="16.7109375" style="76" customWidth="1"/>
    <col min="15374" max="15375" width="0" style="76" hidden="1" customWidth="1"/>
    <col min="15376" max="15376" width="9.140625" style="76"/>
    <col min="15377" max="15377" width="13.85546875" style="76" customWidth="1"/>
    <col min="15378" max="15623" width="9.140625" style="76"/>
    <col min="15624" max="15625" width="1.28515625" style="76" customWidth="1"/>
    <col min="15626" max="15626" width="1.7109375" style="76" customWidth="1"/>
    <col min="15627" max="15627" width="60.7109375" style="76" customWidth="1"/>
    <col min="15628" max="15628" width="0" style="76" hidden="1" customWidth="1"/>
    <col min="15629" max="15629" width="16.7109375" style="76" customWidth="1"/>
    <col min="15630" max="15631" width="0" style="76" hidden="1" customWidth="1"/>
    <col min="15632" max="15632" width="9.140625" style="76"/>
    <col min="15633" max="15633" width="13.85546875" style="76" customWidth="1"/>
    <col min="15634" max="15879" width="9.140625" style="76"/>
    <col min="15880" max="15881" width="1.28515625" style="76" customWidth="1"/>
    <col min="15882" max="15882" width="1.7109375" style="76" customWidth="1"/>
    <col min="15883" max="15883" width="60.7109375" style="76" customWidth="1"/>
    <col min="15884" max="15884" width="0" style="76" hidden="1" customWidth="1"/>
    <col min="15885" max="15885" width="16.7109375" style="76" customWidth="1"/>
    <col min="15886" max="15887" width="0" style="76" hidden="1" customWidth="1"/>
    <col min="15888" max="15888" width="9.140625" style="76"/>
    <col min="15889" max="15889" width="13.85546875" style="76" customWidth="1"/>
    <col min="15890" max="16135" width="9.140625" style="76"/>
    <col min="16136" max="16137" width="1.28515625" style="76" customWidth="1"/>
    <col min="16138" max="16138" width="1.7109375" style="76" customWidth="1"/>
    <col min="16139" max="16139" width="60.7109375" style="76" customWidth="1"/>
    <col min="16140" max="16140" width="0" style="76" hidden="1" customWidth="1"/>
    <col min="16141" max="16141" width="16.7109375" style="76" customWidth="1"/>
    <col min="16142" max="16143" width="0" style="76" hidden="1" customWidth="1"/>
    <col min="16144" max="16144" width="9.140625" style="76"/>
    <col min="16145" max="16145" width="13.85546875" style="76" customWidth="1"/>
    <col min="16146" max="16384" width="9.140625" style="76"/>
  </cols>
  <sheetData>
    <row r="1" spans="1:28" ht="15.75" customHeight="1">
      <c r="A1" s="238" t="s">
        <v>0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99"/>
      <c r="N1" s="99"/>
      <c r="O1" s="99"/>
      <c r="P1" s="99"/>
    </row>
    <row r="2" spans="1:28" ht="15.75" customHeight="1">
      <c r="A2" s="271" t="s">
        <v>1</v>
      </c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99"/>
      <c r="N2" s="99"/>
      <c r="O2" s="99"/>
      <c r="P2" s="99"/>
    </row>
    <row r="3" spans="1:28" ht="15.75" customHeight="1">
      <c r="A3" s="238" t="s">
        <v>2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99"/>
      <c r="N3" s="99"/>
      <c r="O3" s="99"/>
      <c r="P3" s="99"/>
    </row>
    <row r="4" spans="1:28" ht="15.75" customHeight="1">
      <c r="A4" s="238"/>
      <c r="B4" s="238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99"/>
      <c r="N4" s="99"/>
      <c r="O4" s="99"/>
      <c r="P4" s="99"/>
    </row>
    <row r="5" spans="1:28" ht="15.75" customHeight="1">
      <c r="A5" s="271" t="s">
        <v>3</v>
      </c>
      <c r="B5" s="271"/>
      <c r="C5" s="271"/>
      <c r="D5" s="271"/>
      <c r="E5" s="271"/>
      <c r="F5" s="271"/>
      <c r="G5" s="271"/>
      <c r="H5" s="271"/>
      <c r="I5" s="271"/>
      <c r="J5" s="271"/>
      <c r="K5" s="271"/>
      <c r="L5" s="271"/>
      <c r="M5" s="100"/>
      <c r="N5" s="100"/>
      <c r="O5" s="100"/>
      <c r="P5" s="100"/>
    </row>
    <row r="6" spans="1:28" ht="15.75" customHeight="1">
      <c r="A6" s="271" t="s">
        <v>894</v>
      </c>
      <c r="B6" s="271"/>
      <c r="C6" s="271"/>
      <c r="D6" s="271"/>
      <c r="E6" s="271"/>
      <c r="F6" s="271"/>
      <c r="G6" s="271"/>
      <c r="H6" s="271"/>
      <c r="I6" s="271"/>
      <c r="J6" s="271"/>
      <c r="K6" s="271"/>
      <c r="L6" s="271"/>
      <c r="M6" s="100"/>
      <c r="N6" s="100"/>
      <c r="O6" s="100"/>
      <c r="P6" s="100"/>
    </row>
    <row r="7" spans="1:28" ht="15.75" customHeight="1">
      <c r="A7" s="271" t="s">
        <v>1011</v>
      </c>
      <c r="B7" s="271"/>
      <c r="C7" s="271"/>
      <c r="D7" s="271"/>
      <c r="E7" s="271"/>
      <c r="F7" s="271"/>
      <c r="G7" s="271"/>
      <c r="H7" s="271"/>
      <c r="I7" s="271"/>
      <c r="J7" s="271"/>
      <c r="K7" s="271"/>
      <c r="L7" s="271"/>
      <c r="M7" s="100"/>
      <c r="N7" s="100"/>
      <c r="O7" s="100"/>
      <c r="P7" s="100"/>
    </row>
    <row r="8" spans="1:28" ht="15.75" customHeight="1">
      <c r="A8" s="238"/>
      <c r="B8" s="238"/>
      <c r="C8" s="238"/>
      <c r="D8" s="238"/>
      <c r="E8" s="238"/>
      <c r="F8" s="238"/>
      <c r="G8" s="238"/>
      <c r="H8" s="238"/>
      <c r="I8" s="238"/>
      <c r="J8" s="238"/>
      <c r="K8" s="238"/>
      <c r="L8" s="238"/>
      <c r="M8" s="233"/>
      <c r="N8" s="233"/>
      <c r="O8" s="233"/>
      <c r="P8" s="233"/>
    </row>
    <row r="9" spans="1:28" s="77" customFormat="1" ht="15.75" customHeight="1">
      <c r="A9" s="238"/>
      <c r="B9" s="238"/>
      <c r="C9" s="238"/>
      <c r="D9" s="238"/>
      <c r="E9" s="238"/>
      <c r="F9" s="238"/>
      <c r="G9" s="238"/>
      <c r="H9" s="238"/>
      <c r="I9" s="238"/>
      <c r="J9" s="238"/>
      <c r="K9" s="238"/>
      <c r="L9" s="238"/>
      <c r="M9" s="101"/>
      <c r="N9" s="101"/>
      <c r="O9" s="101"/>
      <c r="P9" s="101"/>
    </row>
    <row r="10" spans="1:28" s="77" customFormat="1" ht="15.75" hidden="1" customHeight="1">
      <c r="A10" s="27"/>
      <c r="B10" s="27"/>
      <c r="C10" s="27"/>
      <c r="D10" s="28"/>
      <c r="E10" s="29" t="s">
        <v>984</v>
      </c>
      <c r="F10" s="30" t="s">
        <v>985</v>
      </c>
      <c r="G10" s="30" t="s">
        <v>986</v>
      </c>
      <c r="H10" s="102" t="s">
        <v>987</v>
      </c>
      <c r="I10" s="102" t="s">
        <v>988</v>
      </c>
      <c r="J10" s="102" t="s">
        <v>989</v>
      </c>
      <c r="K10" s="102" t="s">
        <v>990</v>
      </c>
      <c r="L10" s="102" t="s">
        <v>991</v>
      </c>
      <c r="M10" s="102" t="s">
        <v>992</v>
      </c>
      <c r="N10" s="102" t="s">
        <v>993</v>
      </c>
      <c r="O10" s="102" t="s">
        <v>994</v>
      </c>
      <c r="P10" s="102" t="s">
        <v>995</v>
      </c>
      <c r="Q10" s="44">
        <v>40544</v>
      </c>
      <c r="R10" s="44">
        <v>40575</v>
      </c>
      <c r="S10" s="44">
        <v>40603</v>
      </c>
      <c r="T10" s="44">
        <v>40634</v>
      </c>
      <c r="U10" s="44">
        <v>40664</v>
      </c>
      <c r="V10" s="44">
        <v>40695</v>
      </c>
      <c r="W10" s="44">
        <v>40725</v>
      </c>
      <c r="X10" s="44">
        <v>40756</v>
      </c>
      <c r="Y10" s="44">
        <v>40787</v>
      </c>
      <c r="Z10" s="44">
        <v>40817</v>
      </c>
      <c r="AA10" s="44">
        <v>40848</v>
      </c>
      <c r="AB10" s="44">
        <v>40878</v>
      </c>
    </row>
    <row r="11" spans="1:28" s="78" customFormat="1" ht="15.75" customHeight="1">
      <c r="A11" s="32" t="s">
        <v>895</v>
      </c>
      <c r="B11" s="32"/>
      <c r="C11" s="32"/>
      <c r="D11" s="32"/>
      <c r="E11" s="31"/>
      <c r="F11" s="31"/>
      <c r="G11" s="31"/>
      <c r="H11" s="103"/>
      <c r="I11" s="103"/>
      <c r="J11" s="103"/>
      <c r="K11" s="103"/>
      <c r="L11" s="103"/>
      <c r="M11" s="103"/>
      <c r="N11" s="103"/>
      <c r="O11" s="103"/>
      <c r="P11" s="103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</row>
    <row r="12" spans="1:28" s="78" customFormat="1" ht="15.75" customHeight="1">
      <c r="A12" s="32" t="s">
        <v>896</v>
      </c>
      <c r="B12" s="32"/>
      <c r="C12" s="32"/>
      <c r="D12" s="32"/>
      <c r="E12" s="31"/>
      <c r="F12" s="31"/>
      <c r="G12" s="31"/>
      <c r="H12" s="103"/>
      <c r="I12" s="103"/>
      <c r="J12" s="103"/>
      <c r="K12" s="103"/>
      <c r="L12" s="103"/>
      <c r="M12" s="103"/>
      <c r="N12" s="103"/>
      <c r="O12" s="103"/>
      <c r="P12" s="103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</row>
    <row r="13" spans="1:28" s="78" customFormat="1" ht="15.75" customHeight="1" outlineLevel="1">
      <c r="A13" s="32"/>
      <c r="B13" s="32" t="s">
        <v>897</v>
      </c>
      <c r="C13" s="32"/>
      <c r="D13" s="32"/>
      <c r="E13" s="59">
        <f>SUM(Q13)</f>
        <v>0</v>
      </c>
      <c r="F13" s="59">
        <f>SUM($Q13:R13)</f>
        <v>0</v>
      </c>
      <c r="G13" s="59">
        <f>SUM($Q13:S13)</f>
        <v>0</v>
      </c>
      <c r="H13" s="59">
        <f>SUM($Q13:T13)</f>
        <v>80199612.439999983</v>
      </c>
      <c r="I13" s="59">
        <f>SUM($Q13:U13)</f>
        <v>81849432.979999989</v>
      </c>
      <c r="J13" s="59">
        <f>SUM($Q13:V13)</f>
        <v>82309790.179999992</v>
      </c>
      <c r="K13" s="59">
        <f>SUM($Q13:W13)</f>
        <v>76851404.879999995</v>
      </c>
      <c r="L13" s="59">
        <f>SUM($Q13:X13)</f>
        <v>109976572.59</v>
      </c>
      <c r="M13" s="59">
        <f>SUM($Q13:Y13)</f>
        <v>109976572.59</v>
      </c>
      <c r="N13" s="59">
        <f>SUM($Q13:Z13)</f>
        <v>109976572.59</v>
      </c>
      <c r="O13" s="59">
        <f>SUM($Q13:AA13)</f>
        <v>109976572.59</v>
      </c>
      <c r="P13" s="59">
        <f>SUM($Q13:AB13)</f>
        <v>109976572.59</v>
      </c>
      <c r="Q13" s="46">
        <f>SUM(Q14,Q20,Q25)</f>
        <v>0</v>
      </c>
      <c r="R13" s="46">
        <f t="shared" ref="R13:AB13" si="0">SUM(R14,R20,R25)</f>
        <v>0</v>
      </c>
      <c r="S13" s="46">
        <f t="shared" si="0"/>
        <v>0</v>
      </c>
      <c r="T13" s="46">
        <f t="shared" si="0"/>
        <v>80199612.439999983</v>
      </c>
      <c r="U13" s="46">
        <f t="shared" si="0"/>
        <v>1649820.5399999991</v>
      </c>
      <c r="V13" s="46">
        <f t="shared" si="0"/>
        <v>460357.20000000112</v>
      </c>
      <c r="W13" s="46">
        <f t="shared" si="0"/>
        <v>-5458385.2999999989</v>
      </c>
      <c r="X13" s="46">
        <f t="shared" si="0"/>
        <v>33125167.710000005</v>
      </c>
      <c r="Y13" s="46">
        <f t="shared" si="0"/>
        <v>0</v>
      </c>
      <c r="Z13" s="46">
        <f t="shared" si="0"/>
        <v>0</v>
      </c>
      <c r="AA13" s="46">
        <f t="shared" si="0"/>
        <v>0</v>
      </c>
      <c r="AB13" s="46">
        <f t="shared" si="0"/>
        <v>0</v>
      </c>
    </row>
    <row r="14" spans="1:28" s="78" customFormat="1" ht="15.75" customHeight="1" outlineLevel="2">
      <c r="A14" s="32"/>
      <c r="B14" s="32"/>
      <c r="C14" s="32" t="s">
        <v>898</v>
      </c>
      <c r="D14" s="32"/>
      <c r="E14" s="59">
        <f t="shared" ref="E14:E78" si="1">SUM(Q14)</f>
        <v>0</v>
      </c>
      <c r="F14" s="59">
        <f>SUM($Q14:R14)</f>
        <v>0</v>
      </c>
      <c r="G14" s="59">
        <f>SUM($Q14:S14)</f>
        <v>0</v>
      </c>
      <c r="H14" s="59">
        <f>SUM($Q14:T14)</f>
        <v>54876.620000000112</v>
      </c>
      <c r="I14" s="59">
        <f>SUM($Q14:U14)</f>
        <v>57931.790000000154</v>
      </c>
      <c r="J14" s="59">
        <f>SUM($Q14:V14)</f>
        <v>57931.790000000154</v>
      </c>
      <c r="K14" s="59">
        <f>SUM($Q14:W14)</f>
        <v>58775.089999999967</v>
      </c>
      <c r="L14" s="59">
        <f>SUM($Q14:X14)</f>
        <v>58774.789999999979</v>
      </c>
      <c r="M14" s="59">
        <f>SUM($Q14:Y14)</f>
        <v>58774.789999999979</v>
      </c>
      <c r="N14" s="59">
        <f>SUM($Q14:Z14)</f>
        <v>58774.789999999979</v>
      </c>
      <c r="O14" s="59">
        <f>SUM($Q14:AA14)</f>
        <v>58774.789999999979</v>
      </c>
      <c r="P14" s="59">
        <f>SUM($Q14:AB14)</f>
        <v>58774.789999999979</v>
      </c>
      <c r="Q14" s="46">
        <f>SUM(Q15:Q19)</f>
        <v>0</v>
      </c>
      <c r="R14" s="46">
        <f t="shared" ref="R14:AB14" si="2">SUM(R15:R19)</f>
        <v>0</v>
      </c>
      <c r="S14" s="46">
        <f t="shared" si="2"/>
        <v>0</v>
      </c>
      <c r="T14" s="46">
        <f t="shared" si="2"/>
        <v>54876.620000000112</v>
      </c>
      <c r="U14" s="46">
        <f t="shared" si="2"/>
        <v>3055.1700000000419</v>
      </c>
      <c r="V14" s="46">
        <f t="shared" si="2"/>
        <v>0</v>
      </c>
      <c r="W14" s="46">
        <f t="shared" si="2"/>
        <v>843.29999999981374</v>
      </c>
      <c r="X14" s="46">
        <f t="shared" si="2"/>
        <v>-0.29999999998835847</v>
      </c>
      <c r="Y14" s="46">
        <f t="shared" si="2"/>
        <v>0</v>
      </c>
      <c r="Z14" s="46">
        <f t="shared" si="2"/>
        <v>0</v>
      </c>
      <c r="AA14" s="46">
        <f t="shared" si="2"/>
        <v>0</v>
      </c>
      <c r="AB14" s="46">
        <f t="shared" si="2"/>
        <v>0</v>
      </c>
    </row>
    <row r="15" spans="1:28" s="79" customFormat="1" ht="15.75" hidden="1" customHeight="1" outlineLevel="3">
      <c r="A15" s="33"/>
      <c r="B15" s="33"/>
      <c r="C15" s="33"/>
      <c r="D15" s="34" t="s">
        <v>12</v>
      </c>
      <c r="E15" s="31">
        <f t="shared" si="1"/>
        <v>0</v>
      </c>
      <c r="F15" s="31">
        <f>SUM($Q15:R15)</f>
        <v>0</v>
      </c>
      <c r="G15" s="31">
        <f>SUM($Q15:S15)</f>
        <v>0</v>
      </c>
      <c r="H15" s="103">
        <f>SUM($Q15:T15)</f>
        <v>0</v>
      </c>
      <c r="I15" s="103">
        <f>SUM($Q15:U15)</f>
        <v>0</v>
      </c>
      <c r="J15" s="103">
        <f>SUM($Q15:V15)</f>
        <v>0</v>
      </c>
      <c r="K15" s="103">
        <f>SUM($Q15:W15)</f>
        <v>0</v>
      </c>
      <c r="L15" s="103">
        <f>SUM($Q15:X15)</f>
        <v>0</v>
      </c>
      <c r="M15" s="103">
        <f>SUM($Q15:Y15)</f>
        <v>0</v>
      </c>
      <c r="N15" s="103">
        <f>SUM($Q15:Z15)</f>
        <v>0</v>
      </c>
      <c r="O15" s="103">
        <f>SUM($Q15:AA15)</f>
        <v>0</v>
      </c>
      <c r="P15" s="103">
        <f>SUM($Q15:AB15)</f>
        <v>0</v>
      </c>
      <c r="Q15" s="47">
        <f>'TB-Jan'!$C$13</f>
        <v>0</v>
      </c>
      <c r="R15" s="47">
        <f>'TB-Feb'!$C$13</f>
        <v>0</v>
      </c>
      <c r="S15" s="47">
        <f>'TB-Mar'!$C$13</f>
        <v>0</v>
      </c>
      <c r="T15" s="47">
        <f>'TB-Apr'!$C$13</f>
        <v>0</v>
      </c>
      <c r="U15" s="47">
        <f>'TB-May'!$C$13</f>
        <v>0</v>
      </c>
      <c r="V15" s="47">
        <f>'TB-Jun'!$C$13</f>
        <v>0</v>
      </c>
      <c r="W15" s="47">
        <f>'TB-Jul'!$C$13</f>
        <v>0</v>
      </c>
      <c r="X15" s="47">
        <f>'TB-Aug'!$C$13</f>
        <v>0</v>
      </c>
      <c r="Y15" s="47">
        <f>'TB-Sep'!$C$13</f>
        <v>0</v>
      </c>
      <c r="Z15" s="47">
        <f>'TB-Oct'!$C$13</f>
        <v>0</v>
      </c>
      <c r="AA15" s="47">
        <f>'TB-Nov'!$C$13</f>
        <v>0</v>
      </c>
      <c r="AB15" s="47">
        <f>'TB-Dec'!$C$13</f>
        <v>0</v>
      </c>
    </row>
    <row r="16" spans="1:28" s="79" customFormat="1" ht="15.75" hidden="1" customHeight="1" outlineLevel="3">
      <c r="A16" s="33"/>
      <c r="B16" s="33"/>
      <c r="C16" s="33"/>
      <c r="D16" s="34" t="s">
        <v>13</v>
      </c>
      <c r="E16" s="31">
        <f t="shared" si="1"/>
        <v>0</v>
      </c>
      <c r="F16" s="31">
        <f>SUM($Q16:R16)</f>
        <v>0</v>
      </c>
      <c r="G16" s="31">
        <f>SUM($Q16:S16)</f>
        <v>0</v>
      </c>
      <c r="H16" s="103">
        <f>SUM($Q16:T16)</f>
        <v>0</v>
      </c>
      <c r="I16" s="103">
        <f>SUM($Q16:U16)</f>
        <v>0</v>
      </c>
      <c r="J16" s="103">
        <f>SUM($Q16:V16)</f>
        <v>0</v>
      </c>
      <c r="K16" s="103">
        <f>SUM($Q16:W16)</f>
        <v>0</v>
      </c>
      <c r="L16" s="103">
        <f>SUM($Q16:X16)</f>
        <v>0</v>
      </c>
      <c r="M16" s="103">
        <f>SUM($Q16:Y16)</f>
        <v>0</v>
      </c>
      <c r="N16" s="103">
        <f>SUM($Q16:Z16)</f>
        <v>0</v>
      </c>
      <c r="O16" s="103">
        <f>SUM($Q16:AA16)</f>
        <v>0</v>
      </c>
      <c r="P16" s="103">
        <f>SUM($Q16:AB16)</f>
        <v>0</v>
      </c>
      <c r="Q16" s="47">
        <f>'TB-Jan'!$C$14</f>
        <v>0</v>
      </c>
      <c r="R16" s="47">
        <f>'TB-Feb'!$C$14</f>
        <v>0</v>
      </c>
      <c r="S16" s="47">
        <f>'TB-Mar'!$C$14</f>
        <v>0</v>
      </c>
      <c r="T16" s="47">
        <f>'TB-Apr'!$C$14</f>
        <v>0</v>
      </c>
      <c r="U16" s="47">
        <f>'TB-May'!$C$14</f>
        <v>0</v>
      </c>
      <c r="V16" s="47">
        <f>'TB-Jun'!$C$14</f>
        <v>0</v>
      </c>
      <c r="W16" s="47">
        <f>'TB-Jul'!$C$14</f>
        <v>0</v>
      </c>
      <c r="X16" s="47">
        <f>'TB-Aug'!$C$14</f>
        <v>0</v>
      </c>
      <c r="Y16" s="47">
        <f>'TB-Sep'!$C$14</f>
        <v>0</v>
      </c>
      <c r="Z16" s="47">
        <f>'TB-Oct'!$C$14</f>
        <v>0</v>
      </c>
      <c r="AA16" s="47">
        <f>'TB-Nov'!$C$14</f>
        <v>0</v>
      </c>
      <c r="AB16" s="47">
        <f>'TB-Dec'!$C$14</f>
        <v>0</v>
      </c>
    </row>
    <row r="17" spans="1:28" s="79" customFormat="1" ht="15.75" hidden="1" customHeight="1" outlineLevel="3">
      <c r="A17" s="33"/>
      <c r="B17" s="33"/>
      <c r="C17" s="33"/>
      <c r="D17" s="34" t="s">
        <v>899</v>
      </c>
      <c r="E17" s="31">
        <f t="shared" si="1"/>
        <v>0</v>
      </c>
      <c r="F17" s="31">
        <f>SUM($Q17:R17)</f>
        <v>0</v>
      </c>
      <c r="G17" s="31">
        <f>SUM($Q17:S17)</f>
        <v>0</v>
      </c>
      <c r="H17" s="103">
        <f>SUM($Q17:T17)</f>
        <v>0</v>
      </c>
      <c r="I17" s="103">
        <f>SUM($Q17:U17)</f>
        <v>0</v>
      </c>
      <c r="J17" s="103">
        <f>SUM($Q17:V17)</f>
        <v>0</v>
      </c>
      <c r="K17" s="103">
        <f>SUM($Q17:W17)</f>
        <v>0</v>
      </c>
      <c r="L17" s="103">
        <f>SUM($Q17:X17)</f>
        <v>0</v>
      </c>
      <c r="M17" s="103">
        <f>SUM($Q17:Y17)</f>
        <v>0</v>
      </c>
      <c r="N17" s="103">
        <f>SUM($Q17:Z17)</f>
        <v>0</v>
      </c>
      <c r="O17" s="103">
        <f>SUM($Q17:AA17)</f>
        <v>0</v>
      </c>
      <c r="P17" s="103">
        <f>SUM($Q17:AB17)</f>
        <v>0</v>
      </c>
      <c r="Q17" s="47">
        <f>'TB-Jan'!$C$15</f>
        <v>0</v>
      </c>
      <c r="R17" s="47">
        <f>'TB-Feb'!$C$15</f>
        <v>0</v>
      </c>
      <c r="S17" s="47">
        <f>'TB-Mar'!$C$15</f>
        <v>0</v>
      </c>
      <c r="T17" s="47">
        <f>'TB-Apr'!$C$15</f>
        <v>0</v>
      </c>
      <c r="U17" s="47">
        <f>'TB-May'!$C$15</f>
        <v>0</v>
      </c>
      <c r="V17" s="47">
        <f>'TB-Jun'!$C$15</f>
        <v>0</v>
      </c>
      <c r="W17" s="47">
        <f>'TB-Jul'!$C$15</f>
        <v>0</v>
      </c>
      <c r="X17" s="47">
        <f>'TB-Aug'!$C$15</f>
        <v>0</v>
      </c>
      <c r="Y17" s="47">
        <f>'TB-Sep'!$C$15</f>
        <v>0</v>
      </c>
      <c r="Z17" s="47">
        <f>'TB-Oct'!$C$15</f>
        <v>0</v>
      </c>
      <c r="AA17" s="47">
        <f>'TB-Nov'!$C$15</f>
        <v>0</v>
      </c>
      <c r="AB17" s="47">
        <f>'TB-Dec'!$C$15</f>
        <v>0</v>
      </c>
    </row>
    <row r="18" spans="1:28" s="79" customFormat="1" ht="15.75" customHeight="1" outlineLevel="3">
      <c r="A18" s="33"/>
      <c r="B18" s="33"/>
      <c r="C18" s="33"/>
      <c r="D18" s="34" t="s">
        <v>17</v>
      </c>
      <c r="E18" s="31">
        <f t="shared" si="1"/>
        <v>0</v>
      </c>
      <c r="F18" s="31"/>
      <c r="G18" s="31"/>
      <c r="H18" s="103"/>
      <c r="I18" s="103">
        <f>SUM($Q18:U18)</f>
        <v>50000</v>
      </c>
      <c r="J18" s="103">
        <f>SUM($Q18:V18)</f>
        <v>50000</v>
      </c>
      <c r="K18" s="103">
        <f>SUM($Q18:W18)</f>
        <v>50000</v>
      </c>
      <c r="L18" s="103">
        <f>SUM($Q18:X18)</f>
        <v>50000</v>
      </c>
      <c r="M18" s="103">
        <f>SUM($Q18:Y18)</f>
        <v>50000</v>
      </c>
      <c r="N18" s="103">
        <f>SUM($Q18:Z18)</f>
        <v>50000</v>
      </c>
      <c r="O18" s="103">
        <f>SUM($Q18:AA18)</f>
        <v>50000</v>
      </c>
      <c r="P18" s="103">
        <f>SUM($Q18:AB18)</f>
        <v>50000</v>
      </c>
      <c r="Q18" s="47">
        <f>'TB-Jan'!$C$16</f>
        <v>0</v>
      </c>
      <c r="R18" s="47">
        <f>'TB-Feb'!$C$16</f>
        <v>0</v>
      </c>
      <c r="S18" s="47">
        <f>'TB-Mar'!$C$16</f>
        <v>0</v>
      </c>
      <c r="T18" s="47">
        <f>'TB-Apr'!$C$16</f>
        <v>50000</v>
      </c>
      <c r="U18" s="47">
        <f>'TB-May'!$C$16</f>
        <v>0</v>
      </c>
      <c r="V18" s="47">
        <f>'TB-Jun'!$C$16</f>
        <v>0</v>
      </c>
      <c r="W18" s="47">
        <f>'TB-Jul'!$C$16</f>
        <v>0</v>
      </c>
      <c r="X18" s="47">
        <f>'TB-Aug'!$C$16</f>
        <v>0</v>
      </c>
      <c r="Y18" s="47">
        <f>'TB-Sep'!$C$16</f>
        <v>0</v>
      </c>
      <c r="Z18" s="47">
        <f>'TB-Oct'!$C$16</f>
        <v>0</v>
      </c>
      <c r="AA18" s="47">
        <f>'TB-Nov'!$C$16</f>
        <v>0</v>
      </c>
      <c r="AB18" s="47">
        <f>'TB-Dec'!$C$16</f>
        <v>0</v>
      </c>
    </row>
    <row r="19" spans="1:28" s="79" customFormat="1" ht="15.75" customHeight="1" outlineLevel="3">
      <c r="A19" s="33"/>
      <c r="B19" s="33"/>
      <c r="C19" s="33"/>
      <c r="D19" s="34" t="s">
        <v>19</v>
      </c>
      <c r="E19" s="31">
        <f t="shared" si="1"/>
        <v>0</v>
      </c>
      <c r="F19" s="31">
        <f>SUM($Q19:R19)</f>
        <v>0</v>
      </c>
      <c r="G19" s="31">
        <f>SUM($Q19:S19)</f>
        <v>0</v>
      </c>
      <c r="H19" s="103">
        <f>SUM($Q19:T19)</f>
        <v>4876.6200000001118</v>
      </c>
      <c r="I19" s="103">
        <f>SUM($Q19:U19)</f>
        <v>7931.7900000001537</v>
      </c>
      <c r="J19" s="103">
        <f>SUM($Q19:V19)</f>
        <v>7931.7900000001537</v>
      </c>
      <c r="K19" s="103">
        <f>SUM($Q19:W19)</f>
        <v>8775.0899999999674</v>
      </c>
      <c r="L19" s="103">
        <f>SUM($Q19:X19)</f>
        <v>8774.789999999979</v>
      </c>
      <c r="M19" s="103">
        <f>SUM($Q19:Y19)</f>
        <v>8774.789999999979</v>
      </c>
      <c r="N19" s="103">
        <f>SUM($Q19:Z19)</f>
        <v>8774.789999999979</v>
      </c>
      <c r="O19" s="103">
        <f>SUM($Q19:AA19)</f>
        <v>8774.789999999979</v>
      </c>
      <c r="P19" s="103">
        <f>SUM($Q19:AB19)</f>
        <v>8774.789999999979</v>
      </c>
      <c r="Q19" s="47">
        <f>'TB-Jan'!$C$17</f>
        <v>0</v>
      </c>
      <c r="R19" s="47">
        <f>'TB-Feb'!$C$17</f>
        <v>0</v>
      </c>
      <c r="S19" s="47">
        <f>'TB-Mar'!$C$17</f>
        <v>0</v>
      </c>
      <c r="T19" s="47">
        <f>'TB-Apr'!$C$17</f>
        <v>4876.6200000001118</v>
      </c>
      <c r="U19" s="47">
        <f>'TB-May'!$C$17</f>
        <v>3055.1700000000419</v>
      </c>
      <c r="V19" s="47">
        <f>'TB-Jun'!$C$17</f>
        <v>0</v>
      </c>
      <c r="W19" s="47">
        <f>'TB-Jul'!$C$17</f>
        <v>843.29999999981374</v>
      </c>
      <c r="X19" s="47">
        <f>'TB-Aug'!$C$17</f>
        <v>-0.29999999998835847</v>
      </c>
      <c r="Y19" s="47">
        <f>'TB-Sep'!$C$17</f>
        <v>0</v>
      </c>
      <c r="Z19" s="47">
        <f>'TB-Oct'!$C$17</f>
        <v>0</v>
      </c>
      <c r="AA19" s="47">
        <f>'TB-Nov'!$C$17</f>
        <v>0</v>
      </c>
      <c r="AB19" s="47">
        <f>'TB-Dec'!$C$17</f>
        <v>0</v>
      </c>
    </row>
    <row r="20" spans="1:28" s="78" customFormat="1" ht="15.75" customHeight="1" outlineLevel="2">
      <c r="A20" s="32"/>
      <c r="B20" s="32"/>
      <c r="C20" s="32" t="s">
        <v>900</v>
      </c>
      <c r="D20" s="32"/>
      <c r="E20" s="59">
        <f t="shared" si="1"/>
        <v>0</v>
      </c>
      <c r="F20" s="59">
        <f>SUM($Q20:R20)</f>
        <v>0</v>
      </c>
      <c r="G20" s="59">
        <f>SUM($Q20:S20)</f>
        <v>0</v>
      </c>
      <c r="H20" s="59">
        <f>SUM($Q20:T20)</f>
        <v>80144735.819999978</v>
      </c>
      <c r="I20" s="59">
        <f>SUM($Q20:U20)</f>
        <v>81791501.189999983</v>
      </c>
      <c r="J20" s="59">
        <f>SUM($Q20:V20)</f>
        <v>82251858.389999986</v>
      </c>
      <c r="K20" s="59">
        <f>SUM($Q20:W20)</f>
        <v>76792629.789999992</v>
      </c>
      <c r="L20" s="59">
        <f>SUM($Q20:X20)</f>
        <v>109917797.8</v>
      </c>
      <c r="M20" s="59">
        <f>SUM($Q20:Y20)</f>
        <v>109917797.8</v>
      </c>
      <c r="N20" s="59">
        <f>SUM($Q20:Z20)</f>
        <v>109917797.8</v>
      </c>
      <c r="O20" s="59">
        <f>SUM($Q20:AA20)</f>
        <v>109917797.8</v>
      </c>
      <c r="P20" s="59">
        <f>SUM($Q20:AB20)</f>
        <v>109917797.8</v>
      </c>
      <c r="Q20" s="46">
        <f>SUM(Q21:Q24)</f>
        <v>0</v>
      </c>
      <c r="R20" s="46">
        <f t="shared" ref="R20:AB20" si="3">SUM(R21:R24)</f>
        <v>0</v>
      </c>
      <c r="S20" s="46">
        <f t="shared" si="3"/>
        <v>0</v>
      </c>
      <c r="T20" s="46">
        <f t="shared" si="3"/>
        <v>80144735.819999978</v>
      </c>
      <c r="U20" s="46">
        <f t="shared" si="3"/>
        <v>1646765.3699999992</v>
      </c>
      <c r="V20" s="46">
        <f t="shared" si="3"/>
        <v>460357.20000000112</v>
      </c>
      <c r="W20" s="46">
        <f t="shared" si="3"/>
        <v>-5459228.5999999987</v>
      </c>
      <c r="X20" s="46">
        <f t="shared" si="3"/>
        <v>33125168.010000005</v>
      </c>
      <c r="Y20" s="46">
        <f t="shared" si="3"/>
        <v>0</v>
      </c>
      <c r="Z20" s="46">
        <f t="shared" si="3"/>
        <v>0</v>
      </c>
      <c r="AA20" s="46">
        <f t="shared" si="3"/>
        <v>0</v>
      </c>
      <c r="AB20" s="46">
        <f t="shared" si="3"/>
        <v>0</v>
      </c>
    </row>
    <row r="21" spans="1:28" s="79" customFormat="1" ht="15.75" hidden="1" customHeight="1" outlineLevel="3">
      <c r="A21" s="33"/>
      <c r="B21" s="33"/>
      <c r="C21" s="33"/>
      <c r="D21" s="34" t="s">
        <v>21</v>
      </c>
      <c r="E21" s="31">
        <f t="shared" si="1"/>
        <v>0</v>
      </c>
      <c r="F21" s="31">
        <f>SUM($Q21:R21)</f>
        <v>0</v>
      </c>
      <c r="G21" s="31">
        <f>SUM($Q21:S21)</f>
        <v>0</v>
      </c>
      <c r="H21" s="103">
        <f>SUM($Q21:T21)</f>
        <v>0</v>
      </c>
      <c r="I21" s="103">
        <f>SUM($Q21:U21)</f>
        <v>0</v>
      </c>
      <c r="J21" s="103">
        <f>SUM($Q21:V21)</f>
        <v>0</v>
      </c>
      <c r="K21" s="103">
        <f>SUM($Q21:W21)</f>
        <v>0</v>
      </c>
      <c r="L21" s="103">
        <f>SUM($Q21:X21)</f>
        <v>0</v>
      </c>
      <c r="M21" s="103">
        <f>SUM($Q21:Y21)</f>
        <v>0</v>
      </c>
      <c r="N21" s="103">
        <f>SUM($Q21:Z21)</f>
        <v>0</v>
      </c>
      <c r="O21" s="103">
        <f>SUM($Q21:AA21)</f>
        <v>0</v>
      </c>
      <c r="P21" s="103">
        <f>SUM($Q21:AB21)</f>
        <v>0</v>
      </c>
      <c r="Q21" s="47">
        <f>'TB-Jan'!$C$18</f>
        <v>0</v>
      </c>
      <c r="R21" s="47">
        <f>'TB-Feb'!$C$18</f>
        <v>0</v>
      </c>
      <c r="S21" s="47">
        <f>'TB-Mar'!$C$18</f>
        <v>0</v>
      </c>
      <c r="T21" s="47">
        <f>'TB-Apr'!$C$18</f>
        <v>0</v>
      </c>
      <c r="U21" s="47">
        <f>'TB-May'!$C$18</f>
        <v>0</v>
      </c>
      <c r="V21" s="47">
        <f>'TB-Jun'!$C$18</f>
        <v>0</v>
      </c>
      <c r="W21" s="47">
        <f>'TB-Jul'!$C$18</f>
        <v>0</v>
      </c>
      <c r="X21" s="47">
        <f>'TB-Aug'!$C$18</f>
        <v>0</v>
      </c>
      <c r="Y21" s="47">
        <f>'TB-Sep'!$C$18</f>
        <v>0</v>
      </c>
      <c r="Z21" s="47">
        <f>'TB-Oct'!$C$18</f>
        <v>0</v>
      </c>
      <c r="AA21" s="47">
        <f>'TB-Nov'!$C$18</f>
        <v>0</v>
      </c>
      <c r="AB21" s="47">
        <f>'TB-Dec'!$C$18</f>
        <v>0</v>
      </c>
    </row>
    <row r="22" spans="1:28" s="79" customFormat="1" ht="15.75" customHeight="1" outlineLevel="3">
      <c r="A22" s="33"/>
      <c r="B22" s="33"/>
      <c r="C22" s="33"/>
      <c r="D22" s="34" t="s">
        <v>22</v>
      </c>
      <c r="E22" s="31">
        <f t="shared" si="1"/>
        <v>0</v>
      </c>
      <c r="F22" s="31">
        <f>SUM($Q22:R22)</f>
        <v>0</v>
      </c>
      <c r="G22" s="31">
        <f>SUM($Q22:S22)</f>
        <v>0</v>
      </c>
      <c r="H22" s="103">
        <f>SUM($Q22:T22)</f>
        <v>75809617.73999998</v>
      </c>
      <c r="I22" s="103">
        <f>SUM($Q22:U22)</f>
        <v>77456383.109999985</v>
      </c>
      <c r="J22" s="103">
        <f>SUM($Q22:V22)</f>
        <v>77916740.309999987</v>
      </c>
      <c r="K22" s="103">
        <f>SUM($Q22:W22)</f>
        <v>72457511.709999993</v>
      </c>
      <c r="L22" s="103">
        <f>SUM($Q22:X22)</f>
        <v>105582679.72</v>
      </c>
      <c r="M22" s="103">
        <f>SUM($Q22:Y22)</f>
        <v>105582679.72</v>
      </c>
      <c r="N22" s="103">
        <f>SUM($Q22:Z22)</f>
        <v>105582679.72</v>
      </c>
      <c r="O22" s="103">
        <f>SUM($Q22:AA22)</f>
        <v>105582679.72</v>
      </c>
      <c r="P22" s="103">
        <f>SUM($Q22:AB22)</f>
        <v>105582679.72</v>
      </c>
      <c r="Q22" s="47">
        <f>'TB-Jan'!$C$19</f>
        <v>0</v>
      </c>
      <c r="R22" s="47">
        <f>'TB-Feb'!$C$19</f>
        <v>0</v>
      </c>
      <c r="S22" s="47">
        <f>'TB-Mar'!$C$19</f>
        <v>0</v>
      </c>
      <c r="T22" s="47">
        <f>'TB-Apr'!$C$19</f>
        <v>75809617.73999998</v>
      </c>
      <c r="U22" s="47">
        <f>'TB-May'!$C$19</f>
        <v>1646765.3699999992</v>
      </c>
      <c r="V22" s="47">
        <f>'TB-Jun'!$C$19</f>
        <v>460357.20000000112</v>
      </c>
      <c r="W22" s="47">
        <f>'TB-Jul'!$C$19</f>
        <v>-5459228.5999999987</v>
      </c>
      <c r="X22" s="47">
        <f>'TB-Aug'!$C$19</f>
        <v>33125168.010000005</v>
      </c>
      <c r="Y22" s="47">
        <f>'TB-Sep'!$C$19</f>
        <v>0</v>
      </c>
      <c r="Z22" s="47">
        <f>'TB-Oct'!$C$19</f>
        <v>0</v>
      </c>
      <c r="AA22" s="47">
        <f>'TB-Nov'!$C$19</f>
        <v>0</v>
      </c>
      <c r="AB22" s="47">
        <f>'TB-Dec'!$C$19</f>
        <v>0</v>
      </c>
    </row>
    <row r="23" spans="1:28" s="79" customFormat="1" ht="15.75" customHeight="1" outlineLevel="3">
      <c r="A23" s="33"/>
      <c r="B23" s="33"/>
      <c r="C23" s="33"/>
      <c r="D23" s="34" t="s">
        <v>901</v>
      </c>
      <c r="E23" s="31">
        <f t="shared" si="1"/>
        <v>0</v>
      </c>
      <c r="F23" s="31">
        <f>SUM($Q23:R23)</f>
        <v>0</v>
      </c>
      <c r="G23" s="31">
        <f>SUM($Q23:S23)</f>
        <v>0</v>
      </c>
      <c r="H23" s="103">
        <f>SUM($Q23:T23)</f>
        <v>4335118.08</v>
      </c>
      <c r="I23" s="103">
        <f>SUM($Q23:U23)</f>
        <v>4335118.08</v>
      </c>
      <c r="J23" s="103">
        <f>SUM($Q23:V23)</f>
        <v>4335118.08</v>
      </c>
      <c r="K23" s="103">
        <f>SUM($Q23:W23)</f>
        <v>4335118.08</v>
      </c>
      <c r="L23" s="103">
        <f>SUM($Q23:X23)</f>
        <v>4335118.08</v>
      </c>
      <c r="M23" s="103">
        <f>SUM($Q23:Y23)</f>
        <v>4335118.08</v>
      </c>
      <c r="N23" s="103">
        <f>SUM($Q23:Z23)</f>
        <v>4335118.08</v>
      </c>
      <c r="O23" s="103">
        <f>SUM($Q23:AA23)</f>
        <v>4335118.08</v>
      </c>
      <c r="P23" s="103">
        <f>SUM($Q23:AB23)</f>
        <v>4335118.08</v>
      </c>
      <c r="Q23" s="47">
        <f>'TB-Jan'!$C$20</f>
        <v>0</v>
      </c>
      <c r="R23" s="47">
        <f>'TB-Feb'!$C$20</f>
        <v>0</v>
      </c>
      <c r="S23" s="47">
        <f>'TB-Mar'!$C$20</f>
        <v>0</v>
      </c>
      <c r="T23" s="47">
        <f>'TB-Apr'!$C$20</f>
        <v>4335118.08</v>
      </c>
      <c r="U23" s="47">
        <f>'TB-May'!$C$20</f>
        <v>0</v>
      </c>
      <c r="V23" s="47">
        <f>'TB-Jun'!$C$20</f>
        <v>0</v>
      </c>
      <c r="W23" s="47">
        <f>'TB-Jul'!$C$20</f>
        <v>0</v>
      </c>
      <c r="X23" s="47">
        <f>'TB-Aug'!$C$20</f>
        <v>0</v>
      </c>
      <c r="Y23" s="47">
        <f>'TB-Sep'!$C$20</f>
        <v>0</v>
      </c>
      <c r="Z23" s="47">
        <f>'TB-Oct'!$C$20</f>
        <v>0</v>
      </c>
      <c r="AA23" s="47">
        <f>'TB-Nov'!$C$20</f>
        <v>0</v>
      </c>
      <c r="AB23" s="47">
        <f>'TB-Dec'!$C$20</f>
        <v>0</v>
      </c>
    </row>
    <row r="24" spans="1:28" s="79" customFormat="1" ht="15.75" hidden="1" customHeight="1" outlineLevel="3">
      <c r="A24" s="33"/>
      <c r="B24" s="33"/>
      <c r="C24" s="33"/>
      <c r="D24" s="34" t="s">
        <v>24</v>
      </c>
      <c r="E24" s="31">
        <f t="shared" si="1"/>
        <v>0</v>
      </c>
      <c r="F24" s="31">
        <f>SUM($Q24:R24)</f>
        <v>0</v>
      </c>
      <c r="G24" s="31">
        <f>SUM($Q24:S24)</f>
        <v>0</v>
      </c>
      <c r="H24" s="103">
        <f>SUM($Q24:T24)</f>
        <v>0</v>
      </c>
      <c r="I24" s="103">
        <f>SUM($Q24:U24)</f>
        <v>0</v>
      </c>
      <c r="J24" s="103">
        <f>SUM($Q24:V24)</f>
        <v>0</v>
      </c>
      <c r="K24" s="103">
        <f>SUM($Q24:W24)</f>
        <v>0</v>
      </c>
      <c r="L24" s="103">
        <f>SUM($Q24:X24)</f>
        <v>0</v>
      </c>
      <c r="M24" s="103">
        <f>SUM($Q24:Y24)</f>
        <v>0</v>
      </c>
      <c r="N24" s="103">
        <f>SUM($Q24:Z24)</f>
        <v>0</v>
      </c>
      <c r="O24" s="103">
        <f>SUM($Q24:AA24)</f>
        <v>0</v>
      </c>
      <c r="P24" s="103">
        <f>SUM($Q24:AB24)</f>
        <v>0</v>
      </c>
      <c r="Q24" s="47">
        <f>'TB-Jan'!$C$21</f>
        <v>0</v>
      </c>
      <c r="R24" s="47">
        <f>'TB-Feb'!$C$21</f>
        <v>0</v>
      </c>
      <c r="S24" s="47">
        <f>'TB-Mar'!$C$21</f>
        <v>0</v>
      </c>
      <c r="T24" s="47">
        <f>'TB-Apr'!$C$21</f>
        <v>0</v>
      </c>
      <c r="U24" s="47">
        <f>'TB-May'!$C$21</f>
        <v>0</v>
      </c>
      <c r="V24" s="47">
        <f>'TB-Jun'!$C$21</f>
        <v>0</v>
      </c>
      <c r="W24" s="47">
        <f>'TB-Jul'!$C$21</f>
        <v>0</v>
      </c>
      <c r="X24" s="47">
        <f>'TB-Aug'!$C$21</f>
        <v>0</v>
      </c>
      <c r="Y24" s="47">
        <f>'TB-Sep'!$C$21</f>
        <v>0</v>
      </c>
      <c r="Z24" s="47">
        <f>'TB-Oct'!$C$21</f>
        <v>0</v>
      </c>
      <c r="AA24" s="47">
        <f>'TB-Nov'!$C$21</f>
        <v>0</v>
      </c>
      <c r="AB24" s="47">
        <f>'TB-Dec'!$C$21</f>
        <v>0</v>
      </c>
    </row>
    <row r="25" spans="1:28" s="78" customFormat="1" ht="15.75" hidden="1" customHeight="1" outlineLevel="2">
      <c r="A25" s="32"/>
      <c r="B25" s="32"/>
      <c r="C25" s="32" t="s">
        <v>902</v>
      </c>
      <c r="D25" s="32"/>
      <c r="E25" s="59">
        <f t="shared" si="1"/>
        <v>0</v>
      </c>
      <c r="F25" s="59">
        <f>SUM($Q25:R25)</f>
        <v>0</v>
      </c>
      <c r="G25" s="59">
        <f>SUM($Q25:S25)</f>
        <v>0</v>
      </c>
      <c r="H25" s="104">
        <f>SUM($Q25:T25)</f>
        <v>0</v>
      </c>
      <c r="I25" s="104">
        <f>SUM($Q25:U25)</f>
        <v>0</v>
      </c>
      <c r="J25" s="104">
        <f>SUM($Q25:V25)</f>
        <v>0</v>
      </c>
      <c r="K25" s="104">
        <f>SUM($Q25:W25)</f>
        <v>0</v>
      </c>
      <c r="L25" s="104">
        <f>SUM($Q25:X25)</f>
        <v>0</v>
      </c>
      <c r="M25" s="104">
        <f>SUM($Q25:Y25)</f>
        <v>0</v>
      </c>
      <c r="N25" s="104">
        <f>SUM($Q25:Z25)</f>
        <v>0</v>
      </c>
      <c r="O25" s="104">
        <f>SUM($Q25:AA25)</f>
        <v>0</v>
      </c>
      <c r="P25" s="104">
        <f>SUM($Q25:AB25)</f>
        <v>0</v>
      </c>
      <c r="Q25" s="46">
        <f>SUM(Q26:Q29)</f>
        <v>0</v>
      </c>
      <c r="R25" s="46">
        <f t="shared" ref="R25:AB25" si="4">SUM(R26:R29)</f>
        <v>0</v>
      </c>
      <c r="S25" s="46">
        <f t="shared" si="4"/>
        <v>0</v>
      </c>
      <c r="T25" s="46">
        <f t="shared" si="4"/>
        <v>0</v>
      </c>
      <c r="U25" s="46">
        <f t="shared" si="4"/>
        <v>0</v>
      </c>
      <c r="V25" s="46">
        <f t="shared" si="4"/>
        <v>0</v>
      </c>
      <c r="W25" s="46">
        <f t="shared" si="4"/>
        <v>0</v>
      </c>
      <c r="X25" s="46">
        <f t="shared" si="4"/>
        <v>0</v>
      </c>
      <c r="Y25" s="46">
        <f t="shared" si="4"/>
        <v>0</v>
      </c>
      <c r="Z25" s="46">
        <f t="shared" si="4"/>
        <v>0</v>
      </c>
      <c r="AA25" s="46">
        <f t="shared" si="4"/>
        <v>0</v>
      </c>
      <c r="AB25" s="46">
        <f t="shared" si="4"/>
        <v>0</v>
      </c>
    </row>
    <row r="26" spans="1:28" s="79" customFormat="1" ht="15.75" hidden="1" customHeight="1" outlineLevel="2">
      <c r="A26" s="33"/>
      <c r="B26" s="33"/>
      <c r="C26" s="33"/>
      <c r="D26" s="34" t="s">
        <v>21</v>
      </c>
      <c r="E26" s="31">
        <f t="shared" si="1"/>
        <v>0</v>
      </c>
      <c r="F26" s="31">
        <f>SUM($Q26:R26)</f>
        <v>0</v>
      </c>
      <c r="G26" s="31">
        <f>SUM($Q26:S26)</f>
        <v>0</v>
      </c>
      <c r="H26" s="103">
        <f>SUM($Q26:T26)</f>
        <v>0</v>
      </c>
      <c r="I26" s="103">
        <f>SUM($Q26:U26)</f>
        <v>0</v>
      </c>
      <c r="J26" s="103">
        <f>SUM($Q26:V26)</f>
        <v>0</v>
      </c>
      <c r="K26" s="103">
        <f>SUM($Q26:W26)</f>
        <v>0</v>
      </c>
      <c r="L26" s="103">
        <f>SUM($Q26:X26)</f>
        <v>0</v>
      </c>
      <c r="M26" s="103">
        <f>SUM($Q26:Y26)</f>
        <v>0</v>
      </c>
      <c r="N26" s="103">
        <f>SUM($Q26:Z26)</f>
        <v>0</v>
      </c>
      <c r="O26" s="103">
        <f>SUM($Q26:AA26)</f>
        <v>0</v>
      </c>
      <c r="P26" s="103">
        <f>SUM($Q26:AB26)</f>
        <v>0</v>
      </c>
      <c r="Q26" s="47">
        <f>'TB-Jan'!$C$22</f>
        <v>0</v>
      </c>
      <c r="R26" s="47">
        <f>'TB-Feb'!$C$22</f>
        <v>0</v>
      </c>
      <c r="S26" s="47">
        <f>'TB-Mar'!$C$22</f>
        <v>0</v>
      </c>
      <c r="T26" s="47">
        <f>'TB-Apr'!$C$22</f>
        <v>0</v>
      </c>
      <c r="U26" s="47">
        <f>'TB-May'!$C$22</f>
        <v>0</v>
      </c>
      <c r="V26" s="47">
        <f>'TB-Jun'!$C$22</f>
        <v>0</v>
      </c>
      <c r="W26" s="47">
        <f>'TB-Jul'!$C$22</f>
        <v>0</v>
      </c>
      <c r="X26" s="47">
        <f>'TB-Aug'!$C$22</f>
        <v>0</v>
      </c>
      <c r="Y26" s="47">
        <f>'TB-Sep'!$C$22</f>
        <v>0</v>
      </c>
      <c r="Z26" s="47">
        <f>'TB-Oct'!$C$22</f>
        <v>0</v>
      </c>
      <c r="AA26" s="47">
        <f>'TB-Nov'!$C$22</f>
        <v>0</v>
      </c>
      <c r="AB26" s="47">
        <f>'TB-Dec'!$C$22</f>
        <v>0</v>
      </c>
    </row>
    <row r="27" spans="1:28" s="79" customFormat="1" ht="15.75" hidden="1" customHeight="1" outlineLevel="2">
      <c r="A27" s="33"/>
      <c r="B27" s="33"/>
      <c r="C27" s="33"/>
      <c r="D27" s="34" t="s">
        <v>25</v>
      </c>
      <c r="E27" s="31">
        <f t="shared" si="1"/>
        <v>0</v>
      </c>
      <c r="F27" s="31">
        <f>SUM($Q27:R27)</f>
        <v>0</v>
      </c>
      <c r="G27" s="31">
        <f>SUM($Q27:S27)</f>
        <v>0</v>
      </c>
      <c r="H27" s="103">
        <f>SUM($Q27:T27)</f>
        <v>0</v>
      </c>
      <c r="I27" s="103">
        <f>SUM($Q27:U27)</f>
        <v>0</v>
      </c>
      <c r="J27" s="103">
        <f>SUM($Q27:V27)</f>
        <v>0</v>
      </c>
      <c r="K27" s="103">
        <f>SUM($Q27:W27)</f>
        <v>0</v>
      </c>
      <c r="L27" s="103">
        <f>SUM($Q27:X27)</f>
        <v>0</v>
      </c>
      <c r="M27" s="103">
        <f>SUM($Q27:Y27)</f>
        <v>0</v>
      </c>
      <c r="N27" s="103">
        <f>SUM($Q27:Z27)</f>
        <v>0</v>
      </c>
      <c r="O27" s="103">
        <f>SUM($Q27:AA27)</f>
        <v>0</v>
      </c>
      <c r="P27" s="103">
        <f>SUM($Q27:AB27)</f>
        <v>0</v>
      </c>
      <c r="Q27" s="47">
        <f>'TB-Jan'!$C$23</f>
        <v>0</v>
      </c>
      <c r="R27" s="47">
        <f>'TB-Feb'!$C$23</f>
        <v>0</v>
      </c>
      <c r="S27" s="47">
        <f>'TB-Mar'!$C$23</f>
        <v>0</v>
      </c>
      <c r="T27" s="47">
        <f>'TB-Apr'!$C$23</f>
        <v>0</v>
      </c>
      <c r="U27" s="47">
        <f>'TB-May'!$C$23</f>
        <v>0</v>
      </c>
      <c r="V27" s="47">
        <f>'TB-Jun'!$C$23</f>
        <v>0</v>
      </c>
      <c r="W27" s="47">
        <f>'TB-Jul'!$C$23</f>
        <v>0</v>
      </c>
      <c r="X27" s="47">
        <f>'TB-Aug'!$C$23</f>
        <v>0</v>
      </c>
      <c r="Y27" s="47">
        <f>'TB-Sep'!$C$23</f>
        <v>0</v>
      </c>
      <c r="Z27" s="47">
        <f>'TB-Oct'!$C$23</f>
        <v>0</v>
      </c>
      <c r="AA27" s="47">
        <f>'TB-Nov'!$C$23</f>
        <v>0</v>
      </c>
      <c r="AB27" s="47">
        <f>'TB-Dec'!$C$23</f>
        <v>0</v>
      </c>
    </row>
    <row r="28" spans="1:28" s="79" customFormat="1" ht="15.75" hidden="1" customHeight="1" outlineLevel="2">
      <c r="A28" s="33"/>
      <c r="B28" s="33"/>
      <c r="C28" s="33"/>
      <c r="D28" s="34" t="s">
        <v>26</v>
      </c>
      <c r="E28" s="31">
        <f t="shared" si="1"/>
        <v>0</v>
      </c>
      <c r="F28" s="31">
        <f>SUM($Q28:R28)</f>
        <v>0</v>
      </c>
      <c r="G28" s="31">
        <f>SUM($Q28:S28)</f>
        <v>0</v>
      </c>
      <c r="H28" s="103">
        <f>SUM($Q28:T28)</f>
        <v>0</v>
      </c>
      <c r="I28" s="103">
        <f>SUM($Q28:U28)</f>
        <v>0</v>
      </c>
      <c r="J28" s="103">
        <f>SUM($Q28:V28)</f>
        <v>0</v>
      </c>
      <c r="K28" s="103">
        <f>SUM($Q28:W28)</f>
        <v>0</v>
      </c>
      <c r="L28" s="103">
        <f>SUM($Q28:X28)</f>
        <v>0</v>
      </c>
      <c r="M28" s="103">
        <f>SUM($Q28:Y28)</f>
        <v>0</v>
      </c>
      <c r="N28" s="103">
        <f>SUM($Q28:Z28)</f>
        <v>0</v>
      </c>
      <c r="O28" s="103">
        <f>SUM($Q28:AA28)</f>
        <v>0</v>
      </c>
      <c r="P28" s="103">
        <f>SUM($Q28:AB28)</f>
        <v>0</v>
      </c>
      <c r="Q28" s="47">
        <f>'TB-Jan'!$C$24</f>
        <v>0</v>
      </c>
      <c r="R28" s="47">
        <f>'TB-Feb'!$C$24</f>
        <v>0</v>
      </c>
      <c r="S28" s="47">
        <f>'TB-Mar'!$C$24</f>
        <v>0</v>
      </c>
      <c r="T28" s="47">
        <f>'TB-Apr'!$C$24</f>
        <v>0</v>
      </c>
      <c r="U28" s="47">
        <f>'TB-May'!$C$24</f>
        <v>0</v>
      </c>
      <c r="V28" s="47">
        <f>'TB-Jun'!$C$24</f>
        <v>0</v>
      </c>
      <c r="W28" s="47">
        <f>'TB-Jul'!$C$24</f>
        <v>0</v>
      </c>
      <c r="X28" s="47">
        <f>'TB-Aug'!$C$24</f>
        <v>0</v>
      </c>
      <c r="Y28" s="47">
        <f>'TB-Sep'!$C$24</f>
        <v>0</v>
      </c>
      <c r="Z28" s="47">
        <f>'TB-Oct'!$C$24</f>
        <v>0</v>
      </c>
      <c r="AA28" s="47">
        <f>'TB-Nov'!$C$24</f>
        <v>0</v>
      </c>
      <c r="AB28" s="47">
        <f>'TB-Dec'!$C$24</f>
        <v>0</v>
      </c>
    </row>
    <row r="29" spans="1:28" s="79" customFormat="1" ht="15.75" hidden="1" customHeight="1" outlineLevel="2">
      <c r="A29" s="33"/>
      <c r="B29" s="33"/>
      <c r="C29" s="33"/>
      <c r="D29" s="34" t="s">
        <v>28</v>
      </c>
      <c r="E29" s="31">
        <f t="shared" si="1"/>
        <v>0</v>
      </c>
      <c r="F29" s="31">
        <f>SUM($Q29:R29)</f>
        <v>0</v>
      </c>
      <c r="G29" s="31">
        <f>SUM($Q29:S29)</f>
        <v>0</v>
      </c>
      <c r="H29" s="103">
        <f>SUM($Q29:T29)</f>
        <v>0</v>
      </c>
      <c r="I29" s="103">
        <f>SUM($Q29:U29)</f>
        <v>0</v>
      </c>
      <c r="J29" s="103">
        <f>SUM($Q29:V29)</f>
        <v>0</v>
      </c>
      <c r="K29" s="103">
        <f>SUM($Q29:W29)</f>
        <v>0</v>
      </c>
      <c r="L29" s="103">
        <f>SUM($Q29:X29)</f>
        <v>0</v>
      </c>
      <c r="M29" s="103">
        <f>SUM($Q29:Y29)</f>
        <v>0</v>
      </c>
      <c r="N29" s="103">
        <f>SUM($Q29:Z29)</f>
        <v>0</v>
      </c>
      <c r="O29" s="103">
        <f>SUM($Q29:AA29)</f>
        <v>0</v>
      </c>
      <c r="P29" s="103">
        <f>SUM($Q29:AB29)</f>
        <v>0</v>
      </c>
      <c r="Q29" s="47">
        <f>'TB-Jan'!$C$25</f>
        <v>0</v>
      </c>
      <c r="R29" s="47">
        <f>'TB-Feb'!$C$25</f>
        <v>0</v>
      </c>
      <c r="S29" s="47">
        <f>'TB-Mar'!$C$25</f>
        <v>0</v>
      </c>
      <c r="T29" s="47">
        <f>'TB-Apr'!$C$25</f>
        <v>0</v>
      </c>
      <c r="U29" s="47">
        <f>'TB-May'!$C$25</f>
        <v>0</v>
      </c>
      <c r="V29" s="47">
        <f>'TB-Jun'!$C$25</f>
        <v>0</v>
      </c>
      <c r="W29" s="47">
        <f>'TB-Jul'!$C$25</f>
        <v>0</v>
      </c>
      <c r="X29" s="47">
        <f>'TB-Aug'!$C$25</f>
        <v>0</v>
      </c>
      <c r="Y29" s="47">
        <f>'TB-Sep'!$C$25</f>
        <v>0</v>
      </c>
      <c r="Z29" s="47">
        <f>'TB-Oct'!$C$25</f>
        <v>0</v>
      </c>
      <c r="AA29" s="47">
        <f>'TB-Nov'!$C$25</f>
        <v>0</v>
      </c>
      <c r="AB29" s="47">
        <f>'TB-Dec'!$C$25</f>
        <v>0</v>
      </c>
    </row>
    <row r="30" spans="1:28" s="78" customFormat="1" ht="15.75" customHeight="1" outlineLevel="1" collapsed="1">
      <c r="A30" s="32"/>
      <c r="B30" s="32" t="s">
        <v>903</v>
      </c>
      <c r="C30" s="32"/>
      <c r="D30" s="35"/>
      <c r="E30" s="59">
        <f t="shared" si="1"/>
        <v>0</v>
      </c>
      <c r="F30" s="59">
        <f>SUM($Q30:R30)</f>
        <v>0</v>
      </c>
      <c r="G30" s="59">
        <f>SUM($Q30:S30)</f>
        <v>0</v>
      </c>
      <c r="H30" s="59">
        <f>SUM($Q30:T30)</f>
        <v>33378487.379999988</v>
      </c>
      <c r="I30" s="59">
        <f>SUM($Q30:U30)</f>
        <v>33753710.899999991</v>
      </c>
      <c r="J30" s="59">
        <f>SUM($Q30:V30)</f>
        <v>33812121.899999991</v>
      </c>
      <c r="K30" s="59">
        <f>SUM($Q30:W30)</f>
        <v>33834621.899999991</v>
      </c>
      <c r="L30" s="59">
        <f>SUM($Q30:X30)</f>
        <v>33919621.899999991</v>
      </c>
      <c r="M30" s="59">
        <f>SUM($Q30:Y30)</f>
        <v>33919621.899999991</v>
      </c>
      <c r="N30" s="59">
        <f>SUM($Q30:Z30)</f>
        <v>33919621.899999991</v>
      </c>
      <c r="O30" s="59">
        <f>SUM($Q30:AA30)</f>
        <v>33919621.899999991</v>
      </c>
      <c r="P30" s="59">
        <f>SUM($Q30:AB30)</f>
        <v>33919621.899999991</v>
      </c>
      <c r="Q30" s="46">
        <f>SUM(Q31,Q42,Q47,Q49)</f>
        <v>0</v>
      </c>
      <c r="R30" s="46">
        <f t="shared" ref="R30:AB30" si="5">SUM(R31,R42,R47,R49)</f>
        <v>0</v>
      </c>
      <c r="S30" s="46">
        <f t="shared" si="5"/>
        <v>0</v>
      </c>
      <c r="T30" s="46">
        <f t="shared" si="5"/>
        <v>33378487.379999988</v>
      </c>
      <c r="U30" s="46">
        <f t="shared" si="5"/>
        <v>375223.52</v>
      </c>
      <c r="V30" s="46">
        <f t="shared" si="5"/>
        <v>58411</v>
      </c>
      <c r="W30" s="46">
        <f t="shared" si="5"/>
        <v>22500</v>
      </c>
      <c r="X30" s="46">
        <f t="shared" si="5"/>
        <v>85000</v>
      </c>
      <c r="Y30" s="46">
        <f t="shared" si="5"/>
        <v>0</v>
      </c>
      <c r="Z30" s="46">
        <f t="shared" si="5"/>
        <v>0</v>
      </c>
      <c r="AA30" s="46">
        <f t="shared" si="5"/>
        <v>0</v>
      </c>
      <c r="AB30" s="46">
        <f t="shared" si="5"/>
        <v>0</v>
      </c>
    </row>
    <row r="31" spans="1:28" s="78" customFormat="1" ht="15.75" customHeight="1" outlineLevel="2">
      <c r="A31" s="32"/>
      <c r="B31" s="32"/>
      <c r="C31" s="32" t="s">
        <v>904</v>
      </c>
      <c r="D31" s="35"/>
      <c r="E31" s="59">
        <f t="shared" si="1"/>
        <v>0</v>
      </c>
      <c r="F31" s="59">
        <f>SUM($Q31:R31)</f>
        <v>0</v>
      </c>
      <c r="G31" s="59">
        <f>SUM($Q31:S31)</f>
        <v>0</v>
      </c>
      <c r="H31" s="59">
        <f>SUM($Q31:T31)</f>
        <v>29984964.059999987</v>
      </c>
      <c r="I31" s="59">
        <f>SUM($Q31:U31)</f>
        <v>30360187.579999987</v>
      </c>
      <c r="J31" s="59">
        <f>SUM($Q31:V31)</f>
        <v>30388598.579999987</v>
      </c>
      <c r="K31" s="59">
        <f>SUM($Q31:W31)</f>
        <v>30411098.579999987</v>
      </c>
      <c r="L31" s="59">
        <f>SUM($Q31:X31)</f>
        <v>30461098.579999987</v>
      </c>
      <c r="M31" s="59">
        <f>SUM($Q31:Y31)</f>
        <v>30461098.579999987</v>
      </c>
      <c r="N31" s="59">
        <f>SUM($Q31:Z31)</f>
        <v>30461098.579999987</v>
      </c>
      <c r="O31" s="59">
        <f>SUM($Q31:AA31)</f>
        <v>30461098.579999987</v>
      </c>
      <c r="P31" s="59">
        <f>SUM($Q31:AB31)</f>
        <v>30461098.579999987</v>
      </c>
      <c r="Q31" s="46">
        <f>SUM(Q32,Q34:Q41)-Q33</f>
        <v>0</v>
      </c>
      <c r="R31" s="46">
        <f t="shared" ref="R31:AB31" si="6">SUM(R32:R41)</f>
        <v>0</v>
      </c>
      <c r="S31" s="46">
        <f t="shared" si="6"/>
        <v>0</v>
      </c>
      <c r="T31" s="46">
        <f t="shared" si="6"/>
        <v>29984964.059999987</v>
      </c>
      <c r="U31" s="46">
        <f t="shared" si="6"/>
        <v>375223.52</v>
      </c>
      <c r="V31" s="46">
        <f t="shared" si="6"/>
        <v>28411</v>
      </c>
      <c r="W31" s="46">
        <f t="shared" si="6"/>
        <v>22500</v>
      </c>
      <c r="X31" s="46">
        <f t="shared" si="6"/>
        <v>50000</v>
      </c>
      <c r="Y31" s="46">
        <f t="shared" si="6"/>
        <v>0</v>
      </c>
      <c r="Z31" s="46">
        <f t="shared" si="6"/>
        <v>0</v>
      </c>
      <c r="AA31" s="46">
        <f t="shared" si="6"/>
        <v>0</v>
      </c>
      <c r="AB31" s="46">
        <f t="shared" si="6"/>
        <v>0</v>
      </c>
    </row>
    <row r="32" spans="1:28" s="79" customFormat="1" ht="15.75" hidden="1" customHeight="1" outlineLevel="3">
      <c r="A32" s="33"/>
      <c r="B32" s="33"/>
      <c r="C32" s="33"/>
      <c r="D32" s="34" t="s">
        <v>30</v>
      </c>
      <c r="E32" s="31">
        <f t="shared" si="1"/>
        <v>0</v>
      </c>
      <c r="F32" s="31">
        <f>SUM($Q32:R32)</f>
        <v>0</v>
      </c>
      <c r="G32" s="31">
        <f>SUM($Q32:S32)</f>
        <v>0</v>
      </c>
      <c r="H32" s="103">
        <f>SUM($Q32:T32)</f>
        <v>0</v>
      </c>
      <c r="I32" s="103">
        <f>SUM($Q32:U32)</f>
        <v>0</v>
      </c>
      <c r="J32" s="103">
        <f>SUM($Q32:V32)</f>
        <v>0</v>
      </c>
      <c r="K32" s="103">
        <f>SUM($Q32:W32)</f>
        <v>0</v>
      </c>
      <c r="L32" s="103">
        <f>SUM($Q32:X32)</f>
        <v>0</v>
      </c>
      <c r="M32" s="103">
        <f>SUM($Q32:Y32)</f>
        <v>0</v>
      </c>
      <c r="N32" s="103">
        <f>SUM($Q32:Z32)</f>
        <v>0</v>
      </c>
      <c r="O32" s="103">
        <f>SUM($Q32:AA32)</f>
        <v>0</v>
      </c>
      <c r="P32" s="103">
        <f>SUM($Q32:AB32)</f>
        <v>0</v>
      </c>
      <c r="Q32" s="47">
        <f>'TB-Jan'!$C$26</f>
        <v>0</v>
      </c>
      <c r="R32" s="47">
        <f>'TB-Feb'!$C$26</f>
        <v>0</v>
      </c>
      <c r="S32" s="47">
        <f>'TB-Mar'!$C$26</f>
        <v>0</v>
      </c>
      <c r="T32" s="47">
        <f>'TB-Apr'!$C$26</f>
        <v>0</v>
      </c>
      <c r="U32" s="47">
        <f>'TB-May'!$C$26</f>
        <v>0</v>
      </c>
      <c r="V32" s="47">
        <f>'TB-Jun'!$C$26</f>
        <v>0</v>
      </c>
      <c r="W32" s="47">
        <f>'TB-Jul'!$C$26</f>
        <v>0</v>
      </c>
      <c r="X32" s="47">
        <f>'TB-Aug'!$C$26</f>
        <v>0</v>
      </c>
      <c r="Y32" s="47">
        <f>'TB-Sep'!$C$26</f>
        <v>0</v>
      </c>
      <c r="Z32" s="47">
        <f>'TB-Oct'!$C$26</f>
        <v>0</v>
      </c>
      <c r="AA32" s="47">
        <f>'TB-Nov'!$C$26</f>
        <v>0</v>
      </c>
      <c r="AB32" s="47">
        <f>'TB-Dec'!$C$26</f>
        <v>0</v>
      </c>
    </row>
    <row r="33" spans="1:28" s="80" customFormat="1" ht="15.75" hidden="1" customHeight="1" outlineLevel="3">
      <c r="A33" s="36"/>
      <c r="B33" s="36"/>
      <c r="C33" s="36"/>
      <c r="D33" s="37" t="s">
        <v>32</v>
      </c>
      <c r="E33" s="31">
        <f t="shared" si="1"/>
        <v>0</v>
      </c>
      <c r="F33" s="31">
        <f>SUM($Q33:R33)</f>
        <v>0</v>
      </c>
      <c r="G33" s="31">
        <f>SUM($Q33:S33)</f>
        <v>0</v>
      </c>
      <c r="H33" s="103">
        <f>SUM($Q33:T33)</f>
        <v>0</v>
      </c>
      <c r="I33" s="103">
        <f>SUM($Q33:U33)</f>
        <v>0</v>
      </c>
      <c r="J33" s="103">
        <f>SUM($Q33:V33)</f>
        <v>0</v>
      </c>
      <c r="K33" s="103">
        <f>SUM($Q33:W33)</f>
        <v>0</v>
      </c>
      <c r="L33" s="103">
        <f>SUM($Q33:X33)</f>
        <v>0</v>
      </c>
      <c r="M33" s="103">
        <f>SUM($Q33:Y33)</f>
        <v>0</v>
      </c>
      <c r="N33" s="103">
        <f>SUM($Q33:Z33)</f>
        <v>0</v>
      </c>
      <c r="O33" s="103">
        <f>SUM($Q33:AA33)</f>
        <v>0</v>
      </c>
      <c r="P33" s="103">
        <f>SUM($Q33:AB33)</f>
        <v>0</v>
      </c>
      <c r="Q33" s="47">
        <f>'TB-Jan'!$C$27</f>
        <v>0</v>
      </c>
      <c r="R33" s="47">
        <f>'TB-Feb'!$C$27</f>
        <v>0</v>
      </c>
      <c r="S33" s="47">
        <f>'TB-Mar'!$C$27</f>
        <v>0</v>
      </c>
      <c r="T33" s="47">
        <f>'TB-Apr'!$C$27</f>
        <v>0</v>
      </c>
      <c r="U33" s="47">
        <f>'TB-May'!$C$27</f>
        <v>0</v>
      </c>
      <c r="V33" s="47">
        <f>'TB-Jun'!$C$27</f>
        <v>0</v>
      </c>
      <c r="W33" s="47">
        <f>'TB-Jul'!$C$27</f>
        <v>0</v>
      </c>
      <c r="X33" s="47">
        <f>'TB-Aug'!$C$27</f>
        <v>0</v>
      </c>
      <c r="Y33" s="47">
        <f>'TB-Sep'!$C$27</f>
        <v>0</v>
      </c>
      <c r="Z33" s="47">
        <f>'TB-Oct'!$C$27</f>
        <v>0</v>
      </c>
      <c r="AA33" s="47">
        <f>'TB-Nov'!$C$27</f>
        <v>0</v>
      </c>
      <c r="AB33" s="47">
        <f>'TB-Dec'!$C$27</f>
        <v>0</v>
      </c>
    </row>
    <row r="34" spans="1:28" s="79" customFormat="1" ht="15.75" hidden="1" customHeight="1" outlineLevel="3">
      <c r="A34" s="33"/>
      <c r="B34" s="33"/>
      <c r="C34" s="33"/>
      <c r="D34" s="34" t="s">
        <v>34</v>
      </c>
      <c r="E34" s="31">
        <f t="shared" si="1"/>
        <v>0</v>
      </c>
      <c r="F34" s="31">
        <f>SUM($Q34:R34)</f>
        <v>0</v>
      </c>
      <c r="G34" s="31">
        <f>SUM($Q34:S34)</f>
        <v>0</v>
      </c>
      <c r="H34" s="103">
        <f>SUM($Q34:T34)</f>
        <v>0</v>
      </c>
      <c r="I34" s="103">
        <f>SUM($Q34:U34)</f>
        <v>0</v>
      </c>
      <c r="J34" s="103">
        <f>SUM($Q34:V34)</f>
        <v>0</v>
      </c>
      <c r="K34" s="103">
        <f>SUM($Q34:W34)</f>
        <v>0</v>
      </c>
      <c r="L34" s="103">
        <f>SUM($Q34:X34)</f>
        <v>0</v>
      </c>
      <c r="M34" s="103">
        <f>SUM($Q34:Y34)</f>
        <v>0</v>
      </c>
      <c r="N34" s="103">
        <f>SUM($Q34:Z34)</f>
        <v>0</v>
      </c>
      <c r="O34" s="103">
        <f>SUM($Q34:AA34)</f>
        <v>0</v>
      </c>
      <c r="P34" s="103">
        <f>SUM($Q34:AB34)</f>
        <v>0</v>
      </c>
      <c r="Q34" s="47">
        <f>'TB-Jan'!$C$28</f>
        <v>0</v>
      </c>
      <c r="R34" s="47">
        <f>'TB-Feb'!$C$28</f>
        <v>0</v>
      </c>
      <c r="S34" s="47">
        <f>'TB-Mar'!$C$28</f>
        <v>0</v>
      </c>
      <c r="T34" s="47">
        <f>'TB-Apr'!$C$28</f>
        <v>0</v>
      </c>
      <c r="U34" s="47">
        <f>'TB-May'!$C$28</f>
        <v>0</v>
      </c>
      <c r="V34" s="47">
        <f>'TB-Jun'!$C$28</f>
        <v>0</v>
      </c>
      <c r="W34" s="47">
        <f>'TB-Jul'!$C$28</f>
        <v>0</v>
      </c>
      <c r="X34" s="47">
        <f>'TB-Aug'!$C$28</f>
        <v>0</v>
      </c>
      <c r="Y34" s="47">
        <f>'TB-Sep'!$C$28</f>
        <v>0</v>
      </c>
      <c r="Z34" s="47">
        <f>'TB-Oct'!$C$28</f>
        <v>0</v>
      </c>
      <c r="AA34" s="47">
        <f>'TB-Nov'!$C$28</f>
        <v>0</v>
      </c>
      <c r="AB34" s="47">
        <f>'TB-Dec'!$C$28</f>
        <v>0</v>
      </c>
    </row>
    <row r="35" spans="1:28" s="79" customFormat="1" ht="15.75" customHeight="1" outlineLevel="3">
      <c r="A35" s="33"/>
      <c r="B35" s="33"/>
      <c r="C35" s="33"/>
      <c r="D35" s="34" t="s">
        <v>905</v>
      </c>
      <c r="E35" s="31">
        <f t="shared" si="1"/>
        <v>0</v>
      </c>
      <c r="F35" s="31">
        <f>SUM($Q35:R35)</f>
        <v>0</v>
      </c>
      <c r="G35" s="31">
        <f>SUM($Q35:S35)</f>
        <v>0</v>
      </c>
      <c r="H35" s="103">
        <f>SUM($Q35:T35)</f>
        <v>29984964.059999987</v>
      </c>
      <c r="I35" s="103">
        <f>SUM($Q35:U35)</f>
        <v>30360187.579999987</v>
      </c>
      <c r="J35" s="103">
        <f>SUM($Q35:V35)</f>
        <v>30388598.579999987</v>
      </c>
      <c r="K35" s="103">
        <f>SUM($Q35:W35)</f>
        <v>30411098.579999987</v>
      </c>
      <c r="L35" s="103">
        <f>SUM($Q35:X35)</f>
        <v>30461098.579999987</v>
      </c>
      <c r="M35" s="103">
        <f>SUM($Q35:Y35)</f>
        <v>30461098.579999987</v>
      </c>
      <c r="N35" s="103">
        <f>SUM($Q35:Z35)</f>
        <v>30461098.579999987</v>
      </c>
      <c r="O35" s="103">
        <f>SUM($Q35:AA35)</f>
        <v>30461098.579999987</v>
      </c>
      <c r="P35" s="103">
        <f>SUM($Q35:AB35)</f>
        <v>30461098.579999987</v>
      </c>
      <c r="Q35" s="47">
        <f>'TB-Jan'!$C$29+'TB-Jan'!$C$42</f>
        <v>0</v>
      </c>
      <c r="R35" s="47">
        <f>'TB-Feb'!$C$29+'TB-Feb'!$C$42</f>
        <v>0</v>
      </c>
      <c r="S35" s="47">
        <f>'TB-Mar'!$C$29+'TB-Mar'!$C$42</f>
        <v>0</v>
      </c>
      <c r="T35" s="47">
        <f>'TB-Apr'!$C$29+'TB-Apr'!$C$42</f>
        <v>29984964.059999987</v>
      </c>
      <c r="U35" s="47">
        <f>'TB-May'!$C$29+'TB-May'!$C$42</f>
        <v>375223.52</v>
      </c>
      <c r="V35" s="47">
        <f>'TB-Jun'!$C$29+'TB-Jun'!$C$42</f>
        <v>28411</v>
      </c>
      <c r="W35" s="47">
        <f>'TB-Jul'!$C$29+'TB-Jul'!$C$42</f>
        <v>22500</v>
      </c>
      <c r="X35" s="47">
        <f>'TB-Aug'!$C$29+'TB-Aug'!$C$42</f>
        <v>50000</v>
      </c>
      <c r="Y35" s="47">
        <f>'TB-Sep'!$C$29+'TB-Sep'!$C$42</f>
        <v>0</v>
      </c>
      <c r="Z35" s="47">
        <f>'TB-Oct'!$C$29+'TB-Oct'!$C$42</f>
        <v>0</v>
      </c>
      <c r="AA35" s="47">
        <f>'TB-Nov'!$C$29+'TB-Nov'!$C$42</f>
        <v>0</v>
      </c>
      <c r="AB35" s="47">
        <f>'TB-Dec'!$C$29+'TB-Dec'!$C$42</f>
        <v>0</v>
      </c>
    </row>
    <row r="36" spans="1:28" s="79" customFormat="1" ht="15.75" hidden="1" customHeight="1" outlineLevel="3">
      <c r="A36" s="33"/>
      <c r="B36" s="33"/>
      <c r="C36" s="33"/>
      <c r="D36" s="34" t="s">
        <v>38</v>
      </c>
      <c r="E36" s="31">
        <f t="shared" si="1"/>
        <v>0</v>
      </c>
      <c r="F36" s="31">
        <f>SUM($Q36:R36)</f>
        <v>0</v>
      </c>
      <c r="G36" s="31">
        <f>SUM($Q36:S36)</f>
        <v>0</v>
      </c>
      <c r="H36" s="103">
        <f>SUM($Q36:T36)</f>
        <v>0</v>
      </c>
      <c r="I36" s="103">
        <f>SUM($Q36:U36)</f>
        <v>0</v>
      </c>
      <c r="J36" s="103">
        <f>SUM($Q36:V36)</f>
        <v>0</v>
      </c>
      <c r="K36" s="103">
        <f>SUM($Q36:W36)</f>
        <v>0</v>
      </c>
      <c r="L36" s="103">
        <f>SUM($Q36:X36)</f>
        <v>0</v>
      </c>
      <c r="M36" s="103">
        <f>SUM($Q36:Y36)</f>
        <v>0</v>
      </c>
      <c r="N36" s="103">
        <f>SUM($Q36:Z36)</f>
        <v>0</v>
      </c>
      <c r="O36" s="103">
        <f>SUM($Q36:AA36)</f>
        <v>0</v>
      </c>
      <c r="P36" s="103">
        <f>SUM($Q36:AB36)</f>
        <v>0</v>
      </c>
      <c r="Q36" s="47">
        <f>'TB-Jan'!$C$30</f>
        <v>0</v>
      </c>
      <c r="R36" s="47">
        <f>'TB-Feb'!$C$30</f>
        <v>0</v>
      </c>
      <c r="S36" s="47">
        <f>'TB-Mar'!$C$30</f>
        <v>0</v>
      </c>
      <c r="T36" s="47">
        <f>'TB-Apr'!$C$30</f>
        <v>0</v>
      </c>
      <c r="U36" s="47">
        <f>'TB-May'!$C$30</f>
        <v>0</v>
      </c>
      <c r="V36" s="47">
        <f>'TB-Jun'!$C$30</f>
        <v>0</v>
      </c>
      <c r="W36" s="47">
        <f>'TB-Jul'!$C$30</f>
        <v>0</v>
      </c>
      <c r="X36" s="47">
        <f>'TB-Aug'!$C$30</f>
        <v>0</v>
      </c>
      <c r="Y36" s="47">
        <f>'TB-Sep'!$C$30</f>
        <v>0</v>
      </c>
      <c r="Z36" s="47">
        <f>'TB-Oct'!$C$30</f>
        <v>0</v>
      </c>
      <c r="AA36" s="47">
        <f>'TB-Nov'!$C$30</f>
        <v>0</v>
      </c>
      <c r="AB36" s="47">
        <f>'TB-Dec'!$C$30</f>
        <v>0</v>
      </c>
    </row>
    <row r="37" spans="1:28" s="79" customFormat="1" ht="15.75" hidden="1" customHeight="1" outlineLevel="3">
      <c r="A37" s="33"/>
      <c r="B37" s="33"/>
      <c r="C37" s="33"/>
      <c r="D37" s="34" t="s">
        <v>40</v>
      </c>
      <c r="E37" s="31">
        <f t="shared" si="1"/>
        <v>0</v>
      </c>
      <c r="F37" s="31">
        <f>SUM($Q37:R37)</f>
        <v>0</v>
      </c>
      <c r="G37" s="31">
        <f>SUM($Q37:S37)</f>
        <v>0</v>
      </c>
      <c r="H37" s="103">
        <f>SUM($Q37:T37)</f>
        <v>0</v>
      </c>
      <c r="I37" s="103">
        <f>SUM($Q37:U37)</f>
        <v>0</v>
      </c>
      <c r="J37" s="103">
        <f>SUM($Q37:V37)</f>
        <v>0</v>
      </c>
      <c r="K37" s="103">
        <f>SUM($Q37:W37)</f>
        <v>0</v>
      </c>
      <c r="L37" s="103">
        <f>SUM($Q37:X37)</f>
        <v>0</v>
      </c>
      <c r="M37" s="103">
        <f>SUM($Q37:Y37)</f>
        <v>0</v>
      </c>
      <c r="N37" s="103">
        <f>SUM($Q37:Z37)</f>
        <v>0</v>
      </c>
      <c r="O37" s="103">
        <f>SUM($Q37:AA37)</f>
        <v>0</v>
      </c>
      <c r="P37" s="103">
        <f>SUM($Q37:AB37)</f>
        <v>0</v>
      </c>
      <c r="Q37" s="47">
        <f>'TB-Jan'!$C$31</f>
        <v>0</v>
      </c>
      <c r="R37" s="47">
        <f>'TB-Feb'!$C$31</f>
        <v>0</v>
      </c>
      <c r="S37" s="47">
        <f>'TB-Mar'!$C$31</f>
        <v>0</v>
      </c>
      <c r="T37" s="47">
        <f>'TB-Apr'!$C$31</f>
        <v>0</v>
      </c>
      <c r="U37" s="47">
        <f>'TB-May'!$C$31</f>
        <v>0</v>
      </c>
      <c r="V37" s="47">
        <f>'TB-Jun'!$C$31</f>
        <v>0</v>
      </c>
      <c r="W37" s="47">
        <f>'TB-Jul'!$C$31</f>
        <v>0</v>
      </c>
      <c r="X37" s="47">
        <f>'TB-Aug'!$C$31</f>
        <v>0</v>
      </c>
      <c r="Y37" s="47">
        <f>'TB-Sep'!$C$31</f>
        <v>0</v>
      </c>
      <c r="Z37" s="47">
        <f>'TB-Oct'!$C$31</f>
        <v>0</v>
      </c>
      <c r="AA37" s="47">
        <f>'TB-Nov'!$C$31</f>
        <v>0</v>
      </c>
      <c r="AB37" s="47">
        <f>'TB-Dec'!$C$31</f>
        <v>0</v>
      </c>
    </row>
    <row r="38" spans="1:28" s="79" customFormat="1" ht="15.75" hidden="1" customHeight="1" outlineLevel="3">
      <c r="A38" s="33"/>
      <c r="B38" s="33"/>
      <c r="C38" s="33"/>
      <c r="D38" s="34" t="s">
        <v>42</v>
      </c>
      <c r="E38" s="31">
        <f t="shared" si="1"/>
        <v>0</v>
      </c>
      <c r="F38" s="31">
        <f>SUM($Q38:R38)</f>
        <v>0</v>
      </c>
      <c r="G38" s="31">
        <f>SUM($Q38:S38)</f>
        <v>0</v>
      </c>
      <c r="H38" s="103">
        <f>SUM($Q38:T38)</f>
        <v>0</v>
      </c>
      <c r="I38" s="103">
        <f>SUM($Q38:U38)</f>
        <v>0</v>
      </c>
      <c r="J38" s="103">
        <f>SUM($Q38:V38)</f>
        <v>0</v>
      </c>
      <c r="K38" s="103">
        <f>SUM($Q38:W38)</f>
        <v>0</v>
      </c>
      <c r="L38" s="103">
        <f>SUM($Q38:X38)</f>
        <v>0</v>
      </c>
      <c r="M38" s="103">
        <f>SUM($Q38:Y38)</f>
        <v>0</v>
      </c>
      <c r="N38" s="103">
        <f>SUM($Q38:Z38)</f>
        <v>0</v>
      </c>
      <c r="O38" s="103">
        <f>SUM($Q38:AA38)</f>
        <v>0</v>
      </c>
      <c r="P38" s="103">
        <f>SUM($Q38:AB38)</f>
        <v>0</v>
      </c>
      <c r="Q38" s="47">
        <f>'TB-Jan'!$C$32</f>
        <v>0</v>
      </c>
      <c r="R38" s="47">
        <f>'TB-Feb'!$C$32</f>
        <v>0</v>
      </c>
      <c r="S38" s="47">
        <f>'TB-Mar'!$C$32</f>
        <v>0</v>
      </c>
      <c r="T38" s="47">
        <f>'TB-Apr'!$C$32</f>
        <v>0</v>
      </c>
      <c r="U38" s="47">
        <f>'TB-May'!$C$32</f>
        <v>0</v>
      </c>
      <c r="V38" s="47">
        <f>'TB-Jun'!$C$32</f>
        <v>0</v>
      </c>
      <c r="W38" s="47">
        <f>'TB-Jul'!$C$32</f>
        <v>0</v>
      </c>
      <c r="X38" s="47">
        <f>'TB-Aug'!$C$32</f>
        <v>0</v>
      </c>
      <c r="Y38" s="47">
        <f>'TB-Sep'!$C$32</f>
        <v>0</v>
      </c>
      <c r="Z38" s="47">
        <f>'TB-Oct'!$C$32</f>
        <v>0</v>
      </c>
      <c r="AA38" s="47">
        <f>'TB-Nov'!$C$32</f>
        <v>0</v>
      </c>
      <c r="AB38" s="47">
        <f>'TB-Dec'!$C$32</f>
        <v>0</v>
      </c>
    </row>
    <row r="39" spans="1:28" s="79" customFormat="1" ht="15.75" hidden="1" customHeight="1" outlineLevel="3">
      <c r="A39" s="33"/>
      <c r="B39" s="33"/>
      <c r="C39" s="33"/>
      <c r="D39" s="34" t="s">
        <v>44</v>
      </c>
      <c r="E39" s="31">
        <f t="shared" si="1"/>
        <v>0</v>
      </c>
      <c r="F39" s="31">
        <f>SUM($Q39:R39)</f>
        <v>0</v>
      </c>
      <c r="G39" s="31">
        <f>SUM($Q39:S39)</f>
        <v>0</v>
      </c>
      <c r="H39" s="103">
        <f>SUM($Q39:T39)</f>
        <v>0</v>
      </c>
      <c r="I39" s="103">
        <f>SUM($Q39:U39)</f>
        <v>0</v>
      </c>
      <c r="J39" s="103">
        <f>SUM($Q39:V39)</f>
        <v>0</v>
      </c>
      <c r="K39" s="103">
        <f>SUM($Q39:W39)</f>
        <v>0</v>
      </c>
      <c r="L39" s="103">
        <f>SUM($Q39:X39)</f>
        <v>0</v>
      </c>
      <c r="M39" s="103">
        <f>SUM($Q39:Y39)</f>
        <v>0</v>
      </c>
      <c r="N39" s="103">
        <f>SUM($Q39:Z39)</f>
        <v>0</v>
      </c>
      <c r="O39" s="103">
        <f>SUM($Q39:AA39)</f>
        <v>0</v>
      </c>
      <c r="P39" s="103">
        <f>SUM($Q39:AB39)</f>
        <v>0</v>
      </c>
      <c r="Q39" s="47">
        <f>'TB-Jan'!$C$33</f>
        <v>0</v>
      </c>
      <c r="R39" s="47">
        <f>'TB-Feb'!$C$33</f>
        <v>0</v>
      </c>
      <c r="S39" s="47">
        <f>'TB-Mar'!$C$33</f>
        <v>0</v>
      </c>
      <c r="T39" s="47">
        <f>'TB-Apr'!$C$33</f>
        <v>0</v>
      </c>
      <c r="U39" s="47">
        <f>'TB-May'!$C$33</f>
        <v>0</v>
      </c>
      <c r="V39" s="47">
        <f>'TB-Jun'!$C$33</f>
        <v>0</v>
      </c>
      <c r="W39" s="47">
        <f>'TB-Jul'!$C$33</f>
        <v>0</v>
      </c>
      <c r="X39" s="47">
        <f>'TB-Aug'!$C$33</f>
        <v>0</v>
      </c>
      <c r="Y39" s="47">
        <f>'TB-Sep'!$C$33</f>
        <v>0</v>
      </c>
      <c r="Z39" s="47">
        <f>'TB-Oct'!$C$33</f>
        <v>0</v>
      </c>
      <c r="AA39" s="47">
        <f>'TB-Nov'!$C$33</f>
        <v>0</v>
      </c>
      <c r="AB39" s="47">
        <f>'TB-Dec'!$C$33</f>
        <v>0</v>
      </c>
    </row>
    <row r="40" spans="1:28" s="79" customFormat="1" ht="15.75" hidden="1" customHeight="1" outlineLevel="3">
      <c r="A40" s="33"/>
      <c r="B40" s="33"/>
      <c r="C40" s="33"/>
      <c r="D40" s="34" t="s">
        <v>46</v>
      </c>
      <c r="E40" s="31">
        <f t="shared" si="1"/>
        <v>0</v>
      </c>
      <c r="F40" s="31">
        <f>SUM($Q40:R40)</f>
        <v>0</v>
      </c>
      <c r="G40" s="31">
        <f>SUM($Q40:S40)</f>
        <v>0</v>
      </c>
      <c r="H40" s="103">
        <f>SUM($Q40:T40)</f>
        <v>0</v>
      </c>
      <c r="I40" s="103">
        <f>SUM($Q40:U40)</f>
        <v>0</v>
      </c>
      <c r="J40" s="103">
        <f>SUM($Q40:V40)</f>
        <v>0</v>
      </c>
      <c r="K40" s="103">
        <f>SUM($Q40:W40)</f>
        <v>0</v>
      </c>
      <c r="L40" s="103">
        <f>SUM($Q40:X40)</f>
        <v>0</v>
      </c>
      <c r="M40" s="103">
        <f>SUM($Q40:Y40)</f>
        <v>0</v>
      </c>
      <c r="N40" s="103">
        <f>SUM($Q40:Z40)</f>
        <v>0</v>
      </c>
      <c r="O40" s="103">
        <f>SUM($Q40:AA40)</f>
        <v>0</v>
      </c>
      <c r="P40" s="103">
        <f>SUM($Q40:AB40)</f>
        <v>0</v>
      </c>
      <c r="Q40" s="47">
        <f>'TB-Jan'!$C$34</f>
        <v>0</v>
      </c>
      <c r="R40" s="47">
        <f>'TB-Feb'!$C$34</f>
        <v>0</v>
      </c>
      <c r="S40" s="47">
        <f>'TB-Mar'!$C$34</f>
        <v>0</v>
      </c>
      <c r="T40" s="47">
        <f>'TB-Apr'!$C$34</f>
        <v>0</v>
      </c>
      <c r="U40" s="47">
        <f>'TB-May'!$C$34</f>
        <v>0</v>
      </c>
      <c r="V40" s="47">
        <f>'TB-Jun'!$C$34</f>
        <v>0</v>
      </c>
      <c r="W40" s="47">
        <f>'TB-Jul'!$C$34</f>
        <v>0</v>
      </c>
      <c r="X40" s="47">
        <f>'TB-Aug'!$C$34</f>
        <v>0</v>
      </c>
      <c r="Y40" s="47">
        <f>'TB-Sep'!$C$34</f>
        <v>0</v>
      </c>
      <c r="Z40" s="47">
        <f>'TB-Oct'!$C$34</f>
        <v>0</v>
      </c>
      <c r="AA40" s="47">
        <f>'TB-Nov'!$C$34</f>
        <v>0</v>
      </c>
      <c r="AB40" s="47">
        <f>'TB-Dec'!$C$34</f>
        <v>0</v>
      </c>
    </row>
    <row r="41" spans="1:28" s="79" customFormat="1" ht="15.75" hidden="1" customHeight="1" outlineLevel="3">
      <c r="A41" s="33"/>
      <c r="B41" s="33"/>
      <c r="C41" s="33"/>
      <c r="D41" s="34" t="s">
        <v>48</v>
      </c>
      <c r="E41" s="31">
        <f t="shared" si="1"/>
        <v>0</v>
      </c>
      <c r="F41" s="31">
        <f>SUM($Q41:R41)</f>
        <v>0</v>
      </c>
      <c r="G41" s="31">
        <f>SUM($Q41:S41)</f>
        <v>0</v>
      </c>
      <c r="H41" s="103">
        <f>SUM($Q41:T41)</f>
        <v>0</v>
      </c>
      <c r="I41" s="103">
        <f>SUM($Q41:U41)</f>
        <v>0</v>
      </c>
      <c r="J41" s="103">
        <f>SUM($Q41:V41)</f>
        <v>0</v>
      </c>
      <c r="K41" s="103">
        <f>SUM($Q41:W41)</f>
        <v>0</v>
      </c>
      <c r="L41" s="103">
        <f>SUM($Q41:X41)</f>
        <v>0</v>
      </c>
      <c r="M41" s="103">
        <f>SUM($Q41:Y41)</f>
        <v>0</v>
      </c>
      <c r="N41" s="103">
        <f>SUM($Q41:Z41)</f>
        <v>0</v>
      </c>
      <c r="O41" s="103">
        <f>SUM($Q41:AA41)</f>
        <v>0</v>
      </c>
      <c r="P41" s="103">
        <f>SUM($Q41:AB41)</f>
        <v>0</v>
      </c>
      <c r="Q41" s="47">
        <f>'TB-Jan'!$C$35</f>
        <v>0</v>
      </c>
      <c r="R41" s="47">
        <f>'TB-Feb'!$C$35</f>
        <v>0</v>
      </c>
      <c r="S41" s="47">
        <f>'TB-Mar'!$C$35</f>
        <v>0</v>
      </c>
      <c r="T41" s="47">
        <f>'TB-Apr'!$C$35</f>
        <v>0</v>
      </c>
      <c r="U41" s="47">
        <f>'TB-May'!$C$35</f>
        <v>0</v>
      </c>
      <c r="V41" s="47">
        <f>'TB-Jun'!$C$35</f>
        <v>0</v>
      </c>
      <c r="W41" s="47">
        <f>'TB-Jul'!$C$35</f>
        <v>0</v>
      </c>
      <c r="X41" s="47">
        <f>'TB-Aug'!$C$35</f>
        <v>0</v>
      </c>
      <c r="Y41" s="47">
        <f>'TB-Sep'!$C$35</f>
        <v>0</v>
      </c>
      <c r="Z41" s="47">
        <f>'TB-Oct'!$C$35</f>
        <v>0</v>
      </c>
      <c r="AA41" s="47">
        <f>'TB-Nov'!$C$35</f>
        <v>0</v>
      </c>
      <c r="AB41" s="47">
        <f>'TB-Dec'!$C$35</f>
        <v>0</v>
      </c>
    </row>
    <row r="42" spans="1:28" s="78" customFormat="1" ht="15.75" customHeight="1" outlineLevel="2" collapsed="1">
      <c r="A42" s="32"/>
      <c r="B42" s="32"/>
      <c r="C42" s="32" t="s">
        <v>906</v>
      </c>
      <c r="D42" s="35"/>
      <c r="E42" s="59">
        <f t="shared" si="1"/>
        <v>0</v>
      </c>
      <c r="F42" s="59">
        <f>SUM($Q42:R42)</f>
        <v>0</v>
      </c>
      <c r="G42" s="59">
        <f>SUM($Q42:S42)</f>
        <v>0</v>
      </c>
      <c r="H42" s="59">
        <f>SUM($Q42:T42)</f>
        <v>3081089.4299999997</v>
      </c>
      <c r="I42" s="59">
        <f>SUM($Q42:U42)</f>
        <v>3081089.4299999997</v>
      </c>
      <c r="J42" s="59">
        <f>SUM($Q42:V42)</f>
        <v>3081089.4299999997</v>
      </c>
      <c r="K42" s="59">
        <f>SUM($Q42:W42)</f>
        <v>3081089.4299999997</v>
      </c>
      <c r="L42" s="59">
        <f>SUM($Q42:X42)</f>
        <v>3081089.4299999997</v>
      </c>
      <c r="M42" s="59">
        <f>SUM($Q42:Y42)</f>
        <v>3081089.4299999997</v>
      </c>
      <c r="N42" s="59">
        <f>SUM($Q42:Z42)</f>
        <v>3081089.4299999997</v>
      </c>
      <c r="O42" s="59">
        <f>SUM($Q42:AA42)</f>
        <v>3081089.4299999997</v>
      </c>
      <c r="P42" s="59">
        <f>SUM($Q42:AB42)</f>
        <v>3081089.4299999997</v>
      </c>
      <c r="Q42" s="46">
        <f>SUM(Q43:Q46)</f>
        <v>0</v>
      </c>
      <c r="R42" s="46">
        <f t="shared" ref="R42:AB42" si="7">SUM(R43:R46)</f>
        <v>0</v>
      </c>
      <c r="S42" s="46">
        <f t="shared" si="7"/>
        <v>0</v>
      </c>
      <c r="T42" s="46">
        <f t="shared" si="7"/>
        <v>3081089.4299999997</v>
      </c>
      <c r="U42" s="46">
        <f t="shared" si="7"/>
        <v>0</v>
      </c>
      <c r="V42" s="46">
        <f t="shared" si="7"/>
        <v>0</v>
      </c>
      <c r="W42" s="46">
        <f t="shared" si="7"/>
        <v>0</v>
      </c>
      <c r="X42" s="46">
        <f t="shared" si="7"/>
        <v>0</v>
      </c>
      <c r="Y42" s="46">
        <f t="shared" si="7"/>
        <v>0</v>
      </c>
      <c r="Z42" s="46">
        <f t="shared" si="7"/>
        <v>0</v>
      </c>
      <c r="AA42" s="46">
        <f t="shared" si="7"/>
        <v>0</v>
      </c>
      <c r="AB42" s="46">
        <f t="shared" si="7"/>
        <v>0</v>
      </c>
    </row>
    <row r="43" spans="1:28" s="79" customFormat="1" ht="15.75" hidden="1" customHeight="1" outlineLevel="3">
      <c r="A43" s="33"/>
      <c r="B43" s="33"/>
      <c r="C43" s="33"/>
      <c r="D43" s="34" t="s">
        <v>50</v>
      </c>
      <c r="E43" s="31">
        <f t="shared" si="1"/>
        <v>0</v>
      </c>
      <c r="F43" s="31">
        <f>SUM($Q43:R43)</f>
        <v>0</v>
      </c>
      <c r="G43" s="31">
        <f>SUM($Q43:S43)</f>
        <v>0</v>
      </c>
      <c r="H43" s="103">
        <f>SUM($Q43:T43)</f>
        <v>0</v>
      </c>
      <c r="I43" s="103">
        <f>SUM($Q43:U43)</f>
        <v>0</v>
      </c>
      <c r="J43" s="103">
        <f>SUM($Q43:V43)</f>
        <v>0</v>
      </c>
      <c r="K43" s="103">
        <f>SUM($Q43:W43)</f>
        <v>0</v>
      </c>
      <c r="L43" s="103">
        <f>SUM($Q43:X43)</f>
        <v>0</v>
      </c>
      <c r="M43" s="103">
        <f>SUM($Q43:Y43)</f>
        <v>0</v>
      </c>
      <c r="N43" s="103">
        <f>SUM($Q43:Z43)</f>
        <v>0</v>
      </c>
      <c r="O43" s="103">
        <f>SUM($Q43:AA43)</f>
        <v>0</v>
      </c>
      <c r="P43" s="103">
        <f>SUM($Q43:AB43)</f>
        <v>0</v>
      </c>
      <c r="Q43" s="47">
        <f>'TB-Jan'!$C$36</f>
        <v>0</v>
      </c>
      <c r="R43" s="47">
        <f>'TB-Feb'!$C$36</f>
        <v>0</v>
      </c>
      <c r="S43" s="47">
        <f>'TB-Mar'!$C$36</f>
        <v>0</v>
      </c>
      <c r="T43" s="47">
        <f>'TB-Apr'!$C$36</f>
        <v>0</v>
      </c>
      <c r="U43" s="47">
        <f>'TB-May'!$C$36</f>
        <v>0</v>
      </c>
      <c r="V43" s="47">
        <f>'TB-Jun'!$C$36</f>
        <v>0</v>
      </c>
      <c r="W43" s="47">
        <f>'TB-Jul'!$C$36</f>
        <v>0</v>
      </c>
      <c r="X43" s="47">
        <f>'TB-Aug'!$C$36</f>
        <v>0</v>
      </c>
      <c r="Y43" s="47">
        <f>'TB-Sep'!$C$36</f>
        <v>0</v>
      </c>
      <c r="Z43" s="47">
        <f>'TB-Oct'!$C$36</f>
        <v>0</v>
      </c>
      <c r="AA43" s="47">
        <f>'TB-Nov'!$C$36</f>
        <v>0</v>
      </c>
      <c r="AB43" s="47">
        <f>'TB-Dec'!$C$36</f>
        <v>0</v>
      </c>
    </row>
    <row r="44" spans="1:28" s="79" customFormat="1" ht="15.75" hidden="1" customHeight="1" outlineLevel="3">
      <c r="A44" s="33"/>
      <c r="B44" s="33"/>
      <c r="C44" s="33"/>
      <c r="D44" s="34" t="s">
        <v>52</v>
      </c>
      <c r="E44" s="31">
        <f t="shared" si="1"/>
        <v>0</v>
      </c>
      <c r="F44" s="31">
        <f>SUM($Q44:R44)</f>
        <v>0</v>
      </c>
      <c r="G44" s="31">
        <f>SUM($Q44:S44)</f>
        <v>0</v>
      </c>
      <c r="H44" s="103">
        <f>SUM($Q44:T44)</f>
        <v>0</v>
      </c>
      <c r="I44" s="103">
        <f>SUM($Q44:U44)</f>
        <v>0</v>
      </c>
      <c r="J44" s="103">
        <f>SUM($Q44:V44)</f>
        <v>0</v>
      </c>
      <c r="K44" s="103">
        <f>SUM($Q44:W44)</f>
        <v>0</v>
      </c>
      <c r="L44" s="103">
        <f>SUM($Q44:X44)</f>
        <v>0</v>
      </c>
      <c r="M44" s="103">
        <f>SUM($Q44:Y44)</f>
        <v>0</v>
      </c>
      <c r="N44" s="103">
        <f>SUM($Q44:Z44)</f>
        <v>0</v>
      </c>
      <c r="O44" s="103">
        <f>SUM($Q44:AA44)</f>
        <v>0</v>
      </c>
      <c r="P44" s="103">
        <f>SUM($Q44:AB44)</f>
        <v>0</v>
      </c>
      <c r="Q44" s="47">
        <f>'TB-Jan'!$C$37</f>
        <v>0</v>
      </c>
      <c r="R44" s="47">
        <f>'TB-Feb'!$C$37</f>
        <v>0</v>
      </c>
      <c r="S44" s="47">
        <f>'TB-Mar'!$C$37</f>
        <v>0</v>
      </c>
      <c r="T44" s="47">
        <f>'TB-Apr'!$C$37</f>
        <v>0</v>
      </c>
      <c r="U44" s="47">
        <f>'TB-May'!$C$37</f>
        <v>0</v>
      </c>
      <c r="V44" s="47">
        <f>'TB-Jun'!$C$37</f>
        <v>0</v>
      </c>
      <c r="W44" s="47">
        <f>'TB-Jul'!$C$37</f>
        <v>0</v>
      </c>
      <c r="X44" s="47">
        <f>'TB-Aug'!$C$37</f>
        <v>0</v>
      </c>
      <c r="Y44" s="47">
        <f>'TB-Sep'!$C$37</f>
        <v>0</v>
      </c>
      <c r="Z44" s="47">
        <f>'TB-Oct'!$C$37</f>
        <v>0</v>
      </c>
      <c r="AA44" s="47">
        <f>'TB-Nov'!$C$37</f>
        <v>0</v>
      </c>
      <c r="AB44" s="47">
        <f>'TB-Dec'!$C$37</f>
        <v>0</v>
      </c>
    </row>
    <row r="45" spans="1:28" s="79" customFormat="1" ht="15.75" customHeight="1" outlineLevel="3">
      <c r="A45" s="33"/>
      <c r="B45" s="33"/>
      <c r="C45" s="33"/>
      <c r="D45" s="34" t="s">
        <v>54</v>
      </c>
      <c r="E45" s="31">
        <f t="shared" si="1"/>
        <v>0</v>
      </c>
      <c r="F45" s="31">
        <f>SUM($Q45:R45)</f>
        <v>0</v>
      </c>
      <c r="G45" s="31">
        <f>SUM($Q45:S45)</f>
        <v>0</v>
      </c>
      <c r="H45" s="103">
        <f>SUM($Q45:T45)</f>
        <v>1183464.43</v>
      </c>
      <c r="I45" s="103">
        <f>SUM($Q45:U45)</f>
        <v>1183464.43</v>
      </c>
      <c r="J45" s="103">
        <f>SUM($Q45:V45)</f>
        <v>1183464.43</v>
      </c>
      <c r="K45" s="103">
        <f>SUM($Q45:W45)</f>
        <v>1183464.43</v>
      </c>
      <c r="L45" s="103">
        <f>SUM($Q45:X45)</f>
        <v>1183464.43</v>
      </c>
      <c r="M45" s="103">
        <f>SUM($Q45:Y45)</f>
        <v>1183464.43</v>
      </c>
      <c r="N45" s="103">
        <f>SUM($Q45:Z45)</f>
        <v>1183464.43</v>
      </c>
      <c r="O45" s="103">
        <f>SUM($Q45:AA45)</f>
        <v>1183464.43</v>
      </c>
      <c r="P45" s="103">
        <f>SUM($Q45:AB45)</f>
        <v>1183464.43</v>
      </c>
      <c r="Q45" s="47">
        <f>'TB-Jan'!$C$38</f>
        <v>0</v>
      </c>
      <c r="R45" s="47">
        <f>'TB-Feb'!$C$38</f>
        <v>0</v>
      </c>
      <c r="S45" s="47">
        <f>'TB-Mar'!$C$38</f>
        <v>0</v>
      </c>
      <c r="T45" s="47">
        <f>'TB-Apr'!$C$38</f>
        <v>1183464.43</v>
      </c>
      <c r="U45" s="47">
        <f>'TB-May'!$C$38</f>
        <v>0</v>
      </c>
      <c r="V45" s="47">
        <f>'TB-Jun'!$C$38</f>
        <v>0</v>
      </c>
      <c r="W45" s="47">
        <f>'TB-Jul'!$C$38</f>
        <v>0</v>
      </c>
      <c r="X45" s="47">
        <f>'TB-Aug'!$C$38</f>
        <v>0</v>
      </c>
      <c r="Y45" s="47">
        <f>'TB-Sep'!$C$38</f>
        <v>0</v>
      </c>
      <c r="Z45" s="47">
        <f>'TB-Oct'!$C$38</f>
        <v>0</v>
      </c>
      <c r="AA45" s="47">
        <f>'TB-Nov'!$C$38</f>
        <v>0</v>
      </c>
      <c r="AB45" s="47">
        <f>'TB-Dec'!$C$38</f>
        <v>0</v>
      </c>
    </row>
    <row r="46" spans="1:28" s="79" customFormat="1" ht="15.75" customHeight="1" outlineLevel="3">
      <c r="A46" s="33"/>
      <c r="B46" s="33"/>
      <c r="C46" s="33"/>
      <c r="D46" s="34" t="s">
        <v>55</v>
      </c>
      <c r="E46" s="31">
        <f t="shared" si="1"/>
        <v>0</v>
      </c>
      <c r="F46" s="31">
        <f>SUM($Q46:R46)</f>
        <v>0</v>
      </c>
      <c r="G46" s="31">
        <f>SUM($Q46:S46)</f>
        <v>0</v>
      </c>
      <c r="H46" s="103">
        <f>SUM($Q46:T46)</f>
        <v>1897625</v>
      </c>
      <c r="I46" s="103">
        <f>SUM($Q46:U46)</f>
        <v>1897625</v>
      </c>
      <c r="J46" s="103">
        <f>SUM($Q46:V46)</f>
        <v>1897625</v>
      </c>
      <c r="K46" s="103">
        <f>SUM($Q46:W46)</f>
        <v>1897625</v>
      </c>
      <c r="L46" s="103">
        <f>SUM($Q46:X46)</f>
        <v>1897625</v>
      </c>
      <c r="M46" s="103">
        <f>SUM($Q46:Y46)</f>
        <v>1897625</v>
      </c>
      <c r="N46" s="103">
        <f>SUM($Q46:Z46)</f>
        <v>1897625</v>
      </c>
      <c r="O46" s="103">
        <f>SUM($Q46:AA46)</f>
        <v>1897625</v>
      </c>
      <c r="P46" s="103">
        <f>SUM($Q46:AB46)</f>
        <v>1897625</v>
      </c>
      <c r="Q46" s="47">
        <f>'TB-Jan'!$C$39</f>
        <v>0</v>
      </c>
      <c r="R46" s="47">
        <f>'TB-Feb'!$C$39</f>
        <v>0</v>
      </c>
      <c r="S46" s="47">
        <f>'TB-Mar'!$C$39</f>
        <v>0</v>
      </c>
      <c r="T46" s="47">
        <f>'TB-Apr'!$C$39</f>
        <v>1897625</v>
      </c>
      <c r="U46" s="47">
        <f>'TB-May'!$C$39</f>
        <v>0</v>
      </c>
      <c r="V46" s="47">
        <f>'TB-Jun'!$C$39</f>
        <v>0</v>
      </c>
      <c r="W46" s="47">
        <f>'TB-Jul'!$C$39</f>
        <v>0</v>
      </c>
      <c r="X46" s="47">
        <f>'TB-Aug'!$C$39</f>
        <v>0</v>
      </c>
      <c r="Y46" s="47">
        <f>'TB-Sep'!$C$39</f>
        <v>0</v>
      </c>
      <c r="Z46" s="47">
        <f>'TB-Oct'!$C$39</f>
        <v>0</v>
      </c>
      <c r="AA46" s="47">
        <f>'TB-Nov'!$C$39</f>
        <v>0</v>
      </c>
      <c r="AB46" s="47">
        <f>'TB-Dec'!$C$39</f>
        <v>0</v>
      </c>
    </row>
    <row r="47" spans="1:28" s="78" customFormat="1" ht="15.75" hidden="1" customHeight="1" outlineLevel="2">
      <c r="A47" s="32"/>
      <c r="B47" s="32"/>
      <c r="C47" s="32" t="s">
        <v>907</v>
      </c>
      <c r="D47" s="35"/>
      <c r="E47" s="59">
        <f t="shared" si="1"/>
        <v>0</v>
      </c>
      <c r="F47" s="59">
        <f>SUM($Q47:R47)</f>
        <v>0</v>
      </c>
      <c r="G47" s="59">
        <f>SUM($Q47:S47)</f>
        <v>0</v>
      </c>
      <c r="H47" s="104">
        <f>SUM($Q47:T47)</f>
        <v>0</v>
      </c>
      <c r="I47" s="104">
        <f>SUM($Q47:U47)</f>
        <v>0</v>
      </c>
      <c r="J47" s="104">
        <f>SUM($Q47:V47)</f>
        <v>0</v>
      </c>
      <c r="K47" s="104">
        <f>SUM($Q47:W47)</f>
        <v>0</v>
      </c>
      <c r="L47" s="104">
        <f>SUM($Q47:X47)</f>
        <v>0</v>
      </c>
      <c r="M47" s="104">
        <f>SUM($Q47:Y47)</f>
        <v>0</v>
      </c>
      <c r="N47" s="104">
        <f>SUM($Q47:Z47)</f>
        <v>0</v>
      </c>
      <c r="O47" s="104">
        <f>SUM($Q47:AA47)</f>
        <v>0</v>
      </c>
      <c r="P47" s="104">
        <f>SUM($Q47:AB47)</f>
        <v>0</v>
      </c>
      <c r="Q47" s="46">
        <f>SUM(Q48)</f>
        <v>0</v>
      </c>
      <c r="R47" s="46">
        <f t="shared" ref="R47:AB47" si="8">SUM(R48)</f>
        <v>0</v>
      </c>
      <c r="S47" s="46">
        <f t="shared" si="8"/>
        <v>0</v>
      </c>
      <c r="T47" s="46">
        <f t="shared" si="8"/>
        <v>0</v>
      </c>
      <c r="U47" s="46">
        <f t="shared" si="8"/>
        <v>0</v>
      </c>
      <c r="V47" s="46">
        <f t="shared" si="8"/>
        <v>0</v>
      </c>
      <c r="W47" s="46">
        <f t="shared" si="8"/>
        <v>0</v>
      </c>
      <c r="X47" s="46">
        <f t="shared" si="8"/>
        <v>0</v>
      </c>
      <c r="Y47" s="46">
        <f t="shared" si="8"/>
        <v>0</v>
      </c>
      <c r="Z47" s="46">
        <f t="shared" si="8"/>
        <v>0</v>
      </c>
      <c r="AA47" s="46">
        <f t="shared" si="8"/>
        <v>0</v>
      </c>
      <c r="AB47" s="46">
        <f t="shared" si="8"/>
        <v>0</v>
      </c>
    </row>
    <row r="48" spans="1:28" s="79" customFormat="1" ht="15.75" hidden="1" customHeight="1" outlineLevel="3">
      <c r="A48" s="33"/>
      <c r="B48" s="33"/>
      <c r="C48" s="33"/>
      <c r="D48" s="34" t="s">
        <v>57</v>
      </c>
      <c r="E48" s="31">
        <f t="shared" si="1"/>
        <v>0</v>
      </c>
      <c r="F48" s="31">
        <f>SUM($Q48:R48)</f>
        <v>0</v>
      </c>
      <c r="G48" s="31">
        <f>SUM($Q48:S48)</f>
        <v>0</v>
      </c>
      <c r="H48" s="103">
        <f>SUM($Q48:T48)</f>
        <v>0</v>
      </c>
      <c r="I48" s="103">
        <f>SUM($Q48:U48)</f>
        <v>0</v>
      </c>
      <c r="J48" s="103">
        <f>SUM($Q48:V48)</f>
        <v>0</v>
      </c>
      <c r="K48" s="103">
        <f>SUM($Q48:W48)</f>
        <v>0</v>
      </c>
      <c r="L48" s="103">
        <f>SUM($Q48:X48)</f>
        <v>0</v>
      </c>
      <c r="M48" s="103">
        <f>SUM($Q48:Y48)</f>
        <v>0</v>
      </c>
      <c r="N48" s="103">
        <f>SUM($Q48:Z48)</f>
        <v>0</v>
      </c>
      <c r="O48" s="103">
        <f>SUM($Q48:AA48)</f>
        <v>0</v>
      </c>
      <c r="P48" s="103">
        <f>SUM($Q48:AB48)</f>
        <v>0</v>
      </c>
      <c r="Q48" s="47">
        <f>'TB-Jan'!$C$40</f>
        <v>0</v>
      </c>
      <c r="R48" s="47">
        <f>'TB-Feb'!$C$40</f>
        <v>0</v>
      </c>
      <c r="S48" s="47">
        <f>'TB-Mar'!$C$40</f>
        <v>0</v>
      </c>
      <c r="T48" s="47">
        <f>'TB-Apr'!$C$40</f>
        <v>0</v>
      </c>
      <c r="U48" s="47">
        <f>'TB-May'!$C$40</f>
        <v>0</v>
      </c>
      <c r="V48" s="47">
        <f>'TB-Jun'!$C$40</f>
        <v>0</v>
      </c>
      <c r="W48" s="47">
        <f>'TB-Jul'!$C$40</f>
        <v>0</v>
      </c>
      <c r="X48" s="47">
        <f>'TB-Aug'!$C$40</f>
        <v>0</v>
      </c>
      <c r="Y48" s="47">
        <f>'TB-Sep'!$C$40</f>
        <v>0</v>
      </c>
      <c r="Z48" s="47">
        <f>'TB-Oct'!$C$40</f>
        <v>0</v>
      </c>
      <c r="AA48" s="47">
        <f>'TB-Nov'!$C$40</f>
        <v>0</v>
      </c>
      <c r="AB48" s="47">
        <f>'TB-Dec'!$C$40</f>
        <v>0</v>
      </c>
    </row>
    <row r="49" spans="1:28" s="78" customFormat="1" ht="15.75" customHeight="1" outlineLevel="2" collapsed="1">
      <c r="A49" s="32"/>
      <c r="B49" s="32"/>
      <c r="C49" s="32" t="s">
        <v>908</v>
      </c>
      <c r="D49" s="35"/>
      <c r="E49" s="59">
        <f t="shared" si="1"/>
        <v>0</v>
      </c>
      <c r="F49" s="59">
        <f>SUM($Q49:R49)</f>
        <v>0</v>
      </c>
      <c r="G49" s="59">
        <f>SUM($Q49:S49)</f>
        <v>0</v>
      </c>
      <c r="H49" s="104">
        <f>SUM($Q49:T49)</f>
        <v>312433.89</v>
      </c>
      <c r="I49" s="59">
        <f>SUM($Q49:U49)</f>
        <v>312433.89</v>
      </c>
      <c r="J49" s="104">
        <f>SUM($Q49:V49)</f>
        <v>342433.89</v>
      </c>
      <c r="K49" s="104">
        <f>SUM($Q49:W49)</f>
        <v>342433.89</v>
      </c>
      <c r="L49" s="104">
        <f>SUM($Q49:X49)</f>
        <v>377433.89</v>
      </c>
      <c r="M49" s="104">
        <f>SUM($Q49:Y49)</f>
        <v>377433.89</v>
      </c>
      <c r="N49" s="104">
        <f>SUM($Q49:Z49)</f>
        <v>377433.89</v>
      </c>
      <c r="O49" s="104">
        <f>SUM($Q49:AA49)</f>
        <v>377433.89</v>
      </c>
      <c r="P49" s="104">
        <f>SUM($Q49:AB49)</f>
        <v>377433.89</v>
      </c>
      <c r="Q49" s="46">
        <f>SUM(Q50:Q51)</f>
        <v>0</v>
      </c>
      <c r="R49" s="46">
        <f t="shared" ref="R49:AB49" si="9">SUM(R50:R51)</f>
        <v>0</v>
      </c>
      <c r="S49" s="46">
        <f t="shared" si="9"/>
        <v>0</v>
      </c>
      <c r="T49" s="46">
        <f t="shared" si="9"/>
        <v>312433.89</v>
      </c>
      <c r="U49" s="46">
        <f t="shared" si="9"/>
        <v>0</v>
      </c>
      <c r="V49" s="46">
        <f t="shared" si="9"/>
        <v>30000</v>
      </c>
      <c r="W49" s="46">
        <f t="shared" si="9"/>
        <v>0</v>
      </c>
      <c r="X49" s="46">
        <f t="shared" si="9"/>
        <v>35000</v>
      </c>
      <c r="Y49" s="46">
        <f t="shared" si="9"/>
        <v>0</v>
      </c>
      <c r="Z49" s="46">
        <f t="shared" si="9"/>
        <v>0</v>
      </c>
      <c r="AA49" s="46">
        <f t="shared" si="9"/>
        <v>0</v>
      </c>
      <c r="AB49" s="46">
        <f t="shared" si="9"/>
        <v>0</v>
      </c>
    </row>
    <row r="50" spans="1:28" s="79" customFormat="1" ht="15.75" hidden="1" customHeight="1" outlineLevel="2">
      <c r="A50" s="33"/>
      <c r="B50" s="33"/>
      <c r="C50" s="33"/>
      <c r="D50" s="34" t="s">
        <v>58</v>
      </c>
      <c r="E50" s="31">
        <f t="shared" si="1"/>
        <v>0</v>
      </c>
      <c r="F50" s="31">
        <f>SUM($Q50:R50)</f>
        <v>0</v>
      </c>
      <c r="G50" s="31">
        <f>SUM($Q50:S50)</f>
        <v>0</v>
      </c>
      <c r="H50" s="103">
        <f>SUM($Q50:T50)</f>
        <v>0</v>
      </c>
      <c r="I50" s="103">
        <f>SUM($Q50:U50)</f>
        <v>0</v>
      </c>
      <c r="J50" s="103">
        <f>SUM($Q50:V50)</f>
        <v>0</v>
      </c>
      <c r="K50" s="103">
        <f>SUM($Q50:W50)</f>
        <v>0</v>
      </c>
      <c r="L50" s="103">
        <f>SUM($Q50:X50)</f>
        <v>0</v>
      </c>
      <c r="M50" s="103">
        <f>SUM($Q50:Y50)</f>
        <v>0</v>
      </c>
      <c r="N50" s="103">
        <f>SUM($Q50:Z50)</f>
        <v>0</v>
      </c>
      <c r="O50" s="103">
        <f>SUM($Q50:AA50)</f>
        <v>0</v>
      </c>
      <c r="P50" s="103">
        <f>SUM($Q50:AB50)</f>
        <v>0</v>
      </c>
      <c r="Q50" s="47">
        <f>'TB-Jan'!$C$41</f>
        <v>0</v>
      </c>
      <c r="R50" s="47">
        <f>'TB-Feb'!$C$41</f>
        <v>0</v>
      </c>
      <c r="S50" s="47">
        <f>'TB-Mar'!$C$41</f>
        <v>0</v>
      </c>
      <c r="T50" s="47">
        <f>'TB-Apr'!$C$41</f>
        <v>0</v>
      </c>
      <c r="U50" s="47">
        <f>'TB-May'!$C$41</f>
        <v>0</v>
      </c>
      <c r="V50" s="47">
        <f>'TB-Jun'!$C$41</f>
        <v>0</v>
      </c>
      <c r="W50" s="47">
        <f>'TB-Jul'!$C$41</f>
        <v>0</v>
      </c>
      <c r="X50" s="47">
        <f>'TB-Aug'!$C$41</f>
        <v>0</v>
      </c>
      <c r="Y50" s="47">
        <f>'TB-Sep'!$C$41</f>
        <v>0</v>
      </c>
      <c r="Z50" s="47">
        <f>'TB-Oct'!$C$41</f>
        <v>0</v>
      </c>
      <c r="AA50" s="47">
        <f>'TB-Nov'!$C$41</f>
        <v>0</v>
      </c>
      <c r="AB50" s="47">
        <f>'TB-Dec'!$C$41</f>
        <v>0</v>
      </c>
    </row>
    <row r="51" spans="1:28" s="79" customFormat="1" ht="15.75" customHeight="1" outlineLevel="2">
      <c r="A51" s="33"/>
      <c r="B51" s="33"/>
      <c r="C51" s="33"/>
      <c r="D51" s="34" t="s">
        <v>62</v>
      </c>
      <c r="E51" s="31">
        <f t="shared" si="1"/>
        <v>0</v>
      </c>
      <c r="F51" s="31">
        <f>SUM($Q51:R51)</f>
        <v>0</v>
      </c>
      <c r="G51" s="31">
        <f>SUM($Q51:S51)</f>
        <v>0</v>
      </c>
      <c r="H51" s="103">
        <f>SUM($Q51:T51)</f>
        <v>312433.89</v>
      </c>
      <c r="I51" s="103">
        <f>SUM($Q51:U51)</f>
        <v>312433.89</v>
      </c>
      <c r="J51" s="103">
        <f>SUM($Q51:V51)</f>
        <v>342433.89</v>
      </c>
      <c r="K51" s="103">
        <f>SUM($Q51:W51)</f>
        <v>342433.89</v>
      </c>
      <c r="L51" s="103">
        <f>SUM($Q51:X51)</f>
        <v>377433.89</v>
      </c>
      <c r="M51" s="103">
        <f>SUM($Q51:Y51)</f>
        <v>377433.89</v>
      </c>
      <c r="N51" s="103">
        <f>SUM($Q51:Z51)</f>
        <v>377433.89</v>
      </c>
      <c r="O51" s="103">
        <f>SUM($Q51:AA51)</f>
        <v>377433.89</v>
      </c>
      <c r="P51" s="103">
        <f>SUM($Q51:AB51)</f>
        <v>377433.89</v>
      </c>
      <c r="Q51" s="47">
        <f>'TB-Jan'!$C$43</f>
        <v>0</v>
      </c>
      <c r="R51" s="47">
        <f>'TB-Feb'!$C$43</f>
        <v>0</v>
      </c>
      <c r="S51" s="47">
        <f>'TB-Mar'!$C$43</f>
        <v>0</v>
      </c>
      <c r="T51" s="47">
        <f>'TB-Apr'!$C$43</f>
        <v>312433.89</v>
      </c>
      <c r="U51" s="47">
        <f>'TB-May'!$C$43</f>
        <v>0</v>
      </c>
      <c r="V51" s="47">
        <f>'TB-Jun'!$C$43</f>
        <v>30000</v>
      </c>
      <c r="W51" s="47">
        <f>'TB-Jul'!$C$43</f>
        <v>0</v>
      </c>
      <c r="X51" s="47">
        <f>'TB-Aug'!$C$43</f>
        <v>35000</v>
      </c>
      <c r="Y51" s="47">
        <f>'TB-Sep'!$C$43</f>
        <v>0</v>
      </c>
      <c r="Z51" s="47">
        <f>'TB-Oct'!$C$43</f>
        <v>0</v>
      </c>
      <c r="AA51" s="47">
        <f>'TB-Nov'!$C$43</f>
        <v>0</v>
      </c>
      <c r="AB51" s="47">
        <f>'TB-Dec'!$C$43</f>
        <v>0</v>
      </c>
    </row>
    <row r="52" spans="1:28" s="78" customFormat="1" ht="15.75" customHeight="1" outlineLevel="1">
      <c r="A52" s="32"/>
      <c r="B52" s="32" t="s">
        <v>909</v>
      </c>
      <c r="C52" s="32"/>
      <c r="D52" s="35"/>
      <c r="E52" s="59">
        <f t="shared" si="1"/>
        <v>0</v>
      </c>
      <c r="F52" s="59">
        <f>SUM($Q52:R52)</f>
        <v>0</v>
      </c>
      <c r="G52" s="59">
        <f>SUM($Q52:S52)</f>
        <v>0</v>
      </c>
      <c r="H52" s="59">
        <f>SUM($Q52:T52)</f>
        <v>7015161.8700000001</v>
      </c>
      <c r="I52" s="59">
        <f>SUM($Q52:U52)</f>
        <v>8005320.0899999999</v>
      </c>
      <c r="J52" s="59">
        <f>SUM($Q52:V52)</f>
        <v>9166750.0899999999</v>
      </c>
      <c r="K52" s="59">
        <f>SUM($Q52:W52)</f>
        <v>10555489.09</v>
      </c>
      <c r="L52" s="59">
        <f>SUM($Q52:X52)</f>
        <v>12124315.939999999</v>
      </c>
      <c r="M52" s="59">
        <f>SUM($Q52:Y52)</f>
        <v>12124315.939999999</v>
      </c>
      <c r="N52" s="59">
        <f>SUM($Q52:Z52)</f>
        <v>12124315.939999999</v>
      </c>
      <c r="O52" s="59">
        <f>SUM($Q52:AA52)</f>
        <v>12124315.939999999</v>
      </c>
      <c r="P52" s="59">
        <f>SUM($Q52:AB52)</f>
        <v>12124315.939999999</v>
      </c>
      <c r="Q52" s="46">
        <f>SUM(Q53,Q58,Q73)</f>
        <v>0</v>
      </c>
      <c r="R52" s="46">
        <f t="shared" ref="R52:AB52" si="10">SUM(R53,R58,R73)</f>
        <v>0</v>
      </c>
      <c r="S52" s="46">
        <f t="shared" si="10"/>
        <v>0</v>
      </c>
      <c r="T52" s="46">
        <f t="shared" si="10"/>
        <v>7015161.8700000001</v>
      </c>
      <c r="U52" s="46">
        <f t="shared" si="10"/>
        <v>990158.22</v>
      </c>
      <c r="V52" s="46">
        <f t="shared" si="10"/>
        <v>1161430</v>
      </c>
      <c r="W52" s="46">
        <f t="shared" si="10"/>
        <v>1388739</v>
      </c>
      <c r="X52" s="46">
        <f t="shared" si="10"/>
        <v>1568826.85</v>
      </c>
      <c r="Y52" s="46">
        <f t="shared" si="10"/>
        <v>0</v>
      </c>
      <c r="Z52" s="46">
        <f t="shared" si="10"/>
        <v>0</v>
      </c>
      <c r="AA52" s="46">
        <f t="shared" si="10"/>
        <v>0</v>
      </c>
      <c r="AB52" s="46">
        <f t="shared" si="10"/>
        <v>0</v>
      </c>
    </row>
    <row r="53" spans="1:28" s="78" customFormat="1" ht="15.75" hidden="1" customHeight="1" outlineLevel="2">
      <c r="A53" s="32"/>
      <c r="B53" s="32"/>
      <c r="C53" s="32" t="s">
        <v>910</v>
      </c>
      <c r="D53" s="35"/>
      <c r="E53" s="59">
        <f t="shared" si="1"/>
        <v>0</v>
      </c>
      <c r="F53" s="59">
        <f>SUM($Q53:R53)</f>
        <v>0</v>
      </c>
      <c r="G53" s="59">
        <f>SUM($Q53:S53)</f>
        <v>0</v>
      </c>
      <c r="H53" s="104">
        <f>SUM($Q53:T53)</f>
        <v>0</v>
      </c>
      <c r="I53" s="104">
        <f>SUM($Q53:U53)</f>
        <v>0</v>
      </c>
      <c r="J53" s="104">
        <f>SUM($Q53:V53)</f>
        <v>0</v>
      </c>
      <c r="K53" s="104">
        <f>SUM($Q53:W53)</f>
        <v>0</v>
      </c>
      <c r="L53" s="104">
        <f>SUM($Q53:X53)</f>
        <v>0</v>
      </c>
      <c r="M53" s="104">
        <f>SUM($Q53:Y53)</f>
        <v>0</v>
      </c>
      <c r="N53" s="104">
        <f>SUM($Q53:Z53)</f>
        <v>0</v>
      </c>
      <c r="O53" s="104">
        <f>SUM($Q53:AA53)</f>
        <v>0</v>
      </c>
      <c r="P53" s="104">
        <f>SUM($Q53:AB53)</f>
        <v>0</v>
      </c>
      <c r="Q53" s="46">
        <f>SUM(Q54:Q57)</f>
        <v>0</v>
      </c>
      <c r="R53" s="46">
        <f t="shared" ref="R53:AB53" si="11">SUM(R54:R57)</f>
        <v>0</v>
      </c>
      <c r="S53" s="46">
        <f t="shared" si="11"/>
        <v>0</v>
      </c>
      <c r="T53" s="46">
        <f t="shared" si="11"/>
        <v>0</v>
      </c>
      <c r="U53" s="46">
        <f t="shared" si="11"/>
        <v>0</v>
      </c>
      <c r="V53" s="46">
        <f t="shared" si="11"/>
        <v>0</v>
      </c>
      <c r="W53" s="46">
        <f t="shared" si="11"/>
        <v>0</v>
      </c>
      <c r="X53" s="46">
        <f t="shared" si="11"/>
        <v>0</v>
      </c>
      <c r="Y53" s="46">
        <f t="shared" si="11"/>
        <v>0</v>
      </c>
      <c r="Z53" s="46">
        <f t="shared" si="11"/>
        <v>0</v>
      </c>
      <c r="AA53" s="46">
        <f t="shared" si="11"/>
        <v>0</v>
      </c>
      <c r="AB53" s="46">
        <f t="shared" si="11"/>
        <v>0</v>
      </c>
    </row>
    <row r="54" spans="1:28" s="79" customFormat="1" ht="15.75" hidden="1" customHeight="1" outlineLevel="3">
      <c r="A54" s="33"/>
      <c r="B54" s="33"/>
      <c r="C54" s="33"/>
      <c r="D54" s="34" t="s">
        <v>64</v>
      </c>
      <c r="E54" s="31">
        <f t="shared" si="1"/>
        <v>0</v>
      </c>
      <c r="F54" s="31">
        <f>SUM($Q54:R54)</f>
        <v>0</v>
      </c>
      <c r="G54" s="31">
        <f>SUM($Q54:S54)</f>
        <v>0</v>
      </c>
      <c r="H54" s="103">
        <f>SUM($Q54:T54)</f>
        <v>0</v>
      </c>
      <c r="I54" s="103">
        <f>SUM($Q54:U54)</f>
        <v>0</v>
      </c>
      <c r="J54" s="103">
        <f>SUM($Q54:V54)</f>
        <v>0</v>
      </c>
      <c r="K54" s="103">
        <f>SUM($Q54:W54)</f>
        <v>0</v>
      </c>
      <c r="L54" s="103">
        <f>SUM($Q54:X54)</f>
        <v>0</v>
      </c>
      <c r="M54" s="103">
        <f>SUM($Q54:Y54)</f>
        <v>0</v>
      </c>
      <c r="N54" s="103">
        <f>SUM($Q54:Z54)</f>
        <v>0</v>
      </c>
      <c r="O54" s="103">
        <f>SUM($Q54:AA54)</f>
        <v>0</v>
      </c>
      <c r="P54" s="103">
        <f>SUM($Q54:AB54)</f>
        <v>0</v>
      </c>
      <c r="Q54" s="47">
        <f>'TB-Jan'!$C$44</f>
        <v>0</v>
      </c>
      <c r="R54" s="47">
        <f>'TB-Feb'!$C$44</f>
        <v>0</v>
      </c>
      <c r="S54" s="47">
        <f>'TB-Mar'!$C$44</f>
        <v>0</v>
      </c>
      <c r="T54" s="47">
        <f>'TB-Apr'!$C$44</f>
        <v>0</v>
      </c>
      <c r="U54" s="47">
        <f>'TB-May'!$C$44</f>
        <v>0</v>
      </c>
      <c r="V54" s="47">
        <f>'TB-Jun'!$C$44</f>
        <v>0</v>
      </c>
      <c r="W54" s="47">
        <f>'TB-Jul'!$C$44</f>
        <v>0</v>
      </c>
      <c r="X54" s="47">
        <f>'TB-Aug'!$C$44</f>
        <v>0</v>
      </c>
      <c r="Y54" s="47">
        <f>'TB-Sep'!$C$44</f>
        <v>0</v>
      </c>
      <c r="Z54" s="47">
        <f>'TB-Oct'!$C$44</f>
        <v>0</v>
      </c>
      <c r="AA54" s="47">
        <f>'TB-Nov'!$C$44</f>
        <v>0</v>
      </c>
      <c r="AB54" s="47">
        <f>'TB-Dec'!$C$44</f>
        <v>0</v>
      </c>
    </row>
    <row r="55" spans="1:28" s="79" customFormat="1" ht="15.75" hidden="1" customHeight="1" outlineLevel="3">
      <c r="A55" s="33"/>
      <c r="B55" s="33"/>
      <c r="C55" s="33"/>
      <c r="D55" s="34" t="s">
        <v>66</v>
      </c>
      <c r="E55" s="31">
        <f t="shared" si="1"/>
        <v>0</v>
      </c>
      <c r="F55" s="31">
        <f>SUM($Q55:R55)</f>
        <v>0</v>
      </c>
      <c r="G55" s="31">
        <f>SUM($Q55:S55)</f>
        <v>0</v>
      </c>
      <c r="H55" s="103">
        <f>SUM($Q55:T55)</f>
        <v>0</v>
      </c>
      <c r="I55" s="103">
        <f>SUM($Q55:U55)</f>
        <v>0</v>
      </c>
      <c r="J55" s="103">
        <f>SUM($Q55:V55)</f>
        <v>0</v>
      </c>
      <c r="K55" s="103">
        <f>SUM($Q55:W55)</f>
        <v>0</v>
      </c>
      <c r="L55" s="103">
        <f>SUM($Q55:X55)</f>
        <v>0</v>
      </c>
      <c r="M55" s="103">
        <f>SUM($Q55:Y55)</f>
        <v>0</v>
      </c>
      <c r="N55" s="103">
        <f>SUM($Q55:Z55)</f>
        <v>0</v>
      </c>
      <c r="O55" s="103">
        <f>SUM($Q55:AA55)</f>
        <v>0</v>
      </c>
      <c r="P55" s="103">
        <f>SUM($Q55:AB55)</f>
        <v>0</v>
      </c>
      <c r="Q55" s="47">
        <f>'TB-Jan'!$C$45</f>
        <v>0</v>
      </c>
      <c r="R55" s="47">
        <f>'TB-Feb'!$C$45</f>
        <v>0</v>
      </c>
      <c r="S55" s="47">
        <f>'TB-Mar'!$C$45</f>
        <v>0</v>
      </c>
      <c r="T55" s="47">
        <f>'TB-Apr'!$C$45</f>
        <v>0</v>
      </c>
      <c r="U55" s="47">
        <f>'TB-May'!$C$45</f>
        <v>0</v>
      </c>
      <c r="V55" s="47">
        <f>'TB-Jun'!$C$45</f>
        <v>0</v>
      </c>
      <c r="W55" s="47">
        <f>'TB-Jul'!$C$45</f>
        <v>0</v>
      </c>
      <c r="X55" s="47">
        <f>'TB-Aug'!$C$45</f>
        <v>0</v>
      </c>
      <c r="Y55" s="47">
        <f>'TB-Sep'!$C$45</f>
        <v>0</v>
      </c>
      <c r="Z55" s="47">
        <f>'TB-Oct'!$C$45</f>
        <v>0</v>
      </c>
      <c r="AA55" s="47">
        <f>'TB-Nov'!$C$45</f>
        <v>0</v>
      </c>
      <c r="AB55" s="47">
        <f>'TB-Dec'!$C$45</f>
        <v>0</v>
      </c>
    </row>
    <row r="56" spans="1:28" s="79" customFormat="1" ht="15.75" hidden="1" customHeight="1" outlineLevel="3">
      <c r="A56" s="33"/>
      <c r="B56" s="33"/>
      <c r="C56" s="33"/>
      <c r="D56" s="34" t="s">
        <v>68</v>
      </c>
      <c r="E56" s="31">
        <f t="shared" si="1"/>
        <v>0</v>
      </c>
      <c r="F56" s="31">
        <f>SUM($Q56:R56)</f>
        <v>0</v>
      </c>
      <c r="G56" s="31">
        <f>SUM($Q56:S56)</f>
        <v>0</v>
      </c>
      <c r="H56" s="103">
        <f>SUM($Q56:T56)</f>
        <v>0</v>
      </c>
      <c r="I56" s="103">
        <f>SUM($Q56:U56)</f>
        <v>0</v>
      </c>
      <c r="J56" s="103">
        <f>SUM($Q56:V56)</f>
        <v>0</v>
      </c>
      <c r="K56" s="103">
        <f>SUM($Q56:W56)</f>
        <v>0</v>
      </c>
      <c r="L56" s="103">
        <f>SUM($Q56:X56)</f>
        <v>0</v>
      </c>
      <c r="M56" s="103">
        <f>SUM($Q56:Y56)</f>
        <v>0</v>
      </c>
      <c r="N56" s="103">
        <f>SUM($Q56:Z56)</f>
        <v>0</v>
      </c>
      <c r="O56" s="103">
        <f>SUM($Q56:AA56)</f>
        <v>0</v>
      </c>
      <c r="P56" s="103">
        <f>SUM($Q56:AB56)</f>
        <v>0</v>
      </c>
      <c r="Q56" s="47">
        <f>'TB-Jan'!$C$46</f>
        <v>0</v>
      </c>
      <c r="R56" s="47">
        <f>'TB-Feb'!$C$46</f>
        <v>0</v>
      </c>
      <c r="S56" s="47">
        <f>'TB-Mar'!$C$46</f>
        <v>0</v>
      </c>
      <c r="T56" s="47">
        <f>'TB-Apr'!$C$46</f>
        <v>0</v>
      </c>
      <c r="U56" s="47">
        <f>'TB-May'!$C$46</f>
        <v>0</v>
      </c>
      <c r="V56" s="47">
        <f>'TB-Jun'!$C$46</f>
        <v>0</v>
      </c>
      <c r="W56" s="47">
        <f>'TB-Jul'!$C$46</f>
        <v>0</v>
      </c>
      <c r="X56" s="47">
        <f>'TB-Aug'!$C$46</f>
        <v>0</v>
      </c>
      <c r="Y56" s="47">
        <f>'TB-Sep'!$C$46</f>
        <v>0</v>
      </c>
      <c r="Z56" s="47">
        <f>'TB-Oct'!$C$46</f>
        <v>0</v>
      </c>
      <c r="AA56" s="47">
        <f>'TB-Nov'!$C$46</f>
        <v>0</v>
      </c>
      <c r="AB56" s="47">
        <f>'TB-Dec'!$C$46</f>
        <v>0</v>
      </c>
    </row>
    <row r="57" spans="1:28" s="79" customFormat="1" ht="15.75" hidden="1" customHeight="1" outlineLevel="3">
      <c r="A57" s="33"/>
      <c r="B57" s="33"/>
      <c r="C57" s="33"/>
      <c r="D57" s="34" t="s">
        <v>70</v>
      </c>
      <c r="E57" s="31">
        <f t="shared" si="1"/>
        <v>0</v>
      </c>
      <c r="F57" s="31">
        <f>SUM($Q57:R57)</f>
        <v>0</v>
      </c>
      <c r="G57" s="31">
        <f>SUM($Q57:S57)</f>
        <v>0</v>
      </c>
      <c r="H57" s="103">
        <f>SUM($Q57:T57)</f>
        <v>0</v>
      </c>
      <c r="I57" s="103">
        <f>SUM($Q57:U57)</f>
        <v>0</v>
      </c>
      <c r="J57" s="103">
        <f>SUM($Q57:V57)</f>
        <v>0</v>
      </c>
      <c r="K57" s="103">
        <f>SUM($Q57:W57)</f>
        <v>0</v>
      </c>
      <c r="L57" s="103">
        <f>SUM($Q57:X57)</f>
        <v>0</v>
      </c>
      <c r="M57" s="103">
        <f>SUM($Q57:Y57)</f>
        <v>0</v>
      </c>
      <c r="N57" s="103">
        <f>SUM($Q57:Z57)</f>
        <v>0</v>
      </c>
      <c r="O57" s="103">
        <f>SUM($Q57:AA57)</f>
        <v>0</v>
      </c>
      <c r="P57" s="103">
        <f>SUM($Q57:AB57)</f>
        <v>0</v>
      </c>
      <c r="Q57" s="47">
        <f>'TB-Jan'!$C$47</f>
        <v>0</v>
      </c>
      <c r="R57" s="47">
        <f>'TB-Feb'!$C$47</f>
        <v>0</v>
      </c>
      <c r="S57" s="47">
        <f>'TB-Mar'!$C$47</f>
        <v>0</v>
      </c>
      <c r="T57" s="47">
        <f>'TB-Apr'!$C$47</f>
        <v>0</v>
      </c>
      <c r="U57" s="47">
        <f>'TB-May'!$C$47</f>
        <v>0</v>
      </c>
      <c r="V57" s="47">
        <f>'TB-Jun'!$C$47</f>
        <v>0</v>
      </c>
      <c r="W57" s="47">
        <f>'TB-Jul'!$C$47</f>
        <v>0</v>
      </c>
      <c r="X57" s="47">
        <f>'TB-Aug'!$C$47</f>
        <v>0</v>
      </c>
      <c r="Y57" s="47">
        <f>'TB-Sep'!$C$47</f>
        <v>0</v>
      </c>
      <c r="Z57" s="47">
        <f>'TB-Oct'!$C$47</f>
        <v>0</v>
      </c>
      <c r="AA57" s="47">
        <f>'TB-Nov'!$C$47</f>
        <v>0</v>
      </c>
      <c r="AB57" s="47">
        <f>'TB-Dec'!$C$47</f>
        <v>0</v>
      </c>
    </row>
    <row r="58" spans="1:28" s="78" customFormat="1" ht="15.75" customHeight="1" outlineLevel="2" collapsed="1">
      <c r="A58" s="32"/>
      <c r="B58" s="32"/>
      <c r="C58" s="32" t="s">
        <v>911</v>
      </c>
      <c r="D58" s="35"/>
      <c r="E58" s="59">
        <f t="shared" si="1"/>
        <v>0</v>
      </c>
      <c r="F58" s="59">
        <f>SUM($Q58:R58)</f>
        <v>0</v>
      </c>
      <c r="G58" s="59">
        <f>SUM($Q58:S58)</f>
        <v>0</v>
      </c>
      <c r="H58" s="104">
        <f>SUM($Q58:T58)</f>
        <v>7015161.8700000001</v>
      </c>
      <c r="I58" s="104">
        <f>SUM($Q58:U58)</f>
        <v>8005320.0899999999</v>
      </c>
      <c r="J58" s="104">
        <f>SUM($Q58:V58)</f>
        <v>9166750.0899999999</v>
      </c>
      <c r="K58" s="104">
        <f>SUM($Q58:W58)</f>
        <v>10555489.09</v>
      </c>
      <c r="L58" s="104">
        <f>SUM($Q58:X58)</f>
        <v>12124315.939999999</v>
      </c>
      <c r="M58" s="104">
        <f>SUM($Q58:Y58)</f>
        <v>12124315.939999999</v>
      </c>
      <c r="N58" s="104">
        <f>SUM($Q58:Z58)</f>
        <v>12124315.939999999</v>
      </c>
      <c r="O58" s="104">
        <f>SUM($Q58:AA58)</f>
        <v>12124315.939999999</v>
      </c>
      <c r="P58" s="104">
        <f>SUM($Q58:AB58)</f>
        <v>12124315.939999999</v>
      </c>
      <c r="Q58" s="46">
        <f>SUM(Q59:Q72)</f>
        <v>0</v>
      </c>
      <c r="R58" s="46">
        <f t="shared" ref="R58:AB58" si="12">SUM(R59:R72)</f>
        <v>0</v>
      </c>
      <c r="S58" s="46">
        <f t="shared" si="12"/>
        <v>0</v>
      </c>
      <c r="T58" s="46">
        <f t="shared" si="12"/>
        <v>7015161.8700000001</v>
      </c>
      <c r="U58" s="46">
        <f t="shared" si="12"/>
        <v>990158.22</v>
      </c>
      <c r="V58" s="46">
        <f t="shared" si="12"/>
        <v>1161430</v>
      </c>
      <c r="W58" s="46">
        <f t="shared" si="12"/>
        <v>1388739</v>
      </c>
      <c r="X58" s="46">
        <f t="shared" si="12"/>
        <v>1568826.85</v>
      </c>
      <c r="Y58" s="46">
        <f t="shared" si="12"/>
        <v>0</v>
      </c>
      <c r="Z58" s="46">
        <f t="shared" si="12"/>
        <v>0</v>
      </c>
      <c r="AA58" s="46">
        <f t="shared" si="12"/>
        <v>0</v>
      </c>
      <c r="AB58" s="46">
        <f t="shared" si="12"/>
        <v>0</v>
      </c>
    </row>
    <row r="59" spans="1:28" s="79" customFormat="1" ht="15.75" hidden="1" customHeight="1" outlineLevel="3">
      <c r="A59" s="33"/>
      <c r="B59" s="33"/>
      <c r="C59" s="33"/>
      <c r="D59" s="34" t="s">
        <v>72</v>
      </c>
      <c r="E59" s="31">
        <f t="shared" si="1"/>
        <v>0</v>
      </c>
      <c r="F59" s="31">
        <f>SUM($Q59:R59)</f>
        <v>0</v>
      </c>
      <c r="G59" s="31">
        <f>SUM($Q59:S59)</f>
        <v>0</v>
      </c>
      <c r="H59" s="103">
        <f>SUM($Q59:T59)</f>
        <v>0</v>
      </c>
      <c r="I59" s="103">
        <f>SUM($Q59:U59)</f>
        <v>0</v>
      </c>
      <c r="J59" s="103">
        <f>SUM($Q59:V59)</f>
        <v>0</v>
      </c>
      <c r="K59" s="103">
        <f>SUM($Q59:W59)</f>
        <v>0</v>
      </c>
      <c r="L59" s="103">
        <f>SUM($Q59:X59)</f>
        <v>0</v>
      </c>
      <c r="M59" s="103">
        <f>SUM($Q59:Y59)</f>
        <v>0</v>
      </c>
      <c r="N59" s="103">
        <f>SUM($Q59:Z59)</f>
        <v>0</v>
      </c>
      <c r="O59" s="103">
        <f>SUM($Q59:AA59)</f>
        <v>0</v>
      </c>
      <c r="P59" s="103">
        <f>SUM($Q59:AB59)</f>
        <v>0</v>
      </c>
      <c r="Q59" s="47">
        <f>'TB-Jan'!$C$48</f>
        <v>0</v>
      </c>
      <c r="R59" s="47">
        <f>'TB-Feb'!$C$48</f>
        <v>0</v>
      </c>
      <c r="S59" s="47">
        <f>'TB-Mar'!$C$48</f>
        <v>0</v>
      </c>
      <c r="T59" s="47">
        <f>'TB-Apr'!$C$48</f>
        <v>0</v>
      </c>
      <c r="U59" s="47">
        <f>'TB-May'!$C$48</f>
        <v>0</v>
      </c>
      <c r="V59" s="47">
        <f>'TB-Jun'!$C$48</f>
        <v>0</v>
      </c>
      <c r="W59" s="47">
        <f>'TB-Jul'!$C$48</f>
        <v>0</v>
      </c>
      <c r="X59" s="47">
        <f>'TB-Aug'!$C$48</f>
        <v>0</v>
      </c>
      <c r="Y59" s="47">
        <f>'TB-Sep'!$C$48</f>
        <v>0</v>
      </c>
      <c r="Z59" s="47">
        <f>'TB-Oct'!$C$48</f>
        <v>0</v>
      </c>
      <c r="AA59" s="47">
        <f>'TB-Nov'!$C$48</f>
        <v>0</v>
      </c>
      <c r="AB59" s="47">
        <f>'TB-Dec'!$C$48</f>
        <v>0</v>
      </c>
    </row>
    <row r="60" spans="1:28" s="79" customFormat="1" ht="15.75" hidden="1" customHeight="1" outlineLevel="3">
      <c r="A60" s="33"/>
      <c r="B60" s="33"/>
      <c r="C60" s="33"/>
      <c r="D60" s="34" t="s">
        <v>74</v>
      </c>
      <c r="E60" s="31">
        <f t="shared" si="1"/>
        <v>0</v>
      </c>
      <c r="F60" s="31">
        <f>SUM($Q60:R60)</f>
        <v>0</v>
      </c>
      <c r="G60" s="31">
        <f>SUM($Q60:S60)</f>
        <v>0</v>
      </c>
      <c r="H60" s="103">
        <f>SUM($Q60:T60)</f>
        <v>0</v>
      </c>
      <c r="I60" s="103">
        <f>SUM($Q60:U60)</f>
        <v>0</v>
      </c>
      <c r="J60" s="103">
        <f>SUM($Q60:V60)</f>
        <v>0</v>
      </c>
      <c r="K60" s="103">
        <f>SUM($Q60:W60)</f>
        <v>0</v>
      </c>
      <c r="L60" s="103">
        <f>SUM($Q60:X60)</f>
        <v>0</v>
      </c>
      <c r="M60" s="103">
        <f>SUM($Q60:Y60)</f>
        <v>0</v>
      </c>
      <c r="N60" s="103">
        <f>SUM($Q60:Z60)</f>
        <v>0</v>
      </c>
      <c r="O60" s="103">
        <f>SUM($Q60:AA60)</f>
        <v>0</v>
      </c>
      <c r="P60" s="103">
        <f>SUM($Q60:AB60)</f>
        <v>0</v>
      </c>
      <c r="Q60" s="47">
        <f>'TB-Jan'!$C$49</f>
        <v>0</v>
      </c>
      <c r="R60" s="47">
        <f>'TB-Feb'!$C$49</f>
        <v>0</v>
      </c>
      <c r="S60" s="47">
        <f>'TB-Mar'!$C$49</f>
        <v>0</v>
      </c>
      <c r="T60" s="47">
        <f>'TB-Apr'!$C$49</f>
        <v>0</v>
      </c>
      <c r="U60" s="47">
        <f>'TB-May'!$C$49</f>
        <v>0</v>
      </c>
      <c r="V60" s="47">
        <f>'TB-Jun'!$C$49</f>
        <v>0</v>
      </c>
      <c r="W60" s="47">
        <f>'TB-Jul'!$C$49</f>
        <v>0</v>
      </c>
      <c r="X60" s="47">
        <f>'TB-Aug'!$C$49</f>
        <v>0</v>
      </c>
      <c r="Y60" s="47">
        <f>'TB-Sep'!$C$49</f>
        <v>0</v>
      </c>
      <c r="Z60" s="47">
        <f>'TB-Oct'!$C$49</f>
        <v>0</v>
      </c>
      <c r="AA60" s="47">
        <f>'TB-Nov'!$C$49</f>
        <v>0</v>
      </c>
      <c r="AB60" s="47">
        <f>'TB-Dec'!$C$49</f>
        <v>0</v>
      </c>
    </row>
    <row r="61" spans="1:28" s="79" customFormat="1" ht="15.75" hidden="1" customHeight="1" outlineLevel="3">
      <c r="A61" s="33"/>
      <c r="B61" s="33"/>
      <c r="C61" s="33"/>
      <c r="D61" s="34" t="s">
        <v>76</v>
      </c>
      <c r="E61" s="31">
        <f t="shared" si="1"/>
        <v>0</v>
      </c>
      <c r="F61" s="31">
        <f>SUM($Q61:R61)</f>
        <v>0</v>
      </c>
      <c r="G61" s="31">
        <f>SUM($Q61:S61)</f>
        <v>0</v>
      </c>
      <c r="H61" s="103">
        <f>SUM($Q61:T61)</f>
        <v>0</v>
      </c>
      <c r="I61" s="103">
        <f>SUM($Q61:U61)</f>
        <v>0</v>
      </c>
      <c r="J61" s="103">
        <f>SUM($Q61:V61)</f>
        <v>0</v>
      </c>
      <c r="K61" s="103">
        <f>SUM($Q61:W61)</f>
        <v>0</v>
      </c>
      <c r="L61" s="103">
        <f>SUM($Q61:X61)</f>
        <v>0</v>
      </c>
      <c r="M61" s="103">
        <f>SUM($Q61:Y61)</f>
        <v>0</v>
      </c>
      <c r="N61" s="103">
        <f>SUM($Q61:Z61)</f>
        <v>0</v>
      </c>
      <c r="O61" s="103">
        <f>SUM($Q61:AA61)</f>
        <v>0</v>
      </c>
      <c r="P61" s="103">
        <f>SUM($Q61:AB61)</f>
        <v>0</v>
      </c>
      <c r="Q61" s="47">
        <f>'TB-Jan'!$C$50</f>
        <v>0</v>
      </c>
      <c r="R61" s="47">
        <f>'TB-Feb'!$C$50</f>
        <v>0</v>
      </c>
      <c r="S61" s="47">
        <f>'TB-Mar'!$C$50</f>
        <v>0</v>
      </c>
      <c r="T61" s="47">
        <f>'TB-Apr'!$C$50</f>
        <v>0</v>
      </c>
      <c r="U61" s="47">
        <f>'TB-May'!$C$50</f>
        <v>0</v>
      </c>
      <c r="V61" s="47">
        <f>'TB-Jun'!$C$50</f>
        <v>0</v>
      </c>
      <c r="W61" s="47">
        <f>'TB-Jul'!$C$50</f>
        <v>0</v>
      </c>
      <c r="X61" s="47">
        <f>'TB-Aug'!$C$50</f>
        <v>0</v>
      </c>
      <c r="Y61" s="47">
        <f>'TB-Sep'!$C$50</f>
        <v>0</v>
      </c>
      <c r="Z61" s="47">
        <f>'TB-Oct'!$C$50</f>
        <v>0</v>
      </c>
      <c r="AA61" s="47">
        <f>'TB-Nov'!$C$50</f>
        <v>0</v>
      </c>
      <c r="AB61" s="47">
        <f>'TB-Dec'!$C$50</f>
        <v>0</v>
      </c>
    </row>
    <row r="62" spans="1:28" s="79" customFormat="1" ht="15.75" hidden="1" customHeight="1" outlineLevel="3">
      <c r="A62" s="33"/>
      <c r="B62" s="33"/>
      <c r="C62" s="33"/>
      <c r="D62" s="34" t="s">
        <v>78</v>
      </c>
      <c r="E62" s="31">
        <f t="shared" si="1"/>
        <v>0</v>
      </c>
      <c r="F62" s="31">
        <f>SUM($Q62:R62)</f>
        <v>0</v>
      </c>
      <c r="G62" s="31">
        <f>SUM($Q62:S62)</f>
        <v>0</v>
      </c>
      <c r="H62" s="103">
        <f>SUM($Q62:T62)</f>
        <v>0</v>
      </c>
      <c r="I62" s="103">
        <f>SUM($Q62:U62)</f>
        <v>0</v>
      </c>
      <c r="J62" s="103">
        <f>SUM($Q62:V62)</f>
        <v>0</v>
      </c>
      <c r="K62" s="103">
        <f>SUM($Q62:W62)</f>
        <v>0</v>
      </c>
      <c r="L62" s="103">
        <f>SUM($Q62:X62)</f>
        <v>0</v>
      </c>
      <c r="M62" s="103">
        <f>SUM($Q62:Y62)</f>
        <v>0</v>
      </c>
      <c r="N62" s="103">
        <f>SUM($Q62:Z62)</f>
        <v>0</v>
      </c>
      <c r="O62" s="103">
        <f>SUM($Q62:AA62)</f>
        <v>0</v>
      </c>
      <c r="P62" s="103">
        <f>SUM($Q62:AB62)</f>
        <v>0</v>
      </c>
      <c r="Q62" s="47">
        <f>'TB-Jan'!$C$51</f>
        <v>0</v>
      </c>
      <c r="R62" s="47">
        <f>'TB-Feb'!$C$51</f>
        <v>0</v>
      </c>
      <c r="S62" s="47">
        <f>'TB-Mar'!$C$51</f>
        <v>0</v>
      </c>
      <c r="T62" s="47">
        <f>'TB-Apr'!$C$51</f>
        <v>0</v>
      </c>
      <c r="U62" s="47">
        <f>'TB-May'!$C$51</f>
        <v>0</v>
      </c>
      <c r="V62" s="47">
        <f>'TB-Jun'!$C$51</f>
        <v>0</v>
      </c>
      <c r="W62" s="47">
        <f>'TB-Jul'!$C$51</f>
        <v>0</v>
      </c>
      <c r="X62" s="47">
        <f>'TB-Aug'!$C$51</f>
        <v>0</v>
      </c>
      <c r="Y62" s="47">
        <f>'TB-Sep'!$C$51</f>
        <v>0</v>
      </c>
      <c r="Z62" s="47">
        <f>'TB-Oct'!$C$51</f>
        <v>0</v>
      </c>
      <c r="AA62" s="47">
        <f>'TB-Nov'!$C$51</f>
        <v>0</v>
      </c>
      <c r="AB62" s="47">
        <f>'TB-Dec'!$C$51</f>
        <v>0</v>
      </c>
    </row>
    <row r="63" spans="1:28" s="79" customFormat="1" ht="15.75" customHeight="1" outlineLevel="3">
      <c r="A63" s="33"/>
      <c r="B63" s="33"/>
      <c r="C63" s="33"/>
      <c r="D63" s="34" t="s">
        <v>80</v>
      </c>
      <c r="E63" s="31">
        <f t="shared" si="1"/>
        <v>0</v>
      </c>
      <c r="F63" s="31">
        <f>SUM($Q63:R63)</f>
        <v>0</v>
      </c>
      <c r="G63" s="31">
        <f>SUM($Q63:S63)</f>
        <v>0</v>
      </c>
      <c r="H63" s="103">
        <f>SUM($Q63:T63)</f>
        <v>2812761.87</v>
      </c>
      <c r="I63" s="103">
        <f>SUM($Q63:U63)</f>
        <v>2912120.0900000003</v>
      </c>
      <c r="J63" s="103">
        <f>SUM($Q63:V63)</f>
        <v>3457550.0900000003</v>
      </c>
      <c r="K63" s="103">
        <f>SUM($Q63:W63)</f>
        <v>3639249.0900000003</v>
      </c>
      <c r="L63" s="103">
        <f>SUM($Q63:X63)</f>
        <v>3952300.0900000003</v>
      </c>
      <c r="M63" s="103">
        <f>SUM($Q63:Y63)</f>
        <v>3952300.0900000003</v>
      </c>
      <c r="N63" s="103">
        <f>SUM($Q63:Z63)</f>
        <v>3952300.0900000003</v>
      </c>
      <c r="O63" s="103">
        <f>SUM($Q63:AA63)</f>
        <v>3952300.0900000003</v>
      </c>
      <c r="P63" s="103">
        <f>SUM($Q63:AB63)</f>
        <v>3952300.0900000003</v>
      </c>
      <c r="Q63" s="47">
        <f>'TB-Jan'!$C$52</f>
        <v>0</v>
      </c>
      <c r="R63" s="47">
        <f>'TB-Feb'!$C$52</f>
        <v>0</v>
      </c>
      <c r="S63" s="47">
        <f>'TB-Mar'!$C$52</f>
        <v>0</v>
      </c>
      <c r="T63" s="47">
        <f>'TB-Apr'!$C$52</f>
        <v>2812761.87</v>
      </c>
      <c r="U63" s="47">
        <f>'TB-May'!$C$52</f>
        <v>99358.22</v>
      </c>
      <c r="V63" s="47">
        <f>'TB-Jun'!$C$52</f>
        <v>545430</v>
      </c>
      <c r="W63" s="47">
        <f>'TB-Jul'!$C$52</f>
        <v>181699</v>
      </c>
      <c r="X63" s="47">
        <f>'TB-Aug'!$C$52</f>
        <v>313051</v>
      </c>
      <c r="Y63" s="47">
        <f>'TB-Sep'!$C$52</f>
        <v>0</v>
      </c>
      <c r="Z63" s="47">
        <f>'TB-Oct'!$C$52</f>
        <v>0</v>
      </c>
      <c r="AA63" s="47">
        <f>'TB-Nov'!$C$52</f>
        <v>0</v>
      </c>
      <c r="AB63" s="47">
        <f>'TB-Dec'!$C$52</f>
        <v>0</v>
      </c>
    </row>
    <row r="64" spans="1:28" s="79" customFormat="1" ht="15.75" hidden="1" customHeight="1" outlineLevel="3">
      <c r="A64" s="33"/>
      <c r="B64" s="33"/>
      <c r="C64" s="33"/>
      <c r="D64" s="34" t="s">
        <v>82</v>
      </c>
      <c r="E64" s="31">
        <f t="shared" si="1"/>
        <v>0</v>
      </c>
      <c r="F64" s="31">
        <f>SUM($Q64:R64)</f>
        <v>0</v>
      </c>
      <c r="G64" s="31">
        <f>SUM($Q64:S64)</f>
        <v>0</v>
      </c>
      <c r="H64" s="103">
        <f>SUM($Q64:T64)</f>
        <v>0</v>
      </c>
      <c r="I64" s="103">
        <f>SUM($Q64:U64)</f>
        <v>0</v>
      </c>
      <c r="J64" s="103">
        <f>SUM($Q64:V64)</f>
        <v>0</v>
      </c>
      <c r="K64" s="103">
        <f>SUM($Q64:W64)</f>
        <v>0</v>
      </c>
      <c r="L64" s="103">
        <f>SUM($Q64:X64)</f>
        <v>0</v>
      </c>
      <c r="M64" s="103">
        <f>SUM($Q64:Y64)</f>
        <v>0</v>
      </c>
      <c r="N64" s="103">
        <f>SUM($Q64:Z64)</f>
        <v>0</v>
      </c>
      <c r="O64" s="103">
        <f>SUM($Q64:AA64)</f>
        <v>0</v>
      </c>
      <c r="P64" s="103">
        <f>SUM($Q64:AB64)</f>
        <v>0</v>
      </c>
      <c r="Q64" s="47">
        <f>'TB-Jan'!$C$53</f>
        <v>0</v>
      </c>
      <c r="R64" s="47">
        <f>'TB-Feb'!$C$53</f>
        <v>0</v>
      </c>
      <c r="S64" s="47">
        <f>'TB-Mar'!$C$53</f>
        <v>0</v>
      </c>
      <c r="T64" s="47">
        <f>'TB-Apr'!$C$53</f>
        <v>0</v>
      </c>
      <c r="U64" s="47">
        <f>'TB-May'!$C$53</f>
        <v>0</v>
      </c>
      <c r="V64" s="47">
        <f>'TB-Jun'!$C$53</f>
        <v>0</v>
      </c>
      <c r="W64" s="47">
        <f>'TB-Jul'!$C$53</f>
        <v>0</v>
      </c>
      <c r="X64" s="47">
        <f>'TB-Aug'!$C$53</f>
        <v>0</v>
      </c>
      <c r="Y64" s="47">
        <f>'TB-Sep'!$C$53</f>
        <v>0</v>
      </c>
      <c r="Z64" s="47">
        <f>'TB-Oct'!$C$53</f>
        <v>0</v>
      </c>
      <c r="AA64" s="47">
        <f>'TB-Nov'!$C$53</f>
        <v>0</v>
      </c>
      <c r="AB64" s="47">
        <f>'TB-Dec'!$C$53</f>
        <v>0</v>
      </c>
    </row>
    <row r="65" spans="1:28" s="79" customFormat="1" ht="15.75" customHeight="1" outlineLevel="3">
      <c r="A65" s="33"/>
      <c r="B65" s="33"/>
      <c r="C65" s="33"/>
      <c r="D65" s="34" t="s">
        <v>84</v>
      </c>
      <c r="E65" s="31">
        <f t="shared" si="1"/>
        <v>0</v>
      </c>
      <c r="F65" s="31">
        <f>SUM($Q65:R65)</f>
        <v>0</v>
      </c>
      <c r="G65" s="31">
        <f>SUM($Q65:S65)</f>
        <v>0</v>
      </c>
      <c r="H65" s="103">
        <f>SUM($Q65:T65)</f>
        <v>4202400</v>
      </c>
      <c r="I65" s="103">
        <f>SUM($Q65:U65)</f>
        <v>5093200</v>
      </c>
      <c r="J65" s="103">
        <f>SUM($Q65:V65)</f>
        <v>5709200</v>
      </c>
      <c r="K65" s="103">
        <f>SUM($Q65:W65)</f>
        <v>6916240</v>
      </c>
      <c r="L65" s="103">
        <f>SUM($Q65:X65)</f>
        <v>8172015.8499999996</v>
      </c>
      <c r="M65" s="103">
        <f>SUM($Q65:Y65)</f>
        <v>8172015.8499999996</v>
      </c>
      <c r="N65" s="103">
        <f>SUM($Q65:Z65)</f>
        <v>8172015.8499999996</v>
      </c>
      <c r="O65" s="103">
        <f>SUM($Q65:AA65)</f>
        <v>8172015.8499999996</v>
      </c>
      <c r="P65" s="103">
        <f>SUM($Q65:AB65)</f>
        <v>8172015.8499999996</v>
      </c>
      <c r="Q65" s="47">
        <f>'TB-Jan'!$C$54</f>
        <v>0</v>
      </c>
      <c r="R65" s="47">
        <f>'TB-Feb'!$C$54</f>
        <v>0</v>
      </c>
      <c r="S65" s="47">
        <f>'TB-Mar'!$C$54</f>
        <v>0</v>
      </c>
      <c r="T65" s="47">
        <f>'TB-Apr'!$C$54</f>
        <v>4202400</v>
      </c>
      <c r="U65" s="47">
        <f>'TB-May'!$C$54</f>
        <v>890800</v>
      </c>
      <c r="V65" s="47">
        <f>'TB-Jun'!$C$54</f>
        <v>616000</v>
      </c>
      <c r="W65" s="47">
        <f>'TB-Jul'!$C$54</f>
        <v>1207040</v>
      </c>
      <c r="X65" s="47">
        <f>'TB-Aug'!$C$54</f>
        <v>1255775.8500000001</v>
      </c>
      <c r="Y65" s="47">
        <f>'TB-Sep'!$C$54</f>
        <v>0</v>
      </c>
      <c r="Z65" s="47">
        <f>'TB-Oct'!$C$54</f>
        <v>0</v>
      </c>
      <c r="AA65" s="47">
        <f>'TB-Nov'!$C$54</f>
        <v>0</v>
      </c>
      <c r="AB65" s="47">
        <f>'TB-Dec'!$C$54</f>
        <v>0</v>
      </c>
    </row>
    <row r="66" spans="1:28" s="79" customFormat="1" ht="15.75" hidden="1" customHeight="1" outlineLevel="3">
      <c r="A66" s="33"/>
      <c r="B66" s="33"/>
      <c r="C66" s="33"/>
      <c r="D66" s="34" t="s">
        <v>86</v>
      </c>
      <c r="E66" s="31">
        <f t="shared" si="1"/>
        <v>0</v>
      </c>
      <c r="F66" s="31">
        <f>SUM($Q66:R66)</f>
        <v>0</v>
      </c>
      <c r="G66" s="31">
        <f>SUM($Q66:S66)</f>
        <v>0</v>
      </c>
      <c r="H66" s="103">
        <f>SUM($Q66:T66)</f>
        <v>0</v>
      </c>
      <c r="I66" s="103">
        <f>SUM($Q66:U66)</f>
        <v>0</v>
      </c>
      <c r="J66" s="103">
        <f>SUM($Q66:V66)</f>
        <v>0</v>
      </c>
      <c r="K66" s="103">
        <f>SUM($Q66:W66)</f>
        <v>0</v>
      </c>
      <c r="L66" s="103">
        <f>SUM($Q66:X66)</f>
        <v>0</v>
      </c>
      <c r="M66" s="103">
        <f>SUM($Q66:Y66)</f>
        <v>0</v>
      </c>
      <c r="N66" s="103">
        <f>SUM($Q66:Z66)</f>
        <v>0</v>
      </c>
      <c r="O66" s="103">
        <f>SUM($Q66:AA66)</f>
        <v>0</v>
      </c>
      <c r="P66" s="103">
        <f>SUM($Q66:AB66)</f>
        <v>0</v>
      </c>
      <c r="Q66" s="47">
        <f>'TB-Jan'!$C$55</f>
        <v>0</v>
      </c>
      <c r="R66" s="47">
        <f>'TB-Feb'!$C$55</f>
        <v>0</v>
      </c>
      <c r="S66" s="47">
        <f>'TB-Mar'!$C$55</f>
        <v>0</v>
      </c>
      <c r="T66" s="47">
        <f>'TB-Apr'!$C$55</f>
        <v>0</v>
      </c>
      <c r="U66" s="47">
        <f>'TB-May'!$C$55</f>
        <v>0</v>
      </c>
      <c r="V66" s="47">
        <f>'TB-Jun'!$C$55</f>
        <v>0</v>
      </c>
      <c r="W66" s="47">
        <f>'TB-Jul'!$C$55</f>
        <v>0</v>
      </c>
      <c r="X66" s="47">
        <f>'TB-Aug'!$C$55</f>
        <v>0</v>
      </c>
      <c r="Y66" s="47">
        <f>'TB-Sep'!$C$55</f>
        <v>0</v>
      </c>
      <c r="Z66" s="47">
        <f>'TB-Oct'!$C$55</f>
        <v>0</v>
      </c>
      <c r="AA66" s="47">
        <f>'TB-Nov'!$C$55</f>
        <v>0</v>
      </c>
      <c r="AB66" s="47">
        <f>'TB-Dec'!$C$55</f>
        <v>0</v>
      </c>
    </row>
    <row r="67" spans="1:28" s="79" customFormat="1" ht="15.75" hidden="1" customHeight="1" outlineLevel="3">
      <c r="A67" s="33"/>
      <c r="B67" s="33"/>
      <c r="C67" s="33"/>
      <c r="D67" s="34" t="s">
        <v>88</v>
      </c>
      <c r="E67" s="31">
        <f t="shared" si="1"/>
        <v>0</v>
      </c>
      <c r="F67" s="31">
        <f>SUM($Q67:R67)</f>
        <v>0</v>
      </c>
      <c r="G67" s="31">
        <f>SUM($Q67:S67)</f>
        <v>0</v>
      </c>
      <c r="H67" s="103">
        <f>SUM($Q67:T67)</f>
        <v>0</v>
      </c>
      <c r="I67" s="103">
        <f>SUM($Q67:U67)</f>
        <v>0</v>
      </c>
      <c r="J67" s="103">
        <f>SUM($Q67:V67)</f>
        <v>0</v>
      </c>
      <c r="K67" s="103">
        <f>SUM($Q67:W67)</f>
        <v>0</v>
      </c>
      <c r="L67" s="103">
        <f>SUM($Q67:X67)</f>
        <v>0</v>
      </c>
      <c r="M67" s="103">
        <f>SUM($Q67:Y67)</f>
        <v>0</v>
      </c>
      <c r="N67" s="103">
        <f>SUM($Q67:Z67)</f>
        <v>0</v>
      </c>
      <c r="O67" s="103">
        <f>SUM($Q67:AA67)</f>
        <v>0</v>
      </c>
      <c r="P67" s="103">
        <f>SUM($Q67:AB67)</f>
        <v>0</v>
      </c>
      <c r="Q67" s="47">
        <f>'TB-Jan'!$C$56</f>
        <v>0</v>
      </c>
      <c r="R67" s="47">
        <f>'TB-Feb'!$C$56</f>
        <v>0</v>
      </c>
      <c r="S67" s="47">
        <f>'TB-Mar'!$C$56</f>
        <v>0</v>
      </c>
      <c r="T67" s="47">
        <f>'TB-Apr'!$C$56</f>
        <v>0</v>
      </c>
      <c r="U67" s="47">
        <f>'TB-May'!$C$56</f>
        <v>0</v>
      </c>
      <c r="V67" s="47">
        <f>'TB-Jun'!$C$56</f>
        <v>0</v>
      </c>
      <c r="W67" s="47">
        <f>'TB-Jul'!$C$56</f>
        <v>0</v>
      </c>
      <c r="X67" s="47">
        <f>'TB-Aug'!$C$56</f>
        <v>0</v>
      </c>
      <c r="Y67" s="47">
        <f>'TB-Sep'!$C$56</f>
        <v>0</v>
      </c>
      <c r="Z67" s="47">
        <f>'TB-Oct'!$C$56</f>
        <v>0</v>
      </c>
      <c r="AA67" s="47">
        <f>'TB-Nov'!$C$56</f>
        <v>0</v>
      </c>
      <c r="AB67" s="47">
        <f>'TB-Dec'!$C$56</f>
        <v>0</v>
      </c>
    </row>
    <row r="68" spans="1:28" s="79" customFormat="1" ht="15.75" hidden="1" customHeight="1" outlineLevel="3">
      <c r="A68" s="33"/>
      <c r="B68" s="33"/>
      <c r="C68" s="33"/>
      <c r="D68" s="34" t="s">
        <v>90</v>
      </c>
      <c r="E68" s="31">
        <f t="shared" si="1"/>
        <v>0</v>
      </c>
      <c r="F68" s="31">
        <f>SUM($Q68:R68)</f>
        <v>0</v>
      </c>
      <c r="G68" s="31">
        <f>SUM($Q68:S68)</f>
        <v>0</v>
      </c>
      <c r="H68" s="103">
        <f>SUM($Q68:T68)</f>
        <v>0</v>
      </c>
      <c r="I68" s="103">
        <f>SUM($Q68:U68)</f>
        <v>0</v>
      </c>
      <c r="J68" s="103">
        <f>SUM($Q68:V68)</f>
        <v>0</v>
      </c>
      <c r="K68" s="103">
        <f>SUM($Q68:W68)</f>
        <v>0</v>
      </c>
      <c r="L68" s="103">
        <f>SUM($Q68:X68)</f>
        <v>0</v>
      </c>
      <c r="M68" s="103">
        <f>SUM($Q68:Y68)</f>
        <v>0</v>
      </c>
      <c r="N68" s="103">
        <f>SUM($Q68:Z68)</f>
        <v>0</v>
      </c>
      <c r="O68" s="103">
        <f>SUM($Q68:AA68)</f>
        <v>0</v>
      </c>
      <c r="P68" s="103">
        <f>SUM($Q68:AB68)</f>
        <v>0</v>
      </c>
      <c r="Q68" s="47">
        <f>'TB-Jan'!$C$57</f>
        <v>0</v>
      </c>
      <c r="R68" s="47">
        <f>'TB-Feb'!$C$57</f>
        <v>0</v>
      </c>
      <c r="S68" s="47">
        <f>'TB-Mar'!$C$57</f>
        <v>0</v>
      </c>
      <c r="T68" s="47">
        <f>'TB-Apr'!$C$57</f>
        <v>0</v>
      </c>
      <c r="U68" s="47">
        <f>'TB-May'!$C$57</f>
        <v>0</v>
      </c>
      <c r="V68" s="47">
        <f>'TB-Jun'!$C$57</f>
        <v>0</v>
      </c>
      <c r="W68" s="47">
        <f>'TB-Jul'!$C$57</f>
        <v>0</v>
      </c>
      <c r="X68" s="47">
        <f>'TB-Aug'!$C$57</f>
        <v>0</v>
      </c>
      <c r="Y68" s="47">
        <f>'TB-Sep'!$C$57</f>
        <v>0</v>
      </c>
      <c r="Z68" s="47">
        <f>'TB-Oct'!$C$57</f>
        <v>0</v>
      </c>
      <c r="AA68" s="47">
        <f>'TB-Nov'!$C$57</f>
        <v>0</v>
      </c>
      <c r="AB68" s="47">
        <f>'TB-Dec'!$C$57</f>
        <v>0</v>
      </c>
    </row>
    <row r="69" spans="1:28" s="79" customFormat="1" ht="15.75" hidden="1" customHeight="1" outlineLevel="3">
      <c r="A69" s="33"/>
      <c r="B69" s="33"/>
      <c r="C69" s="33"/>
      <c r="D69" s="34" t="s">
        <v>92</v>
      </c>
      <c r="E69" s="31">
        <f t="shared" si="1"/>
        <v>0</v>
      </c>
      <c r="F69" s="31">
        <f>SUM($Q69:R69)</f>
        <v>0</v>
      </c>
      <c r="G69" s="31">
        <f>SUM($Q69:S69)</f>
        <v>0</v>
      </c>
      <c r="H69" s="103">
        <f>SUM($Q69:T69)</f>
        <v>0</v>
      </c>
      <c r="I69" s="103">
        <f>SUM($Q69:U69)</f>
        <v>0</v>
      </c>
      <c r="J69" s="103">
        <f>SUM($Q69:V69)</f>
        <v>0</v>
      </c>
      <c r="K69" s="103">
        <f>SUM($Q69:W69)</f>
        <v>0</v>
      </c>
      <c r="L69" s="103">
        <f>SUM($Q69:X69)</f>
        <v>0</v>
      </c>
      <c r="M69" s="103">
        <f>SUM($Q69:Y69)</f>
        <v>0</v>
      </c>
      <c r="N69" s="103">
        <f>SUM($Q69:Z69)</f>
        <v>0</v>
      </c>
      <c r="O69" s="103">
        <f>SUM($Q69:AA69)</f>
        <v>0</v>
      </c>
      <c r="P69" s="103">
        <f>SUM($Q69:AB69)</f>
        <v>0</v>
      </c>
      <c r="Q69" s="47">
        <f>'TB-Jan'!$C$58</f>
        <v>0</v>
      </c>
      <c r="R69" s="47">
        <f>'TB-Feb'!$C$58</f>
        <v>0</v>
      </c>
      <c r="S69" s="47">
        <f>'TB-Mar'!$C$58</f>
        <v>0</v>
      </c>
      <c r="T69" s="47">
        <f>'TB-Apr'!$C$58</f>
        <v>0</v>
      </c>
      <c r="U69" s="47">
        <f>'TB-May'!$C$58</f>
        <v>0</v>
      </c>
      <c r="V69" s="47">
        <f>'TB-Jun'!$C$58</f>
        <v>0</v>
      </c>
      <c r="W69" s="47">
        <f>'TB-Jul'!$C$58</f>
        <v>0</v>
      </c>
      <c r="X69" s="47">
        <f>'TB-Aug'!$C$58</f>
        <v>0</v>
      </c>
      <c r="Y69" s="47">
        <f>'TB-Sep'!$C$58</f>
        <v>0</v>
      </c>
      <c r="Z69" s="47">
        <f>'TB-Oct'!$C$58</f>
        <v>0</v>
      </c>
      <c r="AA69" s="47">
        <f>'TB-Nov'!$C$58</f>
        <v>0</v>
      </c>
      <c r="AB69" s="47">
        <f>'TB-Dec'!$C$58</f>
        <v>0</v>
      </c>
    </row>
    <row r="70" spans="1:28" s="79" customFormat="1" ht="15.75" hidden="1" customHeight="1" outlineLevel="3">
      <c r="A70" s="33"/>
      <c r="B70" s="33"/>
      <c r="C70" s="33"/>
      <c r="D70" s="34" t="s">
        <v>93</v>
      </c>
      <c r="E70" s="31">
        <f t="shared" si="1"/>
        <v>0</v>
      </c>
      <c r="F70" s="31">
        <f>SUM($Q70:R70)</f>
        <v>0</v>
      </c>
      <c r="G70" s="31">
        <f>SUM($Q70:S70)</f>
        <v>0</v>
      </c>
      <c r="H70" s="103">
        <f>SUM($Q70:T70)</f>
        <v>0</v>
      </c>
      <c r="I70" s="103">
        <f>SUM($Q70:U70)</f>
        <v>0</v>
      </c>
      <c r="J70" s="103">
        <f>SUM($Q70:V70)</f>
        <v>0</v>
      </c>
      <c r="K70" s="103">
        <f>SUM($Q70:W70)</f>
        <v>0</v>
      </c>
      <c r="L70" s="103">
        <f>SUM($Q70:X70)</f>
        <v>0</v>
      </c>
      <c r="M70" s="103">
        <f>SUM($Q70:Y70)</f>
        <v>0</v>
      </c>
      <c r="N70" s="103">
        <f>SUM($Q70:Z70)</f>
        <v>0</v>
      </c>
      <c r="O70" s="103">
        <f>SUM($Q70:AA70)</f>
        <v>0</v>
      </c>
      <c r="P70" s="103">
        <f>SUM($Q70:AB70)</f>
        <v>0</v>
      </c>
      <c r="Q70" s="47">
        <f>'TB-Jan'!$C$59</f>
        <v>0</v>
      </c>
      <c r="R70" s="47">
        <f>'TB-Feb'!$C$59</f>
        <v>0</v>
      </c>
      <c r="S70" s="47">
        <f>'TB-Mar'!$C$59</f>
        <v>0</v>
      </c>
      <c r="T70" s="47">
        <f>'TB-Apr'!$C$59</f>
        <v>0</v>
      </c>
      <c r="U70" s="47">
        <f>'TB-May'!$C$59</f>
        <v>0</v>
      </c>
      <c r="V70" s="47">
        <f>'TB-Jun'!$C$59</f>
        <v>0</v>
      </c>
      <c r="W70" s="47">
        <f>'TB-Jul'!$C$59</f>
        <v>0</v>
      </c>
      <c r="X70" s="47">
        <f>'TB-Aug'!$C$59</f>
        <v>0</v>
      </c>
      <c r="Y70" s="47">
        <f>'TB-Sep'!$C$59</f>
        <v>0</v>
      </c>
      <c r="Z70" s="47">
        <f>'TB-Oct'!$C$59</f>
        <v>0</v>
      </c>
      <c r="AA70" s="47">
        <f>'TB-Nov'!$C$59</f>
        <v>0</v>
      </c>
      <c r="AB70" s="47">
        <f>'TB-Dec'!$C$59</f>
        <v>0</v>
      </c>
    </row>
    <row r="71" spans="1:28" s="79" customFormat="1" ht="15.75" hidden="1" customHeight="1" outlineLevel="3">
      <c r="A71" s="33"/>
      <c r="B71" s="33"/>
      <c r="C71" s="33"/>
      <c r="D71" s="34" t="s">
        <v>94</v>
      </c>
      <c r="E71" s="31">
        <f t="shared" si="1"/>
        <v>0</v>
      </c>
      <c r="F71" s="31">
        <f>SUM($Q71:R71)</f>
        <v>0</v>
      </c>
      <c r="G71" s="31">
        <f>SUM($Q71:S71)</f>
        <v>0</v>
      </c>
      <c r="H71" s="103">
        <f>SUM($Q71:T71)</f>
        <v>0</v>
      </c>
      <c r="I71" s="103">
        <f>SUM($Q71:U71)</f>
        <v>0</v>
      </c>
      <c r="J71" s="103">
        <f>SUM($Q71:V71)</f>
        <v>0</v>
      </c>
      <c r="K71" s="103">
        <f>SUM($Q71:W71)</f>
        <v>0</v>
      </c>
      <c r="L71" s="103">
        <f>SUM($Q71:X71)</f>
        <v>0</v>
      </c>
      <c r="M71" s="103">
        <f>SUM($Q71:Y71)</f>
        <v>0</v>
      </c>
      <c r="N71" s="103">
        <f>SUM($Q71:Z71)</f>
        <v>0</v>
      </c>
      <c r="O71" s="103">
        <f>SUM($Q71:AA71)</f>
        <v>0</v>
      </c>
      <c r="P71" s="103">
        <f>SUM($Q71:AB71)</f>
        <v>0</v>
      </c>
      <c r="Q71" s="47">
        <f>'TB-Jan'!$C$60</f>
        <v>0</v>
      </c>
      <c r="R71" s="47">
        <f>'TB-Feb'!$C$60</f>
        <v>0</v>
      </c>
      <c r="S71" s="47">
        <f>'TB-Mar'!$C$60</f>
        <v>0</v>
      </c>
      <c r="T71" s="47">
        <f>'TB-Apr'!$C$60</f>
        <v>0</v>
      </c>
      <c r="U71" s="47">
        <f>'TB-May'!$C$60</f>
        <v>0</v>
      </c>
      <c r="V71" s="47">
        <f>'TB-Jun'!$C$60</f>
        <v>0</v>
      </c>
      <c r="W71" s="47">
        <f>'TB-Jul'!$C$60</f>
        <v>0</v>
      </c>
      <c r="X71" s="47">
        <f>'TB-Aug'!$C$60</f>
        <v>0</v>
      </c>
      <c r="Y71" s="47">
        <f>'TB-Sep'!$C$60</f>
        <v>0</v>
      </c>
      <c r="Z71" s="47">
        <f>'TB-Oct'!$C$60</f>
        <v>0</v>
      </c>
      <c r="AA71" s="47">
        <f>'TB-Nov'!$C$60</f>
        <v>0</v>
      </c>
      <c r="AB71" s="47">
        <f>'TB-Dec'!$C$60</f>
        <v>0</v>
      </c>
    </row>
    <row r="72" spans="1:28" s="79" customFormat="1" ht="15.75" hidden="1" customHeight="1" outlineLevel="3">
      <c r="A72" s="33"/>
      <c r="B72" s="33"/>
      <c r="C72" s="33"/>
      <c r="D72" s="34" t="s">
        <v>95</v>
      </c>
      <c r="E72" s="31">
        <f t="shared" si="1"/>
        <v>0</v>
      </c>
      <c r="F72" s="31">
        <f>SUM($Q72:R72)</f>
        <v>0</v>
      </c>
      <c r="G72" s="31">
        <f>SUM($Q72:S72)</f>
        <v>0</v>
      </c>
      <c r="H72" s="103">
        <f>SUM($Q72:T72)</f>
        <v>0</v>
      </c>
      <c r="I72" s="103">
        <f>SUM($Q72:U72)</f>
        <v>0</v>
      </c>
      <c r="J72" s="103">
        <f>SUM($Q72:V72)</f>
        <v>0</v>
      </c>
      <c r="K72" s="103">
        <f>SUM($Q72:W72)</f>
        <v>0</v>
      </c>
      <c r="L72" s="103">
        <f>SUM($Q72:X72)</f>
        <v>0</v>
      </c>
      <c r="M72" s="103">
        <f>SUM($Q72:Y72)</f>
        <v>0</v>
      </c>
      <c r="N72" s="103">
        <f>SUM($Q72:Z72)</f>
        <v>0</v>
      </c>
      <c r="O72" s="103">
        <f>SUM($Q72:AA72)</f>
        <v>0</v>
      </c>
      <c r="P72" s="103">
        <f>SUM($Q72:AB72)</f>
        <v>0</v>
      </c>
      <c r="Q72" s="47">
        <f>'TB-Jan'!$C$61</f>
        <v>0</v>
      </c>
      <c r="R72" s="47">
        <f>'TB-Feb'!$C$61</f>
        <v>0</v>
      </c>
      <c r="S72" s="47">
        <f>'TB-Mar'!$C$61</f>
        <v>0</v>
      </c>
      <c r="T72" s="47">
        <f>'TB-Apr'!$C$61</f>
        <v>0</v>
      </c>
      <c r="U72" s="47">
        <f>'TB-May'!$C$61</f>
        <v>0</v>
      </c>
      <c r="V72" s="47">
        <f>'TB-Jun'!$C$61</f>
        <v>0</v>
      </c>
      <c r="W72" s="47">
        <f>'TB-Jul'!$C$61</f>
        <v>0</v>
      </c>
      <c r="X72" s="47">
        <f>'TB-Aug'!$C$61</f>
        <v>0</v>
      </c>
      <c r="Y72" s="47">
        <f>'TB-Sep'!$C$61</f>
        <v>0</v>
      </c>
      <c r="Z72" s="47">
        <f>'TB-Oct'!$C$61</f>
        <v>0</v>
      </c>
      <c r="AA72" s="47">
        <f>'TB-Nov'!$C$61</f>
        <v>0</v>
      </c>
      <c r="AB72" s="47">
        <f>'TB-Dec'!$C$61</f>
        <v>0</v>
      </c>
    </row>
    <row r="73" spans="1:28" s="78" customFormat="1" ht="15.75" hidden="1" customHeight="1" outlineLevel="2">
      <c r="A73" s="32"/>
      <c r="B73" s="32"/>
      <c r="C73" s="32" t="s">
        <v>912</v>
      </c>
      <c r="D73" s="35"/>
      <c r="E73" s="59">
        <f t="shared" si="1"/>
        <v>0</v>
      </c>
      <c r="F73" s="59">
        <f>SUM($Q73:R73)</f>
        <v>0</v>
      </c>
      <c r="G73" s="59">
        <f>SUM($Q73:S73)</f>
        <v>0</v>
      </c>
      <c r="H73" s="104">
        <f>SUM($Q73:T73)</f>
        <v>0</v>
      </c>
      <c r="I73" s="104">
        <f>SUM($Q73:U73)</f>
        <v>0</v>
      </c>
      <c r="J73" s="104">
        <f>SUM($Q73:V73)</f>
        <v>0</v>
      </c>
      <c r="K73" s="104">
        <f>SUM($Q73:W73)</f>
        <v>0</v>
      </c>
      <c r="L73" s="104">
        <f>SUM($Q73:X73)</f>
        <v>0</v>
      </c>
      <c r="M73" s="104">
        <f>SUM($Q73:Y73)</f>
        <v>0</v>
      </c>
      <c r="N73" s="104">
        <f>SUM($Q73:Z73)</f>
        <v>0</v>
      </c>
      <c r="O73" s="104">
        <f>SUM($Q73:AA73)</f>
        <v>0</v>
      </c>
      <c r="P73" s="104">
        <f>SUM($Q73:AB73)</f>
        <v>0</v>
      </c>
      <c r="Q73" s="46">
        <f>SUM(Q74:Q76)</f>
        <v>0</v>
      </c>
      <c r="R73" s="46">
        <f t="shared" ref="R73:AB73" si="13">SUM(R74:R76)</f>
        <v>0</v>
      </c>
      <c r="S73" s="46">
        <f t="shared" si="13"/>
        <v>0</v>
      </c>
      <c r="T73" s="46">
        <f t="shared" si="13"/>
        <v>0</v>
      </c>
      <c r="U73" s="46">
        <f t="shared" si="13"/>
        <v>0</v>
      </c>
      <c r="V73" s="46">
        <f t="shared" si="13"/>
        <v>0</v>
      </c>
      <c r="W73" s="46">
        <f t="shared" si="13"/>
        <v>0</v>
      </c>
      <c r="X73" s="46">
        <f t="shared" si="13"/>
        <v>0</v>
      </c>
      <c r="Y73" s="46">
        <f t="shared" si="13"/>
        <v>0</v>
      </c>
      <c r="Z73" s="46">
        <f t="shared" si="13"/>
        <v>0</v>
      </c>
      <c r="AA73" s="46">
        <f t="shared" si="13"/>
        <v>0</v>
      </c>
      <c r="AB73" s="46">
        <f t="shared" si="13"/>
        <v>0</v>
      </c>
    </row>
    <row r="74" spans="1:28" s="79" customFormat="1" ht="15.75" hidden="1" customHeight="1" outlineLevel="2">
      <c r="A74" s="33"/>
      <c r="B74" s="33"/>
      <c r="C74" s="33"/>
      <c r="D74" s="34" t="s">
        <v>97</v>
      </c>
      <c r="E74" s="31">
        <f t="shared" si="1"/>
        <v>0</v>
      </c>
      <c r="F74" s="31">
        <f>SUM($Q74:R74)</f>
        <v>0</v>
      </c>
      <c r="G74" s="31">
        <f>SUM($Q74:S74)</f>
        <v>0</v>
      </c>
      <c r="H74" s="103">
        <f>SUM($Q74:T74)</f>
        <v>0</v>
      </c>
      <c r="I74" s="103">
        <f>SUM($Q74:U74)</f>
        <v>0</v>
      </c>
      <c r="J74" s="103">
        <f>SUM($Q74:V74)</f>
        <v>0</v>
      </c>
      <c r="K74" s="103">
        <f>SUM($Q74:W74)</f>
        <v>0</v>
      </c>
      <c r="L74" s="103">
        <f>SUM($Q74:X74)</f>
        <v>0</v>
      </c>
      <c r="M74" s="103">
        <f>SUM($Q74:Y74)</f>
        <v>0</v>
      </c>
      <c r="N74" s="103">
        <f>SUM($Q74:Z74)</f>
        <v>0</v>
      </c>
      <c r="O74" s="103">
        <f>SUM($Q74:AA74)</f>
        <v>0</v>
      </c>
      <c r="P74" s="103">
        <f>SUM($Q74:AB74)</f>
        <v>0</v>
      </c>
      <c r="Q74" s="47">
        <f>'TB-Jan'!$C$62</f>
        <v>0</v>
      </c>
      <c r="R74" s="47">
        <f>'TB-Feb'!$C$62</f>
        <v>0</v>
      </c>
      <c r="S74" s="47">
        <f>'TB-Mar'!$C$62</f>
        <v>0</v>
      </c>
      <c r="T74" s="47">
        <f>'TB-Apr'!$C$62</f>
        <v>0</v>
      </c>
      <c r="U74" s="47">
        <f>'TB-May'!$C$62</f>
        <v>0</v>
      </c>
      <c r="V74" s="47">
        <f>'TB-Jun'!$C$62</f>
        <v>0</v>
      </c>
      <c r="W74" s="47">
        <f>'TB-Jul'!$C$62</f>
        <v>0</v>
      </c>
      <c r="X74" s="47">
        <f>'TB-Aug'!$C$62</f>
        <v>0</v>
      </c>
      <c r="Y74" s="47">
        <f>'TB-Sep'!$C$62</f>
        <v>0</v>
      </c>
      <c r="Z74" s="47">
        <f>'TB-Oct'!$C$62</f>
        <v>0</v>
      </c>
      <c r="AA74" s="47">
        <f>'TB-Nov'!$C$62</f>
        <v>0</v>
      </c>
      <c r="AB74" s="47">
        <f>'TB-Dec'!$C$62</f>
        <v>0</v>
      </c>
    </row>
    <row r="75" spans="1:28" s="79" customFormat="1" ht="15.75" hidden="1" customHeight="1" outlineLevel="2">
      <c r="A75" s="33"/>
      <c r="B75" s="33"/>
      <c r="C75" s="33"/>
      <c r="D75" s="34" t="s">
        <v>99</v>
      </c>
      <c r="E75" s="31">
        <f t="shared" si="1"/>
        <v>0</v>
      </c>
      <c r="F75" s="31">
        <f>SUM($Q75:R75)</f>
        <v>0</v>
      </c>
      <c r="G75" s="31">
        <f>SUM($Q75:S75)</f>
        <v>0</v>
      </c>
      <c r="H75" s="103">
        <f>SUM($Q75:T75)</f>
        <v>0</v>
      </c>
      <c r="I75" s="103">
        <f>SUM($Q75:U75)</f>
        <v>0</v>
      </c>
      <c r="J75" s="103">
        <f>SUM($Q75:V75)</f>
        <v>0</v>
      </c>
      <c r="K75" s="103">
        <f>SUM($Q75:W75)</f>
        <v>0</v>
      </c>
      <c r="L75" s="103">
        <f>SUM($Q75:X75)</f>
        <v>0</v>
      </c>
      <c r="M75" s="103">
        <f>SUM($Q75:Y75)</f>
        <v>0</v>
      </c>
      <c r="N75" s="103">
        <f>SUM($Q75:Z75)</f>
        <v>0</v>
      </c>
      <c r="O75" s="103">
        <f>SUM($Q75:AA75)</f>
        <v>0</v>
      </c>
      <c r="P75" s="103">
        <f>SUM($Q75:AB75)</f>
        <v>0</v>
      </c>
      <c r="Q75" s="47">
        <f>'TB-Jan'!$C$63</f>
        <v>0</v>
      </c>
      <c r="R75" s="47">
        <f>'TB-Feb'!$C$63</f>
        <v>0</v>
      </c>
      <c r="S75" s="47">
        <f>'TB-Mar'!$C$63</f>
        <v>0</v>
      </c>
      <c r="T75" s="47">
        <f>'TB-Apr'!$C$63</f>
        <v>0</v>
      </c>
      <c r="U75" s="47">
        <f>'TB-May'!$C$63</f>
        <v>0</v>
      </c>
      <c r="V75" s="47">
        <f>'TB-Jun'!$C$63</f>
        <v>0</v>
      </c>
      <c r="W75" s="47">
        <f>'TB-Jul'!$C$63</f>
        <v>0</v>
      </c>
      <c r="X75" s="47">
        <f>'TB-Aug'!$C$63</f>
        <v>0</v>
      </c>
      <c r="Y75" s="47">
        <f>'TB-Sep'!$C$63</f>
        <v>0</v>
      </c>
      <c r="Z75" s="47">
        <f>'TB-Oct'!$C$63</f>
        <v>0</v>
      </c>
      <c r="AA75" s="47">
        <f>'TB-Nov'!$C$63</f>
        <v>0</v>
      </c>
      <c r="AB75" s="47">
        <f>'TB-Dec'!$C$63</f>
        <v>0</v>
      </c>
    </row>
    <row r="76" spans="1:28" s="79" customFormat="1" ht="15.75" hidden="1" customHeight="1" outlineLevel="2">
      <c r="A76" s="33"/>
      <c r="B76" s="33"/>
      <c r="C76" s="33"/>
      <c r="D76" s="34" t="s">
        <v>101</v>
      </c>
      <c r="E76" s="31">
        <f t="shared" si="1"/>
        <v>0</v>
      </c>
      <c r="F76" s="31">
        <f>SUM($Q76:R76)</f>
        <v>0</v>
      </c>
      <c r="G76" s="31">
        <f>SUM($Q76:S76)</f>
        <v>0</v>
      </c>
      <c r="H76" s="103">
        <f>SUM($Q76:T76)</f>
        <v>0</v>
      </c>
      <c r="I76" s="103">
        <f>SUM($Q76:U76)</f>
        <v>0</v>
      </c>
      <c r="J76" s="103">
        <f>SUM($Q76:V76)</f>
        <v>0</v>
      </c>
      <c r="K76" s="103">
        <f>SUM($Q76:W76)</f>
        <v>0</v>
      </c>
      <c r="L76" s="103">
        <f>SUM($Q76:X76)</f>
        <v>0</v>
      </c>
      <c r="M76" s="103">
        <f>SUM($Q76:Y76)</f>
        <v>0</v>
      </c>
      <c r="N76" s="103">
        <f>SUM($Q76:Z76)</f>
        <v>0</v>
      </c>
      <c r="O76" s="103">
        <f>SUM($Q76:AA76)</f>
        <v>0</v>
      </c>
      <c r="P76" s="103">
        <f>SUM($Q76:AB76)</f>
        <v>0</v>
      </c>
      <c r="Q76" s="47">
        <f>'TB-Jan'!$C$64</f>
        <v>0</v>
      </c>
      <c r="R76" s="47">
        <f>'TB-Feb'!$C$64</f>
        <v>0</v>
      </c>
      <c r="S76" s="47">
        <f>'TB-Mar'!$C$64</f>
        <v>0</v>
      </c>
      <c r="T76" s="47">
        <f>'TB-Apr'!$C$64</f>
        <v>0</v>
      </c>
      <c r="U76" s="47">
        <f>'TB-May'!$C$64</f>
        <v>0</v>
      </c>
      <c r="V76" s="47">
        <f>'TB-Jun'!$C$64</f>
        <v>0</v>
      </c>
      <c r="W76" s="47">
        <f>'TB-Jul'!$C$64</f>
        <v>0</v>
      </c>
      <c r="X76" s="47">
        <f>'TB-Aug'!$C$64</f>
        <v>0</v>
      </c>
      <c r="Y76" s="47">
        <f>'TB-Sep'!$C$64</f>
        <v>0</v>
      </c>
      <c r="Z76" s="47">
        <f>'TB-Oct'!$C$64</f>
        <v>0</v>
      </c>
      <c r="AA76" s="47">
        <f>'TB-Nov'!$C$64</f>
        <v>0</v>
      </c>
      <c r="AB76" s="47">
        <f>'TB-Dec'!$C$64</f>
        <v>0</v>
      </c>
    </row>
    <row r="77" spans="1:28" s="78" customFormat="1" ht="15.75" customHeight="1" outlineLevel="1" collapsed="1">
      <c r="A77" s="32"/>
      <c r="B77" s="32" t="s">
        <v>913</v>
      </c>
      <c r="C77" s="32"/>
      <c r="D77" s="35"/>
      <c r="E77" s="59">
        <f t="shared" si="1"/>
        <v>0</v>
      </c>
      <c r="F77" s="59">
        <f>SUM($Q77:R77)</f>
        <v>0</v>
      </c>
      <c r="G77" s="59">
        <f>SUM($Q77:S77)</f>
        <v>0</v>
      </c>
      <c r="H77" s="59">
        <f>SUM($Q77:T77)</f>
        <v>840000</v>
      </c>
      <c r="I77" s="59">
        <f>SUM($Q77:U77)</f>
        <v>484076.98</v>
      </c>
      <c r="J77" s="59">
        <f>SUM($Q77:V77)</f>
        <v>484076.98</v>
      </c>
      <c r="K77" s="59">
        <f>SUM($Q77:W77)</f>
        <v>313322.23</v>
      </c>
      <c r="L77" s="59">
        <f>SUM($Q77:X77)</f>
        <v>313322.23</v>
      </c>
      <c r="M77" s="59">
        <f>SUM($Q77:Y77)</f>
        <v>313322.23</v>
      </c>
      <c r="N77" s="59">
        <f>SUM($Q77:Z77)</f>
        <v>313322.23</v>
      </c>
      <c r="O77" s="59">
        <f>SUM($Q77:AA77)</f>
        <v>313322.23</v>
      </c>
      <c r="P77" s="59">
        <f>SUM($Q77:AB77)</f>
        <v>313322.23</v>
      </c>
      <c r="Q77" s="46">
        <f>SUM(Q78:Q84)</f>
        <v>0</v>
      </c>
      <c r="R77" s="46">
        <f t="shared" ref="R77:AB77" si="14">SUM(R78:R84)</f>
        <v>0</v>
      </c>
      <c r="S77" s="46">
        <f t="shared" si="14"/>
        <v>0</v>
      </c>
      <c r="T77" s="46">
        <f t="shared" si="14"/>
        <v>840000</v>
      </c>
      <c r="U77" s="46">
        <f t="shared" si="14"/>
        <v>-355923.02</v>
      </c>
      <c r="V77" s="46">
        <f t="shared" si="14"/>
        <v>0</v>
      </c>
      <c r="W77" s="46">
        <f t="shared" si="14"/>
        <v>-170754.75</v>
      </c>
      <c r="X77" s="46">
        <f t="shared" si="14"/>
        <v>0</v>
      </c>
      <c r="Y77" s="46">
        <f t="shared" si="14"/>
        <v>0</v>
      </c>
      <c r="Z77" s="46">
        <f t="shared" si="14"/>
        <v>0</v>
      </c>
      <c r="AA77" s="46">
        <f t="shared" si="14"/>
        <v>0</v>
      </c>
      <c r="AB77" s="46">
        <f t="shared" si="14"/>
        <v>0</v>
      </c>
    </row>
    <row r="78" spans="1:28" s="79" customFormat="1" ht="15.75" hidden="1" customHeight="1" outlineLevel="2">
      <c r="A78" s="33"/>
      <c r="B78" s="33"/>
      <c r="C78" s="34" t="s">
        <v>103</v>
      </c>
      <c r="D78" s="33"/>
      <c r="E78" s="31">
        <f t="shared" si="1"/>
        <v>0</v>
      </c>
      <c r="F78" s="31">
        <f>SUM($Q78:R78)</f>
        <v>0</v>
      </c>
      <c r="G78" s="31">
        <f>SUM($Q78:S78)</f>
        <v>0</v>
      </c>
      <c r="H78" s="103">
        <f>SUM($Q78:T78)</f>
        <v>0</v>
      </c>
      <c r="I78" s="103">
        <f>SUM($Q78:U78)</f>
        <v>0</v>
      </c>
      <c r="J78" s="103">
        <f>SUM($Q78:V78)</f>
        <v>0</v>
      </c>
      <c r="K78" s="103">
        <f>SUM($Q78:W78)</f>
        <v>0</v>
      </c>
      <c r="L78" s="103">
        <f>SUM($Q78:X78)</f>
        <v>0</v>
      </c>
      <c r="M78" s="103">
        <f>SUM($Q78:Y78)</f>
        <v>0</v>
      </c>
      <c r="N78" s="103">
        <f>SUM($Q78:Z78)</f>
        <v>0</v>
      </c>
      <c r="O78" s="103">
        <f>SUM($Q78:AA78)</f>
        <v>0</v>
      </c>
      <c r="P78" s="103">
        <f>SUM($Q78:AB78)</f>
        <v>0</v>
      </c>
      <c r="Q78" s="48">
        <f>'TB-Jan'!$C$65</f>
        <v>0</v>
      </c>
      <c r="R78" s="48">
        <f>'TB-Feb'!$C$65</f>
        <v>0</v>
      </c>
      <c r="S78" s="48">
        <f>'TB-Mar'!$C$65</f>
        <v>0</v>
      </c>
      <c r="T78" s="48">
        <f>'TB-Apr'!$C$65</f>
        <v>0</v>
      </c>
      <c r="U78" s="48">
        <f>'TB-May'!$C$65</f>
        <v>0</v>
      </c>
      <c r="V78" s="48">
        <f>'TB-Jun'!$C$65</f>
        <v>0</v>
      </c>
      <c r="W78" s="48">
        <f>'TB-Jul'!$C$65</f>
        <v>0</v>
      </c>
      <c r="X78" s="48">
        <f>'TB-Aug'!$C$65</f>
        <v>0</v>
      </c>
      <c r="Y78" s="48">
        <f>'TB-Sep'!$C$65</f>
        <v>0</v>
      </c>
      <c r="Z78" s="48">
        <f>'TB-Oct'!$C$65</f>
        <v>0</v>
      </c>
      <c r="AA78" s="48">
        <f>'TB-Nov'!$C$65</f>
        <v>0</v>
      </c>
      <c r="AB78" s="48">
        <f>'TB-Dec'!$C$65</f>
        <v>0</v>
      </c>
    </row>
    <row r="79" spans="1:28" s="79" customFormat="1" ht="15.75" hidden="1" customHeight="1" outlineLevel="2">
      <c r="A79" s="33"/>
      <c r="B79" s="33"/>
      <c r="C79" s="34" t="s">
        <v>105</v>
      </c>
      <c r="D79" s="33"/>
      <c r="E79" s="31">
        <f t="shared" ref="E79:E88" si="15">SUM(Q79)</f>
        <v>0</v>
      </c>
      <c r="F79" s="31">
        <f>SUM($Q79:R79)</f>
        <v>0</v>
      </c>
      <c r="G79" s="31">
        <f>SUM($Q79:S79)</f>
        <v>0</v>
      </c>
      <c r="H79" s="103">
        <f>SUM($Q79:T79)</f>
        <v>0</v>
      </c>
      <c r="I79" s="103">
        <f>SUM($Q79:U79)</f>
        <v>0</v>
      </c>
      <c r="J79" s="103">
        <f>SUM($Q79:V79)</f>
        <v>0</v>
      </c>
      <c r="K79" s="103">
        <f>SUM($Q79:W79)</f>
        <v>0</v>
      </c>
      <c r="L79" s="103">
        <f>SUM($Q79:X79)</f>
        <v>0</v>
      </c>
      <c r="M79" s="103">
        <f>SUM($Q79:Y79)</f>
        <v>0</v>
      </c>
      <c r="N79" s="103">
        <f>SUM($Q79:Z79)</f>
        <v>0</v>
      </c>
      <c r="O79" s="103">
        <f>SUM($Q79:AA79)</f>
        <v>0</v>
      </c>
      <c r="P79" s="103">
        <f>SUM($Q79:AB79)</f>
        <v>0</v>
      </c>
      <c r="Q79" s="48">
        <f>'TB-Jan'!$C$66</f>
        <v>0</v>
      </c>
      <c r="R79" s="48">
        <f>'TB-Feb'!$C$66</f>
        <v>0</v>
      </c>
      <c r="S79" s="48">
        <f>'TB-Mar'!$C$66</f>
        <v>0</v>
      </c>
      <c r="T79" s="48">
        <f>'TB-Apr'!$C$66</f>
        <v>0</v>
      </c>
      <c r="U79" s="48">
        <f>'TB-May'!$C$66</f>
        <v>0</v>
      </c>
      <c r="V79" s="48">
        <f>'TB-Jun'!$C$66</f>
        <v>0</v>
      </c>
      <c r="W79" s="48">
        <f>'TB-Jul'!$C$66</f>
        <v>0</v>
      </c>
      <c r="X79" s="48">
        <f>'TB-Aug'!$C$66</f>
        <v>0</v>
      </c>
      <c r="Y79" s="48">
        <f>'TB-Sep'!$C$66</f>
        <v>0</v>
      </c>
      <c r="Z79" s="48">
        <f>'TB-Oct'!$C$66</f>
        <v>0</v>
      </c>
      <c r="AA79" s="48">
        <f>'TB-Nov'!$C$66</f>
        <v>0</v>
      </c>
      <c r="AB79" s="48">
        <f>'TB-Dec'!$C$66</f>
        <v>0</v>
      </c>
    </row>
    <row r="80" spans="1:28" s="79" customFormat="1" ht="15.75" hidden="1" customHeight="1" outlineLevel="2">
      <c r="A80" s="33"/>
      <c r="B80" s="33"/>
      <c r="C80" s="34" t="s">
        <v>106</v>
      </c>
      <c r="D80" s="33"/>
      <c r="E80" s="31">
        <f t="shared" si="15"/>
        <v>0</v>
      </c>
      <c r="F80" s="31">
        <f>SUM($Q80:R80)</f>
        <v>0</v>
      </c>
      <c r="G80" s="31">
        <f>SUM($Q80:S80)</f>
        <v>0</v>
      </c>
      <c r="H80" s="103">
        <f>SUM($Q80:T80)</f>
        <v>0</v>
      </c>
      <c r="I80" s="103">
        <f>SUM($Q80:U80)</f>
        <v>0</v>
      </c>
      <c r="J80" s="103">
        <f>SUM($Q80:V80)</f>
        <v>0</v>
      </c>
      <c r="K80" s="103">
        <f>SUM($Q80:W80)</f>
        <v>0</v>
      </c>
      <c r="L80" s="103">
        <f>SUM($Q80:X80)</f>
        <v>0</v>
      </c>
      <c r="M80" s="103">
        <f>SUM($Q80:Y80)</f>
        <v>0</v>
      </c>
      <c r="N80" s="103">
        <f>SUM($Q80:Z80)</f>
        <v>0</v>
      </c>
      <c r="O80" s="103">
        <f>SUM($Q80:AA80)</f>
        <v>0</v>
      </c>
      <c r="P80" s="103">
        <f>SUM($Q80:AB80)</f>
        <v>0</v>
      </c>
      <c r="Q80" s="48">
        <f>'TB-Jan'!$C$67</f>
        <v>0</v>
      </c>
      <c r="R80" s="48">
        <f>'TB-Feb'!$C$67</f>
        <v>0</v>
      </c>
      <c r="S80" s="48">
        <f>'TB-Mar'!$C$67</f>
        <v>0</v>
      </c>
      <c r="T80" s="48">
        <f>'TB-Apr'!$C$67</f>
        <v>0</v>
      </c>
      <c r="U80" s="48">
        <f>'TB-May'!$C$67</f>
        <v>0</v>
      </c>
      <c r="V80" s="48">
        <f>'TB-Jun'!$C$67</f>
        <v>0</v>
      </c>
      <c r="W80" s="48">
        <f>'TB-Jul'!$C$67</f>
        <v>0</v>
      </c>
      <c r="X80" s="48">
        <f>'TB-Aug'!$C$67</f>
        <v>0</v>
      </c>
      <c r="Y80" s="48">
        <f>'TB-Sep'!$C$67</f>
        <v>0</v>
      </c>
      <c r="Z80" s="48">
        <f>'TB-Oct'!$C$67</f>
        <v>0</v>
      </c>
      <c r="AA80" s="48">
        <f>'TB-Nov'!$C$67</f>
        <v>0</v>
      </c>
      <c r="AB80" s="48">
        <f>'TB-Dec'!$C$67</f>
        <v>0</v>
      </c>
    </row>
    <row r="81" spans="1:28" s="79" customFormat="1" ht="15.75" hidden="1" customHeight="1" outlineLevel="2">
      <c r="A81" s="33"/>
      <c r="B81" s="33"/>
      <c r="C81" s="34" t="s">
        <v>107</v>
      </c>
      <c r="D81" s="33"/>
      <c r="E81" s="31">
        <f t="shared" si="15"/>
        <v>0</v>
      </c>
      <c r="F81" s="31">
        <f>SUM($Q81:R81)</f>
        <v>0</v>
      </c>
      <c r="G81" s="31">
        <f>SUM($Q81:S81)</f>
        <v>0</v>
      </c>
      <c r="H81" s="103">
        <f>SUM($Q81:T81)</f>
        <v>0</v>
      </c>
      <c r="I81" s="103">
        <f>SUM($Q81:U81)</f>
        <v>0</v>
      </c>
      <c r="J81" s="103">
        <f>SUM($Q81:V81)</f>
        <v>0</v>
      </c>
      <c r="K81" s="103">
        <f>SUM($Q81:W81)</f>
        <v>0</v>
      </c>
      <c r="L81" s="103">
        <f>SUM($Q81:X81)</f>
        <v>0</v>
      </c>
      <c r="M81" s="103">
        <f>SUM($Q81:Y81)</f>
        <v>0</v>
      </c>
      <c r="N81" s="103">
        <f>SUM($Q81:Z81)</f>
        <v>0</v>
      </c>
      <c r="O81" s="103">
        <f>SUM($Q81:AA81)</f>
        <v>0</v>
      </c>
      <c r="P81" s="103">
        <f>SUM($Q81:AB81)</f>
        <v>0</v>
      </c>
      <c r="Q81" s="48">
        <f>'TB-Jan'!$C$68</f>
        <v>0</v>
      </c>
      <c r="R81" s="48">
        <f>'TB-Feb'!$C$68</f>
        <v>0</v>
      </c>
      <c r="S81" s="48">
        <f>'TB-Mar'!$C$68</f>
        <v>0</v>
      </c>
      <c r="T81" s="48">
        <f>'TB-Apr'!$C$68</f>
        <v>0</v>
      </c>
      <c r="U81" s="48">
        <f>'TB-May'!$C$68</f>
        <v>0</v>
      </c>
      <c r="V81" s="48">
        <f>'TB-Jun'!$C$68</f>
        <v>0</v>
      </c>
      <c r="W81" s="48">
        <f>'TB-Jul'!$C$68</f>
        <v>0</v>
      </c>
      <c r="X81" s="48">
        <f>'TB-Aug'!$C$68</f>
        <v>0</v>
      </c>
      <c r="Y81" s="48">
        <f>'TB-Sep'!$C$68</f>
        <v>0</v>
      </c>
      <c r="Z81" s="48">
        <f>'TB-Oct'!$C$68</f>
        <v>0</v>
      </c>
      <c r="AA81" s="48">
        <f>'TB-Nov'!$C$68</f>
        <v>0</v>
      </c>
      <c r="AB81" s="48">
        <f>'TB-Dec'!$C$68</f>
        <v>0</v>
      </c>
    </row>
    <row r="82" spans="1:28" s="79" customFormat="1" ht="15.75" customHeight="1" outlineLevel="2">
      <c r="A82" s="33"/>
      <c r="B82" s="33"/>
      <c r="C82" s="34" t="s">
        <v>108</v>
      </c>
      <c r="D82" s="33"/>
      <c r="E82" s="31">
        <f t="shared" si="15"/>
        <v>0</v>
      </c>
      <c r="F82" s="31">
        <f>SUM($Q82:R82)</f>
        <v>0</v>
      </c>
      <c r="G82" s="31">
        <f>SUM($Q82:S82)</f>
        <v>0</v>
      </c>
      <c r="H82" s="103">
        <f>SUM($Q82:T82)</f>
        <v>840000</v>
      </c>
      <c r="I82" s="103">
        <f>SUM($Q82:U82)</f>
        <v>484076.98</v>
      </c>
      <c r="J82" s="103">
        <f>SUM($Q82:V82)</f>
        <v>484076.98</v>
      </c>
      <c r="K82" s="103">
        <f>SUM($Q82:W82)</f>
        <v>313322.23</v>
      </c>
      <c r="L82" s="103">
        <f>SUM($Q82:X82)</f>
        <v>313322.23</v>
      </c>
      <c r="M82" s="103">
        <f>SUM($Q82:Y82)</f>
        <v>313322.23</v>
      </c>
      <c r="N82" s="103">
        <f>SUM($Q82:Z82)</f>
        <v>313322.23</v>
      </c>
      <c r="O82" s="103">
        <f>SUM($Q82:AA82)</f>
        <v>313322.23</v>
      </c>
      <c r="P82" s="103">
        <f>SUM($Q82:AB82)</f>
        <v>313322.23</v>
      </c>
      <c r="Q82" s="48">
        <f>'TB-Jan'!$C$69</f>
        <v>0</v>
      </c>
      <c r="R82" s="48">
        <f>'TB-Feb'!$C$69</f>
        <v>0</v>
      </c>
      <c r="S82" s="48">
        <f>'TB-Mar'!$C$69</f>
        <v>0</v>
      </c>
      <c r="T82" s="48">
        <f>'TB-Apr'!$C$69</f>
        <v>840000</v>
      </c>
      <c r="U82" s="48">
        <f>'TB-May'!$C$69</f>
        <v>-355923.02</v>
      </c>
      <c r="V82" s="48">
        <f>'TB-Jun'!$C$69</f>
        <v>0</v>
      </c>
      <c r="W82" s="48">
        <f>'TB-Jul'!$C$69</f>
        <v>-170754.75</v>
      </c>
      <c r="X82" s="48">
        <f>'TB-Aug'!$C$69</f>
        <v>0</v>
      </c>
      <c r="Y82" s="48">
        <f>'TB-Sep'!$C$69</f>
        <v>0</v>
      </c>
      <c r="Z82" s="48">
        <f>'TB-Oct'!$C$69</f>
        <v>0</v>
      </c>
      <c r="AA82" s="48">
        <f>'TB-Nov'!$C$69</f>
        <v>0</v>
      </c>
      <c r="AB82" s="48">
        <f>'TB-Dec'!$C$69</f>
        <v>0</v>
      </c>
    </row>
    <row r="83" spans="1:28" s="79" customFormat="1" ht="15.75" hidden="1" customHeight="1" outlineLevel="2">
      <c r="A83" s="33"/>
      <c r="B83" s="33"/>
      <c r="C83" s="34" t="s">
        <v>109</v>
      </c>
      <c r="D83" s="33"/>
      <c r="E83" s="31">
        <f t="shared" si="15"/>
        <v>0</v>
      </c>
      <c r="F83" s="31">
        <f>SUM($Q83:R83)</f>
        <v>0</v>
      </c>
      <c r="G83" s="31">
        <f>SUM($Q83:S83)</f>
        <v>0</v>
      </c>
      <c r="H83" s="103">
        <f>SUM($Q83:T83)</f>
        <v>0</v>
      </c>
      <c r="I83" s="103">
        <f>SUM($Q83:U83)</f>
        <v>0</v>
      </c>
      <c r="J83" s="103">
        <f>SUM($Q83:V83)</f>
        <v>0</v>
      </c>
      <c r="K83" s="103">
        <f>SUM($Q83:W83)</f>
        <v>0</v>
      </c>
      <c r="L83" s="103">
        <f>SUM($Q83:X83)</f>
        <v>0</v>
      </c>
      <c r="M83" s="103">
        <f>SUM($Q83:Y83)</f>
        <v>0</v>
      </c>
      <c r="N83" s="103">
        <f>SUM($Q83:Z83)</f>
        <v>0</v>
      </c>
      <c r="O83" s="103">
        <f>SUM($Q83:AA83)</f>
        <v>0</v>
      </c>
      <c r="P83" s="103">
        <f>SUM($Q83:AB83)</f>
        <v>0</v>
      </c>
      <c r="Q83" s="48">
        <f>'TB-Jan'!$C$70</f>
        <v>0</v>
      </c>
      <c r="R83" s="48">
        <f>'TB-Feb'!$C$70</f>
        <v>0</v>
      </c>
      <c r="S83" s="48">
        <f>'TB-Mar'!$C$70</f>
        <v>0</v>
      </c>
      <c r="T83" s="48">
        <f>'TB-Apr'!$C$70</f>
        <v>0</v>
      </c>
      <c r="U83" s="48">
        <f>'TB-May'!$C$70</f>
        <v>0</v>
      </c>
      <c r="V83" s="48">
        <f>'TB-Jun'!$C$70</f>
        <v>0</v>
      </c>
      <c r="W83" s="48">
        <f>'TB-Jul'!$C$70</f>
        <v>0</v>
      </c>
      <c r="X83" s="48">
        <f>'TB-Aug'!$C$70</f>
        <v>0</v>
      </c>
      <c r="Y83" s="48">
        <f>'TB-Sep'!$C$70</f>
        <v>0</v>
      </c>
      <c r="Z83" s="48">
        <f>'TB-Oct'!$C$70</f>
        <v>0</v>
      </c>
      <c r="AA83" s="48">
        <f>'TB-Nov'!$C$70</f>
        <v>0</v>
      </c>
      <c r="AB83" s="48">
        <f>'TB-Dec'!$C$70</f>
        <v>0</v>
      </c>
    </row>
    <row r="84" spans="1:28" s="79" customFormat="1" ht="15.75" hidden="1" customHeight="1" outlineLevel="2">
      <c r="A84" s="33"/>
      <c r="B84" s="33"/>
      <c r="C84" s="34" t="s">
        <v>110</v>
      </c>
      <c r="D84" s="33"/>
      <c r="E84" s="31">
        <f t="shared" si="15"/>
        <v>0</v>
      </c>
      <c r="F84" s="31">
        <f>SUM($Q84:R84)</f>
        <v>0</v>
      </c>
      <c r="G84" s="31">
        <f>SUM($Q84:S84)</f>
        <v>0</v>
      </c>
      <c r="H84" s="103">
        <f>SUM($Q84:T84)</f>
        <v>0</v>
      </c>
      <c r="I84" s="103">
        <f>SUM($Q84:U84)</f>
        <v>0</v>
      </c>
      <c r="J84" s="103">
        <f>SUM($Q84:V84)</f>
        <v>0</v>
      </c>
      <c r="K84" s="103">
        <f>SUM($Q84:W84)</f>
        <v>0</v>
      </c>
      <c r="L84" s="103">
        <f>SUM($Q84:X84)</f>
        <v>0</v>
      </c>
      <c r="M84" s="103">
        <f>SUM($Q84:Y84)</f>
        <v>0</v>
      </c>
      <c r="N84" s="103">
        <f>SUM($Q84:Z84)</f>
        <v>0</v>
      </c>
      <c r="O84" s="103">
        <f>SUM($Q84:AA84)</f>
        <v>0</v>
      </c>
      <c r="P84" s="103">
        <f>SUM($Q84:AB84)</f>
        <v>0</v>
      </c>
      <c r="Q84" s="48">
        <f>'TB-Jan'!$C$71</f>
        <v>0</v>
      </c>
      <c r="R84" s="48">
        <f>'TB-Feb'!$C$71</f>
        <v>0</v>
      </c>
      <c r="S84" s="48">
        <f>'TB-Mar'!$C$71</f>
        <v>0</v>
      </c>
      <c r="T84" s="48">
        <f>'TB-Apr'!$C$71</f>
        <v>0</v>
      </c>
      <c r="U84" s="48">
        <f>'TB-May'!$C$71</f>
        <v>0</v>
      </c>
      <c r="V84" s="48">
        <f>'TB-Jun'!$C$71</f>
        <v>0</v>
      </c>
      <c r="W84" s="48">
        <f>'TB-Jul'!$C$71</f>
        <v>0</v>
      </c>
      <c r="X84" s="48">
        <f>'TB-Aug'!$C$71</f>
        <v>0</v>
      </c>
      <c r="Y84" s="48">
        <f>'TB-Sep'!$C$71</f>
        <v>0</v>
      </c>
      <c r="Z84" s="48">
        <f>'TB-Oct'!$C$71</f>
        <v>0</v>
      </c>
      <c r="AA84" s="48">
        <f>'TB-Nov'!$C$71</f>
        <v>0</v>
      </c>
      <c r="AB84" s="48">
        <f>'TB-Dec'!$C$71</f>
        <v>0</v>
      </c>
    </row>
    <row r="85" spans="1:28" s="78" customFormat="1" ht="15.75" hidden="1" customHeight="1" outlineLevel="1">
      <c r="A85" s="32"/>
      <c r="B85" s="32" t="s">
        <v>914</v>
      </c>
      <c r="C85" s="32"/>
      <c r="D85" s="35"/>
      <c r="E85" s="59">
        <f t="shared" si="15"/>
        <v>0</v>
      </c>
      <c r="F85" s="59">
        <f>SUM($Q85:R85)</f>
        <v>0</v>
      </c>
      <c r="G85" s="59">
        <f>SUM($Q85:S85)</f>
        <v>0</v>
      </c>
      <c r="H85" s="104">
        <f>SUM($Q85:T85)</f>
        <v>0</v>
      </c>
      <c r="I85" s="104">
        <f>SUM($Q85:U85)</f>
        <v>0</v>
      </c>
      <c r="J85" s="104">
        <f>SUM($Q85:V85)</f>
        <v>0</v>
      </c>
      <c r="K85" s="104">
        <f>SUM($Q85:W85)</f>
        <v>0</v>
      </c>
      <c r="L85" s="104">
        <f>SUM($Q85:X85)</f>
        <v>0</v>
      </c>
      <c r="M85" s="104">
        <f>SUM($Q85:Y85)</f>
        <v>0</v>
      </c>
      <c r="N85" s="104">
        <f>SUM($Q85:Z85)</f>
        <v>0</v>
      </c>
      <c r="O85" s="104">
        <f>SUM($Q85:AA85)</f>
        <v>0</v>
      </c>
      <c r="P85" s="104">
        <f>SUM($Q85:AB85)</f>
        <v>0</v>
      </c>
      <c r="Q85" s="46">
        <f>SUM(Q86:Q87)</f>
        <v>0</v>
      </c>
      <c r="R85" s="46">
        <f t="shared" ref="R85:AB85" si="16">SUM(R86:R87)</f>
        <v>0</v>
      </c>
      <c r="S85" s="46">
        <f t="shared" si="16"/>
        <v>0</v>
      </c>
      <c r="T85" s="46">
        <f t="shared" si="16"/>
        <v>0</v>
      </c>
      <c r="U85" s="46">
        <f t="shared" si="16"/>
        <v>0</v>
      </c>
      <c r="V85" s="46">
        <f t="shared" si="16"/>
        <v>0</v>
      </c>
      <c r="W85" s="46">
        <f t="shared" si="16"/>
        <v>0</v>
      </c>
      <c r="X85" s="46">
        <f t="shared" si="16"/>
        <v>0</v>
      </c>
      <c r="Y85" s="46">
        <f t="shared" si="16"/>
        <v>0</v>
      </c>
      <c r="Z85" s="46">
        <f t="shared" si="16"/>
        <v>0</v>
      </c>
      <c r="AA85" s="46">
        <f t="shared" si="16"/>
        <v>0</v>
      </c>
      <c r="AB85" s="46">
        <f t="shared" si="16"/>
        <v>0</v>
      </c>
    </row>
    <row r="86" spans="1:28" s="79" customFormat="1" ht="15.75" hidden="1" customHeight="1" outlineLevel="2">
      <c r="A86" s="33"/>
      <c r="B86" s="33"/>
      <c r="C86" s="33"/>
      <c r="D86" s="34" t="s">
        <v>111</v>
      </c>
      <c r="E86" s="31">
        <f t="shared" si="15"/>
        <v>0</v>
      </c>
      <c r="F86" s="31">
        <f>SUM($Q86:R86)</f>
        <v>0</v>
      </c>
      <c r="G86" s="31">
        <f>SUM($Q86:S86)</f>
        <v>0</v>
      </c>
      <c r="H86" s="103">
        <f>SUM($Q86:T86)</f>
        <v>0</v>
      </c>
      <c r="I86" s="103">
        <f>SUM($Q86:U86)</f>
        <v>0</v>
      </c>
      <c r="J86" s="103">
        <f>SUM($Q86:V86)</f>
        <v>0</v>
      </c>
      <c r="K86" s="103">
        <f>SUM($Q86:W86)</f>
        <v>0</v>
      </c>
      <c r="L86" s="103">
        <f>SUM($Q86:X86)</f>
        <v>0</v>
      </c>
      <c r="M86" s="103">
        <f>SUM($Q86:Y86)</f>
        <v>0</v>
      </c>
      <c r="N86" s="103">
        <f>SUM($Q86:Z86)</f>
        <v>0</v>
      </c>
      <c r="O86" s="103">
        <f>SUM($Q86:AA86)</f>
        <v>0</v>
      </c>
      <c r="P86" s="103">
        <f>SUM($Q86:AB86)</f>
        <v>0</v>
      </c>
      <c r="Q86" s="47">
        <f>'TB-Jan'!$C$72</f>
        <v>0</v>
      </c>
      <c r="R86" s="47">
        <f>'TB-Feb'!$C$72</f>
        <v>0</v>
      </c>
      <c r="S86" s="47">
        <f>'TB-Mar'!$C$72</f>
        <v>0</v>
      </c>
      <c r="T86" s="47">
        <f>'TB-Apr'!$C$72</f>
        <v>0</v>
      </c>
      <c r="U86" s="47">
        <f>'TB-May'!$C$72</f>
        <v>0</v>
      </c>
      <c r="V86" s="47">
        <f>'TB-Jun'!$C$72</f>
        <v>0</v>
      </c>
      <c r="W86" s="47">
        <f>'TB-Jul'!$C$72</f>
        <v>0</v>
      </c>
      <c r="X86" s="47">
        <f>'TB-Aug'!$C$72</f>
        <v>0</v>
      </c>
      <c r="Y86" s="47">
        <f>'TB-Sep'!$C$72</f>
        <v>0</v>
      </c>
      <c r="Z86" s="47">
        <f>'TB-Oct'!$C$72</f>
        <v>0</v>
      </c>
      <c r="AA86" s="47">
        <f>'TB-Nov'!$C$72</f>
        <v>0</v>
      </c>
      <c r="AB86" s="47">
        <f>'TB-Dec'!$C$72</f>
        <v>0</v>
      </c>
    </row>
    <row r="87" spans="1:28" s="79" customFormat="1" ht="15.75" hidden="1" customHeight="1" outlineLevel="2">
      <c r="A87" s="33"/>
      <c r="B87" s="33"/>
      <c r="C87" s="33"/>
      <c r="D87" s="34" t="s">
        <v>113</v>
      </c>
      <c r="E87" s="31">
        <f t="shared" si="15"/>
        <v>0</v>
      </c>
      <c r="F87" s="31">
        <f>SUM($Q87:R87)</f>
        <v>0</v>
      </c>
      <c r="G87" s="31">
        <f>SUM($Q87:S87)</f>
        <v>0</v>
      </c>
      <c r="H87" s="103">
        <f>SUM($Q87:T87)</f>
        <v>0</v>
      </c>
      <c r="I87" s="103">
        <f>SUM($Q87:U87)</f>
        <v>0</v>
      </c>
      <c r="J87" s="103">
        <f>SUM($Q87:V87)</f>
        <v>0</v>
      </c>
      <c r="K87" s="103">
        <f>SUM($Q87:W87)</f>
        <v>0</v>
      </c>
      <c r="L87" s="103">
        <f>SUM($Q87:X87)</f>
        <v>0</v>
      </c>
      <c r="M87" s="103">
        <f>SUM($Q87:Y87)</f>
        <v>0</v>
      </c>
      <c r="N87" s="103">
        <f>SUM($Q87:Z87)</f>
        <v>0</v>
      </c>
      <c r="O87" s="103">
        <f>SUM($Q87:AA87)</f>
        <v>0</v>
      </c>
      <c r="P87" s="103">
        <f>SUM($Q87:AB87)</f>
        <v>0</v>
      </c>
      <c r="Q87" s="47">
        <f>'TB-Jan'!$C$73</f>
        <v>0</v>
      </c>
      <c r="R87" s="47">
        <f>'TB-Feb'!$C$73</f>
        <v>0</v>
      </c>
      <c r="S87" s="47">
        <f>'TB-Mar'!$C$73</f>
        <v>0</v>
      </c>
      <c r="T87" s="47">
        <f>'TB-Apr'!$C$73</f>
        <v>0</v>
      </c>
      <c r="U87" s="47">
        <f>'TB-May'!$C$73</f>
        <v>0</v>
      </c>
      <c r="V87" s="47">
        <f>'TB-Jun'!$C$73</f>
        <v>0</v>
      </c>
      <c r="W87" s="47">
        <f>'TB-Jul'!$C$73</f>
        <v>0</v>
      </c>
      <c r="X87" s="47">
        <f>'TB-Aug'!$C$73</f>
        <v>0</v>
      </c>
      <c r="Y87" s="47">
        <f>'TB-Sep'!$C$73</f>
        <v>0</v>
      </c>
      <c r="Z87" s="47">
        <f>'TB-Oct'!$C$73</f>
        <v>0</v>
      </c>
      <c r="AA87" s="47">
        <f>'TB-Nov'!$C$73</f>
        <v>0</v>
      </c>
      <c r="AB87" s="47">
        <f>'TB-Dec'!$C$73</f>
        <v>0</v>
      </c>
    </row>
    <row r="88" spans="1:28" s="78" customFormat="1" ht="15.75" customHeight="1" outlineLevel="1" collapsed="1">
      <c r="A88" s="32"/>
      <c r="B88" s="32"/>
      <c r="C88" s="32"/>
      <c r="D88" s="35" t="s">
        <v>996</v>
      </c>
      <c r="E88" s="59">
        <f t="shared" si="15"/>
        <v>0</v>
      </c>
      <c r="F88" s="59">
        <f>SUM($Q88:R88)</f>
        <v>0</v>
      </c>
      <c r="G88" s="59">
        <f>SUM($Q88:S88)</f>
        <v>0</v>
      </c>
      <c r="H88" s="59">
        <f>SUM($Q88:T88)</f>
        <v>121433261.68999997</v>
      </c>
      <c r="I88" s="59">
        <f>SUM($Q88:U88)</f>
        <v>124092540.94999997</v>
      </c>
      <c r="J88" s="59">
        <f>SUM($Q88:V88)</f>
        <v>125772739.14999998</v>
      </c>
      <c r="K88" s="59">
        <f>SUM($Q88:W88)</f>
        <v>121554838.09999998</v>
      </c>
      <c r="L88" s="59">
        <f>SUM($Q88:X88)</f>
        <v>156333832.65999997</v>
      </c>
      <c r="M88" s="59">
        <f>SUM($Q88:Y88)</f>
        <v>156333832.65999997</v>
      </c>
      <c r="N88" s="59">
        <f>SUM($Q88:Z88)</f>
        <v>156333832.65999997</v>
      </c>
      <c r="O88" s="59">
        <f>SUM($Q88:AA88)</f>
        <v>156333832.65999997</v>
      </c>
      <c r="P88" s="59">
        <f>SUM($Q88:AB88)</f>
        <v>156333832.65999997</v>
      </c>
      <c r="Q88" s="46">
        <f>SUM(Q13,Q30,Q52,Q77,Q85)</f>
        <v>0</v>
      </c>
      <c r="R88" s="46">
        <f t="shared" ref="R88:AB88" si="17">SUM(R13,R30,R52,R77,R85)</f>
        <v>0</v>
      </c>
      <c r="S88" s="46">
        <f t="shared" si="17"/>
        <v>0</v>
      </c>
      <c r="T88" s="46">
        <f t="shared" si="17"/>
        <v>121433261.68999997</v>
      </c>
      <c r="U88" s="46">
        <f t="shared" si="17"/>
        <v>2659279.2599999993</v>
      </c>
      <c r="V88" s="46">
        <f t="shared" si="17"/>
        <v>1680198.2000000011</v>
      </c>
      <c r="W88" s="46">
        <f t="shared" si="17"/>
        <v>-4217901.0499999989</v>
      </c>
      <c r="X88" s="46">
        <f t="shared" si="17"/>
        <v>34778994.560000002</v>
      </c>
      <c r="Y88" s="46">
        <f t="shared" si="17"/>
        <v>0</v>
      </c>
      <c r="Z88" s="46">
        <f t="shared" si="17"/>
        <v>0</v>
      </c>
      <c r="AA88" s="46">
        <f t="shared" si="17"/>
        <v>0</v>
      </c>
      <c r="AB88" s="46">
        <f t="shared" si="17"/>
        <v>0</v>
      </c>
    </row>
    <row r="89" spans="1:28" s="78" customFormat="1" ht="15.75" hidden="1" customHeight="1">
      <c r="A89" s="32" t="s">
        <v>915</v>
      </c>
      <c r="B89" s="32"/>
      <c r="C89" s="32"/>
      <c r="D89" s="35"/>
      <c r="E89" s="31"/>
      <c r="F89" s="31">
        <f>SUM($Q89:R89)</f>
        <v>0</v>
      </c>
      <c r="G89" s="31">
        <f>SUM($Q89:S89)</f>
        <v>0</v>
      </c>
      <c r="H89" s="31">
        <f>SUM($Q89:T89)</f>
        <v>0</v>
      </c>
      <c r="I89" s="31">
        <f>SUM($Q89:U89)</f>
        <v>0</v>
      </c>
      <c r="J89" s="31">
        <f>SUM($Q89:V89)</f>
        <v>0</v>
      </c>
      <c r="K89" s="31">
        <f>SUM($Q89:W89)</f>
        <v>0</v>
      </c>
      <c r="L89" s="31">
        <f>SUM($Q89:X89)</f>
        <v>0</v>
      </c>
      <c r="M89" s="31">
        <f>SUM($Q89:Y89)</f>
        <v>0</v>
      </c>
      <c r="N89" s="31">
        <f>SUM($Q89:Z89)</f>
        <v>0</v>
      </c>
      <c r="O89" s="31">
        <f>SUM($Q89:AA89)</f>
        <v>0</v>
      </c>
      <c r="P89" s="31">
        <f>SUM($Q89:AB89)</f>
        <v>0</v>
      </c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</row>
    <row r="90" spans="1:28" s="78" customFormat="1" ht="15.75" hidden="1" customHeight="1" outlineLevel="1">
      <c r="A90" s="32"/>
      <c r="B90" s="32" t="s">
        <v>916</v>
      </c>
      <c r="C90" s="35"/>
      <c r="D90" s="32"/>
      <c r="E90" s="59">
        <f t="shared" ref="E90:E153" si="18">SUM(Q90)</f>
        <v>0</v>
      </c>
      <c r="F90" s="59">
        <f>SUM($Q90:R90)</f>
        <v>0</v>
      </c>
      <c r="G90" s="59">
        <f>SUM($Q90:S90)</f>
        <v>0</v>
      </c>
      <c r="H90" s="59">
        <f>SUM($Q90:T90)</f>
        <v>0</v>
      </c>
      <c r="I90" s="59">
        <f>SUM($Q90:U90)</f>
        <v>0</v>
      </c>
      <c r="J90" s="59">
        <f>SUM($Q90:V90)</f>
        <v>0</v>
      </c>
      <c r="K90" s="59">
        <f>SUM($Q90:W90)</f>
        <v>0</v>
      </c>
      <c r="L90" s="59">
        <f>SUM($Q90:X90)</f>
        <v>0</v>
      </c>
      <c r="M90" s="59">
        <f>SUM($Q90:Y90)</f>
        <v>0</v>
      </c>
      <c r="N90" s="59">
        <f>SUM($Q90:Z90)</f>
        <v>0</v>
      </c>
      <c r="O90" s="59">
        <f>SUM($Q90:AA90)</f>
        <v>0</v>
      </c>
      <c r="P90" s="59">
        <f>SUM($Q90:AB90)</f>
        <v>0</v>
      </c>
      <c r="Q90" s="46">
        <f>SUM(Q91:Q94)</f>
        <v>0</v>
      </c>
      <c r="R90" s="46">
        <f t="shared" ref="R90:AB90" si="19">SUM(R91:R94)</f>
        <v>0</v>
      </c>
      <c r="S90" s="46">
        <f t="shared" si="19"/>
        <v>0</v>
      </c>
      <c r="T90" s="46">
        <f t="shared" si="19"/>
        <v>0</v>
      </c>
      <c r="U90" s="46">
        <f t="shared" si="19"/>
        <v>0</v>
      </c>
      <c r="V90" s="46">
        <f t="shared" si="19"/>
        <v>0</v>
      </c>
      <c r="W90" s="46">
        <f t="shared" si="19"/>
        <v>0</v>
      </c>
      <c r="X90" s="46">
        <f t="shared" si="19"/>
        <v>0</v>
      </c>
      <c r="Y90" s="46">
        <f t="shared" si="19"/>
        <v>0</v>
      </c>
      <c r="Z90" s="46">
        <f t="shared" si="19"/>
        <v>0</v>
      </c>
      <c r="AA90" s="46">
        <f t="shared" si="19"/>
        <v>0</v>
      </c>
      <c r="AB90" s="46">
        <f t="shared" si="19"/>
        <v>0</v>
      </c>
    </row>
    <row r="91" spans="1:28" s="78" customFormat="1" ht="15.75" hidden="1" customHeight="1" outlineLevel="2">
      <c r="A91" s="32"/>
      <c r="B91" s="32"/>
      <c r="C91" s="35" t="s">
        <v>115</v>
      </c>
      <c r="D91" s="32"/>
      <c r="E91" s="31">
        <f t="shared" si="18"/>
        <v>0</v>
      </c>
      <c r="F91" s="31">
        <f>SUM($Q91:R91)</f>
        <v>0</v>
      </c>
      <c r="G91" s="31">
        <f>SUM($Q91:S91)</f>
        <v>0</v>
      </c>
      <c r="H91" s="31">
        <f>SUM($Q91:T91)</f>
        <v>0</v>
      </c>
      <c r="I91" s="31">
        <f>SUM($Q91:U91)</f>
        <v>0</v>
      </c>
      <c r="J91" s="31">
        <f>SUM($Q91:V91)</f>
        <v>0</v>
      </c>
      <c r="K91" s="31">
        <f>SUM($Q91:W91)</f>
        <v>0</v>
      </c>
      <c r="L91" s="31">
        <f>SUM($Q91:X91)</f>
        <v>0</v>
      </c>
      <c r="M91" s="31">
        <f>SUM($Q91:Y91)</f>
        <v>0</v>
      </c>
      <c r="N91" s="31">
        <f>SUM($Q91:Z91)</f>
        <v>0</v>
      </c>
      <c r="O91" s="31">
        <f>SUM($Q91:AA91)</f>
        <v>0</v>
      </c>
      <c r="P91" s="31">
        <f>SUM($Q91:AB91)</f>
        <v>0</v>
      </c>
      <c r="Q91" s="45">
        <f>'TB-Jan'!$C$74</f>
        <v>0</v>
      </c>
      <c r="R91" s="45">
        <f>'TB-Feb'!$C$74</f>
        <v>0</v>
      </c>
      <c r="S91" s="45">
        <f>'TB-Mar'!$C$74</f>
        <v>0</v>
      </c>
      <c r="T91" s="45">
        <f>'TB-Apr'!$C$74</f>
        <v>0</v>
      </c>
      <c r="U91" s="45">
        <f>'TB-May'!$C$74</f>
        <v>0</v>
      </c>
      <c r="V91" s="45">
        <f>'TB-Jun'!$C$74</f>
        <v>0</v>
      </c>
      <c r="W91" s="45">
        <f>'TB-Jul'!$C$74</f>
        <v>0</v>
      </c>
      <c r="X91" s="45">
        <f>'TB-Aug'!$C$74</f>
        <v>0</v>
      </c>
      <c r="Y91" s="45">
        <f>'TB-Sep'!$C$74</f>
        <v>0</v>
      </c>
      <c r="Z91" s="45">
        <f>'TB-Oct'!$C$74</f>
        <v>0</v>
      </c>
      <c r="AA91" s="45">
        <f>'TB-Nov'!$C$74</f>
        <v>0</v>
      </c>
      <c r="AB91" s="45">
        <f>'TB-Dec'!$C$74</f>
        <v>0</v>
      </c>
    </row>
    <row r="92" spans="1:28" s="78" customFormat="1" ht="15.75" hidden="1" customHeight="1" outlineLevel="2">
      <c r="A92" s="32"/>
      <c r="B92" s="32"/>
      <c r="C92" s="35" t="s">
        <v>117</v>
      </c>
      <c r="D92" s="32"/>
      <c r="E92" s="31">
        <f t="shared" si="18"/>
        <v>0</v>
      </c>
      <c r="F92" s="31">
        <f>SUM($Q92:R92)</f>
        <v>0</v>
      </c>
      <c r="G92" s="31">
        <f>SUM($Q92:S92)</f>
        <v>0</v>
      </c>
      <c r="H92" s="31">
        <f>SUM($Q92:T92)</f>
        <v>0</v>
      </c>
      <c r="I92" s="31">
        <f>SUM($Q92:U92)</f>
        <v>0</v>
      </c>
      <c r="J92" s="31">
        <f>SUM($Q92:V92)</f>
        <v>0</v>
      </c>
      <c r="K92" s="31">
        <f>SUM($Q92:W92)</f>
        <v>0</v>
      </c>
      <c r="L92" s="31">
        <f>SUM($Q92:X92)</f>
        <v>0</v>
      </c>
      <c r="M92" s="31">
        <f>SUM($Q92:Y92)</f>
        <v>0</v>
      </c>
      <c r="N92" s="31">
        <f>SUM($Q92:Z92)</f>
        <v>0</v>
      </c>
      <c r="O92" s="31">
        <f>SUM($Q92:AA92)</f>
        <v>0</v>
      </c>
      <c r="P92" s="31">
        <f>SUM($Q92:AB92)</f>
        <v>0</v>
      </c>
      <c r="Q92" s="45">
        <f>'TB-Jan'!$C$75</f>
        <v>0</v>
      </c>
      <c r="R92" s="45">
        <f>'TB-Feb'!$C$75</f>
        <v>0</v>
      </c>
      <c r="S92" s="45">
        <f>'TB-Mar'!$C$75</f>
        <v>0</v>
      </c>
      <c r="T92" s="45">
        <f>'TB-Apr'!$C$75</f>
        <v>0</v>
      </c>
      <c r="U92" s="45">
        <f>'TB-May'!$C$75</f>
        <v>0</v>
      </c>
      <c r="V92" s="45">
        <f>'TB-Jun'!$C$75</f>
        <v>0</v>
      </c>
      <c r="W92" s="45">
        <f>'TB-Jul'!$C$75</f>
        <v>0</v>
      </c>
      <c r="X92" s="45">
        <f>'TB-Aug'!$C$75</f>
        <v>0</v>
      </c>
      <c r="Y92" s="45">
        <f>'TB-Sep'!$C$75</f>
        <v>0</v>
      </c>
      <c r="Z92" s="45">
        <f>'TB-Oct'!$C$75</f>
        <v>0</v>
      </c>
      <c r="AA92" s="45">
        <f>'TB-Nov'!$C$75</f>
        <v>0</v>
      </c>
      <c r="AB92" s="45">
        <f>'TB-Dec'!$C$75</f>
        <v>0</v>
      </c>
    </row>
    <row r="93" spans="1:28" s="78" customFormat="1" ht="15.75" hidden="1" customHeight="1" outlineLevel="2">
      <c r="A93" s="32"/>
      <c r="B93" s="32"/>
      <c r="C93" s="35" t="s">
        <v>119</v>
      </c>
      <c r="D93" s="32"/>
      <c r="E93" s="31">
        <f t="shared" si="18"/>
        <v>0</v>
      </c>
      <c r="F93" s="31">
        <f>SUM($Q93:R93)</f>
        <v>0</v>
      </c>
      <c r="G93" s="31">
        <f>SUM($Q93:S93)</f>
        <v>0</v>
      </c>
      <c r="H93" s="31">
        <f>SUM($Q93:T93)</f>
        <v>0</v>
      </c>
      <c r="I93" s="31">
        <f>SUM($Q93:U93)</f>
        <v>0</v>
      </c>
      <c r="J93" s="31">
        <f>SUM($Q93:V93)</f>
        <v>0</v>
      </c>
      <c r="K93" s="31">
        <f>SUM($Q93:W93)</f>
        <v>0</v>
      </c>
      <c r="L93" s="31">
        <f>SUM($Q93:X93)</f>
        <v>0</v>
      </c>
      <c r="M93" s="31">
        <f>SUM($Q93:Y93)</f>
        <v>0</v>
      </c>
      <c r="N93" s="31">
        <f>SUM($Q93:Z93)</f>
        <v>0</v>
      </c>
      <c r="O93" s="31">
        <f>SUM($Q93:AA93)</f>
        <v>0</v>
      </c>
      <c r="P93" s="31">
        <f>SUM($Q93:AB93)</f>
        <v>0</v>
      </c>
      <c r="Q93" s="45">
        <f>'TB-Jan'!$C$76</f>
        <v>0</v>
      </c>
      <c r="R93" s="45">
        <f>'TB-Feb'!$C$76</f>
        <v>0</v>
      </c>
      <c r="S93" s="45">
        <f>'TB-Mar'!$C$76</f>
        <v>0</v>
      </c>
      <c r="T93" s="45">
        <f>'TB-Apr'!$C$76</f>
        <v>0</v>
      </c>
      <c r="U93" s="45">
        <f>'TB-May'!$C$76</f>
        <v>0</v>
      </c>
      <c r="V93" s="45">
        <f>'TB-Jun'!$C$76</f>
        <v>0</v>
      </c>
      <c r="W93" s="45">
        <f>'TB-Jul'!$C$76</f>
        <v>0</v>
      </c>
      <c r="X93" s="45">
        <f>'TB-Aug'!$C$76</f>
        <v>0</v>
      </c>
      <c r="Y93" s="45">
        <f>'TB-Sep'!$C$76</f>
        <v>0</v>
      </c>
      <c r="Z93" s="45">
        <f>'TB-Oct'!$C$76</f>
        <v>0</v>
      </c>
      <c r="AA93" s="45">
        <f>'TB-Nov'!$C$76</f>
        <v>0</v>
      </c>
      <c r="AB93" s="45">
        <f>'TB-Dec'!$C$76</f>
        <v>0</v>
      </c>
    </row>
    <row r="94" spans="1:28" s="78" customFormat="1" ht="15.75" hidden="1" customHeight="1" outlineLevel="2">
      <c r="A94" s="32"/>
      <c r="B94" s="32"/>
      <c r="C94" s="35" t="s">
        <v>121</v>
      </c>
      <c r="D94" s="32"/>
      <c r="E94" s="31">
        <f t="shared" si="18"/>
        <v>0</v>
      </c>
      <c r="F94" s="31">
        <f>SUM($Q94:R94)</f>
        <v>0</v>
      </c>
      <c r="G94" s="31">
        <f>SUM($Q94:S94)</f>
        <v>0</v>
      </c>
      <c r="H94" s="31">
        <f>SUM($Q94:T94)</f>
        <v>0</v>
      </c>
      <c r="I94" s="31">
        <f>SUM($Q94:U94)</f>
        <v>0</v>
      </c>
      <c r="J94" s="31">
        <f>SUM($Q94:V94)</f>
        <v>0</v>
      </c>
      <c r="K94" s="31">
        <f>SUM($Q94:W94)</f>
        <v>0</v>
      </c>
      <c r="L94" s="31">
        <f>SUM($Q94:X94)</f>
        <v>0</v>
      </c>
      <c r="M94" s="31">
        <f>SUM($Q94:Y94)</f>
        <v>0</v>
      </c>
      <c r="N94" s="31">
        <f>SUM($Q94:Z94)</f>
        <v>0</v>
      </c>
      <c r="O94" s="31">
        <f>SUM($Q94:AA94)</f>
        <v>0</v>
      </c>
      <c r="P94" s="31">
        <f>SUM($Q94:AB94)</f>
        <v>0</v>
      </c>
      <c r="Q94" s="45">
        <f>'TB-Jan'!$C$77</f>
        <v>0</v>
      </c>
      <c r="R94" s="45">
        <f>'TB-Feb'!$C$77</f>
        <v>0</v>
      </c>
      <c r="S94" s="45">
        <f>'TB-Mar'!$C$77</f>
        <v>0</v>
      </c>
      <c r="T94" s="45">
        <f>'TB-Apr'!$C$77</f>
        <v>0</v>
      </c>
      <c r="U94" s="45">
        <f>'TB-May'!$C$77</f>
        <v>0</v>
      </c>
      <c r="V94" s="45">
        <f>'TB-Jun'!$C$77</f>
        <v>0</v>
      </c>
      <c r="W94" s="45">
        <f>'TB-Jul'!$C$77</f>
        <v>0</v>
      </c>
      <c r="X94" s="45">
        <f>'TB-Aug'!$C$77</f>
        <v>0</v>
      </c>
      <c r="Y94" s="45">
        <f>'TB-Sep'!$C$77</f>
        <v>0</v>
      </c>
      <c r="Z94" s="45">
        <f>'TB-Oct'!$C$77</f>
        <v>0</v>
      </c>
      <c r="AA94" s="45">
        <f>'TB-Nov'!$C$77</f>
        <v>0</v>
      </c>
      <c r="AB94" s="45">
        <f>'TB-Dec'!$C$77</f>
        <v>0</v>
      </c>
    </row>
    <row r="95" spans="1:28" s="78" customFormat="1" ht="15.75" hidden="1" customHeight="1" outlineLevel="1">
      <c r="A95" s="32"/>
      <c r="B95" s="32" t="s">
        <v>917</v>
      </c>
      <c r="C95" s="35"/>
      <c r="D95" s="32"/>
      <c r="E95" s="59">
        <f t="shared" si="18"/>
        <v>0</v>
      </c>
      <c r="F95" s="59">
        <f>SUM($Q95:R95)</f>
        <v>0</v>
      </c>
      <c r="G95" s="59">
        <f>SUM($Q95:S95)</f>
        <v>0</v>
      </c>
      <c r="H95" s="59">
        <f>SUM($Q95:T95)</f>
        <v>0</v>
      </c>
      <c r="I95" s="59">
        <f>SUM($Q95:U95)</f>
        <v>0</v>
      </c>
      <c r="J95" s="59">
        <f>SUM($Q95:V95)</f>
        <v>0</v>
      </c>
      <c r="K95" s="59">
        <f>SUM($Q95:W95)</f>
        <v>0</v>
      </c>
      <c r="L95" s="59">
        <f>SUM($Q95:X95)</f>
        <v>0</v>
      </c>
      <c r="M95" s="59">
        <f>SUM($Q95:Y95)</f>
        <v>0</v>
      </c>
      <c r="N95" s="59">
        <f>SUM($Q95:Z95)</f>
        <v>0</v>
      </c>
      <c r="O95" s="59">
        <f>SUM($Q95:AA95)</f>
        <v>0</v>
      </c>
      <c r="P95" s="59">
        <f>SUM($Q95:AB95)</f>
        <v>0</v>
      </c>
      <c r="Q95" s="46">
        <f>Q96</f>
        <v>0</v>
      </c>
      <c r="R95" s="46">
        <f t="shared" ref="R95:AB95" si="20">R96</f>
        <v>0</v>
      </c>
      <c r="S95" s="46">
        <f t="shared" si="20"/>
        <v>0</v>
      </c>
      <c r="T95" s="46">
        <f t="shared" si="20"/>
        <v>0</v>
      </c>
      <c r="U95" s="46">
        <f t="shared" si="20"/>
        <v>0</v>
      </c>
      <c r="V95" s="46">
        <f t="shared" si="20"/>
        <v>0</v>
      </c>
      <c r="W95" s="46">
        <f t="shared" si="20"/>
        <v>0</v>
      </c>
      <c r="X95" s="46">
        <f t="shared" si="20"/>
        <v>0</v>
      </c>
      <c r="Y95" s="46">
        <f t="shared" si="20"/>
        <v>0</v>
      </c>
      <c r="Z95" s="46">
        <f t="shared" si="20"/>
        <v>0</v>
      </c>
      <c r="AA95" s="46">
        <f t="shared" si="20"/>
        <v>0</v>
      </c>
      <c r="AB95" s="46">
        <f t="shared" si="20"/>
        <v>0</v>
      </c>
    </row>
    <row r="96" spans="1:28" s="78" customFormat="1" ht="15.75" hidden="1" customHeight="1" outlineLevel="2">
      <c r="A96" s="32"/>
      <c r="B96" s="32"/>
      <c r="C96" s="35" t="s">
        <v>123</v>
      </c>
      <c r="D96" s="32"/>
      <c r="E96" s="31">
        <f t="shared" si="18"/>
        <v>0</v>
      </c>
      <c r="F96" s="31">
        <f>SUM($Q96:R96)</f>
        <v>0</v>
      </c>
      <c r="G96" s="31">
        <f>SUM($Q96:S96)</f>
        <v>0</v>
      </c>
      <c r="H96" s="31">
        <f>SUM($Q96:T96)</f>
        <v>0</v>
      </c>
      <c r="I96" s="31">
        <f>SUM($Q96:U96)</f>
        <v>0</v>
      </c>
      <c r="J96" s="31">
        <f>SUM($Q96:V96)</f>
        <v>0</v>
      </c>
      <c r="K96" s="31">
        <f>SUM($Q96:W96)</f>
        <v>0</v>
      </c>
      <c r="L96" s="31">
        <f>SUM($Q96:X96)</f>
        <v>0</v>
      </c>
      <c r="M96" s="31">
        <f>SUM($Q96:Y96)</f>
        <v>0</v>
      </c>
      <c r="N96" s="31">
        <f>SUM($Q96:Z96)</f>
        <v>0</v>
      </c>
      <c r="O96" s="31">
        <f>SUM($Q96:AA96)</f>
        <v>0</v>
      </c>
      <c r="P96" s="31">
        <f>SUM($Q96:AB96)</f>
        <v>0</v>
      </c>
      <c r="Q96" s="45">
        <f>'TB-Jan'!$C$78</f>
        <v>0</v>
      </c>
      <c r="R96" s="45">
        <f>'TB-Feb'!$C$78</f>
        <v>0</v>
      </c>
      <c r="S96" s="45">
        <f>'TB-Mar'!$C$78</f>
        <v>0</v>
      </c>
      <c r="T96" s="45">
        <f>'TB-Apr'!$C$78</f>
        <v>0</v>
      </c>
      <c r="U96" s="45">
        <f>'TB-May'!$C$78</f>
        <v>0</v>
      </c>
      <c r="V96" s="45">
        <f>'TB-Jun'!$C$78</f>
        <v>0</v>
      </c>
      <c r="W96" s="45">
        <f>'TB-Jul'!$C$78</f>
        <v>0</v>
      </c>
      <c r="X96" s="45">
        <f>'TB-Aug'!$C$78</f>
        <v>0</v>
      </c>
      <c r="Y96" s="45">
        <f>'TB-Sep'!$C$78</f>
        <v>0</v>
      </c>
      <c r="Z96" s="45">
        <f>'TB-Oct'!$C$78</f>
        <v>0</v>
      </c>
      <c r="AA96" s="45">
        <f>'TB-Nov'!$C$78</f>
        <v>0</v>
      </c>
      <c r="AB96" s="45">
        <f>'TB-Dec'!$C$78</f>
        <v>0</v>
      </c>
    </row>
    <row r="97" spans="1:28" s="78" customFormat="1" ht="15.75" hidden="1" customHeight="1" outlineLevel="1">
      <c r="A97" s="32"/>
      <c r="B97" s="32"/>
      <c r="C97" s="35"/>
      <c r="D97" s="54" t="s">
        <v>997</v>
      </c>
      <c r="E97" s="59">
        <f t="shared" si="18"/>
        <v>0</v>
      </c>
      <c r="F97" s="59">
        <f>SUM($Q97:R97)</f>
        <v>0</v>
      </c>
      <c r="G97" s="59">
        <f>SUM($Q97:S97)</f>
        <v>0</v>
      </c>
      <c r="H97" s="59">
        <f>SUM($Q97:T97)</f>
        <v>0</v>
      </c>
      <c r="I97" s="59">
        <f>SUM($Q97:U97)</f>
        <v>0</v>
      </c>
      <c r="J97" s="59">
        <f>SUM($Q97:V97)</f>
        <v>0</v>
      </c>
      <c r="K97" s="59">
        <f>SUM($Q97:W97)</f>
        <v>0</v>
      </c>
      <c r="L97" s="59">
        <f>SUM($Q97:X97)</f>
        <v>0</v>
      </c>
      <c r="M97" s="59">
        <f>SUM($Q97:Y97)</f>
        <v>0</v>
      </c>
      <c r="N97" s="59">
        <f>SUM($Q97:Z97)</f>
        <v>0</v>
      </c>
      <c r="O97" s="59">
        <f>SUM($Q97:AA97)</f>
        <v>0</v>
      </c>
      <c r="P97" s="59">
        <f>SUM($Q97:AB97)</f>
        <v>0</v>
      </c>
      <c r="Q97" s="46">
        <f>SUM(Q95,Q90)</f>
        <v>0</v>
      </c>
      <c r="R97" s="46">
        <f t="shared" ref="R97:AB97" si="21">SUM(R95,R90)</f>
        <v>0</v>
      </c>
      <c r="S97" s="46">
        <f t="shared" si="21"/>
        <v>0</v>
      </c>
      <c r="T97" s="46">
        <f t="shared" si="21"/>
        <v>0</v>
      </c>
      <c r="U97" s="46">
        <f t="shared" si="21"/>
        <v>0</v>
      </c>
      <c r="V97" s="46">
        <f t="shared" si="21"/>
        <v>0</v>
      </c>
      <c r="W97" s="46">
        <f t="shared" si="21"/>
        <v>0</v>
      </c>
      <c r="X97" s="46">
        <f t="shared" si="21"/>
        <v>0</v>
      </c>
      <c r="Y97" s="46">
        <f t="shared" si="21"/>
        <v>0</v>
      </c>
      <c r="Z97" s="46">
        <f t="shared" si="21"/>
        <v>0</v>
      </c>
      <c r="AA97" s="46">
        <f t="shared" si="21"/>
        <v>0</v>
      </c>
      <c r="AB97" s="46">
        <f t="shared" si="21"/>
        <v>0</v>
      </c>
    </row>
    <row r="98" spans="1:28" s="78" customFormat="1" ht="15.75" hidden="1" customHeight="1">
      <c r="A98" s="32" t="s">
        <v>918</v>
      </c>
      <c r="B98" s="32"/>
      <c r="C98" s="32"/>
      <c r="D98" s="35"/>
      <c r="E98" s="31">
        <f t="shared" si="18"/>
        <v>0</v>
      </c>
      <c r="F98" s="31">
        <f>SUM($Q98:R98)</f>
        <v>0</v>
      </c>
      <c r="G98" s="31">
        <f>SUM($Q98:S98)</f>
        <v>0</v>
      </c>
      <c r="H98" s="31">
        <f>SUM($Q98:T98)</f>
        <v>0</v>
      </c>
      <c r="I98" s="31">
        <f>SUM($Q98:U98)</f>
        <v>0</v>
      </c>
      <c r="J98" s="31">
        <f>SUM($Q98:V98)</f>
        <v>0</v>
      </c>
      <c r="K98" s="31">
        <f>SUM($Q98:W98)</f>
        <v>0</v>
      </c>
      <c r="L98" s="31">
        <f>SUM($Q98:X98)</f>
        <v>0</v>
      </c>
      <c r="M98" s="31">
        <f>SUM($Q98:Y98)</f>
        <v>0</v>
      </c>
      <c r="N98" s="31">
        <f>SUM($Q98:Z98)</f>
        <v>0</v>
      </c>
      <c r="O98" s="31">
        <f>SUM($Q98:AA98)</f>
        <v>0</v>
      </c>
      <c r="P98" s="31">
        <f>SUM($Q98:AB98)</f>
        <v>0</v>
      </c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</row>
    <row r="99" spans="1:28" s="78" customFormat="1" ht="15.75" hidden="1" customHeight="1" outlineLevel="1">
      <c r="A99" s="32"/>
      <c r="B99" s="32" t="s">
        <v>919</v>
      </c>
      <c r="C99" s="32"/>
      <c r="D99" s="35"/>
      <c r="E99" s="59">
        <f t="shared" si="18"/>
        <v>0</v>
      </c>
      <c r="F99" s="59">
        <f>SUM($Q99:R99)</f>
        <v>0</v>
      </c>
      <c r="G99" s="59">
        <f>SUM($Q99:S99)</f>
        <v>0</v>
      </c>
      <c r="H99" s="59">
        <f>SUM($Q99:T99)</f>
        <v>0</v>
      </c>
      <c r="I99" s="59">
        <f>SUM($Q99:U99)</f>
        <v>0</v>
      </c>
      <c r="J99" s="59">
        <f>SUM($Q99:V99)</f>
        <v>0</v>
      </c>
      <c r="K99" s="59">
        <f>SUM($Q99:W99)</f>
        <v>0</v>
      </c>
      <c r="L99" s="59">
        <f>SUM($Q99:X99)</f>
        <v>0</v>
      </c>
      <c r="M99" s="59">
        <f>SUM($Q99:Y99)</f>
        <v>0</v>
      </c>
      <c r="N99" s="59">
        <f>SUM($Q99:Z99)</f>
        <v>0</v>
      </c>
      <c r="O99" s="59">
        <f>SUM($Q99:AA99)</f>
        <v>0</v>
      </c>
      <c r="P99" s="59">
        <f>SUM($Q99:AB99)</f>
        <v>0</v>
      </c>
      <c r="Q99" s="46">
        <f>SUM(Q100:Q101,Q104,Q107,Q110)</f>
        <v>0</v>
      </c>
      <c r="R99" s="46">
        <f t="shared" ref="R99:AB99" si="22">SUM(R100:R101,R104,R107,R110)</f>
        <v>0</v>
      </c>
      <c r="S99" s="46">
        <f t="shared" si="22"/>
        <v>0</v>
      </c>
      <c r="T99" s="46">
        <f t="shared" si="22"/>
        <v>0</v>
      </c>
      <c r="U99" s="46">
        <f t="shared" si="22"/>
        <v>0</v>
      </c>
      <c r="V99" s="46">
        <f t="shared" si="22"/>
        <v>0</v>
      </c>
      <c r="W99" s="46">
        <f t="shared" si="22"/>
        <v>0</v>
      </c>
      <c r="X99" s="46">
        <f t="shared" si="22"/>
        <v>0</v>
      </c>
      <c r="Y99" s="46">
        <f t="shared" si="22"/>
        <v>0</v>
      </c>
      <c r="Z99" s="46">
        <f t="shared" si="22"/>
        <v>0</v>
      </c>
      <c r="AA99" s="46">
        <f t="shared" si="22"/>
        <v>0</v>
      </c>
      <c r="AB99" s="46">
        <f t="shared" si="22"/>
        <v>0</v>
      </c>
    </row>
    <row r="100" spans="1:28" s="78" customFormat="1" ht="15.75" hidden="1" customHeight="1" outlineLevel="2">
      <c r="A100" s="32"/>
      <c r="B100" s="32"/>
      <c r="C100" s="35" t="s">
        <v>125</v>
      </c>
      <c r="D100" s="32"/>
      <c r="E100" s="31">
        <f t="shared" si="18"/>
        <v>0</v>
      </c>
      <c r="F100" s="31">
        <f>SUM($Q100:R100)</f>
        <v>0</v>
      </c>
      <c r="G100" s="31">
        <f>SUM($Q100:S100)</f>
        <v>0</v>
      </c>
      <c r="H100" s="31">
        <f>SUM($Q100:T100)</f>
        <v>0</v>
      </c>
      <c r="I100" s="31">
        <f>SUM($Q100:U100)</f>
        <v>0</v>
      </c>
      <c r="J100" s="31">
        <f>SUM($Q100:V100)</f>
        <v>0</v>
      </c>
      <c r="K100" s="31">
        <f>SUM($Q100:W100)</f>
        <v>0</v>
      </c>
      <c r="L100" s="31">
        <f>SUM($Q100:X100)</f>
        <v>0</v>
      </c>
      <c r="M100" s="31">
        <f>SUM($Q100:Y100)</f>
        <v>0</v>
      </c>
      <c r="N100" s="31">
        <f>SUM($Q100:Z100)</f>
        <v>0</v>
      </c>
      <c r="O100" s="31">
        <f>SUM($Q100:AA100)</f>
        <v>0</v>
      </c>
      <c r="P100" s="31">
        <f>SUM($Q100:AB100)</f>
        <v>0</v>
      </c>
      <c r="Q100" s="45">
        <f>'TB-Jan'!$C$79</f>
        <v>0</v>
      </c>
      <c r="R100" s="45">
        <f>'TB-Feb'!$C$79</f>
        <v>0</v>
      </c>
      <c r="S100" s="45">
        <f>'TB-Mar'!$C$79</f>
        <v>0</v>
      </c>
      <c r="T100" s="45">
        <f>'TB-Apr'!$C$79</f>
        <v>0</v>
      </c>
      <c r="U100" s="45">
        <f>'TB-May'!$C$79</f>
        <v>0</v>
      </c>
      <c r="V100" s="45">
        <f>'TB-Jun'!$C$79</f>
        <v>0</v>
      </c>
      <c r="W100" s="45">
        <f>'TB-Jul'!$C$79</f>
        <v>0</v>
      </c>
      <c r="X100" s="45">
        <f>'TB-Aug'!$C$79</f>
        <v>0</v>
      </c>
      <c r="Y100" s="45">
        <f>'TB-Sep'!$C$79</f>
        <v>0</v>
      </c>
      <c r="Z100" s="45">
        <f>'TB-Oct'!$C$79</f>
        <v>0</v>
      </c>
      <c r="AA100" s="45">
        <f>'TB-Nov'!$C$79</f>
        <v>0</v>
      </c>
      <c r="AB100" s="45">
        <f>'TB-Dec'!$C$79</f>
        <v>0</v>
      </c>
    </row>
    <row r="101" spans="1:28" s="78" customFormat="1" ht="15.75" hidden="1" customHeight="1" outlineLevel="2">
      <c r="A101" s="32"/>
      <c r="B101" s="32"/>
      <c r="C101" s="35" t="s">
        <v>920</v>
      </c>
      <c r="D101" s="32"/>
      <c r="E101" s="31">
        <f t="shared" si="18"/>
        <v>0</v>
      </c>
      <c r="F101" s="31">
        <f>SUM($Q101:R101)</f>
        <v>0</v>
      </c>
      <c r="G101" s="31">
        <f>SUM($Q101:S101)</f>
        <v>0</v>
      </c>
      <c r="H101" s="31">
        <f>SUM($Q101:T101)</f>
        <v>0</v>
      </c>
      <c r="I101" s="31">
        <f>SUM($Q101:U101)</f>
        <v>0</v>
      </c>
      <c r="J101" s="31">
        <f>SUM($Q101:V101)</f>
        <v>0</v>
      </c>
      <c r="K101" s="31">
        <f>SUM($Q101:W101)</f>
        <v>0</v>
      </c>
      <c r="L101" s="31">
        <f>SUM($Q101:X101)</f>
        <v>0</v>
      </c>
      <c r="M101" s="31">
        <f>SUM($Q101:Y101)</f>
        <v>0</v>
      </c>
      <c r="N101" s="31">
        <f>SUM($Q101:Z101)</f>
        <v>0</v>
      </c>
      <c r="O101" s="31">
        <f>SUM($Q101:AA101)</f>
        <v>0</v>
      </c>
      <c r="P101" s="31">
        <f>SUM($Q101:AB101)</f>
        <v>0</v>
      </c>
      <c r="Q101" s="45">
        <f>Q102-Q103</f>
        <v>0</v>
      </c>
      <c r="R101" s="45">
        <f t="shared" ref="R101:AB101" si="23">R102-R103</f>
        <v>0</v>
      </c>
      <c r="S101" s="45">
        <f t="shared" si="23"/>
        <v>0</v>
      </c>
      <c r="T101" s="45">
        <f t="shared" si="23"/>
        <v>0</v>
      </c>
      <c r="U101" s="45">
        <f t="shared" si="23"/>
        <v>0</v>
      </c>
      <c r="V101" s="45">
        <f t="shared" si="23"/>
        <v>0</v>
      </c>
      <c r="W101" s="45">
        <f t="shared" si="23"/>
        <v>0</v>
      </c>
      <c r="X101" s="45">
        <f t="shared" si="23"/>
        <v>0</v>
      </c>
      <c r="Y101" s="45">
        <f t="shared" si="23"/>
        <v>0</v>
      </c>
      <c r="Z101" s="45">
        <f t="shared" si="23"/>
        <v>0</v>
      </c>
      <c r="AA101" s="45">
        <f t="shared" ref="AA101" si="24">AA102-AA103</f>
        <v>0</v>
      </c>
      <c r="AB101" s="45">
        <f t="shared" si="23"/>
        <v>0</v>
      </c>
    </row>
    <row r="102" spans="1:28" s="78" customFormat="1" ht="15.75" hidden="1" customHeight="1" outlineLevel="2">
      <c r="A102" s="32"/>
      <c r="B102" s="32"/>
      <c r="C102" s="32"/>
      <c r="D102" s="35" t="s">
        <v>126</v>
      </c>
      <c r="E102" s="31">
        <f t="shared" si="18"/>
        <v>0</v>
      </c>
      <c r="F102" s="31">
        <f>SUM($Q102:R102)</f>
        <v>0</v>
      </c>
      <c r="G102" s="31">
        <f>SUM($Q102:S102)</f>
        <v>0</v>
      </c>
      <c r="H102" s="31">
        <f>SUM($Q102:T102)</f>
        <v>0</v>
      </c>
      <c r="I102" s="31">
        <f>SUM($Q102:U102)</f>
        <v>0</v>
      </c>
      <c r="J102" s="31">
        <f>SUM($Q102:V102)</f>
        <v>0</v>
      </c>
      <c r="K102" s="31">
        <f>SUM($Q102:W102)</f>
        <v>0</v>
      </c>
      <c r="L102" s="31">
        <f>SUM($Q102:X102)</f>
        <v>0</v>
      </c>
      <c r="M102" s="31">
        <f>SUM($Q102:Y102)</f>
        <v>0</v>
      </c>
      <c r="N102" s="31">
        <f>SUM($Q102:Z102)</f>
        <v>0</v>
      </c>
      <c r="O102" s="31">
        <f>SUM($Q102:AA102)</f>
        <v>0</v>
      </c>
      <c r="P102" s="31">
        <f>SUM($Q102:AB102)</f>
        <v>0</v>
      </c>
      <c r="Q102" s="53">
        <f>'TB-Jan'!$C$80</f>
        <v>0</v>
      </c>
      <c r="R102" s="53">
        <f>'TB-Feb'!$C$80</f>
        <v>0</v>
      </c>
      <c r="S102" s="53">
        <f>'TB-Mar'!$C$80</f>
        <v>0</v>
      </c>
      <c r="T102" s="53">
        <f>'TB-Apr'!$C$80</f>
        <v>0</v>
      </c>
      <c r="U102" s="53">
        <f>'TB-May'!$C$80</f>
        <v>0</v>
      </c>
      <c r="V102" s="53">
        <f>'TB-Jun'!$C$80</f>
        <v>0</v>
      </c>
      <c r="W102" s="53">
        <f>'TB-Jul'!$C$80</f>
        <v>0</v>
      </c>
      <c r="X102" s="53">
        <f>'TB-Aug'!$C$80</f>
        <v>0</v>
      </c>
      <c r="Y102" s="53">
        <f>'TB-Sep'!$C$80</f>
        <v>0</v>
      </c>
      <c r="Z102" s="53">
        <f>'TB-Oct'!$C$80</f>
        <v>0</v>
      </c>
      <c r="AA102" s="53">
        <f>'TB-Nov'!$C$80</f>
        <v>0</v>
      </c>
      <c r="AB102" s="53">
        <f>'TB-Dec'!$C$80</f>
        <v>0</v>
      </c>
    </row>
    <row r="103" spans="1:28" s="78" customFormat="1" ht="15.75" hidden="1" customHeight="1" outlineLevel="2">
      <c r="A103" s="32"/>
      <c r="B103" s="32"/>
      <c r="C103" s="32"/>
      <c r="D103" s="35" t="s">
        <v>127</v>
      </c>
      <c r="E103" s="31">
        <f t="shared" si="18"/>
        <v>0</v>
      </c>
      <c r="F103" s="31">
        <f>SUM($Q103:R103)</f>
        <v>0</v>
      </c>
      <c r="G103" s="31">
        <f>SUM($Q103:S103)</f>
        <v>0</v>
      </c>
      <c r="H103" s="31">
        <f>SUM($Q103:T103)</f>
        <v>0</v>
      </c>
      <c r="I103" s="31">
        <f>SUM($Q103:U103)</f>
        <v>0</v>
      </c>
      <c r="J103" s="31">
        <f>SUM($Q103:V103)</f>
        <v>0</v>
      </c>
      <c r="K103" s="31">
        <f>SUM($Q103:W103)</f>
        <v>0</v>
      </c>
      <c r="L103" s="31">
        <f>SUM($Q103:X103)</f>
        <v>0</v>
      </c>
      <c r="M103" s="31">
        <f>SUM($Q103:Y103)</f>
        <v>0</v>
      </c>
      <c r="N103" s="31">
        <f>SUM($Q103:Z103)</f>
        <v>0</v>
      </c>
      <c r="O103" s="31">
        <f>SUM($Q103:AA103)</f>
        <v>0</v>
      </c>
      <c r="P103" s="31">
        <f>SUM($Q103:AB103)</f>
        <v>0</v>
      </c>
      <c r="Q103" s="53">
        <f>'TB-Jan'!$D$81</f>
        <v>0</v>
      </c>
      <c r="R103" s="53">
        <f>'TB-Feb'!$D$81</f>
        <v>0</v>
      </c>
      <c r="S103" s="53">
        <f>'TB-Mar'!$D$81</f>
        <v>0</v>
      </c>
      <c r="T103" s="53">
        <f>'TB-Apr'!$D$81</f>
        <v>0</v>
      </c>
      <c r="U103" s="53">
        <f>'TB-May'!$D$81</f>
        <v>0</v>
      </c>
      <c r="V103" s="53">
        <f>'TB-Jun'!$D$81</f>
        <v>0</v>
      </c>
      <c r="W103" s="53">
        <f>'TB-Jul'!$D$81</f>
        <v>0</v>
      </c>
      <c r="X103" s="53">
        <f>'TB-Aug'!$D$81</f>
        <v>0</v>
      </c>
      <c r="Y103" s="53">
        <f>'TB-Sep'!$D$81</f>
        <v>0</v>
      </c>
      <c r="Z103" s="53">
        <f>'TB-Oct'!$D$81</f>
        <v>0</v>
      </c>
      <c r="AA103" s="53">
        <f>'TB-Nov'!$D$81</f>
        <v>0</v>
      </c>
      <c r="AB103" s="53">
        <f>'TB-Dec'!$D$81</f>
        <v>0</v>
      </c>
    </row>
    <row r="104" spans="1:28" s="78" customFormat="1" ht="15.75" hidden="1" customHeight="1" outlineLevel="2">
      <c r="A104" s="32"/>
      <c r="B104" s="32"/>
      <c r="C104" s="35" t="s">
        <v>921</v>
      </c>
      <c r="D104" s="32"/>
      <c r="E104" s="31">
        <f t="shared" si="18"/>
        <v>0</v>
      </c>
      <c r="F104" s="31">
        <f>SUM($Q104:R104)</f>
        <v>0</v>
      </c>
      <c r="G104" s="31">
        <f>SUM($Q104:S104)</f>
        <v>0</v>
      </c>
      <c r="H104" s="31">
        <f>SUM($Q104:T104)</f>
        <v>0</v>
      </c>
      <c r="I104" s="31">
        <f>SUM($Q104:U104)</f>
        <v>0</v>
      </c>
      <c r="J104" s="31">
        <f>SUM($Q104:V104)</f>
        <v>0</v>
      </c>
      <c r="K104" s="31">
        <f>SUM($Q104:W104)</f>
        <v>0</v>
      </c>
      <c r="L104" s="31">
        <f>SUM($Q104:X104)</f>
        <v>0</v>
      </c>
      <c r="M104" s="31">
        <f>SUM($Q104:Y104)</f>
        <v>0</v>
      </c>
      <c r="N104" s="31">
        <f>SUM($Q104:Z104)</f>
        <v>0</v>
      </c>
      <c r="O104" s="31">
        <f>SUM($Q104:AA104)</f>
        <v>0</v>
      </c>
      <c r="P104" s="31">
        <f>SUM($Q104:AB104)</f>
        <v>0</v>
      </c>
      <c r="Q104" s="45">
        <f>Q105-Q106</f>
        <v>0</v>
      </c>
      <c r="R104" s="45">
        <f t="shared" ref="R104:AB104" si="25">R105-R106</f>
        <v>0</v>
      </c>
      <c r="S104" s="45">
        <f t="shared" si="25"/>
        <v>0</v>
      </c>
      <c r="T104" s="45">
        <f t="shared" si="25"/>
        <v>0</v>
      </c>
      <c r="U104" s="45">
        <f t="shared" si="25"/>
        <v>0</v>
      </c>
      <c r="V104" s="45">
        <f t="shared" si="25"/>
        <v>0</v>
      </c>
      <c r="W104" s="45">
        <f t="shared" si="25"/>
        <v>0</v>
      </c>
      <c r="X104" s="45">
        <f t="shared" si="25"/>
        <v>0</v>
      </c>
      <c r="Y104" s="45">
        <f t="shared" si="25"/>
        <v>0</v>
      </c>
      <c r="Z104" s="45">
        <f t="shared" si="25"/>
        <v>0</v>
      </c>
      <c r="AA104" s="45">
        <f t="shared" ref="AA104" si="26">AA105-AA106</f>
        <v>0</v>
      </c>
      <c r="AB104" s="45">
        <f t="shared" si="25"/>
        <v>0</v>
      </c>
    </row>
    <row r="105" spans="1:28" s="78" customFormat="1" ht="15.75" hidden="1" customHeight="1" outlineLevel="2">
      <c r="A105" s="32"/>
      <c r="B105" s="32"/>
      <c r="C105" s="32"/>
      <c r="D105" s="35" t="s">
        <v>128</v>
      </c>
      <c r="E105" s="31">
        <f t="shared" si="18"/>
        <v>0</v>
      </c>
      <c r="F105" s="31">
        <f>SUM($Q105:R105)</f>
        <v>0</v>
      </c>
      <c r="G105" s="31">
        <f>SUM($Q105:S105)</f>
        <v>0</v>
      </c>
      <c r="H105" s="31">
        <f>SUM($Q105:T105)</f>
        <v>0</v>
      </c>
      <c r="I105" s="31">
        <f>SUM($Q105:U105)</f>
        <v>0</v>
      </c>
      <c r="J105" s="31">
        <f>SUM($Q105:V105)</f>
        <v>0</v>
      </c>
      <c r="K105" s="31">
        <f>SUM($Q105:W105)</f>
        <v>0</v>
      </c>
      <c r="L105" s="31">
        <f>SUM($Q105:X105)</f>
        <v>0</v>
      </c>
      <c r="M105" s="31">
        <f>SUM($Q105:Y105)</f>
        <v>0</v>
      </c>
      <c r="N105" s="31">
        <f>SUM($Q105:Z105)</f>
        <v>0</v>
      </c>
      <c r="O105" s="31">
        <f>SUM($Q105:AA105)</f>
        <v>0</v>
      </c>
      <c r="P105" s="31">
        <f>SUM($Q105:AB105)</f>
        <v>0</v>
      </c>
      <c r="Q105" s="53">
        <f>'TB-Jan'!$C$82</f>
        <v>0</v>
      </c>
      <c r="R105" s="53">
        <f>'TB-Feb'!$C$82</f>
        <v>0</v>
      </c>
      <c r="S105" s="53">
        <f>'TB-Mar'!$C$82</f>
        <v>0</v>
      </c>
      <c r="T105" s="53">
        <f>'TB-Apr'!$C$82</f>
        <v>0</v>
      </c>
      <c r="U105" s="53">
        <f>'TB-May'!$C$82</f>
        <v>0</v>
      </c>
      <c r="V105" s="53">
        <f>'TB-Jun'!$C$82</f>
        <v>0</v>
      </c>
      <c r="W105" s="53">
        <f>'TB-Jul'!$C$82</f>
        <v>0</v>
      </c>
      <c r="X105" s="53">
        <f>'TB-Aug'!$C$82</f>
        <v>0</v>
      </c>
      <c r="Y105" s="53">
        <f>'TB-Sep'!$C$82</f>
        <v>0</v>
      </c>
      <c r="Z105" s="53">
        <f>'TB-Oct'!$C$82</f>
        <v>0</v>
      </c>
      <c r="AA105" s="53">
        <f>'TB-Nov'!$C$82</f>
        <v>0</v>
      </c>
      <c r="AB105" s="53">
        <f>'TB-Dec'!$C$82</f>
        <v>0</v>
      </c>
    </row>
    <row r="106" spans="1:28" s="78" customFormat="1" ht="15.75" hidden="1" customHeight="1" outlineLevel="2">
      <c r="A106" s="32"/>
      <c r="B106" s="32"/>
      <c r="C106" s="32"/>
      <c r="D106" s="35" t="s">
        <v>129</v>
      </c>
      <c r="E106" s="31">
        <f t="shared" si="18"/>
        <v>0</v>
      </c>
      <c r="F106" s="31">
        <f>SUM($Q106:R106)</f>
        <v>0</v>
      </c>
      <c r="G106" s="31">
        <f>SUM($Q106:S106)</f>
        <v>0</v>
      </c>
      <c r="H106" s="31">
        <f>SUM($Q106:T106)</f>
        <v>0</v>
      </c>
      <c r="I106" s="31">
        <f>SUM($Q106:U106)</f>
        <v>0</v>
      </c>
      <c r="J106" s="31">
        <f>SUM($Q106:V106)</f>
        <v>0</v>
      </c>
      <c r="K106" s="31">
        <f>SUM($Q106:W106)</f>
        <v>0</v>
      </c>
      <c r="L106" s="31">
        <f>SUM($Q106:X106)</f>
        <v>0</v>
      </c>
      <c r="M106" s="31">
        <f>SUM($Q106:Y106)</f>
        <v>0</v>
      </c>
      <c r="N106" s="31">
        <f>SUM($Q106:Z106)</f>
        <v>0</v>
      </c>
      <c r="O106" s="31">
        <f>SUM($Q106:AA106)</f>
        <v>0</v>
      </c>
      <c r="P106" s="31">
        <f>SUM($Q106:AB106)</f>
        <v>0</v>
      </c>
      <c r="Q106" s="53">
        <f>'TB-Jan'!$D$83</f>
        <v>0</v>
      </c>
      <c r="R106" s="53">
        <f>'TB-Feb'!$D$83</f>
        <v>0</v>
      </c>
      <c r="S106" s="53">
        <f>'TB-Mar'!$D$83</f>
        <v>0</v>
      </c>
      <c r="T106" s="53">
        <f>'TB-Apr'!$D$83</f>
        <v>0</v>
      </c>
      <c r="U106" s="53">
        <f>'TB-May'!$D$83</f>
        <v>0</v>
      </c>
      <c r="V106" s="53">
        <f>'TB-Jun'!$D$83</f>
        <v>0</v>
      </c>
      <c r="W106" s="53">
        <f>'TB-Jul'!$D$83</f>
        <v>0</v>
      </c>
      <c r="X106" s="53">
        <f>'TB-Aug'!$D$83</f>
        <v>0</v>
      </c>
      <c r="Y106" s="53">
        <f>'TB-Sep'!$D$83</f>
        <v>0</v>
      </c>
      <c r="Z106" s="53">
        <f>'TB-Oct'!$D$83</f>
        <v>0</v>
      </c>
      <c r="AA106" s="53">
        <f>'TB-Nov'!$D$83</f>
        <v>0</v>
      </c>
      <c r="AB106" s="53">
        <f>'TB-Dec'!$D$83</f>
        <v>0</v>
      </c>
    </row>
    <row r="107" spans="1:28" s="78" customFormat="1" ht="15.75" hidden="1" customHeight="1" outlineLevel="2">
      <c r="A107" s="32"/>
      <c r="B107" s="32"/>
      <c r="C107" s="35" t="s">
        <v>922</v>
      </c>
      <c r="D107" s="32"/>
      <c r="E107" s="31">
        <f t="shared" si="18"/>
        <v>0</v>
      </c>
      <c r="F107" s="31">
        <f>SUM($Q107:R107)</f>
        <v>0</v>
      </c>
      <c r="G107" s="31">
        <f>SUM($Q107:S107)</f>
        <v>0</v>
      </c>
      <c r="H107" s="31">
        <f>SUM($Q107:T107)</f>
        <v>0</v>
      </c>
      <c r="I107" s="31">
        <f>SUM($Q107:U107)</f>
        <v>0</v>
      </c>
      <c r="J107" s="31">
        <f>SUM($Q107:V107)</f>
        <v>0</v>
      </c>
      <c r="K107" s="31">
        <f>SUM($Q107:W107)</f>
        <v>0</v>
      </c>
      <c r="L107" s="31">
        <f>SUM($Q107:X107)</f>
        <v>0</v>
      </c>
      <c r="M107" s="31">
        <f>SUM($Q107:Y107)</f>
        <v>0</v>
      </c>
      <c r="N107" s="31">
        <f>SUM($Q107:Z107)</f>
        <v>0</v>
      </c>
      <c r="O107" s="31">
        <f>SUM($Q107:AA107)</f>
        <v>0</v>
      </c>
      <c r="P107" s="31">
        <f>SUM($Q107:AB107)</f>
        <v>0</v>
      </c>
      <c r="Q107" s="45">
        <f>Q108-Q109</f>
        <v>0</v>
      </c>
      <c r="R107" s="45">
        <f t="shared" ref="R107:AB107" si="27">R108-R109</f>
        <v>0</v>
      </c>
      <c r="S107" s="45">
        <f t="shared" si="27"/>
        <v>0</v>
      </c>
      <c r="T107" s="45">
        <f t="shared" si="27"/>
        <v>0</v>
      </c>
      <c r="U107" s="45">
        <f t="shared" si="27"/>
        <v>0</v>
      </c>
      <c r="V107" s="45">
        <f t="shared" si="27"/>
        <v>0</v>
      </c>
      <c r="W107" s="45">
        <f t="shared" si="27"/>
        <v>0</v>
      </c>
      <c r="X107" s="45">
        <f t="shared" si="27"/>
        <v>0</v>
      </c>
      <c r="Y107" s="45">
        <f t="shared" si="27"/>
        <v>0</v>
      </c>
      <c r="Z107" s="45">
        <f t="shared" si="27"/>
        <v>0</v>
      </c>
      <c r="AA107" s="45">
        <f t="shared" ref="AA107" si="28">AA108-AA109</f>
        <v>0</v>
      </c>
      <c r="AB107" s="45">
        <f t="shared" si="27"/>
        <v>0</v>
      </c>
    </row>
    <row r="108" spans="1:28" s="78" customFormat="1" ht="15.75" hidden="1" customHeight="1" outlineLevel="2">
      <c r="A108" s="32"/>
      <c r="B108" s="32"/>
      <c r="C108" s="32"/>
      <c r="D108" s="35" t="s">
        <v>130</v>
      </c>
      <c r="E108" s="31">
        <f t="shared" si="18"/>
        <v>0</v>
      </c>
      <c r="F108" s="31">
        <f>SUM($Q108:R108)</f>
        <v>0</v>
      </c>
      <c r="G108" s="31">
        <f>SUM($Q108:S108)</f>
        <v>0</v>
      </c>
      <c r="H108" s="31">
        <f>SUM($Q108:T108)</f>
        <v>0</v>
      </c>
      <c r="I108" s="31">
        <f>SUM($Q108:U108)</f>
        <v>0</v>
      </c>
      <c r="J108" s="31">
        <f>SUM($Q108:V108)</f>
        <v>0</v>
      </c>
      <c r="K108" s="31">
        <f>SUM($Q108:W108)</f>
        <v>0</v>
      </c>
      <c r="L108" s="31">
        <f>SUM($Q108:X108)</f>
        <v>0</v>
      </c>
      <c r="M108" s="31">
        <f>SUM($Q108:Y108)</f>
        <v>0</v>
      </c>
      <c r="N108" s="31">
        <f>SUM($Q108:Z108)</f>
        <v>0</v>
      </c>
      <c r="O108" s="31">
        <f>SUM($Q108:AA108)</f>
        <v>0</v>
      </c>
      <c r="P108" s="31">
        <f>SUM($Q108:AB108)</f>
        <v>0</v>
      </c>
      <c r="Q108" s="53">
        <f>'TB-Jan'!$C$84</f>
        <v>0</v>
      </c>
      <c r="R108" s="53">
        <f>'TB-Feb'!$C$84</f>
        <v>0</v>
      </c>
      <c r="S108" s="53">
        <f>'TB-Mar'!$C$84</f>
        <v>0</v>
      </c>
      <c r="T108" s="53">
        <f>'TB-Apr'!$C$84</f>
        <v>0</v>
      </c>
      <c r="U108" s="53">
        <f>'TB-May'!$C$84</f>
        <v>0</v>
      </c>
      <c r="V108" s="53">
        <f>'TB-Jun'!$C$84</f>
        <v>0</v>
      </c>
      <c r="W108" s="53">
        <f>'TB-Jul'!$C$84</f>
        <v>0</v>
      </c>
      <c r="X108" s="53">
        <f>'TB-Aug'!$C$84</f>
        <v>0</v>
      </c>
      <c r="Y108" s="53">
        <f>'TB-Sep'!$C$84</f>
        <v>0</v>
      </c>
      <c r="Z108" s="53">
        <f>'TB-Oct'!$C$84</f>
        <v>0</v>
      </c>
      <c r="AA108" s="53">
        <f>'TB-Nov'!$C$84</f>
        <v>0</v>
      </c>
      <c r="AB108" s="53">
        <f>'TB-Dec'!$C$84</f>
        <v>0</v>
      </c>
    </row>
    <row r="109" spans="1:28" s="78" customFormat="1" ht="15.75" hidden="1" customHeight="1" outlineLevel="2">
      <c r="A109" s="32"/>
      <c r="B109" s="32"/>
      <c r="C109" s="32"/>
      <c r="D109" s="35" t="s">
        <v>131</v>
      </c>
      <c r="E109" s="31">
        <f t="shared" si="18"/>
        <v>0</v>
      </c>
      <c r="F109" s="31">
        <f>SUM($Q109:R109)</f>
        <v>0</v>
      </c>
      <c r="G109" s="31">
        <f>SUM($Q109:S109)</f>
        <v>0</v>
      </c>
      <c r="H109" s="31">
        <f>SUM($Q109:T109)</f>
        <v>0</v>
      </c>
      <c r="I109" s="31">
        <f>SUM($Q109:U109)</f>
        <v>0</v>
      </c>
      <c r="J109" s="31">
        <f>SUM($Q109:V109)</f>
        <v>0</v>
      </c>
      <c r="K109" s="31">
        <f>SUM($Q109:W109)</f>
        <v>0</v>
      </c>
      <c r="L109" s="31">
        <f>SUM($Q109:X109)</f>
        <v>0</v>
      </c>
      <c r="M109" s="31">
        <f>SUM($Q109:Y109)</f>
        <v>0</v>
      </c>
      <c r="N109" s="31">
        <f>SUM($Q109:Z109)</f>
        <v>0</v>
      </c>
      <c r="O109" s="31">
        <f>SUM($Q109:AA109)</f>
        <v>0</v>
      </c>
      <c r="P109" s="31">
        <f>SUM($Q109:AB109)</f>
        <v>0</v>
      </c>
      <c r="Q109" s="53">
        <f>'TB-Jan'!$D$85</f>
        <v>0</v>
      </c>
      <c r="R109" s="53">
        <f>'TB-Feb'!$D$85</f>
        <v>0</v>
      </c>
      <c r="S109" s="53">
        <f>'TB-Mar'!$D$85</f>
        <v>0</v>
      </c>
      <c r="T109" s="53">
        <f>'TB-Apr'!$D$85</f>
        <v>0</v>
      </c>
      <c r="U109" s="53">
        <f>'TB-May'!$D$85</f>
        <v>0</v>
      </c>
      <c r="V109" s="53">
        <f>'TB-Jun'!$D$85</f>
        <v>0</v>
      </c>
      <c r="W109" s="53">
        <f>'TB-Jul'!$D$85</f>
        <v>0</v>
      </c>
      <c r="X109" s="53">
        <f>'TB-Aug'!$D$85</f>
        <v>0</v>
      </c>
      <c r="Y109" s="53">
        <f>'TB-Sep'!$D$85</f>
        <v>0</v>
      </c>
      <c r="Z109" s="53">
        <f>'TB-Oct'!$D$85</f>
        <v>0</v>
      </c>
      <c r="AA109" s="53">
        <f>'TB-Nov'!$D$85</f>
        <v>0</v>
      </c>
      <c r="AB109" s="53">
        <f>'TB-Dec'!$D$85</f>
        <v>0</v>
      </c>
    </row>
    <row r="110" spans="1:28" s="78" customFormat="1" ht="15.75" hidden="1" customHeight="1" outlineLevel="2">
      <c r="A110" s="32"/>
      <c r="B110" s="32"/>
      <c r="C110" s="35" t="s">
        <v>923</v>
      </c>
      <c r="D110" s="32"/>
      <c r="E110" s="31">
        <f t="shared" si="18"/>
        <v>0</v>
      </c>
      <c r="F110" s="31">
        <f>SUM($Q110:R110)</f>
        <v>0</v>
      </c>
      <c r="G110" s="31">
        <f>SUM($Q110:S110)</f>
        <v>0</v>
      </c>
      <c r="H110" s="31">
        <f>SUM($Q110:T110)</f>
        <v>0</v>
      </c>
      <c r="I110" s="31">
        <f>SUM($Q110:U110)</f>
        <v>0</v>
      </c>
      <c r="J110" s="31">
        <f>SUM($Q110:V110)</f>
        <v>0</v>
      </c>
      <c r="K110" s="31">
        <f>SUM($Q110:W110)</f>
        <v>0</v>
      </c>
      <c r="L110" s="31">
        <f>SUM($Q110:X110)</f>
        <v>0</v>
      </c>
      <c r="M110" s="31">
        <f>SUM($Q110:Y110)</f>
        <v>0</v>
      </c>
      <c r="N110" s="31">
        <f>SUM($Q110:Z110)</f>
        <v>0</v>
      </c>
      <c r="O110" s="31">
        <f>SUM($Q110:AA110)</f>
        <v>0</v>
      </c>
      <c r="P110" s="31">
        <f>SUM($Q110:AB110)</f>
        <v>0</v>
      </c>
      <c r="Q110" s="45">
        <f>Q111-Q112</f>
        <v>0</v>
      </c>
      <c r="R110" s="45">
        <f t="shared" ref="R110:AB110" si="29">R111-R112</f>
        <v>0</v>
      </c>
      <c r="S110" s="45">
        <f t="shared" si="29"/>
        <v>0</v>
      </c>
      <c r="T110" s="45">
        <f t="shared" si="29"/>
        <v>0</v>
      </c>
      <c r="U110" s="45">
        <f t="shared" si="29"/>
        <v>0</v>
      </c>
      <c r="V110" s="45">
        <f t="shared" si="29"/>
        <v>0</v>
      </c>
      <c r="W110" s="45">
        <f t="shared" si="29"/>
        <v>0</v>
      </c>
      <c r="X110" s="45">
        <f t="shared" si="29"/>
        <v>0</v>
      </c>
      <c r="Y110" s="45">
        <f t="shared" si="29"/>
        <v>0</v>
      </c>
      <c r="Z110" s="45">
        <f t="shared" si="29"/>
        <v>0</v>
      </c>
      <c r="AA110" s="45">
        <f t="shared" ref="AA110" si="30">AA111-AA112</f>
        <v>0</v>
      </c>
      <c r="AB110" s="45">
        <f t="shared" si="29"/>
        <v>0</v>
      </c>
    </row>
    <row r="111" spans="1:28" s="78" customFormat="1" ht="15.75" hidden="1" customHeight="1" outlineLevel="2">
      <c r="A111" s="32"/>
      <c r="B111" s="32"/>
      <c r="C111" s="32"/>
      <c r="D111" s="35" t="s">
        <v>132</v>
      </c>
      <c r="E111" s="31">
        <f t="shared" si="18"/>
        <v>0</v>
      </c>
      <c r="F111" s="31">
        <f>SUM($Q111:R111)</f>
        <v>0</v>
      </c>
      <c r="G111" s="31">
        <f>SUM($Q111:S111)</f>
        <v>0</v>
      </c>
      <c r="H111" s="31">
        <f>SUM($Q111:T111)</f>
        <v>0</v>
      </c>
      <c r="I111" s="31">
        <f>SUM($Q111:U111)</f>
        <v>0</v>
      </c>
      <c r="J111" s="31">
        <f>SUM($Q111:V111)</f>
        <v>0</v>
      </c>
      <c r="K111" s="31">
        <f>SUM($Q111:W111)</f>
        <v>0</v>
      </c>
      <c r="L111" s="31">
        <f>SUM($Q111:X111)</f>
        <v>0</v>
      </c>
      <c r="M111" s="31">
        <f>SUM($Q111:Y111)</f>
        <v>0</v>
      </c>
      <c r="N111" s="31">
        <f>SUM($Q111:Z111)</f>
        <v>0</v>
      </c>
      <c r="O111" s="31">
        <f>SUM($Q111:AA111)</f>
        <v>0</v>
      </c>
      <c r="P111" s="31">
        <f>SUM($Q111:AB111)</f>
        <v>0</v>
      </c>
      <c r="Q111" s="53">
        <f>'TB-Jan'!$C$86</f>
        <v>0</v>
      </c>
      <c r="R111" s="53">
        <f>'TB-Feb'!$C$86</f>
        <v>0</v>
      </c>
      <c r="S111" s="53">
        <f>'TB-Mar'!$C$86</f>
        <v>0</v>
      </c>
      <c r="T111" s="53">
        <f>'TB-Apr'!$C$86</f>
        <v>0</v>
      </c>
      <c r="U111" s="53">
        <f>'TB-May'!$C$86</f>
        <v>0</v>
      </c>
      <c r="V111" s="53">
        <f>'TB-Jun'!$C$86</f>
        <v>0</v>
      </c>
      <c r="W111" s="53">
        <f>'TB-Jul'!$C$86</f>
        <v>0</v>
      </c>
      <c r="X111" s="53">
        <f>'TB-Aug'!$C$86</f>
        <v>0</v>
      </c>
      <c r="Y111" s="53">
        <f>'TB-Sep'!$C$86</f>
        <v>0</v>
      </c>
      <c r="Z111" s="53">
        <f>'TB-Oct'!$C$86</f>
        <v>0</v>
      </c>
      <c r="AA111" s="53">
        <f>'TB-Nov'!$C$86</f>
        <v>0</v>
      </c>
      <c r="AB111" s="53">
        <f>'TB-Dec'!$C$86</f>
        <v>0</v>
      </c>
    </row>
    <row r="112" spans="1:28" s="78" customFormat="1" ht="15.75" hidden="1" customHeight="1" outlineLevel="2">
      <c r="A112" s="32"/>
      <c r="B112" s="32"/>
      <c r="C112" s="32"/>
      <c r="D112" s="35" t="s">
        <v>133</v>
      </c>
      <c r="E112" s="31">
        <f t="shared" si="18"/>
        <v>0</v>
      </c>
      <c r="F112" s="31">
        <f>SUM($Q112:R112)</f>
        <v>0</v>
      </c>
      <c r="G112" s="31">
        <f>SUM($Q112:S112)</f>
        <v>0</v>
      </c>
      <c r="H112" s="31">
        <f>SUM($Q112:T112)</f>
        <v>0</v>
      </c>
      <c r="I112" s="31">
        <f>SUM($Q112:U112)</f>
        <v>0</v>
      </c>
      <c r="J112" s="31">
        <f>SUM($Q112:V112)</f>
        <v>0</v>
      </c>
      <c r="K112" s="31">
        <f>SUM($Q112:W112)</f>
        <v>0</v>
      </c>
      <c r="L112" s="31">
        <f>SUM($Q112:X112)</f>
        <v>0</v>
      </c>
      <c r="M112" s="31">
        <f>SUM($Q112:Y112)</f>
        <v>0</v>
      </c>
      <c r="N112" s="31">
        <f>SUM($Q112:Z112)</f>
        <v>0</v>
      </c>
      <c r="O112" s="31">
        <f>SUM($Q112:AA112)</f>
        <v>0</v>
      </c>
      <c r="P112" s="31">
        <f>SUM($Q112:AB112)</f>
        <v>0</v>
      </c>
      <c r="Q112" s="53">
        <f>'TB-Jan'!$D$87</f>
        <v>0</v>
      </c>
      <c r="R112" s="53">
        <f>'TB-Feb'!$D$87</f>
        <v>0</v>
      </c>
      <c r="S112" s="53">
        <f>'TB-Mar'!$D$87</f>
        <v>0</v>
      </c>
      <c r="T112" s="53">
        <f>'TB-Apr'!$D$87</f>
        <v>0</v>
      </c>
      <c r="U112" s="53">
        <f>'TB-May'!$D$87</f>
        <v>0</v>
      </c>
      <c r="V112" s="53">
        <f>'TB-Jun'!$D$87</f>
        <v>0</v>
      </c>
      <c r="W112" s="53">
        <f>'TB-Jul'!$D$87</f>
        <v>0</v>
      </c>
      <c r="X112" s="53">
        <f>'TB-Aug'!$D$87</f>
        <v>0</v>
      </c>
      <c r="Y112" s="53">
        <f>'TB-Sep'!$D$87</f>
        <v>0</v>
      </c>
      <c r="Z112" s="53">
        <f>'TB-Oct'!$D$87</f>
        <v>0</v>
      </c>
      <c r="AA112" s="53">
        <f>'TB-Nov'!$D$87</f>
        <v>0</v>
      </c>
      <c r="AB112" s="53">
        <f>'TB-Dec'!$D$87</f>
        <v>0</v>
      </c>
    </row>
    <row r="113" spans="1:28" s="78" customFormat="1" ht="15.75" hidden="1" customHeight="1" outlineLevel="1">
      <c r="A113" s="32"/>
      <c r="B113" s="32" t="s">
        <v>924</v>
      </c>
      <c r="C113" s="32"/>
      <c r="D113" s="35"/>
      <c r="E113" s="59">
        <f t="shared" si="18"/>
        <v>0</v>
      </c>
      <c r="F113" s="59">
        <f>SUM($Q113:R113)</f>
        <v>0</v>
      </c>
      <c r="G113" s="59">
        <f>SUM($Q113:S113)</f>
        <v>0</v>
      </c>
      <c r="H113" s="59">
        <f>SUM($Q113:T113)</f>
        <v>0</v>
      </c>
      <c r="I113" s="59">
        <f>SUM($Q113:U113)</f>
        <v>0</v>
      </c>
      <c r="J113" s="59">
        <f>SUM($Q113:V113)</f>
        <v>0</v>
      </c>
      <c r="K113" s="59">
        <f>SUM($Q113:W113)</f>
        <v>0</v>
      </c>
      <c r="L113" s="59">
        <f>SUM($Q113:X113)</f>
        <v>0</v>
      </c>
      <c r="M113" s="59">
        <f>SUM($Q113:Y113)</f>
        <v>0</v>
      </c>
      <c r="N113" s="59">
        <f>SUM($Q113:Z113)</f>
        <v>0</v>
      </c>
      <c r="O113" s="59">
        <f>SUM($Q113:AA113)</f>
        <v>0</v>
      </c>
      <c r="P113" s="59">
        <f>SUM($Q113:AB113)</f>
        <v>0</v>
      </c>
      <c r="Q113" s="46">
        <f>SUM(Q114,Q117,Q120,Q123,Q126)</f>
        <v>0</v>
      </c>
      <c r="R113" s="46">
        <f t="shared" ref="R113:AB113" si="31">SUM(R114,R117,R120,R123,R126)</f>
        <v>0</v>
      </c>
      <c r="S113" s="46">
        <f t="shared" si="31"/>
        <v>0</v>
      </c>
      <c r="T113" s="46">
        <f t="shared" si="31"/>
        <v>0</v>
      </c>
      <c r="U113" s="46">
        <f t="shared" si="31"/>
        <v>0</v>
      </c>
      <c r="V113" s="46">
        <f t="shared" si="31"/>
        <v>0</v>
      </c>
      <c r="W113" s="46">
        <f t="shared" si="31"/>
        <v>0</v>
      </c>
      <c r="X113" s="46">
        <f t="shared" si="31"/>
        <v>0</v>
      </c>
      <c r="Y113" s="46">
        <f t="shared" si="31"/>
        <v>0</v>
      </c>
      <c r="Z113" s="46">
        <f t="shared" si="31"/>
        <v>0</v>
      </c>
      <c r="AA113" s="46">
        <f t="shared" si="31"/>
        <v>0</v>
      </c>
      <c r="AB113" s="46">
        <f t="shared" si="31"/>
        <v>0</v>
      </c>
    </row>
    <row r="114" spans="1:28" s="78" customFormat="1" ht="15.75" hidden="1" customHeight="1" outlineLevel="2">
      <c r="A114" s="32"/>
      <c r="B114" s="32"/>
      <c r="C114" s="35" t="s">
        <v>925</v>
      </c>
      <c r="D114" s="32"/>
      <c r="E114" s="31">
        <f t="shared" si="18"/>
        <v>0</v>
      </c>
      <c r="F114" s="31">
        <f>SUM($Q114:R114)</f>
        <v>0</v>
      </c>
      <c r="G114" s="31">
        <f>SUM($Q114:S114)</f>
        <v>0</v>
      </c>
      <c r="H114" s="31">
        <f>SUM($Q114:T114)</f>
        <v>0</v>
      </c>
      <c r="I114" s="31">
        <f>SUM($Q114:U114)</f>
        <v>0</v>
      </c>
      <c r="J114" s="31">
        <f>SUM($Q114:V114)</f>
        <v>0</v>
      </c>
      <c r="K114" s="31">
        <f>SUM($Q114:W114)</f>
        <v>0</v>
      </c>
      <c r="L114" s="31">
        <f>SUM($Q114:X114)</f>
        <v>0</v>
      </c>
      <c r="M114" s="31">
        <f>SUM($Q114:Y114)</f>
        <v>0</v>
      </c>
      <c r="N114" s="31">
        <f>SUM($Q114:Z114)</f>
        <v>0</v>
      </c>
      <c r="O114" s="31">
        <f>SUM($Q114:AA114)</f>
        <v>0</v>
      </c>
      <c r="P114" s="31">
        <f>SUM($Q114:AB114)</f>
        <v>0</v>
      </c>
      <c r="Q114" s="45">
        <f>Q115-Q116</f>
        <v>0</v>
      </c>
      <c r="R114" s="45">
        <f t="shared" ref="R114:AB114" si="32">R115-R116</f>
        <v>0</v>
      </c>
      <c r="S114" s="45">
        <f t="shared" si="32"/>
        <v>0</v>
      </c>
      <c r="T114" s="45">
        <f t="shared" si="32"/>
        <v>0</v>
      </c>
      <c r="U114" s="45">
        <f t="shared" si="32"/>
        <v>0</v>
      </c>
      <c r="V114" s="45">
        <f t="shared" si="32"/>
        <v>0</v>
      </c>
      <c r="W114" s="45">
        <f t="shared" si="32"/>
        <v>0</v>
      </c>
      <c r="X114" s="45">
        <f t="shared" si="32"/>
        <v>0</v>
      </c>
      <c r="Y114" s="45">
        <f t="shared" si="32"/>
        <v>0</v>
      </c>
      <c r="Z114" s="45">
        <f t="shared" si="32"/>
        <v>0</v>
      </c>
      <c r="AA114" s="45">
        <f t="shared" ref="AA114" si="33">AA115-AA116</f>
        <v>0</v>
      </c>
      <c r="AB114" s="45">
        <f t="shared" si="32"/>
        <v>0</v>
      </c>
    </row>
    <row r="115" spans="1:28" s="78" customFormat="1" ht="15.75" hidden="1" customHeight="1" outlineLevel="2">
      <c r="A115" s="32"/>
      <c r="B115" s="32"/>
      <c r="C115" s="32"/>
      <c r="D115" s="35" t="s">
        <v>134</v>
      </c>
      <c r="E115" s="31">
        <f t="shared" si="18"/>
        <v>0</v>
      </c>
      <c r="F115" s="31">
        <f>SUM($Q115:R115)</f>
        <v>0</v>
      </c>
      <c r="G115" s="31">
        <f>SUM($Q115:S115)</f>
        <v>0</v>
      </c>
      <c r="H115" s="31">
        <f>SUM($Q115:T115)</f>
        <v>0</v>
      </c>
      <c r="I115" s="31">
        <f>SUM($Q115:U115)</f>
        <v>0</v>
      </c>
      <c r="J115" s="31">
        <f>SUM($Q115:V115)</f>
        <v>0</v>
      </c>
      <c r="K115" s="31">
        <f>SUM($Q115:W115)</f>
        <v>0</v>
      </c>
      <c r="L115" s="31">
        <f>SUM($Q115:X115)</f>
        <v>0</v>
      </c>
      <c r="M115" s="31">
        <f>SUM($Q115:Y115)</f>
        <v>0</v>
      </c>
      <c r="N115" s="31">
        <f>SUM($Q115:Z115)</f>
        <v>0</v>
      </c>
      <c r="O115" s="31">
        <f>SUM($Q115:AA115)</f>
        <v>0</v>
      </c>
      <c r="P115" s="31">
        <f>SUM($Q115:AB115)</f>
        <v>0</v>
      </c>
      <c r="Q115" s="53">
        <f>'TB-Jan'!$C$88</f>
        <v>0</v>
      </c>
      <c r="R115" s="53">
        <f>'TB-Feb'!$C$88</f>
        <v>0</v>
      </c>
      <c r="S115" s="53">
        <f>'TB-Mar'!$C$88</f>
        <v>0</v>
      </c>
      <c r="T115" s="53">
        <f>'TB-Apr'!$C$88</f>
        <v>0</v>
      </c>
      <c r="U115" s="53">
        <f>'TB-May'!$C$88</f>
        <v>0</v>
      </c>
      <c r="V115" s="53">
        <f>'TB-Jun'!$C$88</f>
        <v>0</v>
      </c>
      <c r="W115" s="53">
        <f>'TB-Jul'!$C$88</f>
        <v>0</v>
      </c>
      <c r="X115" s="53">
        <f>'TB-Aug'!$C$88</f>
        <v>0</v>
      </c>
      <c r="Y115" s="53">
        <f>'TB-Sep'!$C$88</f>
        <v>0</v>
      </c>
      <c r="Z115" s="53">
        <f>'TB-Oct'!$C$88</f>
        <v>0</v>
      </c>
      <c r="AA115" s="53">
        <f>'TB-Nov'!$C$88</f>
        <v>0</v>
      </c>
      <c r="AB115" s="53">
        <f>'TB-Dec'!$C$88</f>
        <v>0</v>
      </c>
    </row>
    <row r="116" spans="1:28" s="78" customFormat="1" ht="15.75" hidden="1" customHeight="1" outlineLevel="2">
      <c r="A116" s="32"/>
      <c r="B116" s="32"/>
      <c r="C116" s="32"/>
      <c r="D116" s="35" t="s">
        <v>136</v>
      </c>
      <c r="E116" s="31">
        <f t="shared" si="18"/>
        <v>0</v>
      </c>
      <c r="F116" s="31">
        <f>SUM($Q116:R116)</f>
        <v>0</v>
      </c>
      <c r="G116" s="31">
        <f>SUM($Q116:S116)</f>
        <v>0</v>
      </c>
      <c r="H116" s="31">
        <f>SUM($Q116:T116)</f>
        <v>0</v>
      </c>
      <c r="I116" s="31">
        <f>SUM($Q116:U116)</f>
        <v>0</v>
      </c>
      <c r="J116" s="31">
        <f>SUM($Q116:V116)</f>
        <v>0</v>
      </c>
      <c r="K116" s="31">
        <f>SUM($Q116:W116)</f>
        <v>0</v>
      </c>
      <c r="L116" s="31">
        <f>SUM($Q116:X116)</f>
        <v>0</v>
      </c>
      <c r="M116" s="31">
        <f>SUM($Q116:Y116)</f>
        <v>0</v>
      </c>
      <c r="N116" s="31">
        <f>SUM($Q116:Z116)</f>
        <v>0</v>
      </c>
      <c r="O116" s="31">
        <f>SUM($Q116:AA116)</f>
        <v>0</v>
      </c>
      <c r="P116" s="31">
        <f>SUM($Q116:AB116)</f>
        <v>0</v>
      </c>
      <c r="Q116" s="53">
        <f>'TB-Jan'!$D$89</f>
        <v>0</v>
      </c>
      <c r="R116" s="53">
        <f>'TB-Feb'!$D$89</f>
        <v>0</v>
      </c>
      <c r="S116" s="53">
        <f>'TB-Mar'!$D$89</f>
        <v>0</v>
      </c>
      <c r="T116" s="53">
        <f>'TB-Apr'!$D$89</f>
        <v>0</v>
      </c>
      <c r="U116" s="53">
        <f>'TB-May'!$D$89</f>
        <v>0</v>
      </c>
      <c r="V116" s="53">
        <f>'TB-Jun'!$D$89</f>
        <v>0</v>
      </c>
      <c r="W116" s="53">
        <f>'TB-Jul'!$D$89</f>
        <v>0</v>
      </c>
      <c r="X116" s="53">
        <f>'TB-Aug'!$D$89</f>
        <v>0</v>
      </c>
      <c r="Y116" s="53">
        <f>'TB-Sep'!$D$89</f>
        <v>0</v>
      </c>
      <c r="Z116" s="53">
        <f>'TB-Oct'!$D$89</f>
        <v>0</v>
      </c>
      <c r="AA116" s="53">
        <f>'TB-Nov'!$D$89</f>
        <v>0</v>
      </c>
      <c r="AB116" s="53">
        <f>'TB-Dec'!$D$89</f>
        <v>0</v>
      </c>
    </row>
    <row r="117" spans="1:28" s="78" customFormat="1" ht="16.5" hidden="1" customHeight="1" outlineLevel="2">
      <c r="A117" s="32"/>
      <c r="B117" s="32"/>
      <c r="C117" s="35" t="s">
        <v>926</v>
      </c>
      <c r="D117" s="32"/>
      <c r="E117" s="31">
        <f t="shared" si="18"/>
        <v>0</v>
      </c>
      <c r="F117" s="31">
        <f>SUM($Q117:R117)</f>
        <v>0</v>
      </c>
      <c r="G117" s="31">
        <f>SUM($Q117:S117)</f>
        <v>0</v>
      </c>
      <c r="H117" s="31">
        <f>SUM($Q117:T117)</f>
        <v>0</v>
      </c>
      <c r="I117" s="31">
        <f>SUM($Q117:U117)</f>
        <v>0</v>
      </c>
      <c r="J117" s="31">
        <f>SUM($Q117:V117)</f>
        <v>0</v>
      </c>
      <c r="K117" s="31">
        <f>SUM($Q117:W117)</f>
        <v>0</v>
      </c>
      <c r="L117" s="31">
        <f>SUM($Q117:X117)</f>
        <v>0</v>
      </c>
      <c r="M117" s="31">
        <f>SUM($Q117:Y117)</f>
        <v>0</v>
      </c>
      <c r="N117" s="31">
        <f>SUM($Q117:Z117)</f>
        <v>0</v>
      </c>
      <c r="O117" s="31">
        <f>SUM($Q117:AA117)</f>
        <v>0</v>
      </c>
      <c r="P117" s="31">
        <f>SUM($Q117:AB117)</f>
        <v>0</v>
      </c>
      <c r="Q117" s="45">
        <f>Q118-Q119</f>
        <v>0</v>
      </c>
      <c r="R117" s="45">
        <f t="shared" ref="R117:AB117" si="34">R118-R119</f>
        <v>0</v>
      </c>
      <c r="S117" s="45">
        <f t="shared" si="34"/>
        <v>0</v>
      </c>
      <c r="T117" s="45">
        <f t="shared" si="34"/>
        <v>0</v>
      </c>
      <c r="U117" s="45">
        <f t="shared" si="34"/>
        <v>0</v>
      </c>
      <c r="V117" s="45">
        <f t="shared" si="34"/>
        <v>0</v>
      </c>
      <c r="W117" s="45">
        <f t="shared" si="34"/>
        <v>0</v>
      </c>
      <c r="X117" s="45">
        <f t="shared" si="34"/>
        <v>0</v>
      </c>
      <c r="Y117" s="45">
        <f t="shared" si="34"/>
        <v>0</v>
      </c>
      <c r="Z117" s="45">
        <f t="shared" si="34"/>
        <v>0</v>
      </c>
      <c r="AA117" s="45">
        <f t="shared" ref="AA117" si="35">AA118-AA119</f>
        <v>0</v>
      </c>
      <c r="AB117" s="45">
        <f t="shared" si="34"/>
        <v>0</v>
      </c>
    </row>
    <row r="118" spans="1:28" s="78" customFormat="1" ht="15.75" hidden="1" customHeight="1" outlineLevel="2">
      <c r="A118" s="32"/>
      <c r="B118" s="32"/>
      <c r="C118" s="32"/>
      <c r="D118" s="35" t="s">
        <v>138</v>
      </c>
      <c r="E118" s="31">
        <f t="shared" si="18"/>
        <v>0</v>
      </c>
      <c r="F118" s="31">
        <f>SUM($Q118:R118)</f>
        <v>0</v>
      </c>
      <c r="G118" s="31">
        <f>SUM($Q118:S118)</f>
        <v>0</v>
      </c>
      <c r="H118" s="31">
        <f>SUM($Q118:T118)</f>
        <v>0</v>
      </c>
      <c r="I118" s="31">
        <f>SUM($Q118:U118)</f>
        <v>0</v>
      </c>
      <c r="J118" s="31">
        <f>SUM($Q118:V118)</f>
        <v>0</v>
      </c>
      <c r="K118" s="31">
        <f>SUM($Q118:W118)</f>
        <v>0</v>
      </c>
      <c r="L118" s="31">
        <f>SUM($Q118:X118)</f>
        <v>0</v>
      </c>
      <c r="M118" s="31">
        <f>SUM($Q118:Y118)</f>
        <v>0</v>
      </c>
      <c r="N118" s="31">
        <f>SUM($Q118:Z118)</f>
        <v>0</v>
      </c>
      <c r="O118" s="31">
        <f>SUM($Q118:AA118)</f>
        <v>0</v>
      </c>
      <c r="P118" s="31">
        <f>SUM($Q118:AB118)</f>
        <v>0</v>
      </c>
      <c r="Q118" s="53">
        <f>'TB-Jan'!$C$90</f>
        <v>0</v>
      </c>
      <c r="R118" s="53">
        <f>'TB-Feb'!$C$90</f>
        <v>0</v>
      </c>
      <c r="S118" s="53">
        <f>'TB-Mar'!$C$90</f>
        <v>0</v>
      </c>
      <c r="T118" s="53">
        <f>'TB-Apr'!$C$90</f>
        <v>0</v>
      </c>
      <c r="U118" s="53">
        <f>'TB-May'!$C$90</f>
        <v>0</v>
      </c>
      <c r="V118" s="53">
        <f>'TB-Jun'!$C$90</f>
        <v>0</v>
      </c>
      <c r="W118" s="53">
        <f>'TB-Jul'!$C$90</f>
        <v>0</v>
      </c>
      <c r="X118" s="53">
        <f>'TB-Aug'!$C$90</f>
        <v>0</v>
      </c>
      <c r="Y118" s="53">
        <f>'TB-Sep'!$C$90</f>
        <v>0</v>
      </c>
      <c r="Z118" s="53">
        <f>'TB-Oct'!$C$90</f>
        <v>0</v>
      </c>
      <c r="AA118" s="53">
        <f>'TB-Nov'!$C$90</f>
        <v>0</v>
      </c>
      <c r="AB118" s="53">
        <f>'TB-Dec'!$C$90</f>
        <v>0</v>
      </c>
    </row>
    <row r="119" spans="1:28" s="78" customFormat="1" ht="15.75" hidden="1" customHeight="1" outlineLevel="2">
      <c r="A119" s="32"/>
      <c r="B119" s="32"/>
      <c r="C119" s="32"/>
      <c r="D119" s="35" t="s">
        <v>140</v>
      </c>
      <c r="E119" s="31">
        <f t="shared" si="18"/>
        <v>0</v>
      </c>
      <c r="F119" s="31">
        <f>SUM($Q119:R119)</f>
        <v>0</v>
      </c>
      <c r="G119" s="31">
        <f>SUM($Q119:S119)</f>
        <v>0</v>
      </c>
      <c r="H119" s="31">
        <f>SUM($Q119:T119)</f>
        <v>0</v>
      </c>
      <c r="I119" s="31">
        <f>SUM($Q119:U119)</f>
        <v>0</v>
      </c>
      <c r="J119" s="31">
        <f>SUM($Q119:V119)</f>
        <v>0</v>
      </c>
      <c r="K119" s="31">
        <f>SUM($Q119:W119)</f>
        <v>0</v>
      </c>
      <c r="L119" s="31">
        <f>SUM($Q119:X119)</f>
        <v>0</v>
      </c>
      <c r="M119" s="31">
        <f>SUM($Q119:Y119)</f>
        <v>0</v>
      </c>
      <c r="N119" s="31">
        <f>SUM($Q119:Z119)</f>
        <v>0</v>
      </c>
      <c r="O119" s="31">
        <f>SUM($Q119:AA119)</f>
        <v>0</v>
      </c>
      <c r="P119" s="31">
        <f>SUM($Q119:AB119)</f>
        <v>0</v>
      </c>
      <c r="Q119" s="53">
        <f>'TB-Jan'!$D$91</f>
        <v>0</v>
      </c>
      <c r="R119" s="53">
        <f>'TB-Feb'!$D$91</f>
        <v>0</v>
      </c>
      <c r="S119" s="53">
        <f>'TB-Mar'!$D$91</f>
        <v>0</v>
      </c>
      <c r="T119" s="53">
        <f>'TB-Apr'!$D$91</f>
        <v>0</v>
      </c>
      <c r="U119" s="53">
        <f>'TB-May'!$D$91</f>
        <v>0</v>
      </c>
      <c r="V119" s="53">
        <f>'TB-Jun'!$D$91</f>
        <v>0</v>
      </c>
      <c r="W119" s="53">
        <f>'TB-Jul'!$D$91</f>
        <v>0</v>
      </c>
      <c r="X119" s="53">
        <f>'TB-Aug'!$D$91</f>
        <v>0</v>
      </c>
      <c r="Y119" s="53">
        <f>'TB-Sep'!$D$91</f>
        <v>0</v>
      </c>
      <c r="Z119" s="53">
        <f>'TB-Oct'!$D$91</f>
        <v>0</v>
      </c>
      <c r="AA119" s="53">
        <f>'TB-Nov'!$D$91</f>
        <v>0</v>
      </c>
      <c r="AB119" s="53">
        <f>'TB-Dec'!$D$91</f>
        <v>0</v>
      </c>
    </row>
    <row r="120" spans="1:28" s="78" customFormat="1" ht="15.75" hidden="1" customHeight="1" outlineLevel="2">
      <c r="A120" s="32"/>
      <c r="B120" s="32"/>
      <c r="C120" s="35" t="s">
        <v>927</v>
      </c>
      <c r="D120" s="32"/>
      <c r="E120" s="31">
        <f t="shared" si="18"/>
        <v>0</v>
      </c>
      <c r="F120" s="31">
        <f>SUM($Q120:R120)</f>
        <v>0</v>
      </c>
      <c r="G120" s="31">
        <f>SUM($Q120:S120)</f>
        <v>0</v>
      </c>
      <c r="H120" s="31">
        <f>SUM($Q120:T120)</f>
        <v>0</v>
      </c>
      <c r="I120" s="31">
        <f>SUM($Q120:U120)</f>
        <v>0</v>
      </c>
      <c r="J120" s="31">
        <f>SUM($Q120:V120)</f>
        <v>0</v>
      </c>
      <c r="K120" s="31">
        <f>SUM($Q120:W120)</f>
        <v>0</v>
      </c>
      <c r="L120" s="31">
        <f>SUM($Q120:X120)</f>
        <v>0</v>
      </c>
      <c r="M120" s="31">
        <f>SUM($Q120:Y120)</f>
        <v>0</v>
      </c>
      <c r="N120" s="31">
        <f>SUM($Q120:Z120)</f>
        <v>0</v>
      </c>
      <c r="O120" s="31">
        <f>SUM($Q120:AA120)</f>
        <v>0</v>
      </c>
      <c r="P120" s="31">
        <f>SUM($Q120:AB120)</f>
        <v>0</v>
      </c>
      <c r="Q120" s="45">
        <f>Q121-Q122</f>
        <v>0</v>
      </c>
      <c r="R120" s="45">
        <f t="shared" ref="R120:AB120" si="36">R121-R122</f>
        <v>0</v>
      </c>
      <c r="S120" s="45">
        <f t="shared" si="36"/>
        <v>0</v>
      </c>
      <c r="T120" s="45">
        <f t="shared" si="36"/>
        <v>0</v>
      </c>
      <c r="U120" s="45">
        <f t="shared" si="36"/>
        <v>0</v>
      </c>
      <c r="V120" s="45">
        <f t="shared" si="36"/>
        <v>0</v>
      </c>
      <c r="W120" s="45">
        <f t="shared" si="36"/>
        <v>0</v>
      </c>
      <c r="X120" s="45">
        <f t="shared" si="36"/>
        <v>0</v>
      </c>
      <c r="Y120" s="45">
        <f t="shared" si="36"/>
        <v>0</v>
      </c>
      <c r="Z120" s="45">
        <f t="shared" si="36"/>
        <v>0</v>
      </c>
      <c r="AA120" s="45">
        <f t="shared" ref="AA120" si="37">AA121-AA122</f>
        <v>0</v>
      </c>
      <c r="AB120" s="45">
        <f t="shared" si="36"/>
        <v>0</v>
      </c>
    </row>
    <row r="121" spans="1:28" s="78" customFormat="1" ht="15.75" hidden="1" customHeight="1" outlineLevel="2">
      <c r="A121" s="32"/>
      <c r="B121" s="32"/>
      <c r="C121" s="32"/>
      <c r="D121" s="35" t="s">
        <v>142</v>
      </c>
      <c r="E121" s="31">
        <f t="shared" si="18"/>
        <v>0</v>
      </c>
      <c r="F121" s="31">
        <f>SUM($Q121:R121)</f>
        <v>0</v>
      </c>
      <c r="G121" s="31">
        <f>SUM($Q121:S121)</f>
        <v>0</v>
      </c>
      <c r="H121" s="31">
        <f>SUM($Q121:T121)</f>
        <v>0</v>
      </c>
      <c r="I121" s="31">
        <f>SUM($Q121:U121)</f>
        <v>0</v>
      </c>
      <c r="J121" s="31">
        <f>SUM($Q121:V121)</f>
        <v>0</v>
      </c>
      <c r="K121" s="31">
        <f>SUM($Q121:W121)</f>
        <v>0</v>
      </c>
      <c r="L121" s="31">
        <f>SUM($Q121:X121)</f>
        <v>0</v>
      </c>
      <c r="M121" s="31">
        <f>SUM($Q121:Y121)</f>
        <v>0</v>
      </c>
      <c r="N121" s="31">
        <f>SUM($Q121:Z121)</f>
        <v>0</v>
      </c>
      <c r="O121" s="31">
        <f>SUM($Q121:AA121)</f>
        <v>0</v>
      </c>
      <c r="P121" s="31">
        <f>SUM($Q121:AB121)</f>
        <v>0</v>
      </c>
      <c r="Q121" s="53">
        <f>'TB-Jan'!$C$92</f>
        <v>0</v>
      </c>
      <c r="R121" s="53">
        <f>'TB-Feb'!$C$92</f>
        <v>0</v>
      </c>
      <c r="S121" s="53">
        <f>'TB-Mar'!$C$92</f>
        <v>0</v>
      </c>
      <c r="T121" s="53">
        <f>'TB-Apr'!$C$92</f>
        <v>0</v>
      </c>
      <c r="U121" s="53">
        <f>'TB-May'!$C$92</f>
        <v>0</v>
      </c>
      <c r="V121" s="53">
        <f>'TB-Jun'!$C$92</f>
        <v>0</v>
      </c>
      <c r="W121" s="53">
        <f>'TB-Jul'!$C$92</f>
        <v>0</v>
      </c>
      <c r="X121" s="53">
        <f>'TB-Aug'!$C$92</f>
        <v>0</v>
      </c>
      <c r="Y121" s="53">
        <f>'TB-Sep'!$C$92</f>
        <v>0</v>
      </c>
      <c r="Z121" s="53">
        <f>'TB-Oct'!$C$92</f>
        <v>0</v>
      </c>
      <c r="AA121" s="53">
        <f>'TB-Nov'!$C$92</f>
        <v>0</v>
      </c>
      <c r="AB121" s="53">
        <f>'TB-Dec'!$C$92</f>
        <v>0</v>
      </c>
    </row>
    <row r="122" spans="1:28" s="78" customFormat="1" ht="15.75" hidden="1" customHeight="1" outlineLevel="2">
      <c r="A122" s="32"/>
      <c r="B122" s="32"/>
      <c r="C122" s="32"/>
      <c r="D122" s="35" t="s">
        <v>144</v>
      </c>
      <c r="E122" s="31">
        <f t="shared" si="18"/>
        <v>0</v>
      </c>
      <c r="F122" s="31">
        <f>SUM($Q122:R122)</f>
        <v>0</v>
      </c>
      <c r="G122" s="31">
        <f>SUM($Q122:S122)</f>
        <v>0</v>
      </c>
      <c r="H122" s="31">
        <f>SUM($Q122:T122)</f>
        <v>0</v>
      </c>
      <c r="I122" s="31">
        <f>SUM($Q122:U122)</f>
        <v>0</v>
      </c>
      <c r="J122" s="31">
        <f>SUM($Q122:V122)</f>
        <v>0</v>
      </c>
      <c r="K122" s="31">
        <f>SUM($Q122:W122)</f>
        <v>0</v>
      </c>
      <c r="L122" s="31">
        <f>SUM($Q122:X122)</f>
        <v>0</v>
      </c>
      <c r="M122" s="31">
        <f>SUM($Q122:Y122)</f>
        <v>0</v>
      </c>
      <c r="N122" s="31">
        <f>SUM($Q122:Z122)</f>
        <v>0</v>
      </c>
      <c r="O122" s="31">
        <f>SUM($Q122:AA122)</f>
        <v>0</v>
      </c>
      <c r="P122" s="31">
        <f>SUM($Q122:AB122)</f>
        <v>0</v>
      </c>
      <c r="Q122" s="53">
        <f>'TB-Jan'!$D$93</f>
        <v>0</v>
      </c>
      <c r="R122" s="53">
        <f>'TB-Feb'!$D$93</f>
        <v>0</v>
      </c>
      <c r="S122" s="53">
        <f>'TB-Mar'!$D$93</f>
        <v>0</v>
      </c>
      <c r="T122" s="53">
        <f>'TB-Apr'!$D$93</f>
        <v>0</v>
      </c>
      <c r="U122" s="53">
        <f>'TB-May'!$D$93</f>
        <v>0</v>
      </c>
      <c r="V122" s="53">
        <f>'TB-Jun'!$D$93</f>
        <v>0</v>
      </c>
      <c r="W122" s="53">
        <f>'TB-Jul'!$D$93</f>
        <v>0</v>
      </c>
      <c r="X122" s="53">
        <f>'TB-Aug'!$D$93</f>
        <v>0</v>
      </c>
      <c r="Y122" s="53">
        <f>'TB-Sep'!$D$93</f>
        <v>0</v>
      </c>
      <c r="Z122" s="53">
        <f>'TB-Oct'!$D$93</f>
        <v>0</v>
      </c>
      <c r="AA122" s="53">
        <f>'TB-Nov'!$D$93</f>
        <v>0</v>
      </c>
      <c r="AB122" s="53">
        <f>'TB-Dec'!$D$93</f>
        <v>0</v>
      </c>
    </row>
    <row r="123" spans="1:28" s="78" customFormat="1" ht="15.75" hidden="1" customHeight="1" outlineLevel="2">
      <c r="A123" s="32"/>
      <c r="B123" s="32"/>
      <c r="C123" s="35" t="s">
        <v>928</v>
      </c>
      <c r="D123" s="32"/>
      <c r="E123" s="31">
        <f t="shared" si="18"/>
        <v>0</v>
      </c>
      <c r="F123" s="31">
        <f>SUM($Q123:R123)</f>
        <v>0</v>
      </c>
      <c r="G123" s="31">
        <f>SUM($Q123:S123)</f>
        <v>0</v>
      </c>
      <c r="H123" s="31">
        <f>SUM($Q123:T123)</f>
        <v>0</v>
      </c>
      <c r="I123" s="31">
        <f>SUM($Q123:U123)</f>
        <v>0</v>
      </c>
      <c r="J123" s="31">
        <f>SUM($Q123:V123)</f>
        <v>0</v>
      </c>
      <c r="K123" s="31">
        <f>SUM($Q123:W123)</f>
        <v>0</v>
      </c>
      <c r="L123" s="31">
        <f>SUM($Q123:X123)</f>
        <v>0</v>
      </c>
      <c r="M123" s="31">
        <f>SUM($Q123:Y123)</f>
        <v>0</v>
      </c>
      <c r="N123" s="31">
        <f>SUM($Q123:Z123)</f>
        <v>0</v>
      </c>
      <c r="O123" s="31">
        <f>SUM($Q123:AA123)</f>
        <v>0</v>
      </c>
      <c r="P123" s="31">
        <f>SUM($Q123:AB123)</f>
        <v>0</v>
      </c>
      <c r="Q123" s="45">
        <f>Q124-Q125</f>
        <v>0</v>
      </c>
      <c r="R123" s="45">
        <f t="shared" ref="R123:AB123" si="38">R124-R125</f>
        <v>0</v>
      </c>
      <c r="S123" s="45">
        <f t="shared" si="38"/>
        <v>0</v>
      </c>
      <c r="T123" s="45">
        <f t="shared" si="38"/>
        <v>0</v>
      </c>
      <c r="U123" s="45">
        <f t="shared" si="38"/>
        <v>0</v>
      </c>
      <c r="V123" s="45">
        <f t="shared" si="38"/>
        <v>0</v>
      </c>
      <c r="W123" s="45">
        <f t="shared" si="38"/>
        <v>0</v>
      </c>
      <c r="X123" s="45">
        <f t="shared" si="38"/>
        <v>0</v>
      </c>
      <c r="Y123" s="45">
        <f t="shared" si="38"/>
        <v>0</v>
      </c>
      <c r="Z123" s="45">
        <f t="shared" si="38"/>
        <v>0</v>
      </c>
      <c r="AA123" s="45">
        <f t="shared" ref="AA123" si="39">AA124-AA125</f>
        <v>0</v>
      </c>
      <c r="AB123" s="45">
        <f t="shared" si="38"/>
        <v>0</v>
      </c>
    </row>
    <row r="124" spans="1:28" s="78" customFormat="1" ht="15.75" hidden="1" customHeight="1" outlineLevel="2">
      <c r="A124" s="32"/>
      <c r="B124" s="32"/>
      <c r="C124" s="32"/>
      <c r="D124" s="35" t="s">
        <v>146</v>
      </c>
      <c r="E124" s="31">
        <f t="shared" si="18"/>
        <v>0</v>
      </c>
      <c r="F124" s="31">
        <f>SUM($Q124:R124)</f>
        <v>0</v>
      </c>
      <c r="G124" s="31">
        <f>SUM($Q124:S124)</f>
        <v>0</v>
      </c>
      <c r="H124" s="31">
        <f>SUM($Q124:T124)</f>
        <v>0</v>
      </c>
      <c r="I124" s="31">
        <f>SUM($Q124:U124)</f>
        <v>0</v>
      </c>
      <c r="J124" s="31">
        <f>SUM($Q124:V124)</f>
        <v>0</v>
      </c>
      <c r="K124" s="31">
        <f>SUM($Q124:W124)</f>
        <v>0</v>
      </c>
      <c r="L124" s="31">
        <f>SUM($Q124:X124)</f>
        <v>0</v>
      </c>
      <c r="M124" s="31">
        <f>SUM($Q124:Y124)</f>
        <v>0</v>
      </c>
      <c r="N124" s="31">
        <f>SUM($Q124:Z124)</f>
        <v>0</v>
      </c>
      <c r="O124" s="31">
        <f>SUM($Q124:AA124)</f>
        <v>0</v>
      </c>
      <c r="P124" s="31">
        <f>SUM($Q124:AB124)</f>
        <v>0</v>
      </c>
      <c r="Q124" s="53">
        <f>'TB-Jan'!$C$94</f>
        <v>0</v>
      </c>
      <c r="R124" s="53">
        <f>'TB-Feb'!$C$94</f>
        <v>0</v>
      </c>
      <c r="S124" s="53">
        <f>'TB-Mar'!$C$94</f>
        <v>0</v>
      </c>
      <c r="T124" s="53">
        <f>'TB-Apr'!$C$94</f>
        <v>0</v>
      </c>
      <c r="U124" s="53">
        <f>'TB-May'!$C$94</f>
        <v>0</v>
      </c>
      <c r="V124" s="53">
        <f>'TB-Jun'!$C$94</f>
        <v>0</v>
      </c>
      <c r="W124" s="53">
        <f>'TB-Jul'!$C$94</f>
        <v>0</v>
      </c>
      <c r="X124" s="53">
        <f>'TB-Aug'!$C$94</f>
        <v>0</v>
      </c>
      <c r="Y124" s="53">
        <f>'TB-Sep'!$C$94</f>
        <v>0</v>
      </c>
      <c r="Z124" s="53">
        <f>'TB-Oct'!$C$94</f>
        <v>0</v>
      </c>
      <c r="AA124" s="53">
        <f>'TB-Nov'!$C$94</f>
        <v>0</v>
      </c>
      <c r="AB124" s="53">
        <f>'TB-Dec'!$C$94</f>
        <v>0</v>
      </c>
    </row>
    <row r="125" spans="1:28" s="78" customFormat="1" ht="15.75" hidden="1" customHeight="1" outlineLevel="2">
      <c r="A125" s="32"/>
      <c r="B125" s="32"/>
      <c r="C125" s="32"/>
      <c r="D125" s="35" t="s">
        <v>148</v>
      </c>
      <c r="E125" s="31">
        <f t="shared" si="18"/>
        <v>0</v>
      </c>
      <c r="F125" s="31">
        <f>SUM($Q125:R125)</f>
        <v>0</v>
      </c>
      <c r="G125" s="31">
        <f>SUM($Q125:S125)</f>
        <v>0</v>
      </c>
      <c r="H125" s="31">
        <f>SUM($Q125:T125)</f>
        <v>0</v>
      </c>
      <c r="I125" s="31">
        <f>SUM($Q125:U125)</f>
        <v>0</v>
      </c>
      <c r="J125" s="31">
        <f>SUM($Q125:V125)</f>
        <v>0</v>
      </c>
      <c r="K125" s="31">
        <f>SUM($Q125:W125)</f>
        <v>0</v>
      </c>
      <c r="L125" s="31">
        <f>SUM($Q125:X125)</f>
        <v>0</v>
      </c>
      <c r="M125" s="31">
        <f>SUM($Q125:Y125)</f>
        <v>0</v>
      </c>
      <c r="N125" s="31">
        <f>SUM($Q125:Z125)</f>
        <v>0</v>
      </c>
      <c r="O125" s="31">
        <f>SUM($Q125:AA125)</f>
        <v>0</v>
      </c>
      <c r="P125" s="31">
        <f>SUM($Q125:AB125)</f>
        <v>0</v>
      </c>
      <c r="Q125" s="53">
        <f>'TB-Jan'!$D$95</f>
        <v>0</v>
      </c>
      <c r="R125" s="53">
        <f>'TB-Feb'!$D$95</f>
        <v>0</v>
      </c>
      <c r="S125" s="53">
        <f>'TB-Mar'!$D$95</f>
        <v>0</v>
      </c>
      <c r="T125" s="53">
        <f>'TB-Apr'!$D$95</f>
        <v>0</v>
      </c>
      <c r="U125" s="53">
        <f>'TB-May'!$D$95</f>
        <v>0</v>
      </c>
      <c r="V125" s="53">
        <f>'TB-Jun'!$D$95</f>
        <v>0</v>
      </c>
      <c r="W125" s="53">
        <f>'TB-Jul'!$D$95</f>
        <v>0</v>
      </c>
      <c r="X125" s="53">
        <f>'TB-Aug'!$D$95</f>
        <v>0</v>
      </c>
      <c r="Y125" s="53">
        <f>'TB-Sep'!$D$95</f>
        <v>0</v>
      </c>
      <c r="Z125" s="53">
        <f>'TB-Oct'!$D$95</f>
        <v>0</v>
      </c>
      <c r="AA125" s="53">
        <f>'TB-Nov'!$D$95</f>
        <v>0</v>
      </c>
      <c r="AB125" s="53">
        <f>'TB-Dec'!$D$95</f>
        <v>0</v>
      </c>
    </row>
    <row r="126" spans="1:28" s="78" customFormat="1" ht="15.75" hidden="1" customHeight="1" outlineLevel="2">
      <c r="A126" s="32"/>
      <c r="B126" s="32"/>
      <c r="C126" s="35" t="s">
        <v>929</v>
      </c>
      <c r="D126" s="32"/>
      <c r="E126" s="31">
        <f t="shared" si="18"/>
        <v>0</v>
      </c>
      <c r="F126" s="31">
        <f>SUM($Q126:R126)</f>
        <v>0</v>
      </c>
      <c r="G126" s="31">
        <f>SUM($Q126:S126)</f>
        <v>0</v>
      </c>
      <c r="H126" s="31">
        <f>SUM($Q126:T126)</f>
        <v>0</v>
      </c>
      <c r="I126" s="31">
        <f>SUM($Q126:U126)</f>
        <v>0</v>
      </c>
      <c r="J126" s="31">
        <f>SUM($Q126:V126)</f>
        <v>0</v>
      </c>
      <c r="K126" s="31">
        <f>SUM($Q126:W126)</f>
        <v>0</v>
      </c>
      <c r="L126" s="31">
        <f>SUM($Q126:X126)</f>
        <v>0</v>
      </c>
      <c r="M126" s="31">
        <f>SUM($Q126:Y126)</f>
        <v>0</v>
      </c>
      <c r="N126" s="31">
        <f>SUM($Q126:Z126)</f>
        <v>0</v>
      </c>
      <c r="O126" s="31">
        <f>SUM($Q126:AA126)</f>
        <v>0</v>
      </c>
      <c r="P126" s="31">
        <f>SUM($Q126:AB126)</f>
        <v>0</v>
      </c>
      <c r="Q126" s="45">
        <f>Q127-Q128</f>
        <v>0</v>
      </c>
      <c r="R126" s="45">
        <f t="shared" ref="R126:AB126" si="40">R127-R128</f>
        <v>0</v>
      </c>
      <c r="S126" s="45">
        <f t="shared" si="40"/>
        <v>0</v>
      </c>
      <c r="T126" s="45">
        <f t="shared" si="40"/>
        <v>0</v>
      </c>
      <c r="U126" s="45">
        <f t="shared" si="40"/>
        <v>0</v>
      </c>
      <c r="V126" s="45">
        <f t="shared" si="40"/>
        <v>0</v>
      </c>
      <c r="W126" s="45">
        <f t="shared" si="40"/>
        <v>0</v>
      </c>
      <c r="X126" s="45">
        <f t="shared" si="40"/>
        <v>0</v>
      </c>
      <c r="Y126" s="45">
        <f t="shared" si="40"/>
        <v>0</v>
      </c>
      <c r="Z126" s="45">
        <f t="shared" si="40"/>
        <v>0</v>
      </c>
      <c r="AA126" s="45">
        <f t="shared" ref="AA126" si="41">AA127-AA128</f>
        <v>0</v>
      </c>
      <c r="AB126" s="45">
        <f t="shared" si="40"/>
        <v>0</v>
      </c>
    </row>
    <row r="127" spans="1:28" s="78" customFormat="1" ht="15.75" hidden="1" customHeight="1" outlineLevel="2">
      <c r="A127" s="32"/>
      <c r="B127" s="32"/>
      <c r="C127" s="32"/>
      <c r="D127" s="35" t="s">
        <v>150</v>
      </c>
      <c r="E127" s="31">
        <f t="shared" si="18"/>
        <v>0</v>
      </c>
      <c r="F127" s="31">
        <f>SUM($Q127:R127)</f>
        <v>0</v>
      </c>
      <c r="G127" s="31">
        <f>SUM($Q127:S127)</f>
        <v>0</v>
      </c>
      <c r="H127" s="31">
        <f>SUM($Q127:T127)</f>
        <v>0</v>
      </c>
      <c r="I127" s="31">
        <f>SUM($Q127:U127)</f>
        <v>0</v>
      </c>
      <c r="J127" s="31">
        <f>SUM($Q127:V127)</f>
        <v>0</v>
      </c>
      <c r="K127" s="31">
        <f>SUM($Q127:W127)</f>
        <v>0</v>
      </c>
      <c r="L127" s="31">
        <f>SUM($Q127:X127)</f>
        <v>0</v>
      </c>
      <c r="M127" s="31">
        <f>SUM($Q127:Y127)</f>
        <v>0</v>
      </c>
      <c r="N127" s="31">
        <f>SUM($Q127:Z127)</f>
        <v>0</v>
      </c>
      <c r="O127" s="31">
        <f>SUM($Q127:AA127)</f>
        <v>0</v>
      </c>
      <c r="P127" s="31">
        <f>SUM($Q127:AB127)</f>
        <v>0</v>
      </c>
      <c r="Q127" s="53">
        <f>'TB-Jan'!$C$96</f>
        <v>0</v>
      </c>
      <c r="R127" s="53">
        <f>'TB-Feb'!$C$96</f>
        <v>0</v>
      </c>
      <c r="S127" s="53">
        <f>'TB-Mar'!$C$96</f>
        <v>0</v>
      </c>
      <c r="T127" s="53">
        <f>'TB-Apr'!$C$96</f>
        <v>0</v>
      </c>
      <c r="U127" s="53">
        <f>'TB-May'!$C$96</f>
        <v>0</v>
      </c>
      <c r="V127" s="53">
        <f>'TB-Jun'!$C$96</f>
        <v>0</v>
      </c>
      <c r="W127" s="53">
        <f>'TB-Jul'!$C$96</f>
        <v>0</v>
      </c>
      <c r="X127" s="53">
        <f>'TB-Aug'!$C$96</f>
        <v>0</v>
      </c>
      <c r="Y127" s="53">
        <f>'TB-Sep'!$C$96</f>
        <v>0</v>
      </c>
      <c r="Z127" s="53">
        <f>'TB-Oct'!$C$96</f>
        <v>0</v>
      </c>
      <c r="AA127" s="53">
        <f>'TB-Nov'!$C$96</f>
        <v>0</v>
      </c>
      <c r="AB127" s="53">
        <f>'TB-Dec'!$C$96</f>
        <v>0</v>
      </c>
    </row>
    <row r="128" spans="1:28" s="78" customFormat="1" ht="15.75" hidden="1" customHeight="1" outlineLevel="2">
      <c r="A128" s="32"/>
      <c r="B128" s="32"/>
      <c r="C128" s="32"/>
      <c r="D128" s="35" t="s">
        <v>152</v>
      </c>
      <c r="E128" s="31">
        <f t="shared" si="18"/>
        <v>0</v>
      </c>
      <c r="F128" s="31">
        <f>SUM($Q128:R128)</f>
        <v>0</v>
      </c>
      <c r="G128" s="31">
        <f>SUM($Q128:S128)</f>
        <v>0</v>
      </c>
      <c r="H128" s="31">
        <f>SUM($Q128:T128)</f>
        <v>0</v>
      </c>
      <c r="I128" s="31">
        <f>SUM($Q128:U128)</f>
        <v>0</v>
      </c>
      <c r="J128" s="31">
        <f>SUM($Q128:V128)</f>
        <v>0</v>
      </c>
      <c r="K128" s="31">
        <f>SUM($Q128:W128)</f>
        <v>0</v>
      </c>
      <c r="L128" s="31">
        <f>SUM($Q128:X128)</f>
        <v>0</v>
      </c>
      <c r="M128" s="31">
        <f>SUM($Q128:Y128)</f>
        <v>0</v>
      </c>
      <c r="N128" s="31">
        <f>SUM($Q128:Z128)</f>
        <v>0</v>
      </c>
      <c r="O128" s="31">
        <f>SUM($Q128:AA128)</f>
        <v>0</v>
      </c>
      <c r="P128" s="31">
        <f>SUM($Q128:AB128)</f>
        <v>0</v>
      </c>
      <c r="Q128" s="53">
        <f>'TB-Jan'!$D$97</f>
        <v>0</v>
      </c>
      <c r="R128" s="53">
        <f>'TB-Feb'!$D$97</f>
        <v>0</v>
      </c>
      <c r="S128" s="53">
        <f>'TB-Mar'!$D$97</f>
        <v>0</v>
      </c>
      <c r="T128" s="53">
        <f>'TB-Apr'!$D$97</f>
        <v>0</v>
      </c>
      <c r="U128" s="53">
        <f>'TB-May'!$D$97</f>
        <v>0</v>
      </c>
      <c r="V128" s="53">
        <f>'TB-Jun'!$D$97</f>
        <v>0</v>
      </c>
      <c r="W128" s="53">
        <f>'TB-Jul'!$D$97</f>
        <v>0</v>
      </c>
      <c r="X128" s="53">
        <f>'TB-Aug'!$D$97</f>
        <v>0</v>
      </c>
      <c r="Y128" s="53">
        <f>'TB-Sep'!$D$97</f>
        <v>0</v>
      </c>
      <c r="Z128" s="53">
        <f>'TB-Oct'!$D$97</f>
        <v>0</v>
      </c>
      <c r="AA128" s="53">
        <f>'TB-Nov'!$D$97</f>
        <v>0</v>
      </c>
      <c r="AB128" s="53">
        <f>'TB-Dec'!$D$97</f>
        <v>0</v>
      </c>
    </row>
    <row r="129" spans="1:28" s="78" customFormat="1" ht="15.75" hidden="1" customHeight="1" outlineLevel="1">
      <c r="A129" s="32"/>
      <c r="B129" s="32" t="s">
        <v>930</v>
      </c>
      <c r="C129" s="32"/>
      <c r="D129" s="35"/>
      <c r="E129" s="59">
        <f t="shared" si="18"/>
        <v>0</v>
      </c>
      <c r="F129" s="59">
        <f>SUM($Q129:R129)</f>
        <v>0</v>
      </c>
      <c r="G129" s="59">
        <f>SUM($Q129:S129)</f>
        <v>0</v>
      </c>
      <c r="H129" s="59">
        <f>SUM($Q129:T129)</f>
        <v>0</v>
      </c>
      <c r="I129" s="59">
        <f>SUM($Q129:U129)</f>
        <v>0</v>
      </c>
      <c r="J129" s="59">
        <f>SUM($Q129:V129)</f>
        <v>0</v>
      </c>
      <c r="K129" s="59">
        <f>SUM($Q129:W129)</f>
        <v>0</v>
      </c>
      <c r="L129" s="59">
        <f>SUM($Q129:X129)</f>
        <v>0</v>
      </c>
      <c r="M129" s="59">
        <f>SUM($Q129:Y129)</f>
        <v>0</v>
      </c>
      <c r="N129" s="59">
        <f>SUM($Q129:Z129)</f>
        <v>0</v>
      </c>
      <c r="O129" s="59">
        <f>SUM($Q129:AA129)</f>
        <v>0</v>
      </c>
      <c r="P129" s="59">
        <f>SUM($Q129:AB129)</f>
        <v>0</v>
      </c>
      <c r="Q129" s="57">
        <f>SUM(Q130,Q133,Q136)</f>
        <v>0</v>
      </c>
      <c r="R129" s="57">
        <f t="shared" ref="R129:AB129" si="42">SUM(R130,R133,R136)</f>
        <v>0</v>
      </c>
      <c r="S129" s="57">
        <f t="shared" si="42"/>
        <v>0</v>
      </c>
      <c r="T129" s="57">
        <f t="shared" si="42"/>
        <v>0</v>
      </c>
      <c r="U129" s="57">
        <f t="shared" si="42"/>
        <v>0</v>
      </c>
      <c r="V129" s="57">
        <f t="shared" si="42"/>
        <v>0</v>
      </c>
      <c r="W129" s="57">
        <f t="shared" si="42"/>
        <v>0</v>
      </c>
      <c r="X129" s="57">
        <f t="shared" si="42"/>
        <v>0</v>
      </c>
      <c r="Y129" s="57">
        <f t="shared" si="42"/>
        <v>0</v>
      </c>
      <c r="Z129" s="57">
        <f t="shared" si="42"/>
        <v>0</v>
      </c>
      <c r="AA129" s="57">
        <f t="shared" si="42"/>
        <v>0</v>
      </c>
      <c r="AB129" s="57">
        <f t="shared" si="42"/>
        <v>0</v>
      </c>
    </row>
    <row r="130" spans="1:28" s="78" customFormat="1" ht="15.75" hidden="1" customHeight="1" outlineLevel="2">
      <c r="A130" s="32"/>
      <c r="B130" s="32"/>
      <c r="C130" s="35" t="s">
        <v>931</v>
      </c>
      <c r="D130" s="32"/>
      <c r="E130" s="31">
        <f t="shared" si="18"/>
        <v>0</v>
      </c>
      <c r="F130" s="31">
        <f>SUM($Q130:R130)</f>
        <v>0</v>
      </c>
      <c r="G130" s="31">
        <f>SUM($Q130:S130)</f>
        <v>0</v>
      </c>
      <c r="H130" s="31">
        <f>SUM($Q130:T130)</f>
        <v>0</v>
      </c>
      <c r="I130" s="31">
        <f>SUM($Q130:U130)</f>
        <v>0</v>
      </c>
      <c r="J130" s="31">
        <f>SUM($Q130:V130)</f>
        <v>0</v>
      </c>
      <c r="K130" s="31">
        <f>SUM($Q130:W130)</f>
        <v>0</v>
      </c>
      <c r="L130" s="31">
        <f>SUM($Q130:X130)</f>
        <v>0</v>
      </c>
      <c r="M130" s="31">
        <f>SUM($Q130:Y130)</f>
        <v>0</v>
      </c>
      <c r="N130" s="31">
        <f>SUM($Q130:Z130)</f>
        <v>0</v>
      </c>
      <c r="O130" s="31">
        <f>SUM($Q130:AA130)</f>
        <v>0</v>
      </c>
      <c r="P130" s="31">
        <f>SUM($Q130:AB130)</f>
        <v>0</v>
      </c>
      <c r="Q130" s="45">
        <f>Q131-Q132</f>
        <v>0</v>
      </c>
      <c r="R130" s="45">
        <f t="shared" ref="R130:AB130" si="43">R131-R132</f>
        <v>0</v>
      </c>
      <c r="S130" s="45">
        <f t="shared" si="43"/>
        <v>0</v>
      </c>
      <c r="T130" s="45">
        <f t="shared" si="43"/>
        <v>0</v>
      </c>
      <c r="U130" s="45">
        <f t="shared" si="43"/>
        <v>0</v>
      </c>
      <c r="V130" s="45">
        <f t="shared" si="43"/>
        <v>0</v>
      </c>
      <c r="W130" s="45">
        <f t="shared" si="43"/>
        <v>0</v>
      </c>
      <c r="X130" s="45">
        <f t="shared" si="43"/>
        <v>0</v>
      </c>
      <c r="Y130" s="45">
        <f t="shared" si="43"/>
        <v>0</v>
      </c>
      <c r="Z130" s="45">
        <f t="shared" si="43"/>
        <v>0</v>
      </c>
      <c r="AA130" s="45">
        <f t="shared" ref="AA130" si="44">AA131-AA132</f>
        <v>0</v>
      </c>
      <c r="AB130" s="45">
        <f t="shared" si="43"/>
        <v>0</v>
      </c>
    </row>
    <row r="131" spans="1:28" s="78" customFormat="1" ht="15.75" hidden="1" customHeight="1" outlineLevel="2">
      <c r="A131" s="32"/>
      <c r="B131" s="32"/>
      <c r="C131" s="32"/>
      <c r="D131" s="35" t="s">
        <v>154</v>
      </c>
      <c r="E131" s="31">
        <f t="shared" si="18"/>
        <v>0</v>
      </c>
      <c r="F131" s="31">
        <f>SUM($Q131:R131)</f>
        <v>0</v>
      </c>
      <c r="G131" s="31">
        <f>SUM($Q131:S131)</f>
        <v>0</v>
      </c>
      <c r="H131" s="31">
        <f>SUM($Q131:T131)</f>
        <v>0</v>
      </c>
      <c r="I131" s="31">
        <f>SUM($Q131:U131)</f>
        <v>0</v>
      </c>
      <c r="J131" s="31">
        <f>SUM($Q131:V131)</f>
        <v>0</v>
      </c>
      <c r="K131" s="31">
        <f>SUM($Q131:W131)</f>
        <v>0</v>
      </c>
      <c r="L131" s="31">
        <f>SUM($Q131:X131)</f>
        <v>0</v>
      </c>
      <c r="M131" s="31">
        <f>SUM($Q131:Y131)</f>
        <v>0</v>
      </c>
      <c r="N131" s="31">
        <f>SUM($Q131:Z131)</f>
        <v>0</v>
      </c>
      <c r="O131" s="31">
        <f>SUM($Q131:AA131)</f>
        <v>0</v>
      </c>
      <c r="P131" s="31">
        <f>SUM($Q131:AB131)</f>
        <v>0</v>
      </c>
      <c r="Q131" s="53">
        <f>'TB-Jan'!$C$98</f>
        <v>0</v>
      </c>
      <c r="R131" s="53">
        <f>'TB-Feb'!$C$98</f>
        <v>0</v>
      </c>
      <c r="S131" s="53">
        <f>'TB-Mar'!$C$98</f>
        <v>0</v>
      </c>
      <c r="T131" s="53">
        <f>'TB-Apr'!$C$98</f>
        <v>0</v>
      </c>
      <c r="U131" s="53">
        <f>'TB-May'!$C$98</f>
        <v>0</v>
      </c>
      <c r="V131" s="53">
        <f>'TB-Jun'!$C$98</f>
        <v>0</v>
      </c>
      <c r="W131" s="53">
        <f>'TB-Jul'!$C$98</f>
        <v>0</v>
      </c>
      <c r="X131" s="53">
        <f>'TB-Aug'!$C$98</f>
        <v>0</v>
      </c>
      <c r="Y131" s="53">
        <f>'TB-Sep'!$C$98</f>
        <v>0</v>
      </c>
      <c r="Z131" s="53">
        <f>'TB-Oct'!$C$98</f>
        <v>0</v>
      </c>
      <c r="AA131" s="53">
        <f>'TB-Nov'!$C$98</f>
        <v>0</v>
      </c>
      <c r="AB131" s="53">
        <f>'TB-Dec'!$C$98</f>
        <v>0</v>
      </c>
    </row>
    <row r="132" spans="1:28" s="78" customFormat="1" ht="15.75" hidden="1" customHeight="1" outlineLevel="2">
      <c r="A132" s="32"/>
      <c r="B132" s="32"/>
      <c r="C132" s="32"/>
      <c r="D132" s="35" t="s">
        <v>156</v>
      </c>
      <c r="E132" s="31">
        <f t="shared" si="18"/>
        <v>0</v>
      </c>
      <c r="F132" s="31">
        <f>SUM($Q132:R132)</f>
        <v>0</v>
      </c>
      <c r="G132" s="31">
        <f>SUM($Q132:S132)</f>
        <v>0</v>
      </c>
      <c r="H132" s="31">
        <f>SUM($Q132:T132)</f>
        <v>0</v>
      </c>
      <c r="I132" s="31">
        <f>SUM($Q132:U132)</f>
        <v>0</v>
      </c>
      <c r="J132" s="31">
        <f>SUM($Q132:V132)</f>
        <v>0</v>
      </c>
      <c r="K132" s="31">
        <f>SUM($Q132:W132)</f>
        <v>0</v>
      </c>
      <c r="L132" s="31">
        <f>SUM($Q132:X132)</f>
        <v>0</v>
      </c>
      <c r="M132" s="31">
        <f>SUM($Q132:Y132)</f>
        <v>0</v>
      </c>
      <c r="N132" s="31">
        <f>SUM($Q132:Z132)</f>
        <v>0</v>
      </c>
      <c r="O132" s="31">
        <f>SUM($Q132:AA132)</f>
        <v>0</v>
      </c>
      <c r="P132" s="31">
        <f>SUM($Q132:AB132)</f>
        <v>0</v>
      </c>
      <c r="Q132" s="53">
        <f>'TB-Jan'!$D$99</f>
        <v>0</v>
      </c>
      <c r="R132" s="53">
        <f>'TB-Feb'!$D$99</f>
        <v>0</v>
      </c>
      <c r="S132" s="53">
        <f>'TB-Mar'!$D$99</f>
        <v>0</v>
      </c>
      <c r="T132" s="53">
        <f>'TB-Apr'!$D$99</f>
        <v>0</v>
      </c>
      <c r="U132" s="53">
        <f>'TB-May'!$D$99</f>
        <v>0</v>
      </c>
      <c r="V132" s="53">
        <f>'TB-Jun'!$D$99</f>
        <v>0</v>
      </c>
      <c r="W132" s="53">
        <f>'TB-Jul'!$D$99</f>
        <v>0</v>
      </c>
      <c r="X132" s="53">
        <f>'TB-Aug'!$D$99</f>
        <v>0</v>
      </c>
      <c r="Y132" s="53">
        <f>'TB-Sep'!$D$99</f>
        <v>0</v>
      </c>
      <c r="Z132" s="53">
        <f>'TB-Oct'!$D$99</f>
        <v>0</v>
      </c>
      <c r="AA132" s="53">
        <f>'TB-Nov'!$D$99</f>
        <v>0</v>
      </c>
      <c r="AB132" s="53">
        <f>'TB-Dec'!$D$99</f>
        <v>0</v>
      </c>
    </row>
    <row r="133" spans="1:28" s="78" customFormat="1" ht="15.75" hidden="1" customHeight="1" outlineLevel="2">
      <c r="A133" s="32"/>
      <c r="B133" s="32"/>
      <c r="C133" s="35" t="s">
        <v>932</v>
      </c>
      <c r="D133" s="32"/>
      <c r="E133" s="31">
        <f t="shared" si="18"/>
        <v>0</v>
      </c>
      <c r="F133" s="31">
        <f>SUM($Q133:R133)</f>
        <v>0</v>
      </c>
      <c r="G133" s="31">
        <f>SUM($Q133:S133)</f>
        <v>0</v>
      </c>
      <c r="H133" s="31">
        <f>SUM($Q133:T133)</f>
        <v>0</v>
      </c>
      <c r="I133" s="31">
        <f>SUM($Q133:U133)</f>
        <v>0</v>
      </c>
      <c r="J133" s="31">
        <f>SUM($Q133:V133)</f>
        <v>0</v>
      </c>
      <c r="K133" s="31">
        <f>SUM($Q133:W133)</f>
        <v>0</v>
      </c>
      <c r="L133" s="31">
        <f>SUM($Q133:X133)</f>
        <v>0</v>
      </c>
      <c r="M133" s="31">
        <f>SUM($Q133:Y133)</f>
        <v>0</v>
      </c>
      <c r="N133" s="31">
        <f>SUM($Q133:Z133)</f>
        <v>0</v>
      </c>
      <c r="O133" s="31">
        <f>SUM($Q133:AA133)</f>
        <v>0</v>
      </c>
      <c r="P133" s="31">
        <f>SUM($Q133:AB133)</f>
        <v>0</v>
      </c>
      <c r="Q133" s="45">
        <f>Q134-Q135</f>
        <v>0</v>
      </c>
      <c r="R133" s="45">
        <f t="shared" ref="R133:AB133" si="45">R134-R135</f>
        <v>0</v>
      </c>
      <c r="S133" s="45">
        <f t="shared" si="45"/>
        <v>0</v>
      </c>
      <c r="T133" s="45">
        <f t="shared" si="45"/>
        <v>0</v>
      </c>
      <c r="U133" s="45">
        <f t="shared" si="45"/>
        <v>0</v>
      </c>
      <c r="V133" s="45">
        <f t="shared" si="45"/>
        <v>0</v>
      </c>
      <c r="W133" s="45">
        <f t="shared" si="45"/>
        <v>0</v>
      </c>
      <c r="X133" s="45">
        <f t="shared" si="45"/>
        <v>0</v>
      </c>
      <c r="Y133" s="45">
        <f t="shared" si="45"/>
        <v>0</v>
      </c>
      <c r="Z133" s="45">
        <f t="shared" si="45"/>
        <v>0</v>
      </c>
      <c r="AA133" s="45">
        <f t="shared" ref="AA133" si="46">AA134-AA135</f>
        <v>0</v>
      </c>
      <c r="AB133" s="45">
        <f t="shared" si="45"/>
        <v>0</v>
      </c>
    </row>
    <row r="134" spans="1:28" s="78" customFormat="1" ht="15.75" hidden="1" customHeight="1" outlineLevel="2">
      <c r="A134" s="32"/>
      <c r="B134" s="32"/>
      <c r="C134" s="32"/>
      <c r="D134" s="35" t="s">
        <v>158</v>
      </c>
      <c r="E134" s="31">
        <f t="shared" si="18"/>
        <v>0</v>
      </c>
      <c r="F134" s="31">
        <f>SUM($Q134:R134)</f>
        <v>0</v>
      </c>
      <c r="G134" s="31">
        <f>SUM($Q134:S134)</f>
        <v>0</v>
      </c>
      <c r="H134" s="31">
        <f>SUM($Q134:T134)</f>
        <v>0</v>
      </c>
      <c r="I134" s="31">
        <f>SUM($Q134:U134)</f>
        <v>0</v>
      </c>
      <c r="J134" s="31">
        <f>SUM($Q134:V134)</f>
        <v>0</v>
      </c>
      <c r="K134" s="31">
        <f>SUM($Q134:W134)</f>
        <v>0</v>
      </c>
      <c r="L134" s="31">
        <f>SUM($Q134:X134)</f>
        <v>0</v>
      </c>
      <c r="M134" s="31">
        <f>SUM($Q134:Y134)</f>
        <v>0</v>
      </c>
      <c r="N134" s="31">
        <f>SUM($Q134:Z134)</f>
        <v>0</v>
      </c>
      <c r="O134" s="31">
        <f>SUM($Q134:AA134)</f>
        <v>0</v>
      </c>
      <c r="P134" s="31">
        <f>SUM($Q134:AB134)</f>
        <v>0</v>
      </c>
      <c r="Q134" s="53">
        <f>'TB-Jan'!$C$100</f>
        <v>0</v>
      </c>
      <c r="R134" s="53">
        <f>'TB-Feb'!$C$100</f>
        <v>0</v>
      </c>
      <c r="S134" s="53">
        <f>'TB-Mar'!$C$100</f>
        <v>0</v>
      </c>
      <c r="T134" s="53">
        <f>'TB-Apr'!$C$100</f>
        <v>0</v>
      </c>
      <c r="U134" s="53">
        <f>'TB-May'!$C$100</f>
        <v>0</v>
      </c>
      <c r="V134" s="53">
        <f>'TB-Jun'!$C$100</f>
        <v>0</v>
      </c>
      <c r="W134" s="53">
        <f>'TB-Jul'!$C$100</f>
        <v>0</v>
      </c>
      <c r="X134" s="53">
        <f>'TB-Aug'!$C$100</f>
        <v>0</v>
      </c>
      <c r="Y134" s="53">
        <f>'TB-Sep'!$C$100</f>
        <v>0</v>
      </c>
      <c r="Z134" s="53">
        <f>'TB-Oct'!$C$100</f>
        <v>0</v>
      </c>
      <c r="AA134" s="53">
        <f>'TB-Nov'!$C$100</f>
        <v>0</v>
      </c>
      <c r="AB134" s="53">
        <f>'TB-Dec'!$C$100</f>
        <v>0</v>
      </c>
    </row>
    <row r="135" spans="1:28" s="78" customFormat="1" ht="15.75" hidden="1" customHeight="1" outlineLevel="2">
      <c r="A135" s="32"/>
      <c r="B135" s="32"/>
      <c r="C135" s="32"/>
      <c r="D135" s="35" t="s">
        <v>160</v>
      </c>
      <c r="E135" s="31">
        <f t="shared" si="18"/>
        <v>0</v>
      </c>
      <c r="F135" s="31">
        <f>SUM($Q135:R135)</f>
        <v>0</v>
      </c>
      <c r="G135" s="31">
        <f>SUM($Q135:S135)</f>
        <v>0</v>
      </c>
      <c r="H135" s="31">
        <f>SUM($Q135:T135)</f>
        <v>0</v>
      </c>
      <c r="I135" s="31">
        <f>SUM($Q135:U135)</f>
        <v>0</v>
      </c>
      <c r="J135" s="31">
        <f>SUM($Q135:V135)</f>
        <v>0</v>
      </c>
      <c r="K135" s="31">
        <f>SUM($Q135:W135)</f>
        <v>0</v>
      </c>
      <c r="L135" s="31">
        <f>SUM($Q135:X135)</f>
        <v>0</v>
      </c>
      <c r="M135" s="31">
        <f>SUM($Q135:Y135)</f>
        <v>0</v>
      </c>
      <c r="N135" s="31">
        <f>SUM($Q135:Z135)</f>
        <v>0</v>
      </c>
      <c r="O135" s="31">
        <f>SUM($Q135:AA135)</f>
        <v>0</v>
      </c>
      <c r="P135" s="31">
        <f>SUM($Q135:AB135)</f>
        <v>0</v>
      </c>
      <c r="Q135" s="53">
        <f>'TB-Jan'!$D$99</f>
        <v>0</v>
      </c>
      <c r="R135" s="53">
        <f>'TB-Feb'!$D$99</f>
        <v>0</v>
      </c>
      <c r="S135" s="53">
        <f>'TB-Mar'!$D$99</f>
        <v>0</v>
      </c>
      <c r="T135" s="53">
        <f>'TB-Apr'!$D$99</f>
        <v>0</v>
      </c>
      <c r="U135" s="53">
        <f>'TB-May'!$D$99</f>
        <v>0</v>
      </c>
      <c r="V135" s="53">
        <f>'TB-Jun'!$D$99</f>
        <v>0</v>
      </c>
      <c r="W135" s="53">
        <f>'TB-Jul'!$D$99</f>
        <v>0</v>
      </c>
      <c r="X135" s="53">
        <f>'TB-Aug'!$D$99</f>
        <v>0</v>
      </c>
      <c r="Y135" s="53">
        <f>'TB-Sep'!$D$99</f>
        <v>0</v>
      </c>
      <c r="Z135" s="53">
        <f>'TB-Oct'!$D$99</f>
        <v>0</v>
      </c>
      <c r="AA135" s="53">
        <f>'TB-Nov'!$D$99</f>
        <v>0</v>
      </c>
      <c r="AB135" s="53">
        <f>'TB-Dec'!$D$99</f>
        <v>0</v>
      </c>
    </row>
    <row r="136" spans="1:28" s="78" customFormat="1" ht="15.75" hidden="1" customHeight="1" outlineLevel="2">
      <c r="A136" s="32"/>
      <c r="B136" s="32"/>
      <c r="C136" s="35" t="s">
        <v>933</v>
      </c>
      <c r="D136" s="32"/>
      <c r="E136" s="31">
        <f t="shared" si="18"/>
        <v>0</v>
      </c>
      <c r="F136" s="31">
        <f>SUM($Q136:R136)</f>
        <v>0</v>
      </c>
      <c r="G136" s="31">
        <f>SUM($Q136:S136)</f>
        <v>0</v>
      </c>
      <c r="H136" s="31">
        <f>SUM($Q136:T136)</f>
        <v>0</v>
      </c>
      <c r="I136" s="31">
        <f>SUM($Q136:U136)</f>
        <v>0</v>
      </c>
      <c r="J136" s="31">
        <f>SUM($Q136:V136)</f>
        <v>0</v>
      </c>
      <c r="K136" s="31">
        <f>SUM($Q136:W136)</f>
        <v>0</v>
      </c>
      <c r="L136" s="31">
        <f>SUM($Q136:X136)</f>
        <v>0</v>
      </c>
      <c r="M136" s="31">
        <f>SUM($Q136:Y136)</f>
        <v>0</v>
      </c>
      <c r="N136" s="31">
        <f>SUM($Q136:Z136)</f>
        <v>0</v>
      </c>
      <c r="O136" s="31">
        <f>SUM($Q136:AA136)</f>
        <v>0</v>
      </c>
      <c r="P136" s="31">
        <f>SUM($Q136:AB136)</f>
        <v>0</v>
      </c>
      <c r="Q136" s="45">
        <f>Q137-Q138</f>
        <v>0</v>
      </c>
      <c r="R136" s="45">
        <f t="shared" ref="R136:AB136" si="47">R137-R138</f>
        <v>0</v>
      </c>
      <c r="S136" s="45">
        <f t="shared" si="47"/>
        <v>0</v>
      </c>
      <c r="T136" s="45">
        <f t="shared" si="47"/>
        <v>0</v>
      </c>
      <c r="U136" s="45">
        <f t="shared" si="47"/>
        <v>0</v>
      </c>
      <c r="V136" s="45">
        <f t="shared" si="47"/>
        <v>0</v>
      </c>
      <c r="W136" s="45">
        <f t="shared" si="47"/>
        <v>0</v>
      </c>
      <c r="X136" s="45">
        <f t="shared" si="47"/>
        <v>0</v>
      </c>
      <c r="Y136" s="45">
        <f t="shared" si="47"/>
        <v>0</v>
      </c>
      <c r="Z136" s="45">
        <f t="shared" si="47"/>
        <v>0</v>
      </c>
      <c r="AA136" s="45">
        <f t="shared" ref="AA136" si="48">AA137-AA138</f>
        <v>0</v>
      </c>
      <c r="AB136" s="45">
        <f t="shared" si="47"/>
        <v>0</v>
      </c>
    </row>
    <row r="137" spans="1:28" s="78" customFormat="1" ht="15.75" hidden="1" customHeight="1" outlineLevel="2">
      <c r="A137" s="32"/>
      <c r="B137" s="32"/>
      <c r="C137" s="32"/>
      <c r="D137" s="35" t="s">
        <v>162</v>
      </c>
      <c r="E137" s="31">
        <f t="shared" si="18"/>
        <v>0</v>
      </c>
      <c r="F137" s="31">
        <f>SUM($Q137:R137)</f>
        <v>0</v>
      </c>
      <c r="G137" s="31">
        <f>SUM($Q137:S137)</f>
        <v>0</v>
      </c>
      <c r="H137" s="31">
        <f>SUM($Q137:T137)</f>
        <v>0</v>
      </c>
      <c r="I137" s="31">
        <f>SUM($Q137:U137)</f>
        <v>0</v>
      </c>
      <c r="J137" s="31">
        <f>SUM($Q137:V137)</f>
        <v>0</v>
      </c>
      <c r="K137" s="31">
        <f>SUM($Q137:W137)</f>
        <v>0</v>
      </c>
      <c r="L137" s="31">
        <f>SUM($Q137:X137)</f>
        <v>0</v>
      </c>
      <c r="M137" s="31">
        <f>SUM($Q137:Y137)</f>
        <v>0</v>
      </c>
      <c r="N137" s="31">
        <f>SUM($Q137:Z137)</f>
        <v>0</v>
      </c>
      <c r="O137" s="31">
        <f>SUM($Q137:AA137)</f>
        <v>0</v>
      </c>
      <c r="P137" s="31">
        <f>SUM($Q137:AB137)</f>
        <v>0</v>
      </c>
      <c r="Q137" s="53">
        <f>'TB-Jan'!$C$102</f>
        <v>0</v>
      </c>
      <c r="R137" s="53">
        <f>'TB-Feb'!$C$102</f>
        <v>0</v>
      </c>
      <c r="S137" s="53">
        <f>'TB-Mar'!$C$102</f>
        <v>0</v>
      </c>
      <c r="T137" s="53">
        <f>'TB-Apr'!$C$102</f>
        <v>0</v>
      </c>
      <c r="U137" s="53">
        <f>'TB-May'!$C$102</f>
        <v>0</v>
      </c>
      <c r="V137" s="53">
        <f>'TB-Jun'!$C$102</f>
        <v>0</v>
      </c>
      <c r="W137" s="53">
        <f>'TB-Jul'!$C$102</f>
        <v>0</v>
      </c>
      <c r="X137" s="53">
        <f>'TB-Aug'!$C$102</f>
        <v>0</v>
      </c>
      <c r="Y137" s="53">
        <f>'TB-Sep'!$C$102</f>
        <v>0</v>
      </c>
      <c r="Z137" s="53">
        <f>'TB-Oct'!$C$102</f>
        <v>0</v>
      </c>
      <c r="AA137" s="53">
        <f>'TB-Nov'!$C$102</f>
        <v>0</v>
      </c>
      <c r="AB137" s="53">
        <f>'TB-Dec'!$C$102</f>
        <v>0</v>
      </c>
    </row>
    <row r="138" spans="1:28" s="78" customFormat="1" ht="15.75" hidden="1" customHeight="1" outlineLevel="2">
      <c r="A138" s="32"/>
      <c r="B138" s="32"/>
      <c r="C138" s="32"/>
      <c r="D138" s="35" t="s">
        <v>164</v>
      </c>
      <c r="E138" s="31">
        <f t="shared" si="18"/>
        <v>0</v>
      </c>
      <c r="F138" s="31">
        <f>SUM($Q138:R138)</f>
        <v>0</v>
      </c>
      <c r="G138" s="31">
        <f>SUM($Q138:S138)</f>
        <v>0</v>
      </c>
      <c r="H138" s="31">
        <f>SUM($Q138:T138)</f>
        <v>0</v>
      </c>
      <c r="I138" s="31">
        <f>SUM($Q138:U138)</f>
        <v>0</v>
      </c>
      <c r="J138" s="31">
        <f>SUM($Q138:V138)</f>
        <v>0</v>
      </c>
      <c r="K138" s="31">
        <f>SUM($Q138:W138)</f>
        <v>0</v>
      </c>
      <c r="L138" s="31">
        <f>SUM($Q138:X138)</f>
        <v>0</v>
      </c>
      <c r="M138" s="31">
        <f>SUM($Q138:Y138)</f>
        <v>0</v>
      </c>
      <c r="N138" s="31">
        <f>SUM($Q138:Z138)</f>
        <v>0</v>
      </c>
      <c r="O138" s="31">
        <f>SUM($Q138:AA138)</f>
        <v>0</v>
      </c>
      <c r="P138" s="31">
        <f>SUM($Q138:AB138)</f>
        <v>0</v>
      </c>
      <c r="Q138" s="53">
        <f>'TB-Jan'!$D$103</f>
        <v>0</v>
      </c>
      <c r="R138" s="53">
        <f>'TB-Feb'!$D$103</f>
        <v>0</v>
      </c>
      <c r="S138" s="53">
        <f>'TB-Mar'!$D$103</f>
        <v>0</v>
      </c>
      <c r="T138" s="53">
        <f>'TB-Apr'!$D$103</f>
        <v>0</v>
      </c>
      <c r="U138" s="53">
        <f>'TB-May'!$D$103</f>
        <v>0</v>
      </c>
      <c r="V138" s="53">
        <f>'TB-Jun'!$D$103</f>
        <v>0</v>
      </c>
      <c r="W138" s="53">
        <f>'TB-Jul'!$D$103</f>
        <v>0</v>
      </c>
      <c r="X138" s="53">
        <f>'TB-Aug'!$D$103</f>
        <v>0</v>
      </c>
      <c r="Y138" s="53">
        <f>'TB-Sep'!$D$103</f>
        <v>0</v>
      </c>
      <c r="Z138" s="53">
        <f>'TB-Oct'!$D$103</f>
        <v>0</v>
      </c>
      <c r="AA138" s="53">
        <f>'TB-Nov'!$D$103</f>
        <v>0</v>
      </c>
      <c r="AB138" s="53">
        <f>'TB-Dec'!$D$103</f>
        <v>0</v>
      </c>
    </row>
    <row r="139" spans="1:28" s="78" customFormat="1" ht="15.75" customHeight="1" outlineLevel="1" collapsed="1">
      <c r="A139" s="32"/>
      <c r="B139" s="32" t="s">
        <v>934</v>
      </c>
      <c r="C139" s="32"/>
      <c r="D139" s="35"/>
      <c r="E139" s="59">
        <f t="shared" si="18"/>
        <v>0</v>
      </c>
      <c r="F139" s="59">
        <f>SUM($Q139:R139)</f>
        <v>0</v>
      </c>
      <c r="G139" s="59">
        <f>SUM($Q139:S139)</f>
        <v>0</v>
      </c>
      <c r="H139" s="59">
        <f>SUM($Q139:T139)</f>
        <v>109913</v>
      </c>
      <c r="I139" s="59">
        <f>SUM($Q139:U139)</f>
        <v>109913</v>
      </c>
      <c r="J139" s="59">
        <f>SUM($Q139:V139)</f>
        <v>109913</v>
      </c>
      <c r="K139" s="59">
        <f>SUM($Q139:W139)</f>
        <v>109913</v>
      </c>
      <c r="L139" s="59">
        <f>SUM($Q139:X139)</f>
        <v>109913</v>
      </c>
      <c r="M139" s="59">
        <f>SUM($Q139:Y139)</f>
        <v>109913</v>
      </c>
      <c r="N139" s="59">
        <f>SUM($Q139:Z139)</f>
        <v>109913</v>
      </c>
      <c r="O139" s="59">
        <f>SUM($Q139:AA139)</f>
        <v>109913</v>
      </c>
      <c r="P139" s="59">
        <f>SUM($Q139:AB139)</f>
        <v>109913</v>
      </c>
      <c r="Q139" s="46">
        <f>SUM(Q140,Q143,Q146,Q149)</f>
        <v>0</v>
      </c>
      <c r="R139" s="46">
        <f t="shared" ref="R139:AB139" si="49">SUM(R140,R143,R146,R149)</f>
        <v>0</v>
      </c>
      <c r="S139" s="46">
        <f t="shared" si="49"/>
        <v>0</v>
      </c>
      <c r="T139" s="46">
        <f t="shared" si="49"/>
        <v>109913</v>
      </c>
      <c r="U139" s="46">
        <f t="shared" si="49"/>
        <v>0</v>
      </c>
      <c r="V139" s="46">
        <f t="shared" si="49"/>
        <v>0</v>
      </c>
      <c r="W139" s="46">
        <f t="shared" si="49"/>
        <v>0</v>
      </c>
      <c r="X139" s="46">
        <f t="shared" si="49"/>
        <v>0</v>
      </c>
      <c r="Y139" s="46">
        <f t="shared" si="49"/>
        <v>0</v>
      </c>
      <c r="Z139" s="46">
        <f t="shared" si="49"/>
        <v>0</v>
      </c>
      <c r="AA139" s="46">
        <f t="shared" si="49"/>
        <v>0</v>
      </c>
      <c r="AB139" s="46">
        <f t="shared" si="49"/>
        <v>0</v>
      </c>
    </row>
    <row r="140" spans="1:28" s="79" customFormat="1" ht="15.75" hidden="1" customHeight="1" outlineLevel="2">
      <c r="A140" s="33"/>
      <c r="B140" s="33"/>
      <c r="C140" s="34" t="s">
        <v>935</v>
      </c>
      <c r="D140" s="33"/>
      <c r="E140" s="31">
        <f t="shared" si="18"/>
        <v>0</v>
      </c>
      <c r="F140" s="31">
        <f>SUM($Q140:R140)</f>
        <v>0</v>
      </c>
      <c r="G140" s="31">
        <f>SUM($Q140:S140)</f>
        <v>0</v>
      </c>
      <c r="H140" s="103">
        <f>SUM($Q140:T140)</f>
        <v>0</v>
      </c>
      <c r="I140" s="103">
        <f>SUM($Q140:U140)</f>
        <v>0</v>
      </c>
      <c r="J140" s="103">
        <f>SUM($Q140:V140)</f>
        <v>0</v>
      </c>
      <c r="K140" s="103">
        <f>SUM($Q140:W140)</f>
        <v>0</v>
      </c>
      <c r="L140" s="103">
        <f>SUM($Q140:X140)</f>
        <v>0</v>
      </c>
      <c r="M140" s="103">
        <f>SUM($Q140:Y140)</f>
        <v>0</v>
      </c>
      <c r="N140" s="103">
        <f>SUM($Q140:Z140)</f>
        <v>0</v>
      </c>
      <c r="O140" s="103">
        <f>SUM($Q140:AA140)</f>
        <v>0</v>
      </c>
      <c r="P140" s="103">
        <f>SUM($Q140:AB140)</f>
        <v>0</v>
      </c>
      <c r="Q140" s="50">
        <f>Q141-Q142</f>
        <v>0</v>
      </c>
      <c r="R140" s="50">
        <f t="shared" ref="R140:AB140" si="50">R141-R142</f>
        <v>0</v>
      </c>
      <c r="S140" s="50">
        <f t="shared" si="50"/>
        <v>0</v>
      </c>
      <c r="T140" s="50">
        <f t="shared" si="50"/>
        <v>0</v>
      </c>
      <c r="U140" s="50">
        <f t="shared" si="50"/>
        <v>0</v>
      </c>
      <c r="V140" s="50">
        <f t="shared" si="50"/>
        <v>0</v>
      </c>
      <c r="W140" s="50">
        <f t="shared" si="50"/>
        <v>0</v>
      </c>
      <c r="X140" s="50">
        <f t="shared" si="50"/>
        <v>0</v>
      </c>
      <c r="Y140" s="50">
        <f t="shared" si="50"/>
        <v>0</v>
      </c>
      <c r="Z140" s="50">
        <f t="shared" si="50"/>
        <v>0</v>
      </c>
      <c r="AA140" s="50">
        <f t="shared" ref="AA140" si="51">AA141-AA142</f>
        <v>0</v>
      </c>
      <c r="AB140" s="50">
        <f t="shared" si="50"/>
        <v>0</v>
      </c>
    </row>
    <row r="141" spans="1:28" s="79" customFormat="1" ht="15.75" hidden="1" customHeight="1" outlineLevel="2">
      <c r="A141" s="33"/>
      <c r="B141" s="33"/>
      <c r="C141" s="33"/>
      <c r="D141" s="34" t="s">
        <v>166</v>
      </c>
      <c r="E141" s="31">
        <f t="shared" si="18"/>
        <v>0</v>
      </c>
      <c r="F141" s="31">
        <f>SUM($Q141:R141)</f>
        <v>0</v>
      </c>
      <c r="G141" s="31">
        <f>SUM($Q141:S141)</f>
        <v>0</v>
      </c>
      <c r="H141" s="103">
        <f>SUM($Q141:T141)</f>
        <v>0</v>
      </c>
      <c r="I141" s="103">
        <f>SUM($Q141:U141)</f>
        <v>0</v>
      </c>
      <c r="J141" s="103">
        <f>SUM($Q141:V141)</f>
        <v>0</v>
      </c>
      <c r="K141" s="103">
        <f>SUM($Q141:W141)</f>
        <v>0</v>
      </c>
      <c r="L141" s="103">
        <f>SUM($Q141:X141)</f>
        <v>0</v>
      </c>
      <c r="M141" s="103">
        <f>SUM($Q141:Y141)</f>
        <v>0</v>
      </c>
      <c r="N141" s="103">
        <f>SUM($Q141:Z141)</f>
        <v>0</v>
      </c>
      <c r="O141" s="103">
        <f>SUM($Q141:AA141)</f>
        <v>0</v>
      </c>
      <c r="P141" s="103">
        <f>SUM($Q141:AB141)</f>
        <v>0</v>
      </c>
      <c r="Q141" s="47">
        <f>'TB-Jan'!$C$104</f>
        <v>0</v>
      </c>
      <c r="R141" s="47">
        <f>'TB-Feb'!$C$104</f>
        <v>0</v>
      </c>
      <c r="S141" s="47">
        <f>'TB-Mar'!$C$104</f>
        <v>0</v>
      </c>
      <c r="T141" s="47">
        <f>'TB-Apr'!$C$104</f>
        <v>0</v>
      </c>
      <c r="U141" s="47">
        <f>'TB-May'!$C$104</f>
        <v>0</v>
      </c>
      <c r="V141" s="47">
        <f>'TB-Jun'!$C$104</f>
        <v>0</v>
      </c>
      <c r="W141" s="47">
        <f>'TB-Jul'!$C$104</f>
        <v>0</v>
      </c>
      <c r="X141" s="47">
        <f>'TB-Aug'!$C$104</f>
        <v>0</v>
      </c>
      <c r="Y141" s="47">
        <f>'TB-Sep'!$C$104</f>
        <v>0</v>
      </c>
      <c r="Z141" s="47">
        <f>'TB-Oct'!$C$104</f>
        <v>0</v>
      </c>
      <c r="AA141" s="47">
        <f>'TB-Nov'!$C$104</f>
        <v>0</v>
      </c>
      <c r="AB141" s="47">
        <f>'TB-Dec'!$C$104</f>
        <v>0</v>
      </c>
    </row>
    <row r="142" spans="1:28" s="79" customFormat="1" ht="15.75" hidden="1" customHeight="1" outlineLevel="2">
      <c r="A142" s="33"/>
      <c r="B142" s="33"/>
      <c r="C142" s="33"/>
      <c r="D142" s="34" t="s">
        <v>168</v>
      </c>
      <c r="E142" s="31">
        <f t="shared" si="18"/>
        <v>0</v>
      </c>
      <c r="F142" s="31">
        <f>SUM($Q142:R142)</f>
        <v>0</v>
      </c>
      <c r="G142" s="31">
        <f>SUM($Q142:S142)</f>
        <v>0</v>
      </c>
      <c r="H142" s="103">
        <f>SUM($Q142:T142)</f>
        <v>0</v>
      </c>
      <c r="I142" s="103">
        <f>SUM($Q142:U142)</f>
        <v>0</v>
      </c>
      <c r="J142" s="103">
        <f>SUM($Q142:V142)</f>
        <v>0</v>
      </c>
      <c r="K142" s="103">
        <f>SUM($Q142:W142)</f>
        <v>0</v>
      </c>
      <c r="L142" s="103">
        <f>SUM($Q142:X142)</f>
        <v>0</v>
      </c>
      <c r="M142" s="103">
        <f>SUM($Q142:Y142)</f>
        <v>0</v>
      </c>
      <c r="N142" s="103">
        <f>SUM($Q142:Z142)</f>
        <v>0</v>
      </c>
      <c r="O142" s="103">
        <f>SUM($Q142:AA142)</f>
        <v>0</v>
      </c>
      <c r="P142" s="103">
        <f>SUM($Q142:AB142)</f>
        <v>0</v>
      </c>
      <c r="Q142" s="47">
        <f>'TB-Jan'!$D$105</f>
        <v>0</v>
      </c>
      <c r="R142" s="47">
        <f>'TB-Feb'!$D$105</f>
        <v>0</v>
      </c>
      <c r="S142" s="47">
        <f>'TB-Mar'!$D$105</f>
        <v>0</v>
      </c>
      <c r="T142" s="47">
        <f>'TB-Apr'!$D$105</f>
        <v>0</v>
      </c>
      <c r="U142" s="47">
        <f>'TB-May'!$D$105</f>
        <v>0</v>
      </c>
      <c r="V142" s="47">
        <f>'TB-Jun'!$D$105</f>
        <v>0</v>
      </c>
      <c r="W142" s="47">
        <f>'TB-Jul'!$D$105</f>
        <v>0</v>
      </c>
      <c r="X142" s="47">
        <f>'TB-Aug'!$D$105</f>
        <v>0</v>
      </c>
      <c r="Y142" s="47">
        <f>'TB-Sep'!$D$105</f>
        <v>0</v>
      </c>
      <c r="Z142" s="47">
        <f>'TB-Oct'!$D$105</f>
        <v>0</v>
      </c>
      <c r="AA142" s="47">
        <f>'TB-Nov'!$D$105</f>
        <v>0</v>
      </c>
      <c r="AB142" s="47">
        <f>'TB-Dec'!$D$105</f>
        <v>0</v>
      </c>
    </row>
    <row r="143" spans="1:28" s="79" customFormat="1" ht="15.75" hidden="1" customHeight="1" outlineLevel="2">
      <c r="A143" s="33"/>
      <c r="B143" s="33"/>
      <c r="C143" s="34" t="s">
        <v>936</v>
      </c>
      <c r="D143" s="33"/>
      <c r="E143" s="31">
        <f t="shared" si="18"/>
        <v>0</v>
      </c>
      <c r="F143" s="31">
        <f>SUM($Q143:R143)</f>
        <v>0</v>
      </c>
      <c r="G143" s="31">
        <f>SUM($Q143:S143)</f>
        <v>0</v>
      </c>
      <c r="H143" s="103">
        <f>SUM($Q143:T143)</f>
        <v>0</v>
      </c>
      <c r="I143" s="103">
        <f>SUM($Q143:U143)</f>
        <v>0</v>
      </c>
      <c r="J143" s="103">
        <f>SUM($Q143:V143)</f>
        <v>0</v>
      </c>
      <c r="K143" s="103">
        <f>SUM($Q143:W143)</f>
        <v>0</v>
      </c>
      <c r="L143" s="103">
        <f>SUM($Q143:X143)</f>
        <v>0</v>
      </c>
      <c r="M143" s="103">
        <f>SUM($Q143:Y143)</f>
        <v>0</v>
      </c>
      <c r="N143" s="103">
        <f>SUM($Q143:Z143)</f>
        <v>0</v>
      </c>
      <c r="O143" s="103">
        <f>SUM($Q143:AA143)</f>
        <v>0</v>
      </c>
      <c r="P143" s="103">
        <f>SUM($Q143:AB143)</f>
        <v>0</v>
      </c>
      <c r="Q143" s="50">
        <f>Q144-Q145</f>
        <v>0</v>
      </c>
      <c r="R143" s="50">
        <f t="shared" ref="R143:AB143" si="52">R144-R145</f>
        <v>0</v>
      </c>
      <c r="S143" s="50">
        <f t="shared" si="52"/>
        <v>0</v>
      </c>
      <c r="T143" s="50">
        <f t="shared" si="52"/>
        <v>0</v>
      </c>
      <c r="U143" s="50">
        <f t="shared" si="52"/>
        <v>0</v>
      </c>
      <c r="V143" s="50">
        <f t="shared" si="52"/>
        <v>0</v>
      </c>
      <c r="W143" s="50">
        <f t="shared" si="52"/>
        <v>0</v>
      </c>
      <c r="X143" s="50">
        <f t="shared" si="52"/>
        <v>0</v>
      </c>
      <c r="Y143" s="50">
        <f t="shared" si="52"/>
        <v>0</v>
      </c>
      <c r="Z143" s="50">
        <f t="shared" si="52"/>
        <v>0</v>
      </c>
      <c r="AA143" s="50">
        <f t="shared" ref="AA143" si="53">AA144-AA145</f>
        <v>0</v>
      </c>
      <c r="AB143" s="50">
        <f t="shared" si="52"/>
        <v>0</v>
      </c>
    </row>
    <row r="144" spans="1:28" s="79" customFormat="1" ht="15.75" hidden="1" customHeight="1" outlineLevel="2">
      <c r="A144" s="33"/>
      <c r="B144" s="33"/>
      <c r="C144" s="33"/>
      <c r="D144" s="34" t="s">
        <v>170</v>
      </c>
      <c r="E144" s="31">
        <f t="shared" si="18"/>
        <v>0</v>
      </c>
      <c r="F144" s="31">
        <f>SUM($Q144:R144)</f>
        <v>0</v>
      </c>
      <c r="G144" s="31">
        <f>SUM($Q144:S144)</f>
        <v>0</v>
      </c>
      <c r="H144" s="103">
        <f>SUM($Q144:T144)</f>
        <v>0</v>
      </c>
      <c r="I144" s="103">
        <f>SUM($Q144:U144)</f>
        <v>0</v>
      </c>
      <c r="J144" s="103">
        <f>SUM($Q144:V144)</f>
        <v>0</v>
      </c>
      <c r="K144" s="103">
        <f>SUM($Q144:W144)</f>
        <v>0</v>
      </c>
      <c r="L144" s="103">
        <f>SUM($Q144:X144)</f>
        <v>0</v>
      </c>
      <c r="M144" s="103">
        <f>SUM($Q144:Y144)</f>
        <v>0</v>
      </c>
      <c r="N144" s="103">
        <f>SUM($Q144:Z144)</f>
        <v>0</v>
      </c>
      <c r="O144" s="103">
        <f>SUM($Q144:AA144)</f>
        <v>0</v>
      </c>
      <c r="P144" s="103">
        <f>SUM($Q144:AB144)</f>
        <v>0</v>
      </c>
      <c r="Q144" s="47">
        <f>'TB-Jan'!$C$106</f>
        <v>0</v>
      </c>
      <c r="R144" s="47">
        <f>'TB-Feb'!$C$106</f>
        <v>0</v>
      </c>
      <c r="S144" s="47">
        <f>'TB-Mar'!$C$106</f>
        <v>0</v>
      </c>
      <c r="T144" s="47">
        <f>'TB-Apr'!$C$106</f>
        <v>0</v>
      </c>
      <c r="U144" s="47">
        <f>'TB-May'!$C$106</f>
        <v>0</v>
      </c>
      <c r="V144" s="47">
        <f>'TB-Jun'!$C$106</f>
        <v>0</v>
      </c>
      <c r="W144" s="47">
        <f>'TB-Jul'!$C$106</f>
        <v>0</v>
      </c>
      <c r="X144" s="47">
        <f>'TB-Aug'!$C$106</f>
        <v>0</v>
      </c>
      <c r="Y144" s="47">
        <f>'TB-Sep'!$C$106</f>
        <v>0</v>
      </c>
      <c r="Z144" s="47">
        <f>'TB-Oct'!$C$106</f>
        <v>0</v>
      </c>
      <c r="AA144" s="47">
        <f>'TB-Nov'!$C$106</f>
        <v>0</v>
      </c>
      <c r="AB144" s="47">
        <f>'TB-Dec'!$C$106</f>
        <v>0</v>
      </c>
    </row>
    <row r="145" spans="1:28" s="79" customFormat="1" ht="15.75" hidden="1" customHeight="1" outlineLevel="2">
      <c r="A145" s="33"/>
      <c r="B145" s="33"/>
      <c r="C145" s="33"/>
      <c r="D145" s="34" t="s">
        <v>172</v>
      </c>
      <c r="E145" s="31">
        <f t="shared" si="18"/>
        <v>0</v>
      </c>
      <c r="F145" s="31">
        <f>SUM($Q145:R145)</f>
        <v>0</v>
      </c>
      <c r="G145" s="31">
        <f>SUM($Q145:S145)</f>
        <v>0</v>
      </c>
      <c r="H145" s="103">
        <f>SUM($Q145:T145)</f>
        <v>0</v>
      </c>
      <c r="I145" s="103">
        <f>SUM($Q145:U145)</f>
        <v>0</v>
      </c>
      <c r="J145" s="103">
        <f>SUM($Q145:V145)</f>
        <v>0</v>
      </c>
      <c r="K145" s="103">
        <f>SUM($Q145:W145)</f>
        <v>0</v>
      </c>
      <c r="L145" s="103">
        <f>SUM($Q145:X145)</f>
        <v>0</v>
      </c>
      <c r="M145" s="103">
        <f>SUM($Q145:Y145)</f>
        <v>0</v>
      </c>
      <c r="N145" s="103">
        <f>SUM($Q145:Z145)</f>
        <v>0</v>
      </c>
      <c r="O145" s="103">
        <f>SUM($Q145:AA145)</f>
        <v>0</v>
      </c>
      <c r="P145" s="103">
        <f>SUM($Q145:AB145)</f>
        <v>0</v>
      </c>
      <c r="Q145" s="47">
        <f>'TB-Jan'!$D$107</f>
        <v>0</v>
      </c>
      <c r="R145" s="47">
        <f>'TB-Feb'!$D$107</f>
        <v>0</v>
      </c>
      <c r="S145" s="47">
        <f>'TB-Mar'!$D$107</f>
        <v>0</v>
      </c>
      <c r="T145" s="47">
        <f>'TB-Apr'!$D$107</f>
        <v>0</v>
      </c>
      <c r="U145" s="47">
        <f>'TB-May'!$D$107</f>
        <v>0</v>
      </c>
      <c r="V145" s="47">
        <f>'TB-Jun'!$D$107</f>
        <v>0</v>
      </c>
      <c r="W145" s="47">
        <f>'TB-Jul'!$D$107</f>
        <v>0</v>
      </c>
      <c r="X145" s="47">
        <f>'TB-Aug'!$D$107</f>
        <v>0</v>
      </c>
      <c r="Y145" s="47">
        <f>'TB-Sep'!$D$107</f>
        <v>0</v>
      </c>
      <c r="Z145" s="47">
        <f>'TB-Oct'!$D$107</f>
        <v>0</v>
      </c>
      <c r="AA145" s="47">
        <f>'TB-Nov'!$D$107</f>
        <v>0</v>
      </c>
      <c r="AB145" s="47">
        <f>'TB-Dec'!$D$107</f>
        <v>0</v>
      </c>
    </row>
    <row r="146" spans="1:28" s="79" customFormat="1" ht="15.75" customHeight="1" outlineLevel="2">
      <c r="A146" s="33"/>
      <c r="B146" s="33"/>
      <c r="C146" s="34" t="s">
        <v>937</v>
      </c>
      <c r="D146" s="33"/>
      <c r="E146" s="31">
        <f t="shared" si="18"/>
        <v>0</v>
      </c>
      <c r="F146" s="31">
        <f>SUM($Q146:R146)</f>
        <v>0</v>
      </c>
      <c r="G146" s="31">
        <f>SUM($Q146:S146)</f>
        <v>0</v>
      </c>
      <c r="H146" s="103">
        <f>SUM($Q146:T146)</f>
        <v>109913</v>
      </c>
      <c r="I146" s="103">
        <f>SUM($Q146:U146)</f>
        <v>109913</v>
      </c>
      <c r="J146" s="103">
        <f>SUM($Q146:V146)</f>
        <v>109913</v>
      </c>
      <c r="K146" s="103">
        <f>SUM($Q146:W146)</f>
        <v>109913</v>
      </c>
      <c r="L146" s="103">
        <f>SUM($Q146:X146)</f>
        <v>109913</v>
      </c>
      <c r="M146" s="103">
        <f>SUM($Q146:Y146)</f>
        <v>109913</v>
      </c>
      <c r="N146" s="103">
        <f>SUM($Q146:Z146)</f>
        <v>109913</v>
      </c>
      <c r="O146" s="103">
        <f>SUM($Q146:AA146)</f>
        <v>109913</v>
      </c>
      <c r="P146" s="103">
        <f>SUM($Q146:AB146)</f>
        <v>109913</v>
      </c>
      <c r="Q146" s="50">
        <f>Q147-Q148</f>
        <v>0</v>
      </c>
      <c r="R146" s="50">
        <f t="shared" ref="R146:AB146" si="54">R147-R148</f>
        <v>0</v>
      </c>
      <c r="S146" s="50">
        <f t="shared" si="54"/>
        <v>0</v>
      </c>
      <c r="T146" s="50">
        <f t="shared" si="54"/>
        <v>109913</v>
      </c>
      <c r="U146" s="50">
        <f t="shared" si="54"/>
        <v>0</v>
      </c>
      <c r="V146" s="50">
        <f t="shared" si="54"/>
        <v>0</v>
      </c>
      <c r="W146" s="50">
        <f t="shared" si="54"/>
        <v>0</v>
      </c>
      <c r="X146" s="50">
        <f t="shared" si="54"/>
        <v>0</v>
      </c>
      <c r="Y146" s="50">
        <f t="shared" si="54"/>
        <v>0</v>
      </c>
      <c r="Z146" s="50">
        <f t="shared" si="54"/>
        <v>0</v>
      </c>
      <c r="AA146" s="50">
        <f t="shared" ref="AA146" si="55">AA147-AA148</f>
        <v>0</v>
      </c>
      <c r="AB146" s="50">
        <f t="shared" si="54"/>
        <v>0</v>
      </c>
    </row>
    <row r="147" spans="1:28" s="79" customFormat="1" ht="15.75" customHeight="1" outlineLevel="2">
      <c r="A147" s="33"/>
      <c r="B147" s="33"/>
      <c r="C147" s="33"/>
      <c r="D147" s="34" t="s">
        <v>174</v>
      </c>
      <c r="E147" s="31">
        <f t="shared" si="18"/>
        <v>0</v>
      </c>
      <c r="F147" s="31">
        <f>SUM($Q147:R147)</f>
        <v>0</v>
      </c>
      <c r="G147" s="31">
        <f>SUM($Q147:S147)</f>
        <v>0</v>
      </c>
      <c r="H147" s="103">
        <f>SUM($Q147:T147)</f>
        <v>109913</v>
      </c>
      <c r="I147" s="103">
        <f>SUM($Q147:U147)</f>
        <v>109913</v>
      </c>
      <c r="J147" s="103">
        <f>SUM($Q147:V147)</f>
        <v>109913</v>
      </c>
      <c r="K147" s="103">
        <f>SUM($Q147:W147)</f>
        <v>109913</v>
      </c>
      <c r="L147" s="103">
        <f>SUM($Q147:X147)</f>
        <v>109913</v>
      </c>
      <c r="M147" s="103">
        <f>SUM($Q147:Y147)</f>
        <v>109913</v>
      </c>
      <c r="N147" s="103">
        <f>SUM($Q147:Z147)</f>
        <v>109913</v>
      </c>
      <c r="O147" s="103">
        <f>SUM($Q147:AA147)</f>
        <v>109913</v>
      </c>
      <c r="P147" s="103">
        <f>SUM($Q147:AB147)</f>
        <v>109913</v>
      </c>
      <c r="Q147" s="47">
        <f>'TB-Jan'!$C$108</f>
        <v>0</v>
      </c>
      <c r="R147" s="47">
        <f>'TB-Feb'!$C$108</f>
        <v>0</v>
      </c>
      <c r="S147" s="47">
        <f>'TB-Mar'!$C$108</f>
        <v>0</v>
      </c>
      <c r="T147" s="47">
        <f>'TB-Apr'!$C$108</f>
        <v>109913</v>
      </c>
      <c r="U147" s="47">
        <f>'TB-May'!$C$108</f>
        <v>0</v>
      </c>
      <c r="V147" s="47">
        <f>'TB-Jun'!$C$108</f>
        <v>0</v>
      </c>
      <c r="W147" s="47">
        <f>'TB-Jul'!$C$108</f>
        <v>0</v>
      </c>
      <c r="X147" s="47">
        <f>'TB-Aug'!$C$108</f>
        <v>0</v>
      </c>
      <c r="Y147" s="47">
        <f>'TB-Sep'!$C$108</f>
        <v>0</v>
      </c>
      <c r="Z147" s="47">
        <f>'TB-Oct'!$C$108</f>
        <v>0</v>
      </c>
      <c r="AA147" s="47">
        <f>'TB-Nov'!$C$108</f>
        <v>0</v>
      </c>
      <c r="AB147" s="47">
        <f>'TB-Dec'!$C$108</f>
        <v>0</v>
      </c>
    </row>
    <row r="148" spans="1:28" s="79" customFormat="1" ht="15.75" hidden="1" customHeight="1" outlineLevel="2">
      <c r="A148" s="33"/>
      <c r="B148" s="33"/>
      <c r="C148" s="33"/>
      <c r="D148" s="34" t="s">
        <v>176</v>
      </c>
      <c r="E148" s="31">
        <f t="shared" si="18"/>
        <v>0</v>
      </c>
      <c r="F148" s="31">
        <f>SUM($Q148:R148)</f>
        <v>0</v>
      </c>
      <c r="G148" s="31">
        <f>SUM($Q148:S148)</f>
        <v>0</v>
      </c>
      <c r="H148" s="103">
        <f>SUM($Q148:T148)</f>
        <v>0</v>
      </c>
      <c r="I148" s="103">
        <f>SUM($Q148:U148)</f>
        <v>0</v>
      </c>
      <c r="J148" s="103">
        <f>SUM($Q148:V148)</f>
        <v>0</v>
      </c>
      <c r="K148" s="103">
        <f>SUM($Q148:W148)</f>
        <v>0</v>
      </c>
      <c r="L148" s="103">
        <f>SUM($Q148:X148)</f>
        <v>0</v>
      </c>
      <c r="M148" s="103">
        <f>SUM($Q148:Y148)</f>
        <v>0</v>
      </c>
      <c r="N148" s="103">
        <f>SUM($Q148:Z148)</f>
        <v>0</v>
      </c>
      <c r="O148" s="103">
        <f>SUM($Q148:AA148)</f>
        <v>0</v>
      </c>
      <c r="P148" s="103">
        <f>SUM($Q148:AB148)</f>
        <v>0</v>
      </c>
      <c r="Q148" s="47">
        <f>'TB-Jan'!$D$109</f>
        <v>0</v>
      </c>
      <c r="R148" s="47">
        <f>'TB-Feb'!$D$109</f>
        <v>0</v>
      </c>
      <c r="S148" s="47">
        <f>'TB-Mar'!$D$109</f>
        <v>0</v>
      </c>
      <c r="T148" s="47">
        <f>'TB-Apr'!$D$109</f>
        <v>0</v>
      </c>
      <c r="U148" s="47">
        <f>'TB-May'!$D$109</f>
        <v>0</v>
      </c>
      <c r="V148" s="47">
        <f>'TB-Jun'!$D$109</f>
        <v>0</v>
      </c>
      <c r="W148" s="47">
        <f>'TB-Jul'!$D$109</f>
        <v>0</v>
      </c>
      <c r="X148" s="47">
        <f>'TB-Aug'!$D$109</f>
        <v>0</v>
      </c>
      <c r="Y148" s="47">
        <f>'TB-Sep'!$D$109</f>
        <v>0</v>
      </c>
      <c r="Z148" s="47">
        <f>'TB-Oct'!$D$109</f>
        <v>0</v>
      </c>
      <c r="AA148" s="47">
        <f>'TB-Nov'!$D$109</f>
        <v>0</v>
      </c>
      <c r="AB148" s="47">
        <f>'TB-Dec'!$D$109</f>
        <v>0</v>
      </c>
    </row>
    <row r="149" spans="1:28" s="79" customFormat="1" ht="15.75" hidden="1" customHeight="1" outlineLevel="2">
      <c r="A149" s="33"/>
      <c r="B149" s="33"/>
      <c r="C149" s="34" t="s">
        <v>938</v>
      </c>
      <c r="D149" s="33"/>
      <c r="E149" s="31">
        <f t="shared" si="18"/>
        <v>0</v>
      </c>
      <c r="F149" s="31">
        <f>SUM($Q149:R149)</f>
        <v>0</v>
      </c>
      <c r="G149" s="31">
        <f>SUM($Q149:S149)</f>
        <v>0</v>
      </c>
      <c r="H149" s="103">
        <f>SUM($Q149:T149)</f>
        <v>0</v>
      </c>
      <c r="I149" s="103">
        <f>SUM($Q149:U149)</f>
        <v>0</v>
      </c>
      <c r="J149" s="103">
        <f>SUM($Q149:V149)</f>
        <v>0</v>
      </c>
      <c r="K149" s="103">
        <f>SUM($Q149:W149)</f>
        <v>0</v>
      </c>
      <c r="L149" s="103">
        <f>SUM($Q149:X149)</f>
        <v>0</v>
      </c>
      <c r="M149" s="103">
        <f>SUM($Q149:Y149)</f>
        <v>0</v>
      </c>
      <c r="N149" s="103">
        <f>SUM($Q149:Z149)</f>
        <v>0</v>
      </c>
      <c r="O149" s="103">
        <f>SUM($Q149:AA149)</f>
        <v>0</v>
      </c>
      <c r="P149" s="103">
        <f>SUM($Q149:AB149)</f>
        <v>0</v>
      </c>
      <c r="Q149" s="50">
        <f>Q150-Q151</f>
        <v>0</v>
      </c>
      <c r="R149" s="50">
        <f t="shared" ref="R149:AB149" si="56">R150-R151</f>
        <v>0</v>
      </c>
      <c r="S149" s="50">
        <f t="shared" si="56"/>
        <v>0</v>
      </c>
      <c r="T149" s="50">
        <f t="shared" si="56"/>
        <v>0</v>
      </c>
      <c r="U149" s="50">
        <f t="shared" si="56"/>
        <v>0</v>
      </c>
      <c r="V149" s="50">
        <f t="shared" si="56"/>
        <v>0</v>
      </c>
      <c r="W149" s="50">
        <f t="shared" si="56"/>
        <v>0</v>
      </c>
      <c r="X149" s="50">
        <f t="shared" si="56"/>
        <v>0</v>
      </c>
      <c r="Y149" s="50">
        <f t="shared" si="56"/>
        <v>0</v>
      </c>
      <c r="Z149" s="50">
        <f t="shared" si="56"/>
        <v>0</v>
      </c>
      <c r="AA149" s="50">
        <f t="shared" ref="AA149" si="57">AA150-AA151</f>
        <v>0</v>
      </c>
      <c r="AB149" s="50">
        <f t="shared" si="56"/>
        <v>0</v>
      </c>
    </row>
    <row r="150" spans="1:28" s="79" customFormat="1" ht="15.75" hidden="1" customHeight="1" outlineLevel="2">
      <c r="A150" s="33"/>
      <c r="B150" s="33"/>
      <c r="C150" s="33"/>
      <c r="D150" s="34" t="s">
        <v>178</v>
      </c>
      <c r="E150" s="31">
        <f t="shared" si="18"/>
        <v>0</v>
      </c>
      <c r="F150" s="31">
        <f>SUM($Q150:R150)</f>
        <v>0</v>
      </c>
      <c r="G150" s="31">
        <f>SUM($Q150:S150)</f>
        <v>0</v>
      </c>
      <c r="H150" s="103">
        <f>SUM($Q150:T150)</f>
        <v>0</v>
      </c>
      <c r="I150" s="103">
        <f>SUM($Q150:U150)</f>
        <v>0</v>
      </c>
      <c r="J150" s="103">
        <f>SUM($Q150:V150)</f>
        <v>0</v>
      </c>
      <c r="K150" s="103">
        <f>SUM($Q150:W150)</f>
        <v>0</v>
      </c>
      <c r="L150" s="103">
        <f>SUM($Q150:X150)</f>
        <v>0</v>
      </c>
      <c r="M150" s="103">
        <f>SUM($Q150:Y150)</f>
        <v>0</v>
      </c>
      <c r="N150" s="103">
        <f>SUM($Q150:Z150)</f>
        <v>0</v>
      </c>
      <c r="O150" s="103">
        <f>SUM($Q150:AA150)</f>
        <v>0</v>
      </c>
      <c r="P150" s="103">
        <f>SUM($Q150:AB150)</f>
        <v>0</v>
      </c>
      <c r="Q150" s="47">
        <f>'TB-Jan'!$C$110</f>
        <v>0</v>
      </c>
      <c r="R150" s="47">
        <f>'TB-Feb'!$C$110</f>
        <v>0</v>
      </c>
      <c r="S150" s="47">
        <f>'TB-Mar'!$C$110</f>
        <v>0</v>
      </c>
      <c r="T150" s="47">
        <f>'TB-Apr'!$C$110</f>
        <v>0</v>
      </c>
      <c r="U150" s="47">
        <f>'TB-May'!$C$110</f>
        <v>0</v>
      </c>
      <c r="V150" s="47">
        <f>'TB-Jun'!$C$110</f>
        <v>0</v>
      </c>
      <c r="W150" s="47">
        <f>'TB-Jul'!$C$110</f>
        <v>0</v>
      </c>
      <c r="X150" s="47">
        <f>'TB-Aug'!$C$110</f>
        <v>0</v>
      </c>
      <c r="Y150" s="47">
        <f>'TB-Sep'!$C$110</f>
        <v>0</v>
      </c>
      <c r="Z150" s="47">
        <f>'TB-Oct'!$C$110</f>
        <v>0</v>
      </c>
      <c r="AA150" s="47">
        <f>'TB-Nov'!$C$110</f>
        <v>0</v>
      </c>
      <c r="AB150" s="47">
        <f>'TB-Dec'!$C$110</f>
        <v>0</v>
      </c>
    </row>
    <row r="151" spans="1:28" s="79" customFormat="1" ht="15.75" hidden="1" customHeight="1" outlineLevel="2">
      <c r="A151" s="33"/>
      <c r="B151" s="33"/>
      <c r="C151" s="33"/>
      <c r="D151" s="34" t="s">
        <v>180</v>
      </c>
      <c r="E151" s="31">
        <f t="shared" si="18"/>
        <v>0</v>
      </c>
      <c r="F151" s="31">
        <f>SUM($Q151:R151)</f>
        <v>0</v>
      </c>
      <c r="G151" s="31">
        <f>SUM($Q151:S151)</f>
        <v>0</v>
      </c>
      <c r="H151" s="103">
        <f>SUM($Q151:T151)</f>
        <v>0</v>
      </c>
      <c r="I151" s="103">
        <f>SUM($Q151:U151)</f>
        <v>0</v>
      </c>
      <c r="J151" s="103">
        <f>SUM($Q151:V151)</f>
        <v>0</v>
      </c>
      <c r="K151" s="103">
        <f>SUM($Q151:W151)</f>
        <v>0</v>
      </c>
      <c r="L151" s="103">
        <f>SUM($Q151:X151)</f>
        <v>0</v>
      </c>
      <c r="M151" s="103">
        <f>SUM($Q151:Y151)</f>
        <v>0</v>
      </c>
      <c r="N151" s="103">
        <f>SUM($Q151:Z151)</f>
        <v>0</v>
      </c>
      <c r="O151" s="103">
        <f>SUM($Q151:AA151)</f>
        <v>0</v>
      </c>
      <c r="P151" s="103">
        <f>SUM($Q151:AB151)</f>
        <v>0</v>
      </c>
      <c r="Q151" s="47">
        <f>'TB-Jan'!$D$111</f>
        <v>0</v>
      </c>
      <c r="R151" s="47">
        <f>'TB-Feb'!$D$111</f>
        <v>0</v>
      </c>
      <c r="S151" s="47">
        <f>'TB-Mar'!$D$111</f>
        <v>0</v>
      </c>
      <c r="T151" s="47">
        <f>'TB-Apr'!$D$111</f>
        <v>0</v>
      </c>
      <c r="U151" s="47">
        <f>'TB-May'!$D$111</f>
        <v>0</v>
      </c>
      <c r="V151" s="47">
        <f>'TB-Jun'!$D$111</f>
        <v>0</v>
      </c>
      <c r="W151" s="47">
        <f>'TB-Jul'!$D$111</f>
        <v>0</v>
      </c>
      <c r="X151" s="47">
        <f>'TB-Aug'!$D$111</f>
        <v>0</v>
      </c>
      <c r="Y151" s="47">
        <f>'TB-Sep'!$D$111</f>
        <v>0</v>
      </c>
      <c r="Z151" s="47">
        <f>'TB-Oct'!$D$111</f>
        <v>0</v>
      </c>
      <c r="AA151" s="47">
        <f>'TB-Nov'!$D$111</f>
        <v>0</v>
      </c>
      <c r="AB151" s="47">
        <f>'TB-Dec'!$D$111</f>
        <v>0</v>
      </c>
    </row>
    <row r="152" spans="1:28" s="78" customFormat="1" ht="15.75" hidden="1" customHeight="1" outlineLevel="1">
      <c r="A152" s="32"/>
      <c r="B152" s="32" t="s">
        <v>939</v>
      </c>
      <c r="C152" s="32"/>
      <c r="D152" s="35"/>
      <c r="E152" s="59">
        <f t="shared" si="18"/>
        <v>0</v>
      </c>
      <c r="F152" s="59">
        <f>SUM($Q152:R152)</f>
        <v>0</v>
      </c>
      <c r="G152" s="59">
        <f>SUM($Q152:S152)</f>
        <v>0</v>
      </c>
      <c r="H152" s="104">
        <f>SUM($Q152:T152)</f>
        <v>0</v>
      </c>
      <c r="I152" s="104">
        <f>SUM($Q152:U152)</f>
        <v>0</v>
      </c>
      <c r="J152" s="104">
        <f>SUM($Q152:V152)</f>
        <v>0</v>
      </c>
      <c r="K152" s="104">
        <f>SUM($Q152:W152)</f>
        <v>0</v>
      </c>
      <c r="L152" s="104">
        <f>SUM($Q152:X152)</f>
        <v>1000000</v>
      </c>
      <c r="M152" s="104">
        <f>SUM($Q152:Y152)</f>
        <v>1000000</v>
      </c>
      <c r="N152" s="104">
        <f>SUM($Q152:Z152)</f>
        <v>1000000</v>
      </c>
      <c r="O152" s="104">
        <f>SUM($Q152:AA152)</f>
        <v>1000000</v>
      </c>
      <c r="P152" s="104">
        <f>SUM($Q152:AB152)</f>
        <v>1000000</v>
      </c>
      <c r="Q152" s="46">
        <f>SUM(Q153,Q156,Q159,Q162,Q165,Q168,Q171,Q174,Q177,Q180,Q183,Q186)</f>
        <v>0</v>
      </c>
      <c r="R152" s="46">
        <f t="shared" ref="R152:AB152" si="58">SUM(R153,R156,R159,R162,R165,R168,R171,R174,R177,R180,R183,R186)</f>
        <v>0</v>
      </c>
      <c r="S152" s="46">
        <f t="shared" si="58"/>
        <v>0</v>
      </c>
      <c r="T152" s="46">
        <f t="shared" si="58"/>
        <v>0</v>
      </c>
      <c r="U152" s="46">
        <f t="shared" si="58"/>
        <v>0</v>
      </c>
      <c r="V152" s="46">
        <f t="shared" si="58"/>
        <v>0</v>
      </c>
      <c r="W152" s="46">
        <f t="shared" si="58"/>
        <v>0</v>
      </c>
      <c r="X152" s="46">
        <f t="shared" si="58"/>
        <v>1000000</v>
      </c>
      <c r="Y152" s="46">
        <f t="shared" si="58"/>
        <v>0</v>
      </c>
      <c r="Z152" s="46">
        <f t="shared" si="58"/>
        <v>0</v>
      </c>
      <c r="AA152" s="46">
        <f t="shared" si="58"/>
        <v>0</v>
      </c>
      <c r="AB152" s="46">
        <f t="shared" si="58"/>
        <v>0</v>
      </c>
    </row>
    <row r="153" spans="1:28" s="79" customFormat="1" ht="15.75" hidden="1" customHeight="1" outlineLevel="2">
      <c r="A153" s="33"/>
      <c r="B153" s="33"/>
      <c r="C153" s="34" t="s">
        <v>940</v>
      </c>
      <c r="D153" s="33"/>
      <c r="E153" s="31">
        <f t="shared" si="18"/>
        <v>0</v>
      </c>
      <c r="F153" s="31">
        <f>SUM($Q153:R153)</f>
        <v>0</v>
      </c>
      <c r="G153" s="31">
        <f>SUM($Q153:S153)</f>
        <v>0</v>
      </c>
      <c r="H153" s="103">
        <f>SUM($Q153:T153)</f>
        <v>0</v>
      </c>
      <c r="I153" s="103">
        <f>SUM($Q153:U153)</f>
        <v>0</v>
      </c>
      <c r="J153" s="103">
        <f>SUM($Q153:V153)</f>
        <v>0</v>
      </c>
      <c r="K153" s="103">
        <f>SUM($Q153:W153)</f>
        <v>0</v>
      </c>
      <c r="L153" s="103">
        <f>SUM($Q153:X153)</f>
        <v>0</v>
      </c>
      <c r="M153" s="103">
        <f>SUM($Q153:Y153)</f>
        <v>0</v>
      </c>
      <c r="N153" s="103">
        <f>SUM($Q153:Z153)</f>
        <v>0</v>
      </c>
      <c r="O153" s="103">
        <f>SUM($Q153:AA153)</f>
        <v>0</v>
      </c>
      <c r="P153" s="103">
        <f>SUM($Q153:AB153)</f>
        <v>0</v>
      </c>
      <c r="Q153" s="48">
        <f>Q154-Q155</f>
        <v>0</v>
      </c>
      <c r="R153" s="48">
        <f t="shared" ref="R153:AB153" si="59">R154-R155</f>
        <v>0</v>
      </c>
      <c r="S153" s="48">
        <f t="shared" si="59"/>
        <v>0</v>
      </c>
      <c r="T153" s="48">
        <f t="shared" si="59"/>
        <v>0</v>
      </c>
      <c r="U153" s="48">
        <f t="shared" si="59"/>
        <v>0</v>
      </c>
      <c r="V153" s="48">
        <f t="shared" si="59"/>
        <v>0</v>
      </c>
      <c r="W153" s="48">
        <f t="shared" si="59"/>
        <v>0</v>
      </c>
      <c r="X153" s="48">
        <f t="shared" si="59"/>
        <v>0</v>
      </c>
      <c r="Y153" s="48">
        <f t="shared" si="59"/>
        <v>0</v>
      </c>
      <c r="Z153" s="48">
        <f t="shared" si="59"/>
        <v>0</v>
      </c>
      <c r="AA153" s="48">
        <f t="shared" ref="AA153" si="60">AA154-AA155</f>
        <v>0</v>
      </c>
      <c r="AB153" s="48">
        <f t="shared" si="59"/>
        <v>0</v>
      </c>
    </row>
    <row r="154" spans="1:28" s="79" customFormat="1" ht="15.75" hidden="1" customHeight="1" outlineLevel="2">
      <c r="A154" s="33"/>
      <c r="B154" s="33"/>
      <c r="C154" s="33"/>
      <c r="D154" s="34" t="s">
        <v>182</v>
      </c>
      <c r="E154" s="31">
        <f t="shared" ref="E154:E206" si="61">SUM(Q154)</f>
        <v>0</v>
      </c>
      <c r="F154" s="31">
        <f>SUM($Q154:R154)</f>
        <v>0</v>
      </c>
      <c r="G154" s="31">
        <f>SUM($Q154:S154)</f>
        <v>0</v>
      </c>
      <c r="H154" s="103">
        <f>SUM($Q154:T154)</f>
        <v>0</v>
      </c>
      <c r="I154" s="103">
        <f>SUM($Q154:U154)</f>
        <v>0</v>
      </c>
      <c r="J154" s="103">
        <f>SUM($Q154:V154)</f>
        <v>0</v>
      </c>
      <c r="K154" s="103">
        <f>SUM($Q154:W154)</f>
        <v>0</v>
      </c>
      <c r="L154" s="103">
        <f>SUM($Q154:X154)</f>
        <v>0</v>
      </c>
      <c r="M154" s="103">
        <f>SUM($Q154:Y154)</f>
        <v>0</v>
      </c>
      <c r="N154" s="103">
        <f>SUM($Q154:Z154)</f>
        <v>0</v>
      </c>
      <c r="O154" s="103">
        <f>SUM($Q154:AA154)</f>
        <v>0</v>
      </c>
      <c r="P154" s="103">
        <f>SUM($Q154:AB154)</f>
        <v>0</v>
      </c>
      <c r="Q154" s="47">
        <f>'TB-Jan'!$C$112</f>
        <v>0</v>
      </c>
      <c r="R154" s="47">
        <f>'TB-Feb'!$C$112</f>
        <v>0</v>
      </c>
      <c r="S154" s="47">
        <f>'TB-Mar'!$C$112</f>
        <v>0</v>
      </c>
      <c r="T154" s="47">
        <f>'TB-Apr'!$C$112</f>
        <v>0</v>
      </c>
      <c r="U154" s="47">
        <f>'TB-May'!$C$112</f>
        <v>0</v>
      </c>
      <c r="V154" s="47">
        <f>'TB-Jun'!$C$112</f>
        <v>0</v>
      </c>
      <c r="W154" s="47">
        <f>'TB-Jul'!$C$112</f>
        <v>0</v>
      </c>
      <c r="X154" s="47">
        <f>'TB-Aug'!$C$112</f>
        <v>0</v>
      </c>
      <c r="Y154" s="47">
        <f>'TB-Sep'!$C$112</f>
        <v>0</v>
      </c>
      <c r="Z154" s="47">
        <f>'TB-Oct'!$C$112</f>
        <v>0</v>
      </c>
      <c r="AA154" s="47">
        <f>'TB-Nov'!$C$112</f>
        <v>0</v>
      </c>
      <c r="AB154" s="47">
        <f>'TB-Dec'!$C$112</f>
        <v>0</v>
      </c>
    </row>
    <row r="155" spans="1:28" s="79" customFormat="1" ht="15.75" hidden="1" customHeight="1" outlineLevel="2">
      <c r="A155" s="33"/>
      <c r="B155" s="33"/>
      <c r="C155" s="33"/>
      <c r="D155" s="34" t="s">
        <v>184</v>
      </c>
      <c r="E155" s="31">
        <f t="shared" si="61"/>
        <v>0</v>
      </c>
      <c r="F155" s="31">
        <f>SUM($Q155:R155)</f>
        <v>0</v>
      </c>
      <c r="G155" s="31">
        <f>SUM($Q155:S155)</f>
        <v>0</v>
      </c>
      <c r="H155" s="103">
        <f>SUM($Q155:T155)</f>
        <v>0</v>
      </c>
      <c r="I155" s="103">
        <f>SUM($Q155:U155)</f>
        <v>0</v>
      </c>
      <c r="J155" s="103">
        <f>SUM($Q155:V155)</f>
        <v>0</v>
      </c>
      <c r="K155" s="103">
        <f>SUM($Q155:W155)</f>
        <v>0</v>
      </c>
      <c r="L155" s="103">
        <f>SUM($Q155:X155)</f>
        <v>0</v>
      </c>
      <c r="M155" s="103">
        <f>SUM($Q155:Y155)</f>
        <v>0</v>
      </c>
      <c r="N155" s="103">
        <f>SUM($Q155:Z155)</f>
        <v>0</v>
      </c>
      <c r="O155" s="103">
        <f>SUM($Q155:AA155)</f>
        <v>0</v>
      </c>
      <c r="P155" s="103">
        <f>SUM($Q155:AB155)</f>
        <v>0</v>
      </c>
      <c r="Q155" s="47">
        <f>'TB-Jan'!$D$113</f>
        <v>0</v>
      </c>
      <c r="R155" s="47">
        <f>'TB-Feb'!$D$113</f>
        <v>0</v>
      </c>
      <c r="S155" s="47">
        <f>'TB-Mar'!$D$113</f>
        <v>0</v>
      </c>
      <c r="T155" s="47">
        <f>'TB-Apr'!$D$113</f>
        <v>0</v>
      </c>
      <c r="U155" s="47">
        <f>'TB-May'!$D$113</f>
        <v>0</v>
      </c>
      <c r="V155" s="47">
        <f>'TB-Jun'!$D$113</f>
        <v>0</v>
      </c>
      <c r="W155" s="47">
        <f>'TB-Jul'!$D$113</f>
        <v>0</v>
      </c>
      <c r="X155" s="47">
        <f>'TB-Aug'!$D$113</f>
        <v>0</v>
      </c>
      <c r="Y155" s="47">
        <f>'TB-Sep'!$D$113</f>
        <v>0</v>
      </c>
      <c r="Z155" s="47">
        <f>'TB-Oct'!$D$113</f>
        <v>0</v>
      </c>
      <c r="AA155" s="47">
        <f>'TB-Nov'!$D$113</f>
        <v>0</v>
      </c>
      <c r="AB155" s="47">
        <f>'TB-Dec'!$D$113</f>
        <v>0</v>
      </c>
    </row>
    <row r="156" spans="1:28" s="79" customFormat="1" ht="15.75" hidden="1" customHeight="1" outlineLevel="2">
      <c r="A156" s="33"/>
      <c r="B156" s="33"/>
      <c r="C156" s="34" t="s">
        <v>941</v>
      </c>
      <c r="D156" s="33"/>
      <c r="E156" s="31">
        <f t="shared" si="61"/>
        <v>0</v>
      </c>
      <c r="F156" s="31">
        <f>SUM($Q156:R156)</f>
        <v>0</v>
      </c>
      <c r="G156" s="31">
        <f>SUM($Q156:S156)</f>
        <v>0</v>
      </c>
      <c r="H156" s="103">
        <f>SUM($Q156:T156)</f>
        <v>0</v>
      </c>
      <c r="I156" s="103">
        <f>SUM($Q156:U156)</f>
        <v>0</v>
      </c>
      <c r="J156" s="103">
        <f>SUM($Q156:V156)</f>
        <v>0</v>
      </c>
      <c r="K156" s="103">
        <f>SUM($Q156:W156)</f>
        <v>0</v>
      </c>
      <c r="L156" s="103">
        <f>SUM($Q156:X156)</f>
        <v>1000000</v>
      </c>
      <c r="M156" s="103">
        <f>SUM($Q156:Y156)</f>
        <v>1000000</v>
      </c>
      <c r="N156" s="103">
        <f>SUM($Q156:Z156)</f>
        <v>1000000</v>
      </c>
      <c r="O156" s="103">
        <f>SUM($Q156:AA156)</f>
        <v>1000000</v>
      </c>
      <c r="P156" s="103">
        <f>SUM($Q156:AB156)</f>
        <v>1000000</v>
      </c>
      <c r="Q156" s="48">
        <f>Q157-Q158</f>
        <v>0</v>
      </c>
      <c r="R156" s="48">
        <f t="shared" ref="R156:AB156" si="62">R157-R158</f>
        <v>0</v>
      </c>
      <c r="S156" s="48">
        <f t="shared" si="62"/>
        <v>0</v>
      </c>
      <c r="T156" s="48">
        <f t="shared" si="62"/>
        <v>0</v>
      </c>
      <c r="U156" s="48">
        <f t="shared" si="62"/>
        <v>0</v>
      </c>
      <c r="V156" s="48">
        <f t="shared" si="62"/>
        <v>0</v>
      </c>
      <c r="W156" s="48">
        <f t="shared" si="62"/>
        <v>0</v>
      </c>
      <c r="X156" s="48">
        <f t="shared" si="62"/>
        <v>1000000</v>
      </c>
      <c r="Y156" s="48">
        <f t="shared" si="62"/>
        <v>0</v>
      </c>
      <c r="Z156" s="48">
        <f t="shared" si="62"/>
        <v>0</v>
      </c>
      <c r="AA156" s="48">
        <f t="shared" ref="AA156" si="63">AA157-AA158</f>
        <v>0</v>
      </c>
      <c r="AB156" s="48">
        <f t="shared" si="62"/>
        <v>0</v>
      </c>
    </row>
    <row r="157" spans="1:28" s="79" customFormat="1" ht="15.75" hidden="1" customHeight="1" outlineLevel="2">
      <c r="A157" s="33"/>
      <c r="B157" s="33"/>
      <c r="C157" s="33"/>
      <c r="D157" s="34" t="s">
        <v>186</v>
      </c>
      <c r="E157" s="31">
        <f t="shared" si="61"/>
        <v>0</v>
      </c>
      <c r="F157" s="31">
        <f>SUM($Q157:R157)</f>
        <v>0</v>
      </c>
      <c r="G157" s="31">
        <f>SUM($Q157:S157)</f>
        <v>0</v>
      </c>
      <c r="H157" s="103">
        <f>SUM($Q157:T157)</f>
        <v>0</v>
      </c>
      <c r="I157" s="103">
        <f>SUM($Q157:U157)</f>
        <v>0</v>
      </c>
      <c r="J157" s="103">
        <f>SUM($Q157:V157)</f>
        <v>0</v>
      </c>
      <c r="K157" s="103">
        <f>SUM($Q157:W157)</f>
        <v>0</v>
      </c>
      <c r="L157" s="103">
        <f>SUM($Q157:X157)</f>
        <v>1000000</v>
      </c>
      <c r="M157" s="103">
        <f>SUM($Q157:Y157)</f>
        <v>1000000</v>
      </c>
      <c r="N157" s="103">
        <f>SUM($Q157:Z157)</f>
        <v>1000000</v>
      </c>
      <c r="O157" s="103">
        <f>SUM($Q157:AA157)</f>
        <v>1000000</v>
      </c>
      <c r="P157" s="103">
        <f>SUM($Q157:AB157)</f>
        <v>1000000</v>
      </c>
      <c r="Q157" s="47">
        <f>'TB-Jan'!$C$114</f>
        <v>0</v>
      </c>
      <c r="R157" s="47">
        <f>'TB-Feb'!$C$114</f>
        <v>0</v>
      </c>
      <c r="S157" s="47">
        <f>'TB-Mar'!$C$114</f>
        <v>0</v>
      </c>
      <c r="T157" s="47">
        <f>'TB-Apr'!$C$114</f>
        <v>0</v>
      </c>
      <c r="U157" s="47">
        <f>'TB-May'!$C$114</f>
        <v>0</v>
      </c>
      <c r="V157" s="47">
        <f>'TB-Jun'!$C$114</f>
        <v>0</v>
      </c>
      <c r="W157" s="47">
        <f>'TB-Jul'!$C$114</f>
        <v>0</v>
      </c>
      <c r="X157" s="47">
        <f>'TB-Aug'!$C$114</f>
        <v>1000000</v>
      </c>
      <c r="Y157" s="47">
        <f>'TB-Sep'!$C$114</f>
        <v>0</v>
      </c>
      <c r="Z157" s="47">
        <f>'TB-Oct'!$C$114</f>
        <v>0</v>
      </c>
      <c r="AA157" s="47">
        <f>'TB-Nov'!$C$114</f>
        <v>0</v>
      </c>
      <c r="AB157" s="47">
        <f>'TB-Dec'!$C$114</f>
        <v>0</v>
      </c>
    </row>
    <row r="158" spans="1:28" s="79" customFormat="1" ht="15.75" hidden="1" customHeight="1" outlineLevel="2">
      <c r="A158" s="33"/>
      <c r="B158" s="33"/>
      <c r="C158" s="33"/>
      <c r="D158" s="34" t="s">
        <v>188</v>
      </c>
      <c r="E158" s="31">
        <f t="shared" si="61"/>
        <v>0</v>
      </c>
      <c r="F158" s="31">
        <f>SUM($Q158:R158)</f>
        <v>0</v>
      </c>
      <c r="G158" s="31">
        <f>SUM($Q158:S158)</f>
        <v>0</v>
      </c>
      <c r="H158" s="103">
        <f>SUM($Q158:T158)</f>
        <v>0</v>
      </c>
      <c r="I158" s="103">
        <f>SUM($Q158:U158)</f>
        <v>0</v>
      </c>
      <c r="J158" s="103">
        <f>SUM($Q158:V158)</f>
        <v>0</v>
      </c>
      <c r="K158" s="103">
        <f>SUM($Q158:W158)</f>
        <v>0</v>
      </c>
      <c r="L158" s="103">
        <f>SUM($Q158:X158)</f>
        <v>0</v>
      </c>
      <c r="M158" s="103">
        <f>SUM($Q158:Y158)</f>
        <v>0</v>
      </c>
      <c r="N158" s="103">
        <f>SUM($Q158:Z158)</f>
        <v>0</v>
      </c>
      <c r="O158" s="103">
        <f>SUM($Q158:AA158)</f>
        <v>0</v>
      </c>
      <c r="P158" s="103">
        <f>SUM($Q158:AB158)</f>
        <v>0</v>
      </c>
      <c r="Q158" s="47">
        <f>'TB-Jan'!$D$115</f>
        <v>0</v>
      </c>
      <c r="R158" s="47">
        <f>'TB-Feb'!$D$115</f>
        <v>0</v>
      </c>
      <c r="S158" s="47">
        <f>'TB-Mar'!$D$115</f>
        <v>0</v>
      </c>
      <c r="T158" s="47">
        <f>'TB-Apr'!$D$115</f>
        <v>0</v>
      </c>
      <c r="U158" s="47">
        <f>'TB-May'!$D$115</f>
        <v>0</v>
      </c>
      <c r="V158" s="47">
        <f>'TB-Jun'!$D$115</f>
        <v>0</v>
      </c>
      <c r="W158" s="47">
        <f>'TB-Jul'!$D$115</f>
        <v>0</v>
      </c>
      <c r="X158" s="47">
        <f>'TB-Aug'!$D$115</f>
        <v>0</v>
      </c>
      <c r="Y158" s="47">
        <f>'TB-Sep'!$D$115</f>
        <v>0</v>
      </c>
      <c r="Z158" s="47">
        <f>'TB-Oct'!$D$115</f>
        <v>0</v>
      </c>
      <c r="AA158" s="47">
        <f>'TB-Nov'!$D$115</f>
        <v>0</v>
      </c>
      <c r="AB158" s="47">
        <f>'TB-Dec'!$D$115</f>
        <v>0</v>
      </c>
    </row>
    <row r="159" spans="1:28" s="79" customFormat="1" ht="15.75" hidden="1" customHeight="1" outlineLevel="2">
      <c r="A159" s="33"/>
      <c r="B159" s="33"/>
      <c r="C159" s="34" t="s">
        <v>942</v>
      </c>
      <c r="D159" s="33"/>
      <c r="E159" s="31">
        <f t="shared" si="61"/>
        <v>0</v>
      </c>
      <c r="F159" s="31">
        <f>SUM($Q159:R159)</f>
        <v>0</v>
      </c>
      <c r="G159" s="31">
        <f>SUM($Q159:S159)</f>
        <v>0</v>
      </c>
      <c r="H159" s="103">
        <f>SUM($Q159:T159)</f>
        <v>0</v>
      </c>
      <c r="I159" s="103">
        <f>SUM($Q159:U159)</f>
        <v>0</v>
      </c>
      <c r="J159" s="103">
        <f>SUM($Q159:V159)</f>
        <v>0</v>
      </c>
      <c r="K159" s="103">
        <f>SUM($Q159:W159)</f>
        <v>0</v>
      </c>
      <c r="L159" s="103">
        <f>SUM($Q159:X159)</f>
        <v>0</v>
      </c>
      <c r="M159" s="103">
        <f>SUM($Q159:Y159)</f>
        <v>0</v>
      </c>
      <c r="N159" s="103">
        <f>SUM($Q159:Z159)</f>
        <v>0</v>
      </c>
      <c r="O159" s="103">
        <f>SUM($Q159:AA159)</f>
        <v>0</v>
      </c>
      <c r="P159" s="103">
        <f>SUM($Q159:AB159)</f>
        <v>0</v>
      </c>
      <c r="Q159" s="48">
        <f>Q160-Q161</f>
        <v>0</v>
      </c>
      <c r="R159" s="48">
        <f t="shared" ref="R159:AB159" si="64">R160-R161</f>
        <v>0</v>
      </c>
      <c r="S159" s="48">
        <f t="shared" si="64"/>
        <v>0</v>
      </c>
      <c r="T159" s="48">
        <f t="shared" si="64"/>
        <v>0</v>
      </c>
      <c r="U159" s="48">
        <f t="shared" si="64"/>
        <v>0</v>
      </c>
      <c r="V159" s="48">
        <f t="shared" si="64"/>
        <v>0</v>
      </c>
      <c r="W159" s="48">
        <f t="shared" si="64"/>
        <v>0</v>
      </c>
      <c r="X159" s="48">
        <f t="shared" si="64"/>
        <v>0</v>
      </c>
      <c r="Y159" s="48">
        <f t="shared" si="64"/>
        <v>0</v>
      </c>
      <c r="Z159" s="48">
        <f t="shared" si="64"/>
        <v>0</v>
      </c>
      <c r="AA159" s="48">
        <f t="shared" ref="AA159" si="65">AA160-AA161</f>
        <v>0</v>
      </c>
      <c r="AB159" s="48">
        <f t="shared" si="64"/>
        <v>0</v>
      </c>
    </row>
    <row r="160" spans="1:28" s="79" customFormat="1" ht="15.75" hidden="1" customHeight="1" outlineLevel="2">
      <c r="A160" s="33"/>
      <c r="B160" s="33"/>
      <c r="C160" s="33"/>
      <c r="D160" s="34" t="s">
        <v>190</v>
      </c>
      <c r="E160" s="31">
        <f t="shared" si="61"/>
        <v>0</v>
      </c>
      <c r="F160" s="31">
        <f>SUM($Q160:R160)</f>
        <v>0</v>
      </c>
      <c r="G160" s="31">
        <f>SUM($Q160:S160)</f>
        <v>0</v>
      </c>
      <c r="H160" s="103">
        <f>SUM($Q160:T160)</f>
        <v>0</v>
      </c>
      <c r="I160" s="103">
        <f>SUM($Q160:U160)</f>
        <v>0</v>
      </c>
      <c r="J160" s="103">
        <f>SUM($Q160:V160)</f>
        <v>0</v>
      </c>
      <c r="K160" s="103">
        <f>SUM($Q160:W160)</f>
        <v>0</v>
      </c>
      <c r="L160" s="103">
        <f>SUM($Q160:X160)</f>
        <v>0</v>
      </c>
      <c r="M160" s="103">
        <f>SUM($Q160:Y160)</f>
        <v>0</v>
      </c>
      <c r="N160" s="103">
        <f>SUM($Q160:Z160)</f>
        <v>0</v>
      </c>
      <c r="O160" s="103">
        <f>SUM($Q160:AA160)</f>
        <v>0</v>
      </c>
      <c r="P160" s="103">
        <f>SUM($Q160:AB160)</f>
        <v>0</v>
      </c>
      <c r="Q160" s="47">
        <f>'TB-Jan'!$C$116</f>
        <v>0</v>
      </c>
      <c r="R160" s="47">
        <f>'TB-Feb'!$C$116</f>
        <v>0</v>
      </c>
      <c r="S160" s="47">
        <f>'TB-Mar'!$C$116</f>
        <v>0</v>
      </c>
      <c r="T160" s="47">
        <f>'TB-Apr'!$C$116</f>
        <v>0</v>
      </c>
      <c r="U160" s="47">
        <f>'TB-May'!$C$116</f>
        <v>0</v>
      </c>
      <c r="V160" s="47">
        <f>'TB-Jun'!$C$116</f>
        <v>0</v>
      </c>
      <c r="W160" s="47">
        <f>'TB-Jul'!$C$116</f>
        <v>0</v>
      </c>
      <c r="X160" s="47">
        <f>'TB-Aug'!$C$116</f>
        <v>0</v>
      </c>
      <c r="Y160" s="47">
        <f>'TB-Sep'!$C$116</f>
        <v>0</v>
      </c>
      <c r="Z160" s="47">
        <f>'TB-Oct'!$C$116</f>
        <v>0</v>
      </c>
      <c r="AA160" s="47">
        <f>'TB-Nov'!$C$116</f>
        <v>0</v>
      </c>
      <c r="AB160" s="47">
        <f>'TB-Dec'!$C$116</f>
        <v>0</v>
      </c>
    </row>
    <row r="161" spans="1:28" s="79" customFormat="1" ht="15.75" hidden="1" customHeight="1" outlineLevel="2">
      <c r="A161" s="33"/>
      <c r="B161" s="33"/>
      <c r="C161" s="33"/>
      <c r="D161" s="34" t="s">
        <v>192</v>
      </c>
      <c r="E161" s="31">
        <f t="shared" si="61"/>
        <v>0</v>
      </c>
      <c r="F161" s="31">
        <f>SUM($Q161:R161)</f>
        <v>0</v>
      </c>
      <c r="G161" s="31">
        <f>SUM($Q161:S161)</f>
        <v>0</v>
      </c>
      <c r="H161" s="103">
        <f>SUM($Q161:T161)</f>
        <v>0</v>
      </c>
      <c r="I161" s="103">
        <f>SUM($Q161:U161)</f>
        <v>0</v>
      </c>
      <c r="J161" s="103">
        <f>SUM($Q161:V161)</f>
        <v>0</v>
      </c>
      <c r="K161" s="103">
        <f>SUM($Q161:W161)</f>
        <v>0</v>
      </c>
      <c r="L161" s="103">
        <f>SUM($Q161:X161)</f>
        <v>0</v>
      </c>
      <c r="M161" s="103">
        <f>SUM($Q161:Y161)</f>
        <v>0</v>
      </c>
      <c r="N161" s="103">
        <f>SUM($Q161:Z161)</f>
        <v>0</v>
      </c>
      <c r="O161" s="103">
        <f>SUM($Q161:AA161)</f>
        <v>0</v>
      </c>
      <c r="P161" s="103">
        <f>SUM($Q161:AB161)</f>
        <v>0</v>
      </c>
      <c r="Q161" s="47">
        <f>'TB-Jan'!$D$117</f>
        <v>0</v>
      </c>
      <c r="R161" s="47">
        <f>'TB-Feb'!$D$117</f>
        <v>0</v>
      </c>
      <c r="S161" s="47">
        <f>'TB-Mar'!$D$117</f>
        <v>0</v>
      </c>
      <c r="T161" s="47">
        <f>'TB-Apr'!$D$117</f>
        <v>0</v>
      </c>
      <c r="U161" s="47">
        <f>'TB-May'!$D$117</f>
        <v>0</v>
      </c>
      <c r="V161" s="47">
        <f>'TB-Jun'!$D$117</f>
        <v>0</v>
      </c>
      <c r="W161" s="47">
        <f>'TB-Jul'!$D$117</f>
        <v>0</v>
      </c>
      <c r="X161" s="47">
        <f>'TB-Aug'!$D$117</f>
        <v>0</v>
      </c>
      <c r="Y161" s="47">
        <f>'TB-Sep'!$D$117</f>
        <v>0</v>
      </c>
      <c r="Z161" s="47">
        <f>'TB-Oct'!$D$117</f>
        <v>0</v>
      </c>
      <c r="AA161" s="47">
        <f>'TB-Nov'!$D$117</f>
        <v>0</v>
      </c>
      <c r="AB161" s="47">
        <f>'TB-Dec'!$D$117</f>
        <v>0</v>
      </c>
    </row>
    <row r="162" spans="1:28" s="79" customFormat="1" ht="15.75" hidden="1" customHeight="1" outlineLevel="2">
      <c r="A162" s="33"/>
      <c r="B162" s="33"/>
      <c r="C162" s="34" t="s">
        <v>943</v>
      </c>
      <c r="D162" s="33"/>
      <c r="E162" s="31">
        <f t="shared" si="61"/>
        <v>0</v>
      </c>
      <c r="F162" s="31">
        <f>SUM($Q162:R162)</f>
        <v>0</v>
      </c>
      <c r="G162" s="31">
        <f>SUM($Q162:S162)</f>
        <v>0</v>
      </c>
      <c r="H162" s="103">
        <f>SUM($Q162:T162)</f>
        <v>0</v>
      </c>
      <c r="I162" s="103">
        <f>SUM($Q162:U162)</f>
        <v>0</v>
      </c>
      <c r="J162" s="103">
        <f>SUM($Q162:V162)</f>
        <v>0</v>
      </c>
      <c r="K162" s="103">
        <f>SUM($Q162:W162)</f>
        <v>0</v>
      </c>
      <c r="L162" s="103">
        <f>SUM($Q162:X162)</f>
        <v>0</v>
      </c>
      <c r="M162" s="103">
        <f>SUM($Q162:Y162)</f>
        <v>0</v>
      </c>
      <c r="N162" s="103">
        <f>SUM($Q162:Z162)</f>
        <v>0</v>
      </c>
      <c r="O162" s="103">
        <f>SUM($Q162:AA162)</f>
        <v>0</v>
      </c>
      <c r="P162" s="103">
        <f>SUM($Q162:AB162)</f>
        <v>0</v>
      </c>
      <c r="Q162" s="48">
        <f>Q163-Q164</f>
        <v>0</v>
      </c>
      <c r="R162" s="48">
        <f t="shared" ref="R162:AB162" si="66">R163-R164</f>
        <v>0</v>
      </c>
      <c r="S162" s="48">
        <f t="shared" si="66"/>
        <v>0</v>
      </c>
      <c r="T162" s="48">
        <f t="shared" si="66"/>
        <v>0</v>
      </c>
      <c r="U162" s="48">
        <f t="shared" si="66"/>
        <v>0</v>
      </c>
      <c r="V162" s="48">
        <f t="shared" si="66"/>
        <v>0</v>
      </c>
      <c r="W162" s="48">
        <f t="shared" si="66"/>
        <v>0</v>
      </c>
      <c r="X162" s="48">
        <f t="shared" si="66"/>
        <v>0</v>
      </c>
      <c r="Y162" s="48">
        <f t="shared" si="66"/>
        <v>0</v>
      </c>
      <c r="Z162" s="48">
        <f t="shared" si="66"/>
        <v>0</v>
      </c>
      <c r="AA162" s="48">
        <f t="shared" ref="AA162" si="67">AA163-AA164</f>
        <v>0</v>
      </c>
      <c r="AB162" s="48">
        <f t="shared" si="66"/>
        <v>0</v>
      </c>
    </row>
    <row r="163" spans="1:28" s="79" customFormat="1" ht="15.75" hidden="1" customHeight="1" outlineLevel="2">
      <c r="A163" s="33"/>
      <c r="B163" s="33"/>
      <c r="C163" s="33"/>
      <c r="D163" s="34" t="s">
        <v>194</v>
      </c>
      <c r="E163" s="31">
        <f t="shared" si="61"/>
        <v>0</v>
      </c>
      <c r="F163" s="31">
        <f>SUM($Q163:R163)</f>
        <v>0</v>
      </c>
      <c r="G163" s="31">
        <f>SUM($Q163:S163)</f>
        <v>0</v>
      </c>
      <c r="H163" s="103">
        <f>SUM($Q163:T163)</f>
        <v>0</v>
      </c>
      <c r="I163" s="103">
        <f>SUM($Q163:U163)</f>
        <v>0</v>
      </c>
      <c r="J163" s="103">
        <f>SUM($Q163:V163)</f>
        <v>0</v>
      </c>
      <c r="K163" s="103">
        <f>SUM($Q163:W163)</f>
        <v>0</v>
      </c>
      <c r="L163" s="103">
        <f>SUM($Q163:X163)</f>
        <v>0</v>
      </c>
      <c r="M163" s="103">
        <f>SUM($Q163:Y163)</f>
        <v>0</v>
      </c>
      <c r="N163" s="103">
        <f>SUM($Q163:Z163)</f>
        <v>0</v>
      </c>
      <c r="O163" s="103">
        <f>SUM($Q163:AA163)</f>
        <v>0</v>
      </c>
      <c r="P163" s="103">
        <f>SUM($Q163:AB163)</f>
        <v>0</v>
      </c>
      <c r="Q163" s="47">
        <f>'TB-Jan'!$C$118</f>
        <v>0</v>
      </c>
      <c r="R163" s="47">
        <f>'TB-Feb'!$C$118</f>
        <v>0</v>
      </c>
      <c r="S163" s="47">
        <f>'TB-Mar'!$C$118</f>
        <v>0</v>
      </c>
      <c r="T163" s="47">
        <f>'TB-Apr'!$C$118</f>
        <v>0</v>
      </c>
      <c r="U163" s="47">
        <f>'TB-May'!$C$118</f>
        <v>0</v>
      </c>
      <c r="V163" s="47">
        <f>'TB-Jun'!$C$118</f>
        <v>0</v>
      </c>
      <c r="W163" s="47">
        <f>'TB-Jul'!$C$118</f>
        <v>0</v>
      </c>
      <c r="X163" s="47">
        <f>'TB-Aug'!$C$118</f>
        <v>0</v>
      </c>
      <c r="Y163" s="47">
        <f>'TB-Sep'!$C$118</f>
        <v>0</v>
      </c>
      <c r="Z163" s="47">
        <f>'TB-Oct'!$C$118</f>
        <v>0</v>
      </c>
      <c r="AA163" s="47">
        <f>'TB-Nov'!$C$118</f>
        <v>0</v>
      </c>
      <c r="AB163" s="47">
        <f>'TB-Dec'!$C$118</f>
        <v>0</v>
      </c>
    </row>
    <row r="164" spans="1:28" s="79" customFormat="1" ht="15.75" hidden="1" customHeight="1" outlineLevel="2">
      <c r="A164" s="33"/>
      <c r="B164" s="33"/>
      <c r="C164" s="33"/>
      <c r="D164" s="34" t="s">
        <v>944</v>
      </c>
      <c r="E164" s="31">
        <f t="shared" si="61"/>
        <v>0</v>
      </c>
      <c r="F164" s="31">
        <f>SUM($Q164:R164)</f>
        <v>0</v>
      </c>
      <c r="G164" s="31">
        <f>SUM($Q164:S164)</f>
        <v>0</v>
      </c>
      <c r="H164" s="103">
        <f>SUM($Q164:T164)</f>
        <v>0</v>
      </c>
      <c r="I164" s="103">
        <f>SUM($Q164:U164)</f>
        <v>0</v>
      </c>
      <c r="J164" s="103">
        <f>SUM($Q164:V164)</f>
        <v>0</v>
      </c>
      <c r="K164" s="103">
        <f>SUM($Q164:W164)</f>
        <v>0</v>
      </c>
      <c r="L164" s="103">
        <f>SUM($Q164:X164)</f>
        <v>0</v>
      </c>
      <c r="M164" s="103">
        <f>SUM($Q164:Y164)</f>
        <v>0</v>
      </c>
      <c r="N164" s="103">
        <f>SUM($Q164:Z164)</f>
        <v>0</v>
      </c>
      <c r="O164" s="103">
        <f>SUM($Q164:AA164)</f>
        <v>0</v>
      </c>
      <c r="P164" s="103">
        <f>SUM($Q164:AB164)</f>
        <v>0</v>
      </c>
      <c r="Q164" s="47">
        <f>'TB-Jan'!$D$119</f>
        <v>0</v>
      </c>
      <c r="R164" s="47">
        <f>'TB-Feb'!$D$119</f>
        <v>0</v>
      </c>
      <c r="S164" s="47">
        <f>'TB-Mar'!$D$119</f>
        <v>0</v>
      </c>
      <c r="T164" s="47">
        <f>'TB-Apr'!$D$119</f>
        <v>0</v>
      </c>
      <c r="U164" s="47">
        <f>'TB-May'!$D$119</f>
        <v>0</v>
      </c>
      <c r="V164" s="47">
        <f>'TB-Jun'!$D$119</f>
        <v>0</v>
      </c>
      <c r="W164" s="47">
        <f>'TB-Jul'!$D$119</f>
        <v>0</v>
      </c>
      <c r="X164" s="47">
        <f>'TB-Aug'!$D$119</f>
        <v>0</v>
      </c>
      <c r="Y164" s="47">
        <f>'TB-Sep'!$D$119</f>
        <v>0</v>
      </c>
      <c r="Z164" s="47">
        <f>'TB-Oct'!$D$119</f>
        <v>0</v>
      </c>
      <c r="AA164" s="47">
        <f>'TB-Nov'!$D$119</f>
        <v>0</v>
      </c>
      <c r="AB164" s="47">
        <f>'TB-Dec'!$D$119</f>
        <v>0</v>
      </c>
    </row>
    <row r="165" spans="1:28" s="79" customFormat="1" ht="15.75" hidden="1" customHeight="1" outlineLevel="2">
      <c r="A165" s="33"/>
      <c r="B165" s="33"/>
      <c r="C165" s="34" t="s">
        <v>945</v>
      </c>
      <c r="D165" s="33"/>
      <c r="E165" s="31">
        <f t="shared" si="61"/>
        <v>0</v>
      </c>
      <c r="F165" s="31">
        <f>SUM($Q165:R165)</f>
        <v>0</v>
      </c>
      <c r="G165" s="31">
        <f>SUM($Q165:S165)</f>
        <v>0</v>
      </c>
      <c r="H165" s="103">
        <f>SUM($Q165:T165)</f>
        <v>0</v>
      </c>
      <c r="I165" s="103">
        <f>SUM($Q165:U165)</f>
        <v>0</v>
      </c>
      <c r="J165" s="103">
        <f>SUM($Q165:V165)</f>
        <v>0</v>
      </c>
      <c r="K165" s="103">
        <f>SUM($Q165:W165)</f>
        <v>0</v>
      </c>
      <c r="L165" s="103">
        <f>SUM($Q165:X165)</f>
        <v>0</v>
      </c>
      <c r="M165" s="103">
        <f>SUM($Q165:Y165)</f>
        <v>0</v>
      </c>
      <c r="N165" s="103">
        <f>SUM($Q165:Z165)</f>
        <v>0</v>
      </c>
      <c r="O165" s="103">
        <f>SUM($Q165:AA165)</f>
        <v>0</v>
      </c>
      <c r="P165" s="103">
        <f>SUM($Q165:AB165)</f>
        <v>0</v>
      </c>
      <c r="Q165" s="48">
        <f>Q166-Q167</f>
        <v>0</v>
      </c>
      <c r="R165" s="48">
        <f t="shared" ref="R165:AB165" si="68">R166-R167</f>
        <v>0</v>
      </c>
      <c r="S165" s="48">
        <f t="shared" si="68"/>
        <v>0</v>
      </c>
      <c r="T165" s="48">
        <f t="shared" si="68"/>
        <v>0</v>
      </c>
      <c r="U165" s="48">
        <f t="shared" si="68"/>
        <v>0</v>
      </c>
      <c r="V165" s="48">
        <f t="shared" si="68"/>
        <v>0</v>
      </c>
      <c r="W165" s="48">
        <f t="shared" si="68"/>
        <v>0</v>
      </c>
      <c r="X165" s="48">
        <f t="shared" si="68"/>
        <v>0</v>
      </c>
      <c r="Y165" s="48">
        <f t="shared" si="68"/>
        <v>0</v>
      </c>
      <c r="Z165" s="48">
        <f t="shared" si="68"/>
        <v>0</v>
      </c>
      <c r="AA165" s="48">
        <f t="shared" ref="AA165" si="69">AA166-AA167</f>
        <v>0</v>
      </c>
      <c r="AB165" s="48">
        <f t="shared" si="68"/>
        <v>0</v>
      </c>
    </row>
    <row r="166" spans="1:28" s="79" customFormat="1" ht="15.75" hidden="1" customHeight="1" outlineLevel="2">
      <c r="A166" s="33"/>
      <c r="B166" s="33"/>
      <c r="C166" s="33"/>
      <c r="D166" s="34" t="s">
        <v>198</v>
      </c>
      <c r="E166" s="31">
        <f t="shared" si="61"/>
        <v>0</v>
      </c>
      <c r="F166" s="31">
        <f>SUM($Q166:R166)</f>
        <v>0</v>
      </c>
      <c r="G166" s="31">
        <f>SUM($Q166:S166)</f>
        <v>0</v>
      </c>
      <c r="H166" s="103">
        <f>SUM($Q166:T166)</f>
        <v>0</v>
      </c>
      <c r="I166" s="103">
        <f>SUM($Q166:U166)</f>
        <v>0</v>
      </c>
      <c r="J166" s="103">
        <f>SUM($Q166:V166)</f>
        <v>0</v>
      </c>
      <c r="K166" s="103">
        <f>SUM($Q166:W166)</f>
        <v>0</v>
      </c>
      <c r="L166" s="103">
        <f>SUM($Q166:X166)</f>
        <v>0</v>
      </c>
      <c r="M166" s="103">
        <f>SUM($Q166:Y166)</f>
        <v>0</v>
      </c>
      <c r="N166" s="103">
        <f>SUM($Q166:Z166)</f>
        <v>0</v>
      </c>
      <c r="O166" s="103">
        <f>SUM($Q166:AA166)</f>
        <v>0</v>
      </c>
      <c r="P166" s="103">
        <f>SUM($Q166:AB166)</f>
        <v>0</v>
      </c>
      <c r="Q166" s="47">
        <f>'TB-Jan'!$C$120</f>
        <v>0</v>
      </c>
      <c r="R166" s="47">
        <f>'TB-Feb'!$C$120</f>
        <v>0</v>
      </c>
      <c r="S166" s="47">
        <f>'TB-Mar'!$C$120</f>
        <v>0</v>
      </c>
      <c r="T166" s="47">
        <f>'TB-Apr'!$C$120</f>
        <v>0</v>
      </c>
      <c r="U166" s="47">
        <f>'TB-May'!$C$120</f>
        <v>0</v>
      </c>
      <c r="V166" s="47">
        <f>'TB-Jun'!$C$120</f>
        <v>0</v>
      </c>
      <c r="W166" s="47">
        <f>'TB-Jul'!$C$120</f>
        <v>0</v>
      </c>
      <c r="X166" s="47">
        <f>'TB-Aug'!$C$120</f>
        <v>0</v>
      </c>
      <c r="Y166" s="47">
        <f>'TB-Sep'!$C$120</f>
        <v>0</v>
      </c>
      <c r="Z166" s="47">
        <f>'TB-Oct'!$C$120</f>
        <v>0</v>
      </c>
      <c r="AA166" s="47">
        <f>'TB-Nov'!$C$120</f>
        <v>0</v>
      </c>
      <c r="AB166" s="47">
        <f>'TB-Dec'!$C$120</f>
        <v>0</v>
      </c>
    </row>
    <row r="167" spans="1:28" s="79" customFormat="1" ht="15.75" hidden="1" customHeight="1" outlineLevel="2">
      <c r="A167" s="33"/>
      <c r="B167" s="33"/>
      <c r="C167" s="33"/>
      <c r="D167" s="34" t="s">
        <v>200</v>
      </c>
      <c r="E167" s="31">
        <f t="shared" si="61"/>
        <v>0</v>
      </c>
      <c r="F167" s="31">
        <f>SUM($Q167:R167)</f>
        <v>0</v>
      </c>
      <c r="G167" s="31">
        <f>SUM($Q167:S167)</f>
        <v>0</v>
      </c>
      <c r="H167" s="103">
        <f>SUM($Q167:T167)</f>
        <v>0</v>
      </c>
      <c r="I167" s="103">
        <f>SUM($Q167:U167)</f>
        <v>0</v>
      </c>
      <c r="J167" s="103">
        <f>SUM($Q167:V167)</f>
        <v>0</v>
      </c>
      <c r="K167" s="103">
        <f>SUM($Q167:W167)</f>
        <v>0</v>
      </c>
      <c r="L167" s="103">
        <f>SUM($Q167:X167)</f>
        <v>0</v>
      </c>
      <c r="M167" s="103">
        <f>SUM($Q167:Y167)</f>
        <v>0</v>
      </c>
      <c r="N167" s="103">
        <f>SUM($Q167:Z167)</f>
        <v>0</v>
      </c>
      <c r="O167" s="103">
        <f>SUM($Q167:AA167)</f>
        <v>0</v>
      </c>
      <c r="P167" s="103">
        <f>SUM($Q167:AB167)</f>
        <v>0</v>
      </c>
      <c r="Q167" s="47">
        <f>'TB-Jan'!$D$121</f>
        <v>0</v>
      </c>
      <c r="R167" s="47">
        <f>'TB-Feb'!$D$121</f>
        <v>0</v>
      </c>
      <c r="S167" s="47">
        <f>'TB-Mar'!$D$121</f>
        <v>0</v>
      </c>
      <c r="T167" s="47">
        <f>'TB-Apr'!$D$121</f>
        <v>0</v>
      </c>
      <c r="U167" s="47">
        <f>'TB-May'!$D$121</f>
        <v>0</v>
      </c>
      <c r="V167" s="47">
        <f>'TB-Jun'!$D$121</f>
        <v>0</v>
      </c>
      <c r="W167" s="47">
        <f>'TB-Jul'!$D$121</f>
        <v>0</v>
      </c>
      <c r="X167" s="47">
        <f>'TB-Aug'!$D$121</f>
        <v>0</v>
      </c>
      <c r="Y167" s="47">
        <f>'TB-Sep'!$D$121</f>
        <v>0</v>
      </c>
      <c r="Z167" s="47">
        <f>'TB-Oct'!$D$121</f>
        <v>0</v>
      </c>
      <c r="AA167" s="47">
        <f>'TB-Nov'!$D$121</f>
        <v>0</v>
      </c>
      <c r="AB167" s="47">
        <f>'TB-Dec'!$D$121</f>
        <v>0</v>
      </c>
    </row>
    <row r="168" spans="1:28" s="79" customFormat="1" ht="15.75" hidden="1" customHeight="1" outlineLevel="2">
      <c r="A168" s="33"/>
      <c r="B168" s="33"/>
      <c r="C168" s="34" t="s">
        <v>946</v>
      </c>
      <c r="D168" s="33"/>
      <c r="E168" s="31">
        <f t="shared" si="61"/>
        <v>0</v>
      </c>
      <c r="F168" s="31">
        <f>SUM($Q168:R168)</f>
        <v>0</v>
      </c>
      <c r="G168" s="31">
        <f>SUM($Q168:S168)</f>
        <v>0</v>
      </c>
      <c r="H168" s="103">
        <f>SUM($Q168:T168)</f>
        <v>0</v>
      </c>
      <c r="I168" s="103">
        <f>SUM($Q168:U168)</f>
        <v>0</v>
      </c>
      <c r="J168" s="103">
        <f>SUM($Q168:V168)</f>
        <v>0</v>
      </c>
      <c r="K168" s="103">
        <f>SUM($Q168:W168)</f>
        <v>0</v>
      </c>
      <c r="L168" s="103">
        <f>SUM($Q168:X168)</f>
        <v>0</v>
      </c>
      <c r="M168" s="103">
        <f>SUM($Q168:Y168)</f>
        <v>0</v>
      </c>
      <c r="N168" s="103">
        <f>SUM($Q168:Z168)</f>
        <v>0</v>
      </c>
      <c r="O168" s="103">
        <f>SUM($Q168:AA168)</f>
        <v>0</v>
      </c>
      <c r="P168" s="103">
        <f>SUM($Q168:AB168)</f>
        <v>0</v>
      </c>
      <c r="Q168" s="48">
        <f>Q169-Q170</f>
        <v>0</v>
      </c>
      <c r="R168" s="48">
        <f t="shared" ref="R168:AB168" si="70">R169-R170</f>
        <v>0</v>
      </c>
      <c r="S168" s="48">
        <f t="shared" si="70"/>
        <v>0</v>
      </c>
      <c r="T168" s="48">
        <f t="shared" si="70"/>
        <v>0</v>
      </c>
      <c r="U168" s="48">
        <f t="shared" si="70"/>
        <v>0</v>
      </c>
      <c r="V168" s="48">
        <f t="shared" si="70"/>
        <v>0</v>
      </c>
      <c r="W168" s="48">
        <f t="shared" si="70"/>
        <v>0</v>
      </c>
      <c r="X168" s="48">
        <f t="shared" si="70"/>
        <v>0</v>
      </c>
      <c r="Y168" s="48">
        <f t="shared" si="70"/>
        <v>0</v>
      </c>
      <c r="Z168" s="48">
        <f t="shared" si="70"/>
        <v>0</v>
      </c>
      <c r="AA168" s="48">
        <f t="shared" ref="AA168" si="71">AA169-AA170</f>
        <v>0</v>
      </c>
      <c r="AB168" s="48">
        <f t="shared" si="70"/>
        <v>0</v>
      </c>
    </row>
    <row r="169" spans="1:28" s="79" customFormat="1" ht="15.75" hidden="1" customHeight="1" outlineLevel="2">
      <c r="A169" s="33"/>
      <c r="B169" s="33"/>
      <c r="C169" s="33"/>
      <c r="D169" s="34" t="s">
        <v>202</v>
      </c>
      <c r="E169" s="31">
        <f t="shared" si="61"/>
        <v>0</v>
      </c>
      <c r="F169" s="31">
        <f>SUM($Q169:R169)</f>
        <v>0</v>
      </c>
      <c r="G169" s="31">
        <f>SUM($Q169:S169)</f>
        <v>0</v>
      </c>
      <c r="H169" s="103">
        <f>SUM($Q169:T169)</f>
        <v>0</v>
      </c>
      <c r="I169" s="103">
        <f>SUM($Q169:U169)</f>
        <v>0</v>
      </c>
      <c r="J169" s="103">
        <f>SUM($Q169:V169)</f>
        <v>0</v>
      </c>
      <c r="K169" s="103">
        <f>SUM($Q169:W169)</f>
        <v>0</v>
      </c>
      <c r="L169" s="103">
        <f>SUM($Q169:X169)</f>
        <v>0</v>
      </c>
      <c r="M169" s="103">
        <f>SUM($Q169:Y169)</f>
        <v>0</v>
      </c>
      <c r="N169" s="103">
        <f>SUM($Q169:Z169)</f>
        <v>0</v>
      </c>
      <c r="O169" s="103">
        <f>SUM($Q169:AA169)</f>
        <v>0</v>
      </c>
      <c r="P169" s="103">
        <f>SUM($Q169:AB169)</f>
        <v>0</v>
      </c>
      <c r="Q169" s="47">
        <f>'TB-Jan'!$C$122</f>
        <v>0</v>
      </c>
      <c r="R169" s="47">
        <f>'TB-Feb'!$C$122</f>
        <v>0</v>
      </c>
      <c r="S169" s="47">
        <f>'TB-Mar'!$C$122</f>
        <v>0</v>
      </c>
      <c r="T169" s="47">
        <f>'TB-Apr'!$C$122</f>
        <v>0</v>
      </c>
      <c r="U169" s="47">
        <f>'TB-May'!$C$122</f>
        <v>0</v>
      </c>
      <c r="V169" s="47">
        <f>'TB-Jun'!$C$122</f>
        <v>0</v>
      </c>
      <c r="W169" s="47">
        <f>'TB-Jul'!$C$122</f>
        <v>0</v>
      </c>
      <c r="X169" s="47">
        <f>'TB-Aug'!$C$122</f>
        <v>0</v>
      </c>
      <c r="Y169" s="47">
        <f>'TB-Sep'!$C$122</f>
        <v>0</v>
      </c>
      <c r="Z169" s="47">
        <f>'TB-Oct'!$C$122</f>
        <v>0</v>
      </c>
      <c r="AA169" s="47">
        <f>'TB-Nov'!$C$122</f>
        <v>0</v>
      </c>
      <c r="AB169" s="47">
        <f>'TB-Dec'!$C$122</f>
        <v>0</v>
      </c>
    </row>
    <row r="170" spans="1:28" s="79" customFormat="1" ht="15.75" hidden="1" customHeight="1" outlineLevel="2">
      <c r="A170" s="33"/>
      <c r="B170" s="33"/>
      <c r="C170" s="33"/>
      <c r="D170" s="34" t="s">
        <v>204</v>
      </c>
      <c r="E170" s="31">
        <f t="shared" si="61"/>
        <v>0</v>
      </c>
      <c r="F170" s="31">
        <f>SUM($Q170:R170)</f>
        <v>0</v>
      </c>
      <c r="G170" s="31">
        <f>SUM($Q170:S170)</f>
        <v>0</v>
      </c>
      <c r="H170" s="103">
        <f>SUM($Q170:T170)</f>
        <v>0</v>
      </c>
      <c r="I170" s="103">
        <f>SUM($Q170:U170)</f>
        <v>0</v>
      </c>
      <c r="J170" s="103">
        <f>SUM($Q170:V170)</f>
        <v>0</v>
      </c>
      <c r="K170" s="103">
        <f>SUM($Q170:W170)</f>
        <v>0</v>
      </c>
      <c r="L170" s="103">
        <f>SUM($Q170:X170)</f>
        <v>0</v>
      </c>
      <c r="M170" s="103">
        <f>SUM($Q170:Y170)</f>
        <v>0</v>
      </c>
      <c r="N170" s="103">
        <f>SUM($Q170:Z170)</f>
        <v>0</v>
      </c>
      <c r="O170" s="103">
        <f>SUM($Q170:AA170)</f>
        <v>0</v>
      </c>
      <c r="P170" s="103">
        <f>SUM($Q170:AB170)</f>
        <v>0</v>
      </c>
      <c r="Q170" s="47">
        <f>'TB-Jan'!$D$123</f>
        <v>0</v>
      </c>
      <c r="R170" s="47">
        <f>'TB-Feb'!$D$123</f>
        <v>0</v>
      </c>
      <c r="S170" s="47">
        <f>'TB-Mar'!$D$123</f>
        <v>0</v>
      </c>
      <c r="T170" s="47">
        <f>'TB-Apr'!$D$123</f>
        <v>0</v>
      </c>
      <c r="U170" s="47">
        <f>'TB-May'!$D$123</f>
        <v>0</v>
      </c>
      <c r="V170" s="47">
        <f>'TB-Jun'!$D$123</f>
        <v>0</v>
      </c>
      <c r="W170" s="47">
        <f>'TB-Jul'!$D$123</f>
        <v>0</v>
      </c>
      <c r="X170" s="47">
        <f>'TB-Aug'!$D$123</f>
        <v>0</v>
      </c>
      <c r="Y170" s="47">
        <f>'TB-Sep'!$D$123</f>
        <v>0</v>
      </c>
      <c r="Z170" s="47">
        <f>'TB-Oct'!$D$123</f>
        <v>0</v>
      </c>
      <c r="AA170" s="47">
        <f>'TB-Nov'!$D$123</f>
        <v>0</v>
      </c>
      <c r="AB170" s="47">
        <f>'TB-Dec'!$D$123</f>
        <v>0</v>
      </c>
    </row>
    <row r="171" spans="1:28" s="79" customFormat="1" ht="15.75" hidden="1" customHeight="1" outlineLevel="2">
      <c r="A171" s="33"/>
      <c r="B171" s="33"/>
      <c r="C171" s="34" t="s">
        <v>947</v>
      </c>
      <c r="D171" s="33"/>
      <c r="E171" s="31">
        <f t="shared" si="61"/>
        <v>0</v>
      </c>
      <c r="F171" s="31">
        <f>SUM($Q171:R171)</f>
        <v>0</v>
      </c>
      <c r="G171" s="31">
        <f>SUM($Q171:S171)</f>
        <v>0</v>
      </c>
      <c r="H171" s="103">
        <f>SUM($Q171:T171)</f>
        <v>0</v>
      </c>
      <c r="I171" s="103">
        <f>SUM($Q171:U171)</f>
        <v>0</v>
      </c>
      <c r="J171" s="103">
        <f>SUM($Q171:V171)</f>
        <v>0</v>
      </c>
      <c r="K171" s="103">
        <f>SUM($Q171:W171)</f>
        <v>0</v>
      </c>
      <c r="L171" s="103">
        <f>SUM($Q171:X171)</f>
        <v>0</v>
      </c>
      <c r="M171" s="103">
        <f>SUM($Q171:Y171)</f>
        <v>0</v>
      </c>
      <c r="N171" s="103">
        <f>SUM($Q171:Z171)</f>
        <v>0</v>
      </c>
      <c r="O171" s="103">
        <f>SUM($Q171:AA171)</f>
        <v>0</v>
      </c>
      <c r="P171" s="103">
        <f>SUM($Q171:AB171)</f>
        <v>0</v>
      </c>
      <c r="Q171" s="48">
        <f>Q172-Q173</f>
        <v>0</v>
      </c>
      <c r="R171" s="48">
        <f t="shared" ref="R171:AB171" si="72">R172-R173</f>
        <v>0</v>
      </c>
      <c r="S171" s="48">
        <f t="shared" si="72"/>
        <v>0</v>
      </c>
      <c r="T171" s="48">
        <f t="shared" si="72"/>
        <v>0</v>
      </c>
      <c r="U171" s="48">
        <f t="shared" si="72"/>
        <v>0</v>
      </c>
      <c r="V171" s="48">
        <f t="shared" si="72"/>
        <v>0</v>
      </c>
      <c r="W171" s="48">
        <f t="shared" si="72"/>
        <v>0</v>
      </c>
      <c r="X171" s="48">
        <f t="shared" si="72"/>
        <v>0</v>
      </c>
      <c r="Y171" s="48">
        <f t="shared" si="72"/>
        <v>0</v>
      </c>
      <c r="Z171" s="48">
        <f t="shared" si="72"/>
        <v>0</v>
      </c>
      <c r="AA171" s="48">
        <f t="shared" ref="AA171" si="73">AA172-AA173</f>
        <v>0</v>
      </c>
      <c r="AB171" s="48">
        <f t="shared" si="72"/>
        <v>0</v>
      </c>
    </row>
    <row r="172" spans="1:28" s="79" customFormat="1" ht="15.75" hidden="1" customHeight="1" outlineLevel="2">
      <c r="A172" s="33"/>
      <c r="B172" s="33"/>
      <c r="C172" s="33"/>
      <c r="D172" s="34" t="s">
        <v>206</v>
      </c>
      <c r="E172" s="31">
        <f t="shared" si="61"/>
        <v>0</v>
      </c>
      <c r="F172" s="31">
        <f>SUM($Q172:R172)</f>
        <v>0</v>
      </c>
      <c r="G172" s="31">
        <f>SUM($Q172:S172)</f>
        <v>0</v>
      </c>
      <c r="H172" s="103">
        <f>SUM($Q172:T172)</f>
        <v>0</v>
      </c>
      <c r="I172" s="103">
        <f>SUM($Q172:U172)</f>
        <v>0</v>
      </c>
      <c r="J172" s="103">
        <f>SUM($Q172:V172)</f>
        <v>0</v>
      </c>
      <c r="K172" s="103">
        <f>SUM($Q172:W172)</f>
        <v>0</v>
      </c>
      <c r="L172" s="103">
        <f>SUM($Q172:X172)</f>
        <v>0</v>
      </c>
      <c r="M172" s="103">
        <f>SUM($Q172:Y172)</f>
        <v>0</v>
      </c>
      <c r="N172" s="103">
        <f>SUM($Q172:Z172)</f>
        <v>0</v>
      </c>
      <c r="O172" s="103">
        <f>SUM($Q172:AA172)</f>
        <v>0</v>
      </c>
      <c r="P172" s="103">
        <f>SUM($Q172:AB172)</f>
        <v>0</v>
      </c>
      <c r="Q172" s="47">
        <f>'TB-Jan'!$C$124</f>
        <v>0</v>
      </c>
      <c r="R172" s="47">
        <f>'TB-Feb'!$C$124</f>
        <v>0</v>
      </c>
      <c r="S172" s="47">
        <f>'TB-Mar'!$C$124</f>
        <v>0</v>
      </c>
      <c r="T172" s="47">
        <f>'TB-Apr'!$C$124</f>
        <v>0</v>
      </c>
      <c r="U172" s="47">
        <f>'TB-May'!$C$124</f>
        <v>0</v>
      </c>
      <c r="V172" s="47">
        <f>'TB-Jun'!$C$124</f>
        <v>0</v>
      </c>
      <c r="W172" s="47">
        <f>'TB-Jul'!$C$124</f>
        <v>0</v>
      </c>
      <c r="X172" s="47">
        <f>'TB-Aug'!$C$124</f>
        <v>0</v>
      </c>
      <c r="Y172" s="47">
        <f>'TB-Sep'!$C$124</f>
        <v>0</v>
      </c>
      <c r="Z172" s="47">
        <f>'TB-Oct'!$C$124</f>
        <v>0</v>
      </c>
      <c r="AA172" s="47">
        <f>'TB-Nov'!$C$124</f>
        <v>0</v>
      </c>
      <c r="AB172" s="47">
        <f>'TB-Dec'!$C$124</f>
        <v>0</v>
      </c>
    </row>
    <row r="173" spans="1:28" s="79" customFormat="1" ht="15.75" hidden="1" customHeight="1" outlineLevel="2">
      <c r="A173" s="33"/>
      <c r="B173" s="33"/>
      <c r="C173" s="33"/>
      <c r="D173" s="34" t="s">
        <v>208</v>
      </c>
      <c r="E173" s="31">
        <f t="shared" si="61"/>
        <v>0</v>
      </c>
      <c r="F173" s="31">
        <f>SUM($Q173:R173)</f>
        <v>0</v>
      </c>
      <c r="G173" s="31">
        <f>SUM($Q173:S173)</f>
        <v>0</v>
      </c>
      <c r="H173" s="103">
        <f>SUM($Q173:T173)</f>
        <v>0</v>
      </c>
      <c r="I173" s="103">
        <f>SUM($Q173:U173)</f>
        <v>0</v>
      </c>
      <c r="J173" s="103">
        <f>SUM($Q173:V173)</f>
        <v>0</v>
      </c>
      <c r="K173" s="103">
        <f>SUM($Q173:W173)</f>
        <v>0</v>
      </c>
      <c r="L173" s="103">
        <f>SUM($Q173:X173)</f>
        <v>0</v>
      </c>
      <c r="M173" s="103">
        <f>SUM($Q173:Y173)</f>
        <v>0</v>
      </c>
      <c r="N173" s="103">
        <f>SUM($Q173:Z173)</f>
        <v>0</v>
      </c>
      <c r="O173" s="103">
        <f>SUM($Q173:AA173)</f>
        <v>0</v>
      </c>
      <c r="P173" s="103">
        <f>SUM($Q173:AB173)</f>
        <v>0</v>
      </c>
      <c r="Q173" s="47">
        <f>'TB-Jan'!$D$125</f>
        <v>0</v>
      </c>
      <c r="R173" s="47">
        <f>'TB-Feb'!$D$125</f>
        <v>0</v>
      </c>
      <c r="S173" s="47">
        <f>'TB-Mar'!$D$125</f>
        <v>0</v>
      </c>
      <c r="T173" s="47">
        <f>'TB-Apr'!$D$125</f>
        <v>0</v>
      </c>
      <c r="U173" s="47">
        <f>'TB-May'!$D$125</f>
        <v>0</v>
      </c>
      <c r="V173" s="47">
        <f>'TB-Jun'!$D$125</f>
        <v>0</v>
      </c>
      <c r="W173" s="47">
        <f>'TB-Jul'!$D$125</f>
        <v>0</v>
      </c>
      <c r="X173" s="47">
        <f>'TB-Aug'!$D$125</f>
        <v>0</v>
      </c>
      <c r="Y173" s="47">
        <f>'TB-Sep'!$D$125</f>
        <v>0</v>
      </c>
      <c r="Z173" s="47">
        <f>'TB-Oct'!$D$125</f>
        <v>0</v>
      </c>
      <c r="AA173" s="47">
        <f>'TB-Nov'!$D$125</f>
        <v>0</v>
      </c>
      <c r="AB173" s="47">
        <f>'TB-Dec'!$D$125</f>
        <v>0</v>
      </c>
    </row>
    <row r="174" spans="1:28" s="79" customFormat="1" ht="15.75" hidden="1" customHeight="1" outlineLevel="2">
      <c r="A174" s="33"/>
      <c r="B174" s="33"/>
      <c r="C174" s="34" t="s">
        <v>948</v>
      </c>
      <c r="D174" s="33"/>
      <c r="E174" s="31">
        <f t="shared" si="61"/>
        <v>0</v>
      </c>
      <c r="F174" s="31">
        <f>SUM($Q174:R174)</f>
        <v>0</v>
      </c>
      <c r="G174" s="31">
        <f>SUM($Q174:S174)</f>
        <v>0</v>
      </c>
      <c r="H174" s="103">
        <f>SUM($Q174:T174)</f>
        <v>0</v>
      </c>
      <c r="I174" s="103">
        <f>SUM($Q174:U174)</f>
        <v>0</v>
      </c>
      <c r="J174" s="103">
        <f>SUM($Q174:V174)</f>
        <v>0</v>
      </c>
      <c r="K174" s="103">
        <f>SUM($Q174:W174)</f>
        <v>0</v>
      </c>
      <c r="L174" s="103">
        <f>SUM($Q174:X174)</f>
        <v>0</v>
      </c>
      <c r="M174" s="103">
        <f>SUM($Q174:Y174)</f>
        <v>0</v>
      </c>
      <c r="N174" s="103">
        <f>SUM($Q174:Z174)</f>
        <v>0</v>
      </c>
      <c r="O174" s="103">
        <f>SUM($Q174:AA174)</f>
        <v>0</v>
      </c>
      <c r="P174" s="103">
        <f>SUM($Q174:AB174)</f>
        <v>0</v>
      </c>
      <c r="Q174" s="48">
        <f>Q175-Q176</f>
        <v>0</v>
      </c>
      <c r="R174" s="48">
        <f t="shared" ref="R174:AB174" si="74">R175-R176</f>
        <v>0</v>
      </c>
      <c r="S174" s="48">
        <f t="shared" si="74"/>
        <v>0</v>
      </c>
      <c r="T174" s="48">
        <f t="shared" si="74"/>
        <v>0</v>
      </c>
      <c r="U174" s="48">
        <f t="shared" si="74"/>
        <v>0</v>
      </c>
      <c r="V174" s="48">
        <f t="shared" si="74"/>
        <v>0</v>
      </c>
      <c r="W174" s="48">
        <f t="shared" si="74"/>
        <v>0</v>
      </c>
      <c r="X174" s="48">
        <f t="shared" si="74"/>
        <v>0</v>
      </c>
      <c r="Y174" s="48">
        <f t="shared" si="74"/>
        <v>0</v>
      </c>
      <c r="Z174" s="48">
        <f t="shared" si="74"/>
        <v>0</v>
      </c>
      <c r="AA174" s="48">
        <f t="shared" ref="AA174" si="75">AA175-AA176</f>
        <v>0</v>
      </c>
      <c r="AB174" s="48">
        <f t="shared" si="74"/>
        <v>0</v>
      </c>
    </row>
    <row r="175" spans="1:28" s="79" customFormat="1" ht="15.75" hidden="1" customHeight="1" outlineLevel="2">
      <c r="A175" s="33"/>
      <c r="B175" s="33"/>
      <c r="C175" s="33"/>
      <c r="D175" s="34" t="s">
        <v>210</v>
      </c>
      <c r="E175" s="31">
        <f t="shared" si="61"/>
        <v>0</v>
      </c>
      <c r="F175" s="31">
        <f>SUM($Q175:R175)</f>
        <v>0</v>
      </c>
      <c r="G175" s="31">
        <f>SUM($Q175:S175)</f>
        <v>0</v>
      </c>
      <c r="H175" s="103">
        <f>SUM($Q175:T175)</f>
        <v>0</v>
      </c>
      <c r="I175" s="103">
        <f>SUM($Q175:U175)</f>
        <v>0</v>
      </c>
      <c r="J175" s="103">
        <f>SUM($Q175:V175)</f>
        <v>0</v>
      </c>
      <c r="K175" s="103">
        <f>SUM($Q175:W175)</f>
        <v>0</v>
      </c>
      <c r="L175" s="103">
        <f>SUM($Q175:X175)</f>
        <v>0</v>
      </c>
      <c r="M175" s="103">
        <f>SUM($Q175:Y175)</f>
        <v>0</v>
      </c>
      <c r="N175" s="103">
        <f>SUM($Q175:Z175)</f>
        <v>0</v>
      </c>
      <c r="O175" s="103">
        <f>SUM($Q175:AA175)</f>
        <v>0</v>
      </c>
      <c r="P175" s="103">
        <f>SUM($Q175:AB175)</f>
        <v>0</v>
      </c>
      <c r="Q175" s="47">
        <f>'TB-Jan'!$C$126</f>
        <v>0</v>
      </c>
      <c r="R175" s="47">
        <f>'TB-Feb'!$C$126</f>
        <v>0</v>
      </c>
      <c r="S175" s="47">
        <f>'TB-Mar'!$C$126</f>
        <v>0</v>
      </c>
      <c r="T175" s="47">
        <f>'TB-Apr'!$C$126</f>
        <v>0</v>
      </c>
      <c r="U175" s="47">
        <f>'TB-May'!$C$126</f>
        <v>0</v>
      </c>
      <c r="V175" s="47">
        <f>'TB-Jun'!$C$126</f>
        <v>0</v>
      </c>
      <c r="W175" s="47">
        <f>'TB-Jul'!$C$126</f>
        <v>0</v>
      </c>
      <c r="X175" s="47">
        <f>'TB-Aug'!$C$126</f>
        <v>0</v>
      </c>
      <c r="Y175" s="47">
        <f>'TB-Sep'!$C$126</f>
        <v>0</v>
      </c>
      <c r="Z175" s="47">
        <f>'TB-Oct'!$C$126</f>
        <v>0</v>
      </c>
      <c r="AA175" s="47">
        <f>'TB-Nov'!$C$126</f>
        <v>0</v>
      </c>
      <c r="AB175" s="47">
        <f>'TB-Dec'!$C$126</f>
        <v>0</v>
      </c>
    </row>
    <row r="176" spans="1:28" s="79" customFormat="1" ht="24" hidden="1" customHeight="1" outlineLevel="2">
      <c r="A176" s="33"/>
      <c r="B176" s="33"/>
      <c r="C176" s="33"/>
      <c r="D176" s="38" t="s">
        <v>212</v>
      </c>
      <c r="E176" s="31">
        <f t="shared" si="61"/>
        <v>0</v>
      </c>
      <c r="F176" s="31">
        <f>SUM($Q176:R176)</f>
        <v>0</v>
      </c>
      <c r="G176" s="31">
        <f>SUM($Q176:S176)</f>
        <v>0</v>
      </c>
      <c r="H176" s="103">
        <f>SUM($Q176:T176)</f>
        <v>0</v>
      </c>
      <c r="I176" s="103">
        <f>SUM($Q176:U176)</f>
        <v>0</v>
      </c>
      <c r="J176" s="103">
        <f>SUM($Q176:V176)</f>
        <v>0</v>
      </c>
      <c r="K176" s="103">
        <f>SUM($Q176:W176)</f>
        <v>0</v>
      </c>
      <c r="L176" s="103">
        <f>SUM($Q176:X176)</f>
        <v>0</v>
      </c>
      <c r="M176" s="103">
        <f>SUM($Q176:Y176)</f>
        <v>0</v>
      </c>
      <c r="N176" s="103">
        <f>SUM($Q176:Z176)</f>
        <v>0</v>
      </c>
      <c r="O176" s="103">
        <f>SUM($Q176:AA176)</f>
        <v>0</v>
      </c>
      <c r="P176" s="103">
        <f>SUM($Q176:AB176)</f>
        <v>0</v>
      </c>
      <c r="Q176" s="58">
        <f>'TB-Jan'!$D$127</f>
        <v>0</v>
      </c>
      <c r="R176" s="58">
        <f>'TB-Feb'!$D$127</f>
        <v>0</v>
      </c>
      <c r="S176" s="58">
        <f>'TB-Mar'!$D$127</f>
        <v>0</v>
      </c>
      <c r="T176" s="58">
        <f>'TB-Apr'!$D$127</f>
        <v>0</v>
      </c>
      <c r="U176" s="58">
        <f>'TB-May'!$D$127</f>
        <v>0</v>
      </c>
      <c r="V176" s="58">
        <f>'TB-Jun'!$D$127</f>
        <v>0</v>
      </c>
      <c r="W176" s="58">
        <f>'TB-Jul'!$D$127</f>
        <v>0</v>
      </c>
      <c r="X176" s="58">
        <f>'TB-Aug'!$D$127</f>
        <v>0</v>
      </c>
      <c r="Y176" s="58">
        <f>'TB-Sep'!$D$127</f>
        <v>0</v>
      </c>
      <c r="Z176" s="58">
        <f>'TB-Oct'!$D$127</f>
        <v>0</v>
      </c>
      <c r="AA176" s="58">
        <f>'TB-Nov'!$D$127</f>
        <v>0</v>
      </c>
      <c r="AB176" s="58">
        <f>'TB-Dec'!$D$127</f>
        <v>0</v>
      </c>
    </row>
    <row r="177" spans="1:28" s="79" customFormat="1" ht="15.75" hidden="1" customHeight="1" outlineLevel="2">
      <c r="A177" s="33"/>
      <c r="B177" s="33"/>
      <c r="C177" s="34" t="s">
        <v>949</v>
      </c>
      <c r="D177" s="33"/>
      <c r="E177" s="31">
        <f t="shared" si="61"/>
        <v>0</v>
      </c>
      <c r="F177" s="31">
        <f>SUM($Q177:R177)</f>
        <v>0</v>
      </c>
      <c r="G177" s="31">
        <f>SUM($Q177:S177)</f>
        <v>0</v>
      </c>
      <c r="H177" s="103">
        <f>SUM($Q177:T177)</f>
        <v>0</v>
      </c>
      <c r="I177" s="103">
        <f>SUM($Q177:U177)</f>
        <v>0</v>
      </c>
      <c r="J177" s="103">
        <f>SUM($Q177:V177)</f>
        <v>0</v>
      </c>
      <c r="K177" s="103">
        <f>SUM($Q177:W177)</f>
        <v>0</v>
      </c>
      <c r="L177" s="103">
        <f>SUM($Q177:X177)</f>
        <v>0</v>
      </c>
      <c r="M177" s="103">
        <f>SUM($Q177:Y177)</f>
        <v>0</v>
      </c>
      <c r="N177" s="103">
        <f>SUM($Q177:Z177)</f>
        <v>0</v>
      </c>
      <c r="O177" s="103">
        <f>SUM($Q177:AA177)</f>
        <v>0</v>
      </c>
      <c r="P177" s="103">
        <f>SUM($Q177:AB177)</f>
        <v>0</v>
      </c>
      <c r="Q177" s="48">
        <f>Q178-Q179</f>
        <v>0</v>
      </c>
      <c r="R177" s="48">
        <f t="shared" ref="R177:AB177" si="76">R178-R179</f>
        <v>0</v>
      </c>
      <c r="S177" s="48">
        <f t="shared" si="76"/>
        <v>0</v>
      </c>
      <c r="T177" s="48">
        <f t="shared" si="76"/>
        <v>0</v>
      </c>
      <c r="U177" s="48">
        <f t="shared" si="76"/>
        <v>0</v>
      </c>
      <c r="V177" s="48">
        <f t="shared" si="76"/>
        <v>0</v>
      </c>
      <c r="W177" s="48">
        <f t="shared" si="76"/>
        <v>0</v>
      </c>
      <c r="X177" s="48">
        <f t="shared" si="76"/>
        <v>0</v>
      </c>
      <c r="Y177" s="48">
        <f t="shared" si="76"/>
        <v>0</v>
      </c>
      <c r="Z177" s="48">
        <f t="shared" si="76"/>
        <v>0</v>
      </c>
      <c r="AA177" s="48">
        <f t="shared" ref="AA177" si="77">AA178-AA179</f>
        <v>0</v>
      </c>
      <c r="AB177" s="48">
        <f t="shared" si="76"/>
        <v>0</v>
      </c>
    </row>
    <row r="178" spans="1:28" s="79" customFormat="1" ht="15.75" hidden="1" customHeight="1" outlineLevel="2">
      <c r="A178" s="33"/>
      <c r="B178" s="33"/>
      <c r="C178" s="33"/>
      <c r="D178" s="34" t="s">
        <v>214</v>
      </c>
      <c r="E178" s="31">
        <f t="shared" si="61"/>
        <v>0</v>
      </c>
      <c r="F178" s="31">
        <f>SUM($Q178:R178)</f>
        <v>0</v>
      </c>
      <c r="G178" s="31">
        <f>SUM($Q178:S178)</f>
        <v>0</v>
      </c>
      <c r="H178" s="103">
        <f>SUM($Q178:T178)</f>
        <v>0</v>
      </c>
      <c r="I178" s="103">
        <f>SUM($Q178:U178)</f>
        <v>0</v>
      </c>
      <c r="J178" s="103">
        <f>SUM($Q178:V178)</f>
        <v>0</v>
      </c>
      <c r="K178" s="103">
        <f>SUM($Q178:W178)</f>
        <v>0</v>
      </c>
      <c r="L178" s="103">
        <f>SUM($Q178:X178)</f>
        <v>0</v>
      </c>
      <c r="M178" s="103">
        <f>SUM($Q178:Y178)</f>
        <v>0</v>
      </c>
      <c r="N178" s="103">
        <f>SUM($Q178:Z178)</f>
        <v>0</v>
      </c>
      <c r="O178" s="103">
        <f>SUM($Q178:AA178)</f>
        <v>0</v>
      </c>
      <c r="P178" s="103">
        <f>SUM($Q178:AB178)</f>
        <v>0</v>
      </c>
      <c r="Q178" s="47">
        <f>'TB-Jan'!$C$128</f>
        <v>0</v>
      </c>
      <c r="R178" s="47">
        <f>'TB-Feb'!$C$128</f>
        <v>0</v>
      </c>
      <c r="S178" s="47">
        <f>'TB-Mar'!$C$128</f>
        <v>0</v>
      </c>
      <c r="T178" s="47">
        <f>'TB-Apr'!$C$128</f>
        <v>0</v>
      </c>
      <c r="U178" s="47">
        <f>'TB-May'!$C$128</f>
        <v>0</v>
      </c>
      <c r="V178" s="47">
        <f>'TB-Jun'!$C$128</f>
        <v>0</v>
      </c>
      <c r="W178" s="47">
        <f>'TB-Jul'!$C$128</f>
        <v>0</v>
      </c>
      <c r="X178" s="47">
        <f>'TB-Aug'!$C$128</f>
        <v>0</v>
      </c>
      <c r="Y178" s="47">
        <f>'TB-Sep'!$C$128</f>
        <v>0</v>
      </c>
      <c r="Z178" s="47">
        <f>'TB-Oct'!$C$128</f>
        <v>0</v>
      </c>
      <c r="AA178" s="47">
        <f>'TB-Nov'!$C$128</f>
        <v>0</v>
      </c>
      <c r="AB178" s="47">
        <f>'TB-Dec'!$C$128</f>
        <v>0</v>
      </c>
    </row>
    <row r="179" spans="1:28" s="79" customFormat="1" ht="15.75" hidden="1" customHeight="1" outlineLevel="2">
      <c r="A179" s="33"/>
      <c r="B179" s="33"/>
      <c r="C179" s="33"/>
      <c r="D179" s="34" t="s">
        <v>216</v>
      </c>
      <c r="E179" s="31">
        <f t="shared" si="61"/>
        <v>0</v>
      </c>
      <c r="F179" s="31">
        <f>SUM($Q179:R179)</f>
        <v>0</v>
      </c>
      <c r="G179" s="31">
        <f>SUM($Q179:S179)</f>
        <v>0</v>
      </c>
      <c r="H179" s="103">
        <f>SUM($Q179:T179)</f>
        <v>0</v>
      </c>
      <c r="I179" s="103">
        <f>SUM($Q179:U179)</f>
        <v>0</v>
      </c>
      <c r="J179" s="103">
        <f>SUM($Q179:V179)</f>
        <v>0</v>
      </c>
      <c r="K179" s="103">
        <f>SUM($Q179:W179)</f>
        <v>0</v>
      </c>
      <c r="L179" s="103">
        <f>SUM($Q179:X179)</f>
        <v>0</v>
      </c>
      <c r="M179" s="103">
        <f>SUM($Q179:Y179)</f>
        <v>0</v>
      </c>
      <c r="N179" s="103">
        <f>SUM($Q179:Z179)</f>
        <v>0</v>
      </c>
      <c r="O179" s="103">
        <f>SUM($Q179:AA179)</f>
        <v>0</v>
      </c>
      <c r="P179" s="103">
        <f>SUM($Q179:AB179)</f>
        <v>0</v>
      </c>
      <c r="Q179" s="47">
        <f>'TB-Jan'!$D$129</f>
        <v>0</v>
      </c>
      <c r="R179" s="47">
        <f>'TB-Feb'!$D$129</f>
        <v>0</v>
      </c>
      <c r="S179" s="47">
        <f>'TB-Mar'!$D$129</f>
        <v>0</v>
      </c>
      <c r="T179" s="47">
        <f>'TB-Apr'!$D$129</f>
        <v>0</v>
      </c>
      <c r="U179" s="47">
        <f>'TB-May'!$D$129</f>
        <v>0</v>
      </c>
      <c r="V179" s="47">
        <f>'TB-Jun'!$D$129</f>
        <v>0</v>
      </c>
      <c r="W179" s="47">
        <f>'TB-Jul'!$D$129</f>
        <v>0</v>
      </c>
      <c r="X179" s="47">
        <f>'TB-Aug'!$D$129</f>
        <v>0</v>
      </c>
      <c r="Y179" s="47">
        <f>'TB-Sep'!$D$129</f>
        <v>0</v>
      </c>
      <c r="Z179" s="47">
        <f>'TB-Oct'!$D$129</f>
        <v>0</v>
      </c>
      <c r="AA179" s="47">
        <f>'TB-Nov'!$D$129</f>
        <v>0</v>
      </c>
      <c r="AB179" s="47">
        <f>'TB-Dec'!$D$129</f>
        <v>0</v>
      </c>
    </row>
    <row r="180" spans="1:28" s="79" customFormat="1" ht="15.75" hidden="1" customHeight="1" outlineLevel="2">
      <c r="A180" s="33"/>
      <c r="B180" s="33"/>
      <c r="C180" s="34" t="s">
        <v>950</v>
      </c>
      <c r="D180" s="33"/>
      <c r="E180" s="31">
        <f t="shared" si="61"/>
        <v>0</v>
      </c>
      <c r="F180" s="31">
        <f>SUM($Q180:R180)</f>
        <v>0</v>
      </c>
      <c r="G180" s="31">
        <f>SUM($Q180:S180)</f>
        <v>0</v>
      </c>
      <c r="H180" s="103">
        <f>SUM($Q180:T180)</f>
        <v>0</v>
      </c>
      <c r="I180" s="103">
        <f>SUM($Q180:U180)</f>
        <v>0</v>
      </c>
      <c r="J180" s="103">
        <f>SUM($Q180:V180)</f>
        <v>0</v>
      </c>
      <c r="K180" s="103">
        <f>SUM($Q180:W180)</f>
        <v>0</v>
      </c>
      <c r="L180" s="103">
        <f>SUM($Q180:X180)</f>
        <v>0</v>
      </c>
      <c r="M180" s="103">
        <f>SUM($Q180:Y180)</f>
        <v>0</v>
      </c>
      <c r="N180" s="103">
        <f>SUM($Q180:Z180)</f>
        <v>0</v>
      </c>
      <c r="O180" s="103">
        <f>SUM($Q180:AA180)</f>
        <v>0</v>
      </c>
      <c r="P180" s="103">
        <f>SUM($Q180:AB180)</f>
        <v>0</v>
      </c>
      <c r="Q180" s="48">
        <f>Q181-Q182</f>
        <v>0</v>
      </c>
      <c r="R180" s="48">
        <f t="shared" ref="R180:AB180" si="78">R181-R182</f>
        <v>0</v>
      </c>
      <c r="S180" s="48">
        <f t="shared" si="78"/>
        <v>0</v>
      </c>
      <c r="T180" s="48">
        <f t="shared" si="78"/>
        <v>0</v>
      </c>
      <c r="U180" s="48">
        <f t="shared" si="78"/>
        <v>0</v>
      </c>
      <c r="V180" s="48">
        <f t="shared" si="78"/>
        <v>0</v>
      </c>
      <c r="W180" s="48">
        <f t="shared" si="78"/>
        <v>0</v>
      </c>
      <c r="X180" s="48">
        <f t="shared" si="78"/>
        <v>0</v>
      </c>
      <c r="Y180" s="48">
        <f t="shared" si="78"/>
        <v>0</v>
      </c>
      <c r="Z180" s="48">
        <f t="shared" si="78"/>
        <v>0</v>
      </c>
      <c r="AA180" s="48">
        <f t="shared" ref="AA180" si="79">AA181-AA182</f>
        <v>0</v>
      </c>
      <c r="AB180" s="48">
        <f t="shared" si="78"/>
        <v>0</v>
      </c>
    </row>
    <row r="181" spans="1:28" s="79" customFormat="1" ht="15.75" hidden="1" customHeight="1" outlineLevel="2">
      <c r="A181" s="33"/>
      <c r="B181" s="33"/>
      <c r="C181" s="33"/>
      <c r="D181" s="34" t="s">
        <v>218</v>
      </c>
      <c r="E181" s="31">
        <f t="shared" si="61"/>
        <v>0</v>
      </c>
      <c r="F181" s="31">
        <f>SUM($Q181:R181)</f>
        <v>0</v>
      </c>
      <c r="G181" s="31">
        <f>SUM($Q181:S181)</f>
        <v>0</v>
      </c>
      <c r="H181" s="103">
        <f>SUM($Q181:T181)</f>
        <v>0</v>
      </c>
      <c r="I181" s="103">
        <f>SUM($Q181:U181)</f>
        <v>0</v>
      </c>
      <c r="J181" s="103">
        <f>SUM($Q181:V181)</f>
        <v>0</v>
      </c>
      <c r="K181" s="103">
        <f>SUM($Q181:W181)</f>
        <v>0</v>
      </c>
      <c r="L181" s="103">
        <f>SUM($Q181:X181)</f>
        <v>0</v>
      </c>
      <c r="M181" s="103">
        <f>SUM($Q181:Y181)</f>
        <v>0</v>
      </c>
      <c r="N181" s="103">
        <f>SUM($Q181:Z181)</f>
        <v>0</v>
      </c>
      <c r="O181" s="103">
        <f>SUM($Q181:AA181)</f>
        <v>0</v>
      </c>
      <c r="P181" s="103">
        <f>SUM($Q181:AB181)</f>
        <v>0</v>
      </c>
      <c r="Q181" s="47">
        <f>'TB-Jan'!$C$130</f>
        <v>0</v>
      </c>
      <c r="R181" s="47">
        <f>'TB-Feb'!$C$130</f>
        <v>0</v>
      </c>
      <c r="S181" s="47">
        <f>'TB-Mar'!$C$130</f>
        <v>0</v>
      </c>
      <c r="T181" s="47">
        <f>'TB-Apr'!$C$130</f>
        <v>0</v>
      </c>
      <c r="U181" s="47">
        <f>'TB-May'!$C$130</f>
        <v>0</v>
      </c>
      <c r="V181" s="47">
        <f>'TB-Jun'!$C$130</f>
        <v>0</v>
      </c>
      <c r="W181" s="47">
        <f>'TB-Jul'!$C$130</f>
        <v>0</v>
      </c>
      <c r="X181" s="47">
        <f>'TB-Aug'!$C$130</f>
        <v>0</v>
      </c>
      <c r="Y181" s="47">
        <f>'TB-Sep'!$C$130</f>
        <v>0</v>
      </c>
      <c r="Z181" s="47">
        <f>'TB-Oct'!$C$130</f>
        <v>0</v>
      </c>
      <c r="AA181" s="47">
        <f>'TB-Nov'!$C$130</f>
        <v>0</v>
      </c>
      <c r="AB181" s="47">
        <f>'TB-Dec'!$C$130</f>
        <v>0</v>
      </c>
    </row>
    <row r="182" spans="1:28" s="79" customFormat="1" ht="15.75" hidden="1" customHeight="1" outlineLevel="2">
      <c r="A182" s="33"/>
      <c r="B182" s="33"/>
      <c r="C182" s="33"/>
      <c r="D182" s="34" t="s">
        <v>220</v>
      </c>
      <c r="E182" s="31">
        <f t="shared" si="61"/>
        <v>0</v>
      </c>
      <c r="F182" s="31">
        <f>SUM($Q182:R182)</f>
        <v>0</v>
      </c>
      <c r="G182" s="31">
        <f>SUM($Q182:S182)</f>
        <v>0</v>
      </c>
      <c r="H182" s="103">
        <f>SUM($Q182:T182)</f>
        <v>0</v>
      </c>
      <c r="I182" s="103">
        <f>SUM($Q182:U182)</f>
        <v>0</v>
      </c>
      <c r="J182" s="103">
        <f>SUM($Q182:V182)</f>
        <v>0</v>
      </c>
      <c r="K182" s="103">
        <f>SUM($Q182:W182)</f>
        <v>0</v>
      </c>
      <c r="L182" s="103">
        <f>SUM($Q182:X182)</f>
        <v>0</v>
      </c>
      <c r="M182" s="103">
        <f>SUM($Q182:Y182)</f>
        <v>0</v>
      </c>
      <c r="N182" s="103">
        <f>SUM($Q182:Z182)</f>
        <v>0</v>
      </c>
      <c r="O182" s="103">
        <f>SUM($Q182:AA182)</f>
        <v>0</v>
      </c>
      <c r="P182" s="103">
        <f>SUM($Q182:AB182)</f>
        <v>0</v>
      </c>
      <c r="Q182" s="47">
        <f>'TB-Jan'!$D$131</f>
        <v>0</v>
      </c>
      <c r="R182" s="47">
        <f>'TB-Feb'!$D$131</f>
        <v>0</v>
      </c>
      <c r="S182" s="47">
        <f>'TB-Mar'!$D$131</f>
        <v>0</v>
      </c>
      <c r="T182" s="47">
        <f>'TB-Apr'!$D$131</f>
        <v>0</v>
      </c>
      <c r="U182" s="47">
        <f>'TB-May'!$D$131</f>
        <v>0</v>
      </c>
      <c r="V182" s="47">
        <f>'TB-Jun'!$D$131</f>
        <v>0</v>
      </c>
      <c r="W182" s="47">
        <f>'TB-Jul'!$D$131</f>
        <v>0</v>
      </c>
      <c r="X182" s="47">
        <f>'TB-Aug'!$D$131</f>
        <v>0</v>
      </c>
      <c r="Y182" s="47">
        <f>'TB-Sep'!$D$131</f>
        <v>0</v>
      </c>
      <c r="Z182" s="47">
        <f>'TB-Oct'!$D$131</f>
        <v>0</v>
      </c>
      <c r="AA182" s="47">
        <f>'TB-Nov'!$D$131</f>
        <v>0</v>
      </c>
      <c r="AB182" s="47">
        <f>'TB-Dec'!$D$131</f>
        <v>0</v>
      </c>
    </row>
    <row r="183" spans="1:28" s="79" customFormat="1" ht="15.75" hidden="1" customHeight="1" outlineLevel="2">
      <c r="A183" s="33"/>
      <c r="B183" s="33"/>
      <c r="C183" s="34" t="s">
        <v>951</v>
      </c>
      <c r="D183" s="33"/>
      <c r="E183" s="31">
        <f t="shared" si="61"/>
        <v>0</v>
      </c>
      <c r="F183" s="31">
        <f>SUM($Q183:R183)</f>
        <v>0</v>
      </c>
      <c r="G183" s="31">
        <f>SUM($Q183:S183)</f>
        <v>0</v>
      </c>
      <c r="H183" s="103">
        <f>SUM($Q183:T183)</f>
        <v>0</v>
      </c>
      <c r="I183" s="103">
        <f>SUM($Q183:U183)</f>
        <v>0</v>
      </c>
      <c r="J183" s="103">
        <f>SUM($Q183:V183)</f>
        <v>0</v>
      </c>
      <c r="K183" s="103">
        <f>SUM($Q183:W183)</f>
        <v>0</v>
      </c>
      <c r="L183" s="103">
        <f>SUM($Q183:X183)</f>
        <v>0</v>
      </c>
      <c r="M183" s="103">
        <f>SUM($Q183:Y183)</f>
        <v>0</v>
      </c>
      <c r="N183" s="103">
        <f>SUM($Q183:Z183)</f>
        <v>0</v>
      </c>
      <c r="O183" s="103">
        <f>SUM($Q183:AA183)</f>
        <v>0</v>
      </c>
      <c r="P183" s="103">
        <f>SUM($Q183:AB183)</f>
        <v>0</v>
      </c>
      <c r="Q183" s="48">
        <f>Q184-Q185</f>
        <v>0</v>
      </c>
      <c r="R183" s="48">
        <f t="shared" ref="R183:AB183" si="80">R184-R185</f>
        <v>0</v>
      </c>
      <c r="S183" s="48">
        <f t="shared" si="80"/>
        <v>0</v>
      </c>
      <c r="T183" s="48">
        <f t="shared" si="80"/>
        <v>0</v>
      </c>
      <c r="U183" s="48">
        <f t="shared" si="80"/>
        <v>0</v>
      </c>
      <c r="V183" s="48">
        <f t="shared" si="80"/>
        <v>0</v>
      </c>
      <c r="W183" s="48">
        <f t="shared" si="80"/>
        <v>0</v>
      </c>
      <c r="X183" s="48">
        <f t="shared" si="80"/>
        <v>0</v>
      </c>
      <c r="Y183" s="48">
        <f t="shared" si="80"/>
        <v>0</v>
      </c>
      <c r="Z183" s="48">
        <f t="shared" si="80"/>
        <v>0</v>
      </c>
      <c r="AA183" s="48">
        <f t="shared" ref="AA183" si="81">AA184-AA185</f>
        <v>0</v>
      </c>
      <c r="AB183" s="48">
        <f t="shared" si="80"/>
        <v>0</v>
      </c>
    </row>
    <row r="184" spans="1:28" s="79" customFormat="1" ht="15.75" hidden="1" customHeight="1" outlineLevel="2">
      <c r="A184" s="33"/>
      <c r="B184" s="33"/>
      <c r="C184" s="33"/>
      <c r="D184" s="34" t="s">
        <v>222</v>
      </c>
      <c r="E184" s="31">
        <f t="shared" si="61"/>
        <v>0</v>
      </c>
      <c r="F184" s="31">
        <f>SUM($Q184:R184)</f>
        <v>0</v>
      </c>
      <c r="G184" s="31">
        <f>SUM($Q184:S184)</f>
        <v>0</v>
      </c>
      <c r="H184" s="103">
        <f>SUM($Q184:T184)</f>
        <v>0</v>
      </c>
      <c r="I184" s="103">
        <f>SUM($Q184:U184)</f>
        <v>0</v>
      </c>
      <c r="J184" s="103">
        <f>SUM($Q184:V184)</f>
        <v>0</v>
      </c>
      <c r="K184" s="103">
        <f>SUM($Q184:W184)</f>
        <v>0</v>
      </c>
      <c r="L184" s="103">
        <f>SUM($Q184:X184)</f>
        <v>0</v>
      </c>
      <c r="M184" s="103">
        <f>SUM($Q184:Y184)</f>
        <v>0</v>
      </c>
      <c r="N184" s="103">
        <f>SUM($Q184:Z184)</f>
        <v>0</v>
      </c>
      <c r="O184" s="103">
        <f>SUM($Q184:AA184)</f>
        <v>0</v>
      </c>
      <c r="P184" s="103">
        <f>SUM($Q184:AB184)</f>
        <v>0</v>
      </c>
      <c r="Q184" s="47">
        <f>'TB-Jan'!$C$132</f>
        <v>0</v>
      </c>
      <c r="R184" s="47">
        <f>'TB-Feb'!$C$132</f>
        <v>0</v>
      </c>
      <c r="S184" s="47">
        <f>'TB-Mar'!$C$132</f>
        <v>0</v>
      </c>
      <c r="T184" s="47">
        <f>'TB-Apr'!$C$132</f>
        <v>0</v>
      </c>
      <c r="U184" s="47">
        <f>'TB-May'!$C$132</f>
        <v>0</v>
      </c>
      <c r="V184" s="47">
        <f>'TB-Jun'!$C$132</f>
        <v>0</v>
      </c>
      <c r="W184" s="47">
        <f>'TB-Jul'!$C$132</f>
        <v>0</v>
      </c>
      <c r="X184" s="47">
        <f>'TB-Aug'!$C$132</f>
        <v>0</v>
      </c>
      <c r="Y184" s="47">
        <f>'TB-Sep'!$C$132</f>
        <v>0</v>
      </c>
      <c r="Z184" s="47">
        <f>'TB-Oct'!$C$132</f>
        <v>0</v>
      </c>
      <c r="AA184" s="47">
        <f>'TB-Nov'!$C$132</f>
        <v>0</v>
      </c>
      <c r="AB184" s="47">
        <f>'TB-Dec'!$C$132</f>
        <v>0</v>
      </c>
    </row>
    <row r="185" spans="1:28" s="79" customFormat="1" ht="15.75" hidden="1" customHeight="1" outlineLevel="2">
      <c r="A185" s="33"/>
      <c r="B185" s="33"/>
      <c r="C185" s="33"/>
      <c r="D185" s="34" t="s">
        <v>224</v>
      </c>
      <c r="E185" s="31">
        <f t="shared" si="61"/>
        <v>0</v>
      </c>
      <c r="F185" s="31">
        <f>SUM($Q185:R185)</f>
        <v>0</v>
      </c>
      <c r="G185" s="31">
        <f>SUM($Q185:S185)</f>
        <v>0</v>
      </c>
      <c r="H185" s="103">
        <f>SUM($Q185:T185)</f>
        <v>0</v>
      </c>
      <c r="I185" s="103">
        <f>SUM($Q185:U185)</f>
        <v>0</v>
      </c>
      <c r="J185" s="103">
        <f>SUM($Q185:V185)</f>
        <v>0</v>
      </c>
      <c r="K185" s="103">
        <f>SUM($Q185:W185)</f>
        <v>0</v>
      </c>
      <c r="L185" s="103">
        <f>SUM($Q185:X185)</f>
        <v>0</v>
      </c>
      <c r="M185" s="103">
        <f>SUM($Q185:Y185)</f>
        <v>0</v>
      </c>
      <c r="N185" s="103">
        <f>SUM($Q185:Z185)</f>
        <v>0</v>
      </c>
      <c r="O185" s="103">
        <f>SUM($Q185:AA185)</f>
        <v>0</v>
      </c>
      <c r="P185" s="103">
        <f>SUM($Q185:AB185)</f>
        <v>0</v>
      </c>
      <c r="Q185" s="47">
        <f>'TB-Jan'!$D$133</f>
        <v>0</v>
      </c>
      <c r="R185" s="47">
        <f>'TB-Feb'!$D$133</f>
        <v>0</v>
      </c>
      <c r="S185" s="47">
        <f>'TB-Mar'!$D$133</f>
        <v>0</v>
      </c>
      <c r="T185" s="47">
        <f>'TB-Apr'!$D$133</f>
        <v>0</v>
      </c>
      <c r="U185" s="47">
        <f>'TB-May'!$D$133</f>
        <v>0</v>
      </c>
      <c r="V185" s="47">
        <f>'TB-Jun'!$D$133</f>
        <v>0</v>
      </c>
      <c r="W185" s="47">
        <f>'TB-Jul'!$D$133</f>
        <v>0</v>
      </c>
      <c r="X185" s="47">
        <f>'TB-Aug'!$D$133</f>
        <v>0</v>
      </c>
      <c r="Y185" s="47">
        <f>'TB-Sep'!$D$133</f>
        <v>0</v>
      </c>
      <c r="Z185" s="47">
        <f>'TB-Oct'!$D$133</f>
        <v>0</v>
      </c>
      <c r="AA185" s="47">
        <f>'TB-Nov'!$D$133</f>
        <v>0</v>
      </c>
      <c r="AB185" s="47">
        <f>'TB-Dec'!$D$133</f>
        <v>0</v>
      </c>
    </row>
    <row r="186" spans="1:28" s="79" customFormat="1" ht="15.75" hidden="1" customHeight="1" outlineLevel="2">
      <c r="A186" s="33"/>
      <c r="B186" s="33"/>
      <c r="C186" s="34" t="s">
        <v>952</v>
      </c>
      <c r="D186" s="33"/>
      <c r="E186" s="31">
        <f t="shared" si="61"/>
        <v>0</v>
      </c>
      <c r="F186" s="31">
        <f>SUM($Q186:R186)</f>
        <v>0</v>
      </c>
      <c r="G186" s="31">
        <f>SUM($Q186:S186)</f>
        <v>0</v>
      </c>
      <c r="H186" s="103">
        <f>SUM($Q186:T186)</f>
        <v>0</v>
      </c>
      <c r="I186" s="103">
        <f>SUM($Q186:U186)</f>
        <v>0</v>
      </c>
      <c r="J186" s="103">
        <f>SUM($Q186:V186)</f>
        <v>0</v>
      </c>
      <c r="K186" s="103">
        <f>SUM($Q186:W186)</f>
        <v>0</v>
      </c>
      <c r="L186" s="103">
        <f>SUM($Q186:X186)</f>
        <v>0</v>
      </c>
      <c r="M186" s="103">
        <f>SUM($Q186:Y186)</f>
        <v>0</v>
      </c>
      <c r="N186" s="103">
        <f>SUM($Q186:Z186)</f>
        <v>0</v>
      </c>
      <c r="O186" s="103">
        <f>SUM($Q186:AA186)</f>
        <v>0</v>
      </c>
      <c r="P186" s="103">
        <f>SUM($Q186:AB186)</f>
        <v>0</v>
      </c>
      <c r="Q186" s="48">
        <f>Q187-Q188</f>
        <v>0</v>
      </c>
      <c r="R186" s="48">
        <f t="shared" ref="R186:AB186" si="82">R187-R188</f>
        <v>0</v>
      </c>
      <c r="S186" s="48">
        <f t="shared" si="82"/>
        <v>0</v>
      </c>
      <c r="T186" s="48">
        <f t="shared" si="82"/>
        <v>0</v>
      </c>
      <c r="U186" s="48">
        <f t="shared" si="82"/>
        <v>0</v>
      </c>
      <c r="V186" s="48">
        <f t="shared" si="82"/>
        <v>0</v>
      </c>
      <c r="W186" s="48">
        <f t="shared" si="82"/>
        <v>0</v>
      </c>
      <c r="X186" s="48">
        <f t="shared" si="82"/>
        <v>0</v>
      </c>
      <c r="Y186" s="48">
        <f t="shared" si="82"/>
        <v>0</v>
      </c>
      <c r="Z186" s="48">
        <f t="shared" si="82"/>
        <v>0</v>
      </c>
      <c r="AA186" s="48">
        <f t="shared" ref="AA186" si="83">AA187-AA188</f>
        <v>0</v>
      </c>
      <c r="AB186" s="48">
        <f t="shared" si="82"/>
        <v>0</v>
      </c>
    </row>
    <row r="187" spans="1:28" s="79" customFormat="1" ht="15.75" hidden="1" customHeight="1" outlineLevel="2">
      <c r="A187" s="33"/>
      <c r="B187" s="33"/>
      <c r="C187" s="33"/>
      <c r="D187" s="34" t="s">
        <v>226</v>
      </c>
      <c r="E187" s="31">
        <f t="shared" si="61"/>
        <v>0</v>
      </c>
      <c r="F187" s="31">
        <f>SUM($Q187:R187)</f>
        <v>0</v>
      </c>
      <c r="G187" s="31">
        <f>SUM($Q187:S187)</f>
        <v>0</v>
      </c>
      <c r="H187" s="103">
        <f>SUM($Q187:T187)</f>
        <v>0</v>
      </c>
      <c r="I187" s="103">
        <f>SUM($Q187:U187)</f>
        <v>0</v>
      </c>
      <c r="J187" s="103">
        <f>SUM($Q187:V187)</f>
        <v>0</v>
      </c>
      <c r="K187" s="103">
        <f>SUM($Q187:W187)</f>
        <v>0</v>
      </c>
      <c r="L187" s="103">
        <f>SUM($Q187:X187)</f>
        <v>0</v>
      </c>
      <c r="M187" s="103">
        <f>SUM($Q187:Y187)</f>
        <v>0</v>
      </c>
      <c r="N187" s="103">
        <f>SUM($Q187:Z187)</f>
        <v>0</v>
      </c>
      <c r="O187" s="103">
        <f>SUM($Q187:AA187)</f>
        <v>0</v>
      </c>
      <c r="P187" s="103">
        <f>SUM($Q187:AB187)</f>
        <v>0</v>
      </c>
      <c r="Q187" s="47">
        <f>'TB-Jan'!$C$134</f>
        <v>0</v>
      </c>
      <c r="R187" s="47">
        <f>'TB-Feb'!$C$134</f>
        <v>0</v>
      </c>
      <c r="S187" s="47">
        <f>'TB-Mar'!$C$134</f>
        <v>0</v>
      </c>
      <c r="T187" s="47">
        <f>'TB-Apr'!$C$134</f>
        <v>0</v>
      </c>
      <c r="U187" s="47">
        <f>'TB-May'!$C$134</f>
        <v>0</v>
      </c>
      <c r="V187" s="47">
        <f>'TB-Jun'!$C$134</f>
        <v>0</v>
      </c>
      <c r="W187" s="47">
        <f>'TB-Jul'!$C$134</f>
        <v>0</v>
      </c>
      <c r="X187" s="47">
        <f>'TB-Aug'!$C$134</f>
        <v>0</v>
      </c>
      <c r="Y187" s="47">
        <f>'TB-Sep'!$C$134</f>
        <v>0</v>
      </c>
      <c r="Z187" s="47">
        <f>'TB-Oct'!$C$134</f>
        <v>0</v>
      </c>
      <c r="AA187" s="47">
        <f>'TB-Nov'!$C$134</f>
        <v>0</v>
      </c>
      <c r="AB187" s="47">
        <f>'TB-Dec'!$C$134</f>
        <v>0</v>
      </c>
    </row>
    <row r="188" spans="1:28" s="79" customFormat="1" ht="15.75" hidden="1" customHeight="1" outlineLevel="2">
      <c r="A188" s="33"/>
      <c r="B188" s="33"/>
      <c r="C188" s="33"/>
      <c r="D188" s="34" t="s">
        <v>953</v>
      </c>
      <c r="E188" s="31">
        <f t="shared" si="61"/>
        <v>0</v>
      </c>
      <c r="F188" s="31">
        <f>SUM($Q188:R188)</f>
        <v>0</v>
      </c>
      <c r="G188" s="31">
        <f>SUM($Q188:S188)</f>
        <v>0</v>
      </c>
      <c r="H188" s="103">
        <f>SUM($Q188:T188)</f>
        <v>0</v>
      </c>
      <c r="I188" s="103">
        <f>SUM($Q188:U188)</f>
        <v>0</v>
      </c>
      <c r="J188" s="103">
        <f>SUM($Q188:V188)</f>
        <v>0</v>
      </c>
      <c r="K188" s="103">
        <f>SUM($Q188:W188)</f>
        <v>0</v>
      </c>
      <c r="L188" s="103">
        <f>SUM($Q188:X188)</f>
        <v>0</v>
      </c>
      <c r="M188" s="103">
        <f>SUM($Q188:Y188)</f>
        <v>0</v>
      </c>
      <c r="N188" s="103">
        <f>SUM($Q188:Z188)</f>
        <v>0</v>
      </c>
      <c r="O188" s="103">
        <f>SUM($Q188:AA188)</f>
        <v>0</v>
      </c>
      <c r="P188" s="103">
        <f>SUM($Q188:AB188)</f>
        <v>0</v>
      </c>
      <c r="Q188" s="47">
        <f>'TB-Jan'!$D$135</f>
        <v>0</v>
      </c>
      <c r="R188" s="47">
        <f>'TB-Feb'!$D$135</f>
        <v>0</v>
      </c>
      <c r="S188" s="47">
        <f>'TB-Mar'!$D$135</f>
        <v>0</v>
      </c>
      <c r="T188" s="47">
        <f>'TB-Apr'!$D$135</f>
        <v>0</v>
      </c>
      <c r="U188" s="47">
        <f>'TB-May'!$D$135</f>
        <v>0</v>
      </c>
      <c r="V188" s="47">
        <f>'TB-Jun'!$D$135</f>
        <v>0</v>
      </c>
      <c r="W188" s="47">
        <f>'TB-Jul'!$D$135</f>
        <v>0</v>
      </c>
      <c r="X188" s="47">
        <f>'TB-Aug'!$D$135</f>
        <v>0</v>
      </c>
      <c r="Y188" s="47">
        <f>'TB-Sep'!$D$135</f>
        <v>0</v>
      </c>
      <c r="Z188" s="47">
        <f>'TB-Oct'!$D$135</f>
        <v>0</v>
      </c>
      <c r="AA188" s="47">
        <f>'TB-Nov'!$D$135</f>
        <v>0</v>
      </c>
      <c r="AB188" s="47">
        <f>'TB-Dec'!$D$135</f>
        <v>0</v>
      </c>
    </row>
    <row r="189" spans="1:28" s="78" customFormat="1" ht="15.75" customHeight="1" outlineLevel="1" collapsed="1">
      <c r="A189" s="32"/>
      <c r="B189" s="32" t="s">
        <v>954</v>
      </c>
      <c r="C189" s="32"/>
      <c r="D189" s="35"/>
      <c r="E189" s="59">
        <f t="shared" si="61"/>
        <v>0</v>
      </c>
      <c r="F189" s="59">
        <f>SUM($Q189:R189)</f>
        <v>0</v>
      </c>
      <c r="G189" s="59">
        <f>SUM($Q189:S189)</f>
        <v>0</v>
      </c>
      <c r="H189" s="59">
        <f>SUM($Q189:T189)</f>
        <v>150000</v>
      </c>
      <c r="I189" s="59">
        <f>SUM($Q189:U189)</f>
        <v>150000</v>
      </c>
      <c r="J189" s="59">
        <f>SUM($Q189:V189)</f>
        <v>150000</v>
      </c>
      <c r="K189" s="59">
        <f>SUM($Q189:W189)</f>
        <v>150000</v>
      </c>
      <c r="L189" s="59">
        <f>SUM($Q189:X189)</f>
        <v>150000</v>
      </c>
      <c r="M189" s="59">
        <f>SUM($Q189:Y189)</f>
        <v>150000</v>
      </c>
      <c r="N189" s="59">
        <f>SUM($Q189:Z189)</f>
        <v>150000</v>
      </c>
      <c r="O189" s="59">
        <f>SUM($Q189:AA189)</f>
        <v>150000</v>
      </c>
      <c r="P189" s="59">
        <f>SUM($Q189:AB189)</f>
        <v>150000</v>
      </c>
      <c r="Q189" s="46">
        <f>SUM(Q190,Q193,Q196,Q199,Q202)</f>
        <v>0</v>
      </c>
      <c r="R189" s="46">
        <f t="shared" ref="R189:AB189" si="84">SUM(R190,R193,R196,R199,R202)</f>
        <v>0</v>
      </c>
      <c r="S189" s="46">
        <f t="shared" si="84"/>
        <v>0</v>
      </c>
      <c r="T189" s="46">
        <f t="shared" si="84"/>
        <v>150000</v>
      </c>
      <c r="U189" s="46">
        <f t="shared" si="84"/>
        <v>0</v>
      </c>
      <c r="V189" s="46">
        <f t="shared" si="84"/>
        <v>0</v>
      </c>
      <c r="W189" s="46">
        <f t="shared" si="84"/>
        <v>0</v>
      </c>
      <c r="X189" s="46">
        <f t="shared" si="84"/>
        <v>0</v>
      </c>
      <c r="Y189" s="46">
        <f t="shared" si="84"/>
        <v>0</v>
      </c>
      <c r="Z189" s="46">
        <f t="shared" si="84"/>
        <v>0</v>
      </c>
      <c r="AA189" s="46">
        <f t="shared" si="84"/>
        <v>0</v>
      </c>
      <c r="AB189" s="46">
        <f t="shared" si="84"/>
        <v>0</v>
      </c>
    </row>
    <row r="190" spans="1:28" s="79" customFormat="1" ht="15.75" hidden="1" customHeight="1" outlineLevel="2">
      <c r="A190" s="33"/>
      <c r="B190" s="33"/>
      <c r="C190" s="34" t="s">
        <v>955</v>
      </c>
      <c r="D190" s="33"/>
      <c r="E190" s="31">
        <f t="shared" si="61"/>
        <v>0</v>
      </c>
      <c r="F190" s="31">
        <f>SUM($Q190:R190)</f>
        <v>0</v>
      </c>
      <c r="G190" s="31">
        <f>SUM($Q190:S190)</f>
        <v>0</v>
      </c>
      <c r="H190" s="103">
        <f>SUM($Q190:T190)</f>
        <v>0</v>
      </c>
      <c r="I190" s="103">
        <f>SUM($Q190:U190)</f>
        <v>0</v>
      </c>
      <c r="J190" s="103">
        <f>SUM($Q190:V190)</f>
        <v>0</v>
      </c>
      <c r="K190" s="103">
        <f>SUM($Q190:W190)</f>
        <v>0</v>
      </c>
      <c r="L190" s="103">
        <f>SUM($Q190:X190)</f>
        <v>0</v>
      </c>
      <c r="M190" s="103">
        <f>SUM($Q190:Y190)</f>
        <v>0</v>
      </c>
      <c r="N190" s="103">
        <f>SUM($Q190:Z190)</f>
        <v>0</v>
      </c>
      <c r="O190" s="103">
        <f>SUM($Q190:AA190)</f>
        <v>0</v>
      </c>
      <c r="P190" s="103">
        <f>SUM($Q190:AB190)</f>
        <v>0</v>
      </c>
      <c r="Q190" s="48">
        <f>Q191-Q192</f>
        <v>0</v>
      </c>
      <c r="R190" s="48">
        <f t="shared" ref="R190:AB190" si="85">R191-R192</f>
        <v>0</v>
      </c>
      <c r="S190" s="48">
        <f t="shared" si="85"/>
        <v>0</v>
      </c>
      <c r="T190" s="48">
        <f t="shared" si="85"/>
        <v>0</v>
      </c>
      <c r="U190" s="48">
        <f t="shared" si="85"/>
        <v>0</v>
      </c>
      <c r="V190" s="48">
        <f t="shared" si="85"/>
        <v>0</v>
      </c>
      <c r="W190" s="48">
        <f t="shared" si="85"/>
        <v>0</v>
      </c>
      <c r="X190" s="48">
        <f t="shared" si="85"/>
        <v>0</v>
      </c>
      <c r="Y190" s="48">
        <f t="shared" si="85"/>
        <v>0</v>
      </c>
      <c r="Z190" s="48">
        <f t="shared" si="85"/>
        <v>0</v>
      </c>
      <c r="AA190" s="48">
        <f t="shared" ref="AA190" si="86">AA191-AA192</f>
        <v>0</v>
      </c>
      <c r="AB190" s="48">
        <f t="shared" si="85"/>
        <v>0</v>
      </c>
    </row>
    <row r="191" spans="1:28" s="79" customFormat="1" ht="15.75" hidden="1" customHeight="1" outlineLevel="2">
      <c r="A191" s="33"/>
      <c r="B191" s="33"/>
      <c r="C191" s="33"/>
      <c r="D191" s="34" t="s">
        <v>230</v>
      </c>
      <c r="E191" s="31">
        <f t="shared" si="61"/>
        <v>0</v>
      </c>
      <c r="F191" s="31">
        <f>SUM($Q191:R191)</f>
        <v>0</v>
      </c>
      <c r="G191" s="31">
        <f>SUM($Q191:S191)</f>
        <v>0</v>
      </c>
      <c r="H191" s="103">
        <f>SUM($Q191:T191)</f>
        <v>0</v>
      </c>
      <c r="I191" s="103">
        <f>SUM($Q191:U191)</f>
        <v>0</v>
      </c>
      <c r="J191" s="103">
        <f>SUM($Q191:V191)</f>
        <v>0</v>
      </c>
      <c r="K191" s="103">
        <f>SUM($Q191:W191)</f>
        <v>0</v>
      </c>
      <c r="L191" s="103">
        <f>SUM($Q191:X191)</f>
        <v>0</v>
      </c>
      <c r="M191" s="103">
        <f>SUM($Q191:Y191)</f>
        <v>0</v>
      </c>
      <c r="N191" s="103">
        <f>SUM($Q191:Z191)</f>
        <v>0</v>
      </c>
      <c r="O191" s="103">
        <f>SUM($Q191:AA191)</f>
        <v>0</v>
      </c>
      <c r="P191" s="103">
        <f>SUM($Q191:AB191)</f>
        <v>0</v>
      </c>
      <c r="Q191" s="47">
        <f>'TB-Jan'!$C$136</f>
        <v>0</v>
      </c>
      <c r="R191" s="47">
        <f>'TB-Feb'!$C$136</f>
        <v>0</v>
      </c>
      <c r="S191" s="47">
        <f>'TB-Mar'!$C$136</f>
        <v>0</v>
      </c>
      <c r="T191" s="47">
        <f>'TB-Apr'!$C$136</f>
        <v>0</v>
      </c>
      <c r="U191" s="47">
        <f>'TB-May'!$C$136</f>
        <v>0</v>
      </c>
      <c r="V191" s="47">
        <f>'TB-Jun'!$C$136</f>
        <v>0</v>
      </c>
      <c r="W191" s="47">
        <f>'TB-Jul'!$C$136</f>
        <v>0</v>
      </c>
      <c r="X191" s="47">
        <f>'TB-Aug'!$C$136</f>
        <v>0</v>
      </c>
      <c r="Y191" s="47">
        <f>'TB-Sep'!$C$136</f>
        <v>0</v>
      </c>
      <c r="Z191" s="47">
        <f>'TB-Oct'!$C$136</f>
        <v>0</v>
      </c>
      <c r="AA191" s="47">
        <f>'TB-Nov'!$C$136</f>
        <v>0</v>
      </c>
      <c r="AB191" s="47">
        <f>'TB-Dec'!$C$136</f>
        <v>0</v>
      </c>
    </row>
    <row r="192" spans="1:28" s="79" customFormat="1" ht="15.75" hidden="1" customHeight="1" outlineLevel="2">
      <c r="A192" s="33"/>
      <c r="B192" s="33"/>
      <c r="C192" s="33"/>
      <c r="D192" s="34" t="s">
        <v>232</v>
      </c>
      <c r="E192" s="31">
        <f t="shared" si="61"/>
        <v>0</v>
      </c>
      <c r="F192" s="31">
        <f>SUM($Q192:R192)</f>
        <v>0</v>
      </c>
      <c r="G192" s="31">
        <f>SUM($Q192:S192)</f>
        <v>0</v>
      </c>
      <c r="H192" s="103">
        <f>SUM($Q192:T192)</f>
        <v>0</v>
      </c>
      <c r="I192" s="103">
        <f>SUM($Q192:U192)</f>
        <v>0</v>
      </c>
      <c r="J192" s="103">
        <f>SUM($Q192:V192)</f>
        <v>0</v>
      </c>
      <c r="K192" s="103">
        <f>SUM($Q192:W192)</f>
        <v>0</v>
      </c>
      <c r="L192" s="103">
        <f>SUM($Q192:X192)</f>
        <v>0</v>
      </c>
      <c r="M192" s="103">
        <f>SUM($Q192:Y192)</f>
        <v>0</v>
      </c>
      <c r="N192" s="103">
        <f>SUM($Q192:Z192)</f>
        <v>0</v>
      </c>
      <c r="O192" s="103">
        <f>SUM($Q192:AA192)</f>
        <v>0</v>
      </c>
      <c r="P192" s="103">
        <f>SUM($Q192:AB192)</f>
        <v>0</v>
      </c>
      <c r="Q192" s="47">
        <f>'TB-Jan'!$D$137</f>
        <v>0</v>
      </c>
      <c r="R192" s="47">
        <f>'TB-Feb'!$D$137</f>
        <v>0</v>
      </c>
      <c r="S192" s="47">
        <f>'TB-Mar'!$D$137</f>
        <v>0</v>
      </c>
      <c r="T192" s="47">
        <f>'TB-Apr'!$D$137</f>
        <v>0</v>
      </c>
      <c r="U192" s="47">
        <f>'TB-May'!$D$137</f>
        <v>0</v>
      </c>
      <c r="V192" s="47">
        <f>'TB-Jun'!$D$137</f>
        <v>0</v>
      </c>
      <c r="W192" s="47">
        <f>'TB-Jul'!$D$137</f>
        <v>0</v>
      </c>
      <c r="X192" s="47">
        <f>'TB-Aug'!$D$137</f>
        <v>0</v>
      </c>
      <c r="Y192" s="47">
        <f>'TB-Sep'!$D$137</f>
        <v>0</v>
      </c>
      <c r="Z192" s="47">
        <f>'TB-Oct'!$D$137</f>
        <v>0</v>
      </c>
      <c r="AA192" s="47">
        <f>'TB-Nov'!$D$137</f>
        <v>0</v>
      </c>
      <c r="AB192" s="47">
        <f>'TB-Dec'!$D$137</f>
        <v>0</v>
      </c>
    </row>
    <row r="193" spans="1:28" s="79" customFormat="1" ht="15.75" hidden="1" customHeight="1" outlineLevel="2">
      <c r="A193" s="33"/>
      <c r="B193" s="33"/>
      <c r="C193" s="34" t="s">
        <v>956</v>
      </c>
      <c r="D193" s="33"/>
      <c r="E193" s="31">
        <f t="shared" si="61"/>
        <v>0</v>
      </c>
      <c r="F193" s="31">
        <f>SUM($Q193:R193)</f>
        <v>0</v>
      </c>
      <c r="G193" s="31">
        <f>SUM($Q193:S193)</f>
        <v>0</v>
      </c>
      <c r="H193" s="103">
        <f>SUM($Q193:T193)</f>
        <v>0</v>
      </c>
      <c r="I193" s="103">
        <f>SUM($Q193:U193)</f>
        <v>0</v>
      </c>
      <c r="J193" s="103">
        <f>SUM($Q193:V193)</f>
        <v>0</v>
      </c>
      <c r="K193" s="103">
        <f>SUM($Q193:W193)</f>
        <v>0</v>
      </c>
      <c r="L193" s="103">
        <f>SUM($Q193:X193)</f>
        <v>0</v>
      </c>
      <c r="M193" s="103">
        <f>SUM($Q193:Y193)</f>
        <v>0</v>
      </c>
      <c r="N193" s="103">
        <f>SUM($Q193:Z193)</f>
        <v>0</v>
      </c>
      <c r="O193" s="103">
        <f>SUM($Q193:AA193)</f>
        <v>0</v>
      </c>
      <c r="P193" s="103">
        <f>SUM($Q193:AB193)</f>
        <v>0</v>
      </c>
      <c r="Q193" s="48">
        <f>Q194-Q195</f>
        <v>0</v>
      </c>
      <c r="R193" s="48">
        <f t="shared" ref="R193:AB193" si="87">R194-R195</f>
        <v>0</v>
      </c>
      <c r="S193" s="48">
        <f t="shared" si="87"/>
        <v>0</v>
      </c>
      <c r="T193" s="48">
        <f t="shared" si="87"/>
        <v>0</v>
      </c>
      <c r="U193" s="48">
        <f t="shared" si="87"/>
        <v>0</v>
      </c>
      <c r="V193" s="48">
        <f t="shared" si="87"/>
        <v>0</v>
      </c>
      <c r="W193" s="48">
        <f t="shared" si="87"/>
        <v>0</v>
      </c>
      <c r="X193" s="48">
        <f t="shared" si="87"/>
        <v>0</v>
      </c>
      <c r="Y193" s="48">
        <f t="shared" si="87"/>
        <v>0</v>
      </c>
      <c r="Z193" s="48">
        <f t="shared" si="87"/>
        <v>0</v>
      </c>
      <c r="AA193" s="48">
        <f t="shared" ref="AA193" si="88">AA194-AA195</f>
        <v>0</v>
      </c>
      <c r="AB193" s="48">
        <f t="shared" si="87"/>
        <v>0</v>
      </c>
    </row>
    <row r="194" spans="1:28" s="79" customFormat="1" ht="15.75" hidden="1" customHeight="1" outlineLevel="2">
      <c r="A194" s="33"/>
      <c r="B194" s="33"/>
      <c r="C194" s="33"/>
      <c r="D194" s="34" t="s">
        <v>234</v>
      </c>
      <c r="E194" s="31">
        <f t="shared" si="61"/>
        <v>0</v>
      </c>
      <c r="F194" s="31">
        <f>SUM($Q194:R194)</f>
        <v>0</v>
      </c>
      <c r="G194" s="31">
        <f>SUM($Q194:S194)</f>
        <v>0</v>
      </c>
      <c r="H194" s="103">
        <f>SUM($Q194:T194)</f>
        <v>0</v>
      </c>
      <c r="I194" s="103">
        <f>SUM($Q194:U194)</f>
        <v>0</v>
      </c>
      <c r="J194" s="103">
        <f>SUM($Q194:V194)</f>
        <v>0</v>
      </c>
      <c r="K194" s="103">
        <f>SUM($Q194:W194)</f>
        <v>0</v>
      </c>
      <c r="L194" s="103">
        <f>SUM($Q194:X194)</f>
        <v>0</v>
      </c>
      <c r="M194" s="103">
        <f>SUM($Q194:Y194)</f>
        <v>0</v>
      </c>
      <c r="N194" s="103">
        <f>SUM($Q194:Z194)</f>
        <v>0</v>
      </c>
      <c r="O194" s="103">
        <f>SUM($Q194:AA194)</f>
        <v>0</v>
      </c>
      <c r="P194" s="103">
        <f>SUM($Q194:AB194)</f>
        <v>0</v>
      </c>
      <c r="Q194" s="47">
        <f>'TB-Jan'!$C$138</f>
        <v>0</v>
      </c>
      <c r="R194" s="47">
        <f>'TB-Feb'!$C$138</f>
        <v>0</v>
      </c>
      <c r="S194" s="47">
        <f>'TB-Mar'!$C$138</f>
        <v>0</v>
      </c>
      <c r="T194" s="47">
        <f>'TB-Apr'!$C$138</f>
        <v>0</v>
      </c>
      <c r="U194" s="47">
        <f>'TB-May'!$C$138</f>
        <v>0</v>
      </c>
      <c r="V194" s="47">
        <f>'TB-Jun'!$C$138</f>
        <v>0</v>
      </c>
      <c r="W194" s="47">
        <f>'TB-Jul'!$C$138</f>
        <v>0</v>
      </c>
      <c r="X194" s="47">
        <f>'TB-Aug'!$C$138</f>
        <v>0</v>
      </c>
      <c r="Y194" s="47">
        <f>'TB-Sep'!$C$138</f>
        <v>0</v>
      </c>
      <c r="Z194" s="47">
        <f>'TB-Oct'!$C$138</f>
        <v>0</v>
      </c>
      <c r="AA194" s="47">
        <f>'TB-Nov'!$C$138</f>
        <v>0</v>
      </c>
      <c r="AB194" s="47">
        <f>'TB-Dec'!$C$138</f>
        <v>0</v>
      </c>
    </row>
    <row r="195" spans="1:28" s="79" customFormat="1" ht="15.75" hidden="1" customHeight="1" outlineLevel="2">
      <c r="A195" s="33"/>
      <c r="B195" s="33"/>
      <c r="C195" s="33"/>
      <c r="D195" s="34" t="s">
        <v>236</v>
      </c>
      <c r="E195" s="31">
        <f t="shared" si="61"/>
        <v>0</v>
      </c>
      <c r="F195" s="31">
        <f>SUM($Q195:R195)</f>
        <v>0</v>
      </c>
      <c r="G195" s="31">
        <f>SUM($Q195:S195)</f>
        <v>0</v>
      </c>
      <c r="H195" s="103">
        <f>SUM($Q195:T195)</f>
        <v>0</v>
      </c>
      <c r="I195" s="103">
        <f>SUM($Q195:U195)</f>
        <v>0</v>
      </c>
      <c r="J195" s="103">
        <f>SUM($Q195:V195)</f>
        <v>0</v>
      </c>
      <c r="K195" s="103">
        <f>SUM($Q195:W195)</f>
        <v>0</v>
      </c>
      <c r="L195" s="103">
        <f>SUM($Q195:X195)</f>
        <v>0</v>
      </c>
      <c r="M195" s="103">
        <f>SUM($Q195:Y195)</f>
        <v>0</v>
      </c>
      <c r="N195" s="103">
        <f>SUM($Q195:Z195)</f>
        <v>0</v>
      </c>
      <c r="O195" s="103">
        <f>SUM($Q195:AA195)</f>
        <v>0</v>
      </c>
      <c r="P195" s="103">
        <f>SUM($Q195:AB195)</f>
        <v>0</v>
      </c>
      <c r="Q195" s="47">
        <f>'TB-Jan'!$D$139</f>
        <v>0</v>
      </c>
      <c r="R195" s="47">
        <f>'TB-Feb'!$D$139</f>
        <v>0</v>
      </c>
      <c r="S195" s="47">
        <f>'TB-Mar'!$D$139</f>
        <v>0</v>
      </c>
      <c r="T195" s="47">
        <f>'TB-Apr'!$D$139</f>
        <v>0</v>
      </c>
      <c r="U195" s="47">
        <f>'TB-May'!$D$139</f>
        <v>0</v>
      </c>
      <c r="V195" s="47">
        <f>'TB-Jun'!$D$139</f>
        <v>0</v>
      </c>
      <c r="W195" s="47">
        <f>'TB-Jul'!$D$139</f>
        <v>0</v>
      </c>
      <c r="X195" s="47">
        <f>'TB-Aug'!$D$139</f>
        <v>0</v>
      </c>
      <c r="Y195" s="47">
        <f>'TB-Sep'!$D$139</f>
        <v>0</v>
      </c>
      <c r="Z195" s="47">
        <f>'TB-Oct'!$D$139</f>
        <v>0</v>
      </c>
      <c r="AA195" s="47">
        <f>'TB-Nov'!$D$139</f>
        <v>0</v>
      </c>
      <c r="AB195" s="47">
        <f>'TB-Dec'!$D$139</f>
        <v>0</v>
      </c>
    </row>
    <row r="196" spans="1:28" s="79" customFormat="1" ht="15.75" hidden="1" customHeight="1" outlineLevel="2">
      <c r="A196" s="33"/>
      <c r="B196" s="33"/>
      <c r="C196" s="34" t="s">
        <v>957</v>
      </c>
      <c r="D196" s="33"/>
      <c r="E196" s="31">
        <f t="shared" si="61"/>
        <v>0</v>
      </c>
      <c r="F196" s="31">
        <f>SUM($Q196:R196)</f>
        <v>0</v>
      </c>
      <c r="G196" s="31">
        <f>SUM($Q196:S196)</f>
        <v>0</v>
      </c>
      <c r="H196" s="103">
        <f>SUM($Q196:T196)</f>
        <v>0</v>
      </c>
      <c r="I196" s="103">
        <f>SUM($Q196:U196)</f>
        <v>0</v>
      </c>
      <c r="J196" s="103">
        <f>SUM($Q196:V196)</f>
        <v>0</v>
      </c>
      <c r="K196" s="103">
        <f>SUM($Q196:W196)</f>
        <v>0</v>
      </c>
      <c r="L196" s="103">
        <f>SUM($Q196:X196)</f>
        <v>0</v>
      </c>
      <c r="M196" s="103">
        <f>SUM($Q196:Y196)</f>
        <v>0</v>
      </c>
      <c r="N196" s="103">
        <f>SUM($Q196:Z196)</f>
        <v>0</v>
      </c>
      <c r="O196" s="103">
        <f>SUM($Q196:AA196)</f>
        <v>0</v>
      </c>
      <c r="P196" s="103">
        <f>SUM($Q196:AB196)</f>
        <v>0</v>
      </c>
      <c r="Q196" s="48">
        <f>Q197-Q198</f>
        <v>0</v>
      </c>
      <c r="R196" s="48">
        <f t="shared" ref="R196:AB196" si="89">R197-R198</f>
        <v>0</v>
      </c>
      <c r="S196" s="48">
        <f t="shared" si="89"/>
        <v>0</v>
      </c>
      <c r="T196" s="48">
        <f t="shared" si="89"/>
        <v>0</v>
      </c>
      <c r="U196" s="48">
        <f t="shared" si="89"/>
        <v>0</v>
      </c>
      <c r="V196" s="48">
        <f t="shared" si="89"/>
        <v>0</v>
      </c>
      <c r="W196" s="48">
        <f t="shared" si="89"/>
        <v>0</v>
      </c>
      <c r="X196" s="48">
        <f t="shared" si="89"/>
        <v>0</v>
      </c>
      <c r="Y196" s="48">
        <f t="shared" si="89"/>
        <v>0</v>
      </c>
      <c r="Z196" s="48">
        <f t="shared" si="89"/>
        <v>0</v>
      </c>
      <c r="AA196" s="48">
        <f t="shared" ref="AA196" si="90">AA197-AA198</f>
        <v>0</v>
      </c>
      <c r="AB196" s="48">
        <f t="shared" si="89"/>
        <v>0</v>
      </c>
    </row>
    <row r="197" spans="1:28" s="79" customFormat="1" ht="15.75" hidden="1" customHeight="1" outlineLevel="2">
      <c r="A197" s="33"/>
      <c r="B197" s="33"/>
      <c r="C197" s="33"/>
      <c r="D197" s="34" t="s">
        <v>238</v>
      </c>
      <c r="E197" s="31">
        <f t="shared" si="61"/>
        <v>0</v>
      </c>
      <c r="F197" s="31">
        <f>SUM($Q197:R197)</f>
        <v>0</v>
      </c>
      <c r="G197" s="31">
        <f>SUM($Q197:S197)</f>
        <v>0</v>
      </c>
      <c r="H197" s="103">
        <f>SUM($Q197:T197)</f>
        <v>0</v>
      </c>
      <c r="I197" s="103">
        <f>SUM($Q197:U197)</f>
        <v>0</v>
      </c>
      <c r="J197" s="103">
        <f>SUM($Q197:V197)</f>
        <v>0</v>
      </c>
      <c r="K197" s="103">
        <f>SUM($Q197:W197)</f>
        <v>0</v>
      </c>
      <c r="L197" s="103">
        <f>SUM($Q197:X197)</f>
        <v>0</v>
      </c>
      <c r="M197" s="103">
        <f>SUM($Q197:Y197)</f>
        <v>0</v>
      </c>
      <c r="N197" s="103">
        <f>SUM($Q197:Z197)</f>
        <v>0</v>
      </c>
      <c r="O197" s="103">
        <f>SUM($Q197:AA197)</f>
        <v>0</v>
      </c>
      <c r="P197" s="103">
        <f>SUM($Q197:AB197)</f>
        <v>0</v>
      </c>
      <c r="Q197" s="47">
        <f>'TB-Jan'!$C$140</f>
        <v>0</v>
      </c>
      <c r="R197" s="47">
        <f>'TB-Feb'!$C$140</f>
        <v>0</v>
      </c>
      <c r="S197" s="47">
        <f>'TB-Mar'!$C$140</f>
        <v>0</v>
      </c>
      <c r="T197" s="47">
        <f>'TB-Apr'!$C$140</f>
        <v>0</v>
      </c>
      <c r="U197" s="47">
        <f>'TB-May'!$C$140</f>
        <v>0</v>
      </c>
      <c r="V197" s="47">
        <f>'TB-Jun'!$C$140</f>
        <v>0</v>
      </c>
      <c r="W197" s="47">
        <f>'TB-Jul'!$C$140</f>
        <v>0</v>
      </c>
      <c r="X197" s="47">
        <f>'TB-Aug'!$C$140</f>
        <v>0</v>
      </c>
      <c r="Y197" s="47">
        <f>'TB-Sep'!$C$140</f>
        <v>0</v>
      </c>
      <c r="Z197" s="47">
        <f>'TB-Oct'!$C$140</f>
        <v>0</v>
      </c>
      <c r="AA197" s="47">
        <f>'TB-Nov'!$C$140</f>
        <v>0</v>
      </c>
      <c r="AB197" s="47">
        <f>'TB-Dec'!$C$140</f>
        <v>0</v>
      </c>
    </row>
    <row r="198" spans="1:28" s="79" customFormat="1" ht="15.75" hidden="1" customHeight="1" outlineLevel="2">
      <c r="A198" s="33"/>
      <c r="B198" s="33"/>
      <c r="C198" s="33"/>
      <c r="D198" s="34" t="s">
        <v>240</v>
      </c>
      <c r="E198" s="31">
        <f t="shared" si="61"/>
        <v>0</v>
      </c>
      <c r="F198" s="31">
        <f>SUM($Q198:R198)</f>
        <v>0</v>
      </c>
      <c r="G198" s="31">
        <f>SUM($Q198:S198)</f>
        <v>0</v>
      </c>
      <c r="H198" s="103">
        <f>SUM($Q198:T198)</f>
        <v>0</v>
      </c>
      <c r="I198" s="103">
        <f>SUM($Q198:U198)</f>
        <v>0</v>
      </c>
      <c r="J198" s="103">
        <f>SUM($Q198:V198)</f>
        <v>0</v>
      </c>
      <c r="K198" s="103">
        <f>SUM($Q198:W198)</f>
        <v>0</v>
      </c>
      <c r="L198" s="103">
        <f>SUM($Q198:X198)</f>
        <v>0</v>
      </c>
      <c r="M198" s="103">
        <f>SUM($Q198:Y198)</f>
        <v>0</v>
      </c>
      <c r="N198" s="103">
        <f>SUM($Q198:Z198)</f>
        <v>0</v>
      </c>
      <c r="O198" s="103">
        <f>SUM($Q198:AA198)</f>
        <v>0</v>
      </c>
      <c r="P198" s="103">
        <f>SUM($Q198:AB198)</f>
        <v>0</v>
      </c>
      <c r="Q198" s="47">
        <f>'TB-Jan'!$D$141</f>
        <v>0</v>
      </c>
      <c r="R198" s="47">
        <f>'TB-Feb'!$D$141</f>
        <v>0</v>
      </c>
      <c r="S198" s="47">
        <f>'TB-Mar'!$D$141</f>
        <v>0</v>
      </c>
      <c r="T198" s="47">
        <f>'TB-Apr'!$D$141</f>
        <v>0</v>
      </c>
      <c r="U198" s="47">
        <f>'TB-May'!$D$141</f>
        <v>0</v>
      </c>
      <c r="V198" s="47">
        <f>'TB-Jun'!$D$141</f>
        <v>0</v>
      </c>
      <c r="W198" s="47">
        <f>'TB-Jul'!$D$141</f>
        <v>0</v>
      </c>
      <c r="X198" s="47">
        <f>'TB-Aug'!$D$141</f>
        <v>0</v>
      </c>
      <c r="Y198" s="47">
        <f>'TB-Sep'!$D$141</f>
        <v>0</v>
      </c>
      <c r="Z198" s="47">
        <f>'TB-Oct'!$D$141</f>
        <v>0</v>
      </c>
      <c r="AA198" s="47">
        <f>'TB-Nov'!$D$141</f>
        <v>0</v>
      </c>
      <c r="AB198" s="47">
        <f>'TB-Dec'!$D$141</f>
        <v>0</v>
      </c>
    </row>
    <row r="199" spans="1:28" s="79" customFormat="1" ht="15.75" customHeight="1" outlineLevel="2">
      <c r="A199" s="33"/>
      <c r="B199" s="33"/>
      <c r="C199" s="34" t="s">
        <v>958</v>
      </c>
      <c r="D199" s="33"/>
      <c r="E199" s="31">
        <f t="shared" si="61"/>
        <v>0</v>
      </c>
      <c r="F199" s="31">
        <f>SUM($Q199:R199)</f>
        <v>0</v>
      </c>
      <c r="G199" s="31">
        <f>SUM($Q199:S199)</f>
        <v>0</v>
      </c>
      <c r="H199" s="103">
        <f>SUM($Q199:T199)</f>
        <v>150000</v>
      </c>
      <c r="I199" s="103">
        <f>SUM($Q199:U199)</f>
        <v>150000</v>
      </c>
      <c r="J199" s="103">
        <f>SUM($Q199:V199)</f>
        <v>150000</v>
      </c>
      <c r="K199" s="103">
        <f>SUM($Q199:W199)</f>
        <v>150000</v>
      </c>
      <c r="L199" s="103">
        <f>SUM($Q199:X199)</f>
        <v>150000</v>
      </c>
      <c r="M199" s="103">
        <f>SUM($Q199:Y199)</f>
        <v>150000</v>
      </c>
      <c r="N199" s="103">
        <f>SUM($Q199:Z199)</f>
        <v>150000</v>
      </c>
      <c r="O199" s="103">
        <f>SUM($Q199:AA199)</f>
        <v>150000</v>
      </c>
      <c r="P199" s="103">
        <f>SUM($Q199:AB199)</f>
        <v>150000</v>
      </c>
      <c r="Q199" s="48">
        <f>Q200-Q201</f>
        <v>0</v>
      </c>
      <c r="R199" s="48">
        <f t="shared" ref="R199:AB199" si="91">R200-R201</f>
        <v>0</v>
      </c>
      <c r="S199" s="48">
        <f t="shared" si="91"/>
        <v>0</v>
      </c>
      <c r="T199" s="48">
        <f t="shared" si="91"/>
        <v>150000</v>
      </c>
      <c r="U199" s="48">
        <f t="shared" si="91"/>
        <v>0</v>
      </c>
      <c r="V199" s="48">
        <f t="shared" si="91"/>
        <v>0</v>
      </c>
      <c r="W199" s="48">
        <f t="shared" si="91"/>
        <v>0</v>
      </c>
      <c r="X199" s="48">
        <f t="shared" si="91"/>
        <v>0</v>
      </c>
      <c r="Y199" s="48">
        <f t="shared" si="91"/>
        <v>0</v>
      </c>
      <c r="Z199" s="48">
        <f t="shared" si="91"/>
        <v>0</v>
      </c>
      <c r="AA199" s="48">
        <f t="shared" ref="AA199" si="92">AA200-AA201</f>
        <v>0</v>
      </c>
      <c r="AB199" s="48">
        <f t="shared" si="91"/>
        <v>0</v>
      </c>
    </row>
    <row r="200" spans="1:28" s="79" customFormat="1" ht="15" customHeight="1" outlineLevel="2">
      <c r="A200" s="33"/>
      <c r="B200" s="33"/>
      <c r="C200" s="33"/>
      <c r="D200" s="34" t="s">
        <v>242</v>
      </c>
      <c r="E200" s="31">
        <f t="shared" si="61"/>
        <v>0</v>
      </c>
      <c r="F200" s="31">
        <f>SUM($Q200:R200)</f>
        <v>0</v>
      </c>
      <c r="G200" s="31">
        <f>SUM($Q200:S200)</f>
        <v>0</v>
      </c>
      <c r="H200" s="103">
        <f>SUM($Q200:T200)</f>
        <v>150000</v>
      </c>
      <c r="I200" s="103">
        <f>SUM($Q200:U200)</f>
        <v>150000</v>
      </c>
      <c r="J200" s="103">
        <f>SUM($Q200:V200)</f>
        <v>150000</v>
      </c>
      <c r="K200" s="103">
        <f>SUM($Q200:W200)</f>
        <v>150000</v>
      </c>
      <c r="L200" s="103">
        <f>SUM($Q200:X200)</f>
        <v>150000</v>
      </c>
      <c r="M200" s="103">
        <f>SUM($Q200:Y200)</f>
        <v>150000</v>
      </c>
      <c r="N200" s="103">
        <f>SUM($Q200:Z200)</f>
        <v>150000</v>
      </c>
      <c r="O200" s="103">
        <f>SUM($Q200:AA200)</f>
        <v>150000</v>
      </c>
      <c r="P200" s="103">
        <f>SUM($Q200:AB200)</f>
        <v>150000</v>
      </c>
      <c r="Q200" s="47">
        <f>'TB-Jan'!$C$142</f>
        <v>0</v>
      </c>
      <c r="R200" s="47">
        <f>'TB-Feb'!$C$142</f>
        <v>0</v>
      </c>
      <c r="S200" s="47">
        <f>'TB-Mar'!$C$142</f>
        <v>0</v>
      </c>
      <c r="T200" s="47">
        <f>'TB-Apr'!$C$142</f>
        <v>150000</v>
      </c>
      <c r="U200" s="47">
        <f>'TB-May'!$C$142</f>
        <v>0</v>
      </c>
      <c r="V200" s="47">
        <f>'TB-Jun'!$C$142</f>
        <v>0</v>
      </c>
      <c r="W200" s="47">
        <f>'TB-Jul'!$C$142</f>
        <v>0</v>
      </c>
      <c r="X200" s="47">
        <f>'TB-Aug'!$C$142</f>
        <v>0</v>
      </c>
      <c r="Y200" s="47">
        <f>'TB-Sep'!$C$142</f>
        <v>0</v>
      </c>
      <c r="Z200" s="47">
        <f>'TB-Oct'!$C$142</f>
        <v>0</v>
      </c>
      <c r="AA200" s="47">
        <f>'TB-Nov'!$C$142</f>
        <v>0</v>
      </c>
      <c r="AB200" s="47">
        <f>'TB-Dec'!$C$142</f>
        <v>0</v>
      </c>
    </row>
    <row r="201" spans="1:28" s="79" customFormat="1" ht="15.75" hidden="1" customHeight="1" outlineLevel="2">
      <c r="A201" s="33"/>
      <c r="B201" s="33"/>
      <c r="C201" s="33"/>
      <c r="D201" s="34" t="s">
        <v>244</v>
      </c>
      <c r="E201" s="31">
        <f t="shared" si="61"/>
        <v>0</v>
      </c>
      <c r="F201" s="31">
        <f>SUM($Q201:R201)</f>
        <v>0</v>
      </c>
      <c r="G201" s="31">
        <f>SUM($Q201:S201)</f>
        <v>0</v>
      </c>
      <c r="H201" s="103">
        <f>SUM($Q201:T201)</f>
        <v>0</v>
      </c>
      <c r="I201" s="103">
        <f>SUM($Q201:U201)</f>
        <v>0</v>
      </c>
      <c r="J201" s="103">
        <f>SUM($Q201:V201)</f>
        <v>0</v>
      </c>
      <c r="K201" s="103">
        <f>SUM($Q201:W201)</f>
        <v>0</v>
      </c>
      <c r="L201" s="103">
        <f>SUM($Q201:X201)</f>
        <v>0</v>
      </c>
      <c r="M201" s="103">
        <f>SUM($Q201:Y201)</f>
        <v>0</v>
      </c>
      <c r="N201" s="103">
        <f>SUM($Q201:Z201)</f>
        <v>0</v>
      </c>
      <c r="O201" s="103">
        <f>SUM($Q201:AA201)</f>
        <v>0</v>
      </c>
      <c r="P201" s="103">
        <f>SUM($Q201:AB201)</f>
        <v>0</v>
      </c>
      <c r="Q201" s="47">
        <f>'TB-Jan'!$D$143</f>
        <v>0</v>
      </c>
      <c r="R201" s="47">
        <f>'TB-Feb'!$D$143</f>
        <v>0</v>
      </c>
      <c r="S201" s="47">
        <f>'TB-Mar'!$D$143</f>
        <v>0</v>
      </c>
      <c r="T201" s="47">
        <f>'TB-Apr'!$D$143</f>
        <v>0</v>
      </c>
      <c r="U201" s="47">
        <f>'TB-May'!$D$143</f>
        <v>0</v>
      </c>
      <c r="V201" s="47">
        <f>'TB-Jun'!$D$143</f>
        <v>0</v>
      </c>
      <c r="W201" s="47">
        <f>'TB-Jul'!$D$143</f>
        <v>0</v>
      </c>
      <c r="X201" s="47">
        <f>'TB-Aug'!$D$143</f>
        <v>0</v>
      </c>
      <c r="Y201" s="47">
        <f>'TB-Sep'!$D$143</f>
        <v>0</v>
      </c>
      <c r="Z201" s="47">
        <f>'TB-Oct'!$D$143</f>
        <v>0</v>
      </c>
      <c r="AA201" s="47">
        <f>'TB-Nov'!$D$143</f>
        <v>0</v>
      </c>
      <c r="AB201" s="47">
        <f>'TB-Dec'!$D$143</f>
        <v>0</v>
      </c>
    </row>
    <row r="202" spans="1:28" s="79" customFormat="1" ht="15.75" hidden="1" customHeight="1" outlineLevel="2">
      <c r="A202" s="33"/>
      <c r="B202" s="33"/>
      <c r="C202" s="34" t="s">
        <v>959</v>
      </c>
      <c r="D202" s="33"/>
      <c r="E202" s="31">
        <f t="shared" si="61"/>
        <v>0</v>
      </c>
      <c r="F202" s="31">
        <f>SUM($Q202:R202)</f>
        <v>0</v>
      </c>
      <c r="G202" s="31">
        <f>SUM($Q202:S202)</f>
        <v>0</v>
      </c>
      <c r="H202" s="103">
        <f>SUM($Q202:T202)</f>
        <v>0</v>
      </c>
      <c r="I202" s="103">
        <f>SUM($Q202:U202)</f>
        <v>0</v>
      </c>
      <c r="J202" s="103">
        <f>SUM($Q202:V202)</f>
        <v>0</v>
      </c>
      <c r="K202" s="103">
        <f>SUM($Q202:W202)</f>
        <v>0</v>
      </c>
      <c r="L202" s="103">
        <f>SUM($Q202:X202)</f>
        <v>0</v>
      </c>
      <c r="M202" s="103">
        <f>SUM($Q202:Y202)</f>
        <v>0</v>
      </c>
      <c r="N202" s="103">
        <f>SUM($Q202:Z202)</f>
        <v>0</v>
      </c>
      <c r="O202" s="103">
        <f>SUM($Q202:AA202)</f>
        <v>0</v>
      </c>
      <c r="P202" s="103">
        <f>SUM($Q202:AB202)</f>
        <v>0</v>
      </c>
      <c r="Q202" s="48">
        <f>Q203-Q204</f>
        <v>0</v>
      </c>
      <c r="R202" s="48">
        <f t="shared" ref="R202:AB202" si="93">R203-R204</f>
        <v>0</v>
      </c>
      <c r="S202" s="48">
        <f t="shared" si="93"/>
        <v>0</v>
      </c>
      <c r="T202" s="48">
        <f t="shared" si="93"/>
        <v>0</v>
      </c>
      <c r="U202" s="48">
        <f t="shared" si="93"/>
        <v>0</v>
      </c>
      <c r="V202" s="48">
        <f t="shared" si="93"/>
        <v>0</v>
      </c>
      <c r="W202" s="48">
        <f t="shared" si="93"/>
        <v>0</v>
      </c>
      <c r="X202" s="48">
        <f t="shared" si="93"/>
        <v>0</v>
      </c>
      <c r="Y202" s="48">
        <f t="shared" si="93"/>
        <v>0</v>
      </c>
      <c r="Z202" s="48">
        <f t="shared" si="93"/>
        <v>0</v>
      </c>
      <c r="AA202" s="48">
        <f t="shared" ref="AA202" si="94">AA203-AA204</f>
        <v>0</v>
      </c>
      <c r="AB202" s="48">
        <f t="shared" si="93"/>
        <v>0</v>
      </c>
    </row>
    <row r="203" spans="1:28" s="79" customFormat="1" ht="15.75" hidden="1" customHeight="1" outlineLevel="2">
      <c r="A203" s="33"/>
      <c r="B203" s="33"/>
      <c r="C203" s="33"/>
      <c r="D203" s="34" t="s">
        <v>246</v>
      </c>
      <c r="E203" s="31">
        <f t="shared" si="61"/>
        <v>0</v>
      </c>
      <c r="F203" s="31">
        <f>SUM($Q203:R203)</f>
        <v>0</v>
      </c>
      <c r="G203" s="31">
        <f>SUM($Q203:S203)</f>
        <v>0</v>
      </c>
      <c r="H203" s="103">
        <f>SUM($Q203:T203)</f>
        <v>0</v>
      </c>
      <c r="I203" s="103">
        <f>SUM($Q203:U203)</f>
        <v>0</v>
      </c>
      <c r="J203" s="103">
        <f>SUM($Q203:V203)</f>
        <v>0</v>
      </c>
      <c r="K203" s="103">
        <f>SUM($Q203:W203)</f>
        <v>0</v>
      </c>
      <c r="L203" s="103">
        <f>SUM($Q203:X203)</f>
        <v>0</v>
      </c>
      <c r="M203" s="103">
        <f>SUM($Q203:Y203)</f>
        <v>0</v>
      </c>
      <c r="N203" s="103">
        <f>SUM($Q203:Z203)</f>
        <v>0</v>
      </c>
      <c r="O203" s="103">
        <f>SUM($Q203:AA203)</f>
        <v>0</v>
      </c>
      <c r="P203" s="103">
        <f>SUM($Q203:AB203)</f>
        <v>0</v>
      </c>
      <c r="Q203" s="47">
        <f>'TB-Jan'!$C$144</f>
        <v>0</v>
      </c>
      <c r="R203" s="47">
        <f>'TB-Feb'!$C$144</f>
        <v>0</v>
      </c>
      <c r="S203" s="47">
        <f>'TB-Mar'!$C$144</f>
        <v>0</v>
      </c>
      <c r="T203" s="47">
        <f>'TB-Apr'!$C$144</f>
        <v>0</v>
      </c>
      <c r="U203" s="47">
        <f>'TB-May'!$C$144</f>
        <v>0</v>
      </c>
      <c r="V203" s="47">
        <f>'TB-Jun'!$C$144</f>
        <v>0</v>
      </c>
      <c r="W203" s="47">
        <f>'TB-Jul'!$C$144</f>
        <v>0</v>
      </c>
      <c r="X203" s="47">
        <f>'TB-Aug'!$C$144</f>
        <v>0</v>
      </c>
      <c r="Y203" s="47">
        <f>'TB-Sep'!$C$144</f>
        <v>0</v>
      </c>
      <c r="Z203" s="47">
        <f>'TB-Oct'!$C$144</f>
        <v>0</v>
      </c>
      <c r="AA203" s="47">
        <f>'TB-Nov'!$C$144</f>
        <v>0</v>
      </c>
      <c r="AB203" s="47">
        <f>'TB-Dec'!$C$144</f>
        <v>0</v>
      </c>
    </row>
    <row r="204" spans="1:28" s="79" customFormat="1" ht="15.75" hidden="1" customHeight="1" outlineLevel="2">
      <c r="A204" s="33"/>
      <c r="B204" s="33"/>
      <c r="C204" s="33"/>
      <c r="D204" s="34" t="s">
        <v>248</v>
      </c>
      <c r="E204" s="31">
        <f t="shared" si="61"/>
        <v>0</v>
      </c>
      <c r="F204" s="31">
        <f>SUM($Q204:R204)</f>
        <v>0</v>
      </c>
      <c r="G204" s="31">
        <f>SUM($Q204:S204)</f>
        <v>0</v>
      </c>
      <c r="H204" s="103">
        <f>SUM($Q204:T204)</f>
        <v>0</v>
      </c>
      <c r="I204" s="103">
        <f>SUM($Q204:U204)</f>
        <v>0</v>
      </c>
      <c r="J204" s="103">
        <f>SUM($Q204:V204)</f>
        <v>0</v>
      </c>
      <c r="K204" s="103">
        <f>SUM($Q204:W204)</f>
        <v>0</v>
      </c>
      <c r="L204" s="103">
        <f>SUM($Q204:X204)</f>
        <v>0</v>
      </c>
      <c r="M204" s="103">
        <f>SUM($Q204:Y204)</f>
        <v>0</v>
      </c>
      <c r="N204" s="103">
        <f>SUM($Q204:Z204)</f>
        <v>0</v>
      </c>
      <c r="O204" s="103">
        <f>SUM($Q204:AA204)</f>
        <v>0</v>
      </c>
      <c r="P204" s="103">
        <f>SUM($Q204:AB204)</f>
        <v>0</v>
      </c>
      <c r="Q204" s="47">
        <f>'TB-Jan'!$D$145</f>
        <v>0</v>
      </c>
      <c r="R204" s="47">
        <f>'TB-Feb'!$D$145</f>
        <v>0</v>
      </c>
      <c r="S204" s="47">
        <f>'TB-Mar'!$D$145</f>
        <v>0</v>
      </c>
      <c r="T204" s="47">
        <f>'TB-Apr'!$D$145</f>
        <v>0</v>
      </c>
      <c r="U204" s="47">
        <f>'TB-May'!$D$145</f>
        <v>0</v>
      </c>
      <c r="V204" s="47">
        <f>'TB-Jun'!$D$145</f>
        <v>0</v>
      </c>
      <c r="W204" s="47">
        <f>'TB-Jul'!$D$145</f>
        <v>0</v>
      </c>
      <c r="X204" s="47">
        <f>'TB-Aug'!$D$145</f>
        <v>0</v>
      </c>
      <c r="Y204" s="47">
        <f>'TB-Sep'!$D$145</f>
        <v>0</v>
      </c>
      <c r="Z204" s="47">
        <f>'TB-Oct'!$D$145</f>
        <v>0</v>
      </c>
      <c r="AA204" s="47">
        <f>'TB-Nov'!$D$145</f>
        <v>0</v>
      </c>
      <c r="AB204" s="47">
        <f>'TB-Dec'!$D$145</f>
        <v>0</v>
      </c>
    </row>
    <row r="205" spans="1:28" s="78" customFormat="1" ht="15.75" hidden="1" customHeight="1" outlineLevel="1">
      <c r="A205" s="32"/>
      <c r="B205" s="32" t="s">
        <v>960</v>
      </c>
      <c r="C205" s="32"/>
      <c r="D205" s="35"/>
      <c r="E205" s="59">
        <f t="shared" si="61"/>
        <v>0</v>
      </c>
      <c r="F205" s="59">
        <f>SUM($Q205:R205)</f>
        <v>0</v>
      </c>
      <c r="G205" s="59">
        <f>SUM($Q205:S205)</f>
        <v>0</v>
      </c>
      <c r="H205" s="104">
        <f>SUM($Q205:T205)</f>
        <v>0</v>
      </c>
      <c r="I205" s="104">
        <f>SUM($Q205:U205)</f>
        <v>0</v>
      </c>
      <c r="J205" s="104">
        <f>SUM($Q205:V205)</f>
        <v>0</v>
      </c>
      <c r="K205" s="104">
        <f>SUM($Q205:W205)</f>
        <v>0</v>
      </c>
      <c r="L205" s="104">
        <f>SUM($Q205:X205)</f>
        <v>0</v>
      </c>
      <c r="M205" s="104">
        <f>SUM($Q205:Y205)</f>
        <v>0</v>
      </c>
      <c r="N205" s="104">
        <f>SUM($Q205:Z205)</f>
        <v>0</v>
      </c>
      <c r="O205" s="104">
        <f>SUM($Q205:AA205)</f>
        <v>0</v>
      </c>
      <c r="P205" s="104">
        <f>SUM($Q205:AB205)</f>
        <v>0</v>
      </c>
      <c r="Q205" s="46">
        <f>Q206</f>
        <v>0</v>
      </c>
      <c r="R205" s="46">
        <f t="shared" ref="R205:AB205" si="95">R206</f>
        <v>0</v>
      </c>
      <c r="S205" s="46">
        <f t="shared" si="95"/>
        <v>0</v>
      </c>
      <c r="T205" s="46">
        <f t="shared" si="95"/>
        <v>0</v>
      </c>
      <c r="U205" s="46">
        <f t="shared" si="95"/>
        <v>0</v>
      </c>
      <c r="V205" s="46">
        <f t="shared" si="95"/>
        <v>0</v>
      </c>
      <c r="W205" s="46">
        <f t="shared" si="95"/>
        <v>0</v>
      </c>
      <c r="X205" s="46">
        <f t="shared" si="95"/>
        <v>0</v>
      </c>
      <c r="Y205" s="46">
        <f t="shared" si="95"/>
        <v>0</v>
      </c>
      <c r="Z205" s="46">
        <f t="shared" si="95"/>
        <v>0</v>
      </c>
      <c r="AA205" s="46">
        <f t="shared" si="95"/>
        <v>0</v>
      </c>
      <c r="AB205" s="46">
        <f t="shared" si="95"/>
        <v>0</v>
      </c>
    </row>
    <row r="206" spans="1:28" s="79" customFormat="1" ht="15.75" hidden="1" customHeight="1" outlineLevel="2">
      <c r="A206" s="33"/>
      <c r="B206" s="33"/>
      <c r="C206" s="34" t="s">
        <v>961</v>
      </c>
      <c r="D206" s="33"/>
      <c r="E206" s="31">
        <f t="shared" si="61"/>
        <v>0</v>
      </c>
      <c r="F206" s="31">
        <f>SUM($Q206:R206)</f>
        <v>0</v>
      </c>
      <c r="G206" s="31">
        <f>SUM($Q206:S206)</f>
        <v>0</v>
      </c>
      <c r="H206" s="103">
        <f>SUM($Q206:T206)</f>
        <v>0</v>
      </c>
      <c r="I206" s="103">
        <f>SUM($Q206:U206)</f>
        <v>0</v>
      </c>
      <c r="J206" s="103">
        <f>SUM($Q206:V206)</f>
        <v>0</v>
      </c>
      <c r="K206" s="103">
        <f>SUM($Q206:W206)</f>
        <v>0</v>
      </c>
      <c r="L206" s="103">
        <f>SUM($Q206:X206)</f>
        <v>0</v>
      </c>
      <c r="M206" s="103">
        <f>SUM($Q206:Y206)</f>
        <v>0</v>
      </c>
      <c r="N206" s="103">
        <f>SUM($Q206:Z206)</f>
        <v>0</v>
      </c>
      <c r="O206" s="103">
        <f>SUM($Q206:AA206)</f>
        <v>0</v>
      </c>
      <c r="P206" s="103">
        <f>SUM($Q206:AB206)</f>
        <v>0</v>
      </c>
      <c r="Q206" s="48">
        <f>Q207-Q208</f>
        <v>0</v>
      </c>
      <c r="R206" s="48">
        <f t="shared" ref="R206:AB206" si="96">R207-R208</f>
        <v>0</v>
      </c>
      <c r="S206" s="48">
        <f t="shared" si="96"/>
        <v>0</v>
      </c>
      <c r="T206" s="48">
        <f t="shared" si="96"/>
        <v>0</v>
      </c>
      <c r="U206" s="48">
        <f t="shared" si="96"/>
        <v>0</v>
      </c>
      <c r="V206" s="48">
        <f t="shared" si="96"/>
        <v>0</v>
      </c>
      <c r="W206" s="48">
        <f t="shared" si="96"/>
        <v>0</v>
      </c>
      <c r="X206" s="48">
        <f t="shared" si="96"/>
        <v>0</v>
      </c>
      <c r="Y206" s="48">
        <f t="shared" si="96"/>
        <v>0</v>
      </c>
      <c r="Z206" s="48">
        <f t="shared" si="96"/>
        <v>0</v>
      </c>
      <c r="AA206" s="48">
        <f t="shared" ref="AA206" si="97">AA207-AA208</f>
        <v>0</v>
      </c>
      <c r="AB206" s="48">
        <f t="shared" si="96"/>
        <v>0</v>
      </c>
    </row>
    <row r="207" spans="1:28" s="79" customFormat="1" ht="15.75" hidden="1" customHeight="1" outlineLevel="2">
      <c r="A207" s="33"/>
      <c r="B207" s="33"/>
      <c r="C207" s="33"/>
      <c r="D207" s="34" t="s">
        <v>250</v>
      </c>
      <c r="E207" s="31">
        <f t="shared" ref="E207:E258" si="98">SUM(Q207)</f>
        <v>0</v>
      </c>
      <c r="F207" s="31">
        <f>SUM($Q207:R207)</f>
        <v>0</v>
      </c>
      <c r="G207" s="31">
        <f>SUM($Q207:S207)</f>
        <v>0</v>
      </c>
      <c r="H207" s="103">
        <f>SUM($Q207:T207)</f>
        <v>0</v>
      </c>
      <c r="I207" s="103">
        <f>SUM($Q207:U207)</f>
        <v>0</v>
      </c>
      <c r="J207" s="103">
        <f>SUM($Q207:V207)</f>
        <v>0</v>
      </c>
      <c r="K207" s="103">
        <f>SUM($Q207:W207)</f>
        <v>0</v>
      </c>
      <c r="L207" s="103">
        <f>SUM($Q207:X207)</f>
        <v>0</v>
      </c>
      <c r="M207" s="103">
        <f>SUM($Q207:Y207)</f>
        <v>0</v>
      </c>
      <c r="N207" s="103">
        <f>SUM($Q207:Z207)</f>
        <v>0</v>
      </c>
      <c r="O207" s="103">
        <f>SUM($Q207:AA207)</f>
        <v>0</v>
      </c>
      <c r="P207" s="103">
        <f>SUM($Q207:AB207)</f>
        <v>0</v>
      </c>
      <c r="Q207" s="47">
        <f>'TB-Jan'!$C$146</f>
        <v>0</v>
      </c>
      <c r="R207" s="47">
        <f>'TB-Feb'!$C$146</f>
        <v>0</v>
      </c>
      <c r="S207" s="47">
        <f>'TB-Mar'!$C$146</f>
        <v>0</v>
      </c>
      <c r="T207" s="47">
        <f>'TB-Apr'!$C$146</f>
        <v>0</v>
      </c>
      <c r="U207" s="47">
        <f>'TB-May'!$C$146</f>
        <v>0</v>
      </c>
      <c r="V207" s="47">
        <f>'TB-Jun'!$C$146</f>
        <v>0</v>
      </c>
      <c r="W207" s="47">
        <f>'TB-Jul'!$C$146</f>
        <v>0</v>
      </c>
      <c r="X207" s="47">
        <f>'TB-Aug'!$C$146</f>
        <v>0</v>
      </c>
      <c r="Y207" s="47">
        <f>'TB-Sep'!$C$146</f>
        <v>0</v>
      </c>
      <c r="Z207" s="47">
        <f>'TB-Oct'!$C$146</f>
        <v>0</v>
      </c>
      <c r="AA207" s="47">
        <f>'TB-Nov'!$C$146</f>
        <v>0</v>
      </c>
      <c r="AB207" s="47">
        <f>'TB-Dec'!$C$146</f>
        <v>0</v>
      </c>
    </row>
    <row r="208" spans="1:28" s="79" customFormat="1" ht="15.75" hidden="1" customHeight="1" outlineLevel="2">
      <c r="A208" s="33"/>
      <c r="B208" s="33"/>
      <c r="C208" s="33"/>
      <c r="D208" s="34" t="s">
        <v>252</v>
      </c>
      <c r="E208" s="31">
        <f t="shared" si="98"/>
        <v>0</v>
      </c>
      <c r="F208" s="31">
        <f>SUM($Q208:R208)</f>
        <v>0</v>
      </c>
      <c r="G208" s="31">
        <f>SUM($Q208:S208)</f>
        <v>0</v>
      </c>
      <c r="H208" s="103">
        <f>SUM($Q208:T208)</f>
        <v>0</v>
      </c>
      <c r="I208" s="103">
        <f>SUM($Q208:U208)</f>
        <v>0</v>
      </c>
      <c r="J208" s="103">
        <f>SUM($Q208:V208)</f>
        <v>0</v>
      </c>
      <c r="K208" s="103">
        <f>SUM($Q208:W208)</f>
        <v>0</v>
      </c>
      <c r="L208" s="103">
        <f>SUM($Q208:X208)</f>
        <v>0</v>
      </c>
      <c r="M208" s="103">
        <f>SUM($Q208:Y208)</f>
        <v>0</v>
      </c>
      <c r="N208" s="103">
        <f>SUM($Q208:Z208)</f>
        <v>0</v>
      </c>
      <c r="O208" s="103">
        <f>SUM($Q208:AA208)</f>
        <v>0</v>
      </c>
      <c r="P208" s="103">
        <f>SUM($Q208:AB208)</f>
        <v>0</v>
      </c>
      <c r="Q208" s="47">
        <f>'TB-Jan'!$D$147</f>
        <v>0</v>
      </c>
      <c r="R208" s="47">
        <f>'TB-Feb'!$D$147</f>
        <v>0</v>
      </c>
      <c r="S208" s="47">
        <f>'TB-Mar'!$D$147</f>
        <v>0</v>
      </c>
      <c r="T208" s="47">
        <f>'TB-Apr'!$D$147</f>
        <v>0</v>
      </c>
      <c r="U208" s="47">
        <f>'TB-May'!$D$147</f>
        <v>0</v>
      </c>
      <c r="V208" s="47">
        <f>'TB-Jun'!$D$147</f>
        <v>0</v>
      </c>
      <c r="W208" s="47">
        <f>'TB-Jul'!$D$147</f>
        <v>0</v>
      </c>
      <c r="X208" s="47">
        <f>'TB-Aug'!$D$147</f>
        <v>0</v>
      </c>
      <c r="Y208" s="47">
        <f>'TB-Sep'!$D$147</f>
        <v>0</v>
      </c>
      <c r="Z208" s="47">
        <f>'TB-Oct'!$D$147</f>
        <v>0</v>
      </c>
      <c r="AA208" s="47">
        <f>'TB-Nov'!$D$147</f>
        <v>0</v>
      </c>
      <c r="AB208" s="47">
        <f>'TB-Dec'!$D$147</f>
        <v>0</v>
      </c>
    </row>
    <row r="209" spans="1:28" s="79" customFormat="1" ht="15.75" hidden="1" customHeight="1" outlineLevel="1">
      <c r="A209" s="33"/>
      <c r="B209" s="32" t="s">
        <v>962</v>
      </c>
      <c r="C209" s="33"/>
      <c r="D209" s="34"/>
      <c r="E209" s="59">
        <f t="shared" si="98"/>
        <v>0</v>
      </c>
      <c r="F209" s="59">
        <f>SUM($Q209:R209)</f>
        <v>0</v>
      </c>
      <c r="G209" s="59">
        <f>SUM($Q209:S209)</f>
        <v>0</v>
      </c>
      <c r="H209" s="104">
        <f>SUM($Q209:T209)</f>
        <v>0</v>
      </c>
      <c r="I209" s="104">
        <f>SUM($Q209:U209)</f>
        <v>0</v>
      </c>
      <c r="J209" s="104">
        <f>SUM($Q209:V209)</f>
        <v>0</v>
      </c>
      <c r="K209" s="104">
        <f>SUM($Q209:W209)</f>
        <v>0</v>
      </c>
      <c r="L209" s="104">
        <f>SUM($Q209:X209)</f>
        <v>0</v>
      </c>
      <c r="M209" s="104">
        <f>SUM($Q209:Y209)</f>
        <v>0</v>
      </c>
      <c r="N209" s="104">
        <f>SUM($Q209:Z209)</f>
        <v>0</v>
      </c>
      <c r="O209" s="104">
        <f>SUM($Q209:AA209)</f>
        <v>0</v>
      </c>
      <c r="P209" s="104">
        <f>SUM($Q209:AB209)</f>
        <v>0</v>
      </c>
      <c r="Q209" s="46">
        <f>SUM(Q210:Q211)</f>
        <v>0</v>
      </c>
      <c r="R209" s="46">
        <f t="shared" ref="R209:AB209" si="99">SUM(R210:R211)</f>
        <v>0</v>
      </c>
      <c r="S209" s="46">
        <f t="shared" si="99"/>
        <v>0</v>
      </c>
      <c r="T209" s="46">
        <f t="shared" si="99"/>
        <v>0</v>
      </c>
      <c r="U209" s="46">
        <f t="shared" si="99"/>
        <v>0</v>
      </c>
      <c r="V209" s="46">
        <f t="shared" si="99"/>
        <v>0</v>
      </c>
      <c r="W209" s="46">
        <f t="shared" si="99"/>
        <v>0</v>
      </c>
      <c r="X209" s="46">
        <f t="shared" si="99"/>
        <v>0</v>
      </c>
      <c r="Y209" s="46">
        <f t="shared" si="99"/>
        <v>0</v>
      </c>
      <c r="Z209" s="46">
        <f t="shared" si="99"/>
        <v>0</v>
      </c>
      <c r="AA209" s="46">
        <f t="shared" si="99"/>
        <v>0</v>
      </c>
      <c r="AB209" s="46">
        <f t="shared" si="99"/>
        <v>0</v>
      </c>
    </row>
    <row r="210" spans="1:28" s="79" customFormat="1" ht="15.75" hidden="1" customHeight="1" outlineLevel="2">
      <c r="A210" s="33"/>
      <c r="B210" s="33"/>
      <c r="C210" s="33" t="s">
        <v>963</v>
      </c>
      <c r="D210" s="34"/>
      <c r="E210" s="31">
        <f t="shared" si="98"/>
        <v>0</v>
      </c>
      <c r="F210" s="31">
        <f>SUM($Q210:R210)</f>
        <v>0</v>
      </c>
      <c r="G210" s="31">
        <f>SUM($Q210:S210)</f>
        <v>0</v>
      </c>
      <c r="H210" s="103">
        <f>SUM($Q210:T210)</f>
        <v>0</v>
      </c>
      <c r="I210" s="103">
        <f>SUM($Q210:U210)</f>
        <v>0</v>
      </c>
      <c r="J210" s="103">
        <f>SUM($Q210:V210)</f>
        <v>0</v>
      </c>
      <c r="K210" s="103">
        <f>SUM($Q210:W210)</f>
        <v>0</v>
      </c>
      <c r="L210" s="103">
        <f>SUM($Q210:X210)</f>
        <v>0</v>
      </c>
      <c r="M210" s="103">
        <f>SUM($Q210:Y210)</f>
        <v>0</v>
      </c>
      <c r="N210" s="103">
        <f>SUM($Q210:Z210)</f>
        <v>0</v>
      </c>
      <c r="O210" s="103">
        <f>SUM($Q210:AA210)</f>
        <v>0</v>
      </c>
      <c r="P210" s="103">
        <f>SUM($Q210:AB210)</f>
        <v>0</v>
      </c>
      <c r="Q210" s="47">
        <f>'TB-Jan'!$C$148</f>
        <v>0</v>
      </c>
      <c r="R210" s="47">
        <f>'TB-Feb'!$C$148</f>
        <v>0</v>
      </c>
      <c r="S210" s="47">
        <f>'TB-Mar'!$C$148</f>
        <v>0</v>
      </c>
      <c r="T210" s="47">
        <f>'TB-Apr'!$C$148</f>
        <v>0</v>
      </c>
      <c r="U210" s="47">
        <f>'TB-May'!$C$148</f>
        <v>0</v>
      </c>
      <c r="V210" s="47">
        <f>'TB-Jun'!$C$148</f>
        <v>0</v>
      </c>
      <c r="W210" s="47">
        <f>'TB-Jul'!$C$148</f>
        <v>0</v>
      </c>
      <c r="X210" s="47">
        <f>'TB-Aug'!$C$148</f>
        <v>0</v>
      </c>
      <c r="Y210" s="47">
        <f>'TB-Sep'!$C$148</f>
        <v>0</v>
      </c>
      <c r="Z210" s="47">
        <f>'TB-Oct'!$C$148</f>
        <v>0</v>
      </c>
      <c r="AA210" s="47">
        <f>'TB-Nov'!$C$148</f>
        <v>0</v>
      </c>
      <c r="AB210" s="47">
        <f>'TB-Dec'!$C$148</f>
        <v>0</v>
      </c>
    </row>
    <row r="211" spans="1:28" s="79" customFormat="1" ht="15.75" hidden="1" customHeight="1" outlineLevel="2">
      <c r="A211" s="33"/>
      <c r="B211" s="33"/>
      <c r="C211" s="33" t="s">
        <v>964</v>
      </c>
      <c r="D211" s="34"/>
      <c r="E211" s="31">
        <f t="shared" si="98"/>
        <v>0</v>
      </c>
      <c r="F211" s="31">
        <f>SUM($Q211:R211)</f>
        <v>0</v>
      </c>
      <c r="G211" s="31">
        <f>SUM($Q211:S211)</f>
        <v>0</v>
      </c>
      <c r="H211" s="103">
        <f>SUM($Q211:T211)</f>
        <v>0</v>
      </c>
      <c r="I211" s="103">
        <f>SUM($Q211:U211)</f>
        <v>0</v>
      </c>
      <c r="J211" s="103">
        <f>SUM($Q211:V211)</f>
        <v>0</v>
      </c>
      <c r="K211" s="103">
        <f>SUM($Q211:W211)</f>
        <v>0</v>
      </c>
      <c r="L211" s="103">
        <f>SUM($Q211:X211)</f>
        <v>0</v>
      </c>
      <c r="M211" s="103">
        <f>SUM($Q211:Y211)</f>
        <v>0</v>
      </c>
      <c r="N211" s="103">
        <f>SUM($Q211:Z211)</f>
        <v>0</v>
      </c>
      <c r="O211" s="103">
        <f>SUM($Q211:AA211)</f>
        <v>0</v>
      </c>
      <c r="P211" s="103">
        <f>SUM($Q211:AB211)</f>
        <v>0</v>
      </c>
      <c r="Q211" s="47">
        <f>'TB-Jan'!$C$151</f>
        <v>0</v>
      </c>
      <c r="R211" s="47">
        <f>'TB-Feb'!$C$151</f>
        <v>0</v>
      </c>
      <c r="S211" s="47">
        <f>'TB-Mar'!$C$151</f>
        <v>0</v>
      </c>
      <c r="T211" s="47">
        <f>'TB-Apr'!$C$151</f>
        <v>0</v>
      </c>
      <c r="U211" s="47">
        <f>'TB-May'!$C$151</f>
        <v>0</v>
      </c>
      <c r="V211" s="47">
        <f>'TB-Jun'!$C$151</f>
        <v>0</v>
      </c>
      <c r="W211" s="47">
        <f>'TB-Jul'!$C$151</f>
        <v>0</v>
      </c>
      <c r="X211" s="47">
        <f>'TB-Aug'!$C$151</f>
        <v>0</v>
      </c>
      <c r="Y211" s="47">
        <f>'TB-Sep'!$C$151</f>
        <v>0</v>
      </c>
      <c r="Z211" s="47">
        <f>'TB-Oct'!$C$151</f>
        <v>0</v>
      </c>
      <c r="AA211" s="47">
        <f>'TB-Nov'!$C$151</f>
        <v>0</v>
      </c>
      <c r="AB211" s="47">
        <f>'TB-Dec'!$C$151</f>
        <v>0</v>
      </c>
    </row>
    <row r="212" spans="1:28" s="78" customFormat="1" ht="15.75" customHeight="1" outlineLevel="1" collapsed="1">
      <c r="A212" s="32"/>
      <c r="B212" s="32" t="s">
        <v>965</v>
      </c>
      <c r="C212" s="32"/>
      <c r="D212" s="35"/>
      <c r="E212" s="59">
        <f t="shared" si="98"/>
        <v>0</v>
      </c>
      <c r="F212" s="59">
        <f>SUM($Q212:R212)</f>
        <v>0</v>
      </c>
      <c r="G212" s="59">
        <f>SUM($Q212:S212)</f>
        <v>0</v>
      </c>
      <c r="H212" s="59">
        <f>SUM($Q212:T212)</f>
        <v>94449481.359999999</v>
      </c>
      <c r="I212" s="59">
        <f>SUM($Q212:U212)</f>
        <v>94449481.359999999</v>
      </c>
      <c r="J212" s="59">
        <f>SUM($Q212:V212)</f>
        <v>94449481.359999999</v>
      </c>
      <c r="K212" s="59">
        <f>SUM($Q212:W212)</f>
        <v>94449481.359999999</v>
      </c>
      <c r="L212" s="59">
        <f>SUM($Q212:X212)</f>
        <v>97299481.359999999</v>
      </c>
      <c r="M212" s="59">
        <f>SUM($Q212:Y212)</f>
        <v>97299481.359999999</v>
      </c>
      <c r="N212" s="59">
        <f>SUM($Q212:Z212)</f>
        <v>97299481.359999999</v>
      </c>
      <c r="O212" s="59">
        <f>SUM($Q212:AA212)</f>
        <v>97299481.359999999</v>
      </c>
      <c r="P212" s="59">
        <f>SUM($Q212:AB212)</f>
        <v>97299481.359999999</v>
      </c>
      <c r="Q212" s="46">
        <f>SUM(Q213:Q214)</f>
        <v>0</v>
      </c>
      <c r="R212" s="46">
        <f t="shared" ref="R212:AB212" si="100">SUM(R213:R214)</f>
        <v>0</v>
      </c>
      <c r="S212" s="46">
        <f t="shared" si="100"/>
        <v>0</v>
      </c>
      <c r="T212" s="46">
        <f t="shared" si="100"/>
        <v>94449481.359999999</v>
      </c>
      <c r="U212" s="46">
        <f t="shared" si="100"/>
        <v>0</v>
      </c>
      <c r="V212" s="46">
        <f t="shared" si="100"/>
        <v>0</v>
      </c>
      <c r="W212" s="46">
        <f t="shared" si="100"/>
        <v>0</v>
      </c>
      <c r="X212" s="46">
        <f t="shared" si="100"/>
        <v>2850000</v>
      </c>
      <c r="Y212" s="46">
        <f t="shared" si="100"/>
        <v>0</v>
      </c>
      <c r="Z212" s="46">
        <f t="shared" si="100"/>
        <v>0</v>
      </c>
      <c r="AA212" s="46">
        <f t="shared" si="100"/>
        <v>0</v>
      </c>
      <c r="AB212" s="46">
        <f t="shared" si="100"/>
        <v>0</v>
      </c>
    </row>
    <row r="213" spans="1:28" s="82" customFormat="1" ht="15.75" customHeight="1" outlineLevel="2">
      <c r="A213" s="32"/>
      <c r="B213" s="32"/>
      <c r="C213" s="35" t="s">
        <v>274</v>
      </c>
      <c r="D213" s="32"/>
      <c r="E213" s="31">
        <f t="shared" si="98"/>
        <v>0</v>
      </c>
      <c r="F213" s="31">
        <f>SUM($Q213:R213)</f>
        <v>0</v>
      </c>
      <c r="G213" s="31">
        <f>SUM($Q213:S213)</f>
        <v>0</v>
      </c>
      <c r="H213" s="31">
        <f>SUM($Q213:T213)</f>
        <v>1000000</v>
      </c>
      <c r="I213" s="31">
        <f>SUM($Q213:U213)</f>
        <v>1000000</v>
      </c>
      <c r="J213" s="31">
        <f>SUM($Q213:V213)</f>
        <v>1000000</v>
      </c>
      <c r="K213" s="31">
        <f>SUM($Q213:W213)</f>
        <v>1000000</v>
      </c>
      <c r="L213" s="31">
        <f>SUM($Q213:X213)</f>
        <v>1000000</v>
      </c>
      <c r="M213" s="31">
        <f>SUM($Q213:Y213)</f>
        <v>1000000</v>
      </c>
      <c r="N213" s="31">
        <f>SUM($Q213:Z213)</f>
        <v>1000000</v>
      </c>
      <c r="O213" s="31">
        <f>SUM($Q213:AA213)</f>
        <v>1000000</v>
      </c>
      <c r="P213" s="31">
        <f>SUM($Q213:AB213)</f>
        <v>1000000</v>
      </c>
      <c r="Q213" s="45">
        <f>'TB-Jan'!$C$158</f>
        <v>0</v>
      </c>
      <c r="R213" s="45">
        <f>'TB-Feb'!$C$158</f>
        <v>0</v>
      </c>
      <c r="S213" s="45">
        <f>'TB-Mar'!$C$158</f>
        <v>0</v>
      </c>
      <c r="T213" s="45">
        <f>'TB-Apr'!$C$158</f>
        <v>1000000</v>
      </c>
      <c r="U213" s="45">
        <f>'TB-May'!$C$158</f>
        <v>0</v>
      </c>
      <c r="V213" s="45">
        <f>'TB-Jun'!$C$158</f>
        <v>0</v>
      </c>
      <c r="W213" s="45">
        <f>'TB-Jul'!$C$158</f>
        <v>0</v>
      </c>
      <c r="X213" s="45">
        <f>'TB-Aug'!$C$158</f>
        <v>0</v>
      </c>
      <c r="Y213" s="45">
        <f>'TB-Sep'!$C$158</f>
        <v>0</v>
      </c>
      <c r="Z213" s="45">
        <f>'TB-Oct'!$C$158</f>
        <v>0</v>
      </c>
      <c r="AA213" s="45">
        <f>'TB-Nov'!$C$158</f>
        <v>0</v>
      </c>
      <c r="AB213" s="45">
        <f>'TB-Dec'!$C$158</f>
        <v>0</v>
      </c>
    </row>
    <row r="214" spans="1:28" s="78" customFormat="1" ht="15.75" customHeight="1" outlineLevel="2">
      <c r="A214" s="32"/>
      <c r="B214" s="32"/>
      <c r="C214" s="35" t="s">
        <v>966</v>
      </c>
      <c r="D214" s="35"/>
      <c r="E214" s="59">
        <f t="shared" si="98"/>
        <v>0</v>
      </c>
      <c r="F214" s="59">
        <f>SUM($Q214:R214)</f>
        <v>0</v>
      </c>
      <c r="G214" s="59">
        <f>SUM($Q214:S214)</f>
        <v>0</v>
      </c>
      <c r="H214" s="59">
        <f>SUM($Q214:T214)</f>
        <v>93449481.359999999</v>
      </c>
      <c r="I214" s="59">
        <f>SUM($Q214:U214)</f>
        <v>93449481.359999999</v>
      </c>
      <c r="J214" s="59">
        <f>SUM($Q214:V214)</f>
        <v>93449481.359999999</v>
      </c>
      <c r="K214" s="59">
        <f>SUM($Q214:W214)</f>
        <v>93449481.359999999</v>
      </c>
      <c r="L214" s="59">
        <f>SUM($Q214:X214)</f>
        <v>96299481.359999999</v>
      </c>
      <c r="M214" s="59">
        <f>SUM($Q214:Y214)</f>
        <v>96299481.359999999</v>
      </c>
      <c r="N214" s="59">
        <f>SUM($Q214:Z214)</f>
        <v>96299481.359999999</v>
      </c>
      <c r="O214" s="59">
        <f>SUM($Q214:AA214)</f>
        <v>96299481.359999999</v>
      </c>
      <c r="P214" s="59">
        <f>SUM($Q214:AB214)</f>
        <v>96299481.359999999</v>
      </c>
      <c r="Q214" s="46">
        <f t="shared" ref="Q214:AB214" si="101">SUM(Q215:Q224)</f>
        <v>0</v>
      </c>
      <c r="R214" s="46">
        <f t="shared" si="101"/>
        <v>0</v>
      </c>
      <c r="S214" s="46">
        <f t="shared" si="101"/>
        <v>0</v>
      </c>
      <c r="T214" s="46">
        <f t="shared" si="101"/>
        <v>93449481.359999999</v>
      </c>
      <c r="U214" s="46">
        <f t="shared" si="101"/>
        <v>0</v>
      </c>
      <c r="V214" s="46">
        <f t="shared" si="101"/>
        <v>0</v>
      </c>
      <c r="W214" s="46">
        <f t="shared" si="101"/>
        <v>0</v>
      </c>
      <c r="X214" s="46">
        <f t="shared" si="101"/>
        <v>2850000</v>
      </c>
      <c r="Y214" s="46">
        <f t="shared" si="101"/>
        <v>0</v>
      </c>
      <c r="Z214" s="46">
        <f t="shared" si="101"/>
        <v>0</v>
      </c>
      <c r="AA214" s="46">
        <f t="shared" si="101"/>
        <v>0</v>
      </c>
      <c r="AB214" s="46">
        <f t="shared" si="101"/>
        <v>0</v>
      </c>
    </row>
    <row r="215" spans="1:28" s="79" customFormat="1" ht="15.75" customHeight="1" outlineLevel="2">
      <c r="A215" s="33"/>
      <c r="B215" s="33"/>
      <c r="C215" s="33"/>
      <c r="D215" s="34" t="s">
        <v>276</v>
      </c>
      <c r="E215" s="31">
        <f t="shared" si="98"/>
        <v>0</v>
      </c>
      <c r="F215" s="31">
        <f>SUM($Q215:R215)</f>
        <v>0</v>
      </c>
      <c r="G215" s="31">
        <f>SUM($Q215:S215)</f>
        <v>0</v>
      </c>
      <c r="H215" s="103">
        <f>SUM($Q215:T215)</f>
        <v>1826733.1999999993</v>
      </c>
      <c r="I215" s="103">
        <f>SUM($Q215:U215)</f>
        <v>1826733.1999999993</v>
      </c>
      <c r="J215" s="103">
        <f>SUM($Q215:V215)</f>
        <v>1826733.1999999993</v>
      </c>
      <c r="K215" s="103">
        <f>SUM($Q215:W215)</f>
        <v>1826733.1999999993</v>
      </c>
      <c r="L215" s="103">
        <f>SUM($Q215:X215)</f>
        <v>1826733.1999999993</v>
      </c>
      <c r="M215" s="103">
        <f>SUM($Q215:Y215)</f>
        <v>1826733.1999999993</v>
      </c>
      <c r="N215" s="103">
        <f>SUM($Q215:Z215)</f>
        <v>1826733.1999999993</v>
      </c>
      <c r="O215" s="103">
        <f>SUM($Q215:AA215)</f>
        <v>1826733.1999999993</v>
      </c>
      <c r="P215" s="103">
        <f>SUM($Q215:AB215)</f>
        <v>1826733.1999999993</v>
      </c>
      <c r="Q215" s="47">
        <f>'TB-Jan'!$C$159</f>
        <v>0</v>
      </c>
      <c r="R215" s="47">
        <f>'TB-Feb'!$C$159</f>
        <v>0</v>
      </c>
      <c r="S215" s="47">
        <f>'TB-Mar'!$C$159</f>
        <v>0</v>
      </c>
      <c r="T215" s="47">
        <f>'TB-Apr'!$C$159</f>
        <v>1826733.1999999993</v>
      </c>
      <c r="U215" s="47">
        <f>'TB-May'!$C$159</f>
        <v>0</v>
      </c>
      <c r="V215" s="47">
        <f>'TB-Jun'!$C$159</f>
        <v>0</v>
      </c>
      <c r="W215" s="47">
        <f>'TB-Jul'!$C$159</f>
        <v>0</v>
      </c>
      <c r="X215" s="47">
        <f>'TB-Aug'!$C$159</f>
        <v>0</v>
      </c>
      <c r="Y215" s="47">
        <f>'TB-Sep'!$C$159</f>
        <v>0</v>
      </c>
      <c r="Z215" s="47">
        <f>'TB-Oct'!$C$159</f>
        <v>0</v>
      </c>
      <c r="AA215" s="47">
        <f>'TB-Nov'!$C$159</f>
        <v>0</v>
      </c>
      <c r="AB215" s="47">
        <f>'TB-Dec'!$C$159</f>
        <v>0</v>
      </c>
    </row>
    <row r="216" spans="1:28" s="79" customFormat="1" ht="15.75" hidden="1" customHeight="1" outlineLevel="2">
      <c r="A216" s="33"/>
      <c r="B216" s="33"/>
      <c r="C216" s="33"/>
      <c r="D216" s="34" t="s">
        <v>278</v>
      </c>
      <c r="E216" s="31">
        <f t="shared" si="98"/>
        <v>0</v>
      </c>
      <c r="F216" s="31">
        <f>SUM($Q216:R216)</f>
        <v>0</v>
      </c>
      <c r="G216" s="31">
        <f>SUM($Q216:S216)</f>
        <v>0</v>
      </c>
      <c r="H216" s="103">
        <f>SUM($Q216:T216)</f>
        <v>0</v>
      </c>
      <c r="I216" s="103">
        <f>SUM($Q216:U216)</f>
        <v>0</v>
      </c>
      <c r="J216" s="103">
        <f>SUM($Q216:V216)</f>
        <v>0</v>
      </c>
      <c r="K216" s="103">
        <f>SUM($Q216:W216)</f>
        <v>0</v>
      </c>
      <c r="L216" s="103">
        <f>SUM($Q216:X216)</f>
        <v>0</v>
      </c>
      <c r="M216" s="103">
        <f>SUM($Q216:Y216)</f>
        <v>0</v>
      </c>
      <c r="N216" s="103">
        <f>SUM($Q216:Z216)</f>
        <v>0</v>
      </c>
      <c r="O216" s="103">
        <f>SUM($Q216:AA216)</f>
        <v>0</v>
      </c>
      <c r="P216" s="103">
        <f>SUM($Q216:AB216)</f>
        <v>0</v>
      </c>
      <c r="Q216" s="47">
        <f>'TB-Jan'!$C$160</f>
        <v>0</v>
      </c>
      <c r="R216" s="47">
        <f>'TB-Feb'!$C$160</f>
        <v>0</v>
      </c>
      <c r="S216" s="47">
        <f>'TB-Mar'!$C$160</f>
        <v>0</v>
      </c>
      <c r="T216" s="47">
        <f>'TB-Apr'!$C$160</f>
        <v>0</v>
      </c>
      <c r="U216" s="47">
        <f>'TB-May'!$C$160</f>
        <v>0</v>
      </c>
      <c r="V216" s="47">
        <f>'TB-Jun'!$C$160</f>
        <v>0</v>
      </c>
      <c r="W216" s="47">
        <f>'TB-Jul'!$C$160</f>
        <v>0</v>
      </c>
      <c r="X216" s="47">
        <f>'TB-Aug'!$C$160</f>
        <v>0</v>
      </c>
      <c r="Y216" s="47">
        <f>'TB-Sep'!$C$160</f>
        <v>0</v>
      </c>
      <c r="Z216" s="47">
        <f>'TB-Oct'!$C$160</f>
        <v>0</v>
      </c>
      <c r="AA216" s="47">
        <f>'TB-Nov'!$C$160</f>
        <v>0</v>
      </c>
      <c r="AB216" s="47">
        <f>'TB-Dec'!$C$160</f>
        <v>0</v>
      </c>
    </row>
    <row r="217" spans="1:28" s="79" customFormat="1" ht="15.75" hidden="1" customHeight="1" outlineLevel="2">
      <c r="A217" s="33"/>
      <c r="B217" s="33"/>
      <c r="C217" s="33"/>
      <c r="D217" s="34" t="s">
        <v>280</v>
      </c>
      <c r="E217" s="31">
        <f t="shared" si="98"/>
        <v>0</v>
      </c>
      <c r="F217" s="31">
        <f>SUM($Q217:R217)</f>
        <v>0</v>
      </c>
      <c r="G217" s="31">
        <f>SUM($Q217:S217)</f>
        <v>0</v>
      </c>
      <c r="H217" s="103">
        <f>SUM($Q217:T217)</f>
        <v>0</v>
      </c>
      <c r="I217" s="103">
        <f>SUM($Q217:U217)</f>
        <v>0</v>
      </c>
      <c r="J217" s="103">
        <f>SUM($Q217:V217)</f>
        <v>0</v>
      </c>
      <c r="K217" s="103">
        <f>SUM($Q217:W217)</f>
        <v>0</v>
      </c>
      <c r="L217" s="103">
        <f>SUM($Q217:X217)</f>
        <v>0</v>
      </c>
      <c r="M217" s="103">
        <f>SUM($Q217:Y217)</f>
        <v>0</v>
      </c>
      <c r="N217" s="103">
        <f>SUM($Q217:Z217)</f>
        <v>0</v>
      </c>
      <c r="O217" s="103">
        <f>SUM($Q217:AA217)</f>
        <v>0</v>
      </c>
      <c r="P217" s="103">
        <f>SUM($Q217:AB217)</f>
        <v>0</v>
      </c>
      <c r="Q217" s="47">
        <f>'TB-Jan'!$C$161</f>
        <v>0</v>
      </c>
      <c r="R217" s="47">
        <f>'TB-Feb'!$C$161</f>
        <v>0</v>
      </c>
      <c r="S217" s="47">
        <f>'TB-Mar'!$C$161</f>
        <v>0</v>
      </c>
      <c r="T217" s="47">
        <f>'TB-Apr'!$C$161</f>
        <v>0</v>
      </c>
      <c r="U217" s="47">
        <f>'TB-May'!$C$161</f>
        <v>0</v>
      </c>
      <c r="V217" s="47">
        <f>'TB-Jun'!$C$161</f>
        <v>0</v>
      </c>
      <c r="W217" s="47">
        <f>'TB-Jul'!$C$161</f>
        <v>0</v>
      </c>
      <c r="X217" s="47">
        <f>'TB-Aug'!$C$161</f>
        <v>0</v>
      </c>
      <c r="Y217" s="47">
        <f>'TB-Sep'!$C$161</f>
        <v>0</v>
      </c>
      <c r="Z217" s="47">
        <f>'TB-Oct'!$C$161</f>
        <v>0</v>
      </c>
      <c r="AA217" s="47">
        <f>'TB-Nov'!$C$161</f>
        <v>0</v>
      </c>
      <c r="AB217" s="47">
        <f>'TB-Dec'!$C$161</f>
        <v>0</v>
      </c>
    </row>
    <row r="218" spans="1:28" s="79" customFormat="1" ht="24" hidden="1" customHeight="1" outlineLevel="2">
      <c r="A218" s="33"/>
      <c r="B218" s="33"/>
      <c r="C218" s="33"/>
      <c r="D218" s="38" t="s">
        <v>282</v>
      </c>
      <c r="E218" s="31">
        <f t="shared" si="98"/>
        <v>0</v>
      </c>
      <c r="F218" s="31">
        <f>SUM($Q218:R218)</f>
        <v>0</v>
      </c>
      <c r="G218" s="31">
        <f>SUM($Q218:S218)</f>
        <v>0</v>
      </c>
      <c r="H218" s="103">
        <f>SUM($Q218:T218)</f>
        <v>0</v>
      </c>
      <c r="I218" s="103">
        <f>SUM($Q218:U218)</f>
        <v>0</v>
      </c>
      <c r="J218" s="103">
        <f>SUM($Q218:V218)</f>
        <v>0</v>
      </c>
      <c r="K218" s="103">
        <f>SUM($Q218:W218)</f>
        <v>0</v>
      </c>
      <c r="L218" s="103">
        <f>SUM($Q218:X218)</f>
        <v>0</v>
      </c>
      <c r="M218" s="103">
        <f>SUM($Q218:Y218)</f>
        <v>0</v>
      </c>
      <c r="N218" s="103">
        <f>SUM($Q218:Z218)</f>
        <v>0</v>
      </c>
      <c r="O218" s="103">
        <f>SUM($Q218:AA218)</f>
        <v>0</v>
      </c>
      <c r="P218" s="103">
        <f>SUM($Q218:AB218)</f>
        <v>0</v>
      </c>
      <c r="Q218" s="58">
        <f>'TB-Jan'!$C$162</f>
        <v>0</v>
      </c>
      <c r="R218" s="58">
        <f>'TB-Feb'!$C$162</f>
        <v>0</v>
      </c>
      <c r="S218" s="58">
        <f>'TB-Mar'!$C$162</f>
        <v>0</v>
      </c>
      <c r="T218" s="58">
        <f>'TB-Apr'!$C$162</f>
        <v>0</v>
      </c>
      <c r="U218" s="58">
        <f>'TB-May'!$C$162</f>
        <v>0</v>
      </c>
      <c r="V218" s="58">
        <f>'TB-Jun'!$C$162</f>
        <v>0</v>
      </c>
      <c r="W218" s="58">
        <f>'TB-Jul'!$C$162</f>
        <v>0</v>
      </c>
      <c r="X218" s="58">
        <f>'TB-Aug'!$C$162</f>
        <v>0</v>
      </c>
      <c r="Y218" s="58">
        <f>'TB-Sep'!$C$162</f>
        <v>0</v>
      </c>
      <c r="Z218" s="58">
        <f>'TB-Oct'!$C$162</f>
        <v>0</v>
      </c>
      <c r="AA218" s="58">
        <f>'TB-Nov'!$C$162</f>
        <v>0</v>
      </c>
      <c r="AB218" s="58">
        <f>'TB-Dec'!$C$162</f>
        <v>0</v>
      </c>
    </row>
    <row r="219" spans="1:28" s="79" customFormat="1" ht="15.75" customHeight="1" outlineLevel="2">
      <c r="A219" s="33"/>
      <c r="B219" s="33"/>
      <c r="C219" s="33"/>
      <c r="D219" s="34" t="s">
        <v>284</v>
      </c>
      <c r="E219" s="31">
        <f t="shared" si="98"/>
        <v>0</v>
      </c>
      <c r="F219" s="31">
        <f>SUM($Q219:R219)</f>
        <v>0</v>
      </c>
      <c r="G219" s="31">
        <f>SUM($Q219:S219)</f>
        <v>0</v>
      </c>
      <c r="H219" s="103">
        <f>SUM($Q219:T219)</f>
        <v>2639594.36</v>
      </c>
      <c r="I219" s="103">
        <f>SUM($Q219:U219)</f>
        <v>2639594.36</v>
      </c>
      <c r="J219" s="103">
        <f>SUM($Q219:V219)</f>
        <v>2639594.36</v>
      </c>
      <c r="K219" s="103">
        <f>SUM($Q219:W219)</f>
        <v>2639594.36</v>
      </c>
      <c r="L219" s="103">
        <f>SUM($Q219:X219)</f>
        <v>5489594.3599999994</v>
      </c>
      <c r="M219" s="103">
        <f>SUM($Q219:Y219)</f>
        <v>5489594.3599999994</v>
      </c>
      <c r="N219" s="103">
        <f>SUM($Q219:Z219)</f>
        <v>5489594.3599999994</v>
      </c>
      <c r="O219" s="103">
        <f>SUM($Q219:AA219)</f>
        <v>5489594.3599999994</v>
      </c>
      <c r="P219" s="103">
        <f>SUM($Q219:AB219)</f>
        <v>5489594.3599999994</v>
      </c>
      <c r="Q219" s="47">
        <f>'TB-Jan'!$C$163</f>
        <v>0</v>
      </c>
      <c r="R219" s="47">
        <f>'TB-Feb'!$C$163</f>
        <v>0</v>
      </c>
      <c r="S219" s="47">
        <f>'TB-Mar'!$C$163</f>
        <v>0</v>
      </c>
      <c r="T219" s="47">
        <f>'TB-Apr'!$C$163</f>
        <v>2639594.36</v>
      </c>
      <c r="U219" s="47">
        <f>'TB-May'!$C$163</f>
        <v>0</v>
      </c>
      <c r="V219" s="47">
        <f>'TB-Jun'!$C$163</f>
        <v>0</v>
      </c>
      <c r="W219" s="47">
        <f>'TB-Jul'!$C$163</f>
        <v>0</v>
      </c>
      <c r="X219" s="47">
        <f>'TB-Aug'!$C$163</f>
        <v>2850000</v>
      </c>
      <c r="Y219" s="47">
        <f>'TB-Sep'!$C$163</f>
        <v>0</v>
      </c>
      <c r="Z219" s="47">
        <f>'TB-Oct'!$C$163</f>
        <v>0</v>
      </c>
      <c r="AA219" s="47">
        <f>'TB-Nov'!$C$163</f>
        <v>0</v>
      </c>
      <c r="AB219" s="47">
        <f>'TB-Dec'!$C$163</f>
        <v>0</v>
      </c>
    </row>
    <row r="220" spans="1:28" s="79" customFormat="1" ht="15.75" customHeight="1" outlineLevel="2">
      <c r="A220" s="33"/>
      <c r="B220" s="33"/>
      <c r="C220" s="33"/>
      <c r="D220" s="34" t="s">
        <v>286</v>
      </c>
      <c r="E220" s="31">
        <f t="shared" si="98"/>
        <v>0</v>
      </c>
      <c r="F220" s="31">
        <f>SUM($Q220:R220)</f>
        <v>0</v>
      </c>
      <c r="G220" s="31">
        <f>SUM($Q220:S220)</f>
        <v>0</v>
      </c>
      <c r="H220" s="103">
        <f>SUM($Q220:T220)</f>
        <v>88983153.799999997</v>
      </c>
      <c r="I220" s="103">
        <f>SUM($Q220:U220)</f>
        <v>88983153.799999997</v>
      </c>
      <c r="J220" s="103">
        <f>SUM($Q220:V220)</f>
        <v>88983153.799999997</v>
      </c>
      <c r="K220" s="103">
        <f>SUM($Q220:W220)</f>
        <v>88983153.799999997</v>
      </c>
      <c r="L220" s="103">
        <f>SUM($Q220:X220)</f>
        <v>88983153.799999997</v>
      </c>
      <c r="M220" s="103">
        <f>SUM($Q220:Y220)</f>
        <v>88983153.799999997</v>
      </c>
      <c r="N220" s="103">
        <f>SUM($Q220:Z220)</f>
        <v>88983153.799999997</v>
      </c>
      <c r="O220" s="103">
        <f>SUM($Q220:AA220)</f>
        <v>88983153.799999997</v>
      </c>
      <c r="P220" s="103">
        <f>SUM($Q220:AB220)</f>
        <v>88983153.799999997</v>
      </c>
      <c r="Q220" s="47">
        <f>'TB-Jan'!$C$164</f>
        <v>0</v>
      </c>
      <c r="R220" s="47">
        <f>'TB-Feb'!$C$164</f>
        <v>0</v>
      </c>
      <c r="S220" s="47">
        <f>'TB-Mar'!$C$164</f>
        <v>0</v>
      </c>
      <c r="T220" s="47">
        <f>'TB-Apr'!$C$164</f>
        <v>88983153.799999997</v>
      </c>
      <c r="U220" s="47">
        <f>'TB-May'!$C$164</f>
        <v>0</v>
      </c>
      <c r="V220" s="47">
        <f>'TB-Jun'!$C$164</f>
        <v>0</v>
      </c>
      <c r="W220" s="47">
        <f>'TB-Jul'!$C$164</f>
        <v>0</v>
      </c>
      <c r="X220" s="47">
        <f>'TB-Aug'!$C$164</f>
        <v>0</v>
      </c>
      <c r="Y220" s="47">
        <f>'TB-Sep'!$C$164</f>
        <v>0</v>
      </c>
      <c r="Z220" s="47">
        <f>'TB-Oct'!$C$164</f>
        <v>0</v>
      </c>
      <c r="AA220" s="47">
        <f>'TB-Nov'!$C$164</f>
        <v>0</v>
      </c>
      <c r="AB220" s="47">
        <f>'TB-Dec'!$C$164</f>
        <v>0</v>
      </c>
    </row>
    <row r="221" spans="1:28" s="79" customFormat="1" ht="15" hidden="1" customHeight="1" outlineLevel="2">
      <c r="A221" s="33"/>
      <c r="B221" s="33"/>
      <c r="C221" s="33"/>
      <c r="D221" s="38" t="s">
        <v>288</v>
      </c>
      <c r="E221" s="31">
        <f t="shared" si="98"/>
        <v>0</v>
      </c>
      <c r="F221" s="31">
        <f>SUM($Q221:R221)</f>
        <v>0</v>
      </c>
      <c r="G221" s="31">
        <f>SUM($Q221:S221)</f>
        <v>0</v>
      </c>
      <c r="H221" s="103">
        <f>SUM($Q221:T221)</f>
        <v>0</v>
      </c>
      <c r="I221" s="103">
        <f>SUM($Q221:U221)</f>
        <v>0</v>
      </c>
      <c r="J221" s="103">
        <f>SUM($Q221:V221)</f>
        <v>0</v>
      </c>
      <c r="K221" s="103">
        <f>SUM($Q221:W221)</f>
        <v>0</v>
      </c>
      <c r="L221" s="103">
        <f>SUM($Q221:X221)</f>
        <v>0</v>
      </c>
      <c r="M221" s="103">
        <f>SUM($Q221:Y221)</f>
        <v>0</v>
      </c>
      <c r="N221" s="103">
        <f>SUM($Q221:Z221)</f>
        <v>0</v>
      </c>
      <c r="O221" s="103">
        <f>SUM($Q221:AA221)</f>
        <v>0</v>
      </c>
      <c r="P221" s="103">
        <f>SUM($Q221:AB221)</f>
        <v>0</v>
      </c>
      <c r="Q221" s="58">
        <f>'TB-Jan'!$C$165</f>
        <v>0</v>
      </c>
      <c r="R221" s="58">
        <f>'TB-Feb'!$C$165</f>
        <v>0</v>
      </c>
      <c r="S221" s="58">
        <f>'TB-Mar'!$C$165</f>
        <v>0</v>
      </c>
      <c r="T221" s="58">
        <f>'TB-Apr'!$C$165</f>
        <v>0</v>
      </c>
      <c r="U221" s="58">
        <f>'TB-May'!$C$165</f>
        <v>0</v>
      </c>
      <c r="V221" s="58">
        <f>'TB-Jun'!$C$165</f>
        <v>0</v>
      </c>
      <c r="W221" s="58">
        <f>'TB-Jul'!$C$165</f>
        <v>0</v>
      </c>
      <c r="X221" s="58">
        <f>'TB-Aug'!$C$165</f>
        <v>0</v>
      </c>
      <c r="Y221" s="58">
        <f>'TB-Sep'!$C$165</f>
        <v>0</v>
      </c>
      <c r="Z221" s="58">
        <f>'TB-Oct'!$C$165</f>
        <v>0</v>
      </c>
      <c r="AA221" s="58">
        <f>'TB-Nov'!$C$165</f>
        <v>0</v>
      </c>
      <c r="AB221" s="58">
        <f>'TB-Dec'!$C$165</f>
        <v>0</v>
      </c>
    </row>
    <row r="222" spans="1:28" s="79" customFormat="1" ht="15.75" hidden="1" customHeight="1" outlineLevel="2">
      <c r="A222" s="33"/>
      <c r="B222" s="33"/>
      <c r="C222" s="33"/>
      <c r="D222" s="34" t="s">
        <v>290</v>
      </c>
      <c r="E222" s="31">
        <f t="shared" si="98"/>
        <v>0</v>
      </c>
      <c r="F222" s="31">
        <f>SUM($Q222:R222)</f>
        <v>0</v>
      </c>
      <c r="G222" s="31">
        <f>SUM($Q222:S222)</f>
        <v>0</v>
      </c>
      <c r="H222" s="103">
        <f>SUM($Q222:T222)</f>
        <v>0</v>
      </c>
      <c r="I222" s="103">
        <f>SUM($Q222:U222)</f>
        <v>0</v>
      </c>
      <c r="J222" s="103">
        <f>SUM($Q222:V222)</f>
        <v>0</v>
      </c>
      <c r="K222" s="103">
        <f>SUM($Q222:W222)</f>
        <v>0</v>
      </c>
      <c r="L222" s="103">
        <f>SUM($Q222:X222)</f>
        <v>0</v>
      </c>
      <c r="M222" s="103">
        <f>SUM($Q222:Y222)</f>
        <v>0</v>
      </c>
      <c r="N222" s="103">
        <f>SUM($Q222:Z222)</f>
        <v>0</v>
      </c>
      <c r="O222" s="103">
        <f>SUM($Q222:AA222)</f>
        <v>0</v>
      </c>
      <c r="P222" s="103">
        <f>SUM($Q222:AB222)</f>
        <v>0</v>
      </c>
      <c r="Q222" s="47">
        <f>'TB-Jan'!$C$166</f>
        <v>0</v>
      </c>
      <c r="R222" s="47">
        <f>'TB-Feb'!$C$166</f>
        <v>0</v>
      </c>
      <c r="S222" s="47">
        <f>'TB-Mar'!$C$166</f>
        <v>0</v>
      </c>
      <c r="T222" s="47">
        <f>'TB-Apr'!$C$166</f>
        <v>0</v>
      </c>
      <c r="U222" s="47">
        <f>'TB-May'!$C$166</f>
        <v>0</v>
      </c>
      <c r="V222" s="47">
        <f>'TB-Jun'!$C$166</f>
        <v>0</v>
      </c>
      <c r="W222" s="47">
        <f>'TB-Jul'!$C$166</f>
        <v>0</v>
      </c>
      <c r="X222" s="47">
        <f>'TB-Aug'!$C$166</f>
        <v>0</v>
      </c>
      <c r="Y222" s="47">
        <f>'TB-Sep'!$C$166</f>
        <v>0</v>
      </c>
      <c r="Z222" s="47">
        <f>'TB-Oct'!$C$166</f>
        <v>0</v>
      </c>
      <c r="AA222" s="47">
        <f>'TB-Nov'!$C$166</f>
        <v>0</v>
      </c>
      <c r="AB222" s="47">
        <f>'TB-Dec'!$C$166</f>
        <v>0</v>
      </c>
    </row>
    <row r="223" spans="1:28" s="79" customFormat="1" ht="15.75" hidden="1" customHeight="1" outlineLevel="2">
      <c r="A223" s="33"/>
      <c r="B223" s="33"/>
      <c r="C223" s="33"/>
      <c r="D223" s="34" t="s">
        <v>292</v>
      </c>
      <c r="E223" s="31">
        <f t="shared" si="98"/>
        <v>0</v>
      </c>
      <c r="F223" s="31">
        <f>SUM($Q223:R223)</f>
        <v>0</v>
      </c>
      <c r="G223" s="31">
        <f>SUM($Q223:S223)</f>
        <v>0</v>
      </c>
      <c r="H223" s="103">
        <f>SUM($Q223:T223)</f>
        <v>0</v>
      </c>
      <c r="I223" s="103">
        <f>SUM($Q223:U223)</f>
        <v>0</v>
      </c>
      <c r="J223" s="103">
        <f>SUM($Q223:V223)</f>
        <v>0</v>
      </c>
      <c r="K223" s="103">
        <f>SUM($Q223:W223)</f>
        <v>0</v>
      </c>
      <c r="L223" s="103">
        <f>SUM($Q223:X223)</f>
        <v>0</v>
      </c>
      <c r="M223" s="103">
        <f>SUM($Q223:Y223)</f>
        <v>0</v>
      </c>
      <c r="N223" s="103">
        <f>SUM($Q223:Z223)</f>
        <v>0</v>
      </c>
      <c r="O223" s="103">
        <f>SUM($Q223:AA223)</f>
        <v>0</v>
      </c>
      <c r="P223" s="103">
        <f>SUM($Q223:AB223)</f>
        <v>0</v>
      </c>
      <c r="Q223" s="47">
        <f>'TB-Jan'!$C$167</f>
        <v>0</v>
      </c>
      <c r="R223" s="47">
        <f>'TB-Feb'!$C$167</f>
        <v>0</v>
      </c>
      <c r="S223" s="47">
        <f>'TB-Mar'!$C$167</f>
        <v>0</v>
      </c>
      <c r="T223" s="47">
        <f>'TB-Apr'!$C$167</f>
        <v>0</v>
      </c>
      <c r="U223" s="47">
        <f>'TB-May'!$C$167</f>
        <v>0</v>
      </c>
      <c r="V223" s="47">
        <f>'TB-Jun'!$C$167</f>
        <v>0</v>
      </c>
      <c r="W223" s="47">
        <f>'TB-Jul'!$C$167</f>
        <v>0</v>
      </c>
      <c r="X223" s="47">
        <f>'TB-Aug'!$C$167</f>
        <v>0</v>
      </c>
      <c r="Y223" s="47">
        <f>'TB-Sep'!$C$167</f>
        <v>0</v>
      </c>
      <c r="Z223" s="47">
        <f>'TB-Oct'!$C$167</f>
        <v>0</v>
      </c>
      <c r="AA223" s="47">
        <f>'TB-Nov'!$C$167</f>
        <v>0</v>
      </c>
      <c r="AB223" s="47">
        <f>'TB-Dec'!$C$167</f>
        <v>0</v>
      </c>
    </row>
    <row r="224" spans="1:28" s="79" customFormat="1" ht="15.75" hidden="1" customHeight="1" outlineLevel="2">
      <c r="A224" s="33"/>
      <c r="B224" s="33"/>
      <c r="C224" s="33"/>
      <c r="D224" s="34" t="s">
        <v>294</v>
      </c>
      <c r="E224" s="31">
        <f t="shared" si="98"/>
        <v>0</v>
      </c>
      <c r="F224" s="31">
        <f>SUM($Q224:R224)</f>
        <v>0</v>
      </c>
      <c r="G224" s="31">
        <f>SUM($Q224:S224)</f>
        <v>0</v>
      </c>
      <c r="H224" s="103">
        <f>SUM($Q224:T224)</f>
        <v>0</v>
      </c>
      <c r="I224" s="103">
        <f>SUM($Q224:U224)</f>
        <v>0</v>
      </c>
      <c r="J224" s="103">
        <f>SUM($Q224:V224)</f>
        <v>0</v>
      </c>
      <c r="K224" s="103">
        <f>SUM($Q224:W224)</f>
        <v>0</v>
      </c>
      <c r="L224" s="103">
        <f>SUM($Q224:X224)</f>
        <v>0</v>
      </c>
      <c r="M224" s="103">
        <f>SUM($Q224:Y224)</f>
        <v>0</v>
      </c>
      <c r="N224" s="103">
        <f>SUM($Q224:Z224)</f>
        <v>0</v>
      </c>
      <c r="O224" s="103">
        <f>SUM($Q224:AA224)</f>
        <v>0</v>
      </c>
      <c r="P224" s="103">
        <f>SUM($Q224:AB224)</f>
        <v>0</v>
      </c>
      <c r="Q224" s="47">
        <f>'TB-Jan'!$C$168</f>
        <v>0</v>
      </c>
      <c r="R224" s="47">
        <f>'TB-Feb'!$C$168</f>
        <v>0</v>
      </c>
      <c r="S224" s="47">
        <f>'TB-Mar'!$C$168</f>
        <v>0</v>
      </c>
      <c r="T224" s="47">
        <f>'TB-Apr'!$C$168</f>
        <v>0</v>
      </c>
      <c r="U224" s="47">
        <f>'TB-May'!$C$168</f>
        <v>0</v>
      </c>
      <c r="V224" s="47">
        <f>'TB-Jun'!$C$168</f>
        <v>0</v>
      </c>
      <c r="W224" s="47">
        <f>'TB-Jul'!$C$168</f>
        <v>0</v>
      </c>
      <c r="X224" s="47">
        <f>'TB-Aug'!$C$168</f>
        <v>0</v>
      </c>
      <c r="Y224" s="47">
        <f>'TB-Sep'!$C$168</f>
        <v>0</v>
      </c>
      <c r="Z224" s="47">
        <f>'TB-Oct'!$C$168</f>
        <v>0</v>
      </c>
      <c r="AA224" s="47">
        <f>'TB-Nov'!$C$168</f>
        <v>0</v>
      </c>
      <c r="AB224" s="47">
        <f>'TB-Dec'!$C$168</f>
        <v>0</v>
      </c>
    </row>
    <row r="225" spans="1:28" s="81" customFormat="1" ht="15.75" customHeight="1" outlineLevel="1" collapsed="1">
      <c r="A225" s="39"/>
      <c r="B225" s="39"/>
      <c r="C225" s="39"/>
      <c r="D225" s="55" t="s">
        <v>998</v>
      </c>
      <c r="E225" s="59">
        <f t="shared" si="98"/>
        <v>0</v>
      </c>
      <c r="F225" s="59">
        <f>SUM($Q225:R225)</f>
        <v>0</v>
      </c>
      <c r="G225" s="59">
        <f>SUM($Q225:S225)</f>
        <v>0</v>
      </c>
      <c r="H225" s="59">
        <f>SUM($Q225:T225)</f>
        <v>94709394.359999999</v>
      </c>
      <c r="I225" s="59">
        <f>SUM($Q225:U225)</f>
        <v>94709394.359999999</v>
      </c>
      <c r="J225" s="59">
        <f>SUM($Q225:V225)</f>
        <v>94709394.359999999</v>
      </c>
      <c r="K225" s="59">
        <f>SUM($Q225:W225)</f>
        <v>94709394.359999999</v>
      </c>
      <c r="L225" s="59">
        <f>SUM($Q225:X225)</f>
        <v>98559394.359999999</v>
      </c>
      <c r="M225" s="59">
        <f>SUM($Q225:Y225)</f>
        <v>98559394.359999999</v>
      </c>
      <c r="N225" s="59">
        <f>SUM($Q225:Z225)</f>
        <v>98559394.359999999</v>
      </c>
      <c r="O225" s="59">
        <f>SUM($Q225:AA225)</f>
        <v>98559394.359999999</v>
      </c>
      <c r="P225" s="59">
        <f>SUM($Q225:AB225)</f>
        <v>98559394.359999999</v>
      </c>
      <c r="Q225" s="46">
        <f t="shared" ref="Q225:AB225" si="102">SUM(Q99,Q113,Q129,Q139,Q152,Q189,Q205,Q209,Q212)</f>
        <v>0</v>
      </c>
      <c r="R225" s="46">
        <f t="shared" si="102"/>
        <v>0</v>
      </c>
      <c r="S225" s="46">
        <f t="shared" si="102"/>
        <v>0</v>
      </c>
      <c r="T225" s="46">
        <f t="shared" si="102"/>
        <v>94709394.359999999</v>
      </c>
      <c r="U225" s="46">
        <f t="shared" si="102"/>
        <v>0</v>
      </c>
      <c r="V225" s="46">
        <f t="shared" si="102"/>
        <v>0</v>
      </c>
      <c r="W225" s="46">
        <f t="shared" si="102"/>
        <v>0</v>
      </c>
      <c r="X225" s="46">
        <f t="shared" si="102"/>
        <v>3850000</v>
      </c>
      <c r="Y225" s="46">
        <f t="shared" si="102"/>
        <v>0</v>
      </c>
      <c r="Z225" s="46">
        <f t="shared" si="102"/>
        <v>0</v>
      </c>
      <c r="AA225" s="46">
        <f t="shared" si="102"/>
        <v>0</v>
      </c>
      <c r="AB225" s="46">
        <f t="shared" si="102"/>
        <v>0</v>
      </c>
    </row>
    <row r="226" spans="1:28" s="78" customFormat="1" ht="15.75" hidden="1" customHeight="1">
      <c r="A226" s="32" t="s">
        <v>967</v>
      </c>
      <c r="C226" s="32"/>
      <c r="D226" s="35"/>
      <c r="E226" s="31">
        <f t="shared" si="98"/>
        <v>0</v>
      </c>
      <c r="F226" s="31">
        <f>SUM($Q226:R226)</f>
        <v>0</v>
      </c>
      <c r="G226" s="31">
        <f>SUM($Q226:S226)</f>
        <v>0</v>
      </c>
      <c r="H226" s="31">
        <f>SUM($Q226:T226)</f>
        <v>0</v>
      </c>
      <c r="I226" s="31">
        <f>SUM($Q226:U226)</f>
        <v>0</v>
      </c>
      <c r="J226" s="31">
        <f>SUM($Q226:V226)</f>
        <v>0</v>
      </c>
      <c r="K226" s="31">
        <f>SUM($Q226:W226)</f>
        <v>0</v>
      </c>
      <c r="L226" s="31">
        <f>SUM($Q226:X226)</f>
        <v>0</v>
      </c>
      <c r="M226" s="31">
        <f>SUM($Q226:Y226)</f>
        <v>0</v>
      </c>
      <c r="N226" s="31">
        <f>SUM($Q226:Z226)</f>
        <v>0</v>
      </c>
      <c r="O226" s="31">
        <f>SUM($Q226:AA226)</f>
        <v>0</v>
      </c>
      <c r="P226" s="31">
        <f>SUM($Q226:AB226)</f>
        <v>0</v>
      </c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</row>
    <row r="227" spans="1:28" s="78" customFormat="1" ht="15.75" hidden="1" customHeight="1" outlineLevel="1">
      <c r="A227" s="32"/>
      <c r="B227" s="32"/>
      <c r="C227" s="32"/>
      <c r="D227" s="35" t="s">
        <v>296</v>
      </c>
      <c r="E227" s="31">
        <f t="shared" si="98"/>
        <v>0</v>
      </c>
      <c r="F227" s="31">
        <f>SUM($Q227:R227)</f>
        <v>0</v>
      </c>
      <c r="G227" s="31">
        <f>SUM($Q227:S227)</f>
        <v>0</v>
      </c>
      <c r="H227" s="31">
        <f>SUM($Q227:T227)</f>
        <v>0</v>
      </c>
      <c r="I227" s="31">
        <f>SUM($Q227:U227)</f>
        <v>0</v>
      </c>
      <c r="J227" s="31">
        <f>SUM($Q227:V227)</f>
        <v>0</v>
      </c>
      <c r="K227" s="31">
        <f>SUM($Q227:W227)</f>
        <v>0</v>
      </c>
      <c r="L227" s="31">
        <f>SUM($Q227:X227)</f>
        <v>0</v>
      </c>
      <c r="M227" s="31">
        <f>SUM($Q227:Y227)</f>
        <v>0</v>
      </c>
      <c r="N227" s="31">
        <f>SUM($Q227:Z227)</f>
        <v>0</v>
      </c>
      <c r="O227" s="31">
        <f>SUM($Q227:AA227)</f>
        <v>0</v>
      </c>
      <c r="P227" s="31">
        <f>SUM($Q227:AB227)</f>
        <v>0</v>
      </c>
      <c r="Q227" s="105">
        <f>'TB-Jan'!$C$169</f>
        <v>0</v>
      </c>
      <c r="R227" s="105">
        <f>'TB-Feb'!$C$169</f>
        <v>0</v>
      </c>
      <c r="S227" s="105">
        <f>'TB-Mar'!$C$169</f>
        <v>0</v>
      </c>
      <c r="T227" s="105">
        <f>'TB-Apr'!$C$169</f>
        <v>0</v>
      </c>
      <c r="U227" s="105">
        <f>'TB-May'!$C$169</f>
        <v>0</v>
      </c>
      <c r="V227" s="105">
        <f>'TB-Jun'!$C$169</f>
        <v>0</v>
      </c>
      <c r="W227" s="105">
        <f>'TB-Jul'!$C$169</f>
        <v>0</v>
      </c>
      <c r="X227" s="105">
        <f>'TB-Aug'!$C$169</f>
        <v>0</v>
      </c>
      <c r="Y227" s="105">
        <f>'TB-Sep'!$C$169</f>
        <v>0</v>
      </c>
      <c r="Z227" s="105">
        <f>'TB-Oct'!$C$169</f>
        <v>0</v>
      </c>
      <c r="AA227" s="105">
        <f>'TB-Nov'!$C$169</f>
        <v>0</v>
      </c>
      <c r="AB227" s="105">
        <f>'TB-Dec'!$C$169</f>
        <v>0</v>
      </c>
    </row>
    <row r="228" spans="1:28" s="78" customFormat="1" ht="15.75" hidden="1" customHeight="1" outlineLevel="1">
      <c r="A228" s="32"/>
      <c r="B228" s="32"/>
      <c r="C228" s="32"/>
      <c r="D228" s="35" t="s">
        <v>298</v>
      </c>
      <c r="E228" s="31">
        <f t="shared" si="98"/>
        <v>0</v>
      </c>
      <c r="F228" s="31">
        <f>SUM($Q228:R228)</f>
        <v>0</v>
      </c>
      <c r="G228" s="31">
        <f>SUM($Q228:S228)</f>
        <v>0</v>
      </c>
      <c r="H228" s="31">
        <f>SUM($Q228:T228)</f>
        <v>0</v>
      </c>
      <c r="I228" s="31">
        <f>SUM($Q228:U228)</f>
        <v>0</v>
      </c>
      <c r="J228" s="31">
        <f>SUM($Q228:V228)</f>
        <v>0</v>
      </c>
      <c r="K228" s="31">
        <f>SUM($Q228:W228)</f>
        <v>0</v>
      </c>
      <c r="L228" s="31">
        <f>SUM($Q228:X228)</f>
        <v>0</v>
      </c>
      <c r="M228" s="31">
        <f>SUM($Q228:Y228)</f>
        <v>0</v>
      </c>
      <c r="N228" s="31">
        <f>SUM($Q228:Z228)</f>
        <v>0</v>
      </c>
      <c r="O228" s="31">
        <f>SUM($Q228:AA228)</f>
        <v>0</v>
      </c>
      <c r="P228" s="31">
        <f>SUM($Q228:AB228)</f>
        <v>0</v>
      </c>
      <c r="Q228" s="105">
        <f>'TB-Jan'!$C$170</f>
        <v>0</v>
      </c>
      <c r="R228" s="105">
        <f>'TB-Feb'!$C$170</f>
        <v>0</v>
      </c>
      <c r="S228" s="105">
        <f>'TB-Mar'!$C$170</f>
        <v>0</v>
      </c>
      <c r="T228" s="105">
        <f>'TB-Apr'!$C$170</f>
        <v>0</v>
      </c>
      <c r="U228" s="105">
        <f>'TB-May'!$C$170</f>
        <v>0</v>
      </c>
      <c r="V228" s="105">
        <f>'TB-Jun'!$C$170</f>
        <v>0</v>
      </c>
      <c r="W228" s="105">
        <f>'TB-Jul'!$C$170</f>
        <v>0</v>
      </c>
      <c r="X228" s="105">
        <f>'TB-Aug'!$C$170</f>
        <v>0</v>
      </c>
      <c r="Y228" s="105">
        <f>'TB-Sep'!$C$170</f>
        <v>0</v>
      </c>
      <c r="Z228" s="105">
        <f>'TB-Oct'!$C$170</f>
        <v>0</v>
      </c>
      <c r="AA228" s="105">
        <f>'TB-Nov'!$C$170</f>
        <v>0</v>
      </c>
      <c r="AB228" s="105">
        <f>'TB-Dec'!$C$170</f>
        <v>0</v>
      </c>
    </row>
    <row r="229" spans="1:28" s="78" customFormat="1" ht="15.75" hidden="1" customHeight="1" outlineLevel="1">
      <c r="A229" s="32"/>
      <c r="B229" s="32"/>
      <c r="C229" s="32"/>
      <c r="D229" s="35" t="s">
        <v>300</v>
      </c>
      <c r="E229" s="31">
        <f t="shared" si="98"/>
        <v>0</v>
      </c>
      <c r="F229" s="31">
        <f>SUM($Q229:R229)</f>
        <v>0</v>
      </c>
      <c r="G229" s="31">
        <f>SUM($Q229:S229)</f>
        <v>0</v>
      </c>
      <c r="H229" s="31">
        <f>SUM($Q229:T229)</f>
        <v>0</v>
      </c>
      <c r="I229" s="31">
        <f>SUM($Q229:U229)</f>
        <v>0</v>
      </c>
      <c r="J229" s="31">
        <f>SUM($Q229:V229)</f>
        <v>0</v>
      </c>
      <c r="K229" s="31">
        <f>SUM($Q229:W229)</f>
        <v>0</v>
      </c>
      <c r="L229" s="31">
        <f>SUM($Q229:X229)</f>
        <v>0</v>
      </c>
      <c r="M229" s="31">
        <f>SUM($Q229:Y229)</f>
        <v>0</v>
      </c>
      <c r="N229" s="31">
        <f>SUM($Q229:Z229)</f>
        <v>0</v>
      </c>
      <c r="O229" s="31">
        <f>SUM($Q229:AA229)</f>
        <v>0</v>
      </c>
      <c r="P229" s="31">
        <f>SUM($Q229:AB229)</f>
        <v>0</v>
      </c>
      <c r="Q229" s="105">
        <f>'TB-Jan'!$C$171</f>
        <v>0</v>
      </c>
      <c r="R229" s="105">
        <f>'TB-Feb'!$C$171</f>
        <v>0</v>
      </c>
      <c r="S229" s="105">
        <f>'TB-Mar'!$C$171</f>
        <v>0</v>
      </c>
      <c r="T229" s="105">
        <f>'TB-Apr'!$C$171</f>
        <v>0</v>
      </c>
      <c r="U229" s="105">
        <f>'TB-May'!$C$171</f>
        <v>0</v>
      </c>
      <c r="V229" s="105">
        <f>'TB-Jun'!$C$171</f>
        <v>0</v>
      </c>
      <c r="W229" s="105">
        <f>'TB-Jul'!$C$171</f>
        <v>0</v>
      </c>
      <c r="X229" s="105">
        <f>'TB-Aug'!$C$171</f>
        <v>0</v>
      </c>
      <c r="Y229" s="105">
        <f>'TB-Sep'!$C$171</f>
        <v>0</v>
      </c>
      <c r="Z229" s="105">
        <f>'TB-Oct'!$C$171</f>
        <v>0</v>
      </c>
      <c r="AA229" s="105">
        <f>'TB-Nov'!$C$171</f>
        <v>0</v>
      </c>
      <c r="AB229" s="105">
        <f>'TB-Dec'!$C$171</f>
        <v>0</v>
      </c>
    </row>
    <row r="230" spans="1:28" s="78" customFormat="1" ht="15.75" hidden="1" customHeight="1" outlineLevel="1">
      <c r="A230" s="32"/>
      <c r="B230" s="32"/>
      <c r="C230" s="32"/>
      <c r="D230" s="35" t="s">
        <v>302</v>
      </c>
      <c r="E230" s="31">
        <f t="shared" si="98"/>
        <v>0</v>
      </c>
      <c r="F230" s="31">
        <f>SUM($Q230:R230)</f>
        <v>0</v>
      </c>
      <c r="G230" s="31">
        <f>SUM($Q230:S230)</f>
        <v>0</v>
      </c>
      <c r="H230" s="31">
        <f>SUM($Q230:T230)</f>
        <v>0</v>
      </c>
      <c r="I230" s="31">
        <f>SUM($Q230:U230)</f>
        <v>0</v>
      </c>
      <c r="J230" s="31">
        <f>SUM($Q230:V230)</f>
        <v>0</v>
      </c>
      <c r="K230" s="31">
        <f>SUM($Q230:W230)</f>
        <v>0</v>
      </c>
      <c r="L230" s="31">
        <f>SUM($Q230:X230)</f>
        <v>0</v>
      </c>
      <c r="M230" s="31">
        <f>SUM($Q230:Y230)</f>
        <v>0</v>
      </c>
      <c r="N230" s="31">
        <f>SUM($Q230:Z230)</f>
        <v>0</v>
      </c>
      <c r="O230" s="31">
        <f>SUM($Q230:AA230)</f>
        <v>0</v>
      </c>
      <c r="P230" s="31">
        <f>SUM($Q230:AB230)</f>
        <v>0</v>
      </c>
      <c r="Q230" s="105">
        <f>'TB-Jan'!$C$172</f>
        <v>0</v>
      </c>
      <c r="R230" s="105">
        <f>'TB-Feb'!$C$172</f>
        <v>0</v>
      </c>
      <c r="S230" s="105">
        <f>'TB-Mar'!$C$172</f>
        <v>0</v>
      </c>
      <c r="T230" s="105">
        <f>'TB-Apr'!$C$172</f>
        <v>0</v>
      </c>
      <c r="U230" s="105">
        <f>'TB-May'!$C$172</f>
        <v>0</v>
      </c>
      <c r="V230" s="105">
        <f>'TB-Jun'!$C$172</f>
        <v>0</v>
      </c>
      <c r="W230" s="105">
        <f>'TB-Jul'!$C$172</f>
        <v>0</v>
      </c>
      <c r="X230" s="105">
        <f>'TB-Aug'!$C$172</f>
        <v>0</v>
      </c>
      <c r="Y230" s="105">
        <f>'TB-Sep'!$C$172</f>
        <v>0</v>
      </c>
      <c r="Z230" s="105">
        <f>'TB-Oct'!$C$172</f>
        <v>0</v>
      </c>
      <c r="AA230" s="105">
        <f>'TB-Nov'!$C$172</f>
        <v>0</v>
      </c>
      <c r="AB230" s="105">
        <f>'TB-Dec'!$C$172</f>
        <v>0</v>
      </c>
    </row>
    <row r="231" spans="1:28" s="78" customFormat="1" ht="15.75" hidden="1" customHeight="1" outlineLevel="1">
      <c r="A231" s="32"/>
      <c r="B231" s="32"/>
      <c r="C231" s="32"/>
      <c r="D231" s="35" t="s">
        <v>304</v>
      </c>
      <c r="E231" s="31">
        <f t="shared" si="98"/>
        <v>0</v>
      </c>
      <c r="F231" s="31">
        <f>SUM($Q231:R231)</f>
        <v>0</v>
      </c>
      <c r="G231" s="31">
        <f>SUM($Q231:S231)</f>
        <v>0</v>
      </c>
      <c r="H231" s="31">
        <f>SUM($Q231:T231)</f>
        <v>0</v>
      </c>
      <c r="I231" s="31">
        <f>SUM($Q231:U231)</f>
        <v>0</v>
      </c>
      <c r="J231" s="31">
        <f>SUM($Q231:V231)</f>
        <v>0</v>
      </c>
      <c r="K231" s="31">
        <f>SUM($Q231:W231)</f>
        <v>0</v>
      </c>
      <c r="L231" s="31">
        <f>SUM($Q231:X231)</f>
        <v>0</v>
      </c>
      <c r="M231" s="31">
        <f>SUM($Q231:Y231)</f>
        <v>0</v>
      </c>
      <c r="N231" s="31">
        <f>SUM($Q231:Z231)</f>
        <v>0</v>
      </c>
      <c r="O231" s="31">
        <f>SUM($Q231:AA231)</f>
        <v>0</v>
      </c>
      <c r="P231" s="31">
        <f>SUM($Q231:AB231)</f>
        <v>0</v>
      </c>
      <c r="Q231" s="105">
        <f>'TB-Jan'!$C$173</f>
        <v>0</v>
      </c>
      <c r="R231" s="105">
        <f>'TB-Feb'!$C$173</f>
        <v>0</v>
      </c>
      <c r="S231" s="105">
        <f>'TB-Mar'!$C$173</f>
        <v>0</v>
      </c>
      <c r="T231" s="105">
        <f>'TB-Apr'!$C$173</f>
        <v>0</v>
      </c>
      <c r="U231" s="105">
        <f>'TB-May'!$C$173</f>
        <v>0</v>
      </c>
      <c r="V231" s="105">
        <f>'TB-Jun'!$C$173</f>
        <v>0</v>
      </c>
      <c r="W231" s="105">
        <f>'TB-Jul'!$C$173</f>
        <v>0</v>
      </c>
      <c r="X231" s="105">
        <f>'TB-Aug'!$C$173</f>
        <v>0</v>
      </c>
      <c r="Y231" s="105">
        <f>'TB-Sep'!$C$173</f>
        <v>0</v>
      </c>
      <c r="Z231" s="105">
        <f>'TB-Oct'!$C$173</f>
        <v>0</v>
      </c>
      <c r="AA231" s="105">
        <f>'TB-Nov'!$C$173</f>
        <v>0</v>
      </c>
      <c r="AB231" s="105">
        <f>'TB-Dec'!$C$173</f>
        <v>0</v>
      </c>
    </row>
    <row r="232" spans="1:28" s="78" customFormat="1" ht="15.75" hidden="1" customHeight="1" outlineLevel="1" collapsed="1">
      <c r="A232" s="32"/>
      <c r="B232" s="32"/>
      <c r="C232" s="32"/>
      <c r="D232" s="55" t="s">
        <v>999</v>
      </c>
      <c r="E232" s="59">
        <f t="shared" si="98"/>
        <v>0</v>
      </c>
      <c r="F232" s="59">
        <f>SUM($Q232:R232)</f>
        <v>0</v>
      </c>
      <c r="G232" s="59">
        <f>SUM($Q232:S232)</f>
        <v>0</v>
      </c>
      <c r="H232" s="59">
        <f>SUM($Q232:T232)</f>
        <v>0</v>
      </c>
      <c r="I232" s="59">
        <f>SUM($Q232:U232)</f>
        <v>0</v>
      </c>
      <c r="J232" s="59">
        <f>SUM($Q232:V232)</f>
        <v>0</v>
      </c>
      <c r="K232" s="59">
        <f>SUM($Q232:W232)</f>
        <v>0</v>
      </c>
      <c r="L232" s="59">
        <f>SUM($Q232:X232)</f>
        <v>0</v>
      </c>
      <c r="M232" s="59">
        <f>SUM($Q232:Y232)</f>
        <v>0</v>
      </c>
      <c r="N232" s="59">
        <f>SUM($Q232:Z232)</f>
        <v>0</v>
      </c>
      <c r="O232" s="59">
        <f>SUM($Q232:AA232)</f>
        <v>0</v>
      </c>
      <c r="P232" s="59">
        <f>SUM($Q232:AB232)</f>
        <v>0</v>
      </c>
      <c r="Q232" s="46">
        <f>SUM(Q227:Q231)</f>
        <v>0</v>
      </c>
      <c r="R232" s="46">
        <f t="shared" ref="R232:AB232" si="103">SUM(R227:R231)</f>
        <v>0</v>
      </c>
      <c r="S232" s="46">
        <f t="shared" si="103"/>
        <v>0</v>
      </c>
      <c r="T232" s="46">
        <f t="shared" si="103"/>
        <v>0</v>
      </c>
      <c r="U232" s="46">
        <f t="shared" si="103"/>
        <v>0</v>
      </c>
      <c r="V232" s="46">
        <f t="shared" si="103"/>
        <v>0</v>
      </c>
      <c r="W232" s="46">
        <f t="shared" si="103"/>
        <v>0</v>
      </c>
      <c r="X232" s="46">
        <f t="shared" si="103"/>
        <v>0</v>
      </c>
      <c r="Y232" s="46">
        <f t="shared" si="103"/>
        <v>0</v>
      </c>
      <c r="Z232" s="46">
        <f t="shared" si="103"/>
        <v>0</v>
      </c>
      <c r="AA232" s="46">
        <f t="shared" si="103"/>
        <v>0</v>
      </c>
      <c r="AB232" s="46">
        <f t="shared" si="103"/>
        <v>0</v>
      </c>
    </row>
    <row r="233" spans="1:28" s="83" customFormat="1" ht="15.75" customHeight="1" collapsed="1">
      <c r="A233" s="32"/>
      <c r="B233" s="32"/>
      <c r="C233" s="32"/>
      <c r="D233" s="40" t="s">
        <v>968</v>
      </c>
      <c r="E233" s="59">
        <f t="shared" si="98"/>
        <v>0</v>
      </c>
      <c r="F233" s="59">
        <f>SUM($Q233:R233)</f>
        <v>0</v>
      </c>
      <c r="G233" s="59">
        <f>SUM($Q233:S233)</f>
        <v>0</v>
      </c>
      <c r="H233" s="59">
        <f>SUM($Q233:T233)</f>
        <v>216142656.04999995</v>
      </c>
      <c r="I233" s="59">
        <f>SUM($Q233:U233)</f>
        <v>218801935.30999994</v>
      </c>
      <c r="J233" s="59">
        <f>SUM($Q233:V233)</f>
        <v>220482133.50999993</v>
      </c>
      <c r="K233" s="59">
        <f>SUM($Q233:W233)</f>
        <v>216264232.45999992</v>
      </c>
      <c r="L233" s="59">
        <f>SUM($Q233:X233)</f>
        <v>254893227.01999992</v>
      </c>
      <c r="M233" s="59">
        <f>SUM($Q233:Y233)</f>
        <v>254893227.01999992</v>
      </c>
      <c r="N233" s="59">
        <f>SUM($Q233:Z233)</f>
        <v>254893227.01999992</v>
      </c>
      <c r="O233" s="59">
        <f>SUM($Q233:AA233)</f>
        <v>254893227.01999992</v>
      </c>
      <c r="P233" s="59">
        <f>SUM($Q233:AB233)</f>
        <v>254893227.01999992</v>
      </c>
      <c r="Q233" s="51">
        <f t="shared" ref="Q233:AB233" si="104">SUM(Q232,Q225,Q97,Q88)</f>
        <v>0</v>
      </c>
      <c r="R233" s="51">
        <f t="shared" si="104"/>
        <v>0</v>
      </c>
      <c r="S233" s="51">
        <f t="shared" si="104"/>
        <v>0</v>
      </c>
      <c r="T233" s="51">
        <f t="shared" si="104"/>
        <v>216142656.04999995</v>
      </c>
      <c r="U233" s="51">
        <f t="shared" si="104"/>
        <v>2659279.2599999993</v>
      </c>
      <c r="V233" s="51">
        <f t="shared" si="104"/>
        <v>1680198.2000000011</v>
      </c>
      <c r="W233" s="51">
        <f t="shared" si="104"/>
        <v>-4217901.0499999989</v>
      </c>
      <c r="X233" s="51">
        <f t="shared" si="104"/>
        <v>38628994.560000002</v>
      </c>
      <c r="Y233" s="51">
        <f t="shared" si="104"/>
        <v>0</v>
      </c>
      <c r="Z233" s="51">
        <f t="shared" si="104"/>
        <v>0</v>
      </c>
      <c r="AA233" s="51">
        <f t="shared" si="104"/>
        <v>0</v>
      </c>
      <c r="AB233" s="51">
        <f t="shared" si="104"/>
        <v>0</v>
      </c>
    </row>
    <row r="234" spans="1:28" s="83" customFormat="1" ht="15.75" customHeight="1">
      <c r="A234" s="32"/>
      <c r="B234" s="32"/>
      <c r="C234" s="32"/>
      <c r="D234" s="40"/>
      <c r="E234" s="31">
        <f t="shared" si="98"/>
        <v>0</v>
      </c>
      <c r="F234" s="31">
        <f>SUM($Q234:R234)</f>
        <v>0</v>
      </c>
      <c r="G234" s="31">
        <f>SUM($Q234:S234)</f>
        <v>0</v>
      </c>
      <c r="H234" s="31">
        <f>SUM($Q234:T234)</f>
        <v>0</v>
      </c>
      <c r="I234" s="31"/>
      <c r="J234" s="31"/>
      <c r="K234" s="31"/>
      <c r="L234" s="31">
        <f>SUM($Q234:X234)</f>
        <v>0</v>
      </c>
      <c r="M234" s="31">
        <f>SUM($Q234:Y234)</f>
        <v>0</v>
      </c>
      <c r="N234" s="31">
        <f>SUM($Q234:Z234)</f>
        <v>0</v>
      </c>
      <c r="O234" s="31">
        <f>SUM($Q234:AA234)</f>
        <v>0</v>
      </c>
      <c r="P234" s="31">
        <f>SUM($Q234:AB234)</f>
        <v>0</v>
      </c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 spans="1:28" s="78" customFormat="1" ht="15.75" customHeight="1">
      <c r="A235" s="32" t="s">
        <v>969</v>
      </c>
      <c r="B235" s="32"/>
      <c r="C235" s="32"/>
      <c r="D235" s="35"/>
      <c r="E235" s="31">
        <f t="shared" si="98"/>
        <v>0</v>
      </c>
      <c r="F235" s="31">
        <f>SUM($Q235:R235)</f>
        <v>0</v>
      </c>
      <c r="G235" s="31">
        <f>SUM($Q235:S235)</f>
        <v>0</v>
      </c>
      <c r="H235" s="31">
        <f>SUM($Q235:T235)</f>
        <v>0</v>
      </c>
      <c r="I235" s="31"/>
      <c r="J235" s="31"/>
      <c r="K235" s="31"/>
      <c r="L235" s="31">
        <f>SUM($Q235:X235)</f>
        <v>0</v>
      </c>
      <c r="M235" s="31">
        <f>SUM($Q235:Y235)</f>
        <v>0</v>
      </c>
      <c r="N235" s="31">
        <f>SUM($Q235:Z235)</f>
        <v>0</v>
      </c>
      <c r="O235" s="31">
        <f>SUM($Q235:AA235)</f>
        <v>0</v>
      </c>
      <c r="P235" s="31">
        <f>SUM($Q235:AB235)</f>
        <v>0</v>
      </c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</row>
    <row r="236" spans="1:28" s="78" customFormat="1" ht="15.75" customHeight="1">
      <c r="A236" s="32"/>
      <c r="B236" s="32" t="s">
        <v>970</v>
      </c>
      <c r="C236" s="32"/>
      <c r="D236" s="35"/>
      <c r="E236" s="31">
        <f t="shared" si="98"/>
        <v>0</v>
      </c>
      <c r="F236" s="31">
        <f>SUM($Q236:R236)</f>
        <v>0</v>
      </c>
      <c r="G236" s="31">
        <f>SUM($Q236:S236)</f>
        <v>0</v>
      </c>
      <c r="H236" s="31">
        <f>SUM($Q236:T236)</f>
        <v>0</v>
      </c>
      <c r="I236" s="31"/>
      <c r="J236" s="31"/>
      <c r="K236" s="31"/>
      <c r="L236" s="31">
        <f>SUM($Q236:X236)</f>
        <v>0</v>
      </c>
      <c r="M236" s="31">
        <f>SUM($Q236:Y236)</f>
        <v>0</v>
      </c>
      <c r="N236" s="31">
        <f>SUM($Q236:Z236)</f>
        <v>0</v>
      </c>
      <c r="O236" s="31">
        <f>SUM($Q236:AA236)</f>
        <v>0</v>
      </c>
      <c r="P236" s="31">
        <f>SUM($Q236:AB236)</f>
        <v>0</v>
      </c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</row>
    <row r="237" spans="1:28" s="78" customFormat="1" ht="15" customHeight="1" outlineLevel="1">
      <c r="A237" s="32"/>
      <c r="B237" s="32"/>
      <c r="C237" s="32" t="s">
        <v>971</v>
      </c>
      <c r="D237" s="35"/>
      <c r="E237" s="59">
        <f t="shared" si="98"/>
        <v>0</v>
      </c>
      <c r="F237" s="59">
        <f>SUM($Q237:R237)</f>
        <v>0</v>
      </c>
      <c r="G237" s="59">
        <f>SUM($Q237:S237)</f>
        <v>0</v>
      </c>
      <c r="H237" s="59">
        <f>SUM($Q237:T237)</f>
        <v>1576.43</v>
      </c>
      <c r="I237" s="59">
        <f>SUM($Q237:U237)</f>
        <v>4276.43</v>
      </c>
      <c r="J237" s="59">
        <f>SUM($Q237:V237)</f>
        <v>1576.4400000000005</v>
      </c>
      <c r="K237" s="59">
        <f>SUM($Q237:W237)</f>
        <v>1576.4400000000005</v>
      </c>
      <c r="L237" s="59">
        <f>SUM($Q237:X237)</f>
        <v>1576.4400000000005</v>
      </c>
      <c r="M237" s="59">
        <f>SUM($Q237:Y237)</f>
        <v>1576.4400000000005</v>
      </c>
      <c r="N237" s="59">
        <f>SUM($Q237:Z237)</f>
        <v>1576.4400000000005</v>
      </c>
      <c r="O237" s="59">
        <f>SUM($Q237:AA237)</f>
        <v>1576.4400000000005</v>
      </c>
      <c r="P237" s="59">
        <f>SUM($Q237:AB237)</f>
        <v>1576.4400000000005</v>
      </c>
      <c r="Q237" s="46">
        <f>SUM(Q238:Q241)</f>
        <v>0</v>
      </c>
      <c r="R237" s="46">
        <f t="shared" ref="R237:AB237" si="105">SUM(R238:R241)</f>
        <v>0</v>
      </c>
      <c r="S237" s="46">
        <f t="shared" si="105"/>
        <v>0</v>
      </c>
      <c r="T237" s="46">
        <f t="shared" si="105"/>
        <v>1576.43</v>
      </c>
      <c r="U237" s="46">
        <f t="shared" si="105"/>
        <v>2700</v>
      </c>
      <c r="V237" s="46">
        <f t="shared" si="105"/>
        <v>-2699.99</v>
      </c>
      <c r="W237" s="46">
        <f t="shared" si="105"/>
        <v>0</v>
      </c>
      <c r="X237" s="46">
        <f t="shared" si="105"/>
        <v>0</v>
      </c>
      <c r="Y237" s="46">
        <f t="shared" si="105"/>
        <v>0</v>
      </c>
      <c r="Z237" s="46">
        <f t="shared" si="105"/>
        <v>0</v>
      </c>
      <c r="AA237" s="46">
        <f t="shared" si="105"/>
        <v>0</v>
      </c>
      <c r="AB237" s="46">
        <f t="shared" si="105"/>
        <v>0</v>
      </c>
    </row>
    <row r="238" spans="1:28" s="79" customFormat="1" ht="15.75" hidden="1" customHeight="1" outlineLevel="2">
      <c r="A238" s="33"/>
      <c r="B238" s="33"/>
      <c r="C238" s="33"/>
      <c r="D238" s="34" t="s">
        <v>306</v>
      </c>
      <c r="E238" s="31">
        <f t="shared" si="98"/>
        <v>0</v>
      </c>
      <c r="F238" s="31">
        <f>SUM($Q238:R238)</f>
        <v>0</v>
      </c>
      <c r="G238" s="31">
        <f>SUM($Q238:S238)</f>
        <v>0</v>
      </c>
      <c r="H238" s="103">
        <f>SUM($Q238:T238)</f>
        <v>0</v>
      </c>
      <c r="I238" s="103">
        <f>SUM($Q238:U238)</f>
        <v>0</v>
      </c>
      <c r="J238" s="103">
        <f>SUM($Q238:V238)</f>
        <v>0</v>
      </c>
      <c r="K238" s="103">
        <f>SUM($Q238:W238)</f>
        <v>0</v>
      </c>
      <c r="L238" s="103">
        <f>SUM($Q238:X238)</f>
        <v>0</v>
      </c>
      <c r="M238" s="103">
        <f>SUM($Q238:Y238)</f>
        <v>0</v>
      </c>
      <c r="N238" s="103">
        <f>SUM($Q238:Z238)</f>
        <v>0</v>
      </c>
      <c r="O238" s="103">
        <f>SUM($Q238:AA238)</f>
        <v>0</v>
      </c>
      <c r="P238" s="103">
        <f>SUM($Q238:AB238)</f>
        <v>0</v>
      </c>
      <c r="Q238" s="47">
        <f>'TB-Jan'!$D$174</f>
        <v>0</v>
      </c>
      <c r="R238" s="47">
        <f>'TB-Feb'!$D$174</f>
        <v>0</v>
      </c>
      <c r="S238" s="47">
        <f>'TB-Mar'!$D$174</f>
        <v>0</v>
      </c>
      <c r="T238" s="47">
        <f>'TB-Apr'!$D$174</f>
        <v>0</v>
      </c>
      <c r="U238" s="47">
        <f>'TB-May'!$D$174</f>
        <v>0</v>
      </c>
      <c r="V238" s="47">
        <f>'TB-Jun'!$D$174</f>
        <v>0</v>
      </c>
      <c r="W238" s="47">
        <f>'TB-Jul'!$D$174</f>
        <v>0</v>
      </c>
      <c r="X238" s="47">
        <f>'TB-Aug'!$D$174</f>
        <v>0</v>
      </c>
      <c r="Y238" s="47">
        <f>'TB-Sep'!$D$174</f>
        <v>0</v>
      </c>
      <c r="Z238" s="47">
        <f>'TB-Oct'!$D$174</f>
        <v>0</v>
      </c>
      <c r="AA238" s="47">
        <f>'TB-Nov'!$D$174</f>
        <v>0</v>
      </c>
      <c r="AB238" s="47">
        <f>'TB-Dec'!$D$174</f>
        <v>0</v>
      </c>
    </row>
    <row r="239" spans="1:28" s="79" customFormat="1" ht="15.75" hidden="1" customHeight="1" outlineLevel="2">
      <c r="A239" s="33"/>
      <c r="B239" s="33"/>
      <c r="C239" s="33"/>
      <c r="D239" s="34" t="s">
        <v>308</v>
      </c>
      <c r="E239" s="31">
        <f t="shared" si="98"/>
        <v>0</v>
      </c>
      <c r="F239" s="31">
        <f>SUM($Q239:R239)</f>
        <v>0</v>
      </c>
      <c r="G239" s="31">
        <f>SUM($Q239:S239)</f>
        <v>0</v>
      </c>
      <c r="H239" s="103">
        <f>SUM($Q239:T239)</f>
        <v>0</v>
      </c>
      <c r="I239" s="103">
        <f>SUM($Q239:U239)</f>
        <v>0</v>
      </c>
      <c r="J239" s="103">
        <f>SUM($Q239:V239)</f>
        <v>0</v>
      </c>
      <c r="K239" s="103">
        <f>SUM($Q239:W239)</f>
        <v>0</v>
      </c>
      <c r="L239" s="103">
        <f>SUM($Q239:X239)</f>
        <v>0</v>
      </c>
      <c r="M239" s="103">
        <f>SUM($Q239:Y239)</f>
        <v>0</v>
      </c>
      <c r="N239" s="103">
        <f>SUM($Q239:Z239)</f>
        <v>0</v>
      </c>
      <c r="O239" s="103">
        <f>SUM($Q239:AA239)</f>
        <v>0</v>
      </c>
      <c r="P239" s="103">
        <f>SUM($Q239:AB239)</f>
        <v>0</v>
      </c>
      <c r="Q239" s="47">
        <f>'TB-Jan'!$D$175</f>
        <v>0</v>
      </c>
      <c r="R239" s="47">
        <f>'TB-Feb'!$D$175</f>
        <v>0</v>
      </c>
      <c r="S239" s="47">
        <f>'TB-Mar'!$D$175</f>
        <v>0</v>
      </c>
      <c r="T239" s="47">
        <f>'TB-Apr'!$D$175</f>
        <v>0</v>
      </c>
      <c r="U239" s="47">
        <f>'TB-May'!$D$175</f>
        <v>0</v>
      </c>
      <c r="V239" s="47">
        <f>'TB-Jun'!$D$175</f>
        <v>0</v>
      </c>
      <c r="W239" s="47">
        <f>'TB-Jul'!$D$175</f>
        <v>0</v>
      </c>
      <c r="X239" s="47">
        <f>'TB-Aug'!$D$175</f>
        <v>0</v>
      </c>
      <c r="Y239" s="47">
        <f>'TB-Sep'!$D$175</f>
        <v>0</v>
      </c>
      <c r="Z239" s="47">
        <f>'TB-Oct'!$D$175</f>
        <v>0</v>
      </c>
      <c r="AA239" s="47">
        <f>'TB-Nov'!$D$175</f>
        <v>0</v>
      </c>
      <c r="AB239" s="47">
        <f>'TB-Dec'!$D$175</f>
        <v>0</v>
      </c>
    </row>
    <row r="240" spans="1:28" s="79" customFormat="1" ht="15.75" customHeight="1" outlineLevel="2">
      <c r="A240" s="33"/>
      <c r="B240" s="33"/>
      <c r="C240" s="33"/>
      <c r="D240" s="34" t="s">
        <v>310</v>
      </c>
      <c r="E240" s="31">
        <f t="shared" si="98"/>
        <v>0</v>
      </c>
      <c r="F240" s="31">
        <f>SUM($Q240:R240)</f>
        <v>0</v>
      </c>
      <c r="G240" s="31">
        <f>SUM($Q240:S240)</f>
        <v>0</v>
      </c>
      <c r="H240" s="103">
        <f>SUM($Q240:T240)</f>
        <v>1576.43</v>
      </c>
      <c r="I240" s="103">
        <f>SUM($Q240:U240)</f>
        <v>4276.43</v>
      </c>
      <c r="J240" s="103">
        <f>SUM($Q240:V240)</f>
        <v>1576.4400000000005</v>
      </c>
      <c r="K240" s="103">
        <f>SUM($Q240:W240)</f>
        <v>1576.4400000000005</v>
      </c>
      <c r="L240" s="103">
        <f>SUM($Q240:X240)</f>
        <v>1576.4400000000005</v>
      </c>
      <c r="M240" s="103">
        <f>SUM($Q240:Y240)</f>
        <v>1576.4400000000005</v>
      </c>
      <c r="N240" s="103">
        <f>SUM($Q240:Z240)</f>
        <v>1576.4400000000005</v>
      </c>
      <c r="O240" s="103">
        <f>SUM($Q240:AA240)</f>
        <v>1576.4400000000005</v>
      </c>
      <c r="P240" s="103">
        <f>SUM($Q240:AB240)</f>
        <v>1576.4400000000005</v>
      </c>
      <c r="Q240" s="47">
        <f>'TB-Jan'!$D$176</f>
        <v>0</v>
      </c>
      <c r="R240" s="47">
        <f>'TB-Feb'!$D$176</f>
        <v>0</v>
      </c>
      <c r="S240" s="47">
        <f>'TB-Mar'!$D$176</f>
        <v>0</v>
      </c>
      <c r="T240" s="47">
        <f>'TB-Apr'!$D$176</f>
        <v>1576.43</v>
      </c>
      <c r="U240" s="47">
        <f>'TB-May'!$D$176</f>
        <v>2700</v>
      </c>
      <c r="V240" s="47">
        <f>'TB-Jun'!$D$176</f>
        <v>-2699.99</v>
      </c>
      <c r="W240" s="47">
        <f>'TB-Jul'!$D$176</f>
        <v>0</v>
      </c>
      <c r="X240" s="47">
        <f>'TB-Aug'!$D$176</f>
        <v>0</v>
      </c>
      <c r="Y240" s="47">
        <f>'TB-Sep'!$D$176</f>
        <v>0</v>
      </c>
      <c r="Z240" s="47">
        <f>'TB-Oct'!$D$176</f>
        <v>0</v>
      </c>
      <c r="AA240" s="47">
        <f>'TB-Nov'!$D$176</f>
        <v>0</v>
      </c>
      <c r="AB240" s="47">
        <f>'TB-Dec'!$D$176</f>
        <v>0</v>
      </c>
    </row>
    <row r="241" spans="1:28" s="79" customFormat="1" ht="15.75" hidden="1" customHeight="1" outlineLevel="2">
      <c r="A241" s="33"/>
      <c r="B241" s="33"/>
      <c r="C241" s="33"/>
      <c r="D241" s="34" t="s">
        <v>312</v>
      </c>
      <c r="E241" s="31">
        <f t="shared" si="98"/>
        <v>0</v>
      </c>
      <c r="F241" s="31">
        <f>SUM($Q241:R241)</f>
        <v>0</v>
      </c>
      <c r="G241" s="31">
        <f>SUM($Q241:S241)</f>
        <v>0</v>
      </c>
      <c r="H241" s="103">
        <f>SUM($Q241:T241)</f>
        <v>0</v>
      </c>
      <c r="I241" s="103">
        <f>SUM($Q241:U241)</f>
        <v>0</v>
      </c>
      <c r="J241" s="103">
        <f>SUM($Q241:V241)</f>
        <v>0</v>
      </c>
      <c r="K241" s="103">
        <f>SUM($Q241:W241)</f>
        <v>0</v>
      </c>
      <c r="L241" s="103">
        <f>SUM($Q241:X241)</f>
        <v>0</v>
      </c>
      <c r="M241" s="103">
        <f>SUM($Q241:Y241)</f>
        <v>0</v>
      </c>
      <c r="N241" s="103">
        <f>SUM($Q241:Z241)</f>
        <v>0</v>
      </c>
      <c r="O241" s="103">
        <f>SUM($Q241:AA241)</f>
        <v>0</v>
      </c>
      <c r="P241" s="103">
        <f>SUM($Q241:AB241)</f>
        <v>0</v>
      </c>
      <c r="Q241" s="47">
        <f>'TB-Jan'!$D$177</f>
        <v>0</v>
      </c>
      <c r="R241" s="47">
        <f>'TB-Feb'!$D$177</f>
        <v>0</v>
      </c>
      <c r="S241" s="47">
        <f>'TB-Mar'!$D$177</f>
        <v>0</v>
      </c>
      <c r="T241" s="47">
        <f>'TB-Apr'!$D$177</f>
        <v>0</v>
      </c>
      <c r="U241" s="47">
        <f>'TB-May'!$D$177</f>
        <v>0</v>
      </c>
      <c r="V241" s="47">
        <f>'TB-Jun'!$D$177</f>
        <v>0</v>
      </c>
      <c r="W241" s="47">
        <f>'TB-Jul'!$D$177</f>
        <v>0</v>
      </c>
      <c r="X241" s="47">
        <f>'TB-Aug'!$D$177</f>
        <v>0</v>
      </c>
      <c r="Y241" s="47">
        <f>'TB-Sep'!$D$177</f>
        <v>0</v>
      </c>
      <c r="Z241" s="47">
        <f>'TB-Oct'!$D$177</f>
        <v>0</v>
      </c>
      <c r="AA241" s="47">
        <f>'TB-Nov'!$D$177</f>
        <v>0</v>
      </c>
      <c r="AB241" s="47">
        <f>'TB-Dec'!$D$177</f>
        <v>0</v>
      </c>
    </row>
    <row r="242" spans="1:28" s="78" customFormat="1" ht="15.75" customHeight="1" outlineLevel="1" collapsed="1">
      <c r="A242" s="32"/>
      <c r="B242" s="32"/>
      <c r="C242" s="32" t="s">
        <v>972</v>
      </c>
      <c r="D242" s="35"/>
      <c r="E242" s="59">
        <f t="shared" si="98"/>
        <v>0</v>
      </c>
      <c r="F242" s="59">
        <f>SUM($Q242:R242)</f>
        <v>0</v>
      </c>
      <c r="G242" s="59">
        <f>SUM($Q242:S242)</f>
        <v>0</v>
      </c>
      <c r="H242" s="59">
        <f>SUM($Q242:T242)</f>
        <v>147362092.13999999</v>
      </c>
      <c r="I242" s="59">
        <f>SUM($Q242:U242)</f>
        <v>146510139.38</v>
      </c>
      <c r="J242" s="59">
        <f>SUM($Q242:V242)</f>
        <v>146316238.88</v>
      </c>
      <c r="K242" s="59">
        <f>SUM($Q242:W242)</f>
        <v>142601751.09999999</v>
      </c>
      <c r="L242" s="59">
        <f>SUM($Q242:X242)</f>
        <v>177036931.75</v>
      </c>
      <c r="M242" s="59">
        <f>SUM($Q242:Y242)</f>
        <v>177036931.75</v>
      </c>
      <c r="N242" s="59">
        <f>SUM($Q242:Z242)</f>
        <v>177036931.75</v>
      </c>
      <c r="O242" s="59">
        <f>SUM($Q242:AA242)</f>
        <v>177036931.75</v>
      </c>
      <c r="P242" s="59">
        <f>SUM($Q242:AB242)</f>
        <v>177036931.75</v>
      </c>
      <c r="Q242" s="46">
        <f>SUM(Q243:Q249)</f>
        <v>0</v>
      </c>
      <c r="R242" s="46">
        <f>SUM(R243:R249)</f>
        <v>0</v>
      </c>
      <c r="S242" s="46">
        <f>SUM(S243:S249)</f>
        <v>0</v>
      </c>
      <c r="T242" s="46">
        <f t="shared" ref="T242:AB242" si="106">SUM(T243:T249)</f>
        <v>147362092.13999999</v>
      </c>
      <c r="U242" s="46">
        <f t="shared" si="106"/>
        <v>-851952.76000000024</v>
      </c>
      <c r="V242" s="46">
        <f t="shared" si="106"/>
        <v>-193900.50000000055</v>
      </c>
      <c r="W242" s="46">
        <f t="shared" si="106"/>
        <v>-3714487.7800000003</v>
      </c>
      <c r="X242" s="46">
        <f t="shared" si="106"/>
        <v>34435180.649999999</v>
      </c>
      <c r="Y242" s="46">
        <f t="shared" si="106"/>
        <v>0</v>
      </c>
      <c r="Z242" s="46">
        <f t="shared" si="106"/>
        <v>0</v>
      </c>
      <c r="AA242" s="46">
        <f t="shared" si="106"/>
        <v>0</v>
      </c>
      <c r="AB242" s="46">
        <f t="shared" si="106"/>
        <v>0</v>
      </c>
    </row>
    <row r="243" spans="1:28" s="79" customFormat="1" ht="15.75" customHeight="1" outlineLevel="2">
      <c r="A243" s="33"/>
      <c r="B243" s="33"/>
      <c r="C243" s="33"/>
      <c r="D243" s="34" t="s">
        <v>314</v>
      </c>
      <c r="E243" s="31">
        <f t="shared" si="98"/>
        <v>0</v>
      </c>
      <c r="F243" s="31">
        <f>SUM($Q243:R243)</f>
        <v>0</v>
      </c>
      <c r="G243" s="31">
        <f>SUM($Q243:S243)</f>
        <v>0</v>
      </c>
      <c r="H243" s="103">
        <f>SUM($Q243:T243)</f>
        <v>2579474.5899999989</v>
      </c>
      <c r="I243" s="103">
        <f>SUM($Q243:U243)</f>
        <v>2741340.0799999991</v>
      </c>
      <c r="J243" s="103">
        <f>SUM($Q243:V243)</f>
        <v>2702740.1799999992</v>
      </c>
      <c r="K243" s="103">
        <f>SUM($Q243:W243)</f>
        <v>2383998.5199999991</v>
      </c>
      <c r="L243" s="103">
        <f>SUM($Q243:X243)</f>
        <v>2353919.4499999993</v>
      </c>
      <c r="M243" s="103">
        <f>SUM($Q243:Y243)</f>
        <v>2353919.4499999993</v>
      </c>
      <c r="N243" s="103">
        <f>SUM($Q243:Z243)</f>
        <v>2353919.4499999993</v>
      </c>
      <c r="O243" s="103">
        <f>SUM($Q243:AA243)</f>
        <v>2353919.4499999993</v>
      </c>
      <c r="P243" s="103">
        <f>SUM($Q243:AB243)</f>
        <v>2353919.4499999993</v>
      </c>
      <c r="Q243" s="47">
        <f>'TB-Jan'!$D$178</f>
        <v>0</v>
      </c>
      <c r="R243" s="47">
        <f>'TB-Feb'!$D$178</f>
        <v>0</v>
      </c>
      <c r="S243" s="47">
        <f>'TB-Mar'!$D$178</f>
        <v>0</v>
      </c>
      <c r="T243" s="47">
        <f>'TB-Apr'!$D$178</f>
        <v>2579474.5899999989</v>
      </c>
      <c r="U243" s="47">
        <f>'TB-May'!$D$178</f>
        <v>161865.49</v>
      </c>
      <c r="V243" s="47">
        <f>'TB-Jun'!$D$178</f>
        <v>-38599.899999999965</v>
      </c>
      <c r="W243" s="47">
        <f>'TB-Jul'!$D$178</f>
        <v>-318741.66000000003</v>
      </c>
      <c r="X243" s="47">
        <f>'TB-Aug'!$D$178</f>
        <v>-30079.070000000007</v>
      </c>
      <c r="Y243" s="47">
        <f>'TB-Sep'!$D$178</f>
        <v>0</v>
      </c>
      <c r="Z243" s="47">
        <f>'TB-Oct'!$D$178</f>
        <v>0</v>
      </c>
      <c r="AA243" s="47">
        <f>'TB-Nov'!$D$178</f>
        <v>0</v>
      </c>
      <c r="AB243" s="47">
        <f>'TB-Dec'!$D$178</f>
        <v>0</v>
      </c>
    </row>
    <row r="244" spans="1:28" s="79" customFormat="1" ht="15.75" customHeight="1" outlineLevel="2">
      <c r="A244" s="33"/>
      <c r="B244" s="33"/>
      <c r="C244" s="33"/>
      <c r="D244" s="34" t="s">
        <v>316</v>
      </c>
      <c r="E244" s="31">
        <f t="shared" si="98"/>
        <v>0</v>
      </c>
      <c r="F244" s="31">
        <f>SUM($Q244:R244)</f>
        <v>0</v>
      </c>
      <c r="G244" s="31">
        <f>SUM($Q244:S244)</f>
        <v>0</v>
      </c>
      <c r="H244" s="103">
        <f>SUM($Q244:T244)</f>
        <v>145850.45000000001</v>
      </c>
      <c r="I244" s="103">
        <f>SUM($Q244:U244)</f>
        <v>153941.97</v>
      </c>
      <c r="J244" s="103">
        <f>SUM($Q244:V244)</f>
        <v>157987.73000000001</v>
      </c>
      <c r="K244" s="103">
        <f>SUM($Q244:W244)</f>
        <v>151694.03</v>
      </c>
      <c r="L244" s="103">
        <f>SUM($Q244:X244)</f>
        <v>163381.29</v>
      </c>
      <c r="M244" s="103">
        <f>SUM($Q244:Y244)</f>
        <v>163381.29</v>
      </c>
      <c r="N244" s="103">
        <f>SUM($Q244:Z244)</f>
        <v>163381.29</v>
      </c>
      <c r="O244" s="103">
        <f>SUM($Q244:AA244)</f>
        <v>163381.29</v>
      </c>
      <c r="P244" s="103">
        <f>SUM($Q244:AB244)</f>
        <v>163381.29</v>
      </c>
      <c r="Q244" s="47">
        <f>'TB-Jan'!$D$179</f>
        <v>0</v>
      </c>
      <c r="R244" s="47">
        <f>'TB-Feb'!$D$179</f>
        <v>0</v>
      </c>
      <c r="S244" s="47">
        <f>'TB-Mar'!$D$179</f>
        <v>0</v>
      </c>
      <c r="T244" s="47">
        <f>'TB-Apr'!$D$179</f>
        <v>145850.45000000001</v>
      </c>
      <c r="U244" s="47">
        <f>'TB-May'!$D$179</f>
        <v>8091.52</v>
      </c>
      <c r="V244" s="47">
        <f>'TB-Jun'!$D$179</f>
        <v>4045.76</v>
      </c>
      <c r="W244" s="47">
        <f>'TB-Jul'!$D$179</f>
        <v>-6293.7</v>
      </c>
      <c r="X244" s="47">
        <f>'TB-Aug'!$D$179</f>
        <v>11687.26</v>
      </c>
      <c r="Y244" s="47">
        <f>'TB-Sep'!$D$179</f>
        <v>0</v>
      </c>
      <c r="Z244" s="47">
        <f>'TB-Oct'!$D$179</f>
        <v>0</v>
      </c>
      <c r="AA244" s="47">
        <f>'TB-Nov'!$D$179</f>
        <v>0</v>
      </c>
      <c r="AB244" s="47">
        <f>'TB-Dec'!$D$179</f>
        <v>0</v>
      </c>
    </row>
    <row r="245" spans="1:28" s="79" customFormat="1" ht="15.75" customHeight="1" outlineLevel="2">
      <c r="A245" s="33"/>
      <c r="B245" s="33"/>
      <c r="C245" s="33"/>
      <c r="D245" s="34" t="s">
        <v>318</v>
      </c>
      <c r="E245" s="31">
        <f t="shared" si="98"/>
        <v>0</v>
      </c>
      <c r="F245" s="31">
        <f>SUM($Q245:R245)</f>
        <v>0</v>
      </c>
      <c r="G245" s="31">
        <f>SUM($Q245:S245)</f>
        <v>0</v>
      </c>
      <c r="H245" s="103">
        <f>SUM($Q245:T245)</f>
        <v>282369.93000000005</v>
      </c>
      <c r="I245" s="103">
        <f>SUM($Q245:U245)</f>
        <v>289971.46000000008</v>
      </c>
      <c r="J245" s="103">
        <f>SUM($Q245:V245)</f>
        <v>298947.99000000011</v>
      </c>
      <c r="K245" s="103">
        <f>SUM($Q245:W245)</f>
        <v>290524.52000000014</v>
      </c>
      <c r="L245" s="103">
        <f>SUM($Q245:X245)</f>
        <v>307748.52000000014</v>
      </c>
      <c r="M245" s="103">
        <f>SUM($Q245:Y245)</f>
        <v>307748.52000000014</v>
      </c>
      <c r="N245" s="103">
        <f>SUM($Q245:Z245)</f>
        <v>307748.52000000014</v>
      </c>
      <c r="O245" s="103">
        <f>SUM($Q245:AA245)</f>
        <v>307748.52000000014</v>
      </c>
      <c r="P245" s="103">
        <f>SUM($Q245:AB245)</f>
        <v>307748.52000000014</v>
      </c>
      <c r="Q245" s="47">
        <f>'TB-Jan'!$D$180</f>
        <v>0</v>
      </c>
      <c r="R245" s="47">
        <f>'TB-Feb'!$D$180</f>
        <v>0</v>
      </c>
      <c r="S245" s="47">
        <f>'TB-Mar'!$D$180</f>
        <v>0</v>
      </c>
      <c r="T245" s="47">
        <f>'TB-Apr'!$D$180</f>
        <v>282369.93000000005</v>
      </c>
      <c r="U245" s="47">
        <f>'TB-May'!$D$180</f>
        <v>7601.5300000000007</v>
      </c>
      <c r="V245" s="47">
        <f>'TB-Jun'!$D$180</f>
        <v>8976.5300000000007</v>
      </c>
      <c r="W245" s="47">
        <f>'TB-Jul'!$D$180</f>
        <v>-8423.4700000000012</v>
      </c>
      <c r="X245" s="47">
        <f>'TB-Aug'!$D$180</f>
        <v>17224</v>
      </c>
      <c r="Y245" s="47">
        <f>'TB-Sep'!$D$180</f>
        <v>0</v>
      </c>
      <c r="Z245" s="47">
        <f>'TB-Oct'!$D$180</f>
        <v>0</v>
      </c>
      <c r="AA245" s="47">
        <f>'TB-Nov'!$D$180</f>
        <v>0</v>
      </c>
      <c r="AB245" s="47">
        <f>'TB-Dec'!$D$180</f>
        <v>0</v>
      </c>
    </row>
    <row r="246" spans="1:28" s="79" customFormat="1" ht="15.75" customHeight="1" outlineLevel="2">
      <c r="A246" s="33"/>
      <c r="B246" s="33"/>
      <c r="C246" s="33"/>
      <c r="D246" s="34" t="s">
        <v>320</v>
      </c>
      <c r="E246" s="31">
        <f t="shared" si="98"/>
        <v>0</v>
      </c>
      <c r="F246" s="31">
        <f>SUM($Q246:R246)</f>
        <v>0</v>
      </c>
      <c r="G246" s="31">
        <f>SUM($Q246:S246)</f>
        <v>0</v>
      </c>
      <c r="H246" s="103">
        <f>SUM($Q246:T246)</f>
        <v>140669.27000000002</v>
      </c>
      <c r="I246" s="103">
        <f>SUM($Q246:U246)</f>
        <v>147819.27000000002</v>
      </c>
      <c r="J246" s="103">
        <f>SUM($Q246:V246)</f>
        <v>150994.27000000002</v>
      </c>
      <c r="K246" s="103">
        <f>SUM($Q246:W246)</f>
        <v>146719.27000000002</v>
      </c>
      <c r="L246" s="103">
        <f>SUM($Q246:X246)</f>
        <v>155819.27000000002</v>
      </c>
      <c r="M246" s="103">
        <f>SUM($Q246:Y246)</f>
        <v>155819.27000000002</v>
      </c>
      <c r="N246" s="103">
        <f>SUM($Q246:Z246)</f>
        <v>155819.27000000002</v>
      </c>
      <c r="O246" s="103">
        <f>SUM($Q246:AA246)</f>
        <v>155819.27000000002</v>
      </c>
      <c r="P246" s="103">
        <f>SUM($Q246:AB246)</f>
        <v>155819.27000000002</v>
      </c>
      <c r="Q246" s="47">
        <f>'TB-Jan'!$D$181</f>
        <v>0</v>
      </c>
      <c r="R246" s="47">
        <f>'TB-Feb'!$D$181</f>
        <v>0</v>
      </c>
      <c r="S246" s="47">
        <f>'TB-Mar'!$D$181</f>
        <v>0</v>
      </c>
      <c r="T246" s="47">
        <f>'TB-Apr'!$D$181</f>
        <v>140669.27000000002</v>
      </c>
      <c r="U246" s="47">
        <f>'TB-May'!$D$181</f>
        <v>7150</v>
      </c>
      <c r="V246" s="47">
        <f>'TB-Jun'!$D$181</f>
        <v>3175</v>
      </c>
      <c r="W246" s="47">
        <f>'TB-Jul'!$D$181</f>
        <v>-4275</v>
      </c>
      <c r="X246" s="47">
        <f>'TB-Aug'!$D$181</f>
        <v>9100</v>
      </c>
      <c r="Y246" s="47">
        <f>'TB-Sep'!$D$181</f>
        <v>0</v>
      </c>
      <c r="Z246" s="47">
        <f>'TB-Oct'!$D$181</f>
        <v>0</v>
      </c>
      <c r="AA246" s="47">
        <f>'TB-Nov'!$D$181</f>
        <v>0</v>
      </c>
      <c r="AB246" s="47">
        <f>'TB-Dec'!$D$181</f>
        <v>0</v>
      </c>
    </row>
    <row r="247" spans="1:28" s="79" customFormat="1" ht="15.75" customHeight="1" outlineLevel="2">
      <c r="A247" s="33"/>
      <c r="B247" s="33"/>
      <c r="C247" s="33"/>
      <c r="D247" s="34" t="s">
        <v>322</v>
      </c>
      <c r="E247" s="31">
        <f t="shared" si="98"/>
        <v>0</v>
      </c>
      <c r="F247" s="31">
        <f>SUM($Q247:R247)</f>
        <v>0</v>
      </c>
      <c r="G247" s="31">
        <f>SUM($Q247:S247)</f>
        <v>0</v>
      </c>
      <c r="H247" s="103">
        <f>SUM($Q247:T247)</f>
        <v>139724679.95999998</v>
      </c>
      <c r="I247" s="103">
        <f>SUM($Q247:U247)</f>
        <v>138888018.65999997</v>
      </c>
      <c r="J247" s="103">
        <f>SUM($Q247:V247)</f>
        <v>138716520.76999998</v>
      </c>
      <c r="K247" s="103">
        <f>SUM($Q247:W247)</f>
        <v>135379656.26999998</v>
      </c>
      <c r="L247" s="103">
        <f>SUM($Q247:X247)</f>
        <v>169806904.72999999</v>
      </c>
      <c r="M247" s="103">
        <f>SUM($Q247:Y247)</f>
        <v>169806904.72999999</v>
      </c>
      <c r="N247" s="103">
        <f>SUM($Q247:Z247)</f>
        <v>169806904.72999999</v>
      </c>
      <c r="O247" s="103">
        <f>SUM($Q247:AA247)</f>
        <v>169806904.72999999</v>
      </c>
      <c r="P247" s="103">
        <f>SUM($Q247:AB247)</f>
        <v>169806904.72999999</v>
      </c>
      <c r="Q247" s="47">
        <f>'TB-Jan'!$D$182</f>
        <v>0</v>
      </c>
      <c r="R247" s="47">
        <f>'TB-Feb'!$D$182</f>
        <v>0</v>
      </c>
      <c r="S247" s="47">
        <f>'TB-Mar'!$D$182</f>
        <v>0</v>
      </c>
      <c r="T247" s="47">
        <f>'TB-Apr'!$D$182</f>
        <v>139724679.95999998</v>
      </c>
      <c r="U247" s="47">
        <f>'TB-May'!$D$182</f>
        <v>-836661.30000000028</v>
      </c>
      <c r="V247" s="47">
        <f>'TB-Jun'!$D$182</f>
        <v>-171497.8900000006</v>
      </c>
      <c r="W247" s="47">
        <f>'TB-Jul'!$D$182</f>
        <v>-3336864.5</v>
      </c>
      <c r="X247" s="47">
        <f>'TB-Aug'!$D$182</f>
        <v>34427248.460000001</v>
      </c>
      <c r="Y247" s="47">
        <f>'TB-Sep'!$D$182</f>
        <v>0</v>
      </c>
      <c r="Z247" s="47">
        <f>'TB-Oct'!$D$182</f>
        <v>0</v>
      </c>
      <c r="AA247" s="47">
        <f>'TB-Nov'!$D$182</f>
        <v>0</v>
      </c>
      <c r="AB247" s="47">
        <f>'TB-Dec'!$D$182</f>
        <v>0</v>
      </c>
    </row>
    <row r="248" spans="1:28" s="79" customFormat="1" ht="15.75" hidden="1" customHeight="1" outlineLevel="2">
      <c r="A248" s="33"/>
      <c r="B248" s="33"/>
      <c r="C248" s="33"/>
      <c r="D248" s="34" t="s">
        <v>324</v>
      </c>
      <c r="E248" s="31">
        <f t="shared" si="98"/>
        <v>0</v>
      </c>
      <c r="F248" s="31">
        <f>SUM($Q248:R248)</f>
        <v>0</v>
      </c>
      <c r="G248" s="31">
        <f>SUM($Q248:S248)</f>
        <v>0</v>
      </c>
      <c r="H248" s="103">
        <f>SUM($Q248:T248)</f>
        <v>0</v>
      </c>
      <c r="I248" s="103">
        <f>SUM($Q248:U248)</f>
        <v>0</v>
      </c>
      <c r="J248" s="103">
        <f>SUM($Q248:V248)</f>
        <v>0</v>
      </c>
      <c r="K248" s="103">
        <f>SUM($Q248:W248)</f>
        <v>0</v>
      </c>
      <c r="L248" s="103">
        <f>SUM($Q248:X248)</f>
        <v>0</v>
      </c>
      <c r="M248" s="103">
        <f>SUM($Q248:Y248)</f>
        <v>0</v>
      </c>
      <c r="N248" s="103">
        <f>SUM($Q248:Z248)</f>
        <v>0</v>
      </c>
      <c r="O248" s="103">
        <f>SUM($Q248:AA248)</f>
        <v>0</v>
      </c>
      <c r="P248" s="103">
        <f>SUM($Q248:AB248)</f>
        <v>0</v>
      </c>
      <c r="Q248" s="47">
        <f>'TB-Jan'!$D$183</f>
        <v>0</v>
      </c>
      <c r="R248" s="47">
        <f>'TB-Feb'!$D$183</f>
        <v>0</v>
      </c>
      <c r="S248" s="47">
        <f>'TB-Mar'!$D$183</f>
        <v>0</v>
      </c>
      <c r="T248" s="47">
        <f>'TB-Apr'!$D$183</f>
        <v>0</v>
      </c>
      <c r="U248" s="47">
        <f>'TB-May'!$D$183</f>
        <v>0</v>
      </c>
      <c r="V248" s="47">
        <f>'TB-Jun'!$D$183</f>
        <v>0</v>
      </c>
      <c r="W248" s="47">
        <f>'TB-Jul'!$D$183</f>
        <v>0</v>
      </c>
      <c r="X248" s="47">
        <f>'TB-Aug'!$D$183</f>
        <v>0</v>
      </c>
      <c r="Y248" s="47">
        <f>'TB-Sep'!$D$183</f>
        <v>0</v>
      </c>
      <c r="Z248" s="47">
        <f>'TB-Oct'!$D$183</f>
        <v>0</v>
      </c>
      <c r="AA248" s="47">
        <f>'TB-Nov'!$D$183</f>
        <v>0</v>
      </c>
      <c r="AB248" s="47">
        <f>'TB-Dec'!$D$183</f>
        <v>0</v>
      </c>
    </row>
    <row r="249" spans="1:28" s="79" customFormat="1" ht="15.75" customHeight="1" outlineLevel="2">
      <c r="A249" s="33"/>
      <c r="B249" s="33"/>
      <c r="C249" s="33"/>
      <c r="D249" s="34" t="s">
        <v>326</v>
      </c>
      <c r="E249" s="31">
        <f t="shared" si="98"/>
        <v>0</v>
      </c>
      <c r="F249" s="31">
        <f>SUM($Q249:R249)</f>
        <v>0</v>
      </c>
      <c r="G249" s="31">
        <f>SUM($Q249:S249)</f>
        <v>0</v>
      </c>
      <c r="H249" s="103">
        <f>SUM($Q249:T249)</f>
        <v>4489047.9400000004</v>
      </c>
      <c r="I249" s="103">
        <f>SUM($Q249:U249)</f>
        <v>4289047.9400000004</v>
      </c>
      <c r="J249" s="103">
        <f>SUM($Q249:V249)</f>
        <v>4289047.9400000004</v>
      </c>
      <c r="K249" s="103">
        <f>SUM($Q249:W249)</f>
        <v>4249158.49</v>
      </c>
      <c r="L249" s="103">
        <f>SUM($Q249:X249)</f>
        <v>4249158.49</v>
      </c>
      <c r="M249" s="103">
        <f>SUM($Q249:Y249)</f>
        <v>4249158.49</v>
      </c>
      <c r="N249" s="103">
        <f>SUM($Q249:Z249)</f>
        <v>4249158.49</v>
      </c>
      <c r="O249" s="103">
        <f>SUM($Q249:AA249)</f>
        <v>4249158.49</v>
      </c>
      <c r="P249" s="103">
        <f>SUM($Q249:AB249)</f>
        <v>4249158.49</v>
      </c>
      <c r="Q249" s="47">
        <f>'TB-Jan'!$D$184</f>
        <v>0</v>
      </c>
      <c r="R249" s="47">
        <f>'TB-Feb'!$D$184</f>
        <v>0</v>
      </c>
      <c r="S249" s="47">
        <f>'TB-Mar'!$D$184</f>
        <v>0</v>
      </c>
      <c r="T249" s="47">
        <f>'TB-Apr'!$D$184</f>
        <v>4489047.9400000004</v>
      </c>
      <c r="U249" s="47">
        <f>'TB-May'!$D$184</f>
        <v>-200000</v>
      </c>
      <c r="V249" s="47">
        <f>'TB-Jun'!$D$184</f>
        <v>0</v>
      </c>
      <c r="W249" s="47">
        <f>'TB-Jul'!$D$184</f>
        <v>-39889.450000000012</v>
      </c>
      <c r="X249" s="47">
        <f>'TB-Aug'!$D$184</f>
        <v>0</v>
      </c>
      <c r="Y249" s="47">
        <f>'TB-Sep'!$D$184</f>
        <v>0</v>
      </c>
      <c r="Z249" s="47">
        <f>'TB-Oct'!$D$184</f>
        <v>0</v>
      </c>
      <c r="AA249" s="47">
        <f>'TB-Nov'!$D$184</f>
        <v>0</v>
      </c>
      <c r="AB249" s="47">
        <f>'TB-Dec'!$D$184</f>
        <v>0</v>
      </c>
    </row>
    <row r="250" spans="1:28" s="78" customFormat="1" ht="15.75" customHeight="1" outlineLevel="1">
      <c r="A250" s="32"/>
      <c r="B250" s="32"/>
      <c r="C250" s="32" t="s">
        <v>973</v>
      </c>
      <c r="D250" s="35"/>
      <c r="E250" s="59">
        <f t="shared" si="98"/>
        <v>0</v>
      </c>
      <c r="F250" s="59">
        <f>SUM($Q250:R250)</f>
        <v>0</v>
      </c>
      <c r="G250" s="59">
        <f>SUM($Q250:S250)</f>
        <v>0</v>
      </c>
      <c r="H250" s="59">
        <f>SUM($Q250:T250)</f>
        <v>11797618.639999999</v>
      </c>
      <c r="I250" s="59">
        <f>SUM($Q250:U250)</f>
        <v>11797618.639999999</v>
      </c>
      <c r="J250" s="59">
        <f>SUM($Q250:V250)</f>
        <v>11787618.639999999</v>
      </c>
      <c r="K250" s="59">
        <f>SUM($Q250:W250)</f>
        <v>11787618.639999999</v>
      </c>
      <c r="L250" s="59">
        <f>SUM($Q250:X250)</f>
        <v>11787618.639999999</v>
      </c>
      <c r="M250" s="59">
        <f>SUM($Q250:Y250)</f>
        <v>11787618.639999999</v>
      </c>
      <c r="N250" s="59">
        <f>SUM($Q250:Z250)</f>
        <v>11787618.639999999</v>
      </c>
      <c r="O250" s="59">
        <f>SUM($Q250:AA250)</f>
        <v>11787618.639999999</v>
      </c>
      <c r="P250" s="59">
        <f>SUM($Q250:AB250)</f>
        <v>11787618.639999999</v>
      </c>
      <c r="Q250" s="46">
        <f>Q251</f>
        <v>0</v>
      </c>
      <c r="R250" s="46">
        <f t="shared" ref="R250:AB250" si="107">R251</f>
        <v>0</v>
      </c>
      <c r="S250" s="46">
        <f t="shared" si="107"/>
        <v>0</v>
      </c>
      <c r="T250" s="46">
        <f t="shared" si="107"/>
        <v>11797618.639999999</v>
      </c>
      <c r="U250" s="46">
        <f t="shared" si="107"/>
        <v>0</v>
      </c>
      <c r="V250" s="46">
        <f t="shared" si="107"/>
        <v>-10000</v>
      </c>
      <c r="W250" s="46">
        <f t="shared" si="107"/>
        <v>0</v>
      </c>
      <c r="X250" s="46">
        <f t="shared" si="107"/>
        <v>0</v>
      </c>
      <c r="Y250" s="46">
        <f t="shared" si="107"/>
        <v>0</v>
      </c>
      <c r="Z250" s="46">
        <f t="shared" si="107"/>
        <v>0</v>
      </c>
      <c r="AA250" s="46">
        <f t="shared" si="107"/>
        <v>0</v>
      </c>
      <c r="AB250" s="46">
        <f t="shared" si="107"/>
        <v>0</v>
      </c>
    </row>
    <row r="251" spans="1:28" s="79" customFormat="1" ht="15.75" customHeight="1" outlineLevel="2">
      <c r="A251" s="33"/>
      <c r="B251" s="33"/>
      <c r="C251" s="33"/>
      <c r="D251" s="34" t="s">
        <v>328</v>
      </c>
      <c r="E251" s="31">
        <f t="shared" si="98"/>
        <v>0</v>
      </c>
      <c r="F251" s="31">
        <f>SUM($Q251:R251)</f>
        <v>0</v>
      </c>
      <c r="G251" s="31">
        <f>SUM($Q251:S251)</f>
        <v>0</v>
      </c>
      <c r="H251" s="103">
        <f>SUM($Q251:T251)</f>
        <v>11797618.639999999</v>
      </c>
      <c r="I251" s="103">
        <f>SUM($Q251:U251)</f>
        <v>11797618.639999999</v>
      </c>
      <c r="J251" s="103">
        <f>SUM($Q251:V251)</f>
        <v>11787618.639999999</v>
      </c>
      <c r="K251" s="103">
        <f>SUM($Q251:W251)</f>
        <v>11787618.639999999</v>
      </c>
      <c r="L251" s="103">
        <f>SUM($Q251:X251)</f>
        <v>11787618.639999999</v>
      </c>
      <c r="M251" s="103">
        <f>SUM($Q251:Y251)</f>
        <v>11787618.639999999</v>
      </c>
      <c r="N251" s="103">
        <f>SUM($Q251:Z251)</f>
        <v>11787618.639999999</v>
      </c>
      <c r="O251" s="103">
        <f>SUM($Q251:AA251)</f>
        <v>11787618.639999999</v>
      </c>
      <c r="P251" s="103">
        <f>SUM($Q251:AB251)</f>
        <v>11787618.639999999</v>
      </c>
      <c r="Q251" s="47">
        <f>'TB-Jan'!$D$185</f>
        <v>0</v>
      </c>
      <c r="R251" s="47">
        <f>'TB-Feb'!$D$185</f>
        <v>0</v>
      </c>
      <c r="S251" s="47">
        <f>'TB-Mar'!$D$185</f>
        <v>0</v>
      </c>
      <c r="T251" s="47">
        <f>'TB-Apr'!$D$185</f>
        <v>11797618.639999999</v>
      </c>
      <c r="U251" s="47">
        <f>'TB-May'!$D$185</f>
        <v>0</v>
      </c>
      <c r="V251" s="47">
        <f>'TB-Jun'!$D$185</f>
        <v>-10000</v>
      </c>
      <c r="W251" s="47">
        <f>'TB-Jul'!$D$185</f>
        <v>0</v>
      </c>
      <c r="X251" s="47">
        <f>'TB-Aug'!$D$185</f>
        <v>0</v>
      </c>
      <c r="Y251" s="47">
        <f>'TB-Sep'!$D$185</f>
        <v>0</v>
      </c>
      <c r="Z251" s="47">
        <f>'TB-Oct'!$D$185</f>
        <v>0</v>
      </c>
      <c r="AA251" s="47">
        <f>'TB-Nov'!$D$185</f>
        <v>0</v>
      </c>
      <c r="AB251" s="47">
        <f>'TB-Dec'!$D$185</f>
        <v>0</v>
      </c>
    </row>
    <row r="252" spans="1:28" s="78" customFormat="1" ht="15.75" customHeight="1" outlineLevel="1">
      <c r="A252" s="32"/>
      <c r="B252" s="32"/>
      <c r="C252" s="32" t="s">
        <v>974</v>
      </c>
      <c r="D252" s="35"/>
      <c r="E252" s="59">
        <f t="shared" si="98"/>
        <v>0</v>
      </c>
      <c r="F252" s="59">
        <f>SUM($Q252:R252)</f>
        <v>0</v>
      </c>
      <c r="G252" s="59">
        <f>SUM($Q252:S252)</f>
        <v>0</v>
      </c>
      <c r="H252" s="59">
        <f>SUM($Q252:T252)</f>
        <v>56981368.840000004</v>
      </c>
      <c r="I252" s="59">
        <f>SUM($Q252:U252)</f>
        <v>60489900.860000007</v>
      </c>
      <c r="J252" s="59">
        <f>SUM($Q252:V252)</f>
        <v>62376020.200000003</v>
      </c>
      <c r="K252" s="59">
        <f>SUM($Q252:W252)</f>
        <v>61872606.93</v>
      </c>
      <c r="L252" s="59">
        <f>SUM($Q252:X252)</f>
        <v>66048518.960000001</v>
      </c>
      <c r="M252" s="59">
        <f>SUM($Q252:Y252)</f>
        <v>66048518.960000001</v>
      </c>
      <c r="N252" s="59">
        <f>SUM($Q252:Z252)</f>
        <v>66048518.960000001</v>
      </c>
      <c r="O252" s="59">
        <f>SUM($Q252:AA252)</f>
        <v>66048518.960000001</v>
      </c>
      <c r="P252" s="59">
        <f>SUM($Q252:AB252)</f>
        <v>66048518.960000001</v>
      </c>
      <c r="Q252" s="46">
        <f>SUM(Q253:Q257)</f>
        <v>0</v>
      </c>
      <c r="R252" s="46">
        <f t="shared" ref="R252:AB252" si="108">SUM(R253:R257)</f>
        <v>0</v>
      </c>
      <c r="S252" s="46">
        <f t="shared" si="108"/>
        <v>0</v>
      </c>
      <c r="T252" s="46">
        <f t="shared" si="108"/>
        <v>56981368.840000004</v>
      </c>
      <c r="U252" s="46">
        <f t="shared" si="108"/>
        <v>3508532.0200000005</v>
      </c>
      <c r="V252" s="46">
        <f t="shared" si="108"/>
        <v>1886119.3399999996</v>
      </c>
      <c r="W252" s="46">
        <f t="shared" si="108"/>
        <v>-503413.26999999973</v>
      </c>
      <c r="X252" s="46">
        <f t="shared" si="108"/>
        <v>4175912.0300000003</v>
      </c>
      <c r="Y252" s="46">
        <f t="shared" si="108"/>
        <v>0</v>
      </c>
      <c r="Z252" s="46">
        <f t="shared" si="108"/>
        <v>0</v>
      </c>
      <c r="AA252" s="46">
        <f t="shared" si="108"/>
        <v>0</v>
      </c>
      <c r="AB252" s="46">
        <f t="shared" si="108"/>
        <v>0</v>
      </c>
    </row>
    <row r="253" spans="1:28" s="79" customFormat="1" ht="15.75" customHeight="1" outlineLevel="2">
      <c r="A253" s="33"/>
      <c r="B253" s="33"/>
      <c r="C253" s="33"/>
      <c r="D253" s="34" t="s">
        <v>330</v>
      </c>
      <c r="E253" s="31">
        <f t="shared" si="98"/>
        <v>0</v>
      </c>
      <c r="F253" s="31">
        <f>SUM($Q253:R253)</f>
        <v>0</v>
      </c>
      <c r="G253" s="31">
        <f>SUM($Q253:S253)</f>
        <v>0</v>
      </c>
      <c r="H253" s="103">
        <f>SUM($Q253:T253)</f>
        <v>5412102.8900000006</v>
      </c>
      <c r="I253" s="103">
        <f>SUM($Q253:U253)</f>
        <v>5649384.9000000004</v>
      </c>
      <c r="J253" s="103">
        <f>SUM($Q253:V253)</f>
        <v>4710710.7300000004</v>
      </c>
      <c r="K253" s="103">
        <f>SUM($Q253:W253)</f>
        <v>4724297.74</v>
      </c>
      <c r="L253" s="103">
        <f>SUM($Q253:X253)</f>
        <v>4724297.74</v>
      </c>
      <c r="M253" s="103">
        <f>SUM($Q253:Y253)</f>
        <v>4724297.74</v>
      </c>
      <c r="N253" s="103">
        <f>SUM($Q253:Z253)</f>
        <v>4724297.74</v>
      </c>
      <c r="O253" s="103">
        <f>SUM($Q253:AA253)</f>
        <v>4724297.74</v>
      </c>
      <c r="P253" s="103">
        <f>SUM($Q253:AB253)</f>
        <v>4724297.74</v>
      </c>
      <c r="Q253" s="47">
        <f>'TB-Jan'!$D$186</f>
        <v>0</v>
      </c>
      <c r="R253" s="47">
        <f>'TB-Feb'!$D$186</f>
        <v>0</v>
      </c>
      <c r="S253" s="47">
        <f>'TB-Mar'!$D$186</f>
        <v>0</v>
      </c>
      <c r="T253" s="47">
        <f>'TB-Apr'!$D$186</f>
        <v>5412102.8900000006</v>
      </c>
      <c r="U253" s="47">
        <f>'TB-May'!$D$186</f>
        <v>237282.01</v>
      </c>
      <c r="V253" s="47">
        <f>'TB-Jun'!$D$186</f>
        <v>-938674.17</v>
      </c>
      <c r="W253" s="47">
        <f>'TB-Jul'!$D$186</f>
        <v>13587.010000000009</v>
      </c>
      <c r="X253" s="47">
        <f>'TB-Aug'!$D$186</f>
        <v>0</v>
      </c>
      <c r="Y253" s="47">
        <f>'TB-Sep'!$D$186</f>
        <v>0</v>
      </c>
      <c r="Z253" s="47">
        <f>'TB-Oct'!$D$186</f>
        <v>0</v>
      </c>
      <c r="AA253" s="47">
        <f>'TB-Nov'!$D$186</f>
        <v>0</v>
      </c>
      <c r="AB253" s="47">
        <f>'TB-Dec'!$D$186</f>
        <v>0</v>
      </c>
    </row>
    <row r="254" spans="1:28" s="79" customFormat="1" ht="15.75" customHeight="1" outlineLevel="2">
      <c r="A254" s="33"/>
      <c r="B254" s="33"/>
      <c r="C254" s="33"/>
      <c r="D254" s="34" t="s">
        <v>332</v>
      </c>
      <c r="E254" s="31">
        <f t="shared" si="98"/>
        <v>0</v>
      </c>
      <c r="F254" s="31">
        <f>SUM($Q254:R254)</f>
        <v>0</v>
      </c>
      <c r="G254" s="31">
        <f>SUM($Q254:S254)</f>
        <v>0</v>
      </c>
      <c r="H254" s="103">
        <f>SUM($Q254:T254)</f>
        <v>1426138.3599999999</v>
      </c>
      <c r="I254" s="103">
        <f>SUM($Q254:U254)</f>
        <v>1447728.3599999999</v>
      </c>
      <c r="J254" s="103">
        <f>SUM($Q254:V254)</f>
        <v>1471449.23</v>
      </c>
      <c r="K254" s="103">
        <f>SUM($Q254:W254)</f>
        <v>1503306.34</v>
      </c>
      <c r="L254" s="103">
        <f>SUM($Q254:X254)</f>
        <v>1578250.34</v>
      </c>
      <c r="M254" s="103">
        <f>SUM($Q254:Y254)</f>
        <v>1578250.34</v>
      </c>
      <c r="N254" s="103">
        <f>SUM($Q254:Z254)</f>
        <v>1578250.34</v>
      </c>
      <c r="O254" s="103">
        <f>SUM($Q254:AA254)</f>
        <v>1578250.34</v>
      </c>
      <c r="P254" s="103">
        <f>SUM($Q254:AB254)</f>
        <v>1578250.34</v>
      </c>
      <c r="Q254" s="47">
        <f>'TB-Jan'!$D$187</f>
        <v>0</v>
      </c>
      <c r="R254" s="47">
        <f>'TB-Feb'!$D$187</f>
        <v>0</v>
      </c>
      <c r="S254" s="47">
        <f>'TB-Mar'!$D$187</f>
        <v>0</v>
      </c>
      <c r="T254" s="47">
        <f>'TB-Apr'!$D$187</f>
        <v>1426138.3599999999</v>
      </c>
      <c r="U254" s="47">
        <f>'TB-May'!$D$187</f>
        <v>21590</v>
      </c>
      <c r="V254" s="47">
        <f>'TB-Jun'!$D$187</f>
        <v>23720.870000000003</v>
      </c>
      <c r="W254" s="47">
        <f>'TB-Jul'!$D$187</f>
        <v>31857.11</v>
      </c>
      <c r="X254" s="47">
        <f>'TB-Aug'!$D$187</f>
        <v>74944</v>
      </c>
      <c r="Y254" s="47">
        <f>'TB-Sep'!$D$187</f>
        <v>0</v>
      </c>
      <c r="Z254" s="47">
        <f>'TB-Oct'!$D$187</f>
        <v>0</v>
      </c>
      <c r="AA254" s="47">
        <f>'TB-Nov'!$D$187</f>
        <v>0</v>
      </c>
      <c r="AB254" s="47">
        <f>'TB-Dec'!$D$187</f>
        <v>0</v>
      </c>
    </row>
    <row r="255" spans="1:28" s="79" customFormat="1" ht="15.75" hidden="1" customHeight="1" outlineLevel="2">
      <c r="A255" s="33"/>
      <c r="B255" s="33"/>
      <c r="C255" s="33"/>
      <c r="D255" s="34" t="s">
        <v>334</v>
      </c>
      <c r="E255" s="31">
        <f t="shared" si="98"/>
        <v>0</v>
      </c>
      <c r="F255" s="31">
        <f>SUM($Q255:R255)</f>
        <v>0</v>
      </c>
      <c r="G255" s="31">
        <f>SUM($Q255:S255)</f>
        <v>0</v>
      </c>
      <c r="H255" s="103">
        <f>SUM($Q255:T255)</f>
        <v>0</v>
      </c>
      <c r="I255" s="103">
        <f>SUM($Q255:U255)</f>
        <v>0</v>
      </c>
      <c r="J255" s="103">
        <f>SUM($Q255:V255)</f>
        <v>0</v>
      </c>
      <c r="K255" s="103">
        <f>SUM($Q255:W255)</f>
        <v>0</v>
      </c>
      <c r="L255" s="103">
        <f>SUM($Q255:X255)</f>
        <v>0</v>
      </c>
      <c r="M255" s="103">
        <f>SUM($Q255:Y255)</f>
        <v>0</v>
      </c>
      <c r="N255" s="103">
        <f>SUM($Q255:Z255)</f>
        <v>0</v>
      </c>
      <c r="O255" s="103">
        <f>SUM($Q255:AA255)</f>
        <v>0</v>
      </c>
      <c r="P255" s="103">
        <f>SUM($Q255:AB255)</f>
        <v>0</v>
      </c>
      <c r="Q255" s="47">
        <f>'TB-Jan'!$D$188</f>
        <v>0</v>
      </c>
      <c r="R255" s="47">
        <f>'TB-Feb'!$D$188</f>
        <v>0</v>
      </c>
      <c r="S255" s="47">
        <f>'TB-Mar'!$D$188</f>
        <v>0</v>
      </c>
      <c r="T255" s="47">
        <f>'TB-Apr'!$D$188</f>
        <v>0</v>
      </c>
      <c r="U255" s="47">
        <f>'TB-May'!$D$188</f>
        <v>0</v>
      </c>
      <c r="V255" s="47">
        <f>'TB-Jun'!$D$188</f>
        <v>0</v>
      </c>
      <c r="W255" s="47">
        <f>'TB-Jul'!$D$188</f>
        <v>0</v>
      </c>
      <c r="X255" s="47">
        <f>'TB-Aug'!$D$188</f>
        <v>0</v>
      </c>
      <c r="Y255" s="47">
        <f>'TB-Sep'!$D$188</f>
        <v>0</v>
      </c>
      <c r="Z255" s="47">
        <f>'TB-Oct'!$D$188</f>
        <v>0</v>
      </c>
      <c r="AA255" s="47">
        <f>'TB-Nov'!$D$188</f>
        <v>0</v>
      </c>
      <c r="AB255" s="47">
        <f>'TB-Dec'!$D$188</f>
        <v>0</v>
      </c>
    </row>
    <row r="256" spans="1:28" s="79" customFormat="1" ht="15.75" hidden="1" customHeight="1" outlineLevel="2">
      <c r="A256" s="33"/>
      <c r="B256" s="33"/>
      <c r="C256" s="33"/>
      <c r="D256" s="34" t="s">
        <v>336</v>
      </c>
      <c r="E256" s="31">
        <f t="shared" si="98"/>
        <v>0</v>
      </c>
      <c r="F256" s="31">
        <f>SUM($Q256:R256)</f>
        <v>0</v>
      </c>
      <c r="G256" s="31">
        <f>SUM($Q256:S256)</f>
        <v>0</v>
      </c>
      <c r="H256" s="103">
        <f>SUM($Q256:T256)</f>
        <v>0</v>
      </c>
      <c r="I256" s="103">
        <f>SUM($Q256:U256)</f>
        <v>0</v>
      </c>
      <c r="J256" s="103">
        <f>SUM($Q256:V256)</f>
        <v>0</v>
      </c>
      <c r="K256" s="103">
        <f>SUM($Q256:W256)</f>
        <v>43520.58</v>
      </c>
      <c r="L256" s="103">
        <f>SUM($Q256:X256)</f>
        <v>43520.58</v>
      </c>
      <c r="M256" s="103">
        <f>SUM($Q256:Y256)</f>
        <v>43520.58</v>
      </c>
      <c r="N256" s="103">
        <f>SUM($Q256:Z256)</f>
        <v>43520.58</v>
      </c>
      <c r="O256" s="103">
        <f>SUM($Q256:AA256)</f>
        <v>43520.58</v>
      </c>
      <c r="P256" s="103">
        <f>SUM($Q256:AB256)</f>
        <v>43520.58</v>
      </c>
      <c r="Q256" s="47">
        <f>'TB-Jan'!$D$189</f>
        <v>0</v>
      </c>
      <c r="R256" s="47">
        <f>'TB-Feb'!$D$189</f>
        <v>0</v>
      </c>
      <c r="S256" s="47">
        <f>'TB-Mar'!$D$189</f>
        <v>0</v>
      </c>
      <c r="T256" s="47">
        <f>'TB-Apr'!$D$189</f>
        <v>0</v>
      </c>
      <c r="U256" s="47">
        <f>'TB-May'!$D$189</f>
        <v>0</v>
      </c>
      <c r="V256" s="47">
        <f>'TB-Jun'!$D$189</f>
        <v>0</v>
      </c>
      <c r="W256" s="47">
        <f>'TB-Jul'!$D$189</f>
        <v>43520.58</v>
      </c>
      <c r="X256" s="47">
        <f>'TB-Aug'!$D$189</f>
        <v>0</v>
      </c>
      <c r="Y256" s="47">
        <f>'TB-Sep'!$D$189</f>
        <v>0</v>
      </c>
      <c r="Z256" s="47">
        <f>'TB-Oct'!$D$189</f>
        <v>0</v>
      </c>
      <c r="AA256" s="47">
        <f>'TB-Nov'!$D$189</f>
        <v>0</v>
      </c>
      <c r="AB256" s="47">
        <f>'TB-Dec'!$D$189</f>
        <v>0</v>
      </c>
    </row>
    <row r="257" spans="1:28" s="79" customFormat="1" ht="15.75" customHeight="1" outlineLevel="2">
      <c r="A257" s="33"/>
      <c r="B257" s="33"/>
      <c r="C257" s="33"/>
      <c r="D257" s="34" t="s">
        <v>338</v>
      </c>
      <c r="E257" s="31">
        <f t="shared" si="98"/>
        <v>0</v>
      </c>
      <c r="F257" s="31">
        <f>SUM($Q257:R257)</f>
        <v>0</v>
      </c>
      <c r="G257" s="31">
        <f>SUM($Q257:S257)</f>
        <v>0</v>
      </c>
      <c r="H257" s="103">
        <f>SUM($Q257:T257)</f>
        <v>50143127.590000004</v>
      </c>
      <c r="I257" s="103">
        <f>SUM($Q257:U257)</f>
        <v>53392787.600000001</v>
      </c>
      <c r="J257" s="103">
        <f>SUM($Q257:V257)</f>
        <v>56193860.240000002</v>
      </c>
      <c r="K257" s="103">
        <f>SUM($Q257:W257)</f>
        <v>55601482.270000003</v>
      </c>
      <c r="L257" s="103">
        <f>SUM($Q257:X257)</f>
        <v>59702450.300000004</v>
      </c>
      <c r="M257" s="103">
        <f>SUM($Q257:Y257)</f>
        <v>59702450.300000004</v>
      </c>
      <c r="N257" s="103">
        <f>SUM($Q257:Z257)</f>
        <v>59702450.300000004</v>
      </c>
      <c r="O257" s="103">
        <f>SUM($Q257:AA257)</f>
        <v>59702450.300000004</v>
      </c>
      <c r="P257" s="103">
        <f>SUM($Q257:AB257)</f>
        <v>59702450.300000004</v>
      </c>
      <c r="Q257" s="47">
        <f>'TB-Jan'!$D$190</f>
        <v>0</v>
      </c>
      <c r="R257" s="47">
        <f>'TB-Feb'!$D$190</f>
        <v>0</v>
      </c>
      <c r="S257" s="47">
        <f>'TB-Mar'!$D$190</f>
        <v>0</v>
      </c>
      <c r="T257" s="47">
        <f>'TB-Apr'!$D$190</f>
        <v>50143127.590000004</v>
      </c>
      <c r="U257" s="47">
        <f>'TB-May'!$D$190</f>
        <v>3249660.0100000007</v>
      </c>
      <c r="V257" s="47">
        <f>'TB-Jun'!$D$190</f>
        <v>2801072.6399999997</v>
      </c>
      <c r="W257" s="47">
        <f>'TB-Jul'!$D$190</f>
        <v>-592377.96999999974</v>
      </c>
      <c r="X257" s="47">
        <f>'TB-Aug'!$D$190</f>
        <v>4100968.0300000003</v>
      </c>
      <c r="Y257" s="47">
        <f>'TB-Sep'!$D$190</f>
        <v>0</v>
      </c>
      <c r="Z257" s="47">
        <f>'TB-Oct'!$D$190</f>
        <v>0</v>
      </c>
      <c r="AA257" s="47">
        <f>'TB-Nov'!$D$190</f>
        <v>0</v>
      </c>
      <c r="AB257" s="47">
        <f>'TB-Dec'!$D$190</f>
        <v>0</v>
      </c>
    </row>
    <row r="258" spans="1:28" s="82" customFormat="1" ht="15.75" customHeight="1" outlineLevel="1">
      <c r="A258" s="41"/>
      <c r="B258" s="41"/>
      <c r="C258" s="41"/>
      <c r="D258" s="56" t="s">
        <v>1000</v>
      </c>
      <c r="E258" s="59">
        <f t="shared" si="98"/>
        <v>0</v>
      </c>
      <c r="F258" s="59">
        <f>SUM($Q258:R258)</f>
        <v>0</v>
      </c>
      <c r="G258" s="59">
        <f>SUM($Q258:S258)</f>
        <v>0</v>
      </c>
      <c r="H258" s="59">
        <f>SUM($Q258:T258)</f>
        <v>216142656.05000001</v>
      </c>
      <c r="I258" s="59">
        <f>SUM($Q258:U258)</f>
        <v>218801935.31</v>
      </c>
      <c r="J258" s="59">
        <f>SUM($Q258:V258)</f>
        <v>220481454.16</v>
      </c>
      <c r="K258" s="59">
        <f>SUM($Q258:W258)</f>
        <v>216263553.10999998</v>
      </c>
      <c r="L258" s="59">
        <f>SUM($Q258:X258)</f>
        <v>254874645.78999999</v>
      </c>
      <c r="M258" s="59">
        <f>SUM($Q258:Y258)</f>
        <v>254874645.78999999</v>
      </c>
      <c r="N258" s="59">
        <f>SUM($Q258:Z258)</f>
        <v>254874645.78999999</v>
      </c>
      <c r="O258" s="59">
        <f>SUM($Q258:AA258)</f>
        <v>254874645.78999999</v>
      </c>
      <c r="P258" s="59">
        <f>SUM($Q258:AB258)</f>
        <v>254874645.78999999</v>
      </c>
      <c r="Q258" s="46">
        <f>SUM(Q252,Q250,Q242,Q237)</f>
        <v>0</v>
      </c>
      <c r="R258" s="46">
        <f t="shared" ref="R258:AB258" si="109">SUM(R252,R250,R242,R237)</f>
        <v>0</v>
      </c>
      <c r="S258" s="46">
        <f t="shared" si="109"/>
        <v>0</v>
      </c>
      <c r="T258" s="46">
        <f t="shared" si="109"/>
        <v>216142656.05000001</v>
      </c>
      <c r="U258" s="46">
        <f t="shared" si="109"/>
        <v>2659279.2600000002</v>
      </c>
      <c r="V258" s="46">
        <f t="shared" si="109"/>
        <v>1679518.8499999992</v>
      </c>
      <c r="W258" s="46">
        <f t="shared" si="109"/>
        <v>-4217901.05</v>
      </c>
      <c r="X258" s="46">
        <f t="shared" si="109"/>
        <v>38611092.68</v>
      </c>
      <c r="Y258" s="46">
        <f t="shared" si="109"/>
        <v>0</v>
      </c>
      <c r="Z258" s="46">
        <f t="shared" si="109"/>
        <v>0</v>
      </c>
      <c r="AA258" s="46">
        <f t="shared" si="109"/>
        <v>0</v>
      </c>
      <c r="AB258" s="46">
        <f t="shared" si="109"/>
        <v>0</v>
      </c>
    </row>
    <row r="259" spans="1:28" s="78" customFormat="1" ht="15.75" hidden="1" customHeight="1">
      <c r="A259" s="32"/>
      <c r="B259" s="32" t="s">
        <v>975</v>
      </c>
      <c r="C259" s="32"/>
      <c r="D259" s="35"/>
      <c r="E259" s="31"/>
      <c r="F259" s="31">
        <f>SUM($Q259:R259)</f>
        <v>0</v>
      </c>
      <c r="G259" s="31">
        <f>SUM($Q259:S259)</f>
        <v>0</v>
      </c>
      <c r="H259" s="103">
        <f>SUM($Q259:T259)</f>
        <v>0</v>
      </c>
      <c r="I259" s="103">
        <f>SUM($Q259:U259)</f>
        <v>0</v>
      </c>
      <c r="J259" s="103">
        <f>SUM($Q259:V259)</f>
        <v>0</v>
      </c>
      <c r="K259" s="103">
        <f>SUM($Q259:W259)</f>
        <v>0</v>
      </c>
      <c r="L259" s="103">
        <f>SUM($Q259:X259)</f>
        <v>0</v>
      </c>
      <c r="M259" s="103">
        <f>SUM($Q259:Y259)</f>
        <v>0</v>
      </c>
      <c r="N259" s="103">
        <f>SUM($Q259:Z259)</f>
        <v>0</v>
      </c>
      <c r="O259" s="103">
        <f>SUM($Q259:AA259)</f>
        <v>0</v>
      </c>
      <c r="P259" s="103">
        <f>SUM($Q259:AB259)</f>
        <v>0</v>
      </c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</row>
    <row r="260" spans="1:28" s="78" customFormat="1" ht="15.75" hidden="1" customHeight="1" outlineLevel="2">
      <c r="A260" s="32"/>
      <c r="B260" s="32"/>
      <c r="C260" s="32" t="s">
        <v>976</v>
      </c>
      <c r="D260" s="35"/>
      <c r="E260" s="31"/>
      <c r="F260" s="31">
        <f>SUM($Q260:R260)</f>
        <v>0</v>
      </c>
      <c r="G260" s="31">
        <f>SUM($Q260:S260)</f>
        <v>0</v>
      </c>
      <c r="H260" s="103">
        <f>SUM($Q260:T260)</f>
        <v>0</v>
      </c>
      <c r="I260" s="103">
        <f>SUM($Q260:U260)</f>
        <v>0</v>
      </c>
      <c r="J260" s="103">
        <f>SUM($Q260:V260)</f>
        <v>0</v>
      </c>
      <c r="K260" s="103">
        <f>SUM($Q260:W260)</f>
        <v>0</v>
      </c>
      <c r="L260" s="103">
        <f>SUM($Q260:X260)</f>
        <v>0</v>
      </c>
      <c r="M260" s="103">
        <f>SUM($Q260:Y260)</f>
        <v>0</v>
      </c>
      <c r="N260" s="103">
        <f>SUM($Q260:Z260)</f>
        <v>0</v>
      </c>
      <c r="O260" s="103">
        <f>SUM($Q260:AA260)</f>
        <v>0</v>
      </c>
      <c r="P260" s="103">
        <f>SUM($Q260:AB260)</f>
        <v>0</v>
      </c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</row>
    <row r="261" spans="1:28" s="79" customFormat="1" ht="15.75" hidden="1" customHeight="1" outlineLevel="1" collapsed="1">
      <c r="A261" s="33"/>
      <c r="B261" s="33"/>
      <c r="C261" s="33"/>
      <c r="D261" s="34" t="s">
        <v>340</v>
      </c>
      <c r="E261" s="31">
        <f t="shared" ref="E261:E268" si="110">SUM(Q261)</f>
        <v>0</v>
      </c>
      <c r="F261" s="31">
        <f>SUM($Q261:R261)</f>
        <v>0</v>
      </c>
      <c r="G261" s="31">
        <f>SUM($Q261:S261)</f>
        <v>0</v>
      </c>
      <c r="H261" s="103">
        <f>SUM($Q261:T261)</f>
        <v>0</v>
      </c>
      <c r="I261" s="103">
        <f>SUM($Q261:U261)</f>
        <v>0</v>
      </c>
      <c r="J261" s="103">
        <f>SUM($Q261:V261)</f>
        <v>0</v>
      </c>
      <c r="K261" s="103">
        <f>SUM($Q261:W261)</f>
        <v>0</v>
      </c>
      <c r="L261" s="103">
        <f>SUM($Q261:X261)</f>
        <v>0</v>
      </c>
      <c r="M261" s="103">
        <f>SUM($Q261:Y261)</f>
        <v>0</v>
      </c>
      <c r="N261" s="103">
        <f>SUM($Q261:Z261)</f>
        <v>0</v>
      </c>
      <c r="O261" s="103">
        <f>SUM($Q261:AA261)</f>
        <v>0</v>
      </c>
      <c r="P261" s="103">
        <f>SUM($Q261:AB261)</f>
        <v>0</v>
      </c>
      <c r="Q261" s="50">
        <f>'TB-Jan'!$D$191</f>
        <v>0</v>
      </c>
      <c r="R261" s="50">
        <f>'TB-Feb'!$D$191</f>
        <v>0</v>
      </c>
      <c r="S261" s="50">
        <f>'TB-Mar'!$D$191</f>
        <v>0</v>
      </c>
      <c r="T261" s="50">
        <f>'TB-Apr'!$D$191</f>
        <v>0</v>
      </c>
      <c r="U261" s="50">
        <f>'TB-May'!$D$191</f>
        <v>0</v>
      </c>
      <c r="V261" s="50">
        <f>'TB-Jun'!$D$191</f>
        <v>0</v>
      </c>
      <c r="W261" s="50">
        <f>'TB-Jul'!$D$191</f>
        <v>0</v>
      </c>
      <c r="X261" s="50">
        <f>'TB-Aug'!$D$191</f>
        <v>0</v>
      </c>
      <c r="Y261" s="50">
        <f>'TB-Sep'!$D$191</f>
        <v>0</v>
      </c>
      <c r="Z261" s="50">
        <f>'TB-Oct'!$D$191</f>
        <v>0</v>
      </c>
      <c r="AA261" s="50">
        <f>'TB-Nov'!$D$191</f>
        <v>0</v>
      </c>
      <c r="AB261" s="50">
        <f>'TB-Dec'!$D$191</f>
        <v>0</v>
      </c>
    </row>
    <row r="262" spans="1:28" s="79" customFormat="1" ht="15.75" hidden="1" customHeight="1" outlineLevel="1">
      <c r="A262" s="33"/>
      <c r="B262" s="33"/>
      <c r="C262" s="33"/>
      <c r="D262" s="34" t="s">
        <v>342</v>
      </c>
      <c r="E262" s="31">
        <f t="shared" si="110"/>
        <v>0</v>
      </c>
      <c r="F262" s="31">
        <f>SUM($Q262:R262)</f>
        <v>0</v>
      </c>
      <c r="G262" s="31">
        <f>SUM($Q262:S262)</f>
        <v>0</v>
      </c>
      <c r="H262" s="103">
        <f>SUM($Q262:T262)</f>
        <v>0</v>
      </c>
      <c r="I262" s="103">
        <f>SUM($Q262:U262)</f>
        <v>0</v>
      </c>
      <c r="J262" s="103">
        <f>SUM($Q262:V262)</f>
        <v>0</v>
      </c>
      <c r="K262" s="103">
        <f>SUM($Q262:W262)</f>
        <v>0</v>
      </c>
      <c r="L262" s="103">
        <f>SUM($Q262:X262)</f>
        <v>0</v>
      </c>
      <c r="M262" s="103">
        <f>SUM($Q262:Y262)</f>
        <v>0</v>
      </c>
      <c r="N262" s="103">
        <f>SUM($Q262:Z262)</f>
        <v>0</v>
      </c>
      <c r="O262" s="103">
        <f>SUM($Q262:AA262)</f>
        <v>0</v>
      </c>
      <c r="P262" s="103">
        <f>SUM($Q262:AB262)</f>
        <v>0</v>
      </c>
      <c r="Q262" s="50">
        <f>'TB-Jan'!$D$192</f>
        <v>0</v>
      </c>
      <c r="R262" s="50">
        <f>'TB-Feb'!$D$192</f>
        <v>0</v>
      </c>
      <c r="S262" s="50">
        <f>'TB-Mar'!$D$192</f>
        <v>0</v>
      </c>
      <c r="T262" s="50">
        <f>'TB-Apr'!$D$192</f>
        <v>0</v>
      </c>
      <c r="U262" s="50">
        <f>'TB-May'!$D$192</f>
        <v>0</v>
      </c>
      <c r="V262" s="50">
        <f>'TB-Jun'!$D$192</f>
        <v>0</v>
      </c>
      <c r="W262" s="50">
        <f>'TB-Jul'!$D$192</f>
        <v>0</v>
      </c>
      <c r="X262" s="50">
        <f>'TB-Aug'!$D$192</f>
        <v>0</v>
      </c>
      <c r="Y262" s="50">
        <f>'TB-Sep'!$D$192</f>
        <v>0</v>
      </c>
      <c r="Z262" s="50">
        <f>'TB-Oct'!$D$192</f>
        <v>0</v>
      </c>
      <c r="AA262" s="50">
        <f>'TB-Nov'!$D$192</f>
        <v>0</v>
      </c>
      <c r="AB262" s="50">
        <f>'TB-Dec'!$D$192</f>
        <v>0</v>
      </c>
    </row>
    <row r="263" spans="1:28" s="79" customFormat="1" ht="15.75" hidden="1" customHeight="1" outlineLevel="1">
      <c r="A263" s="33"/>
      <c r="B263" s="33"/>
      <c r="C263" s="33"/>
      <c r="D263" s="34" t="s">
        <v>344</v>
      </c>
      <c r="E263" s="31">
        <f t="shared" si="110"/>
        <v>0</v>
      </c>
      <c r="F263" s="31">
        <f>SUM($Q263:R263)</f>
        <v>0</v>
      </c>
      <c r="G263" s="31">
        <f>SUM($Q263:S263)</f>
        <v>0</v>
      </c>
      <c r="H263" s="103">
        <f>SUM($Q263:T263)</f>
        <v>0</v>
      </c>
      <c r="I263" s="103">
        <f>SUM($Q263:U263)</f>
        <v>0</v>
      </c>
      <c r="J263" s="103">
        <f>SUM($Q263:V263)</f>
        <v>0</v>
      </c>
      <c r="K263" s="103">
        <f>SUM($Q263:W263)</f>
        <v>0</v>
      </c>
      <c r="L263" s="103">
        <f>SUM($Q263:X263)</f>
        <v>0</v>
      </c>
      <c r="M263" s="103">
        <f>SUM($Q263:Y263)</f>
        <v>0</v>
      </c>
      <c r="N263" s="103">
        <f>SUM($Q263:Z263)</f>
        <v>0</v>
      </c>
      <c r="O263" s="103">
        <f>SUM($Q263:AA263)</f>
        <v>0</v>
      </c>
      <c r="P263" s="103">
        <f>SUM($Q263:AB263)</f>
        <v>0</v>
      </c>
      <c r="Q263" s="50">
        <f>'TB-Jan'!$D$193</f>
        <v>0</v>
      </c>
      <c r="R263" s="50">
        <f>'TB-Feb'!$D$193</f>
        <v>0</v>
      </c>
      <c r="S263" s="50">
        <f>'TB-Mar'!$D$193</f>
        <v>0</v>
      </c>
      <c r="T263" s="50">
        <f>'TB-Apr'!$D$193</f>
        <v>0</v>
      </c>
      <c r="U263" s="50">
        <f>'TB-May'!$D$193</f>
        <v>0</v>
      </c>
      <c r="V263" s="50">
        <f>'TB-Jun'!$D$193</f>
        <v>0</v>
      </c>
      <c r="W263" s="50">
        <f>'TB-Jul'!$D$193</f>
        <v>0</v>
      </c>
      <c r="X263" s="50">
        <f>'TB-Aug'!$D$193</f>
        <v>0</v>
      </c>
      <c r="Y263" s="50">
        <f>'TB-Sep'!$D$193</f>
        <v>0</v>
      </c>
      <c r="Z263" s="50">
        <f>'TB-Oct'!$D$193</f>
        <v>0</v>
      </c>
      <c r="AA263" s="50">
        <f>'TB-Nov'!$D$193</f>
        <v>0</v>
      </c>
      <c r="AB263" s="50">
        <f>'TB-Dec'!$D$193</f>
        <v>0</v>
      </c>
    </row>
    <row r="264" spans="1:28" s="79" customFormat="1" ht="15.75" hidden="1" customHeight="1" outlineLevel="1">
      <c r="A264" s="33"/>
      <c r="B264" s="33"/>
      <c r="C264" s="33"/>
      <c r="D264" s="34" t="s">
        <v>346</v>
      </c>
      <c r="E264" s="31">
        <f t="shared" si="110"/>
        <v>0</v>
      </c>
      <c r="F264" s="31">
        <f>SUM($Q264:R264)</f>
        <v>0</v>
      </c>
      <c r="G264" s="31">
        <f>SUM($Q264:S264)</f>
        <v>0</v>
      </c>
      <c r="H264" s="103">
        <f>SUM($Q264:T264)</f>
        <v>0</v>
      </c>
      <c r="I264" s="103">
        <f>SUM($Q264:U264)</f>
        <v>0</v>
      </c>
      <c r="J264" s="103">
        <f>SUM($Q264:V264)</f>
        <v>0</v>
      </c>
      <c r="K264" s="103">
        <f>SUM($Q264:W264)</f>
        <v>0</v>
      </c>
      <c r="L264" s="103">
        <f>SUM($Q264:X264)</f>
        <v>0</v>
      </c>
      <c r="M264" s="103">
        <f>SUM($Q264:Y264)</f>
        <v>0</v>
      </c>
      <c r="N264" s="103">
        <f>SUM($Q264:Z264)</f>
        <v>0</v>
      </c>
      <c r="O264" s="103">
        <f>SUM($Q264:AA264)</f>
        <v>0</v>
      </c>
      <c r="P264" s="103">
        <f>SUM($Q264:AB264)</f>
        <v>0</v>
      </c>
      <c r="Q264" s="50">
        <f>'TB-Jan'!$D$194</f>
        <v>0</v>
      </c>
      <c r="R264" s="50">
        <f>'TB-Feb'!$D$194</f>
        <v>0</v>
      </c>
      <c r="S264" s="50">
        <f>'TB-Mar'!$D$194</f>
        <v>0</v>
      </c>
      <c r="T264" s="50">
        <f>'TB-Apr'!$D$194</f>
        <v>0</v>
      </c>
      <c r="U264" s="50">
        <f>'TB-May'!$D$194</f>
        <v>0</v>
      </c>
      <c r="V264" s="50">
        <f>'TB-Jun'!$D$194</f>
        <v>0</v>
      </c>
      <c r="W264" s="50">
        <f>'TB-Jul'!$D$194</f>
        <v>0</v>
      </c>
      <c r="X264" s="50">
        <f>'TB-Aug'!$D$194</f>
        <v>0</v>
      </c>
      <c r="Y264" s="50">
        <f>'TB-Sep'!$D$194</f>
        <v>0</v>
      </c>
      <c r="Z264" s="50">
        <f>'TB-Oct'!$D$194</f>
        <v>0</v>
      </c>
      <c r="AA264" s="50">
        <f>'TB-Nov'!$D$194</f>
        <v>0</v>
      </c>
      <c r="AB264" s="50">
        <f>'TB-Dec'!$D$194</f>
        <v>0</v>
      </c>
    </row>
    <row r="265" spans="1:28" s="79" customFormat="1" ht="15.75" hidden="1" customHeight="1" outlineLevel="1">
      <c r="A265" s="33"/>
      <c r="B265" s="33"/>
      <c r="C265" s="33"/>
      <c r="D265" s="34" t="s">
        <v>348</v>
      </c>
      <c r="E265" s="31">
        <f t="shared" si="110"/>
        <v>0</v>
      </c>
      <c r="F265" s="31">
        <f>SUM($Q265:R265)</f>
        <v>0</v>
      </c>
      <c r="G265" s="31">
        <f>SUM($Q265:S265)</f>
        <v>0</v>
      </c>
      <c r="H265" s="103">
        <f>SUM($Q265:T265)</f>
        <v>0</v>
      </c>
      <c r="I265" s="103">
        <f>SUM($Q265:U265)</f>
        <v>0</v>
      </c>
      <c r="J265" s="103">
        <f>SUM($Q265:V265)</f>
        <v>0</v>
      </c>
      <c r="K265" s="103">
        <f>SUM($Q265:W265)</f>
        <v>0</v>
      </c>
      <c r="L265" s="103">
        <f>SUM($Q265:X265)</f>
        <v>0</v>
      </c>
      <c r="M265" s="103">
        <f>SUM($Q265:Y265)</f>
        <v>0</v>
      </c>
      <c r="N265" s="103">
        <f>SUM($Q265:Z265)</f>
        <v>0</v>
      </c>
      <c r="O265" s="103">
        <f>SUM($Q265:AA265)</f>
        <v>0</v>
      </c>
      <c r="P265" s="103">
        <f>SUM($Q265:AB265)</f>
        <v>0</v>
      </c>
      <c r="Q265" s="50">
        <f>'TB-Jan'!$D$195</f>
        <v>0</v>
      </c>
      <c r="R265" s="50">
        <f>'TB-Feb'!$D$195</f>
        <v>0</v>
      </c>
      <c r="S265" s="50">
        <f>'TB-Mar'!$D$195</f>
        <v>0</v>
      </c>
      <c r="T265" s="50">
        <f>'TB-Apr'!$D$195</f>
        <v>0</v>
      </c>
      <c r="U265" s="50">
        <f>'TB-May'!$D$195</f>
        <v>0</v>
      </c>
      <c r="V265" s="50">
        <f>'TB-Jun'!$D$195</f>
        <v>0</v>
      </c>
      <c r="W265" s="50">
        <f>'TB-Jul'!$D$195</f>
        <v>0</v>
      </c>
      <c r="X265" s="50">
        <f>'TB-Aug'!$D$195</f>
        <v>0</v>
      </c>
      <c r="Y265" s="50">
        <f>'TB-Sep'!$D$195</f>
        <v>0</v>
      </c>
      <c r="Z265" s="50">
        <f>'TB-Oct'!$D$195</f>
        <v>0</v>
      </c>
      <c r="AA265" s="50">
        <f>'TB-Nov'!$D$195</f>
        <v>0</v>
      </c>
      <c r="AB265" s="50">
        <f>'TB-Dec'!$D$195</f>
        <v>0</v>
      </c>
    </row>
    <row r="266" spans="1:28" s="79" customFormat="1" ht="15.75" hidden="1" customHeight="1" outlineLevel="1">
      <c r="A266" s="33"/>
      <c r="B266" s="33"/>
      <c r="C266" s="33"/>
      <c r="D266" s="34" t="s">
        <v>350</v>
      </c>
      <c r="E266" s="31">
        <f t="shared" si="110"/>
        <v>0</v>
      </c>
      <c r="F266" s="31">
        <f>SUM($Q266:R266)</f>
        <v>0</v>
      </c>
      <c r="G266" s="31">
        <f>SUM($Q266:S266)</f>
        <v>0</v>
      </c>
      <c r="H266" s="103">
        <f>SUM($Q266:T266)</f>
        <v>0</v>
      </c>
      <c r="I266" s="103">
        <f>SUM($Q266:U266)</f>
        <v>0</v>
      </c>
      <c r="J266" s="103">
        <f>SUM($Q266:V266)</f>
        <v>0</v>
      </c>
      <c r="K266" s="103">
        <f>SUM($Q266:W266)</f>
        <v>0</v>
      </c>
      <c r="L266" s="103">
        <f>SUM($Q266:X266)</f>
        <v>0</v>
      </c>
      <c r="M266" s="103">
        <f>SUM($Q266:Y266)</f>
        <v>0</v>
      </c>
      <c r="N266" s="103">
        <f>SUM($Q266:Z266)</f>
        <v>0</v>
      </c>
      <c r="O266" s="103">
        <f>SUM($Q266:AA266)</f>
        <v>0</v>
      </c>
      <c r="P266" s="103">
        <f>SUM($Q266:AB266)</f>
        <v>0</v>
      </c>
      <c r="Q266" s="50">
        <f>'TB-Jan'!$D$196</f>
        <v>0</v>
      </c>
      <c r="R266" s="50">
        <f>'TB-Feb'!$D$196</f>
        <v>0</v>
      </c>
      <c r="S266" s="50">
        <f>'TB-Mar'!$D$196</f>
        <v>0</v>
      </c>
      <c r="T266" s="50">
        <f>'TB-Apr'!$D$196</f>
        <v>0</v>
      </c>
      <c r="U266" s="50">
        <f>'TB-May'!$D$196</f>
        <v>0</v>
      </c>
      <c r="V266" s="50">
        <f>'TB-Jun'!$D$196</f>
        <v>0</v>
      </c>
      <c r="W266" s="50">
        <f>'TB-Jul'!$D$196</f>
        <v>0</v>
      </c>
      <c r="X266" s="50">
        <f>'TB-Aug'!$D$196</f>
        <v>0</v>
      </c>
      <c r="Y266" s="50">
        <f>'TB-Sep'!$D$196</f>
        <v>0</v>
      </c>
      <c r="Z266" s="50">
        <f>'TB-Oct'!$D$196</f>
        <v>0</v>
      </c>
      <c r="AA266" s="50">
        <f>'TB-Nov'!$D$196</f>
        <v>0</v>
      </c>
      <c r="AB266" s="50">
        <f>'TB-Dec'!$D$196</f>
        <v>0</v>
      </c>
    </row>
    <row r="267" spans="1:28" s="82" customFormat="1" ht="15.75" hidden="1" customHeight="1" outlineLevel="1">
      <c r="A267" s="32"/>
      <c r="B267" s="32"/>
      <c r="C267" s="32"/>
      <c r="D267" s="56" t="s">
        <v>1002</v>
      </c>
      <c r="E267" s="31">
        <f t="shared" si="110"/>
        <v>0</v>
      </c>
      <c r="F267" s="31">
        <f>SUM($Q267:R267)</f>
        <v>0</v>
      </c>
      <c r="G267" s="31">
        <f>SUM($Q267:S267)</f>
        <v>0</v>
      </c>
      <c r="H267" s="103">
        <f>SUM($Q267:T267)</f>
        <v>0</v>
      </c>
      <c r="I267" s="103">
        <f>SUM($Q267:U267)</f>
        <v>0</v>
      </c>
      <c r="J267" s="103">
        <f>SUM($Q267:V267)</f>
        <v>0</v>
      </c>
      <c r="K267" s="103">
        <f>SUM($Q267:W267)</f>
        <v>0</v>
      </c>
      <c r="L267" s="103">
        <f>SUM($Q267:X267)</f>
        <v>0</v>
      </c>
      <c r="M267" s="103">
        <f>SUM($Q267:Y267)</f>
        <v>0</v>
      </c>
      <c r="N267" s="103">
        <f>SUM($Q267:Z267)</f>
        <v>0</v>
      </c>
      <c r="O267" s="103">
        <f>SUM($Q267:AA267)</f>
        <v>0</v>
      </c>
      <c r="P267" s="103">
        <f>SUM($Q267:AB267)</f>
        <v>0</v>
      </c>
      <c r="Q267" s="46">
        <f>SUM(Q261:Q266)</f>
        <v>0</v>
      </c>
      <c r="R267" s="46">
        <f t="shared" ref="R267:AB267" si="111">SUM(R261:R266)</f>
        <v>0</v>
      </c>
      <c r="S267" s="46">
        <f t="shared" si="111"/>
        <v>0</v>
      </c>
      <c r="T267" s="46">
        <f t="shared" si="111"/>
        <v>0</v>
      </c>
      <c r="U267" s="46">
        <f t="shared" si="111"/>
        <v>0</v>
      </c>
      <c r="V267" s="46">
        <f t="shared" si="111"/>
        <v>0</v>
      </c>
      <c r="W267" s="46">
        <f t="shared" si="111"/>
        <v>0</v>
      </c>
      <c r="X267" s="46">
        <f t="shared" si="111"/>
        <v>0</v>
      </c>
      <c r="Y267" s="46">
        <f t="shared" si="111"/>
        <v>0</v>
      </c>
      <c r="Z267" s="46">
        <f t="shared" si="111"/>
        <v>0</v>
      </c>
      <c r="AA267" s="46">
        <f t="shared" si="111"/>
        <v>0</v>
      </c>
      <c r="AB267" s="46">
        <f t="shared" si="111"/>
        <v>0</v>
      </c>
    </row>
    <row r="268" spans="1:28" s="82" customFormat="1" ht="15.75" customHeight="1" collapsed="1">
      <c r="A268" s="32"/>
      <c r="B268" s="32"/>
      <c r="C268" s="32"/>
      <c r="D268" s="35" t="s">
        <v>977</v>
      </c>
      <c r="E268" s="31">
        <f t="shared" si="110"/>
        <v>0</v>
      </c>
      <c r="F268" s="31">
        <f>SUM($Q268:R268)</f>
        <v>0</v>
      </c>
      <c r="G268" s="31">
        <f>SUM($Q268:S268)</f>
        <v>0</v>
      </c>
      <c r="H268" s="59">
        <f>SUM($Q268:T268)</f>
        <v>216142656.05000001</v>
      </c>
      <c r="I268" s="59">
        <f>SUM($Q268:U268)</f>
        <v>218801935.31</v>
      </c>
      <c r="J268" s="59">
        <f>SUM($Q268:V268)</f>
        <v>220481454.16</v>
      </c>
      <c r="K268" s="59">
        <f>SUM($Q268:W268)</f>
        <v>216263553.10999998</v>
      </c>
      <c r="L268" s="59">
        <f>SUM($Q268:X268)</f>
        <v>254874645.78999999</v>
      </c>
      <c r="M268" s="59">
        <f>SUM($Q268:Y268)</f>
        <v>254874645.78999999</v>
      </c>
      <c r="N268" s="59">
        <f>SUM($Q268:Z268)</f>
        <v>254874645.78999999</v>
      </c>
      <c r="O268" s="59">
        <f>SUM($Q268:AA268)</f>
        <v>254874645.78999999</v>
      </c>
      <c r="P268" s="59">
        <f>SUM($Q268:AB268)</f>
        <v>254874645.78999999</v>
      </c>
      <c r="Q268" s="46">
        <f>SUM(Q258,Q267)</f>
        <v>0</v>
      </c>
      <c r="R268" s="46">
        <f t="shared" ref="R268:AB268" si="112">SUM(R258,R267)</f>
        <v>0</v>
      </c>
      <c r="S268" s="46">
        <f t="shared" si="112"/>
        <v>0</v>
      </c>
      <c r="T268" s="46">
        <f t="shared" si="112"/>
        <v>216142656.05000001</v>
      </c>
      <c r="U268" s="46">
        <f t="shared" si="112"/>
        <v>2659279.2600000002</v>
      </c>
      <c r="V268" s="46">
        <f t="shared" si="112"/>
        <v>1679518.8499999992</v>
      </c>
      <c r="W268" s="46">
        <f t="shared" si="112"/>
        <v>-4217901.05</v>
      </c>
      <c r="X268" s="46">
        <f t="shared" si="112"/>
        <v>38611092.68</v>
      </c>
      <c r="Y268" s="46">
        <f t="shared" si="112"/>
        <v>0</v>
      </c>
      <c r="Z268" s="46">
        <f t="shared" si="112"/>
        <v>0</v>
      </c>
      <c r="AA268" s="46">
        <f t="shared" si="112"/>
        <v>0</v>
      </c>
      <c r="AB268" s="46">
        <f t="shared" si="112"/>
        <v>0</v>
      </c>
    </row>
    <row r="269" spans="1:28" s="78" customFormat="1" ht="15.75" hidden="1" customHeight="1">
      <c r="A269" s="32"/>
      <c r="B269" s="32" t="s">
        <v>978</v>
      </c>
      <c r="C269" s="32"/>
      <c r="D269" s="35"/>
      <c r="E269" s="31"/>
      <c r="F269" s="31">
        <f>SUM($Q269:R269)</f>
        <v>0</v>
      </c>
      <c r="G269" s="31">
        <f>SUM($Q269:S269)</f>
        <v>0</v>
      </c>
      <c r="H269" s="103">
        <f>SUM($Q269:T269)</f>
        <v>0</v>
      </c>
      <c r="I269" s="103">
        <f>SUM($Q269:U269)</f>
        <v>0</v>
      </c>
      <c r="J269" s="103">
        <f>SUM($Q269:V269)</f>
        <v>0</v>
      </c>
      <c r="K269" s="103">
        <f>SUM($Q269:W269)</f>
        <v>0</v>
      </c>
      <c r="L269" s="103">
        <f>SUM($Q269:X269)</f>
        <v>0</v>
      </c>
      <c r="M269" s="103">
        <f>SUM($Q269:Y269)</f>
        <v>0</v>
      </c>
      <c r="N269" s="103">
        <f>SUM($Q269:Z269)</f>
        <v>0</v>
      </c>
      <c r="O269" s="103">
        <f>SUM($Q269:AA269)</f>
        <v>0</v>
      </c>
      <c r="P269" s="103">
        <f>SUM($Q269:AB269)</f>
        <v>0</v>
      </c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</row>
    <row r="270" spans="1:28" s="79" customFormat="1" ht="15.75" hidden="1" customHeight="1" outlineLevel="1">
      <c r="A270" s="33"/>
      <c r="B270" s="33"/>
      <c r="C270" s="33"/>
      <c r="D270" s="34" t="s">
        <v>352</v>
      </c>
      <c r="E270" s="31">
        <f>SUM(Q270)</f>
        <v>0</v>
      </c>
      <c r="F270" s="31">
        <f>SUM($Q270:R270)</f>
        <v>0</v>
      </c>
      <c r="G270" s="31">
        <f>SUM($Q270:S270)</f>
        <v>0</v>
      </c>
      <c r="H270" s="103">
        <f>SUM($Q270:T270)</f>
        <v>0</v>
      </c>
      <c r="I270" s="103">
        <f>SUM($Q270:U270)</f>
        <v>0</v>
      </c>
      <c r="J270" s="103">
        <f>SUM($Q270:V270)</f>
        <v>0</v>
      </c>
      <c r="K270" s="103">
        <f>SUM($Q270:W270)</f>
        <v>0</v>
      </c>
      <c r="L270" s="103">
        <f>SUM($Q270:X270)</f>
        <v>0</v>
      </c>
      <c r="M270" s="103">
        <f>SUM($Q270:Y270)</f>
        <v>0</v>
      </c>
      <c r="N270" s="103">
        <f>SUM($Q270:Z270)</f>
        <v>0</v>
      </c>
      <c r="O270" s="103">
        <f>SUM($Q270:AA270)</f>
        <v>0</v>
      </c>
      <c r="P270" s="103">
        <f>SUM($Q270:AB270)</f>
        <v>0</v>
      </c>
      <c r="Q270" s="50">
        <f>'TB-Jan'!$D$197</f>
        <v>0</v>
      </c>
      <c r="R270" s="50">
        <f>'TB-Feb'!$D$197</f>
        <v>0</v>
      </c>
      <c r="S270" s="50">
        <f>'TB-Mar'!$D$197</f>
        <v>0</v>
      </c>
      <c r="T270" s="50">
        <f>'TB-Apr'!$D$197</f>
        <v>0</v>
      </c>
      <c r="U270" s="50">
        <f>'TB-May'!$D$197</f>
        <v>0</v>
      </c>
      <c r="V270" s="50">
        <f>'TB-Jun'!$D$197</f>
        <v>0</v>
      </c>
      <c r="W270" s="50">
        <f>'TB-Jul'!$D$197</f>
        <v>0</v>
      </c>
      <c r="X270" s="50">
        <f>'TB-Aug'!$D$197</f>
        <v>0</v>
      </c>
      <c r="Y270" s="50">
        <f>'TB-Sep'!$D$197</f>
        <v>0</v>
      </c>
      <c r="Z270" s="50">
        <f>'TB-Oct'!$D$197</f>
        <v>0</v>
      </c>
      <c r="AA270" s="50">
        <f>'TB-Nov'!$D$197</f>
        <v>0</v>
      </c>
      <c r="AB270" s="50">
        <f>'TB-Dec'!$D$197</f>
        <v>0</v>
      </c>
    </row>
    <row r="271" spans="1:28" s="79" customFormat="1" ht="15.75" hidden="1" customHeight="1" outlineLevel="1">
      <c r="A271" s="33"/>
      <c r="B271" s="33"/>
      <c r="C271" s="33"/>
      <c r="D271" s="34" t="s">
        <v>354</v>
      </c>
      <c r="E271" s="31">
        <f>SUM(Q271)</f>
        <v>0</v>
      </c>
      <c r="F271" s="31">
        <f>SUM($Q271:R271)</f>
        <v>0</v>
      </c>
      <c r="G271" s="31">
        <f>SUM($Q271:S271)</f>
        <v>0</v>
      </c>
      <c r="H271" s="103">
        <f>SUM($Q271:T271)</f>
        <v>0</v>
      </c>
      <c r="I271" s="103">
        <f>SUM($Q271:U271)</f>
        <v>0</v>
      </c>
      <c r="J271" s="103">
        <f>SUM($Q271:V271)</f>
        <v>0</v>
      </c>
      <c r="K271" s="103">
        <f>SUM($Q271:W271)</f>
        <v>0</v>
      </c>
      <c r="L271" s="103">
        <f>SUM($Q271:X271)</f>
        <v>0</v>
      </c>
      <c r="M271" s="103">
        <f>SUM($Q271:Y271)</f>
        <v>0</v>
      </c>
      <c r="N271" s="103">
        <f>SUM($Q271:Z271)</f>
        <v>0</v>
      </c>
      <c r="O271" s="103">
        <f>SUM($Q271:AA271)</f>
        <v>0</v>
      </c>
      <c r="P271" s="103">
        <f>SUM($Q271:AB271)</f>
        <v>0</v>
      </c>
      <c r="Q271" s="50">
        <f>'TB-Jan'!$D$198</f>
        <v>0</v>
      </c>
      <c r="R271" s="50">
        <f>'TB-Feb'!$D$198</f>
        <v>0</v>
      </c>
      <c r="S271" s="50">
        <f>'TB-Mar'!$D$198</f>
        <v>0</v>
      </c>
      <c r="T271" s="50">
        <f>'TB-Apr'!$D$198</f>
        <v>0</v>
      </c>
      <c r="U271" s="50">
        <f>'TB-May'!$D$198</f>
        <v>0</v>
      </c>
      <c r="V271" s="50">
        <f>'TB-Jun'!$D$198</f>
        <v>0</v>
      </c>
      <c r="W271" s="50">
        <f>'TB-Jul'!$D$198</f>
        <v>0</v>
      </c>
      <c r="X271" s="50">
        <f>'TB-Aug'!$D$198</f>
        <v>0</v>
      </c>
      <c r="Y271" s="50">
        <f>'TB-Sep'!$D$198</f>
        <v>0</v>
      </c>
      <c r="Z271" s="50">
        <f>'TB-Oct'!$D$198</f>
        <v>0</v>
      </c>
      <c r="AA271" s="50">
        <f>'TB-Nov'!$D$198</f>
        <v>0</v>
      </c>
      <c r="AB271" s="50">
        <f>'TB-Dec'!$D$198</f>
        <v>0</v>
      </c>
    </row>
    <row r="272" spans="1:28" s="79" customFormat="1" ht="15.75" hidden="1" customHeight="1" outlineLevel="1">
      <c r="A272" s="33"/>
      <c r="B272" s="33"/>
      <c r="C272" s="33"/>
      <c r="D272" s="34" t="s">
        <v>356</v>
      </c>
      <c r="E272" s="31">
        <f>SUM(Q272)</f>
        <v>0</v>
      </c>
      <c r="F272" s="31">
        <f>SUM($Q272:R272)</f>
        <v>0</v>
      </c>
      <c r="G272" s="31">
        <f>SUM($Q272:S272)</f>
        <v>0</v>
      </c>
      <c r="H272" s="103">
        <f>SUM($Q272:T272)</f>
        <v>0</v>
      </c>
      <c r="I272" s="103">
        <f>SUM($Q272:U272)</f>
        <v>0</v>
      </c>
      <c r="J272" s="103">
        <f>SUM($Q272:V272)</f>
        <v>0</v>
      </c>
      <c r="K272" s="103">
        <f>SUM($Q272:W272)</f>
        <v>0</v>
      </c>
      <c r="L272" s="103">
        <f>SUM($Q272:X272)</f>
        <v>0</v>
      </c>
      <c r="M272" s="103">
        <f>SUM($Q272:Y272)</f>
        <v>0</v>
      </c>
      <c r="N272" s="103">
        <f>SUM($Q272:Z272)</f>
        <v>0</v>
      </c>
      <c r="O272" s="103">
        <f>SUM($Q272:AA272)</f>
        <v>0</v>
      </c>
      <c r="P272" s="103">
        <f>SUM($Q272:AB272)</f>
        <v>0</v>
      </c>
      <c r="Q272" s="50">
        <f>'TB-Jan'!$D$199</f>
        <v>0</v>
      </c>
      <c r="R272" s="50">
        <f>'TB-Feb'!$D$199</f>
        <v>0</v>
      </c>
      <c r="S272" s="50">
        <f>'TB-Mar'!$D$199</f>
        <v>0</v>
      </c>
      <c r="T272" s="50">
        <f>'TB-Apr'!$D$199</f>
        <v>0</v>
      </c>
      <c r="U272" s="50">
        <f>'TB-May'!$D$199</f>
        <v>0</v>
      </c>
      <c r="V272" s="50">
        <f>'TB-Jun'!$D$199</f>
        <v>0</v>
      </c>
      <c r="W272" s="50">
        <f>'TB-Jul'!$D$199</f>
        <v>0</v>
      </c>
      <c r="X272" s="50">
        <f>'TB-Aug'!$D$199</f>
        <v>0</v>
      </c>
      <c r="Y272" s="50">
        <f>'TB-Sep'!$D$199</f>
        <v>0</v>
      </c>
      <c r="Z272" s="50">
        <f>'TB-Oct'!$D$199</f>
        <v>0</v>
      </c>
      <c r="AA272" s="50">
        <f>'TB-Nov'!$D$199</f>
        <v>0</v>
      </c>
      <c r="AB272" s="50">
        <f>'TB-Dec'!$D$199</f>
        <v>0</v>
      </c>
    </row>
    <row r="273" spans="1:28" s="82" customFormat="1" ht="15.75" hidden="1" customHeight="1">
      <c r="A273" s="32"/>
      <c r="B273" s="32"/>
      <c r="C273" s="32"/>
      <c r="D273" s="56" t="s">
        <v>1001</v>
      </c>
      <c r="E273" s="31">
        <f>SUM(Q273)</f>
        <v>0</v>
      </c>
      <c r="F273" s="31">
        <f>SUM($Q273:R273)</f>
        <v>0</v>
      </c>
      <c r="G273" s="31">
        <f>SUM($Q273:S273)</f>
        <v>0</v>
      </c>
      <c r="H273" s="103">
        <f>SUM($Q273:T273)</f>
        <v>0</v>
      </c>
      <c r="I273" s="103">
        <f>SUM($Q273:U273)</f>
        <v>0</v>
      </c>
      <c r="J273" s="103">
        <f>SUM($Q273:V273)</f>
        <v>0</v>
      </c>
      <c r="K273" s="103">
        <f>SUM($Q273:W273)</f>
        <v>0</v>
      </c>
      <c r="L273" s="103">
        <f>SUM($Q273:X273)</f>
        <v>0</v>
      </c>
      <c r="M273" s="103">
        <f>SUM($Q273:Y273)</f>
        <v>0</v>
      </c>
      <c r="N273" s="103">
        <f>SUM($Q273:Z273)</f>
        <v>0</v>
      </c>
      <c r="O273" s="103">
        <f>SUM($Q273:AA273)</f>
        <v>0</v>
      </c>
      <c r="P273" s="103">
        <f>SUM($Q273:AB273)</f>
        <v>0</v>
      </c>
      <c r="Q273" s="46">
        <f>SUM(Q270:Q272)</f>
        <v>0</v>
      </c>
      <c r="R273" s="46">
        <f t="shared" ref="R273:AB273" si="113">SUM(R270:R272)</f>
        <v>0</v>
      </c>
      <c r="S273" s="46">
        <f t="shared" si="113"/>
        <v>0</v>
      </c>
      <c r="T273" s="46">
        <f t="shared" si="113"/>
        <v>0</v>
      </c>
      <c r="U273" s="46">
        <f t="shared" si="113"/>
        <v>0</v>
      </c>
      <c r="V273" s="46">
        <f t="shared" si="113"/>
        <v>0</v>
      </c>
      <c r="W273" s="46">
        <f t="shared" si="113"/>
        <v>0</v>
      </c>
      <c r="X273" s="46">
        <f t="shared" si="113"/>
        <v>0</v>
      </c>
      <c r="Y273" s="46">
        <f t="shared" si="113"/>
        <v>0</v>
      </c>
      <c r="Z273" s="46">
        <f t="shared" si="113"/>
        <v>0</v>
      </c>
      <c r="AA273" s="46">
        <f t="shared" si="113"/>
        <v>0</v>
      </c>
      <c r="AB273" s="46">
        <f t="shared" si="113"/>
        <v>0</v>
      </c>
    </row>
    <row r="274" spans="1:28" s="82" customFormat="1" ht="15.75" hidden="1" customHeight="1">
      <c r="A274" s="32"/>
      <c r="B274" s="32"/>
      <c r="C274" s="32"/>
      <c r="D274" s="35"/>
      <c r="E274" s="31"/>
      <c r="F274" s="31">
        <f>SUM($Q274:R274)</f>
        <v>0</v>
      </c>
      <c r="G274" s="31">
        <f>SUM($Q274:S274)</f>
        <v>0</v>
      </c>
      <c r="H274" s="103">
        <f>SUM($Q274:T274)</f>
        <v>0</v>
      </c>
      <c r="I274" s="103">
        <f>SUM($Q274:U274)</f>
        <v>0</v>
      </c>
      <c r="J274" s="103">
        <f>SUM($Q274:V274)</f>
        <v>0</v>
      </c>
      <c r="K274" s="103">
        <f>SUM($Q274:W274)</f>
        <v>0</v>
      </c>
      <c r="L274" s="103">
        <f>SUM($Q274:X274)</f>
        <v>0</v>
      </c>
      <c r="M274" s="103">
        <f>SUM($Q274:Y274)</f>
        <v>0</v>
      </c>
      <c r="N274" s="103">
        <f>SUM($Q274:Z274)</f>
        <v>0</v>
      </c>
      <c r="O274" s="103">
        <f>SUM($Q274:AA274)</f>
        <v>0</v>
      </c>
      <c r="P274" s="103">
        <f>SUM($Q274:AB274)</f>
        <v>0</v>
      </c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</row>
    <row r="275" spans="1:28" s="78" customFormat="1" ht="15.75" customHeight="1">
      <c r="A275" s="32" t="s">
        <v>979</v>
      </c>
      <c r="B275" s="32"/>
      <c r="C275" s="32"/>
      <c r="D275" s="35"/>
      <c r="E275" s="31">
        <f>SUM(Q275)</f>
        <v>0</v>
      </c>
      <c r="F275" s="31">
        <f>SUM($Q275:R275)</f>
        <v>0</v>
      </c>
      <c r="G275" s="31">
        <f>SUM($Q275:S275)</f>
        <v>0</v>
      </c>
      <c r="H275" s="103">
        <f>SUM($Q275:T275)</f>
        <v>0</v>
      </c>
      <c r="I275" s="103">
        <f>SUM($Q275:U275)</f>
        <v>0</v>
      </c>
      <c r="J275" s="103"/>
      <c r="K275" s="103"/>
      <c r="L275" s="103">
        <f>SUM($Q275:X275)</f>
        <v>0</v>
      </c>
      <c r="M275" s="103">
        <f>SUM($Q275:Y275)</f>
        <v>0</v>
      </c>
      <c r="N275" s="103">
        <f>SUM($Q275:Z275)</f>
        <v>0</v>
      </c>
      <c r="O275" s="103">
        <f>SUM($Q275:AA275)</f>
        <v>0</v>
      </c>
      <c r="P275" s="103">
        <f>SUM($Q275:AB275)</f>
        <v>0</v>
      </c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</row>
    <row r="276" spans="1:28" s="79" customFormat="1" ht="15.75" customHeight="1" outlineLevel="1">
      <c r="A276" s="33"/>
      <c r="B276" s="34" t="s">
        <v>358</v>
      </c>
      <c r="C276" s="33"/>
      <c r="D276" s="33"/>
      <c r="E276" s="31">
        <f>SUM(Q276)</f>
        <v>0</v>
      </c>
      <c r="F276" s="31">
        <f>SUM($Q276:R276)</f>
        <v>0</v>
      </c>
      <c r="G276" s="31">
        <f>SUM($Q276:S276)</f>
        <v>0</v>
      </c>
      <c r="H276" s="103">
        <f>SUM($Q276:T276)</f>
        <v>0</v>
      </c>
      <c r="I276" s="103">
        <f>SUM($Q276:U276)</f>
        <v>0</v>
      </c>
      <c r="J276" s="103">
        <f>SUM($Q276:V276)</f>
        <v>679.35</v>
      </c>
      <c r="K276" s="103">
        <f>SUM($Q276:W276)</f>
        <v>679.35</v>
      </c>
      <c r="L276" s="103">
        <f>SUM($Q276:X276)</f>
        <v>18581.23</v>
      </c>
      <c r="M276" s="103">
        <f>SUM($Q276:Y276)</f>
        <v>18581.23</v>
      </c>
      <c r="N276" s="103">
        <f>SUM($Q276:Z276)</f>
        <v>18581.23</v>
      </c>
      <c r="O276" s="103">
        <f>SUM($Q276:AA276)</f>
        <v>18581.23</v>
      </c>
      <c r="P276" s="103">
        <f>SUM($Q276:AB276)</f>
        <v>18581.23</v>
      </c>
      <c r="Q276" s="50">
        <f>'TB-Jan'!$D$200</f>
        <v>0</v>
      </c>
      <c r="R276" s="50">
        <f>'TB-Feb'!$D$200</f>
        <v>0</v>
      </c>
      <c r="S276" s="50">
        <f>'TB-Mar'!$D$200</f>
        <v>0</v>
      </c>
      <c r="T276" s="50">
        <f>'TB-Apr'!$D$200</f>
        <v>0</v>
      </c>
      <c r="U276" s="50">
        <f>'TB-May'!$D$200</f>
        <v>0</v>
      </c>
      <c r="V276" s="50">
        <f>'TB-Jun'!$D$200+'TB-Jun'!$D$267</f>
        <v>679.35</v>
      </c>
      <c r="W276" s="50">
        <f>'TB-Jul'!$D$200+'TB-Jul'!$D$267</f>
        <v>0</v>
      </c>
      <c r="X276" s="50">
        <f>'TB-Aug'!$D$200+'TB-Aug'!$D$267</f>
        <v>17901.88</v>
      </c>
      <c r="Y276" s="50">
        <f>'TB-Sep'!$D$200+'TB-Sep'!$D$267</f>
        <v>0</v>
      </c>
      <c r="Z276" s="50">
        <f>'TB-Oct'!$D$200+'TB-Oct'!$D$267</f>
        <v>0</v>
      </c>
      <c r="AA276" s="50">
        <f>'TB-Nov'!$D$200+'TB-Nov'!$D$267</f>
        <v>0</v>
      </c>
      <c r="AB276" s="50">
        <f>'TB-Dec'!$D$200+'TB-Dec'!$D$267</f>
        <v>0</v>
      </c>
    </row>
    <row r="277" spans="1:28" s="79" customFormat="1" ht="15.75" hidden="1" customHeight="1" outlineLevel="1">
      <c r="A277" s="33"/>
      <c r="B277" s="34"/>
      <c r="C277" s="33"/>
      <c r="D277" s="33"/>
      <c r="E277" s="31"/>
      <c r="F277" s="31"/>
      <c r="G277" s="31"/>
      <c r="H277" s="103"/>
      <c r="I277" s="103"/>
      <c r="J277" s="103"/>
      <c r="K277" s="103"/>
      <c r="L277" s="103"/>
      <c r="M277" s="103"/>
      <c r="N277" s="103"/>
      <c r="O277" s="103"/>
      <c r="P277" s="103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</row>
    <row r="278" spans="1:28" s="83" customFormat="1" ht="15.75" customHeight="1" collapsed="1">
      <c r="A278" s="32"/>
      <c r="B278" s="32"/>
      <c r="C278" s="32"/>
      <c r="D278" s="32" t="s">
        <v>980</v>
      </c>
      <c r="E278" s="31">
        <f>SUM(Q278)</f>
        <v>0</v>
      </c>
      <c r="F278" s="31">
        <f>SUM($Q278:R278)</f>
        <v>0</v>
      </c>
      <c r="G278" s="31">
        <f>SUM($Q278:S278)</f>
        <v>0</v>
      </c>
      <c r="H278" s="106">
        <f>SUM($Q278:T278)</f>
        <v>216142656.05000001</v>
      </c>
      <c r="I278" s="106">
        <f>SUM($Q278:U278)</f>
        <v>218801935.31</v>
      </c>
      <c r="J278" s="106">
        <f>SUM($Q278:V278)</f>
        <v>220482133.50999999</v>
      </c>
      <c r="K278" s="106">
        <f>SUM($Q278:W278)</f>
        <v>216264232.45999998</v>
      </c>
      <c r="L278" s="106">
        <f>SUM($Q278:X278)</f>
        <v>254893227.01999998</v>
      </c>
      <c r="M278" s="106">
        <f>SUM($Q278:Y278)</f>
        <v>254893227.01999998</v>
      </c>
      <c r="N278" s="106">
        <f>SUM($Q278:Z278)</f>
        <v>254893227.01999998</v>
      </c>
      <c r="O278" s="106">
        <f>SUM($Q278:AA278)</f>
        <v>254893227.01999998</v>
      </c>
      <c r="P278" s="106">
        <f>SUM($Q278:AB278)</f>
        <v>254893227.01999998</v>
      </c>
      <c r="Q278" s="51">
        <f>SUM(Q276,Q273,Q268)</f>
        <v>0</v>
      </c>
      <c r="R278" s="51">
        <f t="shared" ref="R278:AB278" si="114">SUM(R276,R273,R268)</f>
        <v>0</v>
      </c>
      <c r="S278" s="51">
        <f t="shared" si="114"/>
        <v>0</v>
      </c>
      <c r="T278" s="51">
        <f t="shared" si="114"/>
        <v>216142656.05000001</v>
      </c>
      <c r="U278" s="51">
        <f t="shared" si="114"/>
        <v>2659279.2600000002</v>
      </c>
      <c r="V278" s="51">
        <f t="shared" si="114"/>
        <v>1680198.1999999993</v>
      </c>
      <c r="W278" s="51">
        <f t="shared" si="114"/>
        <v>-4217901.05</v>
      </c>
      <c r="X278" s="51">
        <f t="shared" si="114"/>
        <v>38628994.560000002</v>
      </c>
      <c r="Y278" s="51">
        <f t="shared" si="114"/>
        <v>0</v>
      </c>
      <c r="Z278" s="51">
        <f t="shared" si="114"/>
        <v>0</v>
      </c>
      <c r="AA278" s="51">
        <f t="shared" si="114"/>
        <v>0</v>
      </c>
      <c r="AB278" s="51">
        <f t="shared" si="114"/>
        <v>0</v>
      </c>
    </row>
    <row r="279" spans="1:28" ht="15.75" hidden="1" customHeight="1">
      <c r="A279" s="42"/>
      <c r="B279" s="42"/>
      <c r="C279" s="42"/>
      <c r="D279" s="42"/>
      <c r="E279" s="43">
        <f t="shared" ref="E279:AB279" si="115">E233-E278</f>
        <v>0</v>
      </c>
      <c r="F279" s="43">
        <f t="shared" si="115"/>
        <v>0</v>
      </c>
      <c r="G279" s="43">
        <f t="shared" si="115"/>
        <v>0</v>
      </c>
      <c r="H279" s="43">
        <f t="shared" si="115"/>
        <v>0</v>
      </c>
      <c r="I279" s="43">
        <f t="shared" si="115"/>
        <v>0</v>
      </c>
      <c r="J279" s="43">
        <f t="shared" si="115"/>
        <v>0</v>
      </c>
      <c r="K279" s="43">
        <f t="shared" si="115"/>
        <v>0</v>
      </c>
      <c r="L279" s="43">
        <f t="shared" si="115"/>
        <v>0</v>
      </c>
      <c r="M279" s="43">
        <f t="shared" si="115"/>
        <v>0</v>
      </c>
      <c r="N279" s="43">
        <f t="shared" si="115"/>
        <v>0</v>
      </c>
      <c r="O279" s="43">
        <f t="shared" si="115"/>
        <v>0</v>
      </c>
      <c r="P279" s="43">
        <f t="shared" si="115"/>
        <v>0</v>
      </c>
      <c r="Q279" s="43">
        <f t="shared" si="115"/>
        <v>0</v>
      </c>
      <c r="R279" s="43">
        <f t="shared" si="115"/>
        <v>0</v>
      </c>
      <c r="S279" s="43">
        <f t="shared" si="115"/>
        <v>0</v>
      </c>
      <c r="T279" s="43">
        <f t="shared" si="115"/>
        <v>0</v>
      </c>
      <c r="U279" s="43">
        <f t="shared" si="115"/>
        <v>0</v>
      </c>
      <c r="V279" s="43">
        <f t="shared" si="115"/>
        <v>1.862645149230957E-9</v>
      </c>
      <c r="W279" s="43">
        <f t="shared" si="115"/>
        <v>0</v>
      </c>
      <c r="X279" s="43">
        <f t="shared" si="115"/>
        <v>0</v>
      </c>
      <c r="Y279" s="43">
        <f t="shared" si="115"/>
        <v>0</v>
      </c>
      <c r="Z279" s="43">
        <f t="shared" si="115"/>
        <v>0</v>
      </c>
      <c r="AA279" s="43">
        <f t="shared" si="115"/>
        <v>0</v>
      </c>
      <c r="AB279" s="43">
        <f t="shared" si="115"/>
        <v>0</v>
      </c>
    </row>
    <row r="280" spans="1:28" s="86" customFormat="1" ht="15.75" hidden="1" customHeight="1">
      <c r="A280" s="84"/>
      <c r="B280" s="84"/>
      <c r="C280" s="84"/>
      <c r="D280" s="84" t="s">
        <v>981</v>
      </c>
      <c r="E280" s="85">
        <v>0</v>
      </c>
      <c r="F280" s="85">
        <v>0</v>
      </c>
      <c r="G280" s="85">
        <v>0</v>
      </c>
      <c r="H280" s="85">
        <v>0</v>
      </c>
      <c r="I280" s="85">
        <v>0</v>
      </c>
      <c r="J280" s="85">
        <v>0</v>
      </c>
      <c r="K280" s="85">
        <v>0</v>
      </c>
      <c r="L280" s="85">
        <v>0</v>
      </c>
      <c r="M280" s="85">
        <v>0</v>
      </c>
      <c r="N280" s="85">
        <v>0</v>
      </c>
      <c r="O280" s="85">
        <v>0</v>
      </c>
      <c r="P280" s="85">
        <v>0</v>
      </c>
    </row>
    <row r="281" spans="1:28" ht="13.5" customHeight="1"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1:28" ht="7.5" customHeight="1"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pans="1:28" ht="7.5" customHeight="1"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spans="1:28" ht="23.25" customHeight="1"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1:28" ht="15.75" customHeight="1">
      <c r="A285" s="76" t="s">
        <v>893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1:28" ht="15.75" customHeight="1"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spans="1:28" ht="15.75" customHeight="1"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1:28" ht="15.75" customHeight="1">
      <c r="A288" s="87" t="s">
        <v>982</v>
      </c>
      <c r="D288" s="88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pans="1:16" ht="15.75" customHeight="1">
      <c r="A289" s="89" t="s">
        <v>983</v>
      </c>
      <c r="D289" s="88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</sheetData>
  <mergeCells count="9">
    <mergeCell ref="A2:L2"/>
    <mergeCell ref="A1:L1"/>
    <mergeCell ref="A9:L9"/>
    <mergeCell ref="A8:L8"/>
    <mergeCell ref="A7:L7"/>
    <mergeCell ref="A6:L6"/>
    <mergeCell ref="A5:L5"/>
    <mergeCell ref="A4:L4"/>
    <mergeCell ref="A3:L3"/>
  </mergeCells>
  <printOptions horizontalCentered="1"/>
  <pageMargins left="1" right="1" top="1" bottom="1" header="0.25" footer="0.25"/>
  <pageSetup paperSize="256" scale="90" orientation="portrait" horizontalDpi="4294967293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00B050"/>
  </sheetPr>
  <dimension ref="A1:JT50017"/>
  <sheetViews>
    <sheetView tabSelected="1" topLeftCell="B277" workbookViewId="0">
      <selection activeCell="L191" sqref="L191"/>
    </sheetView>
  </sheetViews>
  <sheetFormatPr defaultRowHeight="14.25"/>
  <cols>
    <col min="1" max="1" width="4.140625" style="108" customWidth="1"/>
    <col min="2" max="2" width="2" style="108" customWidth="1"/>
    <col min="3" max="3" width="18.85546875" style="108" customWidth="1"/>
    <col min="4" max="4" width="50" style="108" customWidth="1"/>
    <col min="5" max="11" width="19.5703125" style="108" hidden="1" customWidth="1"/>
    <col min="12" max="12" width="19.5703125" style="108" customWidth="1"/>
    <col min="13" max="23" width="19.5703125" style="108" hidden="1" customWidth="1"/>
    <col min="24" max="24" width="19.5703125" style="108" customWidth="1"/>
    <col min="25" max="28" width="19.5703125" style="108" hidden="1" customWidth="1"/>
    <col min="29" max="29" width="16.140625" style="108" customWidth="1"/>
    <col min="30" max="30" width="16" style="108" customWidth="1"/>
    <col min="31" max="31" width="53.85546875" style="108" bestFit="1" customWidth="1"/>
    <col min="32" max="32" width="25.42578125" style="108" customWidth="1"/>
    <col min="33" max="33" width="16.5703125" style="108" customWidth="1"/>
    <col min="34" max="34" width="18.5703125" style="108" customWidth="1"/>
    <col min="35" max="35" width="19.28515625" style="108" customWidth="1"/>
    <col min="36" max="36" width="15.5703125" style="108" customWidth="1"/>
    <col min="37" max="37" width="20.42578125" style="108" customWidth="1"/>
    <col min="38" max="38" width="21.28515625" style="108" customWidth="1"/>
    <col min="39" max="39" width="15.140625" style="108" customWidth="1"/>
    <col min="40" max="40" width="12.28515625" style="108" customWidth="1"/>
    <col min="41" max="41" width="30" style="108" customWidth="1"/>
    <col min="42" max="42" width="11.28515625" style="108" bestFit="1" customWidth="1"/>
    <col min="43" max="43" width="17.5703125" style="108" customWidth="1"/>
    <col min="44" max="44" width="13.28515625" style="108" customWidth="1"/>
    <col min="45" max="45" width="12.85546875" style="108" bestFit="1" customWidth="1"/>
    <col min="46" max="47" width="9.140625" style="108"/>
    <col min="48" max="48" width="19.28515625" style="108" customWidth="1"/>
    <col min="49" max="49" width="17.28515625" style="108" customWidth="1"/>
    <col min="50" max="52" width="9.140625" style="108"/>
    <col min="53" max="53" width="13.7109375" style="108" customWidth="1"/>
    <col min="54" max="54" width="13.5703125" style="108" customWidth="1"/>
    <col min="55" max="55" width="15.7109375" style="108" customWidth="1"/>
    <col min="56" max="280" width="9.140625" style="108"/>
    <col min="281" max="281" width="4.140625" style="108" customWidth="1"/>
    <col min="282" max="282" width="2" style="108" customWidth="1"/>
    <col min="283" max="283" width="18.85546875" style="108" customWidth="1"/>
    <col min="284" max="284" width="39" style="108" customWidth="1"/>
    <col min="285" max="285" width="19.5703125" style="108" customWidth="1"/>
    <col min="286" max="286" width="16" style="108" customWidth="1"/>
    <col min="287" max="287" width="20.85546875" style="108" customWidth="1"/>
    <col min="288" max="288" width="25.42578125" style="108" customWidth="1"/>
    <col min="289" max="289" width="16.5703125" style="108" customWidth="1"/>
    <col min="290" max="290" width="18.5703125" style="108" customWidth="1"/>
    <col min="291" max="291" width="19.28515625" style="108" customWidth="1"/>
    <col min="292" max="292" width="15.5703125" style="108" customWidth="1"/>
    <col min="293" max="293" width="20.42578125" style="108" customWidth="1"/>
    <col min="294" max="294" width="21.28515625" style="108" customWidth="1"/>
    <col min="295" max="295" width="15.140625" style="108" customWidth="1"/>
    <col min="296" max="296" width="12.28515625" style="108" customWidth="1"/>
    <col min="297" max="297" width="30" style="108" customWidth="1"/>
    <col min="298" max="298" width="11.28515625" style="108" bestFit="1" customWidth="1"/>
    <col min="299" max="299" width="17.5703125" style="108" customWidth="1"/>
    <col min="300" max="300" width="13.28515625" style="108" customWidth="1"/>
    <col min="301" max="301" width="12.85546875" style="108" bestFit="1" customWidth="1"/>
    <col min="302" max="303" width="9.140625" style="108"/>
    <col min="304" max="304" width="19.28515625" style="108" customWidth="1"/>
    <col min="305" max="305" width="17.28515625" style="108" customWidth="1"/>
    <col min="306" max="308" width="9.140625" style="108"/>
    <col min="309" max="309" width="13.7109375" style="108" customWidth="1"/>
    <col min="310" max="310" width="13.5703125" style="108" customWidth="1"/>
    <col min="311" max="311" width="15.7109375" style="108" customWidth="1"/>
    <col min="312" max="536" width="9.140625" style="108"/>
    <col min="537" max="537" width="4.140625" style="108" customWidth="1"/>
    <col min="538" max="538" width="2" style="108" customWidth="1"/>
    <col min="539" max="539" width="18.85546875" style="108" customWidth="1"/>
    <col min="540" max="540" width="39" style="108" customWidth="1"/>
    <col min="541" max="541" width="19.5703125" style="108" customWidth="1"/>
    <col min="542" max="542" width="16" style="108" customWidth="1"/>
    <col min="543" max="543" width="20.85546875" style="108" customWidth="1"/>
    <col min="544" max="544" width="25.42578125" style="108" customWidth="1"/>
    <col min="545" max="545" width="16.5703125" style="108" customWidth="1"/>
    <col min="546" max="546" width="18.5703125" style="108" customWidth="1"/>
    <col min="547" max="547" width="19.28515625" style="108" customWidth="1"/>
    <col min="548" max="548" width="15.5703125" style="108" customWidth="1"/>
    <col min="549" max="549" width="20.42578125" style="108" customWidth="1"/>
    <col min="550" max="550" width="21.28515625" style="108" customWidth="1"/>
    <col min="551" max="551" width="15.140625" style="108" customWidth="1"/>
    <col min="552" max="552" width="12.28515625" style="108" customWidth="1"/>
    <col min="553" max="553" width="30" style="108" customWidth="1"/>
    <col min="554" max="554" width="11.28515625" style="108" bestFit="1" customWidth="1"/>
    <col min="555" max="555" width="17.5703125" style="108" customWidth="1"/>
    <col min="556" max="556" width="13.28515625" style="108" customWidth="1"/>
    <col min="557" max="557" width="12.85546875" style="108" bestFit="1" customWidth="1"/>
    <col min="558" max="559" width="9.140625" style="108"/>
    <col min="560" max="560" width="19.28515625" style="108" customWidth="1"/>
    <col min="561" max="561" width="17.28515625" style="108" customWidth="1"/>
    <col min="562" max="564" width="9.140625" style="108"/>
    <col min="565" max="565" width="13.7109375" style="108" customWidth="1"/>
    <col min="566" max="566" width="13.5703125" style="108" customWidth="1"/>
    <col min="567" max="567" width="15.7109375" style="108" customWidth="1"/>
    <col min="568" max="792" width="9.140625" style="108"/>
    <col min="793" max="793" width="4.140625" style="108" customWidth="1"/>
    <col min="794" max="794" width="2" style="108" customWidth="1"/>
    <col min="795" max="795" width="18.85546875" style="108" customWidth="1"/>
    <col min="796" max="796" width="39" style="108" customWidth="1"/>
    <col min="797" max="797" width="19.5703125" style="108" customWidth="1"/>
    <col min="798" max="798" width="16" style="108" customWidth="1"/>
    <col min="799" max="799" width="20.85546875" style="108" customWidth="1"/>
    <col min="800" max="800" width="25.42578125" style="108" customWidth="1"/>
    <col min="801" max="801" width="16.5703125" style="108" customWidth="1"/>
    <col min="802" max="802" width="18.5703125" style="108" customWidth="1"/>
    <col min="803" max="803" width="19.28515625" style="108" customWidth="1"/>
    <col min="804" max="804" width="15.5703125" style="108" customWidth="1"/>
    <col min="805" max="805" width="20.42578125" style="108" customWidth="1"/>
    <col min="806" max="806" width="21.28515625" style="108" customWidth="1"/>
    <col min="807" max="807" width="15.140625" style="108" customWidth="1"/>
    <col min="808" max="808" width="12.28515625" style="108" customWidth="1"/>
    <col min="809" max="809" width="30" style="108" customWidth="1"/>
    <col min="810" max="810" width="11.28515625" style="108" bestFit="1" customWidth="1"/>
    <col min="811" max="811" width="17.5703125" style="108" customWidth="1"/>
    <col min="812" max="812" width="13.28515625" style="108" customWidth="1"/>
    <col min="813" max="813" width="12.85546875" style="108" bestFit="1" customWidth="1"/>
    <col min="814" max="815" width="9.140625" style="108"/>
    <col min="816" max="816" width="19.28515625" style="108" customWidth="1"/>
    <col min="817" max="817" width="17.28515625" style="108" customWidth="1"/>
    <col min="818" max="820" width="9.140625" style="108"/>
    <col min="821" max="821" width="13.7109375" style="108" customWidth="1"/>
    <col min="822" max="822" width="13.5703125" style="108" customWidth="1"/>
    <col min="823" max="823" width="15.7109375" style="108" customWidth="1"/>
    <col min="824" max="1048" width="9.140625" style="108"/>
    <col min="1049" max="1049" width="4.140625" style="108" customWidth="1"/>
    <col min="1050" max="1050" width="2" style="108" customWidth="1"/>
    <col min="1051" max="1051" width="18.85546875" style="108" customWidth="1"/>
    <col min="1052" max="1052" width="39" style="108" customWidth="1"/>
    <col min="1053" max="1053" width="19.5703125" style="108" customWidth="1"/>
    <col min="1054" max="1054" width="16" style="108" customWidth="1"/>
    <col min="1055" max="1055" width="20.85546875" style="108" customWidth="1"/>
    <col min="1056" max="1056" width="25.42578125" style="108" customWidth="1"/>
    <col min="1057" max="1057" width="16.5703125" style="108" customWidth="1"/>
    <col min="1058" max="1058" width="18.5703125" style="108" customWidth="1"/>
    <col min="1059" max="1059" width="19.28515625" style="108" customWidth="1"/>
    <col min="1060" max="1060" width="15.5703125" style="108" customWidth="1"/>
    <col min="1061" max="1061" width="20.42578125" style="108" customWidth="1"/>
    <col min="1062" max="1062" width="21.28515625" style="108" customWidth="1"/>
    <col min="1063" max="1063" width="15.140625" style="108" customWidth="1"/>
    <col min="1064" max="1064" width="12.28515625" style="108" customWidth="1"/>
    <col min="1065" max="1065" width="30" style="108" customWidth="1"/>
    <col min="1066" max="1066" width="11.28515625" style="108" bestFit="1" customWidth="1"/>
    <col min="1067" max="1067" width="17.5703125" style="108" customWidth="1"/>
    <col min="1068" max="1068" width="13.28515625" style="108" customWidth="1"/>
    <col min="1069" max="1069" width="12.85546875" style="108" bestFit="1" customWidth="1"/>
    <col min="1070" max="1071" width="9.140625" style="108"/>
    <col min="1072" max="1072" width="19.28515625" style="108" customWidth="1"/>
    <col min="1073" max="1073" width="17.28515625" style="108" customWidth="1"/>
    <col min="1074" max="1076" width="9.140625" style="108"/>
    <col min="1077" max="1077" width="13.7109375" style="108" customWidth="1"/>
    <col min="1078" max="1078" width="13.5703125" style="108" customWidth="1"/>
    <col min="1079" max="1079" width="15.7109375" style="108" customWidth="1"/>
    <col min="1080" max="1304" width="9.140625" style="108"/>
    <col min="1305" max="1305" width="4.140625" style="108" customWidth="1"/>
    <col min="1306" max="1306" width="2" style="108" customWidth="1"/>
    <col min="1307" max="1307" width="18.85546875" style="108" customWidth="1"/>
    <col min="1308" max="1308" width="39" style="108" customWidth="1"/>
    <col min="1309" max="1309" width="19.5703125" style="108" customWidth="1"/>
    <col min="1310" max="1310" width="16" style="108" customWidth="1"/>
    <col min="1311" max="1311" width="20.85546875" style="108" customWidth="1"/>
    <col min="1312" max="1312" width="25.42578125" style="108" customWidth="1"/>
    <col min="1313" max="1313" width="16.5703125" style="108" customWidth="1"/>
    <col min="1314" max="1314" width="18.5703125" style="108" customWidth="1"/>
    <col min="1315" max="1315" width="19.28515625" style="108" customWidth="1"/>
    <col min="1316" max="1316" width="15.5703125" style="108" customWidth="1"/>
    <col min="1317" max="1317" width="20.42578125" style="108" customWidth="1"/>
    <col min="1318" max="1318" width="21.28515625" style="108" customWidth="1"/>
    <col min="1319" max="1319" width="15.140625" style="108" customWidth="1"/>
    <col min="1320" max="1320" width="12.28515625" style="108" customWidth="1"/>
    <col min="1321" max="1321" width="30" style="108" customWidth="1"/>
    <col min="1322" max="1322" width="11.28515625" style="108" bestFit="1" customWidth="1"/>
    <col min="1323" max="1323" width="17.5703125" style="108" customWidth="1"/>
    <col min="1324" max="1324" width="13.28515625" style="108" customWidth="1"/>
    <col min="1325" max="1325" width="12.85546875" style="108" bestFit="1" customWidth="1"/>
    <col min="1326" max="1327" width="9.140625" style="108"/>
    <col min="1328" max="1328" width="19.28515625" style="108" customWidth="1"/>
    <col min="1329" max="1329" width="17.28515625" style="108" customWidth="1"/>
    <col min="1330" max="1332" width="9.140625" style="108"/>
    <col min="1333" max="1333" width="13.7109375" style="108" customWidth="1"/>
    <col min="1334" max="1334" width="13.5703125" style="108" customWidth="1"/>
    <col min="1335" max="1335" width="15.7109375" style="108" customWidth="1"/>
    <col min="1336" max="1560" width="9.140625" style="108"/>
    <col min="1561" max="1561" width="4.140625" style="108" customWidth="1"/>
    <col min="1562" max="1562" width="2" style="108" customWidth="1"/>
    <col min="1563" max="1563" width="18.85546875" style="108" customWidth="1"/>
    <col min="1564" max="1564" width="39" style="108" customWidth="1"/>
    <col min="1565" max="1565" width="19.5703125" style="108" customWidth="1"/>
    <col min="1566" max="1566" width="16" style="108" customWidth="1"/>
    <col min="1567" max="1567" width="20.85546875" style="108" customWidth="1"/>
    <col min="1568" max="1568" width="25.42578125" style="108" customWidth="1"/>
    <col min="1569" max="1569" width="16.5703125" style="108" customWidth="1"/>
    <col min="1570" max="1570" width="18.5703125" style="108" customWidth="1"/>
    <col min="1571" max="1571" width="19.28515625" style="108" customWidth="1"/>
    <col min="1572" max="1572" width="15.5703125" style="108" customWidth="1"/>
    <col min="1573" max="1573" width="20.42578125" style="108" customWidth="1"/>
    <col min="1574" max="1574" width="21.28515625" style="108" customWidth="1"/>
    <col min="1575" max="1575" width="15.140625" style="108" customWidth="1"/>
    <col min="1576" max="1576" width="12.28515625" style="108" customWidth="1"/>
    <col min="1577" max="1577" width="30" style="108" customWidth="1"/>
    <col min="1578" max="1578" width="11.28515625" style="108" bestFit="1" customWidth="1"/>
    <col min="1579" max="1579" width="17.5703125" style="108" customWidth="1"/>
    <col min="1580" max="1580" width="13.28515625" style="108" customWidth="1"/>
    <col min="1581" max="1581" width="12.85546875" style="108" bestFit="1" customWidth="1"/>
    <col min="1582" max="1583" width="9.140625" style="108"/>
    <col min="1584" max="1584" width="19.28515625" style="108" customWidth="1"/>
    <col min="1585" max="1585" width="17.28515625" style="108" customWidth="1"/>
    <col min="1586" max="1588" width="9.140625" style="108"/>
    <col min="1589" max="1589" width="13.7109375" style="108" customWidth="1"/>
    <col min="1590" max="1590" width="13.5703125" style="108" customWidth="1"/>
    <col min="1591" max="1591" width="15.7109375" style="108" customWidth="1"/>
    <col min="1592" max="1816" width="9.140625" style="108"/>
    <col min="1817" max="1817" width="4.140625" style="108" customWidth="1"/>
    <col min="1818" max="1818" width="2" style="108" customWidth="1"/>
    <col min="1819" max="1819" width="18.85546875" style="108" customWidth="1"/>
    <col min="1820" max="1820" width="39" style="108" customWidth="1"/>
    <col min="1821" max="1821" width="19.5703125" style="108" customWidth="1"/>
    <col min="1822" max="1822" width="16" style="108" customWidth="1"/>
    <col min="1823" max="1823" width="20.85546875" style="108" customWidth="1"/>
    <col min="1824" max="1824" width="25.42578125" style="108" customWidth="1"/>
    <col min="1825" max="1825" width="16.5703125" style="108" customWidth="1"/>
    <col min="1826" max="1826" width="18.5703125" style="108" customWidth="1"/>
    <col min="1827" max="1827" width="19.28515625" style="108" customWidth="1"/>
    <col min="1828" max="1828" width="15.5703125" style="108" customWidth="1"/>
    <col min="1829" max="1829" width="20.42578125" style="108" customWidth="1"/>
    <col min="1830" max="1830" width="21.28515625" style="108" customWidth="1"/>
    <col min="1831" max="1831" width="15.140625" style="108" customWidth="1"/>
    <col min="1832" max="1832" width="12.28515625" style="108" customWidth="1"/>
    <col min="1833" max="1833" width="30" style="108" customWidth="1"/>
    <col min="1834" max="1834" width="11.28515625" style="108" bestFit="1" customWidth="1"/>
    <col min="1835" max="1835" width="17.5703125" style="108" customWidth="1"/>
    <col min="1836" max="1836" width="13.28515625" style="108" customWidth="1"/>
    <col min="1837" max="1837" width="12.85546875" style="108" bestFit="1" customWidth="1"/>
    <col min="1838" max="1839" width="9.140625" style="108"/>
    <col min="1840" max="1840" width="19.28515625" style="108" customWidth="1"/>
    <col min="1841" max="1841" width="17.28515625" style="108" customWidth="1"/>
    <col min="1842" max="1844" width="9.140625" style="108"/>
    <col min="1845" max="1845" width="13.7109375" style="108" customWidth="1"/>
    <col min="1846" max="1846" width="13.5703125" style="108" customWidth="1"/>
    <col min="1847" max="1847" width="15.7109375" style="108" customWidth="1"/>
    <col min="1848" max="2072" width="9.140625" style="108"/>
    <col min="2073" max="2073" width="4.140625" style="108" customWidth="1"/>
    <col min="2074" max="2074" width="2" style="108" customWidth="1"/>
    <col min="2075" max="2075" width="18.85546875" style="108" customWidth="1"/>
    <col min="2076" max="2076" width="39" style="108" customWidth="1"/>
    <col min="2077" max="2077" width="19.5703125" style="108" customWidth="1"/>
    <col min="2078" max="2078" width="16" style="108" customWidth="1"/>
    <col min="2079" max="2079" width="20.85546875" style="108" customWidth="1"/>
    <col min="2080" max="2080" width="25.42578125" style="108" customWidth="1"/>
    <col min="2081" max="2081" width="16.5703125" style="108" customWidth="1"/>
    <col min="2082" max="2082" width="18.5703125" style="108" customWidth="1"/>
    <col min="2083" max="2083" width="19.28515625" style="108" customWidth="1"/>
    <col min="2084" max="2084" width="15.5703125" style="108" customWidth="1"/>
    <col min="2085" max="2085" width="20.42578125" style="108" customWidth="1"/>
    <col min="2086" max="2086" width="21.28515625" style="108" customWidth="1"/>
    <col min="2087" max="2087" width="15.140625" style="108" customWidth="1"/>
    <col min="2088" max="2088" width="12.28515625" style="108" customWidth="1"/>
    <col min="2089" max="2089" width="30" style="108" customWidth="1"/>
    <col min="2090" max="2090" width="11.28515625" style="108" bestFit="1" customWidth="1"/>
    <col min="2091" max="2091" width="17.5703125" style="108" customWidth="1"/>
    <col min="2092" max="2092" width="13.28515625" style="108" customWidth="1"/>
    <col min="2093" max="2093" width="12.85546875" style="108" bestFit="1" customWidth="1"/>
    <col min="2094" max="2095" width="9.140625" style="108"/>
    <col min="2096" max="2096" width="19.28515625" style="108" customWidth="1"/>
    <col min="2097" max="2097" width="17.28515625" style="108" customWidth="1"/>
    <col min="2098" max="2100" width="9.140625" style="108"/>
    <col min="2101" max="2101" width="13.7109375" style="108" customWidth="1"/>
    <col min="2102" max="2102" width="13.5703125" style="108" customWidth="1"/>
    <col min="2103" max="2103" width="15.7109375" style="108" customWidth="1"/>
    <col min="2104" max="2328" width="9.140625" style="108"/>
    <col min="2329" max="2329" width="4.140625" style="108" customWidth="1"/>
    <col min="2330" max="2330" width="2" style="108" customWidth="1"/>
    <col min="2331" max="2331" width="18.85546875" style="108" customWidth="1"/>
    <col min="2332" max="2332" width="39" style="108" customWidth="1"/>
    <col min="2333" max="2333" width="19.5703125" style="108" customWidth="1"/>
    <col min="2334" max="2334" width="16" style="108" customWidth="1"/>
    <col min="2335" max="2335" width="20.85546875" style="108" customWidth="1"/>
    <col min="2336" max="2336" width="25.42578125" style="108" customWidth="1"/>
    <col min="2337" max="2337" width="16.5703125" style="108" customWidth="1"/>
    <col min="2338" max="2338" width="18.5703125" style="108" customWidth="1"/>
    <col min="2339" max="2339" width="19.28515625" style="108" customWidth="1"/>
    <col min="2340" max="2340" width="15.5703125" style="108" customWidth="1"/>
    <col min="2341" max="2341" width="20.42578125" style="108" customWidth="1"/>
    <col min="2342" max="2342" width="21.28515625" style="108" customWidth="1"/>
    <col min="2343" max="2343" width="15.140625" style="108" customWidth="1"/>
    <col min="2344" max="2344" width="12.28515625" style="108" customWidth="1"/>
    <col min="2345" max="2345" width="30" style="108" customWidth="1"/>
    <col min="2346" max="2346" width="11.28515625" style="108" bestFit="1" customWidth="1"/>
    <col min="2347" max="2347" width="17.5703125" style="108" customWidth="1"/>
    <col min="2348" max="2348" width="13.28515625" style="108" customWidth="1"/>
    <col min="2349" max="2349" width="12.85546875" style="108" bestFit="1" customWidth="1"/>
    <col min="2350" max="2351" width="9.140625" style="108"/>
    <col min="2352" max="2352" width="19.28515625" style="108" customWidth="1"/>
    <col min="2353" max="2353" width="17.28515625" style="108" customWidth="1"/>
    <col min="2354" max="2356" width="9.140625" style="108"/>
    <col min="2357" max="2357" width="13.7109375" style="108" customWidth="1"/>
    <col min="2358" max="2358" width="13.5703125" style="108" customWidth="1"/>
    <col min="2359" max="2359" width="15.7109375" style="108" customWidth="1"/>
    <col min="2360" max="2584" width="9.140625" style="108"/>
    <col min="2585" max="2585" width="4.140625" style="108" customWidth="1"/>
    <col min="2586" max="2586" width="2" style="108" customWidth="1"/>
    <col min="2587" max="2587" width="18.85546875" style="108" customWidth="1"/>
    <col min="2588" max="2588" width="39" style="108" customWidth="1"/>
    <col min="2589" max="2589" width="19.5703125" style="108" customWidth="1"/>
    <col min="2590" max="2590" width="16" style="108" customWidth="1"/>
    <col min="2591" max="2591" width="20.85546875" style="108" customWidth="1"/>
    <col min="2592" max="2592" width="25.42578125" style="108" customWidth="1"/>
    <col min="2593" max="2593" width="16.5703125" style="108" customWidth="1"/>
    <col min="2594" max="2594" width="18.5703125" style="108" customWidth="1"/>
    <col min="2595" max="2595" width="19.28515625" style="108" customWidth="1"/>
    <col min="2596" max="2596" width="15.5703125" style="108" customWidth="1"/>
    <col min="2597" max="2597" width="20.42578125" style="108" customWidth="1"/>
    <col min="2598" max="2598" width="21.28515625" style="108" customWidth="1"/>
    <col min="2599" max="2599" width="15.140625" style="108" customWidth="1"/>
    <col min="2600" max="2600" width="12.28515625" style="108" customWidth="1"/>
    <col min="2601" max="2601" width="30" style="108" customWidth="1"/>
    <col min="2602" max="2602" width="11.28515625" style="108" bestFit="1" customWidth="1"/>
    <col min="2603" max="2603" width="17.5703125" style="108" customWidth="1"/>
    <col min="2604" max="2604" width="13.28515625" style="108" customWidth="1"/>
    <col min="2605" max="2605" width="12.85546875" style="108" bestFit="1" customWidth="1"/>
    <col min="2606" max="2607" width="9.140625" style="108"/>
    <col min="2608" max="2608" width="19.28515625" style="108" customWidth="1"/>
    <col min="2609" max="2609" width="17.28515625" style="108" customWidth="1"/>
    <col min="2610" max="2612" width="9.140625" style="108"/>
    <col min="2613" max="2613" width="13.7109375" style="108" customWidth="1"/>
    <col min="2614" max="2614" width="13.5703125" style="108" customWidth="1"/>
    <col min="2615" max="2615" width="15.7109375" style="108" customWidth="1"/>
    <col min="2616" max="2840" width="9.140625" style="108"/>
    <col min="2841" max="2841" width="4.140625" style="108" customWidth="1"/>
    <col min="2842" max="2842" width="2" style="108" customWidth="1"/>
    <col min="2843" max="2843" width="18.85546875" style="108" customWidth="1"/>
    <col min="2844" max="2844" width="39" style="108" customWidth="1"/>
    <col min="2845" max="2845" width="19.5703125" style="108" customWidth="1"/>
    <col min="2846" max="2846" width="16" style="108" customWidth="1"/>
    <col min="2847" max="2847" width="20.85546875" style="108" customWidth="1"/>
    <col min="2848" max="2848" width="25.42578125" style="108" customWidth="1"/>
    <col min="2849" max="2849" width="16.5703125" style="108" customWidth="1"/>
    <col min="2850" max="2850" width="18.5703125" style="108" customWidth="1"/>
    <col min="2851" max="2851" width="19.28515625" style="108" customWidth="1"/>
    <col min="2852" max="2852" width="15.5703125" style="108" customWidth="1"/>
    <col min="2853" max="2853" width="20.42578125" style="108" customWidth="1"/>
    <col min="2854" max="2854" width="21.28515625" style="108" customWidth="1"/>
    <col min="2855" max="2855" width="15.140625" style="108" customWidth="1"/>
    <col min="2856" max="2856" width="12.28515625" style="108" customWidth="1"/>
    <col min="2857" max="2857" width="30" style="108" customWidth="1"/>
    <col min="2858" max="2858" width="11.28515625" style="108" bestFit="1" customWidth="1"/>
    <col min="2859" max="2859" width="17.5703125" style="108" customWidth="1"/>
    <col min="2860" max="2860" width="13.28515625" style="108" customWidth="1"/>
    <col min="2861" max="2861" width="12.85546875" style="108" bestFit="1" customWidth="1"/>
    <col min="2862" max="2863" width="9.140625" style="108"/>
    <col min="2864" max="2864" width="19.28515625" style="108" customWidth="1"/>
    <col min="2865" max="2865" width="17.28515625" style="108" customWidth="1"/>
    <col min="2866" max="2868" width="9.140625" style="108"/>
    <col min="2869" max="2869" width="13.7109375" style="108" customWidth="1"/>
    <col min="2870" max="2870" width="13.5703125" style="108" customWidth="1"/>
    <col min="2871" max="2871" width="15.7109375" style="108" customWidth="1"/>
    <col min="2872" max="3096" width="9.140625" style="108"/>
    <col min="3097" max="3097" width="4.140625" style="108" customWidth="1"/>
    <col min="3098" max="3098" width="2" style="108" customWidth="1"/>
    <col min="3099" max="3099" width="18.85546875" style="108" customWidth="1"/>
    <col min="3100" max="3100" width="39" style="108" customWidth="1"/>
    <col min="3101" max="3101" width="19.5703125" style="108" customWidth="1"/>
    <col min="3102" max="3102" width="16" style="108" customWidth="1"/>
    <col min="3103" max="3103" width="20.85546875" style="108" customWidth="1"/>
    <col min="3104" max="3104" width="25.42578125" style="108" customWidth="1"/>
    <col min="3105" max="3105" width="16.5703125" style="108" customWidth="1"/>
    <col min="3106" max="3106" width="18.5703125" style="108" customWidth="1"/>
    <col min="3107" max="3107" width="19.28515625" style="108" customWidth="1"/>
    <col min="3108" max="3108" width="15.5703125" style="108" customWidth="1"/>
    <col min="3109" max="3109" width="20.42578125" style="108" customWidth="1"/>
    <col min="3110" max="3110" width="21.28515625" style="108" customWidth="1"/>
    <col min="3111" max="3111" width="15.140625" style="108" customWidth="1"/>
    <col min="3112" max="3112" width="12.28515625" style="108" customWidth="1"/>
    <col min="3113" max="3113" width="30" style="108" customWidth="1"/>
    <col min="3114" max="3114" width="11.28515625" style="108" bestFit="1" customWidth="1"/>
    <col min="3115" max="3115" width="17.5703125" style="108" customWidth="1"/>
    <col min="3116" max="3116" width="13.28515625" style="108" customWidth="1"/>
    <col min="3117" max="3117" width="12.85546875" style="108" bestFit="1" customWidth="1"/>
    <col min="3118" max="3119" width="9.140625" style="108"/>
    <col min="3120" max="3120" width="19.28515625" style="108" customWidth="1"/>
    <col min="3121" max="3121" width="17.28515625" style="108" customWidth="1"/>
    <col min="3122" max="3124" width="9.140625" style="108"/>
    <col min="3125" max="3125" width="13.7109375" style="108" customWidth="1"/>
    <col min="3126" max="3126" width="13.5703125" style="108" customWidth="1"/>
    <col min="3127" max="3127" width="15.7109375" style="108" customWidth="1"/>
    <col min="3128" max="3352" width="9.140625" style="108"/>
    <col min="3353" max="3353" width="4.140625" style="108" customWidth="1"/>
    <col min="3354" max="3354" width="2" style="108" customWidth="1"/>
    <col min="3355" max="3355" width="18.85546875" style="108" customWidth="1"/>
    <col min="3356" max="3356" width="39" style="108" customWidth="1"/>
    <col min="3357" max="3357" width="19.5703125" style="108" customWidth="1"/>
    <col min="3358" max="3358" width="16" style="108" customWidth="1"/>
    <col min="3359" max="3359" width="20.85546875" style="108" customWidth="1"/>
    <col min="3360" max="3360" width="25.42578125" style="108" customWidth="1"/>
    <col min="3361" max="3361" width="16.5703125" style="108" customWidth="1"/>
    <col min="3362" max="3362" width="18.5703125" style="108" customWidth="1"/>
    <col min="3363" max="3363" width="19.28515625" style="108" customWidth="1"/>
    <col min="3364" max="3364" width="15.5703125" style="108" customWidth="1"/>
    <col min="3365" max="3365" width="20.42578125" style="108" customWidth="1"/>
    <col min="3366" max="3366" width="21.28515625" style="108" customWidth="1"/>
    <col min="3367" max="3367" width="15.140625" style="108" customWidth="1"/>
    <col min="3368" max="3368" width="12.28515625" style="108" customWidth="1"/>
    <col min="3369" max="3369" width="30" style="108" customWidth="1"/>
    <col min="3370" max="3370" width="11.28515625" style="108" bestFit="1" customWidth="1"/>
    <col min="3371" max="3371" width="17.5703125" style="108" customWidth="1"/>
    <col min="3372" max="3372" width="13.28515625" style="108" customWidth="1"/>
    <col min="3373" max="3373" width="12.85546875" style="108" bestFit="1" customWidth="1"/>
    <col min="3374" max="3375" width="9.140625" style="108"/>
    <col min="3376" max="3376" width="19.28515625" style="108" customWidth="1"/>
    <col min="3377" max="3377" width="17.28515625" style="108" customWidth="1"/>
    <col min="3378" max="3380" width="9.140625" style="108"/>
    <col min="3381" max="3381" width="13.7109375" style="108" customWidth="1"/>
    <col min="3382" max="3382" width="13.5703125" style="108" customWidth="1"/>
    <col min="3383" max="3383" width="15.7109375" style="108" customWidth="1"/>
    <col min="3384" max="3608" width="9.140625" style="108"/>
    <col min="3609" max="3609" width="4.140625" style="108" customWidth="1"/>
    <col min="3610" max="3610" width="2" style="108" customWidth="1"/>
    <col min="3611" max="3611" width="18.85546875" style="108" customWidth="1"/>
    <col min="3612" max="3612" width="39" style="108" customWidth="1"/>
    <col min="3613" max="3613" width="19.5703125" style="108" customWidth="1"/>
    <col min="3614" max="3614" width="16" style="108" customWidth="1"/>
    <col min="3615" max="3615" width="20.85546875" style="108" customWidth="1"/>
    <col min="3616" max="3616" width="25.42578125" style="108" customWidth="1"/>
    <col min="3617" max="3617" width="16.5703125" style="108" customWidth="1"/>
    <col min="3618" max="3618" width="18.5703125" style="108" customWidth="1"/>
    <col min="3619" max="3619" width="19.28515625" style="108" customWidth="1"/>
    <col min="3620" max="3620" width="15.5703125" style="108" customWidth="1"/>
    <col min="3621" max="3621" width="20.42578125" style="108" customWidth="1"/>
    <col min="3622" max="3622" width="21.28515625" style="108" customWidth="1"/>
    <col min="3623" max="3623" width="15.140625" style="108" customWidth="1"/>
    <col min="3624" max="3624" width="12.28515625" style="108" customWidth="1"/>
    <col min="3625" max="3625" width="30" style="108" customWidth="1"/>
    <col min="3626" max="3626" width="11.28515625" style="108" bestFit="1" customWidth="1"/>
    <col min="3627" max="3627" width="17.5703125" style="108" customWidth="1"/>
    <col min="3628" max="3628" width="13.28515625" style="108" customWidth="1"/>
    <col min="3629" max="3629" width="12.85546875" style="108" bestFit="1" customWidth="1"/>
    <col min="3630" max="3631" width="9.140625" style="108"/>
    <col min="3632" max="3632" width="19.28515625" style="108" customWidth="1"/>
    <col min="3633" max="3633" width="17.28515625" style="108" customWidth="1"/>
    <col min="3634" max="3636" width="9.140625" style="108"/>
    <col min="3637" max="3637" width="13.7109375" style="108" customWidth="1"/>
    <col min="3638" max="3638" width="13.5703125" style="108" customWidth="1"/>
    <col min="3639" max="3639" width="15.7109375" style="108" customWidth="1"/>
    <col min="3640" max="3864" width="9.140625" style="108"/>
    <col min="3865" max="3865" width="4.140625" style="108" customWidth="1"/>
    <col min="3866" max="3866" width="2" style="108" customWidth="1"/>
    <col min="3867" max="3867" width="18.85546875" style="108" customWidth="1"/>
    <col min="3868" max="3868" width="39" style="108" customWidth="1"/>
    <col min="3869" max="3869" width="19.5703125" style="108" customWidth="1"/>
    <col min="3870" max="3870" width="16" style="108" customWidth="1"/>
    <col min="3871" max="3871" width="20.85546875" style="108" customWidth="1"/>
    <col min="3872" max="3872" width="25.42578125" style="108" customWidth="1"/>
    <col min="3873" max="3873" width="16.5703125" style="108" customWidth="1"/>
    <col min="3874" max="3874" width="18.5703125" style="108" customWidth="1"/>
    <col min="3875" max="3875" width="19.28515625" style="108" customWidth="1"/>
    <col min="3876" max="3876" width="15.5703125" style="108" customWidth="1"/>
    <col min="3877" max="3877" width="20.42578125" style="108" customWidth="1"/>
    <col min="3878" max="3878" width="21.28515625" style="108" customWidth="1"/>
    <col min="3879" max="3879" width="15.140625" style="108" customWidth="1"/>
    <col min="3880" max="3880" width="12.28515625" style="108" customWidth="1"/>
    <col min="3881" max="3881" width="30" style="108" customWidth="1"/>
    <col min="3882" max="3882" width="11.28515625" style="108" bestFit="1" customWidth="1"/>
    <col min="3883" max="3883" width="17.5703125" style="108" customWidth="1"/>
    <col min="3884" max="3884" width="13.28515625" style="108" customWidth="1"/>
    <col min="3885" max="3885" width="12.85546875" style="108" bestFit="1" customWidth="1"/>
    <col min="3886" max="3887" width="9.140625" style="108"/>
    <col min="3888" max="3888" width="19.28515625" style="108" customWidth="1"/>
    <col min="3889" max="3889" width="17.28515625" style="108" customWidth="1"/>
    <col min="3890" max="3892" width="9.140625" style="108"/>
    <col min="3893" max="3893" width="13.7109375" style="108" customWidth="1"/>
    <col min="3894" max="3894" width="13.5703125" style="108" customWidth="1"/>
    <col min="3895" max="3895" width="15.7109375" style="108" customWidth="1"/>
    <col min="3896" max="4120" width="9.140625" style="108"/>
    <col min="4121" max="4121" width="4.140625" style="108" customWidth="1"/>
    <col min="4122" max="4122" width="2" style="108" customWidth="1"/>
    <col min="4123" max="4123" width="18.85546875" style="108" customWidth="1"/>
    <col min="4124" max="4124" width="39" style="108" customWidth="1"/>
    <col min="4125" max="4125" width="19.5703125" style="108" customWidth="1"/>
    <col min="4126" max="4126" width="16" style="108" customWidth="1"/>
    <col min="4127" max="4127" width="20.85546875" style="108" customWidth="1"/>
    <col min="4128" max="4128" width="25.42578125" style="108" customWidth="1"/>
    <col min="4129" max="4129" width="16.5703125" style="108" customWidth="1"/>
    <col min="4130" max="4130" width="18.5703125" style="108" customWidth="1"/>
    <col min="4131" max="4131" width="19.28515625" style="108" customWidth="1"/>
    <col min="4132" max="4132" width="15.5703125" style="108" customWidth="1"/>
    <col min="4133" max="4133" width="20.42578125" style="108" customWidth="1"/>
    <col min="4134" max="4134" width="21.28515625" style="108" customWidth="1"/>
    <col min="4135" max="4135" width="15.140625" style="108" customWidth="1"/>
    <col min="4136" max="4136" width="12.28515625" style="108" customWidth="1"/>
    <col min="4137" max="4137" width="30" style="108" customWidth="1"/>
    <col min="4138" max="4138" width="11.28515625" style="108" bestFit="1" customWidth="1"/>
    <col min="4139" max="4139" width="17.5703125" style="108" customWidth="1"/>
    <col min="4140" max="4140" width="13.28515625" style="108" customWidth="1"/>
    <col min="4141" max="4141" width="12.85546875" style="108" bestFit="1" customWidth="1"/>
    <col min="4142" max="4143" width="9.140625" style="108"/>
    <col min="4144" max="4144" width="19.28515625" style="108" customWidth="1"/>
    <col min="4145" max="4145" width="17.28515625" style="108" customWidth="1"/>
    <col min="4146" max="4148" width="9.140625" style="108"/>
    <col min="4149" max="4149" width="13.7109375" style="108" customWidth="1"/>
    <col min="4150" max="4150" width="13.5703125" style="108" customWidth="1"/>
    <col min="4151" max="4151" width="15.7109375" style="108" customWidth="1"/>
    <col min="4152" max="4376" width="9.140625" style="108"/>
    <col min="4377" max="4377" width="4.140625" style="108" customWidth="1"/>
    <col min="4378" max="4378" width="2" style="108" customWidth="1"/>
    <col min="4379" max="4379" width="18.85546875" style="108" customWidth="1"/>
    <col min="4380" max="4380" width="39" style="108" customWidth="1"/>
    <col min="4381" max="4381" width="19.5703125" style="108" customWidth="1"/>
    <col min="4382" max="4382" width="16" style="108" customWidth="1"/>
    <col min="4383" max="4383" width="20.85546875" style="108" customWidth="1"/>
    <col min="4384" max="4384" width="25.42578125" style="108" customWidth="1"/>
    <col min="4385" max="4385" width="16.5703125" style="108" customWidth="1"/>
    <col min="4386" max="4386" width="18.5703125" style="108" customWidth="1"/>
    <col min="4387" max="4387" width="19.28515625" style="108" customWidth="1"/>
    <col min="4388" max="4388" width="15.5703125" style="108" customWidth="1"/>
    <col min="4389" max="4389" width="20.42578125" style="108" customWidth="1"/>
    <col min="4390" max="4390" width="21.28515625" style="108" customWidth="1"/>
    <col min="4391" max="4391" width="15.140625" style="108" customWidth="1"/>
    <col min="4392" max="4392" width="12.28515625" style="108" customWidth="1"/>
    <col min="4393" max="4393" width="30" style="108" customWidth="1"/>
    <col min="4394" max="4394" width="11.28515625" style="108" bestFit="1" customWidth="1"/>
    <col min="4395" max="4395" width="17.5703125" style="108" customWidth="1"/>
    <col min="4396" max="4396" width="13.28515625" style="108" customWidth="1"/>
    <col min="4397" max="4397" width="12.85546875" style="108" bestFit="1" customWidth="1"/>
    <col min="4398" max="4399" width="9.140625" style="108"/>
    <col min="4400" max="4400" width="19.28515625" style="108" customWidth="1"/>
    <col min="4401" max="4401" width="17.28515625" style="108" customWidth="1"/>
    <col min="4402" max="4404" width="9.140625" style="108"/>
    <col min="4405" max="4405" width="13.7109375" style="108" customWidth="1"/>
    <col min="4406" max="4406" width="13.5703125" style="108" customWidth="1"/>
    <col min="4407" max="4407" width="15.7109375" style="108" customWidth="1"/>
    <col min="4408" max="4632" width="9.140625" style="108"/>
    <col min="4633" max="4633" width="4.140625" style="108" customWidth="1"/>
    <col min="4634" max="4634" width="2" style="108" customWidth="1"/>
    <col min="4635" max="4635" width="18.85546875" style="108" customWidth="1"/>
    <col min="4636" max="4636" width="39" style="108" customWidth="1"/>
    <col min="4637" max="4637" width="19.5703125" style="108" customWidth="1"/>
    <col min="4638" max="4638" width="16" style="108" customWidth="1"/>
    <col min="4639" max="4639" width="20.85546875" style="108" customWidth="1"/>
    <col min="4640" max="4640" width="25.42578125" style="108" customWidth="1"/>
    <col min="4641" max="4641" width="16.5703125" style="108" customWidth="1"/>
    <col min="4642" max="4642" width="18.5703125" style="108" customWidth="1"/>
    <col min="4643" max="4643" width="19.28515625" style="108" customWidth="1"/>
    <col min="4644" max="4644" width="15.5703125" style="108" customWidth="1"/>
    <col min="4645" max="4645" width="20.42578125" style="108" customWidth="1"/>
    <col min="4646" max="4646" width="21.28515625" style="108" customWidth="1"/>
    <col min="4647" max="4647" width="15.140625" style="108" customWidth="1"/>
    <col min="4648" max="4648" width="12.28515625" style="108" customWidth="1"/>
    <col min="4649" max="4649" width="30" style="108" customWidth="1"/>
    <col min="4650" max="4650" width="11.28515625" style="108" bestFit="1" customWidth="1"/>
    <col min="4651" max="4651" width="17.5703125" style="108" customWidth="1"/>
    <col min="4652" max="4652" width="13.28515625" style="108" customWidth="1"/>
    <col min="4653" max="4653" width="12.85546875" style="108" bestFit="1" customWidth="1"/>
    <col min="4654" max="4655" width="9.140625" style="108"/>
    <col min="4656" max="4656" width="19.28515625" style="108" customWidth="1"/>
    <col min="4657" max="4657" width="17.28515625" style="108" customWidth="1"/>
    <col min="4658" max="4660" width="9.140625" style="108"/>
    <col min="4661" max="4661" width="13.7109375" style="108" customWidth="1"/>
    <col min="4662" max="4662" width="13.5703125" style="108" customWidth="1"/>
    <col min="4663" max="4663" width="15.7109375" style="108" customWidth="1"/>
    <col min="4664" max="4888" width="9.140625" style="108"/>
    <col min="4889" max="4889" width="4.140625" style="108" customWidth="1"/>
    <col min="4890" max="4890" width="2" style="108" customWidth="1"/>
    <col min="4891" max="4891" width="18.85546875" style="108" customWidth="1"/>
    <col min="4892" max="4892" width="39" style="108" customWidth="1"/>
    <col min="4893" max="4893" width="19.5703125" style="108" customWidth="1"/>
    <col min="4894" max="4894" width="16" style="108" customWidth="1"/>
    <col min="4895" max="4895" width="20.85546875" style="108" customWidth="1"/>
    <col min="4896" max="4896" width="25.42578125" style="108" customWidth="1"/>
    <col min="4897" max="4897" width="16.5703125" style="108" customWidth="1"/>
    <col min="4898" max="4898" width="18.5703125" style="108" customWidth="1"/>
    <col min="4899" max="4899" width="19.28515625" style="108" customWidth="1"/>
    <col min="4900" max="4900" width="15.5703125" style="108" customWidth="1"/>
    <col min="4901" max="4901" width="20.42578125" style="108" customWidth="1"/>
    <col min="4902" max="4902" width="21.28515625" style="108" customWidth="1"/>
    <col min="4903" max="4903" width="15.140625" style="108" customWidth="1"/>
    <col min="4904" max="4904" width="12.28515625" style="108" customWidth="1"/>
    <col min="4905" max="4905" width="30" style="108" customWidth="1"/>
    <col min="4906" max="4906" width="11.28515625" style="108" bestFit="1" customWidth="1"/>
    <col min="4907" max="4907" width="17.5703125" style="108" customWidth="1"/>
    <col min="4908" max="4908" width="13.28515625" style="108" customWidth="1"/>
    <col min="4909" max="4909" width="12.85546875" style="108" bestFit="1" customWidth="1"/>
    <col min="4910" max="4911" width="9.140625" style="108"/>
    <col min="4912" max="4912" width="19.28515625" style="108" customWidth="1"/>
    <col min="4913" max="4913" width="17.28515625" style="108" customWidth="1"/>
    <col min="4914" max="4916" width="9.140625" style="108"/>
    <col min="4917" max="4917" width="13.7109375" style="108" customWidth="1"/>
    <col min="4918" max="4918" width="13.5703125" style="108" customWidth="1"/>
    <col min="4919" max="4919" width="15.7109375" style="108" customWidth="1"/>
    <col min="4920" max="5144" width="9.140625" style="108"/>
    <col min="5145" max="5145" width="4.140625" style="108" customWidth="1"/>
    <col min="5146" max="5146" width="2" style="108" customWidth="1"/>
    <col min="5147" max="5147" width="18.85546875" style="108" customWidth="1"/>
    <col min="5148" max="5148" width="39" style="108" customWidth="1"/>
    <col min="5149" max="5149" width="19.5703125" style="108" customWidth="1"/>
    <col min="5150" max="5150" width="16" style="108" customWidth="1"/>
    <col min="5151" max="5151" width="20.85546875" style="108" customWidth="1"/>
    <col min="5152" max="5152" width="25.42578125" style="108" customWidth="1"/>
    <col min="5153" max="5153" width="16.5703125" style="108" customWidth="1"/>
    <col min="5154" max="5154" width="18.5703125" style="108" customWidth="1"/>
    <col min="5155" max="5155" width="19.28515625" style="108" customWidth="1"/>
    <col min="5156" max="5156" width="15.5703125" style="108" customWidth="1"/>
    <col min="5157" max="5157" width="20.42578125" style="108" customWidth="1"/>
    <col min="5158" max="5158" width="21.28515625" style="108" customWidth="1"/>
    <col min="5159" max="5159" width="15.140625" style="108" customWidth="1"/>
    <col min="5160" max="5160" width="12.28515625" style="108" customWidth="1"/>
    <col min="5161" max="5161" width="30" style="108" customWidth="1"/>
    <col min="5162" max="5162" width="11.28515625" style="108" bestFit="1" customWidth="1"/>
    <col min="5163" max="5163" width="17.5703125" style="108" customWidth="1"/>
    <col min="5164" max="5164" width="13.28515625" style="108" customWidth="1"/>
    <col min="5165" max="5165" width="12.85546875" style="108" bestFit="1" customWidth="1"/>
    <col min="5166" max="5167" width="9.140625" style="108"/>
    <col min="5168" max="5168" width="19.28515625" style="108" customWidth="1"/>
    <col min="5169" max="5169" width="17.28515625" style="108" customWidth="1"/>
    <col min="5170" max="5172" width="9.140625" style="108"/>
    <col min="5173" max="5173" width="13.7109375" style="108" customWidth="1"/>
    <col min="5174" max="5174" width="13.5703125" style="108" customWidth="1"/>
    <col min="5175" max="5175" width="15.7109375" style="108" customWidth="1"/>
    <col min="5176" max="5400" width="9.140625" style="108"/>
    <col min="5401" max="5401" width="4.140625" style="108" customWidth="1"/>
    <col min="5402" max="5402" width="2" style="108" customWidth="1"/>
    <col min="5403" max="5403" width="18.85546875" style="108" customWidth="1"/>
    <col min="5404" max="5404" width="39" style="108" customWidth="1"/>
    <col min="5405" max="5405" width="19.5703125" style="108" customWidth="1"/>
    <col min="5406" max="5406" width="16" style="108" customWidth="1"/>
    <col min="5407" max="5407" width="20.85546875" style="108" customWidth="1"/>
    <col min="5408" max="5408" width="25.42578125" style="108" customWidth="1"/>
    <col min="5409" max="5409" width="16.5703125" style="108" customWidth="1"/>
    <col min="5410" max="5410" width="18.5703125" style="108" customWidth="1"/>
    <col min="5411" max="5411" width="19.28515625" style="108" customWidth="1"/>
    <col min="5412" max="5412" width="15.5703125" style="108" customWidth="1"/>
    <col min="5413" max="5413" width="20.42578125" style="108" customWidth="1"/>
    <col min="5414" max="5414" width="21.28515625" style="108" customWidth="1"/>
    <col min="5415" max="5415" width="15.140625" style="108" customWidth="1"/>
    <col min="5416" max="5416" width="12.28515625" style="108" customWidth="1"/>
    <col min="5417" max="5417" width="30" style="108" customWidth="1"/>
    <col min="5418" max="5418" width="11.28515625" style="108" bestFit="1" customWidth="1"/>
    <col min="5419" max="5419" width="17.5703125" style="108" customWidth="1"/>
    <col min="5420" max="5420" width="13.28515625" style="108" customWidth="1"/>
    <col min="5421" max="5421" width="12.85546875" style="108" bestFit="1" customWidth="1"/>
    <col min="5422" max="5423" width="9.140625" style="108"/>
    <col min="5424" max="5424" width="19.28515625" style="108" customWidth="1"/>
    <col min="5425" max="5425" width="17.28515625" style="108" customWidth="1"/>
    <col min="5426" max="5428" width="9.140625" style="108"/>
    <col min="5429" max="5429" width="13.7109375" style="108" customWidth="1"/>
    <col min="5430" max="5430" width="13.5703125" style="108" customWidth="1"/>
    <col min="5431" max="5431" width="15.7109375" style="108" customWidth="1"/>
    <col min="5432" max="5656" width="9.140625" style="108"/>
    <col min="5657" max="5657" width="4.140625" style="108" customWidth="1"/>
    <col min="5658" max="5658" width="2" style="108" customWidth="1"/>
    <col min="5659" max="5659" width="18.85546875" style="108" customWidth="1"/>
    <col min="5660" max="5660" width="39" style="108" customWidth="1"/>
    <col min="5661" max="5661" width="19.5703125" style="108" customWidth="1"/>
    <col min="5662" max="5662" width="16" style="108" customWidth="1"/>
    <col min="5663" max="5663" width="20.85546875" style="108" customWidth="1"/>
    <col min="5664" max="5664" width="25.42578125" style="108" customWidth="1"/>
    <col min="5665" max="5665" width="16.5703125" style="108" customWidth="1"/>
    <col min="5666" max="5666" width="18.5703125" style="108" customWidth="1"/>
    <col min="5667" max="5667" width="19.28515625" style="108" customWidth="1"/>
    <col min="5668" max="5668" width="15.5703125" style="108" customWidth="1"/>
    <col min="5669" max="5669" width="20.42578125" style="108" customWidth="1"/>
    <col min="5670" max="5670" width="21.28515625" style="108" customWidth="1"/>
    <col min="5671" max="5671" width="15.140625" style="108" customWidth="1"/>
    <col min="5672" max="5672" width="12.28515625" style="108" customWidth="1"/>
    <col min="5673" max="5673" width="30" style="108" customWidth="1"/>
    <col min="5674" max="5674" width="11.28515625" style="108" bestFit="1" customWidth="1"/>
    <col min="5675" max="5675" width="17.5703125" style="108" customWidth="1"/>
    <col min="5676" max="5676" width="13.28515625" style="108" customWidth="1"/>
    <col min="5677" max="5677" width="12.85546875" style="108" bestFit="1" customWidth="1"/>
    <col min="5678" max="5679" width="9.140625" style="108"/>
    <col min="5680" max="5680" width="19.28515625" style="108" customWidth="1"/>
    <col min="5681" max="5681" width="17.28515625" style="108" customWidth="1"/>
    <col min="5682" max="5684" width="9.140625" style="108"/>
    <col min="5685" max="5685" width="13.7109375" style="108" customWidth="1"/>
    <col min="5686" max="5686" width="13.5703125" style="108" customWidth="1"/>
    <col min="5687" max="5687" width="15.7109375" style="108" customWidth="1"/>
    <col min="5688" max="5912" width="9.140625" style="108"/>
    <col min="5913" max="5913" width="4.140625" style="108" customWidth="1"/>
    <col min="5914" max="5914" width="2" style="108" customWidth="1"/>
    <col min="5915" max="5915" width="18.85546875" style="108" customWidth="1"/>
    <col min="5916" max="5916" width="39" style="108" customWidth="1"/>
    <col min="5917" max="5917" width="19.5703125" style="108" customWidth="1"/>
    <col min="5918" max="5918" width="16" style="108" customWidth="1"/>
    <col min="5919" max="5919" width="20.85546875" style="108" customWidth="1"/>
    <col min="5920" max="5920" width="25.42578125" style="108" customWidth="1"/>
    <col min="5921" max="5921" width="16.5703125" style="108" customWidth="1"/>
    <col min="5922" max="5922" width="18.5703125" style="108" customWidth="1"/>
    <col min="5923" max="5923" width="19.28515625" style="108" customWidth="1"/>
    <col min="5924" max="5924" width="15.5703125" style="108" customWidth="1"/>
    <col min="5925" max="5925" width="20.42578125" style="108" customWidth="1"/>
    <col min="5926" max="5926" width="21.28515625" style="108" customWidth="1"/>
    <col min="5927" max="5927" width="15.140625" style="108" customWidth="1"/>
    <col min="5928" max="5928" width="12.28515625" style="108" customWidth="1"/>
    <col min="5929" max="5929" width="30" style="108" customWidth="1"/>
    <col min="5930" max="5930" width="11.28515625" style="108" bestFit="1" customWidth="1"/>
    <col min="5931" max="5931" width="17.5703125" style="108" customWidth="1"/>
    <col min="5932" max="5932" width="13.28515625" style="108" customWidth="1"/>
    <col min="5933" max="5933" width="12.85546875" style="108" bestFit="1" customWidth="1"/>
    <col min="5934" max="5935" width="9.140625" style="108"/>
    <col min="5936" max="5936" width="19.28515625" style="108" customWidth="1"/>
    <col min="5937" max="5937" width="17.28515625" style="108" customWidth="1"/>
    <col min="5938" max="5940" width="9.140625" style="108"/>
    <col min="5941" max="5941" width="13.7109375" style="108" customWidth="1"/>
    <col min="5942" max="5942" width="13.5703125" style="108" customWidth="1"/>
    <col min="5943" max="5943" width="15.7109375" style="108" customWidth="1"/>
    <col min="5944" max="6168" width="9.140625" style="108"/>
    <col min="6169" max="6169" width="4.140625" style="108" customWidth="1"/>
    <col min="6170" max="6170" width="2" style="108" customWidth="1"/>
    <col min="6171" max="6171" width="18.85546875" style="108" customWidth="1"/>
    <col min="6172" max="6172" width="39" style="108" customWidth="1"/>
    <col min="6173" max="6173" width="19.5703125" style="108" customWidth="1"/>
    <col min="6174" max="6174" width="16" style="108" customWidth="1"/>
    <col min="6175" max="6175" width="20.85546875" style="108" customWidth="1"/>
    <col min="6176" max="6176" width="25.42578125" style="108" customWidth="1"/>
    <col min="6177" max="6177" width="16.5703125" style="108" customWidth="1"/>
    <col min="6178" max="6178" width="18.5703125" style="108" customWidth="1"/>
    <col min="6179" max="6179" width="19.28515625" style="108" customWidth="1"/>
    <col min="6180" max="6180" width="15.5703125" style="108" customWidth="1"/>
    <col min="6181" max="6181" width="20.42578125" style="108" customWidth="1"/>
    <col min="6182" max="6182" width="21.28515625" style="108" customWidth="1"/>
    <col min="6183" max="6183" width="15.140625" style="108" customWidth="1"/>
    <col min="6184" max="6184" width="12.28515625" style="108" customWidth="1"/>
    <col min="6185" max="6185" width="30" style="108" customWidth="1"/>
    <col min="6186" max="6186" width="11.28515625" style="108" bestFit="1" customWidth="1"/>
    <col min="6187" max="6187" width="17.5703125" style="108" customWidth="1"/>
    <col min="6188" max="6188" width="13.28515625" style="108" customWidth="1"/>
    <col min="6189" max="6189" width="12.85546875" style="108" bestFit="1" customWidth="1"/>
    <col min="6190" max="6191" width="9.140625" style="108"/>
    <col min="6192" max="6192" width="19.28515625" style="108" customWidth="1"/>
    <col min="6193" max="6193" width="17.28515625" style="108" customWidth="1"/>
    <col min="6194" max="6196" width="9.140625" style="108"/>
    <col min="6197" max="6197" width="13.7109375" style="108" customWidth="1"/>
    <col min="6198" max="6198" width="13.5703125" style="108" customWidth="1"/>
    <col min="6199" max="6199" width="15.7109375" style="108" customWidth="1"/>
    <col min="6200" max="6424" width="9.140625" style="108"/>
    <col min="6425" max="6425" width="4.140625" style="108" customWidth="1"/>
    <col min="6426" max="6426" width="2" style="108" customWidth="1"/>
    <col min="6427" max="6427" width="18.85546875" style="108" customWidth="1"/>
    <col min="6428" max="6428" width="39" style="108" customWidth="1"/>
    <col min="6429" max="6429" width="19.5703125" style="108" customWidth="1"/>
    <col min="6430" max="6430" width="16" style="108" customWidth="1"/>
    <col min="6431" max="6431" width="20.85546875" style="108" customWidth="1"/>
    <col min="6432" max="6432" width="25.42578125" style="108" customWidth="1"/>
    <col min="6433" max="6433" width="16.5703125" style="108" customWidth="1"/>
    <col min="6434" max="6434" width="18.5703125" style="108" customWidth="1"/>
    <col min="6435" max="6435" width="19.28515625" style="108" customWidth="1"/>
    <col min="6436" max="6436" width="15.5703125" style="108" customWidth="1"/>
    <col min="6437" max="6437" width="20.42578125" style="108" customWidth="1"/>
    <col min="6438" max="6438" width="21.28515625" style="108" customWidth="1"/>
    <col min="6439" max="6439" width="15.140625" style="108" customWidth="1"/>
    <col min="6440" max="6440" width="12.28515625" style="108" customWidth="1"/>
    <col min="6441" max="6441" width="30" style="108" customWidth="1"/>
    <col min="6442" max="6442" width="11.28515625" style="108" bestFit="1" customWidth="1"/>
    <col min="6443" max="6443" width="17.5703125" style="108" customWidth="1"/>
    <col min="6444" max="6444" width="13.28515625" style="108" customWidth="1"/>
    <col min="6445" max="6445" width="12.85546875" style="108" bestFit="1" customWidth="1"/>
    <col min="6446" max="6447" width="9.140625" style="108"/>
    <col min="6448" max="6448" width="19.28515625" style="108" customWidth="1"/>
    <col min="6449" max="6449" width="17.28515625" style="108" customWidth="1"/>
    <col min="6450" max="6452" width="9.140625" style="108"/>
    <col min="6453" max="6453" width="13.7109375" style="108" customWidth="1"/>
    <col min="6454" max="6454" width="13.5703125" style="108" customWidth="1"/>
    <col min="6455" max="6455" width="15.7109375" style="108" customWidth="1"/>
    <col min="6456" max="6680" width="9.140625" style="108"/>
    <col min="6681" max="6681" width="4.140625" style="108" customWidth="1"/>
    <col min="6682" max="6682" width="2" style="108" customWidth="1"/>
    <col min="6683" max="6683" width="18.85546875" style="108" customWidth="1"/>
    <col min="6684" max="6684" width="39" style="108" customWidth="1"/>
    <col min="6685" max="6685" width="19.5703125" style="108" customWidth="1"/>
    <col min="6686" max="6686" width="16" style="108" customWidth="1"/>
    <col min="6687" max="6687" width="20.85546875" style="108" customWidth="1"/>
    <col min="6688" max="6688" width="25.42578125" style="108" customWidth="1"/>
    <col min="6689" max="6689" width="16.5703125" style="108" customWidth="1"/>
    <col min="6690" max="6690" width="18.5703125" style="108" customWidth="1"/>
    <col min="6691" max="6691" width="19.28515625" style="108" customWidth="1"/>
    <col min="6692" max="6692" width="15.5703125" style="108" customWidth="1"/>
    <col min="6693" max="6693" width="20.42578125" style="108" customWidth="1"/>
    <col min="6694" max="6694" width="21.28515625" style="108" customWidth="1"/>
    <col min="6695" max="6695" width="15.140625" style="108" customWidth="1"/>
    <col min="6696" max="6696" width="12.28515625" style="108" customWidth="1"/>
    <col min="6697" max="6697" width="30" style="108" customWidth="1"/>
    <col min="6698" max="6698" width="11.28515625" style="108" bestFit="1" customWidth="1"/>
    <col min="6699" max="6699" width="17.5703125" style="108" customWidth="1"/>
    <col min="6700" max="6700" width="13.28515625" style="108" customWidth="1"/>
    <col min="6701" max="6701" width="12.85546875" style="108" bestFit="1" customWidth="1"/>
    <col min="6702" max="6703" width="9.140625" style="108"/>
    <col min="6704" max="6704" width="19.28515625" style="108" customWidth="1"/>
    <col min="6705" max="6705" width="17.28515625" style="108" customWidth="1"/>
    <col min="6706" max="6708" width="9.140625" style="108"/>
    <col min="6709" max="6709" width="13.7109375" style="108" customWidth="1"/>
    <col min="6710" max="6710" width="13.5703125" style="108" customWidth="1"/>
    <col min="6711" max="6711" width="15.7109375" style="108" customWidth="1"/>
    <col min="6712" max="6936" width="9.140625" style="108"/>
    <col min="6937" max="6937" width="4.140625" style="108" customWidth="1"/>
    <col min="6938" max="6938" width="2" style="108" customWidth="1"/>
    <col min="6939" max="6939" width="18.85546875" style="108" customWidth="1"/>
    <col min="6940" max="6940" width="39" style="108" customWidth="1"/>
    <col min="6941" max="6941" width="19.5703125" style="108" customWidth="1"/>
    <col min="6942" max="6942" width="16" style="108" customWidth="1"/>
    <col min="6943" max="6943" width="20.85546875" style="108" customWidth="1"/>
    <col min="6944" max="6944" width="25.42578125" style="108" customWidth="1"/>
    <col min="6945" max="6945" width="16.5703125" style="108" customWidth="1"/>
    <col min="6946" max="6946" width="18.5703125" style="108" customWidth="1"/>
    <col min="6947" max="6947" width="19.28515625" style="108" customWidth="1"/>
    <col min="6948" max="6948" width="15.5703125" style="108" customWidth="1"/>
    <col min="6949" max="6949" width="20.42578125" style="108" customWidth="1"/>
    <col min="6950" max="6950" width="21.28515625" style="108" customWidth="1"/>
    <col min="6951" max="6951" width="15.140625" style="108" customWidth="1"/>
    <col min="6952" max="6952" width="12.28515625" style="108" customWidth="1"/>
    <col min="6953" max="6953" width="30" style="108" customWidth="1"/>
    <col min="6954" max="6954" width="11.28515625" style="108" bestFit="1" customWidth="1"/>
    <col min="6955" max="6955" width="17.5703125" style="108" customWidth="1"/>
    <col min="6956" max="6956" width="13.28515625" style="108" customWidth="1"/>
    <col min="6957" max="6957" width="12.85546875" style="108" bestFit="1" customWidth="1"/>
    <col min="6958" max="6959" width="9.140625" style="108"/>
    <col min="6960" max="6960" width="19.28515625" style="108" customWidth="1"/>
    <col min="6961" max="6961" width="17.28515625" style="108" customWidth="1"/>
    <col min="6962" max="6964" width="9.140625" style="108"/>
    <col min="6965" max="6965" width="13.7109375" style="108" customWidth="1"/>
    <col min="6966" max="6966" width="13.5703125" style="108" customWidth="1"/>
    <col min="6967" max="6967" width="15.7109375" style="108" customWidth="1"/>
    <col min="6968" max="7192" width="9.140625" style="108"/>
    <col min="7193" max="7193" width="4.140625" style="108" customWidth="1"/>
    <col min="7194" max="7194" width="2" style="108" customWidth="1"/>
    <col min="7195" max="7195" width="18.85546875" style="108" customWidth="1"/>
    <col min="7196" max="7196" width="39" style="108" customWidth="1"/>
    <col min="7197" max="7197" width="19.5703125" style="108" customWidth="1"/>
    <col min="7198" max="7198" width="16" style="108" customWidth="1"/>
    <col min="7199" max="7199" width="20.85546875" style="108" customWidth="1"/>
    <col min="7200" max="7200" width="25.42578125" style="108" customWidth="1"/>
    <col min="7201" max="7201" width="16.5703125" style="108" customWidth="1"/>
    <col min="7202" max="7202" width="18.5703125" style="108" customWidth="1"/>
    <col min="7203" max="7203" width="19.28515625" style="108" customWidth="1"/>
    <col min="7204" max="7204" width="15.5703125" style="108" customWidth="1"/>
    <col min="7205" max="7205" width="20.42578125" style="108" customWidth="1"/>
    <col min="7206" max="7206" width="21.28515625" style="108" customWidth="1"/>
    <col min="7207" max="7207" width="15.140625" style="108" customWidth="1"/>
    <col min="7208" max="7208" width="12.28515625" style="108" customWidth="1"/>
    <col min="7209" max="7209" width="30" style="108" customWidth="1"/>
    <col min="7210" max="7210" width="11.28515625" style="108" bestFit="1" customWidth="1"/>
    <col min="7211" max="7211" width="17.5703125" style="108" customWidth="1"/>
    <col min="7212" max="7212" width="13.28515625" style="108" customWidth="1"/>
    <col min="7213" max="7213" width="12.85546875" style="108" bestFit="1" customWidth="1"/>
    <col min="7214" max="7215" width="9.140625" style="108"/>
    <col min="7216" max="7216" width="19.28515625" style="108" customWidth="1"/>
    <col min="7217" max="7217" width="17.28515625" style="108" customWidth="1"/>
    <col min="7218" max="7220" width="9.140625" style="108"/>
    <col min="7221" max="7221" width="13.7109375" style="108" customWidth="1"/>
    <col min="7222" max="7222" width="13.5703125" style="108" customWidth="1"/>
    <col min="7223" max="7223" width="15.7109375" style="108" customWidth="1"/>
    <col min="7224" max="7448" width="9.140625" style="108"/>
    <col min="7449" max="7449" width="4.140625" style="108" customWidth="1"/>
    <col min="7450" max="7450" width="2" style="108" customWidth="1"/>
    <col min="7451" max="7451" width="18.85546875" style="108" customWidth="1"/>
    <col min="7452" max="7452" width="39" style="108" customWidth="1"/>
    <col min="7453" max="7453" width="19.5703125" style="108" customWidth="1"/>
    <col min="7454" max="7454" width="16" style="108" customWidth="1"/>
    <col min="7455" max="7455" width="20.85546875" style="108" customWidth="1"/>
    <col min="7456" max="7456" width="25.42578125" style="108" customWidth="1"/>
    <col min="7457" max="7457" width="16.5703125" style="108" customWidth="1"/>
    <col min="7458" max="7458" width="18.5703125" style="108" customWidth="1"/>
    <col min="7459" max="7459" width="19.28515625" style="108" customWidth="1"/>
    <col min="7460" max="7460" width="15.5703125" style="108" customWidth="1"/>
    <col min="7461" max="7461" width="20.42578125" style="108" customWidth="1"/>
    <col min="7462" max="7462" width="21.28515625" style="108" customWidth="1"/>
    <col min="7463" max="7463" width="15.140625" style="108" customWidth="1"/>
    <col min="7464" max="7464" width="12.28515625" style="108" customWidth="1"/>
    <col min="7465" max="7465" width="30" style="108" customWidth="1"/>
    <col min="7466" max="7466" width="11.28515625" style="108" bestFit="1" customWidth="1"/>
    <col min="7467" max="7467" width="17.5703125" style="108" customWidth="1"/>
    <col min="7468" max="7468" width="13.28515625" style="108" customWidth="1"/>
    <col min="7469" max="7469" width="12.85546875" style="108" bestFit="1" customWidth="1"/>
    <col min="7470" max="7471" width="9.140625" style="108"/>
    <col min="7472" max="7472" width="19.28515625" style="108" customWidth="1"/>
    <col min="7473" max="7473" width="17.28515625" style="108" customWidth="1"/>
    <col min="7474" max="7476" width="9.140625" style="108"/>
    <col min="7477" max="7477" width="13.7109375" style="108" customWidth="1"/>
    <col min="7478" max="7478" width="13.5703125" style="108" customWidth="1"/>
    <col min="7479" max="7479" width="15.7109375" style="108" customWidth="1"/>
    <col min="7480" max="7704" width="9.140625" style="108"/>
    <col min="7705" max="7705" width="4.140625" style="108" customWidth="1"/>
    <col min="7706" max="7706" width="2" style="108" customWidth="1"/>
    <col min="7707" max="7707" width="18.85546875" style="108" customWidth="1"/>
    <col min="7708" max="7708" width="39" style="108" customWidth="1"/>
    <col min="7709" max="7709" width="19.5703125" style="108" customWidth="1"/>
    <col min="7710" max="7710" width="16" style="108" customWidth="1"/>
    <col min="7711" max="7711" width="20.85546875" style="108" customWidth="1"/>
    <col min="7712" max="7712" width="25.42578125" style="108" customWidth="1"/>
    <col min="7713" max="7713" width="16.5703125" style="108" customWidth="1"/>
    <col min="7714" max="7714" width="18.5703125" style="108" customWidth="1"/>
    <col min="7715" max="7715" width="19.28515625" style="108" customWidth="1"/>
    <col min="7716" max="7716" width="15.5703125" style="108" customWidth="1"/>
    <col min="7717" max="7717" width="20.42578125" style="108" customWidth="1"/>
    <col min="7718" max="7718" width="21.28515625" style="108" customWidth="1"/>
    <col min="7719" max="7719" width="15.140625" style="108" customWidth="1"/>
    <col min="7720" max="7720" width="12.28515625" style="108" customWidth="1"/>
    <col min="7721" max="7721" width="30" style="108" customWidth="1"/>
    <col min="7722" max="7722" width="11.28515625" style="108" bestFit="1" customWidth="1"/>
    <col min="7723" max="7723" width="17.5703125" style="108" customWidth="1"/>
    <col min="7724" max="7724" width="13.28515625" style="108" customWidth="1"/>
    <col min="7725" max="7725" width="12.85546875" style="108" bestFit="1" customWidth="1"/>
    <col min="7726" max="7727" width="9.140625" style="108"/>
    <col min="7728" max="7728" width="19.28515625" style="108" customWidth="1"/>
    <col min="7729" max="7729" width="17.28515625" style="108" customWidth="1"/>
    <col min="7730" max="7732" width="9.140625" style="108"/>
    <col min="7733" max="7733" width="13.7109375" style="108" customWidth="1"/>
    <col min="7734" max="7734" width="13.5703125" style="108" customWidth="1"/>
    <col min="7735" max="7735" width="15.7109375" style="108" customWidth="1"/>
    <col min="7736" max="7960" width="9.140625" style="108"/>
    <col min="7961" max="7961" width="4.140625" style="108" customWidth="1"/>
    <col min="7962" max="7962" width="2" style="108" customWidth="1"/>
    <col min="7963" max="7963" width="18.85546875" style="108" customWidth="1"/>
    <col min="7964" max="7964" width="39" style="108" customWidth="1"/>
    <col min="7965" max="7965" width="19.5703125" style="108" customWidth="1"/>
    <col min="7966" max="7966" width="16" style="108" customWidth="1"/>
    <col min="7967" max="7967" width="20.85546875" style="108" customWidth="1"/>
    <col min="7968" max="7968" width="25.42578125" style="108" customWidth="1"/>
    <col min="7969" max="7969" width="16.5703125" style="108" customWidth="1"/>
    <col min="7970" max="7970" width="18.5703125" style="108" customWidth="1"/>
    <col min="7971" max="7971" width="19.28515625" style="108" customWidth="1"/>
    <col min="7972" max="7972" width="15.5703125" style="108" customWidth="1"/>
    <col min="7973" max="7973" width="20.42578125" style="108" customWidth="1"/>
    <col min="7974" max="7974" width="21.28515625" style="108" customWidth="1"/>
    <col min="7975" max="7975" width="15.140625" style="108" customWidth="1"/>
    <col min="7976" max="7976" width="12.28515625" style="108" customWidth="1"/>
    <col min="7977" max="7977" width="30" style="108" customWidth="1"/>
    <col min="7978" max="7978" width="11.28515625" style="108" bestFit="1" customWidth="1"/>
    <col min="7979" max="7979" width="17.5703125" style="108" customWidth="1"/>
    <col min="7980" max="7980" width="13.28515625" style="108" customWidth="1"/>
    <col min="7981" max="7981" width="12.85546875" style="108" bestFit="1" customWidth="1"/>
    <col min="7982" max="7983" width="9.140625" style="108"/>
    <col min="7984" max="7984" width="19.28515625" style="108" customWidth="1"/>
    <col min="7985" max="7985" width="17.28515625" style="108" customWidth="1"/>
    <col min="7986" max="7988" width="9.140625" style="108"/>
    <col min="7989" max="7989" width="13.7109375" style="108" customWidth="1"/>
    <col min="7990" max="7990" width="13.5703125" style="108" customWidth="1"/>
    <col min="7991" max="7991" width="15.7109375" style="108" customWidth="1"/>
    <col min="7992" max="8216" width="9.140625" style="108"/>
    <col min="8217" max="8217" width="4.140625" style="108" customWidth="1"/>
    <col min="8218" max="8218" width="2" style="108" customWidth="1"/>
    <col min="8219" max="8219" width="18.85546875" style="108" customWidth="1"/>
    <col min="8220" max="8220" width="39" style="108" customWidth="1"/>
    <col min="8221" max="8221" width="19.5703125" style="108" customWidth="1"/>
    <col min="8222" max="8222" width="16" style="108" customWidth="1"/>
    <col min="8223" max="8223" width="20.85546875" style="108" customWidth="1"/>
    <col min="8224" max="8224" width="25.42578125" style="108" customWidth="1"/>
    <col min="8225" max="8225" width="16.5703125" style="108" customWidth="1"/>
    <col min="8226" max="8226" width="18.5703125" style="108" customWidth="1"/>
    <col min="8227" max="8227" width="19.28515625" style="108" customWidth="1"/>
    <col min="8228" max="8228" width="15.5703125" style="108" customWidth="1"/>
    <col min="8229" max="8229" width="20.42578125" style="108" customWidth="1"/>
    <col min="8230" max="8230" width="21.28515625" style="108" customWidth="1"/>
    <col min="8231" max="8231" width="15.140625" style="108" customWidth="1"/>
    <col min="8232" max="8232" width="12.28515625" style="108" customWidth="1"/>
    <col min="8233" max="8233" width="30" style="108" customWidth="1"/>
    <col min="8234" max="8234" width="11.28515625" style="108" bestFit="1" customWidth="1"/>
    <col min="8235" max="8235" width="17.5703125" style="108" customWidth="1"/>
    <col min="8236" max="8236" width="13.28515625" style="108" customWidth="1"/>
    <col min="8237" max="8237" width="12.85546875" style="108" bestFit="1" customWidth="1"/>
    <col min="8238" max="8239" width="9.140625" style="108"/>
    <col min="8240" max="8240" width="19.28515625" style="108" customWidth="1"/>
    <col min="8241" max="8241" width="17.28515625" style="108" customWidth="1"/>
    <col min="8242" max="8244" width="9.140625" style="108"/>
    <col min="8245" max="8245" width="13.7109375" style="108" customWidth="1"/>
    <col min="8246" max="8246" width="13.5703125" style="108" customWidth="1"/>
    <col min="8247" max="8247" width="15.7109375" style="108" customWidth="1"/>
    <col min="8248" max="8472" width="9.140625" style="108"/>
    <col min="8473" max="8473" width="4.140625" style="108" customWidth="1"/>
    <col min="8474" max="8474" width="2" style="108" customWidth="1"/>
    <col min="8475" max="8475" width="18.85546875" style="108" customWidth="1"/>
    <col min="8476" max="8476" width="39" style="108" customWidth="1"/>
    <col min="8477" max="8477" width="19.5703125" style="108" customWidth="1"/>
    <col min="8478" max="8478" width="16" style="108" customWidth="1"/>
    <col min="8479" max="8479" width="20.85546875" style="108" customWidth="1"/>
    <col min="8480" max="8480" width="25.42578125" style="108" customWidth="1"/>
    <col min="8481" max="8481" width="16.5703125" style="108" customWidth="1"/>
    <col min="8482" max="8482" width="18.5703125" style="108" customWidth="1"/>
    <col min="8483" max="8483" width="19.28515625" style="108" customWidth="1"/>
    <col min="8484" max="8484" width="15.5703125" style="108" customWidth="1"/>
    <col min="8485" max="8485" width="20.42578125" style="108" customWidth="1"/>
    <col min="8486" max="8486" width="21.28515625" style="108" customWidth="1"/>
    <col min="8487" max="8487" width="15.140625" style="108" customWidth="1"/>
    <col min="8488" max="8488" width="12.28515625" style="108" customWidth="1"/>
    <col min="8489" max="8489" width="30" style="108" customWidth="1"/>
    <col min="8490" max="8490" width="11.28515625" style="108" bestFit="1" customWidth="1"/>
    <col min="8491" max="8491" width="17.5703125" style="108" customWidth="1"/>
    <col min="8492" max="8492" width="13.28515625" style="108" customWidth="1"/>
    <col min="8493" max="8493" width="12.85546875" style="108" bestFit="1" customWidth="1"/>
    <col min="8494" max="8495" width="9.140625" style="108"/>
    <col min="8496" max="8496" width="19.28515625" style="108" customWidth="1"/>
    <col min="8497" max="8497" width="17.28515625" style="108" customWidth="1"/>
    <col min="8498" max="8500" width="9.140625" style="108"/>
    <col min="8501" max="8501" width="13.7109375" style="108" customWidth="1"/>
    <col min="8502" max="8502" width="13.5703125" style="108" customWidth="1"/>
    <col min="8503" max="8503" width="15.7109375" style="108" customWidth="1"/>
    <col min="8504" max="8728" width="9.140625" style="108"/>
    <col min="8729" max="8729" width="4.140625" style="108" customWidth="1"/>
    <col min="8730" max="8730" width="2" style="108" customWidth="1"/>
    <col min="8731" max="8731" width="18.85546875" style="108" customWidth="1"/>
    <col min="8732" max="8732" width="39" style="108" customWidth="1"/>
    <col min="8733" max="8733" width="19.5703125" style="108" customWidth="1"/>
    <col min="8734" max="8734" width="16" style="108" customWidth="1"/>
    <col min="8735" max="8735" width="20.85546875" style="108" customWidth="1"/>
    <col min="8736" max="8736" width="25.42578125" style="108" customWidth="1"/>
    <col min="8737" max="8737" width="16.5703125" style="108" customWidth="1"/>
    <col min="8738" max="8738" width="18.5703125" style="108" customWidth="1"/>
    <col min="8739" max="8739" width="19.28515625" style="108" customWidth="1"/>
    <col min="8740" max="8740" width="15.5703125" style="108" customWidth="1"/>
    <col min="8741" max="8741" width="20.42578125" style="108" customWidth="1"/>
    <col min="8742" max="8742" width="21.28515625" style="108" customWidth="1"/>
    <col min="8743" max="8743" width="15.140625" style="108" customWidth="1"/>
    <col min="8744" max="8744" width="12.28515625" style="108" customWidth="1"/>
    <col min="8745" max="8745" width="30" style="108" customWidth="1"/>
    <col min="8746" max="8746" width="11.28515625" style="108" bestFit="1" customWidth="1"/>
    <col min="8747" max="8747" width="17.5703125" style="108" customWidth="1"/>
    <col min="8748" max="8748" width="13.28515625" style="108" customWidth="1"/>
    <col min="8749" max="8749" width="12.85546875" style="108" bestFit="1" customWidth="1"/>
    <col min="8750" max="8751" width="9.140625" style="108"/>
    <col min="8752" max="8752" width="19.28515625" style="108" customWidth="1"/>
    <col min="8753" max="8753" width="17.28515625" style="108" customWidth="1"/>
    <col min="8754" max="8756" width="9.140625" style="108"/>
    <col min="8757" max="8757" width="13.7109375" style="108" customWidth="1"/>
    <col min="8758" max="8758" width="13.5703125" style="108" customWidth="1"/>
    <col min="8759" max="8759" width="15.7109375" style="108" customWidth="1"/>
    <col min="8760" max="8984" width="9.140625" style="108"/>
    <col min="8985" max="8985" width="4.140625" style="108" customWidth="1"/>
    <col min="8986" max="8986" width="2" style="108" customWidth="1"/>
    <col min="8987" max="8987" width="18.85546875" style="108" customWidth="1"/>
    <col min="8988" max="8988" width="39" style="108" customWidth="1"/>
    <col min="8989" max="8989" width="19.5703125" style="108" customWidth="1"/>
    <col min="8990" max="8990" width="16" style="108" customWidth="1"/>
    <col min="8991" max="8991" width="20.85546875" style="108" customWidth="1"/>
    <col min="8992" max="8992" width="25.42578125" style="108" customWidth="1"/>
    <col min="8993" max="8993" width="16.5703125" style="108" customWidth="1"/>
    <col min="8994" max="8994" width="18.5703125" style="108" customWidth="1"/>
    <col min="8995" max="8995" width="19.28515625" style="108" customWidth="1"/>
    <col min="8996" max="8996" width="15.5703125" style="108" customWidth="1"/>
    <col min="8997" max="8997" width="20.42578125" style="108" customWidth="1"/>
    <col min="8998" max="8998" width="21.28515625" style="108" customWidth="1"/>
    <col min="8999" max="8999" width="15.140625" style="108" customWidth="1"/>
    <col min="9000" max="9000" width="12.28515625" style="108" customWidth="1"/>
    <col min="9001" max="9001" width="30" style="108" customWidth="1"/>
    <col min="9002" max="9002" width="11.28515625" style="108" bestFit="1" customWidth="1"/>
    <col min="9003" max="9003" width="17.5703125" style="108" customWidth="1"/>
    <col min="9004" max="9004" width="13.28515625" style="108" customWidth="1"/>
    <col min="9005" max="9005" width="12.85546875" style="108" bestFit="1" customWidth="1"/>
    <col min="9006" max="9007" width="9.140625" style="108"/>
    <col min="9008" max="9008" width="19.28515625" style="108" customWidth="1"/>
    <col min="9009" max="9009" width="17.28515625" style="108" customWidth="1"/>
    <col min="9010" max="9012" width="9.140625" style="108"/>
    <col min="9013" max="9013" width="13.7109375" style="108" customWidth="1"/>
    <col min="9014" max="9014" width="13.5703125" style="108" customWidth="1"/>
    <col min="9015" max="9015" width="15.7109375" style="108" customWidth="1"/>
    <col min="9016" max="9240" width="9.140625" style="108"/>
    <col min="9241" max="9241" width="4.140625" style="108" customWidth="1"/>
    <col min="9242" max="9242" width="2" style="108" customWidth="1"/>
    <col min="9243" max="9243" width="18.85546875" style="108" customWidth="1"/>
    <col min="9244" max="9244" width="39" style="108" customWidth="1"/>
    <col min="9245" max="9245" width="19.5703125" style="108" customWidth="1"/>
    <col min="9246" max="9246" width="16" style="108" customWidth="1"/>
    <col min="9247" max="9247" width="20.85546875" style="108" customWidth="1"/>
    <col min="9248" max="9248" width="25.42578125" style="108" customWidth="1"/>
    <col min="9249" max="9249" width="16.5703125" style="108" customWidth="1"/>
    <col min="9250" max="9250" width="18.5703125" style="108" customWidth="1"/>
    <col min="9251" max="9251" width="19.28515625" style="108" customWidth="1"/>
    <col min="9252" max="9252" width="15.5703125" style="108" customWidth="1"/>
    <col min="9253" max="9253" width="20.42578125" style="108" customWidth="1"/>
    <col min="9254" max="9254" width="21.28515625" style="108" customWidth="1"/>
    <col min="9255" max="9255" width="15.140625" style="108" customWidth="1"/>
    <col min="9256" max="9256" width="12.28515625" style="108" customWidth="1"/>
    <col min="9257" max="9257" width="30" style="108" customWidth="1"/>
    <col min="9258" max="9258" width="11.28515625" style="108" bestFit="1" customWidth="1"/>
    <col min="9259" max="9259" width="17.5703125" style="108" customWidth="1"/>
    <col min="9260" max="9260" width="13.28515625" style="108" customWidth="1"/>
    <col min="9261" max="9261" width="12.85546875" style="108" bestFit="1" customWidth="1"/>
    <col min="9262" max="9263" width="9.140625" style="108"/>
    <col min="9264" max="9264" width="19.28515625" style="108" customWidth="1"/>
    <col min="9265" max="9265" width="17.28515625" style="108" customWidth="1"/>
    <col min="9266" max="9268" width="9.140625" style="108"/>
    <col min="9269" max="9269" width="13.7109375" style="108" customWidth="1"/>
    <col min="9270" max="9270" width="13.5703125" style="108" customWidth="1"/>
    <col min="9271" max="9271" width="15.7109375" style="108" customWidth="1"/>
    <col min="9272" max="9496" width="9.140625" style="108"/>
    <col min="9497" max="9497" width="4.140625" style="108" customWidth="1"/>
    <col min="9498" max="9498" width="2" style="108" customWidth="1"/>
    <col min="9499" max="9499" width="18.85546875" style="108" customWidth="1"/>
    <col min="9500" max="9500" width="39" style="108" customWidth="1"/>
    <col min="9501" max="9501" width="19.5703125" style="108" customWidth="1"/>
    <col min="9502" max="9502" width="16" style="108" customWidth="1"/>
    <col min="9503" max="9503" width="20.85546875" style="108" customWidth="1"/>
    <col min="9504" max="9504" width="25.42578125" style="108" customWidth="1"/>
    <col min="9505" max="9505" width="16.5703125" style="108" customWidth="1"/>
    <col min="9506" max="9506" width="18.5703125" style="108" customWidth="1"/>
    <col min="9507" max="9507" width="19.28515625" style="108" customWidth="1"/>
    <col min="9508" max="9508" width="15.5703125" style="108" customWidth="1"/>
    <col min="9509" max="9509" width="20.42578125" style="108" customWidth="1"/>
    <col min="9510" max="9510" width="21.28515625" style="108" customWidth="1"/>
    <col min="9511" max="9511" width="15.140625" style="108" customWidth="1"/>
    <col min="9512" max="9512" width="12.28515625" style="108" customWidth="1"/>
    <col min="9513" max="9513" width="30" style="108" customWidth="1"/>
    <col min="9514" max="9514" width="11.28515625" style="108" bestFit="1" customWidth="1"/>
    <col min="9515" max="9515" width="17.5703125" style="108" customWidth="1"/>
    <col min="9516" max="9516" width="13.28515625" style="108" customWidth="1"/>
    <col min="9517" max="9517" width="12.85546875" style="108" bestFit="1" customWidth="1"/>
    <col min="9518" max="9519" width="9.140625" style="108"/>
    <col min="9520" max="9520" width="19.28515625" style="108" customWidth="1"/>
    <col min="9521" max="9521" width="17.28515625" style="108" customWidth="1"/>
    <col min="9522" max="9524" width="9.140625" style="108"/>
    <col min="9525" max="9525" width="13.7109375" style="108" customWidth="1"/>
    <col min="9526" max="9526" width="13.5703125" style="108" customWidth="1"/>
    <col min="9527" max="9527" width="15.7109375" style="108" customWidth="1"/>
    <col min="9528" max="9752" width="9.140625" style="108"/>
    <col min="9753" max="9753" width="4.140625" style="108" customWidth="1"/>
    <col min="9754" max="9754" width="2" style="108" customWidth="1"/>
    <col min="9755" max="9755" width="18.85546875" style="108" customWidth="1"/>
    <col min="9756" max="9756" width="39" style="108" customWidth="1"/>
    <col min="9757" max="9757" width="19.5703125" style="108" customWidth="1"/>
    <col min="9758" max="9758" width="16" style="108" customWidth="1"/>
    <col min="9759" max="9759" width="20.85546875" style="108" customWidth="1"/>
    <col min="9760" max="9760" width="25.42578125" style="108" customWidth="1"/>
    <col min="9761" max="9761" width="16.5703125" style="108" customWidth="1"/>
    <col min="9762" max="9762" width="18.5703125" style="108" customWidth="1"/>
    <col min="9763" max="9763" width="19.28515625" style="108" customWidth="1"/>
    <col min="9764" max="9764" width="15.5703125" style="108" customWidth="1"/>
    <col min="9765" max="9765" width="20.42578125" style="108" customWidth="1"/>
    <col min="9766" max="9766" width="21.28515625" style="108" customWidth="1"/>
    <col min="9767" max="9767" width="15.140625" style="108" customWidth="1"/>
    <col min="9768" max="9768" width="12.28515625" style="108" customWidth="1"/>
    <col min="9769" max="9769" width="30" style="108" customWidth="1"/>
    <col min="9770" max="9770" width="11.28515625" style="108" bestFit="1" customWidth="1"/>
    <col min="9771" max="9771" width="17.5703125" style="108" customWidth="1"/>
    <col min="9772" max="9772" width="13.28515625" style="108" customWidth="1"/>
    <col min="9773" max="9773" width="12.85546875" style="108" bestFit="1" customWidth="1"/>
    <col min="9774" max="9775" width="9.140625" style="108"/>
    <col min="9776" max="9776" width="19.28515625" style="108" customWidth="1"/>
    <col min="9777" max="9777" width="17.28515625" style="108" customWidth="1"/>
    <col min="9778" max="9780" width="9.140625" style="108"/>
    <col min="9781" max="9781" width="13.7109375" style="108" customWidth="1"/>
    <col min="9782" max="9782" width="13.5703125" style="108" customWidth="1"/>
    <col min="9783" max="9783" width="15.7109375" style="108" customWidth="1"/>
    <col min="9784" max="10008" width="9.140625" style="108"/>
    <col min="10009" max="10009" width="4.140625" style="108" customWidth="1"/>
    <col min="10010" max="10010" width="2" style="108" customWidth="1"/>
    <col min="10011" max="10011" width="18.85546875" style="108" customWidth="1"/>
    <col min="10012" max="10012" width="39" style="108" customWidth="1"/>
    <col min="10013" max="10013" width="19.5703125" style="108" customWidth="1"/>
    <col min="10014" max="10014" width="16" style="108" customWidth="1"/>
    <col min="10015" max="10015" width="20.85546875" style="108" customWidth="1"/>
    <col min="10016" max="10016" width="25.42578125" style="108" customWidth="1"/>
    <col min="10017" max="10017" width="16.5703125" style="108" customWidth="1"/>
    <col min="10018" max="10018" width="18.5703125" style="108" customWidth="1"/>
    <col min="10019" max="10019" width="19.28515625" style="108" customWidth="1"/>
    <col min="10020" max="10020" width="15.5703125" style="108" customWidth="1"/>
    <col min="10021" max="10021" width="20.42578125" style="108" customWidth="1"/>
    <col min="10022" max="10022" width="21.28515625" style="108" customWidth="1"/>
    <col min="10023" max="10023" width="15.140625" style="108" customWidth="1"/>
    <col min="10024" max="10024" width="12.28515625" style="108" customWidth="1"/>
    <col min="10025" max="10025" width="30" style="108" customWidth="1"/>
    <col min="10026" max="10026" width="11.28515625" style="108" bestFit="1" customWidth="1"/>
    <col min="10027" max="10027" width="17.5703125" style="108" customWidth="1"/>
    <col min="10028" max="10028" width="13.28515625" style="108" customWidth="1"/>
    <col min="10029" max="10029" width="12.85546875" style="108" bestFit="1" customWidth="1"/>
    <col min="10030" max="10031" width="9.140625" style="108"/>
    <col min="10032" max="10032" width="19.28515625" style="108" customWidth="1"/>
    <col min="10033" max="10033" width="17.28515625" style="108" customWidth="1"/>
    <col min="10034" max="10036" width="9.140625" style="108"/>
    <col min="10037" max="10037" width="13.7109375" style="108" customWidth="1"/>
    <col min="10038" max="10038" width="13.5703125" style="108" customWidth="1"/>
    <col min="10039" max="10039" width="15.7109375" style="108" customWidth="1"/>
    <col min="10040" max="10264" width="9.140625" style="108"/>
    <col min="10265" max="10265" width="4.140625" style="108" customWidth="1"/>
    <col min="10266" max="10266" width="2" style="108" customWidth="1"/>
    <col min="10267" max="10267" width="18.85546875" style="108" customWidth="1"/>
    <col min="10268" max="10268" width="39" style="108" customWidth="1"/>
    <col min="10269" max="10269" width="19.5703125" style="108" customWidth="1"/>
    <col min="10270" max="10270" width="16" style="108" customWidth="1"/>
    <col min="10271" max="10271" width="20.85546875" style="108" customWidth="1"/>
    <col min="10272" max="10272" width="25.42578125" style="108" customWidth="1"/>
    <col min="10273" max="10273" width="16.5703125" style="108" customWidth="1"/>
    <col min="10274" max="10274" width="18.5703125" style="108" customWidth="1"/>
    <col min="10275" max="10275" width="19.28515625" style="108" customWidth="1"/>
    <col min="10276" max="10276" width="15.5703125" style="108" customWidth="1"/>
    <col min="10277" max="10277" width="20.42578125" style="108" customWidth="1"/>
    <col min="10278" max="10278" width="21.28515625" style="108" customWidth="1"/>
    <col min="10279" max="10279" width="15.140625" style="108" customWidth="1"/>
    <col min="10280" max="10280" width="12.28515625" style="108" customWidth="1"/>
    <col min="10281" max="10281" width="30" style="108" customWidth="1"/>
    <col min="10282" max="10282" width="11.28515625" style="108" bestFit="1" customWidth="1"/>
    <col min="10283" max="10283" width="17.5703125" style="108" customWidth="1"/>
    <col min="10284" max="10284" width="13.28515625" style="108" customWidth="1"/>
    <col min="10285" max="10285" width="12.85546875" style="108" bestFit="1" customWidth="1"/>
    <col min="10286" max="10287" width="9.140625" style="108"/>
    <col min="10288" max="10288" width="19.28515625" style="108" customWidth="1"/>
    <col min="10289" max="10289" width="17.28515625" style="108" customWidth="1"/>
    <col min="10290" max="10292" width="9.140625" style="108"/>
    <col min="10293" max="10293" width="13.7109375" style="108" customWidth="1"/>
    <col min="10294" max="10294" width="13.5703125" style="108" customWidth="1"/>
    <col min="10295" max="10295" width="15.7109375" style="108" customWidth="1"/>
    <col min="10296" max="10520" width="9.140625" style="108"/>
    <col min="10521" max="10521" width="4.140625" style="108" customWidth="1"/>
    <col min="10522" max="10522" width="2" style="108" customWidth="1"/>
    <col min="10523" max="10523" width="18.85546875" style="108" customWidth="1"/>
    <col min="10524" max="10524" width="39" style="108" customWidth="1"/>
    <col min="10525" max="10525" width="19.5703125" style="108" customWidth="1"/>
    <col min="10526" max="10526" width="16" style="108" customWidth="1"/>
    <col min="10527" max="10527" width="20.85546875" style="108" customWidth="1"/>
    <col min="10528" max="10528" width="25.42578125" style="108" customWidth="1"/>
    <col min="10529" max="10529" width="16.5703125" style="108" customWidth="1"/>
    <col min="10530" max="10530" width="18.5703125" style="108" customWidth="1"/>
    <col min="10531" max="10531" width="19.28515625" style="108" customWidth="1"/>
    <col min="10532" max="10532" width="15.5703125" style="108" customWidth="1"/>
    <col min="10533" max="10533" width="20.42578125" style="108" customWidth="1"/>
    <col min="10534" max="10534" width="21.28515625" style="108" customWidth="1"/>
    <col min="10535" max="10535" width="15.140625" style="108" customWidth="1"/>
    <col min="10536" max="10536" width="12.28515625" style="108" customWidth="1"/>
    <col min="10537" max="10537" width="30" style="108" customWidth="1"/>
    <col min="10538" max="10538" width="11.28515625" style="108" bestFit="1" customWidth="1"/>
    <col min="10539" max="10539" width="17.5703125" style="108" customWidth="1"/>
    <col min="10540" max="10540" width="13.28515625" style="108" customWidth="1"/>
    <col min="10541" max="10541" width="12.85546875" style="108" bestFit="1" customWidth="1"/>
    <col min="10542" max="10543" width="9.140625" style="108"/>
    <col min="10544" max="10544" width="19.28515625" style="108" customWidth="1"/>
    <col min="10545" max="10545" width="17.28515625" style="108" customWidth="1"/>
    <col min="10546" max="10548" width="9.140625" style="108"/>
    <col min="10549" max="10549" width="13.7109375" style="108" customWidth="1"/>
    <col min="10550" max="10550" width="13.5703125" style="108" customWidth="1"/>
    <col min="10551" max="10551" width="15.7109375" style="108" customWidth="1"/>
    <col min="10552" max="10776" width="9.140625" style="108"/>
    <col min="10777" max="10777" width="4.140625" style="108" customWidth="1"/>
    <col min="10778" max="10778" width="2" style="108" customWidth="1"/>
    <col min="10779" max="10779" width="18.85546875" style="108" customWidth="1"/>
    <col min="10780" max="10780" width="39" style="108" customWidth="1"/>
    <col min="10781" max="10781" width="19.5703125" style="108" customWidth="1"/>
    <col min="10782" max="10782" width="16" style="108" customWidth="1"/>
    <col min="10783" max="10783" width="20.85546875" style="108" customWidth="1"/>
    <col min="10784" max="10784" width="25.42578125" style="108" customWidth="1"/>
    <col min="10785" max="10785" width="16.5703125" style="108" customWidth="1"/>
    <col min="10786" max="10786" width="18.5703125" style="108" customWidth="1"/>
    <col min="10787" max="10787" width="19.28515625" style="108" customWidth="1"/>
    <col min="10788" max="10788" width="15.5703125" style="108" customWidth="1"/>
    <col min="10789" max="10789" width="20.42578125" style="108" customWidth="1"/>
    <col min="10790" max="10790" width="21.28515625" style="108" customWidth="1"/>
    <col min="10791" max="10791" width="15.140625" style="108" customWidth="1"/>
    <col min="10792" max="10792" width="12.28515625" style="108" customWidth="1"/>
    <col min="10793" max="10793" width="30" style="108" customWidth="1"/>
    <col min="10794" max="10794" width="11.28515625" style="108" bestFit="1" customWidth="1"/>
    <col min="10795" max="10795" width="17.5703125" style="108" customWidth="1"/>
    <col min="10796" max="10796" width="13.28515625" style="108" customWidth="1"/>
    <col min="10797" max="10797" width="12.85546875" style="108" bestFit="1" customWidth="1"/>
    <col min="10798" max="10799" width="9.140625" style="108"/>
    <col min="10800" max="10800" width="19.28515625" style="108" customWidth="1"/>
    <col min="10801" max="10801" width="17.28515625" style="108" customWidth="1"/>
    <col min="10802" max="10804" width="9.140625" style="108"/>
    <col min="10805" max="10805" width="13.7109375" style="108" customWidth="1"/>
    <col min="10806" max="10806" width="13.5703125" style="108" customWidth="1"/>
    <col min="10807" max="10807" width="15.7109375" style="108" customWidth="1"/>
    <col min="10808" max="11032" width="9.140625" style="108"/>
    <col min="11033" max="11033" width="4.140625" style="108" customWidth="1"/>
    <col min="11034" max="11034" width="2" style="108" customWidth="1"/>
    <col min="11035" max="11035" width="18.85546875" style="108" customWidth="1"/>
    <col min="11036" max="11036" width="39" style="108" customWidth="1"/>
    <col min="11037" max="11037" width="19.5703125" style="108" customWidth="1"/>
    <col min="11038" max="11038" width="16" style="108" customWidth="1"/>
    <col min="11039" max="11039" width="20.85546875" style="108" customWidth="1"/>
    <col min="11040" max="11040" width="25.42578125" style="108" customWidth="1"/>
    <col min="11041" max="11041" width="16.5703125" style="108" customWidth="1"/>
    <col min="11042" max="11042" width="18.5703125" style="108" customWidth="1"/>
    <col min="11043" max="11043" width="19.28515625" style="108" customWidth="1"/>
    <col min="11044" max="11044" width="15.5703125" style="108" customWidth="1"/>
    <col min="11045" max="11045" width="20.42578125" style="108" customWidth="1"/>
    <col min="11046" max="11046" width="21.28515625" style="108" customWidth="1"/>
    <col min="11047" max="11047" width="15.140625" style="108" customWidth="1"/>
    <col min="11048" max="11048" width="12.28515625" style="108" customWidth="1"/>
    <col min="11049" max="11049" width="30" style="108" customWidth="1"/>
    <col min="11050" max="11050" width="11.28515625" style="108" bestFit="1" customWidth="1"/>
    <col min="11051" max="11051" width="17.5703125" style="108" customWidth="1"/>
    <col min="11052" max="11052" width="13.28515625" style="108" customWidth="1"/>
    <col min="11053" max="11053" width="12.85546875" style="108" bestFit="1" customWidth="1"/>
    <col min="11054" max="11055" width="9.140625" style="108"/>
    <col min="11056" max="11056" width="19.28515625" style="108" customWidth="1"/>
    <col min="11057" max="11057" width="17.28515625" style="108" customWidth="1"/>
    <col min="11058" max="11060" width="9.140625" style="108"/>
    <col min="11061" max="11061" width="13.7109375" style="108" customWidth="1"/>
    <col min="11062" max="11062" width="13.5703125" style="108" customWidth="1"/>
    <col min="11063" max="11063" width="15.7109375" style="108" customWidth="1"/>
    <col min="11064" max="11288" width="9.140625" style="108"/>
    <col min="11289" max="11289" width="4.140625" style="108" customWidth="1"/>
    <col min="11290" max="11290" width="2" style="108" customWidth="1"/>
    <col min="11291" max="11291" width="18.85546875" style="108" customWidth="1"/>
    <col min="11292" max="11292" width="39" style="108" customWidth="1"/>
    <col min="11293" max="11293" width="19.5703125" style="108" customWidth="1"/>
    <col min="11294" max="11294" width="16" style="108" customWidth="1"/>
    <col min="11295" max="11295" width="20.85546875" style="108" customWidth="1"/>
    <col min="11296" max="11296" width="25.42578125" style="108" customWidth="1"/>
    <col min="11297" max="11297" width="16.5703125" style="108" customWidth="1"/>
    <col min="11298" max="11298" width="18.5703125" style="108" customWidth="1"/>
    <col min="11299" max="11299" width="19.28515625" style="108" customWidth="1"/>
    <col min="11300" max="11300" width="15.5703125" style="108" customWidth="1"/>
    <col min="11301" max="11301" width="20.42578125" style="108" customWidth="1"/>
    <col min="11302" max="11302" width="21.28515625" style="108" customWidth="1"/>
    <col min="11303" max="11303" width="15.140625" style="108" customWidth="1"/>
    <col min="11304" max="11304" width="12.28515625" style="108" customWidth="1"/>
    <col min="11305" max="11305" width="30" style="108" customWidth="1"/>
    <col min="11306" max="11306" width="11.28515625" style="108" bestFit="1" customWidth="1"/>
    <col min="11307" max="11307" width="17.5703125" style="108" customWidth="1"/>
    <col min="11308" max="11308" width="13.28515625" style="108" customWidth="1"/>
    <col min="11309" max="11309" width="12.85546875" style="108" bestFit="1" customWidth="1"/>
    <col min="11310" max="11311" width="9.140625" style="108"/>
    <col min="11312" max="11312" width="19.28515625" style="108" customWidth="1"/>
    <col min="11313" max="11313" width="17.28515625" style="108" customWidth="1"/>
    <col min="11314" max="11316" width="9.140625" style="108"/>
    <col min="11317" max="11317" width="13.7109375" style="108" customWidth="1"/>
    <col min="11318" max="11318" width="13.5703125" style="108" customWidth="1"/>
    <col min="11319" max="11319" width="15.7109375" style="108" customWidth="1"/>
    <col min="11320" max="11544" width="9.140625" style="108"/>
    <col min="11545" max="11545" width="4.140625" style="108" customWidth="1"/>
    <col min="11546" max="11546" width="2" style="108" customWidth="1"/>
    <col min="11547" max="11547" width="18.85546875" style="108" customWidth="1"/>
    <col min="11548" max="11548" width="39" style="108" customWidth="1"/>
    <col min="11549" max="11549" width="19.5703125" style="108" customWidth="1"/>
    <col min="11550" max="11550" width="16" style="108" customWidth="1"/>
    <col min="11551" max="11551" width="20.85546875" style="108" customWidth="1"/>
    <col min="11552" max="11552" width="25.42578125" style="108" customWidth="1"/>
    <col min="11553" max="11553" width="16.5703125" style="108" customWidth="1"/>
    <col min="11554" max="11554" width="18.5703125" style="108" customWidth="1"/>
    <col min="11555" max="11555" width="19.28515625" style="108" customWidth="1"/>
    <col min="11556" max="11556" width="15.5703125" style="108" customWidth="1"/>
    <col min="11557" max="11557" width="20.42578125" style="108" customWidth="1"/>
    <col min="11558" max="11558" width="21.28515625" style="108" customWidth="1"/>
    <col min="11559" max="11559" width="15.140625" style="108" customWidth="1"/>
    <col min="11560" max="11560" width="12.28515625" style="108" customWidth="1"/>
    <col min="11561" max="11561" width="30" style="108" customWidth="1"/>
    <col min="11562" max="11562" width="11.28515625" style="108" bestFit="1" customWidth="1"/>
    <col min="11563" max="11563" width="17.5703125" style="108" customWidth="1"/>
    <col min="11564" max="11564" width="13.28515625" style="108" customWidth="1"/>
    <col min="11565" max="11565" width="12.85546875" style="108" bestFit="1" customWidth="1"/>
    <col min="11566" max="11567" width="9.140625" style="108"/>
    <col min="11568" max="11568" width="19.28515625" style="108" customWidth="1"/>
    <col min="11569" max="11569" width="17.28515625" style="108" customWidth="1"/>
    <col min="11570" max="11572" width="9.140625" style="108"/>
    <col min="11573" max="11573" width="13.7109375" style="108" customWidth="1"/>
    <col min="11574" max="11574" width="13.5703125" style="108" customWidth="1"/>
    <col min="11575" max="11575" width="15.7109375" style="108" customWidth="1"/>
    <col min="11576" max="11800" width="9.140625" style="108"/>
    <col min="11801" max="11801" width="4.140625" style="108" customWidth="1"/>
    <col min="11802" max="11802" width="2" style="108" customWidth="1"/>
    <col min="11803" max="11803" width="18.85546875" style="108" customWidth="1"/>
    <col min="11804" max="11804" width="39" style="108" customWidth="1"/>
    <col min="11805" max="11805" width="19.5703125" style="108" customWidth="1"/>
    <col min="11806" max="11806" width="16" style="108" customWidth="1"/>
    <col min="11807" max="11807" width="20.85546875" style="108" customWidth="1"/>
    <col min="11808" max="11808" width="25.42578125" style="108" customWidth="1"/>
    <col min="11809" max="11809" width="16.5703125" style="108" customWidth="1"/>
    <col min="11810" max="11810" width="18.5703125" style="108" customWidth="1"/>
    <col min="11811" max="11811" width="19.28515625" style="108" customWidth="1"/>
    <col min="11812" max="11812" width="15.5703125" style="108" customWidth="1"/>
    <col min="11813" max="11813" width="20.42578125" style="108" customWidth="1"/>
    <col min="11814" max="11814" width="21.28515625" style="108" customWidth="1"/>
    <col min="11815" max="11815" width="15.140625" style="108" customWidth="1"/>
    <col min="11816" max="11816" width="12.28515625" style="108" customWidth="1"/>
    <col min="11817" max="11817" width="30" style="108" customWidth="1"/>
    <col min="11818" max="11818" width="11.28515625" style="108" bestFit="1" customWidth="1"/>
    <col min="11819" max="11819" width="17.5703125" style="108" customWidth="1"/>
    <col min="11820" max="11820" width="13.28515625" style="108" customWidth="1"/>
    <col min="11821" max="11821" width="12.85546875" style="108" bestFit="1" customWidth="1"/>
    <col min="11822" max="11823" width="9.140625" style="108"/>
    <col min="11824" max="11824" width="19.28515625" style="108" customWidth="1"/>
    <col min="11825" max="11825" width="17.28515625" style="108" customWidth="1"/>
    <col min="11826" max="11828" width="9.140625" style="108"/>
    <col min="11829" max="11829" width="13.7109375" style="108" customWidth="1"/>
    <col min="11830" max="11830" width="13.5703125" style="108" customWidth="1"/>
    <col min="11831" max="11831" width="15.7109375" style="108" customWidth="1"/>
    <col min="11832" max="12056" width="9.140625" style="108"/>
    <col min="12057" max="12057" width="4.140625" style="108" customWidth="1"/>
    <col min="12058" max="12058" width="2" style="108" customWidth="1"/>
    <col min="12059" max="12059" width="18.85546875" style="108" customWidth="1"/>
    <col min="12060" max="12060" width="39" style="108" customWidth="1"/>
    <col min="12061" max="12061" width="19.5703125" style="108" customWidth="1"/>
    <col min="12062" max="12062" width="16" style="108" customWidth="1"/>
    <col min="12063" max="12063" width="20.85546875" style="108" customWidth="1"/>
    <col min="12064" max="12064" width="25.42578125" style="108" customWidth="1"/>
    <col min="12065" max="12065" width="16.5703125" style="108" customWidth="1"/>
    <col min="12066" max="12066" width="18.5703125" style="108" customWidth="1"/>
    <col min="12067" max="12067" width="19.28515625" style="108" customWidth="1"/>
    <col min="12068" max="12068" width="15.5703125" style="108" customWidth="1"/>
    <col min="12069" max="12069" width="20.42578125" style="108" customWidth="1"/>
    <col min="12070" max="12070" width="21.28515625" style="108" customWidth="1"/>
    <col min="12071" max="12071" width="15.140625" style="108" customWidth="1"/>
    <col min="12072" max="12072" width="12.28515625" style="108" customWidth="1"/>
    <col min="12073" max="12073" width="30" style="108" customWidth="1"/>
    <col min="12074" max="12074" width="11.28515625" style="108" bestFit="1" customWidth="1"/>
    <col min="12075" max="12075" width="17.5703125" style="108" customWidth="1"/>
    <col min="12076" max="12076" width="13.28515625" style="108" customWidth="1"/>
    <col min="12077" max="12077" width="12.85546875" style="108" bestFit="1" customWidth="1"/>
    <col min="12078" max="12079" width="9.140625" style="108"/>
    <col min="12080" max="12080" width="19.28515625" style="108" customWidth="1"/>
    <col min="12081" max="12081" width="17.28515625" style="108" customWidth="1"/>
    <col min="12082" max="12084" width="9.140625" style="108"/>
    <col min="12085" max="12085" width="13.7109375" style="108" customWidth="1"/>
    <col min="12086" max="12086" width="13.5703125" style="108" customWidth="1"/>
    <col min="12087" max="12087" width="15.7109375" style="108" customWidth="1"/>
    <col min="12088" max="12312" width="9.140625" style="108"/>
    <col min="12313" max="12313" width="4.140625" style="108" customWidth="1"/>
    <col min="12314" max="12314" width="2" style="108" customWidth="1"/>
    <col min="12315" max="12315" width="18.85546875" style="108" customWidth="1"/>
    <col min="12316" max="12316" width="39" style="108" customWidth="1"/>
    <col min="12317" max="12317" width="19.5703125" style="108" customWidth="1"/>
    <col min="12318" max="12318" width="16" style="108" customWidth="1"/>
    <col min="12319" max="12319" width="20.85546875" style="108" customWidth="1"/>
    <col min="12320" max="12320" width="25.42578125" style="108" customWidth="1"/>
    <col min="12321" max="12321" width="16.5703125" style="108" customWidth="1"/>
    <col min="12322" max="12322" width="18.5703125" style="108" customWidth="1"/>
    <col min="12323" max="12323" width="19.28515625" style="108" customWidth="1"/>
    <col min="12324" max="12324" width="15.5703125" style="108" customWidth="1"/>
    <col min="12325" max="12325" width="20.42578125" style="108" customWidth="1"/>
    <col min="12326" max="12326" width="21.28515625" style="108" customWidth="1"/>
    <col min="12327" max="12327" width="15.140625" style="108" customWidth="1"/>
    <col min="12328" max="12328" width="12.28515625" style="108" customWidth="1"/>
    <col min="12329" max="12329" width="30" style="108" customWidth="1"/>
    <col min="12330" max="12330" width="11.28515625" style="108" bestFit="1" customWidth="1"/>
    <col min="12331" max="12331" width="17.5703125" style="108" customWidth="1"/>
    <col min="12332" max="12332" width="13.28515625" style="108" customWidth="1"/>
    <col min="12333" max="12333" width="12.85546875" style="108" bestFit="1" customWidth="1"/>
    <col min="12334" max="12335" width="9.140625" style="108"/>
    <col min="12336" max="12336" width="19.28515625" style="108" customWidth="1"/>
    <col min="12337" max="12337" width="17.28515625" style="108" customWidth="1"/>
    <col min="12338" max="12340" width="9.140625" style="108"/>
    <col min="12341" max="12341" width="13.7109375" style="108" customWidth="1"/>
    <col min="12342" max="12342" width="13.5703125" style="108" customWidth="1"/>
    <col min="12343" max="12343" width="15.7109375" style="108" customWidth="1"/>
    <col min="12344" max="12568" width="9.140625" style="108"/>
    <col min="12569" max="12569" width="4.140625" style="108" customWidth="1"/>
    <col min="12570" max="12570" width="2" style="108" customWidth="1"/>
    <col min="12571" max="12571" width="18.85546875" style="108" customWidth="1"/>
    <col min="12572" max="12572" width="39" style="108" customWidth="1"/>
    <col min="12573" max="12573" width="19.5703125" style="108" customWidth="1"/>
    <col min="12574" max="12574" width="16" style="108" customWidth="1"/>
    <col min="12575" max="12575" width="20.85546875" style="108" customWidth="1"/>
    <col min="12576" max="12576" width="25.42578125" style="108" customWidth="1"/>
    <col min="12577" max="12577" width="16.5703125" style="108" customWidth="1"/>
    <col min="12578" max="12578" width="18.5703125" style="108" customWidth="1"/>
    <col min="12579" max="12579" width="19.28515625" style="108" customWidth="1"/>
    <col min="12580" max="12580" width="15.5703125" style="108" customWidth="1"/>
    <col min="12581" max="12581" width="20.42578125" style="108" customWidth="1"/>
    <col min="12582" max="12582" width="21.28515625" style="108" customWidth="1"/>
    <col min="12583" max="12583" width="15.140625" style="108" customWidth="1"/>
    <col min="12584" max="12584" width="12.28515625" style="108" customWidth="1"/>
    <col min="12585" max="12585" width="30" style="108" customWidth="1"/>
    <col min="12586" max="12586" width="11.28515625" style="108" bestFit="1" customWidth="1"/>
    <col min="12587" max="12587" width="17.5703125" style="108" customWidth="1"/>
    <col min="12588" max="12588" width="13.28515625" style="108" customWidth="1"/>
    <col min="12589" max="12589" width="12.85546875" style="108" bestFit="1" customWidth="1"/>
    <col min="12590" max="12591" width="9.140625" style="108"/>
    <col min="12592" max="12592" width="19.28515625" style="108" customWidth="1"/>
    <col min="12593" max="12593" width="17.28515625" style="108" customWidth="1"/>
    <col min="12594" max="12596" width="9.140625" style="108"/>
    <col min="12597" max="12597" width="13.7109375" style="108" customWidth="1"/>
    <col min="12598" max="12598" width="13.5703125" style="108" customWidth="1"/>
    <col min="12599" max="12599" width="15.7109375" style="108" customWidth="1"/>
    <col min="12600" max="12824" width="9.140625" style="108"/>
    <col min="12825" max="12825" width="4.140625" style="108" customWidth="1"/>
    <col min="12826" max="12826" width="2" style="108" customWidth="1"/>
    <col min="12827" max="12827" width="18.85546875" style="108" customWidth="1"/>
    <col min="12828" max="12828" width="39" style="108" customWidth="1"/>
    <col min="12829" max="12829" width="19.5703125" style="108" customWidth="1"/>
    <col min="12830" max="12830" width="16" style="108" customWidth="1"/>
    <col min="12831" max="12831" width="20.85546875" style="108" customWidth="1"/>
    <col min="12832" max="12832" width="25.42578125" style="108" customWidth="1"/>
    <col min="12833" max="12833" width="16.5703125" style="108" customWidth="1"/>
    <col min="12834" max="12834" width="18.5703125" style="108" customWidth="1"/>
    <col min="12835" max="12835" width="19.28515625" style="108" customWidth="1"/>
    <col min="12836" max="12836" width="15.5703125" style="108" customWidth="1"/>
    <col min="12837" max="12837" width="20.42578125" style="108" customWidth="1"/>
    <col min="12838" max="12838" width="21.28515625" style="108" customWidth="1"/>
    <col min="12839" max="12839" width="15.140625" style="108" customWidth="1"/>
    <col min="12840" max="12840" width="12.28515625" style="108" customWidth="1"/>
    <col min="12841" max="12841" width="30" style="108" customWidth="1"/>
    <col min="12842" max="12842" width="11.28515625" style="108" bestFit="1" customWidth="1"/>
    <col min="12843" max="12843" width="17.5703125" style="108" customWidth="1"/>
    <col min="12844" max="12844" width="13.28515625" style="108" customWidth="1"/>
    <col min="12845" max="12845" width="12.85546875" style="108" bestFit="1" customWidth="1"/>
    <col min="12846" max="12847" width="9.140625" style="108"/>
    <col min="12848" max="12848" width="19.28515625" style="108" customWidth="1"/>
    <col min="12849" max="12849" width="17.28515625" style="108" customWidth="1"/>
    <col min="12850" max="12852" width="9.140625" style="108"/>
    <col min="12853" max="12853" width="13.7109375" style="108" customWidth="1"/>
    <col min="12854" max="12854" width="13.5703125" style="108" customWidth="1"/>
    <col min="12855" max="12855" width="15.7109375" style="108" customWidth="1"/>
    <col min="12856" max="13080" width="9.140625" style="108"/>
    <col min="13081" max="13081" width="4.140625" style="108" customWidth="1"/>
    <col min="13082" max="13082" width="2" style="108" customWidth="1"/>
    <col min="13083" max="13083" width="18.85546875" style="108" customWidth="1"/>
    <col min="13084" max="13084" width="39" style="108" customWidth="1"/>
    <col min="13085" max="13085" width="19.5703125" style="108" customWidth="1"/>
    <col min="13086" max="13086" width="16" style="108" customWidth="1"/>
    <col min="13087" max="13087" width="20.85546875" style="108" customWidth="1"/>
    <col min="13088" max="13088" width="25.42578125" style="108" customWidth="1"/>
    <col min="13089" max="13089" width="16.5703125" style="108" customWidth="1"/>
    <col min="13090" max="13090" width="18.5703125" style="108" customWidth="1"/>
    <col min="13091" max="13091" width="19.28515625" style="108" customWidth="1"/>
    <col min="13092" max="13092" width="15.5703125" style="108" customWidth="1"/>
    <col min="13093" max="13093" width="20.42578125" style="108" customWidth="1"/>
    <col min="13094" max="13094" width="21.28515625" style="108" customWidth="1"/>
    <col min="13095" max="13095" width="15.140625" style="108" customWidth="1"/>
    <col min="13096" max="13096" width="12.28515625" style="108" customWidth="1"/>
    <col min="13097" max="13097" width="30" style="108" customWidth="1"/>
    <col min="13098" max="13098" width="11.28515625" style="108" bestFit="1" customWidth="1"/>
    <col min="13099" max="13099" width="17.5703125" style="108" customWidth="1"/>
    <col min="13100" max="13100" width="13.28515625" style="108" customWidth="1"/>
    <col min="13101" max="13101" width="12.85546875" style="108" bestFit="1" customWidth="1"/>
    <col min="13102" max="13103" width="9.140625" style="108"/>
    <col min="13104" max="13104" width="19.28515625" style="108" customWidth="1"/>
    <col min="13105" max="13105" width="17.28515625" style="108" customWidth="1"/>
    <col min="13106" max="13108" width="9.140625" style="108"/>
    <col min="13109" max="13109" width="13.7109375" style="108" customWidth="1"/>
    <col min="13110" max="13110" width="13.5703125" style="108" customWidth="1"/>
    <col min="13111" max="13111" width="15.7109375" style="108" customWidth="1"/>
    <col min="13112" max="13336" width="9.140625" style="108"/>
    <col min="13337" max="13337" width="4.140625" style="108" customWidth="1"/>
    <col min="13338" max="13338" width="2" style="108" customWidth="1"/>
    <col min="13339" max="13339" width="18.85546875" style="108" customWidth="1"/>
    <col min="13340" max="13340" width="39" style="108" customWidth="1"/>
    <col min="13341" max="13341" width="19.5703125" style="108" customWidth="1"/>
    <col min="13342" max="13342" width="16" style="108" customWidth="1"/>
    <col min="13343" max="13343" width="20.85546875" style="108" customWidth="1"/>
    <col min="13344" max="13344" width="25.42578125" style="108" customWidth="1"/>
    <col min="13345" max="13345" width="16.5703125" style="108" customWidth="1"/>
    <col min="13346" max="13346" width="18.5703125" style="108" customWidth="1"/>
    <col min="13347" max="13347" width="19.28515625" style="108" customWidth="1"/>
    <col min="13348" max="13348" width="15.5703125" style="108" customWidth="1"/>
    <col min="13349" max="13349" width="20.42578125" style="108" customWidth="1"/>
    <col min="13350" max="13350" width="21.28515625" style="108" customWidth="1"/>
    <col min="13351" max="13351" width="15.140625" style="108" customWidth="1"/>
    <col min="13352" max="13352" width="12.28515625" style="108" customWidth="1"/>
    <col min="13353" max="13353" width="30" style="108" customWidth="1"/>
    <col min="13354" max="13354" width="11.28515625" style="108" bestFit="1" customWidth="1"/>
    <col min="13355" max="13355" width="17.5703125" style="108" customWidth="1"/>
    <col min="13356" max="13356" width="13.28515625" style="108" customWidth="1"/>
    <col min="13357" max="13357" width="12.85546875" style="108" bestFit="1" customWidth="1"/>
    <col min="13358" max="13359" width="9.140625" style="108"/>
    <col min="13360" max="13360" width="19.28515625" style="108" customWidth="1"/>
    <col min="13361" max="13361" width="17.28515625" style="108" customWidth="1"/>
    <col min="13362" max="13364" width="9.140625" style="108"/>
    <col min="13365" max="13365" width="13.7109375" style="108" customWidth="1"/>
    <col min="13366" max="13366" width="13.5703125" style="108" customWidth="1"/>
    <col min="13367" max="13367" width="15.7109375" style="108" customWidth="1"/>
    <col min="13368" max="13592" width="9.140625" style="108"/>
    <col min="13593" max="13593" width="4.140625" style="108" customWidth="1"/>
    <col min="13594" max="13594" width="2" style="108" customWidth="1"/>
    <col min="13595" max="13595" width="18.85546875" style="108" customWidth="1"/>
    <col min="13596" max="13596" width="39" style="108" customWidth="1"/>
    <col min="13597" max="13597" width="19.5703125" style="108" customWidth="1"/>
    <col min="13598" max="13598" width="16" style="108" customWidth="1"/>
    <col min="13599" max="13599" width="20.85546875" style="108" customWidth="1"/>
    <col min="13600" max="13600" width="25.42578125" style="108" customWidth="1"/>
    <col min="13601" max="13601" width="16.5703125" style="108" customWidth="1"/>
    <col min="13602" max="13602" width="18.5703125" style="108" customWidth="1"/>
    <col min="13603" max="13603" width="19.28515625" style="108" customWidth="1"/>
    <col min="13604" max="13604" width="15.5703125" style="108" customWidth="1"/>
    <col min="13605" max="13605" width="20.42578125" style="108" customWidth="1"/>
    <col min="13606" max="13606" width="21.28515625" style="108" customWidth="1"/>
    <col min="13607" max="13607" width="15.140625" style="108" customWidth="1"/>
    <col min="13608" max="13608" width="12.28515625" style="108" customWidth="1"/>
    <col min="13609" max="13609" width="30" style="108" customWidth="1"/>
    <col min="13610" max="13610" width="11.28515625" style="108" bestFit="1" customWidth="1"/>
    <col min="13611" max="13611" width="17.5703125" style="108" customWidth="1"/>
    <col min="13612" max="13612" width="13.28515625" style="108" customWidth="1"/>
    <col min="13613" max="13613" width="12.85546875" style="108" bestFit="1" customWidth="1"/>
    <col min="13614" max="13615" width="9.140625" style="108"/>
    <col min="13616" max="13616" width="19.28515625" style="108" customWidth="1"/>
    <col min="13617" max="13617" width="17.28515625" style="108" customWidth="1"/>
    <col min="13618" max="13620" width="9.140625" style="108"/>
    <col min="13621" max="13621" width="13.7109375" style="108" customWidth="1"/>
    <col min="13622" max="13622" width="13.5703125" style="108" customWidth="1"/>
    <col min="13623" max="13623" width="15.7109375" style="108" customWidth="1"/>
    <col min="13624" max="13848" width="9.140625" style="108"/>
    <col min="13849" max="13849" width="4.140625" style="108" customWidth="1"/>
    <col min="13850" max="13850" width="2" style="108" customWidth="1"/>
    <col min="13851" max="13851" width="18.85546875" style="108" customWidth="1"/>
    <col min="13852" max="13852" width="39" style="108" customWidth="1"/>
    <col min="13853" max="13853" width="19.5703125" style="108" customWidth="1"/>
    <col min="13854" max="13854" width="16" style="108" customWidth="1"/>
    <col min="13855" max="13855" width="20.85546875" style="108" customWidth="1"/>
    <col min="13856" max="13856" width="25.42578125" style="108" customWidth="1"/>
    <col min="13857" max="13857" width="16.5703125" style="108" customWidth="1"/>
    <col min="13858" max="13858" width="18.5703125" style="108" customWidth="1"/>
    <col min="13859" max="13859" width="19.28515625" style="108" customWidth="1"/>
    <col min="13860" max="13860" width="15.5703125" style="108" customWidth="1"/>
    <col min="13861" max="13861" width="20.42578125" style="108" customWidth="1"/>
    <col min="13862" max="13862" width="21.28515625" style="108" customWidth="1"/>
    <col min="13863" max="13863" width="15.140625" style="108" customWidth="1"/>
    <col min="13864" max="13864" width="12.28515625" style="108" customWidth="1"/>
    <col min="13865" max="13865" width="30" style="108" customWidth="1"/>
    <col min="13866" max="13866" width="11.28515625" style="108" bestFit="1" customWidth="1"/>
    <col min="13867" max="13867" width="17.5703125" style="108" customWidth="1"/>
    <col min="13868" max="13868" width="13.28515625" style="108" customWidth="1"/>
    <col min="13869" max="13869" width="12.85546875" style="108" bestFit="1" customWidth="1"/>
    <col min="13870" max="13871" width="9.140625" style="108"/>
    <col min="13872" max="13872" width="19.28515625" style="108" customWidth="1"/>
    <col min="13873" max="13873" width="17.28515625" style="108" customWidth="1"/>
    <col min="13874" max="13876" width="9.140625" style="108"/>
    <col min="13877" max="13877" width="13.7109375" style="108" customWidth="1"/>
    <col min="13878" max="13878" width="13.5703125" style="108" customWidth="1"/>
    <col min="13879" max="13879" width="15.7109375" style="108" customWidth="1"/>
    <col min="13880" max="14104" width="9.140625" style="108"/>
    <col min="14105" max="14105" width="4.140625" style="108" customWidth="1"/>
    <col min="14106" max="14106" width="2" style="108" customWidth="1"/>
    <col min="14107" max="14107" width="18.85546875" style="108" customWidth="1"/>
    <col min="14108" max="14108" width="39" style="108" customWidth="1"/>
    <col min="14109" max="14109" width="19.5703125" style="108" customWidth="1"/>
    <col min="14110" max="14110" width="16" style="108" customWidth="1"/>
    <col min="14111" max="14111" width="20.85546875" style="108" customWidth="1"/>
    <col min="14112" max="14112" width="25.42578125" style="108" customWidth="1"/>
    <col min="14113" max="14113" width="16.5703125" style="108" customWidth="1"/>
    <col min="14114" max="14114" width="18.5703125" style="108" customWidth="1"/>
    <col min="14115" max="14115" width="19.28515625" style="108" customWidth="1"/>
    <col min="14116" max="14116" width="15.5703125" style="108" customWidth="1"/>
    <col min="14117" max="14117" width="20.42578125" style="108" customWidth="1"/>
    <col min="14118" max="14118" width="21.28515625" style="108" customWidth="1"/>
    <col min="14119" max="14119" width="15.140625" style="108" customWidth="1"/>
    <col min="14120" max="14120" width="12.28515625" style="108" customWidth="1"/>
    <col min="14121" max="14121" width="30" style="108" customWidth="1"/>
    <col min="14122" max="14122" width="11.28515625" style="108" bestFit="1" customWidth="1"/>
    <col min="14123" max="14123" width="17.5703125" style="108" customWidth="1"/>
    <col min="14124" max="14124" width="13.28515625" style="108" customWidth="1"/>
    <col min="14125" max="14125" width="12.85546875" style="108" bestFit="1" customWidth="1"/>
    <col min="14126" max="14127" width="9.140625" style="108"/>
    <col min="14128" max="14128" width="19.28515625" style="108" customWidth="1"/>
    <col min="14129" max="14129" width="17.28515625" style="108" customWidth="1"/>
    <col min="14130" max="14132" width="9.140625" style="108"/>
    <col min="14133" max="14133" width="13.7109375" style="108" customWidth="1"/>
    <col min="14134" max="14134" width="13.5703125" style="108" customWidth="1"/>
    <col min="14135" max="14135" width="15.7109375" style="108" customWidth="1"/>
    <col min="14136" max="14360" width="9.140625" style="108"/>
    <col min="14361" max="14361" width="4.140625" style="108" customWidth="1"/>
    <col min="14362" max="14362" width="2" style="108" customWidth="1"/>
    <col min="14363" max="14363" width="18.85546875" style="108" customWidth="1"/>
    <col min="14364" max="14364" width="39" style="108" customWidth="1"/>
    <col min="14365" max="14365" width="19.5703125" style="108" customWidth="1"/>
    <col min="14366" max="14366" width="16" style="108" customWidth="1"/>
    <col min="14367" max="14367" width="20.85546875" style="108" customWidth="1"/>
    <col min="14368" max="14368" width="25.42578125" style="108" customWidth="1"/>
    <col min="14369" max="14369" width="16.5703125" style="108" customWidth="1"/>
    <col min="14370" max="14370" width="18.5703125" style="108" customWidth="1"/>
    <col min="14371" max="14371" width="19.28515625" style="108" customWidth="1"/>
    <col min="14372" max="14372" width="15.5703125" style="108" customWidth="1"/>
    <col min="14373" max="14373" width="20.42578125" style="108" customWidth="1"/>
    <col min="14374" max="14374" width="21.28515625" style="108" customWidth="1"/>
    <col min="14375" max="14375" width="15.140625" style="108" customWidth="1"/>
    <col min="14376" max="14376" width="12.28515625" style="108" customWidth="1"/>
    <col min="14377" max="14377" width="30" style="108" customWidth="1"/>
    <col min="14378" max="14378" width="11.28515625" style="108" bestFit="1" customWidth="1"/>
    <col min="14379" max="14379" width="17.5703125" style="108" customWidth="1"/>
    <col min="14380" max="14380" width="13.28515625" style="108" customWidth="1"/>
    <col min="14381" max="14381" width="12.85546875" style="108" bestFit="1" customWidth="1"/>
    <col min="14382" max="14383" width="9.140625" style="108"/>
    <col min="14384" max="14384" width="19.28515625" style="108" customWidth="1"/>
    <col min="14385" max="14385" width="17.28515625" style="108" customWidth="1"/>
    <col min="14386" max="14388" width="9.140625" style="108"/>
    <col min="14389" max="14389" width="13.7109375" style="108" customWidth="1"/>
    <col min="14390" max="14390" width="13.5703125" style="108" customWidth="1"/>
    <col min="14391" max="14391" width="15.7109375" style="108" customWidth="1"/>
    <col min="14392" max="14616" width="9.140625" style="108"/>
    <col min="14617" max="14617" width="4.140625" style="108" customWidth="1"/>
    <col min="14618" max="14618" width="2" style="108" customWidth="1"/>
    <col min="14619" max="14619" width="18.85546875" style="108" customWidth="1"/>
    <col min="14620" max="14620" width="39" style="108" customWidth="1"/>
    <col min="14621" max="14621" width="19.5703125" style="108" customWidth="1"/>
    <col min="14622" max="14622" width="16" style="108" customWidth="1"/>
    <col min="14623" max="14623" width="20.85546875" style="108" customWidth="1"/>
    <col min="14624" max="14624" width="25.42578125" style="108" customWidth="1"/>
    <col min="14625" max="14625" width="16.5703125" style="108" customWidth="1"/>
    <col min="14626" max="14626" width="18.5703125" style="108" customWidth="1"/>
    <col min="14627" max="14627" width="19.28515625" style="108" customWidth="1"/>
    <col min="14628" max="14628" width="15.5703125" style="108" customWidth="1"/>
    <col min="14629" max="14629" width="20.42578125" style="108" customWidth="1"/>
    <col min="14630" max="14630" width="21.28515625" style="108" customWidth="1"/>
    <col min="14631" max="14631" width="15.140625" style="108" customWidth="1"/>
    <col min="14632" max="14632" width="12.28515625" style="108" customWidth="1"/>
    <col min="14633" max="14633" width="30" style="108" customWidth="1"/>
    <col min="14634" max="14634" width="11.28515625" style="108" bestFit="1" customWidth="1"/>
    <col min="14635" max="14635" width="17.5703125" style="108" customWidth="1"/>
    <col min="14636" max="14636" width="13.28515625" style="108" customWidth="1"/>
    <col min="14637" max="14637" width="12.85546875" style="108" bestFit="1" customWidth="1"/>
    <col min="14638" max="14639" width="9.140625" style="108"/>
    <col min="14640" max="14640" width="19.28515625" style="108" customWidth="1"/>
    <col min="14641" max="14641" width="17.28515625" style="108" customWidth="1"/>
    <col min="14642" max="14644" width="9.140625" style="108"/>
    <col min="14645" max="14645" width="13.7109375" style="108" customWidth="1"/>
    <col min="14646" max="14646" width="13.5703125" style="108" customWidth="1"/>
    <col min="14647" max="14647" width="15.7109375" style="108" customWidth="1"/>
    <col min="14648" max="14872" width="9.140625" style="108"/>
    <col min="14873" max="14873" width="4.140625" style="108" customWidth="1"/>
    <col min="14874" max="14874" width="2" style="108" customWidth="1"/>
    <col min="14875" max="14875" width="18.85546875" style="108" customWidth="1"/>
    <col min="14876" max="14876" width="39" style="108" customWidth="1"/>
    <col min="14877" max="14877" width="19.5703125" style="108" customWidth="1"/>
    <col min="14878" max="14878" width="16" style="108" customWidth="1"/>
    <col min="14879" max="14879" width="20.85546875" style="108" customWidth="1"/>
    <col min="14880" max="14880" width="25.42578125" style="108" customWidth="1"/>
    <col min="14881" max="14881" width="16.5703125" style="108" customWidth="1"/>
    <col min="14882" max="14882" width="18.5703125" style="108" customWidth="1"/>
    <col min="14883" max="14883" width="19.28515625" style="108" customWidth="1"/>
    <col min="14884" max="14884" width="15.5703125" style="108" customWidth="1"/>
    <col min="14885" max="14885" width="20.42578125" style="108" customWidth="1"/>
    <col min="14886" max="14886" width="21.28515625" style="108" customWidth="1"/>
    <col min="14887" max="14887" width="15.140625" style="108" customWidth="1"/>
    <col min="14888" max="14888" width="12.28515625" style="108" customWidth="1"/>
    <col min="14889" max="14889" width="30" style="108" customWidth="1"/>
    <col min="14890" max="14890" width="11.28515625" style="108" bestFit="1" customWidth="1"/>
    <col min="14891" max="14891" width="17.5703125" style="108" customWidth="1"/>
    <col min="14892" max="14892" width="13.28515625" style="108" customWidth="1"/>
    <col min="14893" max="14893" width="12.85546875" style="108" bestFit="1" customWidth="1"/>
    <col min="14894" max="14895" width="9.140625" style="108"/>
    <col min="14896" max="14896" width="19.28515625" style="108" customWidth="1"/>
    <col min="14897" max="14897" width="17.28515625" style="108" customWidth="1"/>
    <col min="14898" max="14900" width="9.140625" style="108"/>
    <col min="14901" max="14901" width="13.7109375" style="108" customWidth="1"/>
    <col min="14902" max="14902" width="13.5703125" style="108" customWidth="1"/>
    <col min="14903" max="14903" width="15.7109375" style="108" customWidth="1"/>
    <col min="14904" max="15128" width="9.140625" style="108"/>
    <col min="15129" max="15129" width="4.140625" style="108" customWidth="1"/>
    <col min="15130" max="15130" width="2" style="108" customWidth="1"/>
    <col min="15131" max="15131" width="18.85546875" style="108" customWidth="1"/>
    <col min="15132" max="15132" width="39" style="108" customWidth="1"/>
    <col min="15133" max="15133" width="19.5703125" style="108" customWidth="1"/>
    <col min="15134" max="15134" width="16" style="108" customWidth="1"/>
    <col min="15135" max="15135" width="20.85546875" style="108" customWidth="1"/>
    <col min="15136" max="15136" width="25.42578125" style="108" customWidth="1"/>
    <col min="15137" max="15137" width="16.5703125" style="108" customWidth="1"/>
    <col min="15138" max="15138" width="18.5703125" style="108" customWidth="1"/>
    <col min="15139" max="15139" width="19.28515625" style="108" customWidth="1"/>
    <col min="15140" max="15140" width="15.5703125" style="108" customWidth="1"/>
    <col min="15141" max="15141" width="20.42578125" style="108" customWidth="1"/>
    <col min="15142" max="15142" width="21.28515625" style="108" customWidth="1"/>
    <col min="15143" max="15143" width="15.140625" style="108" customWidth="1"/>
    <col min="15144" max="15144" width="12.28515625" style="108" customWidth="1"/>
    <col min="15145" max="15145" width="30" style="108" customWidth="1"/>
    <col min="15146" max="15146" width="11.28515625" style="108" bestFit="1" customWidth="1"/>
    <col min="15147" max="15147" width="17.5703125" style="108" customWidth="1"/>
    <col min="15148" max="15148" width="13.28515625" style="108" customWidth="1"/>
    <col min="15149" max="15149" width="12.85546875" style="108" bestFit="1" customWidth="1"/>
    <col min="15150" max="15151" width="9.140625" style="108"/>
    <col min="15152" max="15152" width="19.28515625" style="108" customWidth="1"/>
    <col min="15153" max="15153" width="17.28515625" style="108" customWidth="1"/>
    <col min="15154" max="15156" width="9.140625" style="108"/>
    <col min="15157" max="15157" width="13.7109375" style="108" customWidth="1"/>
    <col min="15158" max="15158" width="13.5703125" style="108" customWidth="1"/>
    <col min="15159" max="15159" width="15.7109375" style="108" customWidth="1"/>
    <col min="15160" max="15384" width="9.140625" style="108"/>
    <col min="15385" max="15385" width="4.140625" style="108" customWidth="1"/>
    <col min="15386" max="15386" width="2" style="108" customWidth="1"/>
    <col min="15387" max="15387" width="18.85546875" style="108" customWidth="1"/>
    <col min="15388" max="15388" width="39" style="108" customWidth="1"/>
    <col min="15389" max="15389" width="19.5703125" style="108" customWidth="1"/>
    <col min="15390" max="15390" width="16" style="108" customWidth="1"/>
    <col min="15391" max="15391" width="20.85546875" style="108" customWidth="1"/>
    <col min="15392" max="15392" width="25.42578125" style="108" customWidth="1"/>
    <col min="15393" max="15393" width="16.5703125" style="108" customWidth="1"/>
    <col min="15394" max="15394" width="18.5703125" style="108" customWidth="1"/>
    <col min="15395" max="15395" width="19.28515625" style="108" customWidth="1"/>
    <col min="15396" max="15396" width="15.5703125" style="108" customWidth="1"/>
    <col min="15397" max="15397" width="20.42578125" style="108" customWidth="1"/>
    <col min="15398" max="15398" width="21.28515625" style="108" customWidth="1"/>
    <col min="15399" max="15399" width="15.140625" style="108" customWidth="1"/>
    <col min="15400" max="15400" width="12.28515625" style="108" customWidth="1"/>
    <col min="15401" max="15401" width="30" style="108" customWidth="1"/>
    <col min="15402" max="15402" width="11.28515625" style="108" bestFit="1" customWidth="1"/>
    <col min="15403" max="15403" width="17.5703125" style="108" customWidth="1"/>
    <col min="15404" max="15404" width="13.28515625" style="108" customWidth="1"/>
    <col min="15405" max="15405" width="12.85546875" style="108" bestFit="1" customWidth="1"/>
    <col min="15406" max="15407" width="9.140625" style="108"/>
    <col min="15408" max="15408" width="19.28515625" style="108" customWidth="1"/>
    <col min="15409" max="15409" width="17.28515625" style="108" customWidth="1"/>
    <col min="15410" max="15412" width="9.140625" style="108"/>
    <col min="15413" max="15413" width="13.7109375" style="108" customWidth="1"/>
    <col min="15414" max="15414" width="13.5703125" style="108" customWidth="1"/>
    <col min="15415" max="15415" width="15.7109375" style="108" customWidth="1"/>
    <col min="15416" max="15640" width="9.140625" style="108"/>
    <col min="15641" max="15641" width="4.140625" style="108" customWidth="1"/>
    <col min="15642" max="15642" width="2" style="108" customWidth="1"/>
    <col min="15643" max="15643" width="18.85546875" style="108" customWidth="1"/>
    <col min="15644" max="15644" width="39" style="108" customWidth="1"/>
    <col min="15645" max="15645" width="19.5703125" style="108" customWidth="1"/>
    <col min="15646" max="15646" width="16" style="108" customWidth="1"/>
    <col min="15647" max="15647" width="20.85546875" style="108" customWidth="1"/>
    <col min="15648" max="15648" width="25.42578125" style="108" customWidth="1"/>
    <col min="15649" max="15649" width="16.5703125" style="108" customWidth="1"/>
    <col min="15650" max="15650" width="18.5703125" style="108" customWidth="1"/>
    <col min="15651" max="15651" width="19.28515625" style="108" customWidth="1"/>
    <col min="15652" max="15652" width="15.5703125" style="108" customWidth="1"/>
    <col min="15653" max="15653" width="20.42578125" style="108" customWidth="1"/>
    <col min="15654" max="15654" width="21.28515625" style="108" customWidth="1"/>
    <col min="15655" max="15655" width="15.140625" style="108" customWidth="1"/>
    <col min="15656" max="15656" width="12.28515625" style="108" customWidth="1"/>
    <col min="15657" max="15657" width="30" style="108" customWidth="1"/>
    <col min="15658" max="15658" width="11.28515625" style="108" bestFit="1" customWidth="1"/>
    <col min="15659" max="15659" width="17.5703125" style="108" customWidth="1"/>
    <col min="15660" max="15660" width="13.28515625" style="108" customWidth="1"/>
    <col min="15661" max="15661" width="12.85546875" style="108" bestFit="1" customWidth="1"/>
    <col min="15662" max="15663" width="9.140625" style="108"/>
    <col min="15664" max="15664" width="19.28515625" style="108" customWidth="1"/>
    <col min="15665" max="15665" width="17.28515625" style="108" customWidth="1"/>
    <col min="15666" max="15668" width="9.140625" style="108"/>
    <col min="15669" max="15669" width="13.7109375" style="108" customWidth="1"/>
    <col min="15670" max="15670" width="13.5703125" style="108" customWidth="1"/>
    <col min="15671" max="15671" width="15.7109375" style="108" customWidth="1"/>
    <col min="15672" max="15896" width="9.140625" style="108"/>
    <col min="15897" max="15897" width="4.140625" style="108" customWidth="1"/>
    <col min="15898" max="15898" width="2" style="108" customWidth="1"/>
    <col min="15899" max="15899" width="18.85546875" style="108" customWidth="1"/>
    <col min="15900" max="15900" width="39" style="108" customWidth="1"/>
    <col min="15901" max="15901" width="19.5703125" style="108" customWidth="1"/>
    <col min="15902" max="15902" width="16" style="108" customWidth="1"/>
    <col min="15903" max="15903" width="20.85546875" style="108" customWidth="1"/>
    <col min="15904" max="15904" width="25.42578125" style="108" customWidth="1"/>
    <col min="15905" max="15905" width="16.5703125" style="108" customWidth="1"/>
    <col min="15906" max="15906" width="18.5703125" style="108" customWidth="1"/>
    <col min="15907" max="15907" width="19.28515625" style="108" customWidth="1"/>
    <col min="15908" max="15908" width="15.5703125" style="108" customWidth="1"/>
    <col min="15909" max="15909" width="20.42578125" style="108" customWidth="1"/>
    <col min="15910" max="15910" width="21.28515625" style="108" customWidth="1"/>
    <col min="15911" max="15911" width="15.140625" style="108" customWidth="1"/>
    <col min="15912" max="15912" width="12.28515625" style="108" customWidth="1"/>
    <col min="15913" max="15913" width="30" style="108" customWidth="1"/>
    <col min="15914" max="15914" width="11.28515625" style="108" bestFit="1" customWidth="1"/>
    <col min="15915" max="15915" width="17.5703125" style="108" customWidth="1"/>
    <col min="15916" max="15916" width="13.28515625" style="108" customWidth="1"/>
    <col min="15917" max="15917" width="12.85546875" style="108" bestFit="1" customWidth="1"/>
    <col min="15918" max="15919" width="9.140625" style="108"/>
    <col min="15920" max="15920" width="19.28515625" style="108" customWidth="1"/>
    <col min="15921" max="15921" width="17.28515625" style="108" customWidth="1"/>
    <col min="15922" max="15924" width="9.140625" style="108"/>
    <col min="15925" max="15925" width="13.7109375" style="108" customWidth="1"/>
    <col min="15926" max="15926" width="13.5703125" style="108" customWidth="1"/>
    <col min="15927" max="15927" width="15.7109375" style="108" customWidth="1"/>
    <col min="15928" max="16152" width="9.140625" style="108"/>
    <col min="16153" max="16153" width="4.140625" style="108" customWidth="1"/>
    <col min="16154" max="16154" width="2" style="108" customWidth="1"/>
    <col min="16155" max="16155" width="18.85546875" style="108" customWidth="1"/>
    <col min="16156" max="16156" width="39" style="108" customWidth="1"/>
    <col min="16157" max="16157" width="19.5703125" style="108" customWidth="1"/>
    <col min="16158" max="16158" width="16" style="108" customWidth="1"/>
    <col min="16159" max="16159" width="20.85546875" style="108" customWidth="1"/>
    <col min="16160" max="16160" width="25.42578125" style="108" customWidth="1"/>
    <col min="16161" max="16161" width="16.5703125" style="108" customWidth="1"/>
    <col min="16162" max="16162" width="18.5703125" style="108" customWidth="1"/>
    <col min="16163" max="16163" width="19.28515625" style="108" customWidth="1"/>
    <col min="16164" max="16164" width="15.5703125" style="108" customWidth="1"/>
    <col min="16165" max="16165" width="20.42578125" style="108" customWidth="1"/>
    <col min="16166" max="16166" width="21.28515625" style="108" customWidth="1"/>
    <col min="16167" max="16167" width="15.140625" style="108" customWidth="1"/>
    <col min="16168" max="16168" width="12.28515625" style="108" customWidth="1"/>
    <col min="16169" max="16169" width="30" style="108" customWidth="1"/>
    <col min="16170" max="16170" width="11.28515625" style="108" bestFit="1" customWidth="1"/>
    <col min="16171" max="16171" width="17.5703125" style="108" customWidth="1"/>
    <col min="16172" max="16172" width="13.28515625" style="108" customWidth="1"/>
    <col min="16173" max="16173" width="12.85546875" style="108" bestFit="1" customWidth="1"/>
    <col min="16174" max="16175" width="9.140625" style="108"/>
    <col min="16176" max="16176" width="19.28515625" style="108" customWidth="1"/>
    <col min="16177" max="16177" width="17.28515625" style="108" customWidth="1"/>
    <col min="16178" max="16180" width="9.140625" style="108"/>
    <col min="16181" max="16181" width="13.7109375" style="108" customWidth="1"/>
    <col min="16182" max="16182" width="13.5703125" style="108" customWidth="1"/>
    <col min="16183" max="16183" width="15.7109375" style="108" customWidth="1"/>
    <col min="16184" max="16384" width="9.140625" style="108"/>
  </cols>
  <sheetData>
    <row r="1" spans="1:33" ht="15">
      <c r="A1" s="272" t="s">
        <v>0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107"/>
      <c r="AF1" s="107"/>
      <c r="AG1" s="107"/>
    </row>
    <row r="2" spans="1:33" ht="15">
      <c r="A2" s="272" t="s">
        <v>1</v>
      </c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  <c r="AD2" s="235"/>
      <c r="AE2" s="107"/>
      <c r="AF2" s="107"/>
      <c r="AG2" s="107"/>
    </row>
    <row r="3" spans="1:33">
      <c r="A3" s="276" t="s">
        <v>2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  <c r="AC3" s="236"/>
      <c r="AD3" s="236"/>
      <c r="AE3" s="107"/>
      <c r="AF3" s="107"/>
      <c r="AG3" s="107"/>
    </row>
    <row r="4" spans="1:33">
      <c r="A4" s="276"/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236"/>
      <c r="AE4" s="107"/>
      <c r="AF4" s="107"/>
      <c r="AG4" s="107"/>
    </row>
    <row r="5" spans="1:33" ht="15">
      <c r="A5" s="272" t="s">
        <v>1017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 s="272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107"/>
      <c r="AF5" s="107"/>
      <c r="AG5" s="107"/>
    </row>
    <row r="6" spans="1:33" ht="15">
      <c r="A6" s="272" t="s">
        <v>1018</v>
      </c>
      <c r="B6" s="272"/>
      <c r="C6" s="272"/>
      <c r="D6" s="272"/>
      <c r="E6" s="272"/>
      <c r="F6" s="272"/>
      <c r="G6" s="272"/>
      <c r="H6" s="272"/>
      <c r="I6" s="272"/>
      <c r="J6" s="272"/>
      <c r="K6" s="272"/>
      <c r="L6" s="272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</row>
    <row r="7" spans="1:33" ht="15">
      <c r="A7" s="275" t="str">
        <f>BS!A7</f>
        <v>As of August 31, 2011</v>
      </c>
      <c r="B7" s="275"/>
      <c r="C7" s="275"/>
      <c r="D7" s="275"/>
      <c r="E7" s="275"/>
      <c r="F7" s="275"/>
      <c r="G7" s="275"/>
      <c r="H7" s="275"/>
      <c r="I7" s="275"/>
      <c r="J7" s="275"/>
      <c r="K7" s="275"/>
      <c r="L7" s="275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</row>
    <row r="8" spans="1:33" s="111" customFormat="1" ht="14.25" customHeight="1">
      <c r="E8" s="111" t="s">
        <v>984</v>
      </c>
      <c r="F8" s="111" t="s">
        <v>985</v>
      </c>
      <c r="G8" s="111" t="s">
        <v>986</v>
      </c>
      <c r="H8" s="111" t="s">
        <v>987</v>
      </c>
      <c r="I8" s="111" t="s">
        <v>988</v>
      </c>
      <c r="J8" s="111" t="s">
        <v>989</v>
      </c>
      <c r="K8" s="111" t="s">
        <v>990</v>
      </c>
      <c r="L8" s="111" t="s">
        <v>991</v>
      </c>
      <c r="M8" s="111" t="s">
        <v>992</v>
      </c>
      <c r="N8" s="111" t="s">
        <v>993</v>
      </c>
      <c r="O8" s="111" t="s">
        <v>994</v>
      </c>
      <c r="P8" s="111" t="s">
        <v>995</v>
      </c>
      <c r="Q8" s="112" t="s">
        <v>1019</v>
      </c>
      <c r="R8" s="112" t="s">
        <v>1020</v>
      </c>
      <c r="S8" s="112" t="s">
        <v>1021</v>
      </c>
      <c r="T8" s="112" t="s">
        <v>1022</v>
      </c>
      <c r="U8" s="112" t="s">
        <v>1023</v>
      </c>
      <c r="V8" s="112" t="s">
        <v>1024</v>
      </c>
      <c r="W8" s="112" t="s">
        <v>1025</v>
      </c>
      <c r="X8" s="112" t="s">
        <v>1026</v>
      </c>
      <c r="Y8" s="112" t="s">
        <v>1027</v>
      </c>
      <c r="Z8" s="112" t="s">
        <v>1028</v>
      </c>
      <c r="AA8" s="112" t="s">
        <v>1029</v>
      </c>
      <c r="AB8" s="112" t="s">
        <v>1030</v>
      </c>
    </row>
    <row r="9" spans="1:33" s="111" customFormat="1" ht="15">
      <c r="A9" s="273"/>
      <c r="B9" s="273"/>
      <c r="C9" s="273"/>
      <c r="D9" s="273"/>
      <c r="E9" s="273"/>
      <c r="F9" s="273"/>
      <c r="G9" s="273"/>
      <c r="H9" s="273"/>
      <c r="I9" s="273"/>
      <c r="J9" s="273"/>
      <c r="K9" s="273"/>
      <c r="L9" s="273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</row>
    <row r="10" spans="1:33" s="111" customFormat="1" ht="15">
      <c r="A10" s="273"/>
      <c r="B10" s="273"/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</row>
    <row r="11" spans="1:33" ht="15">
      <c r="A11" s="113" t="s">
        <v>1031</v>
      </c>
      <c r="C11" s="113"/>
      <c r="K11" s="126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</row>
    <row r="12" spans="1:33" ht="15">
      <c r="A12" s="113"/>
      <c r="C12" s="108" t="s">
        <v>1032</v>
      </c>
      <c r="E12" s="115"/>
      <c r="F12" s="115"/>
      <c r="G12" s="115"/>
      <c r="H12" s="115">
        <f>Q12+R12+S12+T12</f>
        <v>50000</v>
      </c>
      <c r="I12" s="115">
        <f>Q12+R12+S12+T12+U12</f>
        <v>50000</v>
      </c>
      <c r="J12" s="115">
        <f>Q12+R12+S12+T12+U12+V12</f>
        <v>50000</v>
      </c>
      <c r="K12" s="115">
        <f>Q12+R12+S12+T12+U12+V12+W12</f>
        <v>50000</v>
      </c>
      <c r="L12" s="115">
        <f>Q12+R12+S12+T12+U12+V12+W12+X12</f>
        <v>50000</v>
      </c>
      <c r="M12" s="115">
        <f>Q12+R12+S12+T12+U12+V12+W12+X12+Y12</f>
        <v>50000</v>
      </c>
      <c r="N12" s="115">
        <f>Q12+R12+S12+T12+U12+V12+W12+X12+Y12+Z12</f>
        <v>50000</v>
      </c>
      <c r="O12" s="115">
        <f>Q12+R12+S12+T12+U12+V12+W12+X12+Y12+Z12+AA12</f>
        <v>50000</v>
      </c>
      <c r="P12" s="115">
        <f>Q12+R12+S12+T12+U12+V12+W12+X12+Y12+Z12+AA12+AB12</f>
        <v>50000</v>
      </c>
      <c r="Q12" s="116"/>
      <c r="R12" s="116"/>
      <c r="S12" s="116"/>
      <c r="T12" s="116">
        <v>50000</v>
      </c>
      <c r="U12" s="116">
        <v>0</v>
      </c>
      <c r="V12" s="116"/>
      <c r="W12" s="116"/>
      <c r="X12" s="116"/>
      <c r="Y12" s="116"/>
      <c r="Z12" s="116"/>
      <c r="AA12" s="116"/>
      <c r="AB12" s="116"/>
      <c r="AC12" s="115"/>
      <c r="AD12" s="117"/>
    </row>
    <row r="13" spans="1:33" ht="15.75" thickBot="1">
      <c r="A13" s="113"/>
      <c r="C13" s="141" t="s">
        <v>1114</v>
      </c>
      <c r="E13" s="118"/>
      <c r="F13" s="118"/>
      <c r="G13" s="118"/>
      <c r="H13" s="118">
        <f>SUM(H12:H12)</f>
        <v>50000</v>
      </c>
      <c r="I13" s="204">
        <f>SUM(I12)</f>
        <v>50000</v>
      </c>
      <c r="J13" s="204">
        <f>SUM(J12)</f>
        <v>50000</v>
      </c>
      <c r="K13" s="204">
        <f>SUM(K12)</f>
        <v>50000</v>
      </c>
      <c r="L13" s="204">
        <f>SUM(L12)</f>
        <v>50000</v>
      </c>
      <c r="M13" s="118"/>
      <c r="N13" s="118"/>
      <c r="O13" s="118"/>
      <c r="P13" s="118"/>
      <c r="Q13" s="119"/>
      <c r="R13" s="119"/>
      <c r="S13" s="119"/>
      <c r="T13" s="119">
        <f>SUM(T12:T12)</f>
        <v>50000</v>
      </c>
      <c r="U13" s="119"/>
      <c r="V13" s="119"/>
      <c r="W13" s="119"/>
      <c r="X13" s="119"/>
      <c r="Y13" s="119"/>
      <c r="Z13" s="119"/>
      <c r="AA13" s="119"/>
      <c r="AB13" s="119"/>
      <c r="AC13" s="172"/>
      <c r="AD13" s="120" t="e">
        <f>+#REF!-[1]TB!G15</f>
        <v>#REF!</v>
      </c>
    </row>
    <row r="14" spans="1:33" ht="15.75" thickTop="1">
      <c r="A14" s="113"/>
      <c r="C14" s="113"/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72"/>
      <c r="AD14" s="120"/>
    </row>
    <row r="15" spans="1:33" ht="15">
      <c r="A15" s="113" t="s">
        <v>1033</v>
      </c>
      <c r="C15" s="113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7"/>
    </row>
    <row r="16" spans="1:33" ht="15">
      <c r="A16" s="113"/>
      <c r="C16" s="108" t="s">
        <v>1034</v>
      </c>
      <c r="E16" s="115"/>
      <c r="F16" s="115"/>
      <c r="G16" s="115"/>
      <c r="H16" s="115">
        <f t="shared" ref="H16:H20" si="0">Q16+R16+S16+T16</f>
        <v>-6879.9000000000233</v>
      </c>
      <c r="I16" s="115">
        <f t="shared" ref="I16:I20" si="1">Q16+R16+S16+T16+U16</f>
        <v>-19.900000000023283</v>
      </c>
      <c r="J16" s="115">
        <f t="shared" ref="J16:J20" si="2">Q16+R16+S16+T16+U16+V16</f>
        <v>-19.900000000023283</v>
      </c>
      <c r="K16" s="115">
        <f t="shared" ref="K16:K20" si="3">Q16+R16+S16+T16+U16+V16+W16</f>
        <v>-19.600000000023282</v>
      </c>
      <c r="L16" s="115">
        <f t="shared" ref="L16:L20" si="4">Q16+R16+S16+T16+U16+V16+W16+X16</f>
        <v>-19.900000000023283</v>
      </c>
      <c r="M16" s="115">
        <f t="shared" ref="M16:M20" si="5">Q16+R16+S16+T16+U16+V16+W16+X16+Y16</f>
        <v>-19.900000000023283</v>
      </c>
      <c r="N16" s="115">
        <f t="shared" ref="N16:N20" si="6">Q16+R16+S16+T16+U16+V16+W16+X16+Y16+Z16</f>
        <v>-19.900000000023283</v>
      </c>
      <c r="O16" s="115">
        <f t="shared" ref="O16:O20" si="7">Q16+R16+S16+T16+U16+V16+W16+X16+Y16+Z16+AA16</f>
        <v>-19.900000000023283</v>
      </c>
      <c r="P16" s="115">
        <f t="shared" ref="P16:P20" si="8">Q16+R16+S16+T16+U16+V16+W16+X16+Y16+Z16+AA16+AB16</f>
        <v>-19.900000000023283</v>
      </c>
      <c r="Q16" s="116"/>
      <c r="R16" s="116"/>
      <c r="S16" s="116"/>
      <c r="T16" s="116">
        <f>216876.22-216896.22+197933.2-197933.2+466695.11-466695.11+637006.02-637006.02+396756.51-396756.51-978711.86+978712.66+522640.6-522520.6-464+1281293.05-1280629.05-0.8+527771.6-527771.6-1272+174927.34-173975.34+652576.63-652576.53+343821.41-350681.41</f>
        <v>-6879.9000000000233</v>
      </c>
      <c r="U16" s="116">
        <f>510539.97-503679.97</f>
        <v>6860</v>
      </c>
      <c r="V16" s="116">
        <f>546602.36-546602.36</f>
        <v>0</v>
      </c>
      <c r="W16" s="116">
        <f>266661.25-266661.25+0.3</f>
        <v>0.3</v>
      </c>
      <c r="X16" s="116">
        <f>368660.85-368660.85-0.3</f>
        <v>-0.3</v>
      </c>
      <c r="Y16" s="116"/>
      <c r="Z16" s="116"/>
      <c r="AA16" s="116"/>
      <c r="AB16" s="116"/>
      <c r="AC16" s="115"/>
      <c r="AD16" s="120">
        <v>503679.97</v>
      </c>
      <c r="AE16" s="120"/>
    </row>
    <row r="17" spans="1:33" ht="15">
      <c r="A17" s="113"/>
      <c r="C17" s="108" t="s">
        <v>1035</v>
      </c>
      <c r="E17" s="115"/>
      <c r="F17" s="115"/>
      <c r="G17" s="115"/>
      <c r="H17" s="115">
        <f t="shared" si="0"/>
        <v>7951.6800000001094</v>
      </c>
      <c r="I17" s="115">
        <f t="shared" si="1"/>
        <v>7951.6900000001187</v>
      </c>
      <c r="J17" s="115">
        <f t="shared" si="2"/>
        <v>7951.6900000001187</v>
      </c>
      <c r="K17" s="115">
        <f t="shared" si="3"/>
        <v>7951.6900000001187</v>
      </c>
      <c r="L17" s="115">
        <f t="shared" si="4"/>
        <v>7951.6900000001187</v>
      </c>
      <c r="M17" s="115">
        <f t="shared" si="5"/>
        <v>7951.6900000001187</v>
      </c>
      <c r="N17" s="115">
        <f t="shared" si="6"/>
        <v>7951.6900000001187</v>
      </c>
      <c r="O17" s="115">
        <f t="shared" si="7"/>
        <v>7951.6900000001187</v>
      </c>
      <c r="P17" s="115">
        <f t="shared" si="8"/>
        <v>7951.6900000001187</v>
      </c>
      <c r="Q17" s="116"/>
      <c r="R17" s="116"/>
      <c r="S17" s="116"/>
      <c r="T17" s="116">
        <f>19911.05-370154.28+357554.28-735562.83+735464.31+671055.63-670356.58+502907.22+0.4-502932.43+278954.03-278954.03+350636.97-350636.97+61826.69-61761.69+276593.53-276593.62+121469.22-121469.22-60869.63+60869.63+99114.14-99114.14+442158.01-442158.01+253268.81-253268.81+373409.17-373409.17+199934.06-199934.06+151582.91-151582.91+113162.43-113162.43</f>
        <v>7951.6800000001094</v>
      </c>
      <c r="U17" s="116">
        <f>307501.94-307501.93</f>
        <v>1.0000000009313226E-2</v>
      </c>
      <c r="V17" s="116">
        <f>90253.04-90253.04</f>
        <v>0</v>
      </c>
      <c r="W17" s="116">
        <f>90253.04-90253.04</f>
        <v>0</v>
      </c>
      <c r="X17" s="116"/>
      <c r="Y17" s="116"/>
      <c r="Z17" s="116"/>
      <c r="AA17" s="116"/>
      <c r="AB17" s="116"/>
      <c r="AC17" s="115"/>
      <c r="AD17" s="120"/>
      <c r="AE17" s="120"/>
    </row>
    <row r="18" spans="1:33" ht="16.5" hidden="1" customHeight="1">
      <c r="A18" s="113"/>
      <c r="C18" s="108" t="s">
        <v>1036</v>
      </c>
      <c r="E18" s="115"/>
      <c r="F18" s="115"/>
      <c r="G18" s="115"/>
      <c r="H18" s="115">
        <f t="shared" si="0"/>
        <v>0</v>
      </c>
      <c r="I18" s="115">
        <f t="shared" si="1"/>
        <v>0</v>
      </c>
      <c r="J18" s="115">
        <f t="shared" si="2"/>
        <v>0</v>
      </c>
      <c r="K18" s="115">
        <f t="shared" si="3"/>
        <v>0</v>
      </c>
      <c r="L18" s="115">
        <f t="shared" si="4"/>
        <v>0</v>
      </c>
      <c r="M18" s="115">
        <f t="shared" si="5"/>
        <v>0</v>
      </c>
      <c r="N18" s="115">
        <f t="shared" si="6"/>
        <v>0</v>
      </c>
      <c r="O18" s="115">
        <f t="shared" si="7"/>
        <v>0</v>
      </c>
      <c r="P18" s="115">
        <f t="shared" si="8"/>
        <v>0</v>
      </c>
      <c r="Q18" s="116"/>
      <c r="R18" s="116"/>
      <c r="S18" s="116"/>
      <c r="T18" s="116">
        <f>39396-39396+38220-38220+299258-299258</f>
        <v>0</v>
      </c>
      <c r="U18" s="116"/>
      <c r="V18" s="116">
        <f>92751-92751</f>
        <v>0</v>
      </c>
      <c r="W18" s="116">
        <f>307373-307373</f>
        <v>0</v>
      </c>
      <c r="X18" s="116">
        <f>39972-39972</f>
        <v>0</v>
      </c>
      <c r="Y18" s="116"/>
      <c r="Z18" s="116"/>
      <c r="AA18" s="116"/>
      <c r="AB18" s="116"/>
      <c r="AC18" s="115"/>
      <c r="AD18" s="120"/>
      <c r="AE18" s="120"/>
    </row>
    <row r="19" spans="1:33" ht="15">
      <c r="A19" s="113"/>
      <c r="C19" s="108" t="s">
        <v>1037</v>
      </c>
      <c r="E19" s="115"/>
      <c r="F19" s="115"/>
      <c r="G19" s="115"/>
      <c r="H19" s="115">
        <f t="shared" si="0"/>
        <v>0</v>
      </c>
      <c r="I19" s="115">
        <f t="shared" si="1"/>
        <v>0</v>
      </c>
      <c r="J19" s="115">
        <f t="shared" si="2"/>
        <v>0</v>
      </c>
      <c r="K19" s="115">
        <f t="shared" si="3"/>
        <v>843</v>
      </c>
      <c r="L19" s="115">
        <f t="shared" si="4"/>
        <v>843</v>
      </c>
      <c r="M19" s="115">
        <f t="shared" si="5"/>
        <v>843</v>
      </c>
      <c r="N19" s="115">
        <f t="shared" si="6"/>
        <v>843</v>
      </c>
      <c r="O19" s="115">
        <f t="shared" si="7"/>
        <v>843</v>
      </c>
      <c r="P19" s="115">
        <f t="shared" si="8"/>
        <v>843</v>
      </c>
      <c r="Q19" s="116"/>
      <c r="R19" s="116"/>
      <c r="S19" s="116"/>
      <c r="T19" s="116">
        <f>5486-5486+1217333.99-1217333.99</f>
        <v>0</v>
      </c>
      <c r="U19" s="116"/>
      <c r="V19" s="116"/>
      <c r="W19" s="116">
        <f>1997934.77-1997091.77</f>
        <v>843</v>
      </c>
      <c r="X19" s="116"/>
      <c r="Y19" s="116"/>
      <c r="Z19" s="116"/>
      <c r="AA19" s="116"/>
      <c r="AB19" s="116"/>
      <c r="AC19" s="115"/>
      <c r="AD19" s="120"/>
      <c r="AE19" s="120"/>
    </row>
    <row r="20" spans="1:33" ht="15" hidden="1">
      <c r="A20" s="113"/>
      <c r="C20" s="108" t="s">
        <v>1038</v>
      </c>
      <c r="E20" s="115"/>
      <c r="F20" s="115"/>
      <c r="G20" s="115"/>
      <c r="H20" s="115">
        <f t="shared" si="0"/>
        <v>3804.8400000000256</v>
      </c>
      <c r="I20" s="115">
        <f t="shared" si="1"/>
        <v>2.5465851649641991E-11</v>
      </c>
      <c r="J20" s="115">
        <f t="shared" si="2"/>
        <v>2.5465851649641991E-11</v>
      </c>
      <c r="K20" s="115">
        <f t="shared" si="3"/>
        <v>2.5465851649641991E-11</v>
      </c>
      <c r="L20" s="115">
        <f t="shared" si="4"/>
        <v>2.5465851649641991E-11</v>
      </c>
      <c r="M20" s="115">
        <f t="shared" si="5"/>
        <v>2.5465851649641991E-11</v>
      </c>
      <c r="N20" s="115">
        <f t="shared" si="6"/>
        <v>2.5465851649641991E-11</v>
      </c>
      <c r="O20" s="115">
        <f t="shared" si="7"/>
        <v>2.5465851649641991E-11</v>
      </c>
      <c r="P20" s="115">
        <f t="shared" si="8"/>
        <v>2.5465851649641991E-11</v>
      </c>
      <c r="Q20" s="116"/>
      <c r="R20" s="116"/>
      <c r="S20" s="116"/>
      <c r="T20" s="116">
        <f>3804.84-166413.19+156413.19+10000-247864.3+322435.3+416530.57-491101.57+117942.65-117942.65+153319.07-153319.07+108071.63-106071.63-2000</f>
        <v>3804.8400000000256</v>
      </c>
      <c r="U20" s="116">
        <v>-3804.84</v>
      </c>
      <c r="V20" s="116"/>
      <c r="W20" s="116"/>
      <c r="X20" s="116"/>
      <c r="Y20" s="116"/>
      <c r="Z20" s="116"/>
      <c r="AA20" s="116"/>
      <c r="AB20" s="116"/>
      <c r="AC20" s="115"/>
      <c r="AD20" s="120"/>
      <c r="AE20" s="120"/>
    </row>
    <row r="21" spans="1:33" ht="15.75" thickBot="1">
      <c r="A21" s="113"/>
      <c r="C21" s="141" t="s">
        <v>1114</v>
      </c>
      <c r="E21" s="118"/>
      <c r="F21" s="118"/>
      <c r="G21" s="118"/>
      <c r="H21" s="118">
        <f>SUM(H16:H20)</f>
        <v>4876.6200000001118</v>
      </c>
      <c r="I21" s="204">
        <f>SUM(I16:I20)</f>
        <v>7931.7900000001209</v>
      </c>
      <c r="J21" s="204">
        <f>SUM(J16:J20)</f>
        <v>7931.7900000001209</v>
      </c>
      <c r="K21" s="204">
        <f>SUM(K16:K20)</f>
        <v>8775.0900000001202</v>
      </c>
      <c r="L21" s="204">
        <f>SUM(L16:L20)</f>
        <v>8774.7900000001209</v>
      </c>
      <c r="M21" s="118"/>
      <c r="N21" s="118"/>
      <c r="O21" s="118"/>
      <c r="P21" s="118"/>
      <c r="Q21" s="119"/>
      <c r="R21" s="119"/>
      <c r="S21" s="119"/>
      <c r="T21" s="119">
        <f>SUM(T16:T20)</f>
        <v>4876.6200000001118</v>
      </c>
      <c r="U21" s="119"/>
      <c r="V21" s="119"/>
      <c r="W21" s="119"/>
      <c r="X21" s="119"/>
      <c r="Y21" s="119"/>
      <c r="Z21" s="119"/>
      <c r="AA21" s="119"/>
      <c r="AB21" s="119"/>
      <c r="AC21" s="172"/>
      <c r="AD21" s="120" t="e">
        <f>+#REF!-[1]TB!G16</f>
        <v>#REF!</v>
      </c>
      <c r="AE21" s="120"/>
    </row>
    <row r="22" spans="1:33" ht="15" thickTop="1">
      <c r="B22" s="122"/>
      <c r="D22" s="123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4"/>
      <c r="AD22" s="120"/>
      <c r="AE22" s="120"/>
      <c r="AG22" s="120"/>
    </row>
    <row r="23" spans="1:33" ht="15">
      <c r="A23" s="126" t="s">
        <v>1039</v>
      </c>
      <c r="C23" s="126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7"/>
      <c r="AD23" s="120"/>
      <c r="AE23" s="120"/>
      <c r="AG23" s="120"/>
    </row>
    <row r="24" spans="1:33">
      <c r="A24" s="128"/>
      <c r="C24" s="128" t="s">
        <v>1040</v>
      </c>
      <c r="D24" s="128" t="s">
        <v>1041</v>
      </c>
      <c r="E24" s="117"/>
      <c r="F24" s="117"/>
      <c r="G24" s="117"/>
      <c r="H24" s="115">
        <f t="shared" ref="H24:H55" si="9">Q24+R24+S24+T24</f>
        <v>787229.57999999973</v>
      </c>
      <c r="I24" s="115">
        <f t="shared" ref="I24:I55" si="10">Q24+R24+S24+T24+U24</f>
        <v>787229.57999999973</v>
      </c>
      <c r="J24" s="115">
        <f t="shared" ref="J24:J55" si="11">Q24+R24+S24+T24+U24+V24</f>
        <v>576159.97999999975</v>
      </c>
      <c r="K24" s="115">
        <f t="shared" ref="K24:K55" si="12">Q24+R24+S24+T24+U24+V24+W24</f>
        <v>222051.47999999975</v>
      </c>
      <c r="L24" s="115">
        <f t="shared" ref="L24:L55" si="13">Q24+R24+S24+T24+U24+V24+W24+X24</f>
        <v>222051.47999999975</v>
      </c>
      <c r="M24" s="115">
        <f t="shared" ref="M24:M55" si="14">Q24+R24+S24+T24+U24+V24+W24+X24+Y24</f>
        <v>222051.47999999975</v>
      </c>
      <c r="N24" s="115">
        <f t="shared" ref="N24:N55" si="15">Q24+R24+S24+T24+U24+V24+W24+X24+Y24+Z24</f>
        <v>222051.47999999975</v>
      </c>
      <c r="O24" s="115">
        <f t="shared" ref="O24:O55" si="16">Q24+R24+S24+T24+U24+V24+W24+X24+Y24+Z24+AA24</f>
        <v>222051.47999999975</v>
      </c>
      <c r="P24" s="115">
        <f t="shared" ref="P24:P55" si="17">Q24+R24+S24+T24+U24+V24+W24+X24+Y24+Z24+AA24+AB24</f>
        <v>222051.47999999975</v>
      </c>
      <c r="Q24" s="125"/>
      <c r="R24" s="125"/>
      <c r="S24" s="125"/>
      <c r="T24" s="125">
        <f>209901.89+539600-566506.88-10000+18268+767093-246754.32+806.46-301097.08-229320.48+1025+3090-91733.08-10481.18+667600-205673.82+48-80000-25500+1723420-459126.25+663690-296475-148808.8+4958.8-565020-0.5-504386.22+5301.82+8400-397345.6-306591.5+150000+17035.72-35610-8200-67556.5+498400-5700-32200-35170.4+164-218603.04-119.6+5980-43769.96+852900+1272-29564-105192-325218.9</f>
        <v>787229.57999999973</v>
      </c>
      <c r="U24" s="125"/>
      <c r="V24" s="125">
        <v>-211069.6</v>
      </c>
      <c r="W24" s="125">
        <v>-354108.5</v>
      </c>
      <c r="X24" s="125"/>
      <c r="Y24" s="125"/>
      <c r="Z24" s="125"/>
      <c r="AA24" s="125"/>
      <c r="AB24" s="125"/>
      <c r="AC24" s="124"/>
      <c r="AD24" s="120"/>
      <c r="AE24" s="120"/>
      <c r="AG24" s="120"/>
    </row>
    <row r="25" spans="1:33">
      <c r="A25" s="128"/>
      <c r="C25" s="128" t="s">
        <v>2332</v>
      </c>
      <c r="D25" s="123" t="s">
        <v>1042</v>
      </c>
      <c r="E25" s="117"/>
      <c r="F25" s="117"/>
      <c r="G25" s="117"/>
      <c r="H25" s="115">
        <f t="shared" si="9"/>
        <v>37145.339999999997</v>
      </c>
      <c r="I25" s="115">
        <f t="shared" si="10"/>
        <v>37145.339999999997</v>
      </c>
      <c r="J25" s="115">
        <f t="shared" si="11"/>
        <v>37145.339999999997</v>
      </c>
      <c r="K25" s="115">
        <f t="shared" si="12"/>
        <v>37145.339999999997</v>
      </c>
      <c r="L25" s="115">
        <f t="shared" si="13"/>
        <v>37145.339999999997</v>
      </c>
      <c r="M25" s="115">
        <f t="shared" si="14"/>
        <v>37145.339999999997</v>
      </c>
      <c r="N25" s="115">
        <f t="shared" si="15"/>
        <v>37145.339999999997</v>
      </c>
      <c r="O25" s="115">
        <f t="shared" si="16"/>
        <v>37145.339999999997</v>
      </c>
      <c r="P25" s="115">
        <f t="shared" si="17"/>
        <v>37145.339999999997</v>
      </c>
      <c r="Q25" s="125"/>
      <c r="R25" s="125"/>
      <c r="S25" s="125"/>
      <c r="T25" s="125">
        <v>37145.339999999997</v>
      </c>
      <c r="U25" s="125"/>
      <c r="V25" s="125"/>
      <c r="W25" s="125"/>
      <c r="X25" s="125"/>
      <c r="Y25" s="125"/>
      <c r="Z25" s="125"/>
      <c r="AA25" s="125"/>
      <c r="AB25" s="125"/>
      <c r="AC25" s="124"/>
      <c r="AD25" s="120"/>
      <c r="AE25" s="120"/>
      <c r="AG25" s="120"/>
    </row>
    <row r="26" spans="1:33">
      <c r="A26" s="128"/>
      <c r="C26" s="128" t="s">
        <v>1043</v>
      </c>
      <c r="D26" s="128" t="s">
        <v>1044</v>
      </c>
      <c r="E26" s="117"/>
      <c r="F26" s="117"/>
      <c r="G26" s="117"/>
      <c r="H26" s="115">
        <f t="shared" si="9"/>
        <v>201925.15</v>
      </c>
      <c r="I26" s="115">
        <f t="shared" si="10"/>
        <v>201925.15</v>
      </c>
      <c r="J26" s="115">
        <f t="shared" si="11"/>
        <v>201925.15</v>
      </c>
      <c r="K26" s="115">
        <f t="shared" si="12"/>
        <v>201925.15</v>
      </c>
      <c r="L26" s="115">
        <f t="shared" si="13"/>
        <v>201925.15</v>
      </c>
      <c r="M26" s="115">
        <f t="shared" si="14"/>
        <v>201925.15</v>
      </c>
      <c r="N26" s="115">
        <f t="shared" si="15"/>
        <v>201925.15</v>
      </c>
      <c r="O26" s="115">
        <f t="shared" si="16"/>
        <v>201925.15</v>
      </c>
      <c r="P26" s="115">
        <f t="shared" si="17"/>
        <v>201925.15</v>
      </c>
      <c r="Q26" s="125"/>
      <c r="R26" s="125"/>
      <c r="S26" s="125"/>
      <c r="T26" s="125">
        <f>10152.77+13119.82+20133.47+33458.78+5+45600+79455.31</f>
        <v>201925.15</v>
      </c>
      <c r="U26" s="125"/>
      <c r="V26" s="125"/>
      <c r="W26" s="125"/>
      <c r="X26" s="125"/>
      <c r="Y26" s="125"/>
      <c r="Z26" s="125"/>
      <c r="AA26" s="125"/>
      <c r="AB26" s="125"/>
      <c r="AC26" s="124"/>
      <c r="AD26" s="120"/>
      <c r="AE26" s="120"/>
      <c r="AG26" s="120"/>
    </row>
    <row r="27" spans="1:33">
      <c r="A27" s="128"/>
      <c r="C27" s="128" t="s">
        <v>1045</v>
      </c>
      <c r="D27" s="128" t="s">
        <v>1046</v>
      </c>
      <c r="E27" s="117"/>
      <c r="F27" s="117"/>
      <c r="G27" s="117"/>
      <c r="H27" s="115">
        <f t="shared" si="9"/>
        <v>466.98</v>
      </c>
      <c r="I27" s="115">
        <f t="shared" si="10"/>
        <v>466.98</v>
      </c>
      <c r="J27" s="115">
        <f t="shared" si="11"/>
        <v>466.98</v>
      </c>
      <c r="K27" s="115">
        <f t="shared" si="12"/>
        <v>466.98</v>
      </c>
      <c r="L27" s="115">
        <f t="shared" si="13"/>
        <v>466.98</v>
      </c>
      <c r="M27" s="115">
        <f t="shared" si="14"/>
        <v>466.98</v>
      </c>
      <c r="N27" s="115">
        <f t="shared" si="15"/>
        <v>466.98</v>
      </c>
      <c r="O27" s="115">
        <f t="shared" si="16"/>
        <v>466.98</v>
      </c>
      <c r="P27" s="115">
        <f t="shared" si="17"/>
        <v>466.98</v>
      </c>
      <c r="Q27" s="125"/>
      <c r="R27" s="125"/>
      <c r="S27" s="125"/>
      <c r="T27" s="125">
        <v>466.98</v>
      </c>
      <c r="U27" s="125"/>
      <c r="V27" s="125"/>
      <c r="W27" s="125"/>
      <c r="X27" s="125"/>
      <c r="Y27" s="125"/>
      <c r="Z27" s="125"/>
      <c r="AA27" s="125"/>
      <c r="AB27" s="125"/>
      <c r="AC27" s="124"/>
      <c r="AD27" s="124"/>
      <c r="AE27" s="127"/>
      <c r="AG27" s="120"/>
    </row>
    <row r="28" spans="1:33">
      <c r="A28" s="128"/>
      <c r="C28" s="128" t="s">
        <v>1047</v>
      </c>
      <c r="D28" s="128" t="s">
        <v>1048</v>
      </c>
      <c r="E28" s="117"/>
      <c r="F28" s="117"/>
      <c r="G28" s="117"/>
      <c r="H28" s="115">
        <f t="shared" si="9"/>
        <v>1160.3499999999999</v>
      </c>
      <c r="I28" s="115">
        <f t="shared" si="10"/>
        <v>1160.3499999999999</v>
      </c>
      <c r="J28" s="115">
        <f t="shared" si="11"/>
        <v>1160.3499999999999</v>
      </c>
      <c r="K28" s="115">
        <f t="shared" si="12"/>
        <v>1160.3499999999999</v>
      </c>
      <c r="L28" s="115">
        <f t="shared" si="13"/>
        <v>1160.3499999999999</v>
      </c>
      <c r="M28" s="115">
        <f t="shared" si="14"/>
        <v>1160.3499999999999</v>
      </c>
      <c r="N28" s="115">
        <f t="shared" si="15"/>
        <v>1160.3499999999999</v>
      </c>
      <c r="O28" s="115">
        <f t="shared" si="16"/>
        <v>1160.3499999999999</v>
      </c>
      <c r="P28" s="115">
        <f t="shared" si="17"/>
        <v>1160.3499999999999</v>
      </c>
      <c r="Q28" s="125"/>
      <c r="R28" s="125"/>
      <c r="S28" s="125"/>
      <c r="T28" s="125">
        <v>1160.3499999999999</v>
      </c>
      <c r="U28" s="125"/>
      <c r="V28" s="125"/>
      <c r="W28" s="125"/>
      <c r="X28" s="125"/>
      <c r="Y28" s="125"/>
      <c r="Z28" s="125"/>
      <c r="AA28" s="125"/>
      <c r="AB28" s="125"/>
      <c r="AC28" s="124"/>
      <c r="AD28" s="124"/>
      <c r="AE28" s="127"/>
      <c r="AG28" s="120"/>
    </row>
    <row r="29" spans="1:33">
      <c r="A29" s="128"/>
      <c r="C29" s="128" t="s">
        <v>1049</v>
      </c>
      <c r="D29" s="128" t="s">
        <v>1050</v>
      </c>
      <c r="E29" s="117"/>
      <c r="F29" s="117"/>
      <c r="G29" s="117"/>
      <c r="H29" s="115">
        <f t="shared" si="9"/>
        <v>1250</v>
      </c>
      <c r="I29" s="115">
        <f t="shared" si="10"/>
        <v>1250</v>
      </c>
      <c r="J29" s="115">
        <f t="shared" si="11"/>
        <v>1250</v>
      </c>
      <c r="K29" s="115">
        <f t="shared" si="12"/>
        <v>1250</v>
      </c>
      <c r="L29" s="115">
        <f t="shared" si="13"/>
        <v>1250</v>
      </c>
      <c r="M29" s="115">
        <f t="shared" si="14"/>
        <v>1250</v>
      </c>
      <c r="N29" s="115">
        <f t="shared" si="15"/>
        <v>1250</v>
      </c>
      <c r="O29" s="115">
        <f t="shared" si="16"/>
        <v>1250</v>
      </c>
      <c r="P29" s="115">
        <f t="shared" si="17"/>
        <v>1250</v>
      </c>
      <c r="Q29" s="125"/>
      <c r="R29" s="125"/>
      <c r="S29" s="125"/>
      <c r="T29" s="125">
        <f>6792.07-5542.07</f>
        <v>1250</v>
      </c>
      <c r="U29" s="125"/>
      <c r="V29" s="125"/>
      <c r="W29" s="125"/>
      <c r="X29" s="125"/>
      <c r="Y29" s="125"/>
      <c r="Z29" s="125"/>
      <c r="AA29" s="125"/>
      <c r="AB29" s="125"/>
      <c r="AC29" s="124"/>
      <c r="AD29" s="124"/>
      <c r="AE29" s="127"/>
      <c r="AG29" s="120"/>
    </row>
    <row r="30" spans="1:33">
      <c r="A30" s="128"/>
      <c r="C30" s="128" t="s">
        <v>1051</v>
      </c>
      <c r="D30" s="128" t="s">
        <v>1052</v>
      </c>
      <c r="E30" s="117"/>
      <c r="F30" s="117"/>
      <c r="G30" s="117"/>
      <c r="H30" s="115">
        <f t="shared" si="9"/>
        <v>1609.09</v>
      </c>
      <c r="I30" s="115">
        <f t="shared" si="10"/>
        <v>1609.09</v>
      </c>
      <c r="J30" s="115">
        <f t="shared" si="11"/>
        <v>1609.09</v>
      </c>
      <c r="K30" s="115">
        <f t="shared" si="12"/>
        <v>1609.09</v>
      </c>
      <c r="L30" s="115">
        <f t="shared" si="13"/>
        <v>1609.09</v>
      </c>
      <c r="M30" s="115">
        <f t="shared" si="14"/>
        <v>1609.09</v>
      </c>
      <c r="N30" s="115">
        <f t="shared" si="15"/>
        <v>1609.09</v>
      </c>
      <c r="O30" s="115">
        <f t="shared" si="16"/>
        <v>1609.09</v>
      </c>
      <c r="P30" s="115">
        <f t="shared" si="17"/>
        <v>1609.09</v>
      </c>
      <c r="Q30" s="125"/>
      <c r="R30" s="125"/>
      <c r="S30" s="125"/>
      <c r="T30" s="125">
        <f>1579.09+30</f>
        <v>1609.09</v>
      </c>
      <c r="U30" s="125"/>
      <c r="V30" s="125"/>
      <c r="W30" s="125"/>
      <c r="X30" s="125"/>
      <c r="Y30" s="125"/>
      <c r="Z30" s="125"/>
      <c r="AA30" s="125"/>
      <c r="AB30" s="125"/>
      <c r="AC30" s="124"/>
      <c r="AD30" s="124"/>
      <c r="AE30" s="127"/>
      <c r="AG30" s="120"/>
    </row>
    <row r="31" spans="1:33">
      <c r="A31" s="128"/>
      <c r="C31" s="128" t="s">
        <v>1053</v>
      </c>
      <c r="D31" s="128" t="s">
        <v>1054</v>
      </c>
      <c r="E31" s="117"/>
      <c r="F31" s="117"/>
      <c r="G31" s="117"/>
      <c r="H31" s="115">
        <f t="shared" si="9"/>
        <v>31048988.270000026</v>
      </c>
      <c r="I31" s="115">
        <f t="shared" si="10"/>
        <v>30073784.060000025</v>
      </c>
      <c r="J31" s="115">
        <f t="shared" si="11"/>
        <v>31009129.010000024</v>
      </c>
      <c r="K31" s="115">
        <f t="shared" si="12"/>
        <v>27170816.370000023</v>
      </c>
      <c r="L31" s="115">
        <f t="shared" si="13"/>
        <v>57156405.270000026</v>
      </c>
      <c r="M31" s="115">
        <f t="shared" si="14"/>
        <v>57156405.270000026</v>
      </c>
      <c r="N31" s="115">
        <f t="shared" si="15"/>
        <v>57156405.270000026</v>
      </c>
      <c r="O31" s="115">
        <f t="shared" si="16"/>
        <v>57156405.270000026</v>
      </c>
      <c r="P31" s="115">
        <f t="shared" si="17"/>
        <v>57156405.270000026</v>
      </c>
      <c r="Q31" s="125"/>
      <c r="R31" s="125"/>
      <c r="S31" s="125"/>
      <c r="T31" s="125">
        <f>13100299.14-4122238.07+15415636.1-5412381.29+15862220+5615874.14-15171078.7-4092088.17+4672519.54-165+14808997.18-4485716.44+8850438.88-5675295.86+8907588.89-13749045.72+3134796.33-4622382.41+8404100.29-6720-5223788.81+4906262.2-5306885.4+9423901+800-6595818.57-30000+13037923.57-11361377.98-4958.8+4129799.43-4941365.85-4372.3-36800.09+2643606.66-10041120.25-5301.82+3933853.16-5907264.55+2134584.64-2650921.76+1603047.37-2000-4537984.21+3465788.98-5096720.47-1922+5579782.03-4339072+3712813.19-2693499.26+5770917.83+24228.34-3337331.18+1404510.83-13336+1658.51-3111842.9+1475989.49-1573791.15+3338649.54-5468466.22+3097009.23-4025968.85+14500000+2883825.18-9399190.97+2585183.78-2000-4092310.43+448980.99+2597061.3+78209-3359344.99</f>
        <v>31048988.270000026</v>
      </c>
      <c r="U31" s="125">
        <f>-4646819.4+3033837.19+637778</f>
        <v>-975204.21000000043</v>
      </c>
      <c r="V31" s="125">
        <f>2247354.52-3246737.57+1938228-3500</f>
        <v>935344.95000000019</v>
      </c>
      <c r="W31" s="125">
        <f>-6614819.2+2576182.86+200324-0.3</f>
        <v>-3838312.64</v>
      </c>
      <c r="X31" s="125">
        <f>-3755367.38+17233149.88+16507806.1+0.3</f>
        <v>29985588.900000002</v>
      </c>
      <c r="Y31" s="125"/>
      <c r="Z31" s="125"/>
      <c r="AA31" s="125"/>
      <c r="AB31" s="125"/>
      <c r="AC31" s="124"/>
      <c r="AD31" s="124"/>
      <c r="AE31" s="129"/>
      <c r="AG31" s="120"/>
    </row>
    <row r="32" spans="1:33">
      <c r="A32" s="128"/>
      <c r="C32" s="128" t="s">
        <v>1055</v>
      </c>
      <c r="D32" s="123" t="s">
        <v>1056</v>
      </c>
      <c r="E32" s="130"/>
      <c r="F32" s="130"/>
      <c r="G32" s="130"/>
      <c r="H32" s="115">
        <f t="shared" si="9"/>
        <v>317.91000000000349</v>
      </c>
      <c r="I32" s="115">
        <f t="shared" si="10"/>
        <v>317.91000000000349</v>
      </c>
      <c r="J32" s="115">
        <f t="shared" si="11"/>
        <v>317.91000000000349</v>
      </c>
      <c r="K32" s="115">
        <f t="shared" si="12"/>
        <v>317.91000000000349</v>
      </c>
      <c r="L32" s="115">
        <f t="shared" si="13"/>
        <v>317.91000000000349</v>
      </c>
      <c r="M32" s="115">
        <f t="shared" si="14"/>
        <v>317.91000000000349</v>
      </c>
      <c r="N32" s="115">
        <f t="shared" si="15"/>
        <v>317.91000000000349</v>
      </c>
      <c r="O32" s="115">
        <f t="shared" si="16"/>
        <v>317.91000000000349</v>
      </c>
      <c r="P32" s="115">
        <f t="shared" si="17"/>
        <v>317.91000000000349</v>
      </c>
      <c r="Q32" s="131"/>
      <c r="R32" s="131"/>
      <c r="S32" s="131"/>
      <c r="T32" s="131">
        <f>40917.91-7857-243-32500</f>
        <v>317.91000000000349</v>
      </c>
      <c r="U32" s="131"/>
      <c r="V32" s="131"/>
      <c r="W32" s="131"/>
      <c r="X32" s="131"/>
      <c r="Y32" s="131"/>
      <c r="Z32" s="131"/>
      <c r="AA32" s="131"/>
      <c r="AB32" s="131"/>
      <c r="AC32" s="132"/>
      <c r="AD32" s="132"/>
      <c r="AE32" s="127" t="s">
        <v>1057</v>
      </c>
      <c r="AF32" s="108" t="s">
        <v>1058</v>
      </c>
      <c r="AG32" s="133">
        <v>8100</v>
      </c>
    </row>
    <row r="33" spans="1:37">
      <c r="A33" s="128"/>
      <c r="C33" s="123" t="s">
        <v>1059</v>
      </c>
      <c r="D33" s="123" t="s">
        <v>1060</v>
      </c>
      <c r="E33" s="130"/>
      <c r="F33" s="130"/>
      <c r="G33" s="130"/>
      <c r="H33" s="115">
        <f t="shared" si="9"/>
        <v>2149.0699999999997</v>
      </c>
      <c r="I33" s="115">
        <f t="shared" si="10"/>
        <v>2149.0699999999997</v>
      </c>
      <c r="J33" s="115">
        <f t="shared" si="11"/>
        <v>2149.0699999999997</v>
      </c>
      <c r="K33" s="115">
        <f t="shared" si="12"/>
        <v>2149.0699999999997</v>
      </c>
      <c r="L33" s="115">
        <f t="shared" si="13"/>
        <v>2149.0699999999997</v>
      </c>
      <c r="M33" s="115">
        <f t="shared" si="14"/>
        <v>2149.0699999999997</v>
      </c>
      <c r="N33" s="115">
        <f t="shared" si="15"/>
        <v>2149.0699999999997</v>
      </c>
      <c r="O33" s="115">
        <f t="shared" si="16"/>
        <v>2149.0699999999997</v>
      </c>
      <c r="P33" s="115">
        <f t="shared" si="17"/>
        <v>2149.0699999999997</v>
      </c>
      <c r="Q33" s="131"/>
      <c r="R33" s="131"/>
      <c r="S33" s="131"/>
      <c r="T33" s="131">
        <f>42649.47-0.4-40500</f>
        <v>2149.0699999999997</v>
      </c>
      <c r="U33" s="131"/>
      <c r="V33" s="131"/>
      <c r="W33" s="131"/>
      <c r="X33" s="131"/>
      <c r="Y33" s="131"/>
      <c r="Z33" s="131"/>
      <c r="AA33" s="131"/>
      <c r="AB33" s="131"/>
      <c r="AC33" s="132"/>
      <c r="AD33" s="132"/>
      <c r="AE33" s="129"/>
      <c r="AF33" s="129" t="s">
        <v>1061</v>
      </c>
      <c r="AG33" s="133">
        <v>82500</v>
      </c>
    </row>
    <row r="34" spans="1:37" hidden="1">
      <c r="A34" s="128"/>
      <c r="C34" s="123" t="s">
        <v>1062</v>
      </c>
      <c r="D34" s="123" t="s">
        <v>1063</v>
      </c>
      <c r="E34" s="130"/>
      <c r="F34" s="130"/>
      <c r="G34" s="130"/>
      <c r="H34" s="115">
        <f t="shared" si="9"/>
        <v>0</v>
      </c>
      <c r="I34" s="115">
        <f t="shared" si="10"/>
        <v>0</v>
      </c>
      <c r="J34" s="115">
        <f t="shared" si="11"/>
        <v>0</v>
      </c>
      <c r="K34" s="115">
        <f t="shared" si="12"/>
        <v>0</v>
      </c>
      <c r="L34" s="115">
        <f t="shared" si="13"/>
        <v>0</v>
      </c>
      <c r="M34" s="115">
        <f t="shared" si="14"/>
        <v>0</v>
      </c>
      <c r="N34" s="115">
        <f t="shared" si="15"/>
        <v>0</v>
      </c>
      <c r="O34" s="115">
        <f t="shared" si="16"/>
        <v>0</v>
      </c>
      <c r="P34" s="115">
        <f t="shared" si="17"/>
        <v>0</v>
      </c>
      <c r="Q34" s="131"/>
      <c r="R34" s="131"/>
      <c r="S34" s="131"/>
      <c r="T34" s="131">
        <f>15647.51-4034.78-11612.73</f>
        <v>0</v>
      </c>
      <c r="U34" s="131"/>
      <c r="V34" s="131"/>
      <c r="W34" s="131"/>
      <c r="X34" s="131"/>
      <c r="Y34" s="131"/>
      <c r="Z34" s="131"/>
      <c r="AA34" s="131"/>
      <c r="AB34" s="131"/>
      <c r="AC34" s="132"/>
      <c r="AD34" s="132"/>
      <c r="AE34" s="129"/>
      <c r="AG34" s="120"/>
    </row>
    <row r="35" spans="1:37">
      <c r="A35" s="128"/>
      <c r="C35" s="123" t="s">
        <v>1064</v>
      </c>
      <c r="D35" s="123" t="s">
        <v>1060</v>
      </c>
      <c r="E35" s="124"/>
      <c r="F35" s="124"/>
      <c r="G35" s="124"/>
      <c r="H35" s="115">
        <f t="shared" si="9"/>
        <v>3067.29</v>
      </c>
      <c r="I35" s="115">
        <f t="shared" si="10"/>
        <v>3067.29</v>
      </c>
      <c r="J35" s="115">
        <f t="shared" si="11"/>
        <v>3067.29</v>
      </c>
      <c r="K35" s="115">
        <f t="shared" si="12"/>
        <v>3067.29</v>
      </c>
      <c r="L35" s="115">
        <f t="shared" si="13"/>
        <v>3067.29</v>
      </c>
      <c r="M35" s="115">
        <f t="shared" si="14"/>
        <v>3067.29</v>
      </c>
      <c r="N35" s="115">
        <f t="shared" si="15"/>
        <v>3067.29</v>
      </c>
      <c r="O35" s="115">
        <f t="shared" si="16"/>
        <v>3067.29</v>
      </c>
      <c r="P35" s="115">
        <f t="shared" si="17"/>
        <v>3067.29</v>
      </c>
      <c r="Q35" s="125"/>
      <c r="R35" s="125"/>
      <c r="S35" s="125"/>
      <c r="T35" s="125">
        <f>3067.29</f>
        <v>3067.29</v>
      </c>
      <c r="U35" s="125"/>
      <c r="V35" s="125"/>
      <c r="W35" s="125"/>
      <c r="X35" s="125"/>
      <c r="Y35" s="125"/>
      <c r="Z35" s="125"/>
      <c r="AA35" s="125"/>
      <c r="AB35" s="125"/>
      <c r="AC35" s="124"/>
      <c r="AD35" s="132"/>
      <c r="AE35" s="129"/>
      <c r="AF35" s="108" t="s">
        <v>1065</v>
      </c>
      <c r="AG35" s="133">
        <v>274885.98</v>
      </c>
    </row>
    <row r="36" spans="1:37">
      <c r="A36" s="128"/>
      <c r="C36" s="123" t="s">
        <v>1066</v>
      </c>
      <c r="D36" s="123" t="s">
        <v>1067</v>
      </c>
      <c r="E36" s="117"/>
      <c r="F36" s="117"/>
      <c r="G36" s="117"/>
      <c r="H36" s="115">
        <f t="shared" si="9"/>
        <v>224470.19</v>
      </c>
      <c r="I36" s="115">
        <f t="shared" si="10"/>
        <v>224470.19</v>
      </c>
      <c r="J36" s="115">
        <f t="shared" si="11"/>
        <v>224470.19</v>
      </c>
      <c r="K36" s="115">
        <f t="shared" si="12"/>
        <v>224470.19</v>
      </c>
      <c r="L36" s="115">
        <f t="shared" si="13"/>
        <v>224470.19</v>
      </c>
      <c r="M36" s="115">
        <f t="shared" si="14"/>
        <v>224470.19</v>
      </c>
      <c r="N36" s="115">
        <f t="shared" si="15"/>
        <v>224470.19</v>
      </c>
      <c r="O36" s="115">
        <f t="shared" si="16"/>
        <v>224470.19</v>
      </c>
      <c r="P36" s="115">
        <f t="shared" si="17"/>
        <v>224470.19</v>
      </c>
      <c r="Q36" s="125"/>
      <c r="R36" s="125"/>
      <c r="S36" s="125"/>
      <c r="T36" s="125">
        <f>224470.19</f>
        <v>224470.19</v>
      </c>
      <c r="U36" s="125"/>
      <c r="V36" s="125"/>
      <c r="W36" s="125"/>
      <c r="X36" s="125"/>
      <c r="Y36" s="125"/>
      <c r="Z36" s="125"/>
      <c r="AA36" s="125"/>
      <c r="AB36" s="125"/>
      <c r="AC36" s="124"/>
      <c r="AD36" s="134"/>
      <c r="AE36" s="115"/>
      <c r="AF36" s="135" t="s">
        <v>1068</v>
      </c>
      <c r="AG36" s="120">
        <v>42693.75</v>
      </c>
    </row>
    <row r="37" spans="1:37">
      <c r="A37" s="128"/>
      <c r="C37" s="136" t="s">
        <v>1069</v>
      </c>
      <c r="D37" s="123" t="s">
        <v>1070</v>
      </c>
      <c r="E37" s="117"/>
      <c r="F37" s="117"/>
      <c r="G37" s="117"/>
      <c r="H37" s="115">
        <f t="shared" si="9"/>
        <v>78182.790000000008</v>
      </c>
      <c r="I37" s="115">
        <f t="shared" si="10"/>
        <v>78682.790000000008</v>
      </c>
      <c r="J37" s="115">
        <f t="shared" si="11"/>
        <v>78682.790000000008</v>
      </c>
      <c r="K37" s="115">
        <f t="shared" si="12"/>
        <v>78682.790000000008</v>
      </c>
      <c r="L37" s="115">
        <f t="shared" si="13"/>
        <v>79682.790000000008</v>
      </c>
      <c r="M37" s="115">
        <f t="shared" si="14"/>
        <v>79682.790000000008</v>
      </c>
      <c r="N37" s="115">
        <f t="shared" si="15"/>
        <v>79682.790000000008</v>
      </c>
      <c r="O37" s="115">
        <f t="shared" si="16"/>
        <v>79682.790000000008</v>
      </c>
      <c r="P37" s="115">
        <f t="shared" si="17"/>
        <v>79682.790000000008</v>
      </c>
      <c r="Q37" s="125"/>
      <c r="R37" s="125"/>
      <c r="S37" s="125"/>
      <c r="T37" s="125">
        <f>41048.48+39430-18086.4+4500+3500-15360.41-298.88+13030+6500+3500-2440.2-49.8+1600+1100+1500-3743.6+1000-4510.9+750-90.5+1500+3750-1708+4500-7737.1+250-10187.02+2500-417.88+1750+6500+1000+7000+1950+150-5423.8-71.2</f>
        <v>78182.790000000008</v>
      </c>
      <c r="U37" s="125">
        <v>500</v>
      </c>
      <c r="V37" s="125"/>
      <c r="W37" s="125"/>
      <c r="X37" s="125">
        <f>1000</f>
        <v>1000</v>
      </c>
      <c r="Y37" s="125"/>
      <c r="Z37" s="125"/>
      <c r="AA37" s="125"/>
      <c r="AB37" s="125"/>
      <c r="AC37" s="124"/>
      <c r="AD37" s="117"/>
      <c r="AE37" s="115"/>
      <c r="AF37" s="137" t="s">
        <v>1071</v>
      </c>
      <c r="AG37" s="120">
        <v>10495</v>
      </c>
    </row>
    <row r="38" spans="1:37">
      <c r="A38" s="128"/>
      <c r="C38" s="136" t="s">
        <v>1072</v>
      </c>
      <c r="D38" s="123" t="s">
        <v>1073</v>
      </c>
      <c r="E38" s="117"/>
      <c r="F38" s="117"/>
      <c r="G38" s="117"/>
      <c r="H38" s="115">
        <f t="shared" si="9"/>
        <v>1345414.7899999998</v>
      </c>
      <c r="I38" s="115">
        <f t="shared" si="10"/>
        <v>1345414.7899999998</v>
      </c>
      <c r="J38" s="115">
        <f t="shared" si="11"/>
        <v>1345414.7899999998</v>
      </c>
      <c r="K38" s="115">
        <f t="shared" si="12"/>
        <v>1345414.7899999998</v>
      </c>
      <c r="L38" s="115">
        <f t="shared" si="13"/>
        <v>1346761.4899999998</v>
      </c>
      <c r="M38" s="115">
        <f t="shared" si="14"/>
        <v>1346761.4899999998</v>
      </c>
      <c r="N38" s="115">
        <f t="shared" si="15"/>
        <v>1346761.4899999998</v>
      </c>
      <c r="O38" s="115">
        <f t="shared" si="16"/>
        <v>1346761.4899999998</v>
      </c>
      <c r="P38" s="115">
        <f t="shared" si="17"/>
        <v>1346761.4899999998</v>
      </c>
      <c r="Q38" s="125"/>
      <c r="R38" s="125"/>
      <c r="S38" s="125"/>
      <c r="T38" s="125">
        <f>1322860.75-28443.5-15506.5-600+45785.41+10876.05+2673.94+7768.64</f>
        <v>1345414.7899999998</v>
      </c>
      <c r="U38" s="125"/>
      <c r="V38" s="125"/>
      <c r="W38" s="125"/>
      <c r="X38" s="125">
        <v>1346.7</v>
      </c>
      <c r="Y38" s="125"/>
      <c r="Z38" s="125"/>
      <c r="AA38" s="125"/>
      <c r="AB38" s="125"/>
      <c r="AC38" s="124"/>
      <c r="AD38" s="124"/>
      <c r="AE38" s="115"/>
      <c r="AF38" s="137" t="s">
        <v>1074</v>
      </c>
      <c r="AG38" s="120">
        <v>49120</v>
      </c>
    </row>
    <row r="39" spans="1:37" hidden="1">
      <c r="A39" s="128"/>
      <c r="C39" s="108" t="s">
        <v>1075</v>
      </c>
      <c r="D39" s="123" t="s">
        <v>1076</v>
      </c>
      <c r="E39" s="117"/>
      <c r="F39" s="117"/>
      <c r="G39" s="117"/>
      <c r="H39" s="115">
        <f t="shared" si="9"/>
        <v>0</v>
      </c>
      <c r="I39" s="115">
        <f t="shared" si="10"/>
        <v>0</v>
      </c>
      <c r="J39" s="115">
        <f t="shared" si="11"/>
        <v>0</v>
      </c>
      <c r="K39" s="115">
        <f t="shared" si="12"/>
        <v>0</v>
      </c>
      <c r="L39" s="115">
        <f t="shared" si="13"/>
        <v>0</v>
      </c>
      <c r="M39" s="115">
        <f t="shared" si="14"/>
        <v>0</v>
      </c>
      <c r="N39" s="115">
        <f t="shared" si="15"/>
        <v>0</v>
      </c>
      <c r="O39" s="115">
        <f t="shared" si="16"/>
        <v>0</v>
      </c>
      <c r="P39" s="115">
        <f t="shared" si="17"/>
        <v>0</v>
      </c>
      <c r="Q39" s="125"/>
      <c r="R39" s="125"/>
      <c r="S39" s="125"/>
      <c r="T39" s="125">
        <f>261221.26-40992-34560-1440-24192-1008-159029.26</f>
        <v>0</v>
      </c>
      <c r="U39" s="125"/>
      <c r="V39" s="125"/>
      <c r="W39" s="125"/>
      <c r="X39" s="125"/>
      <c r="Y39" s="125"/>
      <c r="Z39" s="125"/>
      <c r="AA39" s="125"/>
      <c r="AB39" s="125"/>
      <c r="AC39" s="124"/>
      <c r="AD39" s="128"/>
      <c r="AE39" s="120"/>
      <c r="AG39" s="133">
        <v>63700</v>
      </c>
      <c r="AH39" s="136" t="s">
        <v>1077</v>
      </c>
      <c r="AI39" s="108" t="s">
        <v>1078</v>
      </c>
      <c r="AK39" s="108" t="s">
        <v>1079</v>
      </c>
    </row>
    <row r="40" spans="1:37">
      <c r="A40" s="128"/>
      <c r="C40" s="108" t="s">
        <v>1080</v>
      </c>
      <c r="D40" s="123" t="s">
        <v>1081</v>
      </c>
      <c r="E40" s="117"/>
      <c r="F40" s="117"/>
      <c r="G40" s="117"/>
      <c r="H40" s="115">
        <f t="shared" si="9"/>
        <v>4973305.4099999992</v>
      </c>
      <c r="I40" s="115">
        <f t="shared" si="10"/>
        <v>5397225.7499999991</v>
      </c>
      <c r="J40" s="115">
        <f t="shared" si="11"/>
        <v>5792279.2199999988</v>
      </c>
      <c r="K40" s="115">
        <f t="shared" si="12"/>
        <v>5194960.2599999988</v>
      </c>
      <c r="L40" s="115">
        <f t="shared" si="13"/>
        <v>5514416.1099999985</v>
      </c>
      <c r="M40" s="115">
        <f t="shared" si="14"/>
        <v>5514416.1099999985</v>
      </c>
      <c r="N40" s="115">
        <f t="shared" si="15"/>
        <v>5514416.1099999985</v>
      </c>
      <c r="O40" s="115">
        <f t="shared" si="16"/>
        <v>5514416.1099999985</v>
      </c>
      <c r="P40" s="115">
        <f t="shared" si="17"/>
        <v>5514416.1099999985</v>
      </c>
      <c r="Q40" s="125"/>
      <c r="R40" s="125"/>
      <c r="S40" s="125"/>
      <c r="T40" s="125">
        <f>4981332.63+0.6-1209340.04+766814.05-503404.01+691367.5+738878.15-107861.11-663534.38+717390.81+30643.8+957589.32-518902.43+15270+1607.13+678843.5-849490.65+778966.5-1365899.62+648626.21-886973.92+843319.8-686352.5+1133171.16-2765755.83+833608.49-823050+666554.09-90+0.1-580899.05+1056163.24-583291.34+4372.3+36800.09+654912.49-1195917.63+1575+598574.52-451426.85+647170.55-1423797.21-17035.72+991.07+489714.1-261193.28+812821.7-525356.06+877154.65-870495.89+739516.42-369379.99+818804.85-727862.23+551442.61-0.4-402076.29+728376.5-125195.71+796947.7-162053.98+585193.55-689576.3+673011.9-991164.55+611067.95-185479.71+491034.45-743467.39</f>
        <v>4973305.4099999992</v>
      </c>
      <c r="U40" s="125">
        <f>-178136.98+602057.32</f>
        <v>423920.33999999997</v>
      </c>
      <c r="V40" s="125">
        <f>807109.3-412055.83</f>
        <v>395053.47000000003</v>
      </c>
      <c r="W40" s="125">
        <f>-1295967.43+698648.47</f>
        <v>-597318.96</v>
      </c>
      <c r="X40" s="125">
        <f>-246460.75+565916.6</f>
        <v>319455.84999999998</v>
      </c>
      <c r="Y40" s="125"/>
      <c r="Z40" s="125"/>
      <c r="AA40" s="125"/>
      <c r="AB40" s="125"/>
      <c r="AC40" s="124"/>
      <c r="AD40" s="128"/>
      <c r="AE40" s="120"/>
      <c r="AG40" s="133">
        <v>32500</v>
      </c>
      <c r="AH40" s="138" t="s">
        <v>1082</v>
      </c>
      <c r="AI40" s="108" t="s">
        <v>1083</v>
      </c>
    </row>
    <row r="41" spans="1:37">
      <c r="A41" s="128"/>
      <c r="C41" s="108" t="s">
        <v>1084</v>
      </c>
      <c r="D41" s="123" t="s">
        <v>1085</v>
      </c>
      <c r="E41" s="117"/>
      <c r="F41" s="117"/>
      <c r="G41" s="117"/>
      <c r="H41" s="115">
        <f t="shared" si="9"/>
        <v>5607353.6800000025</v>
      </c>
      <c r="I41" s="115">
        <f t="shared" si="10"/>
        <v>6811643.8200000022</v>
      </c>
      <c r="J41" s="115">
        <f t="shared" si="11"/>
        <v>7191227.8600000022</v>
      </c>
      <c r="K41" s="115">
        <f t="shared" si="12"/>
        <v>7966717.2100000018</v>
      </c>
      <c r="L41" s="115">
        <f t="shared" si="13"/>
        <v>8834028.0600000024</v>
      </c>
      <c r="M41" s="115">
        <f t="shared" si="14"/>
        <v>8834028.0600000024</v>
      </c>
      <c r="N41" s="115">
        <f t="shared" si="15"/>
        <v>8834028.0600000024</v>
      </c>
      <c r="O41" s="115">
        <f t="shared" si="16"/>
        <v>8834028.0600000024</v>
      </c>
      <c r="P41" s="115">
        <f t="shared" si="17"/>
        <v>8834028.0600000024</v>
      </c>
      <c r="Q41" s="125"/>
      <c r="R41" s="125"/>
      <c r="S41" s="125"/>
      <c r="T41" s="125">
        <f>4092402.61-29640-1405016.22+963423.25-907489.12+922711.86+1658941.6-10872.5-239792.37+1399956.31+1076013.86-1706740.69+1209922.36-1098580.69+1350094.88-2122363.94+1061442.43-2126461.68+1103125.81-45387.45+1540347.9-2054080.03+1248687-1793241.91+983986.49-530035.5+1902921.03-1244111.01+1101808.93-1080903.66+867896.65-931026.88+824262.55-1231533.85+3039.5+955997-335050.85+1073501.4-21323.01+1505553.31-1014419.66+998890.25-393118.05+1178892.38-2079140.08+1286959.27-757139.77+1041088.9-385221.79+1096232.76-1004399.17+1844511.32-2878387.18+1449498.45-3079416.84+1213291.5-806047.43+1103458.15-1140564.7</f>
        <v>5607353.6800000025</v>
      </c>
      <c r="U41" s="125">
        <f>-148314.08+1352604.22</f>
        <v>1204290.1399999999</v>
      </c>
      <c r="V41" s="125">
        <f>1268687.96-889103.92</f>
        <v>379584.03999999992</v>
      </c>
      <c r="W41" s="125">
        <f>-460561.52+1202750.72+33300.15</f>
        <v>775489.35</v>
      </c>
      <c r="X41" s="125">
        <f>-653405.35+1520716.2</f>
        <v>867310.85</v>
      </c>
      <c r="Y41" s="125"/>
      <c r="Z41" s="125"/>
      <c r="AA41" s="125"/>
      <c r="AB41" s="125"/>
      <c r="AC41" s="124"/>
      <c r="AD41" s="139"/>
      <c r="AE41" s="120"/>
      <c r="AF41" s="108" t="s">
        <v>880</v>
      </c>
      <c r="AG41" s="140">
        <f>SUM(AG32:AG40)</f>
        <v>563994.73</v>
      </c>
    </row>
    <row r="42" spans="1:37">
      <c r="A42" s="128"/>
      <c r="C42" s="108" t="s">
        <v>1086</v>
      </c>
      <c r="D42" s="123" t="s">
        <v>1087</v>
      </c>
      <c r="E42" s="117"/>
      <c r="F42" s="117"/>
      <c r="G42" s="117"/>
      <c r="H42" s="115">
        <f t="shared" si="9"/>
        <v>817622.07</v>
      </c>
      <c r="I42" s="115">
        <f t="shared" si="10"/>
        <v>817622.07</v>
      </c>
      <c r="J42" s="115">
        <f t="shared" si="11"/>
        <v>817622.07</v>
      </c>
      <c r="K42" s="115">
        <f t="shared" si="12"/>
        <v>817622.07</v>
      </c>
      <c r="L42" s="115">
        <f t="shared" si="13"/>
        <v>817622.07</v>
      </c>
      <c r="M42" s="115">
        <f t="shared" si="14"/>
        <v>817622.07</v>
      </c>
      <c r="N42" s="115">
        <f t="shared" si="15"/>
        <v>817622.07</v>
      </c>
      <c r="O42" s="115">
        <f t="shared" si="16"/>
        <v>817622.07</v>
      </c>
      <c r="P42" s="115">
        <f t="shared" si="17"/>
        <v>817622.07</v>
      </c>
      <c r="Q42" s="125"/>
      <c r="R42" s="125"/>
      <c r="S42" s="125"/>
      <c r="T42" s="125">
        <f>1008210.21-4718.92-16759.11-58082.1-14605.6-18791.4-9798.66-14413.21-5751.98-4550.08-350+6020.76+4550.08+4550.08-57888</f>
        <v>817622.07</v>
      </c>
      <c r="U42" s="125"/>
      <c r="V42" s="125"/>
      <c r="W42" s="125"/>
      <c r="X42" s="125"/>
      <c r="Y42" s="125"/>
      <c r="Z42" s="125"/>
      <c r="AA42" s="125"/>
      <c r="AB42" s="125"/>
      <c r="AC42" s="124"/>
      <c r="AD42" s="128"/>
      <c r="AE42" s="120"/>
      <c r="AG42" s="120"/>
    </row>
    <row r="43" spans="1:37">
      <c r="A43" s="128"/>
      <c r="C43" s="108" t="s">
        <v>1088</v>
      </c>
      <c r="D43" s="123" t="s">
        <v>1089</v>
      </c>
      <c r="E43" s="117"/>
      <c r="F43" s="117"/>
      <c r="G43" s="117"/>
      <c r="H43" s="115">
        <f t="shared" si="9"/>
        <v>15374.729999999989</v>
      </c>
      <c r="I43" s="115">
        <f t="shared" si="10"/>
        <v>15374.729999999989</v>
      </c>
      <c r="J43" s="115">
        <f t="shared" si="11"/>
        <v>15374.729999999989</v>
      </c>
      <c r="K43" s="115">
        <f t="shared" si="12"/>
        <v>15374.729999999989</v>
      </c>
      <c r="L43" s="115">
        <f t="shared" si="13"/>
        <v>15374.729999999989</v>
      </c>
      <c r="M43" s="115">
        <f t="shared" si="14"/>
        <v>15374.729999999989</v>
      </c>
      <c r="N43" s="115">
        <f t="shared" si="15"/>
        <v>15374.729999999989</v>
      </c>
      <c r="O43" s="115">
        <f t="shared" si="16"/>
        <v>15374.729999999989</v>
      </c>
      <c r="P43" s="115">
        <f t="shared" si="17"/>
        <v>15374.729999999989</v>
      </c>
      <c r="Q43" s="125"/>
      <c r="R43" s="125"/>
      <c r="S43" s="125"/>
      <c r="T43" s="125">
        <f>174996.78-112.56-20556+90000-7920-9360-25780-21994.7-6455.65-27029.73-350-6020.76-42374.24-31808.26+13.5-6572.45-6666.4-2613-28484.31-3067.84-795.06-24.59-1650</f>
        <v>15374.729999999989</v>
      </c>
      <c r="U43" s="125"/>
      <c r="V43" s="125"/>
      <c r="W43" s="125"/>
      <c r="X43" s="125"/>
      <c r="Y43" s="125"/>
      <c r="Z43" s="125"/>
      <c r="AA43" s="125"/>
      <c r="AB43" s="125"/>
      <c r="AC43" s="124"/>
      <c r="AD43" s="128"/>
      <c r="AE43" s="120"/>
      <c r="AG43" s="120"/>
    </row>
    <row r="44" spans="1:37">
      <c r="A44" s="128"/>
      <c r="C44" s="108" t="s">
        <v>1090</v>
      </c>
      <c r="D44" s="123" t="s">
        <v>1091</v>
      </c>
      <c r="E44" s="117"/>
      <c r="F44" s="117"/>
      <c r="G44" s="117"/>
      <c r="H44" s="115">
        <f t="shared" si="9"/>
        <v>540155.43000000005</v>
      </c>
      <c r="I44" s="115">
        <f t="shared" si="10"/>
        <v>617522.43000000005</v>
      </c>
      <c r="J44" s="115">
        <f t="shared" si="11"/>
        <v>616403.30000000005</v>
      </c>
      <c r="K44" s="115">
        <f t="shared" si="12"/>
        <v>612627.30000000005</v>
      </c>
      <c r="L44" s="115">
        <f t="shared" si="13"/>
        <v>597836.45000000007</v>
      </c>
      <c r="M44" s="115">
        <f t="shared" si="14"/>
        <v>597836.45000000007</v>
      </c>
      <c r="N44" s="115">
        <f t="shared" si="15"/>
        <v>597836.45000000007</v>
      </c>
      <c r="O44" s="115">
        <f t="shared" si="16"/>
        <v>597836.45000000007</v>
      </c>
      <c r="P44" s="115">
        <f t="shared" si="17"/>
        <v>597836.45000000007</v>
      </c>
      <c r="Q44" s="125"/>
      <c r="R44" s="125"/>
      <c r="S44" s="125"/>
      <c r="T44" s="125">
        <f>459272.31-94500+75321-126000+131049+73498-105000-110160+29767.33+14943-263910+331813-75710+66397-56000+70307-94500+66403-42000+16179-42000+65469+58547-29500-63072+134408-73500+16225-84000+71762-127760+56283-47776+80464-52500+86635-344615.52+188196-108361.48+45188+143496-146801.37+66016.5-10500-61338.66+73586-88000+101532-82000+298391+91077+217506.5-235735.55+14726-39061.63</f>
        <v>540155.43000000005</v>
      </c>
      <c r="U44" s="125">
        <f>-42000+119367</f>
        <v>77367</v>
      </c>
      <c r="V44" s="125">
        <f>80363-81482.13</f>
        <v>-1119.1300000000047</v>
      </c>
      <c r="W44" s="125">
        <f>-73500+103024.15-33300.15</f>
        <v>-3776.0000000000073</v>
      </c>
      <c r="X44" s="125">
        <f>-23599.85+8809</f>
        <v>-14790.849999999999</v>
      </c>
      <c r="Y44" s="125"/>
      <c r="Z44" s="125"/>
      <c r="AA44" s="125"/>
      <c r="AB44" s="125"/>
      <c r="AC44" s="124"/>
      <c r="AD44" s="128"/>
      <c r="AE44" s="120"/>
      <c r="AG44" s="120"/>
    </row>
    <row r="45" spans="1:37">
      <c r="A45" s="128"/>
      <c r="C45" s="108" t="s">
        <v>1092</v>
      </c>
      <c r="D45" s="123" t="s">
        <v>1093</v>
      </c>
      <c r="E45" s="117"/>
      <c r="F45" s="117"/>
      <c r="G45" s="117"/>
      <c r="H45" s="115">
        <f t="shared" si="9"/>
        <v>1156.3900000000001</v>
      </c>
      <c r="I45" s="115">
        <f t="shared" si="10"/>
        <v>1156.3900000000001</v>
      </c>
      <c r="J45" s="115">
        <f t="shared" si="11"/>
        <v>1156.3900000000001</v>
      </c>
      <c r="K45" s="115">
        <f t="shared" si="12"/>
        <v>1156.3900000000001</v>
      </c>
      <c r="L45" s="115">
        <f t="shared" si="13"/>
        <v>1156.3900000000001</v>
      </c>
      <c r="M45" s="115">
        <f t="shared" si="14"/>
        <v>1156.3900000000001</v>
      </c>
      <c r="N45" s="115">
        <f t="shared" si="15"/>
        <v>1156.3900000000001</v>
      </c>
      <c r="O45" s="115">
        <f t="shared" si="16"/>
        <v>1156.3900000000001</v>
      </c>
      <c r="P45" s="115">
        <f t="shared" si="17"/>
        <v>1156.3900000000001</v>
      </c>
      <c r="Q45" s="125"/>
      <c r="R45" s="125"/>
      <c r="S45" s="125"/>
      <c r="T45" s="125">
        <f>1156.39</f>
        <v>1156.3900000000001</v>
      </c>
      <c r="U45" s="125"/>
      <c r="V45" s="125"/>
      <c r="W45" s="125"/>
      <c r="X45" s="125"/>
      <c r="Y45" s="125"/>
      <c r="Z45" s="125"/>
      <c r="AA45" s="125"/>
      <c r="AB45" s="125"/>
      <c r="AC45" s="124"/>
      <c r="AD45" s="128"/>
      <c r="AE45" s="120"/>
      <c r="AG45" s="120"/>
    </row>
    <row r="46" spans="1:37">
      <c r="A46" s="128"/>
      <c r="C46" s="108" t="s">
        <v>1094</v>
      </c>
      <c r="D46" s="123" t="s">
        <v>1095</v>
      </c>
      <c r="E46" s="117"/>
      <c r="F46" s="117"/>
      <c r="G46" s="117"/>
      <c r="H46" s="115">
        <f t="shared" si="9"/>
        <v>472356.9800000001</v>
      </c>
      <c r="I46" s="115">
        <f t="shared" si="10"/>
        <v>573400.74000000011</v>
      </c>
      <c r="J46" s="115">
        <f t="shared" si="11"/>
        <v>665411.74000000011</v>
      </c>
      <c r="K46" s="115">
        <f t="shared" si="12"/>
        <v>688251.74000000011</v>
      </c>
      <c r="L46" s="115">
        <f t="shared" si="13"/>
        <v>701334.74000000011</v>
      </c>
      <c r="M46" s="115">
        <f t="shared" si="14"/>
        <v>701334.74000000011</v>
      </c>
      <c r="N46" s="115">
        <f t="shared" si="15"/>
        <v>701334.74000000011</v>
      </c>
      <c r="O46" s="115">
        <f t="shared" si="16"/>
        <v>701334.74000000011</v>
      </c>
      <c r="P46" s="115">
        <f t="shared" si="17"/>
        <v>701334.74000000011</v>
      </c>
      <c r="Q46" s="125"/>
      <c r="R46" s="125"/>
      <c r="S46" s="125"/>
      <c r="T46" s="125">
        <f>502987.89+29640-222559.07+27400-236.79+39100+240160-2822.12-14973+54600+25500-14977.6+46800-15109.48+52000-15000-17508.93+43100-310027.59+34200-1822.31+190000-326868.15+48400-1863+148750-162294.85+72300-14982.24+63815-15015+47500+57700-9577.87-16259.65-7320.52-991.07+49200-259204.56+260600-204351.83+150700-115745.52+106100-30020.5+38150+39600-567720.5+151500+75900-75000+63150+55600+69700+50000+74700-14243.76</f>
        <v>472356.9800000001</v>
      </c>
      <c r="U46" s="125">
        <f>-806.24+101850</f>
        <v>101043.76</v>
      </c>
      <c r="V46" s="125">
        <f>108061-16050</f>
        <v>92011</v>
      </c>
      <c r="W46" s="125">
        <f>23500-660</f>
        <v>22840</v>
      </c>
      <c r="X46" s="125">
        <f>-14817+27900</f>
        <v>13083</v>
      </c>
      <c r="Y46" s="125"/>
      <c r="Z46" s="125"/>
      <c r="AA46" s="125"/>
      <c r="AB46" s="125"/>
      <c r="AC46" s="124"/>
      <c r="AE46" s="120"/>
      <c r="AG46" s="120"/>
    </row>
    <row r="47" spans="1:37">
      <c r="A47" s="128"/>
      <c r="C47" s="136" t="s">
        <v>1096</v>
      </c>
      <c r="D47" s="123" t="s">
        <v>1097</v>
      </c>
      <c r="E47" s="117"/>
      <c r="F47" s="117"/>
      <c r="G47" s="117"/>
      <c r="H47" s="115">
        <f t="shared" si="9"/>
        <v>4264389.0099999988</v>
      </c>
      <c r="I47" s="115">
        <f t="shared" si="10"/>
        <v>4531903.0199999986</v>
      </c>
      <c r="J47" s="115">
        <f t="shared" si="11"/>
        <v>5055967.209999999</v>
      </c>
      <c r="K47" s="115">
        <f t="shared" si="12"/>
        <v>5041838.9999999991</v>
      </c>
      <c r="L47" s="115">
        <f t="shared" si="13"/>
        <v>5076072.3899999987</v>
      </c>
      <c r="M47" s="115">
        <f t="shared" si="14"/>
        <v>5076072.3899999987</v>
      </c>
      <c r="N47" s="115">
        <f t="shared" si="15"/>
        <v>5076072.3899999987</v>
      </c>
      <c r="O47" s="115">
        <f t="shared" si="16"/>
        <v>5076072.3899999987</v>
      </c>
      <c r="P47" s="115">
        <f t="shared" si="17"/>
        <v>5076072.3899999987</v>
      </c>
      <c r="Q47" s="125"/>
      <c r="R47" s="125"/>
      <c r="S47" s="125"/>
      <c r="T47" s="125">
        <f>14803798.86-6861128.87+2545656.29-3006751.37+952089.3+11744516.72-16783233.05-2645608.7+1526866.97-0.4+6693817.8-3556666.12-3063963.75+2241181.97-1768361.05+2844365.78-1215311.07+7870149.5-8799796.61+687849.5+10927288.48-12643272.72+982612.76-575816.71+913075.2-2487538.77+1669444.98+2582821.24-1895838.43+3763454.24-1203620.8+4929193-7003369.09-2854098.99+5206616.49-1180047.58+799410.84-3178116.73+5529592.23-2988096.08-996610.7+4664473.36-1708466.93-19.8+87762.67-3416072.07-897647.3+6619248.78-6571673.94-665528.87+2554699.56-1779097.16+2856231.09-2253496.65+1280942.17-767862.87-245657.59</f>
        <v>4264389.0099999988</v>
      </c>
      <c r="U47" s="125">
        <f>-211397.18+478911.19</f>
        <v>267514.01</v>
      </c>
      <c r="V47" s="125">
        <f>1035127.85-511063.66</f>
        <v>524064.19</v>
      </c>
      <c r="W47" s="125">
        <v>-14128.21</v>
      </c>
      <c r="X47" s="125">
        <f>-111962.5+146195.89</f>
        <v>34233.390000000014</v>
      </c>
      <c r="Y47" s="125"/>
      <c r="Z47" s="125"/>
      <c r="AA47" s="125"/>
      <c r="AB47" s="125"/>
      <c r="AC47" s="124"/>
      <c r="AE47" s="120"/>
      <c r="AG47" s="120"/>
    </row>
    <row r="48" spans="1:37">
      <c r="A48" s="128"/>
      <c r="C48" s="136" t="s">
        <v>1098</v>
      </c>
      <c r="D48" s="123" t="s">
        <v>1099</v>
      </c>
      <c r="E48" s="117"/>
      <c r="F48" s="117"/>
      <c r="G48" s="117"/>
      <c r="H48" s="115">
        <f t="shared" si="9"/>
        <v>621161.42999999959</v>
      </c>
      <c r="I48" s="115">
        <f t="shared" si="10"/>
        <v>621161.42999999959</v>
      </c>
      <c r="J48" s="115">
        <f t="shared" si="11"/>
        <v>621161.42999999959</v>
      </c>
      <c r="K48" s="115">
        <f t="shared" si="12"/>
        <v>621161.42999999959</v>
      </c>
      <c r="L48" s="115">
        <f t="shared" si="13"/>
        <v>621161.42999999959</v>
      </c>
      <c r="M48" s="115">
        <f t="shared" si="14"/>
        <v>621161.42999999959</v>
      </c>
      <c r="N48" s="115">
        <f t="shared" si="15"/>
        <v>621161.42999999959</v>
      </c>
      <c r="O48" s="115">
        <f t="shared" si="16"/>
        <v>621161.42999999959</v>
      </c>
      <c r="P48" s="115">
        <f t="shared" si="17"/>
        <v>621161.42999999959</v>
      </c>
      <c r="Q48" s="125"/>
      <c r="R48" s="125"/>
      <c r="S48" s="125"/>
      <c r="T48" s="125">
        <f>3430887.47-282980.06-4533.14+8100000-130471.58-1400412.35-137047.22+2180000-926901.21-2671549.16-1895967.17-1402883.92-226273.73-115493.09+63072-1823297.85+18944.5-442609.37-337486.09+457596.09-1682454.46-60884.11-11850.28-2346.55+120-28134.38-183.91-22544.32-8747.68-5080-2360-6757.99-209.01</f>
        <v>621161.42999999959</v>
      </c>
      <c r="U48" s="125"/>
      <c r="V48" s="125"/>
      <c r="W48" s="125"/>
      <c r="X48" s="125"/>
      <c r="Y48" s="125"/>
      <c r="Z48" s="125"/>
      <c r="AA48" s="125"/>
      <c r="AB48" s="125"/>
      <c r="AC48" s="124"/>
      <c r="AE48" s="120"/>
      <c r="AG48" s="120"/>
    </row>
    <row r="49" spans="1:34">
      <c r="A49" s="128"/>
      <c r="C49" s="108" t="s">
        <v>1100</v>
      </c>
      <c r="D49" s="123" t="s">
        <v>1101</v>
      </c>
      <c r="E49" s="117"/>
      <c r="F49" s="117"/>
      <c r="G49" s="117"/>
      <c r="H49" s="115">
        <f t="shared" si="9"/>
        <v>280674.98</v>
      </c>
      <c r="I49" s="115">
        <f t="shared" si="10"/>
        <v>280834.98</v>
      </c>
      <c r="J49" s="115">
        <f t="shared" si="11"/>
        <v>307514.98</v>
      </c>
      <c r="K49" s="115">
        <f t="shared" si="12"/>
        <v>305823.48</v>
      </c>
      <c r="L49" s="115">
        <f t="shared" si="13"/>
        <v>305823.48</v>
      </c>
      <c r="M49" s="115">
        <f t="shared" si="14"/>
        <v>305823.48</v>
      </c>
      <c r="N49" s="115">
        <f t="shared" si="15"/>
        <v>305823.48</v>
      </c>
      <c r="O49" s="115">
        <f t="shared" si="16"/>
        <v>305823.48</v>
      </c>
      <c r="P49" s="115">
        <f t="shared" si="17"/>
        <v>305823.48</v>
      </c>
      <c r="Q49" s="125"/>
      <c r="R49" s="125"/>
      <c r="S49" s="125"/>
      <c r="T49" s="125">
        <f>266284+41700+21820-187500+13235-60+10270+1560+32120+340+19400+2760+18420+26520+23180+6100-55176.8+1020-33587.22+16400+35160-16846.43+7530-953.57+5760+5940+2000+17280</f>
        <v>280674.98</v>
      </c>
      <c r="U49" s="125">
        <v>160</v>
      </c>
      <c r="V49" s="125">
        <v>26680</v>
      </c>
      <c r="W49" s="125">
        <f>-1891.5+200</f>
        <v>-1691.5</v>
      </c>
      <c r="X49" s="125"/>
      <c r="Y49" s="125"/>
      <c r="Z49" s="125"/>
      <c r="AA49" s="125"/>
      <c r="AB49" s="125"/>
      <c r="AC49" s="124"/>
      <c r="AD49" s="120"/>
      <c r="AE49" s="120"/>
      <c r="AG49" s="120"/>
    </row>
    <row r="50" spans="1:34">
      <c r="A50" s="128"/>
      <c r="C50" s="108" t="s">
        <v>1102</v>
      </c>
      <c r="D50" s="123" t="s">
        <v>1103</v>
      </c>
      <c r="E50" s="117"/>
      <c r="F50" s="117"/>
      <c r="G50" s="117"/>
      <c r="H50" s="115">
        <f t="shared" si="9"/>
        <v>1336052.45</v>
      </c>
      <c r="I50" s="115">
        <f t="shared" si="10"/>
        <v>1336052.45</v>
      </c>
      <c r="J50" s="115">
        <f t="shared" si="11"/>
        <v>1336052.45</v>
      </c>
      <c r="K50" s="115">
        <f t="shared" si="12"/>
        <v>1296163</v>
      </c>
      <c r="L50" s="115">
        <f t="shared" si="13"/>
        <v>1296163</v>
      </c>
      <c r="M50" s="115">
        <f t="shared" si="14"/>
        <v>1296163</v>
      </c>
      <c r="N50" s="115">
        <f t="shared" si="15"/>
        <v>1296163</v>
      </c>
      <c r="O50" s="115">
        <f t="shared" si="16"/>
        <v>1296163</v>
      </c>
      <c r="P50" s="115">
        <f t="shared" si="17"/>
        <v>1296163</v>
      </c>
      <c r="Q50" s="125"/>
      <c r="R50" s="125"/>
      <c r="S50" s="125"/>
      <c r="T50" s="125">
        <f>837399.71-5000+892843+14000-376998.5-7462.5-225+1500-64241+500-500+500+23480-2400+1000+5250+500+500+2000+90207.94-116690.65+39889.45</f>
        <v>1336052.45</v>
      </c>
      <c r="U50" s="125"/>
      <c r="V50" s="125"/>
      <c r="W50" s="125">
        <v>-39889.449999999997</v>
      </c>
      <c r="X50" s="125"/>
      <c r="Y50" s="125"/>
      <c r="Z50" s="125"/>
      <c r="AA50" s="125"/>
      <c r="AB50" s="125"/>
      <c r="AC50" s="124"/>
      <c r="AD50" s="120"/>
      <c r="AE50" s="120"/>
      <c r="AG50" s="120"/>
    </row>
    <row r="51" spans="1:34">
      <c r="A51" s="128"/>
      <c r="C51" s="108" t="s">
        <v>1104</v>
      </c>
      <c r="D51" s="123" t="s">
        <v>1105</v>
      </c>
      <c r="E51" s="117"/>
      <c r="F51" s="117"/>
      <c r="G51" s="117"/>
      <c r="H51" s="115">
        <f t="shared" si="9"/>
        <v>15415096.289999979</v>
      </c>
      <c r="I51" s="115">
        <f t="shared" si="10"/>
        <v>15890891.269999979</v>
      </c>
      <c r="J51" s="115">
        <f t="shared" si="11"/>
        <v>14925251.949999979</v>
      </c>
      <c r="K51" s="115">
        <f t="shared" si="12"/>
        <v>13442945.009999979</v>
      </c>
      <c r="L51" s="115">
        <f t="shared" si="13"/>
        <v>15321815.62999998</v>
      </c>
      <c r="M51" s="115">
        <f t="shared" si="14"/>
        <v>15321815.62999998</v>
      </c>
      <c r="N51" s="115">
        <f t="shared" si="15"/>
        <v>15321815.62999998</v>
      </c>
      <c r="O51" s="115">
        <f t="shared" si="16"/>
        <v>15321815.62999998</v>
      </c>
      <c r="P51" s="115">
        <f t="shared" si="17"/>
        <v>15321815.62999998</v>
      </c>
      <c r="Q51" s="125"/>
      <c r="R51" s="125"/>
      <c r="S51" s="125"/>
      <c r="T51" s="125">
        <f>5540000+9410000-686032.96+8400000-701062.47-6385113.84+1491087.56-1241876.3+50000000+1800000-50195961+3080000-666246.33+32000000-12277427.96+4370532.59+7955.37+33985.83-18576905.38+47537.87-2245279.28+42711359.55-7501383.7+520000-34385658.71-3374544.53+1019589.07-2564193.85+1040000-4095188.5+300.3+1455000+59478.98-1735131.15+18257817.17-5099101.78+1066358.56-13662335.15+4850000-5845392.63+1970000-2245023.17-179303.22-103359.65-80240.72-3168+134023.72</f>
        <v>15415096.289999979</v>
      </c>
      <c r="U51" s="125">
        <f>-564205.02+1040000</f>
        <v>475794.98</v>
      </c>
      <c r="V51" s="125">
        <f>1560000-2525639.32</f>
        <v>-965639.31999999983</v>
      </c>
      <c r="W51" s="125">
        <f>-2482306.94+1000000</f>
        <v>-1482306.94</v>
      </c>
      <c r="X51" s="125">
        <f>-3864277.36+5727400+15747.98</f>
        <v>1878870.62</v>
      </c>
      <c r="Y51" s="125"/>
      <c r="Z51" s="125"/>
      <c r="AA51" s="125"/>
      <c r="AB51" s="125"/>
      <c r="AC51" s="124"/>
      <c r="AD51" s="120"/>
      <c r="AE51" s="120"/>
      <c r="AG51" s="120"/>
    </row>
    <row r="52" spans="1:34">
      <c r="A52" s="128"/>
      <c r="C52" s="108" t="s">
        <v>1106</v>
      </c>
      <c r="D52" s="123" t="s">
        <v>1107</v>
      </c>
      <c r="E52" s="117"/>
      <c r="F52" s="117"/>
      <c r="G52" s="117"/>
      <c r="H52" s="115">
        <f t="shared" si="9"/>
        <v>8500.39</v>
      </c>
      <c r="I52" s="115">
        <f t="shared" si="10"/>
        <v>8500.39</v>
      </c>
      <c r="J52" s="115">
        <f t="shared" si="11"/>
        <v>8501.73</v>
      </c>
      <c r="K52" s="115">
        <f t="shared" si="12"/>
        <v>8501.73</v>
      </c>
      <c r="L52" s="115">
        <f t="shared" si="13"/>
        <v>8501.869999999999</v>
      </c>
      <c r="M52" s="115">
        <f t="shared" si="14"/>
        <v>8501.869999999999</v>
      </c>
      <c r="N52" s="115">
        <f t="shared" si="15"/>
        <v>8501.869999999999</v>
      </c>
      <c r="O52" s="115">
        <f t="shared" si="16"/>
        <v>8501.869999999999</v>
      </c>
      <c r="P52" s="115">
        <f t="shared" si="17"/>
        <v>8501.869999999999</v>
      </c>
      <c r="Q52" s="125"/>
      <c r="R52" s="125"/>
      <c r="S52" s="125"/>
      <c r="T52" s="125">
        <f>10000+3000000-3000000-1500+0.39</f>
        <v>8500.39</v>
      </c>
      <c r="U52" s="125"/>
      <c r="V52" s="125">
        <v>1.34</v>
      </c>
      <c r="W52" s="125"/>
      <c r="X52" s="125">
        <v>0.14000000000000001</v>
      </c>
      <c r="Y52" s="125"/>
      <c r="Z52" s="125"/>
      <c r="AA52" s="125"/>
      <c r="AB52" s="125"/>
      <c r="AC52" s="124"/>
      <c r="AD52" s="120"/>
      <c r="AE52" s="120"/>
      <c r="AG52" s="120"/>
    </row>
    <row r="53" spans="1:34">
      <c r="A53" s="128"/>
      <c r="C53" s="108" t="s">
        <v>1108</v>
      </c>
      <c r="D53" s="123" t="s">
        <v>1109</v>
      </c>
      <c r="E53" s="117"/>
      <c r="F53" s="117"/>
      <c r="G53" s="117"/>
      <c r="H53" s="115">
        <f t="shared" si="9"/>
        <v>519925.71999999962</v>
      </c>
      <c r="I53" s="115">
        <f t="shared" si="10"/>
        <v>519925.71999999962</v>
      </c>
      <c r="J53" s="115">
        <f t="shared" si="11"/>
        <v>519925.71999999962</v>
      </c>
      <c r="K53" s="115">
        <f t="shared" si="12"/>
        <v>519925.71999999962</v>
      </c>
      <c r="L53" s="115">
        <f t="shared" si="13"/>
        <v>520732.77999999962</v>
      </c>
      <c r="M53" s="115">
        <f t="shared" si="14"/>
        <v>520732.77999999962</v>
      </c>
      <c r="N53" s="115">
        <f t="shared" si="15"/>
        <v>520732.77999999962</v>
      </c>
      <c r="O53" s="115">
        <f t="shared" si="16"/>
        <v>520732.77999999962</v>
      </c>
      <c r="P53" s="115">
        <f t="shared" si="17"/>
        <v>520732.77999999962</v>
      </c>
      <c r="Q53" s="125"/>
      <c r="R53" s="125"/>
      <c r="S53" s="125"/>
      <c r="T53" s="125">
        <f>10000+3000000+4061.34-1500-1718084.96-126217.62-39257.08+4518.69-581355.44+6517.82-38757.03</f>
        <v>519925.71999999962</v>
      </c>
      <c r="U53" s="125"/>
      <c r="V53" s="125"/>
      <c r="W53" s="125"/>
      <c r="X53" s="125">
        <v>807.06</v>
      </c>
      <c r="Y53" s="125"/>
      <c r="Z53" s="125"/>
      <c r="AA53" s="125"/>
      <c r="AB53" s="125"/>
      <c r="AC53" s="124"/>
      <c r="AD53" s="120"/>
      <c r="AE53" s="120"/>
      <c r="AG53" s="120"/>
    </row>
    <row r="54" spans="1:34">
      <c r="A54" s="128"/>
      <c r="C54" s="108" t="s">
        <v>1110</v>
      </c>
      <c r="D54" s="123" t="s">
        <v>1111</v>
      </c>
      <c r="E54" s="117"/>
      <c r="F54" s="117"/>
      <c r="G54" s="117"/>
      <c r="H54" s="115">
        <f t="shared" si="9"/>
        <v>6301345</v>
      </c>
      <c r="I54" s="115">
        <f t="shared" si="10"/>
        <v>6301345</v>
      </c>
      <c r="J54" s="115">
        <f t="shared" si="11"/>
        <v>5541345</v>
      </c>
      <c r="K54" s="115">
        <f t="shared" si="12"/>
        <v>5541345</v>
      </c>
      <c r="L54" s="115">
        <f t="shared" si="13"/>
        <v>5541345</v>
      </c>
      <c r="M54" s="115">
        <f t="shared" si="14"/>
        <v>5541345</v>
      </c>
      <c r="N54" s="115">
        <f t="shared" si="15"/>
        <v>5541345</v>
      </c>
      <c r="O54" s="115">
        <f t="shared" si="16"/>
        <v>5541345</v>
      </c>
      <c r="P54" s="115">
        <f t="shared" si="17"/>
        <v>5541345</v>
      </c>
      <c r="Q54" s="125"/>
      <c r="R54" s="125"/>
      <c r="S54" s="125"/>
      <c r="T54" s="125">
        <f>5280000+1021345</f>
        <v>6301345</v>
      </c>
      <c r="U54" s="125"/>
      <c r="V54" s="125">
        <v>-760000</v>
      </c>
      <c r="W54" s="125"/>
      <c r="X54" s="125"/>
      <c r="Y54" s="125"/>
      <c r="Z54" s="125"/>
      <c r="AA54" s="125"/>
      <c r="AB54" s="125"/>
      <c r="AC54" s="124"/>
      <c r="AD54" s="120"/>
      <c r="AE54" s="120"/>
      <c r="AG54" s="120"/>
    </row>
    <row r="55" spans="1:34">
      <c r="A55" s="128"/>
      <c r="C55" s="108" t="s">
        <v>1112</v>
      </c>
      <c r="D55" s="123" t="s">
        <v>1113</v>
      </c>
      <c r="E55" s="117"/>
      <c r="F55" s="117"/>
      <c r="G55" s="117"/>
      <c r="H55" s="115">
        <f t="shared" si="9"/>
        <v>901770.97999999986</v>
      </c>
      <c r="I55" s="115">
        <f t="shared" si="10"/>
        <v>973150.32999999984</v>
      </c>
      <c r="J55" s="115">
        <f t="shared" si="11"/>
        <v>1018596.5899999999</v>
      </c>
      <c r="K55" s="115">
        <f t="shared" si="12"/>
        <v>1092570.8399999999</v>
      </c>
      <c r="L55" s="115">
        <f t="shared" si="13"/>
        <v>1130833.19</v>
      </c>
      <c r="M55" s="115">
        <f t="shared" si="14"/>
        <v>1130833.19</v>
      </c>
      <c r="N55" s="115">
        <f t="shared" si="15"/>
        <v>1130833.19</v>
      </c>
      <c r="O55" s="115">
        <f t="shared" si="16"/>
        <v>1130833.19</v>
      </c>
      <c r="P55" s="115">
        <f t="shared" si="17"/>
        <v>1130833.19</v>
      </c>
      <c r="Q55" s="125"/>
      <c r="R55" s="125"/>
      <c r="S55" s="125"/>
      <c r="T55" s="125">
        <f>364572.2+121423.05+26310.6+58454+23668.75+344569.3-212492.15+302280.2-129956.95-107406.41+57143.7-26463.49+1338.58+77329.6+1000</f>
        <v>901770.97999999986</v>
      </c>
      <c r="U55" s="125">
        <f>-35210+106589.35</f>
        <v>71379.350000000006</v>
      </c>
      <c r="V55" s="125">
        <f>44768.25+678.01</f>
        <v>45446.26</v>
      </c>
      <c r="W55" s="125">
        <v>73974.25</v>
      </c>
      <c r="X55" s="125">
        <v>38262.35</v>
      </c>
      <c r="Y55" s="125"/>
      <c r="Z55" s="125"/>
      <c r="AA55" s="125"/>
      <c r="AB55" s="125"/>
      <c r="AC55" s="124"/>
      <c r="AD55" s="120"/>
      <c r="AE55" s="120"/>
      <c r="AG55" s="120"/>
    </row>
    <row r="56" spans="1:34" ht="15.75" thickBot="1">
      <c r="A56" s="128"/>
      <c r="C56" s="141" t="s">
        <v>1114</v>
      </c>
      <c r="D56" s="123"/>
      <c r="E56" s="142"/>
      <c r="F56" s="142"/>
      <c r="G56" s="142"/>
      <c r="H56" s="142">
        <f>SUM(H23:H55)</f>
        <v>75809617.739999995</v>
      </c>
      <c r="I56" s="151">
        <f>SUM(I24:I55)</f>
        <v>77456383.109999985</v>
      </c>
      <c r="J56" s="151">
        <f>SUM(J24:J55)</f>
        <v>77916740.310000002</v>
      </c>
      <c r="K56" s="151">
        <f>SUM(K24:K55)</f>
        <v>72457511.710000008</v>
      </c>
      <c r="L56" s="151">
        <f>SUM(L24:L55)</f>
        <v>105582679.72</v>
      </c>
      <c r="M56" s="142"/>
      <c r="N56" s="142"/>
      <c r="O56" s="142"/>
      <c r="P56" s="142"/>
      <c r="Q56" s="143"/>
      <c r="R56" s="143"/>
      <c r="S56" s="143"/>
      <c r="T56" s="143">
        <f>SUM(T23:T55)</f>
        <v>75809617.739999995</v>
      </c>
      <c r="U56" s="143"/>
      <c r="V56" s="143"/>
      <c r="W56" s="143"/>
      <c r="X56" s="143"/>
      <c r="Y56" s="143"/>
      <c r="Z56" s="143"/>
      <c r="AA56" s="143"/>
      <c r="AB56" s="143"/>
      <c r="AC56" s="234"/>
      <c r="AD56" s="120" t="e">
        <f>+#REF!-[1]TB!G18</f>
        <v>#REF!</v>
      </c>
      <c r="AE56" s="120"/>
      <c r="AG56" s="120"/>
    </row>
    <row r="57" spans="1:34" ht="15" thickTop="1">
      <c r="A57" s="128"/>
      <c r="D57" s="123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4"/>
      <c r="AD57" s="120"/>
      <c r="AE57" s="120"/>
      <c r="AF57" s="108" t="e">
        <f>+AD56/2</f>
        <v>#REF!</v>
      </c>
      <c r="AG57" s="120"/>
    </row>
    <row r="58" spans="1:34" ht="15">
      <c r="A58" s="126" t="s">
        <v>1115</v>
      </c>
      <c r="D58" s="126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5"/>
      <c r="AD58" s="120"/>
      <c r="AE58" s="120"/>
      <c r="AG58" s="120"/>
    </row>
    <row r="59" spans="1:34">
      <c r="A59" s="128"/>
      <c r="C59" s="120" t="s">
        <v>1116</v>
      </c>
      <c r="D59" s="120"/>
      <c r="E59" s="115"/>
      <c r="F59" s="115"/>
      <c r="G59" s="115"/>
      <c r="H59" s="115">
        <f t="shared" ref="H59:H61" si="18">Q59+R59+S59+T59</f>
        <v>335118.08000000002</v>
      </c>
      <c r="I59" s="115">
        <f t="shared" ref="I59:I61" si="19">Q59+R59+S59+T59+U59</f>
        <v>335118.08000000002</v>
      </c>
      <c r="J59" s="115">
        <f t="shared" ref="J59:J61" si="20">Q59+R59+S59+T59+U59+V59</f>
        <v>335118.08000000002</v>
      </c>
      <c r="K59" s="115">
        <f t="shared" ref="K59:K61" si="21">Q59+R59+S59+T59+U59+V59+W59</f>
        <v>335118.08000000002</v>
      </c>
      <c r="L59" s="115">
        <f t="shared" ref="L59:L61" si="22">Q59+R59+S59+T59+U59+V59+W59+X59</f>
        <v>335118.08000000002</v>
      </c>
      <c r="M59" s="115">
        <f t="shared" ref="M59:M61" si="23">Q59+R59+S59+T59+U59+V59+W59+X59+Y59</f>
        <v>335118.08000000002</v>
      </c>
      <c r="N59" s="115">
        <f t="shared" ref="N59:N61" si="24">Q59+R59+S59+T59+U59+V59+W59+X59+Y59+Z59</f>
        <v>335118.08000000002</v>
      </c>
      <c r="O59" s="115">
        <f t="shared" ref="O59:O61" si="25">Q59+R59+S59+T59+U59+V59+W59+X59+Y59+Z59+AA59</f>
        <v>335118.08000000002</v>
      </c>
      <c r="P59" s="115">
        <f t="shared" ref="P59:P61" si="26">Q59+R59+S59+T59+U59+V59+W59+X59+Y59+Z59+AA59+AB59</f>
        <v>335118.08000000002</v>
      </c>
      <c r="Q59" s="116"/>
      <c r="R59" s="116"/>
      <c r="S59" s="116"/>
      <c r="T59" s="116">
        <v>335118.08000000002</v>
      </c>
      <c r="U59" s="116"/>
      <c r="V59" s="116"/>
      <c r="W59" s="116"/>
      <c r="X59" s="116"/>
      <c r="Y59" s="116"/>
      <c r="Z59" s="116"/>
      <c r="AA59" s="116"/>
      <c r="AB59" s="116"/>
      <c r="AC59" s="115"/>
      <c r="AD59" s="120"/>
      <c r="AE59" s="120"/>
      <c r="AG59" s="120"/>
    </row>
    <row r="60" spans="1:34">
      <c r="A60" s="128"/>
      <c r="C60" s="120" t="s">
        <v>1117</v>
      </c>
      <c r="D60" s="120"/>
      <c r="E60" s="115"/>
      <c r="F60" s="115"/>
      <c r="G60" s="115"/>
      <c r="H60" s="115">
        <f t="shared" si="18"/>
        <v>3000000</v>
      </c>
      <c r="I60" s="115">
        <f t="shared" si="19"/>
        <v>3000000</v>
      </c>
      <c r="J60" s="115">
        <f t="shared" si="20"/>
        <v>3000000</v>
      </c>
      <c r="K60" s="115">
        <f t="shared" si="21"/>
        <v>3000000</v>
      </c>
      <c r="L60" s="115">
        <f t="shared" si="22"/>
        <v>3000000</v>
      </c>
      <c r="M60" s="115">
        <f t="shared" si="23"/>
        <v>3000000</v>
      </c>
      <c r="N60" s="115">
        <f t="shared" si="24"/>
        <v>3000000</v>
      </c>
      <c r="O60" s="115">
        <f t="shared" si="25"/>
        <v>3000000</v>
      </c>
      <c r="P60" s="115">
        <f t="shared" si="26"/>
        <v>3000000</v>
      </c>
      <c r="Q60" s="116"/>
      <c r="R60" s="116"/>
      <c r="S60" s="116"/>
      <c r="T60" s="116">
        <v>3000000</v>
      </c>
      <c r="U60" s="116"/>
      <c r="V60" s="116"/>
      <c r="W60" s="116"/>
      <c r="X60" s="116"/>
      <c r="Y60" s="116"/>
      <c r="Z60" s="116"/>
      <c r="AA60" s="116"/>
      <c r="AB60" s="116"/>
      <c r="AC60" s="115"/>
      <c r="AD60" s="120"/>
      <c r="AE60" s="120"/>
      <c r="AG60" s="120"/>
    </row>
    <row r="61" spans="1:34">
      <c r="A61" s="128"/>
      <c r="C61" s="120" t="s">
        <v>1118</v>
      </c>
      <c r="D61" s="120"/>
      <c r="E61" s="115"/>
      <c r="F61" s="115"/>
      <c r="G61" s="115"/>
      <c r="H61" s="115">
        <f t="shared" si="18"/>
        <v>1000000</v>
      </c>
      <c r="I61" s="115">
        <f t="shared" si="19"/>
        <v>1000000</v>
      </c>
      <c r="J61" s="115">
        <f t="shared" si="20"/>
        <v>1000000</v>
      </c>
      <c r="K61" s="115">
        <f t="shared" si="21"/>
        <v>1000000</v>
      </c>
      <c r="L61" s="115">
        <f t="shared" si="22"/>
        <v>1000000</v>
      </c>
      <c r="M61" s="115">
        <f t="shared" si="23"/>
        <v>1000000</v>
      </c>
      <c r="N61" s="115">
        <f t="shared" si="24"/>
        <v>1000000</v>
      </c>
      <c r="O61" s="115">
        <f t="shared" si="25"/>
        <v>1000000</v>
      </c>
      <c r="P61" s="115">
        <f t="shared" si="26"/>
        <v>1000000</v>
      </c>
      <c r="Q61" s="116"/>
      <c r="R61" s="116"/>
      <c r="S61" s="116"/>
      <c r="T61" s="116">
        <v>1000000</v>
      </c>
      <c r="U61" s="116"/>
      <c r="V61" s="116"/>
      <c r="W61" s="116"/>
      <c r="X61" s="116"/>
      <c r="Y61" s="116"/>
      <c r="Z61" s="116"/>
      <c r="AA61" s="116"/>
      <c r="AB61" s="116"/>
      <c r="AC61" s="115"/>
      <c r="AD61" s="120"/>
      <c r="AE61" s="120"/>
      <c r="AG61" s="120"/>
    </row>
    <row r="62" spans="1:34" ht="15.75" thickBot="1">
      <c r="A62" s="128"/>
      <c r="C62" s="126" t="s">
        <v>1114</v>
      </c>
      <c r="D62" s="128"/>
      <c r="E62" s="144"/>
      <c r="F62" s="144"/>
      <c r="G62" s="144"/>
      <c r="H62" s="144">
        <f>SUM(H59:H61)</f>
        <v>4335118.08</v>
      </c>
      <c r="I62" s="230">
        <f>SUM(I59:I61)</f>
        <v>4335118.08</v>
      </c>
      <c r="J62" s="230">
        <f>SUM(J59:J61)</f>
        <v>4335118.08</v>
      </c>
      <c r="K62" s="230">
        <f>SUM(K59:K61)</f>
        <v>4335118.08</v>
      </c>
      <c r="L62" s="230">
        <f>SUM(L59:L61)</f>
        <v>4335118.08</v>
      </c>
      <c r="M62" s="144"/>
      <c r="N62" s="144"/>
      <c r="O62" s="144"/>
      <c r="P62" s="144"/>
      <c r="Q62" s="145"/>
      <c r="R62" s="145"/>
      <c r="S62" s="145"/>
      <c r="T62" s="145">
        <f>SUM(T59:T61)</f>
        <v>4335118.08</v>
      </c>
      <c r="U62" s="145"/>
      <c r="V62" s="145"/>
      <c r="W62" s="145"/>
      <c r="X62" s="145"/>
      <c r="Y62" s="145"/>
      <c r="Z62" s="145"/>
      <c r="AA62" s="145"/>
      <c r="AB62" s="145"/>
      <c r="AC62" s="146"/>
      <c r="AD62" s="146" t="e">
        <f>+#REF!-[1]TB!G19</f>
        <v>#REF!</v>
      </c>
      <c r="AE62" s="120"/>
      <c r="AF62" s="135"/>
      <c r="AG62" s="120"/>
    </row>
    <row r="63" spans="1:34" ht="15.75" thickTop="1">
      <c r="A63" s="128"/>
      <c r="D63" s="128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4"/>
      <c r="AD63" s="146"/>
      <c r="AE63" s="120"/>
      <c r="AF63" s="135"/>
      <c r="AG63" s="120"/>
    </row>
    <row r="64" spans="1:34" ht="15">
      <c r="A64" s="126" t="s">
        <v>1119</v>
      </c>
      <c r="C64" s="126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29"/>
      <c r="AD64" s="129"/>
      <c r="AE64" s="1"/>
      <c r="AF64" s="120"/>
      <c r="AG64" s="117"/>
      <c r="AH64" s="120"/>
    </row>
    <row r="65" spans="1:34">
      <c r="C65" s="128" t="s">
        <v>1120</v>
      </c>
      <c r="D65" s="128"/>
      <c r="E65" s="117"/>
      <c r="F65" s="117"/>
      <c r="G65" s="117"/>
      <c r="H65" s="115">
        <f t="shared" ref="H65:H78" si="27">Q65+R65+S65+T65</f>
        <v>79500</v>
      </c>
      <c r="I65" s="115">
        <f t="shared" ref="I65:I78" si="28">Q65+R65+S65+T65+U65</f>
        <v>79500</v>
      </c>
      <c r="J65" s="115">
        <f t="shared" ref="J65:J78" si="29">Q65+R65+S65+T65+U65+V65</f>
        <v>79500</v>
      </c>
      <c r="K65" s="115">
        <f t="shared" ref="K65:K78" si="30">Q65+R65+S65+T65+U65+V65+W65</f>
        <v>79500</v>
      </c>
      <c r="L65" s="115">
        <f t="shared" ref="L65:L78" si="31">Q65+R65+S65+T65+U65+V65+W65+X65</f>
        <v>79500</v>
      </c>
      <c r="M65" s="115">
        <f t="shared" ref="M65:M78" si="32">Q65+R65+S65+T65+U65+V65+W65+X65+Y65</f>
        <v>79500</v>
      </c>
      <c r="N65" s="115">
        <f t="shared" ref="N65:N78" si="33">Q65+R65+S65+T65+U65+V65+W65+X65+Y65+Z65</f>
        <v>79500</v>
      </c>
      <c r="O65" s="115">
        <f t="shared" ref="O65:O78" si="34">Q65+R65+S65+T65+U65+V65+W65+X65+Y65+Z65+AA65</f>
        <v>79500</v>
      </c>
      <c r="P65" s="115">
        <f t="shared" ref="P65:P78" si="35">Q65+R65+S65+T65+U65+V65+W65+X65+Y65+Z65+AA65+AB65</f>
        <v>79500</v>
      </c>
      <c r="Q65" s="125"/>
      <c r="R65" s="125"/>
      <c r="S65" s="125"/>
      <c r="T65" s="125">
        <v>79500</v>
      </c>
      <c r="U65" s="125"/>
      <c r="V65" s="125"/>
      <c r="W65" s="125"/>
      <c r="X65" s="125"/>
      <c r="Y65" s="125"/>
      <c r="Z65" s="125"/>
      <c r="AA65" s="125"/>
      <c r="AB65" s="125"/>
      <c r="AC65" s="124"/>
      <c r="AD65" s="148"/>
      <c r="AE65" s="1"/>
      <c r="AF65" s="120"/>
      <c r="AG65" s="117"/>
      <c r="AH65" s="120"/>
    </row>
    <row r="66" spans="1:34">
      <c r="C66" s="128" t="s">
        <v>1121</v>
      </c>
      <c r="D66" s="128"/>
      <c r="E66" s="117"/>
      <c r="F66" s="117"/>
      <c r="G66" s="117"/>
      <c r="H66" s="115">
        <f t="shared" si="27"/>
        <v>73224.850000000006</v>
      </c>
      <c r="I66" s="115">
        <f t="shared" si="28"/>
        <v>73224.850000000006</v>
      </c>
      <c r="J66" s="115">
        <f t="shared" si="29"/>
        <v>73224.850000000006</v>
      </c>
      <c r="K66" s="115">
        <f t="shared" si="30"/>
        <v>73224.850000000006</v>
      </c>
      <c r="L66" s="115">
        <f t="shared" si="31"/>
        <v>73224.850000000006</v>
      </c>
      <c r="M66" s="115">
        <f t="shared" si="32"/>
        <v>73224.850000000006</v>
      </c>
      <c r="N66" s="115">
        <f t="shared" si="33"/>
        <v>73224.850000000006</v>
      </c>
      <c r="O66" s="115">
        <f t="shared" si="34"/>
        <v>73224.850000000006</v>
      </c>
      <c r="P66" s="115">
        <f t="shared" si="35"/>
        <v>73224.850000000006</v>
      </c>
      <c r="Q66" s="125"/>
      <c r="R66" s="125"/>
      <c r="S66" s="125"/>
      <c r="T66" s="125">
        <v>73224.850000000006</v>
      </c>
      <c r="U66" s="125"/>
      <c r="V66" s="125"/>
      <c r="W66" s="125"/>
      <c r="X66" s="125"/>
      <c r="Y66" s="125"/>
      <c r="Z66" s="125"/>
      <c r="AA66" s="125"/>
      <c r="AB66" s="125"/>
      <c r="AC66" s="124"/>
      <c r="AD66" s="149"/>
      <c r="AE66" s="1" t="s">
        <v>1122</v>
      </c>
      <c r="AF66" s="120"/>
      <c r="AG66" s="117"/>
      <c r="AH66" s="120"/>
    </row>
    <row r="67" spans="1:34">
      <c r="C67" s="128" t="s">
        <v>1123</v>
      </c>
      <c r="D67" s="128"/>
      <c r="E67" s="117"/>
      <c r="F67" s="117"/>
      <c r="G67" s="117"/>
      <c r="H67" s="115">
        <f t="shared" si="27"/>
        <v>90965.68</v>
      </c>
      <c r="I67" s="115">
        <f t="shared" si="28"/>
        <v>90965.68</v>
      </c>
      <c r="J67" s="115">
        <f t="shared" si="29"/>
        <v>90965.68</v>
      </c>
      <c r="K67" s="115">
        <f t="shared" si="30"/>
        <v>90965.68</v>
      </c>
      <c r="L67" s="115">
        <f t="shared" si="31"/>
        <v>90965.68</v>
      </c>
      <c r="M67" s="115">
        <f t="shared" si="32"/>
        <v>90965.68</v>
      </c>
      <c r="N67" s="115">
        <f t="shared" si="33"/>
        <v>90965.68</v>
      </c>
      <c r="O67" s="115">
        <f t="shared" si="34"/>
        <v>90965.68</v>
      </c>
      <c r="P67" s="115">
        <f t="shared" si="35"/>
        <v>90965.68</v>
      </c>
      <c r="Q67" s="125"/>
      <c r="R67" s="125"/>
      <c r="S67" s="125"/>
      <c r="T67" s="125">
        <v>90965.68</v>
      </c>
      <c r="U67" s="125"/>
      <c r="V67" s="125"/>
      <c r="W67" s="125"/>
      <c r="X67" s="125"/>
      <c r="Y67" s="125"/>
      <c r="Z67" s="125"/>
      <c r="AA67" s="125"/>
      <c r="AB67" s="125"/>
      <c r="AC67" s="124"/>
      <c r="AD67" s="148"/>
      <c r="AE67" s="1"/>
      <c r="AF67" s="120"/>
      <c r="AG67" s="117"/>
      <c r="AH67" s="120"/>
    </row>
    <row r="68" spans="1:34">
      <c r="A68" s="150"/>
      <c r="B68" s="128"/>
      <c r="C68" s="128" t="s">
        <v>1124</v>
      </c>
      <c r="D68" s="128"/>
      <c r="E68" s="117"/>
      <c r="F68" s="117"/>
      <c r="G68" s="117"/>
      <c r="H68" s="115">
        <f t="shared" si="27"/>
        <v>57400</v>
      </c>
      <c r="I68" s="115">
        <f t="shared" si="28"/>
        <v>57400</v>
      </c>
      <c r="J68" s="115">
        <f t="shared" si="29"/>
        <v>57400</v>
      </c>
      <c r="K68" s="115">
        <f t="shared" si="30"/>
        <v>57400</v>
      </c>
      <c r="L68" s="115">
        <f t="shared" si="31"/>
        <v>57400</v>
      </c>
      <c r="M68" s="115">
        <f t="shared" si="32"/>
        <v>57400</v>
      </c>
      <c r="N68" s="115">
        <f t="shared" si="33"/>
        <v>57400</v>
      </c>
      <c r="O68" s="115">
        <f t="shared" si="34"/>
        <v>57400</v>
      </c>
      <c r="P68" s="115">
        <f t="shared" si="35"/>
        <v>57400</v>
      </c>
      <c r="Q68" s="125"/>
      <c r="R68" s="125"/>
      <c r="S68" s="125"/>
      <c r="T68" s="125">
        <v>57400</v>
      </c>
      <c r="U68" s="125"/>
      <c r="V68" s="125"/>
      <c r="W68" s="125"/>
      <c r="X68" s="125"/>
      <c r="Y68" s="125"/>
      <c r="Z68" s="125"/>
      <c r="AA68" s="125"/>
      <c r="AB68" s="125"/>
      <c r="AC68" s="124"/>
      <c r="AD68" s="117"/>
      <c r="AE68" s="1"/>
      <c r="AF68" s="120"/>
      <c r="AG68" s="117"/>
      <c r="AH68" s="120"/>
    </row>
    <row r="69" spans="1:34">
      <c r="A69" s="150"/>
      <c r="B69" s="128"/>
      <c r="C69" s="128" t="s">
        <v>1125</v>
      </c>
      <c r="D69" s="128"/>
      <c r="E69" s="117"/>
      <c r="F69" s="117"/>
      <c r="G69" s="117"/>
      <c r="H69" s="115">
        <f t="shared" si="27"/>
        <v>87900</v>
      </c>
      <c r="I69" s="115">
        <f t="shared" si="28"/>
        <v>87900</v>
      </c>
      <c r="J69" s="115">
        <f t="shared" si="29"/>
        <v>87900</v>
      </c>
      <c r="K69" s="115">
        <f t="shared" si="30"/>
        <v>87900</v>
      </c>
      <c r="L69" s="115">
        <f t="shared" si="31"/>
        <v>87900</v>
      </c>
      <c r="M69" s="115">
        <f t="shared" si="32"/>
        <v>87900</v>
      </c>
      <c r="N69" s="115">
        <f t="shared" si="33"/>
        <v>87900</v>
      </c>
      <c r="O69" s="115">
        <f t="shared" si="34"/>
        <v>87900</v>
      </c>
      <c r="P69" s="115">
        <f t="shared" si="35"/>
        <v>87900</v>
      </c>
      <c r="Q69" s="125"/>
      <c r="R69" s="125"/>
      <c r="S69" s="125"/>
      <c r="T69" s="125">
        <v>87900</v>
      </c>
      <c r="U69" s="125"/>
      <c r="V69" s="125"/>
      <c r="W69" s="125"/>
      <c r="X69" s="125"/>
      <c r="Y69" s="125"/>
      <c r="Z69" s="125"/>
      <c r="AA69" s="125"/>
      <c r="AB69" s="125"/>
      <c r="AC69" s="124"/>
      <c r="AD69" s="117"/>
      <c r="AE69" s="1"/>
      <c r="AF69" s="120"/>
      <c r="AG69" s="120"/>
      <c r="AH69" s="120"/>
    </row>
    <row r="70" spans="1:34">
      <c r="A70" s="150"/>
      <c r="B70" s="128"/>
      <c r="C70" s="128" t="s">
        <v>1126</v>
      </c>
      <c r="D70" s="128"/>
      <c r="E70" s="117"/>
      <c r="F70" s="117"/>
      <c r="G70" s="117"/>
      <c r="H70" s="115">
        <f t="shared" si="27"/>
        <v>90901.89</v>
      </c>
      <c r="I70" s="115">
        <f t="shared" si="28"/>
        <v>90901.89</v>
      </c>
      <c r="J70" s="115">
        <f t="shared" si="29"/>
        <v>90901.89</v>
      </c>
      <c r="K70" s="115">
        <f t="shared" si="30"/>
        <v>90901.89</v>
      </c>
      <c r="L70" s="115">
        <f t="shared" si="31"/>
        <v>90901.89</v>
      </c>
      <c r="M70" s="115">
        <f t="shared" si="32"/>
        <v>90901.89</v>
      </c>
      <c r="N70" s="115">
        <f t="shared" si="33"/>
        <v>90901.89</v>
      </c>
      <c r="O70" s="115">
        <f t="shared" si="34"/>
        <v>90901.89</v>
      </c>
      <c r="P70" s="115">
        <f t="shared" si="35"/>
        <v>90901.89</v>
      </c>
      <c r="Q70" s="125"/>
      <c r="R70" s="125"/>
      <c r="S70" s="125"/>
      <c r="T70" s="125">
        <v>90901.89</v>
      </c>
      <c r="U70" s="125"/>
      <c r="V70" s="125"/>
      <c r="W70" s="125"/>
      <c r="X70" s="125"/>
      <c r="Y70" s="125"/>
      <c r="Z70" s="125"/>
      <c r="AA70" s="125"/>
      <c r="AB70" s="125"/>
      <c r="AC70" s="124"/>
      <c r="AD70" s="124"/>
      <c r="AE70" s="1"/>
      <c r="AF70" s="120"/>
      <c r="AG70" s="120"/>
      <c r="AH70" s="120"/>
    </row>
    <row r="71" spans="1:34">
      <c r="A71" s="150"/>
      <c r="B71" s="128"/>
      <c r="C71" s="128" t="s">
        <v>1127</v>
      </c>
      <c r="D71" s="128"/>
      <c r="E71" s="117"/>
      <c r="F71" s="117"/>
      <c r="G71" s="117"/>
      <c r="H71" s="115">
        <f t="shared" si="27"/>
        <v>96000.01</v>
      </c>
      <c r="I71" s="115">
        <f t="shared" si="28"/>
        <v>96000.01</v>
      </c>
      <c r="J71" s="115">
        <f t="shared" si="29"/>
        <v>96000.01</v>
      </c>
      <c r="K71" s="115">
        <f t="shared" si="30"/>
        <v>96000.01</v>
      </c>
      <c r="L71" s="115">
        <f t="shared" si="31"/>
        <v>96000.01</v>
      </c>
      <c r="M71" s="115">
        <f t="shared" si="32"/>
        <v>96000.01</v>
      </c>
      <c r="N71" s="115">
        <f t="shared" si="33"/>
        <v>96000.01</v>
      </c>
      <c r="O71" s="115">
        <f t="shared" si="34"/>
        <v>96000.01</v>
      </c>
      <c r="P71" s="115">
        <f t="shared" si="35"/>
        <v>96000.01</v>
      </c>
      <c r="Q71" s="125"/>
      <c r="R71" s="125"/>
      <c r="S71" s="125"/>
      <c r="T71" s="125">
        <v>96000.01</v>
      </c>
      <c r="U71" s="125"/>
      <c r="V71" s="125"/>
      <c r="W71" s="125"/>
      <c r="X71" s="125"/>
      <c r="Y71" s="125"/>
      <c r="Z71" s="125"/>
      <c r="AA71" s="125"/>
      <c r="AB71" s="125"/>
      <c r="AC71" s="124"/>
      <c r="AD71" s="117"/>
      <c r="AE71" s="1"/>
      <c r="AF71" s="120"/>
      <c r="AG71" s="120"/>
      <c r="AH71" s="120"/>
    </row>
    <row r="72" spans="1:34">
      <c r="A72" s="150"/>
      <c r="B72" s="128"/>
      <c r="C72" s="128" t="s">
        <v>1128</v>
      </c>
      <c r="D72" s="128"/>
      <c r="E72" s="117"/>
      <c r="F72" s="117"/>
      <c r="G72" s="117"/>
      <c r="H72" s="115">
        <f t="shared" si="27"/>
        <v>74009</v>
      </c>
      <c r="I72" s="115">
        <f t="shared" si="28"/>
        <v>74009</v>
      </c>
      <c r="J72" s="115">
        <f t="shared" si="29"/>
        <v>74009</v>
      </c>
      <c r="K72" s="115">
        <f t="shared" si="30"/>
        <v>74009</v>
      </c>
      <c r="L72" s="115">
        <f t="shared" si="31"/>
        <v>74009</v>
      </c>
      <c r="M72" s="115">
        <f t="shared" si="32"/>
        <v>74009</v>
      </c>
      <c r="N72" s="115">
        <f t="shared" si="33"/>
        <v>74009</v>
      </c>
      <c r="O72" s="115">
        <f t="shared" si="34"/>
        <v>74009</v>
      </c>
      <c r="P72" s="115">
        <f t="shared" si="35"/>
        <v>74009</v>
      </c>
      <c r="Q72" s="125"/>
      <c r="R72" s="125"/>
      <c r="S72" s="125"/>
      <c r="T72" s="125">
        <v>74009</v>
      </c>
      <c r="U72" s="125"/>
      <c r="V72" s="125"/>
      <c r="W72" s="125"/>
      <c r="X72" s="125"/>
      <c r="Y72" s="125"/>
      <c r="Z72" s="125"/>
      <c r="AA72" s="125"/>
      <c r="AB72" s="125"/>
      <c r="AC72" s="124"/>
      <c r="AD72" s="117"/>
      <c r="AE72" s="1"/>
      <c r="AF72" s="120"/>
      <c r="AG72" s="120"/>
      <c r="AH72" s="120"/>
    </row>
    <row r="73" spans="1:34">
      <c r="A73" s="150"/>
      <c r="B73" s="128"/>
      <c r="C73" s="128" t="s">
        <v>1129</v>
      </c>
      <c r="D73" s="128"/>
      <c r="E73" s="117"/>
      <c r="F73" s="117"/>
      <c r="G73" s="117"/>
      <c r="H73" s="115">
        <f t="shared" si="27"/>
        <v>86650</v>
      </c>
      <c r="I73" s="115">
        <f t="shared" si="28"/>
        <v>86650</v>
      </c>
      <c r="J73" s="115">
        <f t="shared" si="29"/>
        <v>86650</v>
      </c>
      <c r="K73" s="115">
        <f t="shared" si="30"/>
        <v>86650</v>
      </c>
      <c r="L73" s="115">
        <f t="shared" si="31"/>
        <v>86650</v>
      </c>
      <c r="M73" s="115">
        <f t="shared" si="32"/>
        <v>86650</v>
      </c>
      <c r="N73" s="115">
        <f t="shared" si="33"/>
        <v>86650</v>
      </c>
      <c r="O73" s="115">
        <f t="shared" si="34"/>
        <v>86650</v>
      </c>
      <c r="P73" s="115">
        <f t="shared" si="35"/>
        <v>86650</v>
      </c>
      <c r="Q73" s="125"/>
      <c r="R73" s="125"/>
      <c r="S73" s="125"/>
      <c r="T73" s="125">
        <v>86650</v>
      </c>
      <c r="U73" s="125"/>
      <c r="V73" s="125"/>
      <c r="W73" s="125"/>
      <c r="X73" s="125"/>
      <c r="Y73" s="125"/>
      <c r="Z73" s="125"/>
      <c r="AA73" s="125"/>
      <c r="AB73" s="125"/>
      <c r="AC73" s="124"/>
      <c r="AD73" s="117"/>
      <c r="AE73" s="115"/>
      <c r="AF73" s="120"/>
      <c r="AG73" s="120"/>
      <c r="AH73" s="120"/>
    </row>
    <row r="74" spans="1:34">
      <c r="A74" s="150"/>
      <c r="B74" s="128"/>
      <c r="C74" s="128" t="s">
        <v>1130</v>
      </c>
      <c r="D74" s="128"/>
      <c r="E74" s="117"/>
      <c r="F74" s="117"/>
      <c r="G74" s="117"/>
      <c r="H74" s="115">
        <f t="shared" si="27"/>
        <v>100000</v>
      </c>
      <c r="I74" s="115">
        <f t="shared" si="28"/>
        <v>100000</v>
      </c>
      <c r="J74" s="115">
        <f t="shared" si="29"/>
        <v>100000</v>
      </c>
      <c r="K74" s="115">
        <f t="shared" si="30"/>
        <v>100000</v>
      </c>
      <c r="L74" s="115">
        <f t="shared" si="31"/>
        <v>100000</v>
      </c>
      <c r="M74" s="115">
        <f t="shared" si="32"/>
        <v>100000</v>
      </c>
      <c r="N74" s="115">
        <f t="shared" si="33"/>
        <v>100000</v>
      </c>
      <c r="O74" s="115">
        <f t="shared" si="34"/>
        <v>100000</v>
      </c>
      <c r="P74" s="115">
        <f t="shared" si="35"/>
        <v>100000</v>
      </c>
      <c r="Q74" s="125"/>
      <c r="R74" s="125"/>
      <c r="S74" s="125"/>
      <c r="T74" s="125">
        <v>100000</v>
      </c>
      <c r="U74" s="125"/>
      <c r="V74" s="125"/>
      <c r="W74" s="125"/>
      <c r="X74" s="125"/>
      <c r="Y74" s="125"/>
      <c r="Z74" s="125"/>
      <c r="AA74" s="125"/>
      <c r="AB74" s="125"/>
      <c r="AC74" s="124"/>
      <c r="AD74" s="117"/>
      <c r="AE74" s="115"/>
      <c r="AF74" s="120"/>
      <c r="AG74" s="120"/>
      <c r="AH74" s="120"/>
    </row>
    <row r="75" spans="1:34">
      <c r="A75" s="150"/>
      <c r="B75" s="128"/>
      <c r="C75" s="128" t="s">
        <v>1131</v>
      </c>
      <c r="D75" s="128"/>
      <c r="E75" s="117"/>
      <c r="F75" s="117"/>
      <c r="G75" s="117"/>
      <c r="H75" s="115">
        <f t="shared" si="27"/>
        <v>80528</v>
      </c>
      <c r="I75" s="115">
        <f t="shared" si="28"/>
        <v>80528</v>
      </c>
      <c r="J75" s="115">
        <f t="shared" si="29"/>
        <v>80528</v>
      </c>
      <c r="K75" s="115">
        <f t="shared" si="30"/>
        <v>80528</v>
      </c>
      <c r="L75" s="115">
        <f t="shared" si="31"/>
        <v>80528</v>
      </c>
      <c r="M75" s="115">
        <f t="shared" si="32"/>
        <v>80528</v>
      </c>
      <c r="N75" s="115">
        <f t="shared" si="33"/>
        <v>80528</v>
      </c>
      <c r="O75" s="115">
        <f t="shared" si="34"/>
        <v>80528</v>
      </c>
      <c r="P75" s="115">
        <f t="shared" si="35"/>
        <v>80528</v>
      </c>
      <c r="Q75" s="125"/>
      <c r="R75" s="125"/>
      <c r="S75" s="125"/>
      <c r="T75" s="125">
        <v>80528</v>
      </c>
      <c r="U75" s="125"/>
      <c r="V75" s="125"/>
      <c r="W75" s="125"/>
      <c r="X75" s="125"/>
      <c r="Y75" s="125"/>
      <c r="Z75" s="125"/>
      <c r="AA75" s="125"/>
      <c r="AB75" s="125"/>
      <c r="AC75" s="124"/>
      <c r="AD75" s="117"/>
      <c r="AE75" s="115"/>
      <c r="AF75" s="120"/>
      <c r="AG75" s="120"/>
      <c r="AH75" s="120"/>
    </row>
    <row r="76" spans="1:34">
      <c r="A76" s="150"/>
      <c r="B76" s="128"/>
      <c r="C76" s="128" t="s">
        <v>1132</v>
      </c>
      <c r="D76" s="128"/>
      <c r="E76" s="117"/>
      <c r="F76" s="117"/>
      <c r="G76" s="117"/>
      <c r="H76" s="115">
        <f t="shared" si="27"/>
        <v>96270</v>
      </c>
      <c r="I76" s="115">
        <f t="shared" si="28"/>
        <v>96270</v>
      </c>
      <c r="J76" s="115">
        <f t="shared" si="29"/>
        <v>96270</v>
      </c>
      <c r="K76" s="115">
        <f t="shared" si="30"/>
        <v>96270</v>
      </c>
      <c r="L76" s="115">
        <f t="shared" si="31"/>
        <v>96270</v>
      </c>
      <c r="M76" s="115">
        <f t="shared" si="32"/>
        <v>96270</v>
      </c>
      <c r="N76" s="115">
        <f t="shared" si="33"/>
        <v>96270</v>
      </c>
      <c r="O76" s="115">
        <f t="shared" si="34"/>
        <v>96270</v>
      </c>
      <c r="P76" s="115">
        <f t="shared" si="35"/>
        <v>96270</v>
      </c>
      <c r="Q76" s="125"/>
      <c r="R76" s="125"/>
      <c r="S76" s="125"/>
      <c r="T76" s="125">
        <v>96270</v>
      </c>
      <c r="U76" s="125"/>
      <c r="V76" s="125"/>
      <c r="W76" s="125"/>
      <c r="X76" s="125"/>
      <c r="Y76" s="125"/>
      <c r="Z76" s="125"/>
      <c r="AA76" s="125"/>
      <c r="AB76" s="125"/>
      <c r="AC76" s="124"/>
      <c r="AD76" s="117"/>
      <c r="AE76" s="1"/>
      <c r="AF76" s="120"/>
      <c r="AG76" s="120"/>
      <c r="AH76" s="120"/>
    </row>
    <row r="77" spans="1:34">
      <c r="A77" s="150"/>
      <c r="B77" s="128"/>
      <c r="C77" s="128" t="s">
        <v>1133</v>
      </c>
      <c r="D77" s="128"/>
      <c r="E77" s="117"/>
      <c r="F77" s="117"/>
      <c r="G77" s="117"/>
      <c r="H77" s="115">
        <f t="shared" si="27"/>
        <v>72115</v>
      </c>
      <c r="I77" s="115">
        <f t="shared" si="28"/>
        <v>72115</v>
      </c>
      <c r="J77" s="115">
        <f t="shared" si="29"/>
        <v>72115</v>
      </c>
      <c r="K77" s="115">
        <f t="shared" si="30"/>
        <v>72115</v>
      </c>
      <c r="L77" s="115">
        <f t="shared" si="31"/>
        <v>72115</v>
      </c>
      <c r="M77" s="115">
        <f t="shared" si="32"/>
        <v>72115</v>
      </c>
      <c r="N77" s="115">
        <f t="shared" si="33"/>
        <v>72115</v>
      </c>
      <c r="O77" s="115">
        <f t="shared" si="34"/>
        <v>72115</v>
      </c>
      <c r="P77" s="115">
        <f t="shared" si="35"/>
        <v>72115</v>
      </c>
      <c r="Q77" s="125"/>
      <c r="R77" s="125"/>
      <c r="S77" s="125"/>
      <c r="T77" s="125">
        <v>72115</v>
      </c>
      <c r="U77" s="125"/>
      <c r="V77" s="125"/>
      <c r="W77" s="125"/>
      <c r="X77" s="125"/>
      <c r="Y77" s="125"/>
      <c r="Z77" s="125"/>
      <c r="AA77" s="125"/>
      <c r="AB77" s="125"/>
      <c r="AC77" s="124"/>
      <c r="AD77" s="117"/>
      <c r="AE77" s="1"/>
      <c r="AF77" s="120"/>
      <c r="AG77" s="120"/>
      <c r="AH77" s="120"/>
    </row>
    <row r="78" spans="1:34">
      <c r="A78" s="150"/>
      <c r="B78" s="128"/>
      <c r="C78" s="128" t="s">
        <v>1134</v>
      </c>
      <c r="D78" s="128"/>
      <c r="E78" s="117"/>
      <c r="F78" s="117"/>
      <c r="G78" s="117"/>
      <c r="H78" s="115">
        <f t="shared" si="27"/>
        <v>98000</v>
      </c>
      <c r="I78" s="115">
        <f t="shared" si="28"/>
        <v>98000</v>
      </c>
      <c r="J78" s="115">
        <f t="shared" si="29"/>
        <v>98000</v>
      </c>
      <c r="K78" s="115">
        <f t="shared" si="30"/>
        <v>98000</v>
      </c>
      <c r="L78" s="115">
        <f t="shared" si="31"/>
        <v>98000</v>
      </c>
      <c r="M78" s="115">
        <f t="shared" si="32"/>
        <v>98000</v>
      </c>
      <c r="N78" s="115">
        <f t="shared" si="33"/>
        <v>98000</v>
      </c>
      <c r="O78" s="115">
        <f t="shared" si="34"/>
        <v>98000</v>
      </c>
      <c r="P78" s="115">
        <f t="shared" si="35"/>
        <v>98000</v>
      </c>
      <c r="Q78" s="125"/>
      <c r="R78" s="125"/>
      <c r="S78" s="125"/>
      <c r="T78" s="125">
        <v>98000</v>
      </c>
      <c r="U78" s="125"/>
      <c r="V78" s="125"/>
      <c r="W78" s="125"/>
      <c r="X78" s="125"/>
      <c r="Y78" s="125"/>
      <c r="Z78" s="125"/>
      <c r="AA78" s="125"/>
      <c r="AB78" s="125"/>
      <c r="AC78" s="124"/>
      <c r="AE78" s="1"/>
      <c r="AF78" s="120"/>
      <c r="AG78" s="120"/>
      <c r="AH78" s="120"/>
    </row>
    <row r="79" spans="1:34" ht="15.75" thickBot="1">
      <c r="A79" s="150"/>
      <c r="B79" s="128"/>
      <c r="C79" s="141" t="s">
        <v>1114</v>
      </c>
      <c r="D79" s="128"/>
      <c r="E79" s="151"/>
      <c r="F79" s="151"/>
      <c r="G79" s="151"/>
      <c r="H79" s="151">
        <f>SUM(H65:H78)</f>
        <v>1183464.4300000002</v>
      </c>
      <c r="I79" s="151">
        <f>SUM(I65:I78)</f>
        <v>1183464.4300000002</v>
      </c>
      <c r="J79" s="151">
        <f>SUM(J65:J78)</f>
        <v>1183464.4300000002</v>
      </c>
      <c r="K79" s="151">
        <f>SUM(K65:K78)</f>
        <v>1183464.4300000002</v>
      </c>
      <c r="L79" s="151">
        <f>SUM(L65:L78)</f>
        <v>1183464.4300000002</v>
      </c>
      <c r="M79" s="151"/>
      <c r="N79" s="151"/>
      <c r="O79" s="151"/>
      <c r="P79" s="151"/>
      <c r="Q79" s="143"/>
      <c r="R79" s="143"/>
      <c r="S79" s="143"/>
      <c r="T79" s="143">
        <f>SUM(T65:T78)</f>
        <v>1183464.4300000002</v>
      </c>
      <c r="U79" s="143"/>
      <c r="V79" s="143"/>
      <c r="W79" s="143"/>
      <c r="X79" s="143"/>
      <c r="Y79" s="143"/>
      <c r="Z79" s="143"/>
      <c r="AA79" s="143"/>
      <c r="AB79" s="143"/>
      <c r="AC79" s="234"/>
      <c r="AD79" s="234" t="e">
        <f>+#REF!-[1]TB!G37</f>
        <v>#REF!</v>
      </c>
      <c r="AE79" s="1"/>
      <c r="AF79" s="120"/>
      <c r="AG79" s="120"/>
      <c r="AH79" s="120"/>
    </row>
    <row r="80" spans="1:34" ht="15.75" thickTop="1">
      <c r="A80" s="150"/>
      <c r="B80" s="128"/>
      <c r="C80" s="128"/>
      <c r="D80" s="128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4"/>
      <c r="AD80" s="234"/>
      <c r="AE80" s="1"/>
      <c r="AF80" s="117"/>
      <c r="AG80" s="117"/>
      <c r="AH80" s="120"/>
    </row>
    <row r="81" spans="1:34" ht="15">
      <c r="A81" s="128"/>
      <c r="B81" s="128"/>
      <c r="C81" s="128"/>
      <c r="D81" s="128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4"/>
      <c r="AD81" s="234"/>
      <c r="AE81" s="1"/>
      <c r="AF81" s="120"/>
      <c r="AG81" s="1"/>
      <c r="AH81" s="120"/>
    </row>
    <row r="82" spans="1:34" ht="15">
      <c r="A82" s="141" t="s">
        <v>1135</v>
      </c>
      <c r="B82" s="128"/>
      <c r="C82" s="128"/>
      <c r="D82" s="128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4"/>
      <c r="AD82" s="234"/>
      <c r="AE82" s="1"/>
      <c r="AF82" s="120"/>
      <c r="AG82" s="1"/>
      <c r="AH82" s="120"/>
    </row>
    <row r="83" spans="1:34" ht="15">
      <c r="A83" s="128"/>
      <c r="B83" s="128"/>
      <c r="C83" s="128" t="s">
        <v>1136</v>
      </c>
      <c r="D83" s="128"/>
      <c r="E83" s="117"/>
      <c r="F83" s="117"/>
      <c r="G83" s="117"/>
      <c r="H83" s="115">
        <f t="shared" ref="H83:H103" si="36">Q83+R83+S83+T83</f>
        <v>500000</v>
      </c>
      <c r="I83" s="115">
        <f t="shared" ref="I83:I103" si="37">Q83+R83+S83+T83+U83</f>
        <v>500000</v>
      </c>
      <c r="J83" s="115">
        <f t="shared" ref="J83:J103" si="38">Q83+R83+S83+T83+U83+V83</f>
        <v>500000</v>
      </c>
      <c r="K83" s="115">
        <f t="shared" ref="K83:K103" si="39">Q83+R83+S83+T83+U83+V83+W83</f>
        <v>500000</v>
      </c>
      <c r="L83" s="115">
        <f t="shared" ref="L83:L103" si="40">Q83+R83+S83+T83+U83+V83+W83+X83</f>
        <v>500000</v>
      </c>
      <c r="M83" s="115">
        <f t="shared" ref="M83:M103" si="41">Q83+R83+S83+T83+U83+V83+W83+X83+Y83</f>
        <v>500000</v>
      </c>
      <c r="N83" s="115">
        <f t="shared" ref="N83:N103" si="42">Q83+R83+S83+T83+U83+V83+W83+X83+Y83+Z83</f>
        <v>500000</v>
      </c>
      <c r="O83" s="115">
        <f t="shared" ref="O83:O103" si="43">Q83+R83+S83+T83+U83+V83+W83+X83+Y83+Z83+AA83</f>
        <v>500000</v>
      </c>
      <c r="P83" s="115">
        <f t="shared" ref="P83:P103" si="44">Q83+R83+S83+T83+U83+V83+W83+X83+Y83+Z83+AA83+AB83</f>
        <v>500000</v>
      </c>
      <c r="Q83" s="125"/>
      <c r="R83" s="125"/>
      <c r="S83" s="125"/>
      <c r="T83" s="125">
        <v>500000</v>
      </c>
      <c r="U83" s="125"/>
      <c r="V83" s="125"/>
      <c r="W83" s="125"/>
      <c r="X83" s="125"/>
      <c r="Y83" s="125"/>
      <c r="Z83" s="125"/>
      <c r="AA83" s="125"/>
      <c r="AB83" s="125"/>
      <c r="AC83" s="124"/>
      <c r="AD83" s="234"/>
      <c r="AE83" s="1"/>
      <c r="AF83" s="120"/>
      <c r="AG83" s="1"/>
      <c r="AH83" s="120"/>
    </row>
    <row r="84" spans="1:34" ht="15">
      <c r="A84" s="128"/>
      <c r="B84" s="128"/>
      <c r="C84" s="128" t="s">
        <v>1137</v>
      </c>
      <c r="D84" s="128"/>
      <c r="E84" s="117"/>
      <c r="F84" s="117"/>
      <c r="G84" s="117"/>
      <c r="H84" s="115">
        <f t="shared" si="36"/>
        <v>200000</v>
      </c>
      <c r="I84" s="115">
        <f t="shared" si="37"/>
        <v>200000</v>
      </c>
      <c r="J84" s="115">
        <f t="shared" si="38"/>
        <v>200000</v>
      </c>
      <c r="K84" s="115">
        <f t="shared" si="39"/>
        <v>200000</v>
      </c>
      <c r="L84" s="115">
        <f t="shared" si="40"/>
        <v>200000</v>
      </c>
      <c r="M84" s="115">
        <f t="shared" si="41"/>
        <v>200000</v>
      </c>
      <c r="N84" s="115">
        <f t="shared" si="42"/>
        <v>200000</v>
      </c>
      <c r="O84" s="115">
        <f t="shared" si="43"/>
        <v>200000</v>
      </c>
      <c r="P84" s="115">
        <f t="shared" si="44"/>
        <v>200000</v>
      </c>
      <c r="Q84" s="125"/>
      <c r="R84" s="125"/>
      <c r="S84" s="125"/>
      <c r="T84" s="125">
        <v>200000</v>
      </c>
      <c r="U84" s="125"/>
      <c r="V84" s="125"/>
      <c r="W84" s="125"/>
      <c r="X84" s="125"/>
      <c r="Y84" s="125"/>
      <c r="Z84" s="125"/>
      <c r="AA84" s="125"/>
      <c r="AB84" s="125"/>
      <c r="AC84" s="124"/>
      <c r="AD84" s="234"/>
      <c r="AE84" s="1"/>
      <c r="AF84" s="120"/>
      <c r="AG84" s="1"/>
      <c r="AH84" s="120"/>
    </row>
    <row r="85" spans="1:34" ht="15">
      <c r="A85" s="128"/>
      <c r="B85" s="128"/>
      <c r="C85" s="128" t="s">
        <v>1138</v>
      </c>
      <c r="D85" s="128"/>
      <c r="E85" s="117"/>
      <c r="F85" s="117"/>
      <c r="G85" s="117"/>
      <c r="H85" s="115">
        <f t="shared" si="36"/>
        <v>10000</v>
      </c>
      <c r="I85" s="115">
        <f t="shared" si="37"/>
        <v>10000</v>
      </c>
      <c r="J85" s="115">
        <f t="shared" si="38"/>
        <v>10000</v>
      </c>
      <c r="K85" s="115">
        <f t="shared" si="39"/>
        <v>10000</v>
      </c>
      <c r="L85" s="115">
        <f t="shared" si="40"/>
        <v>10000</v>
      </c>
      <c r="M85" s="115">
        <f t="shared" si="41"/>
        <v>10000</v>
      </c>
      <c r="N85" s="115">
        <f t="shared" si="42"/>
        <v>10000</v>
      </c>
      <c r="O85" s="115">
        <f t="shared" si="43"/>
        <v>10000</v>
      </c>
      <c r="P85" s="115">
        <f t="shared" si="44"/>
        <v>10000</v>
      </c>
      <c r="Q85" s="125"/>
      <c r="R85" s="125"/>
      <c r="S85" s="125"/>
      <c r="T85" s="125">
        <v>10000</v>
      </c>
      <c r="U85" s="125"/>
      <c r="V85" s="125"/>
      <c r="W85" s="125"/>
      <c r="X85" s="125"/>
      <c r="Y85" s="125"/>
      <c r="Z85" s="125"/>
      <c r="AA85" s="125"/>
      <c r="AB85" s="125"/>
      <c r="AC85" s="124"/>
      <c r="AD85" s="234"/>
      <c r="AE85" s="1"/>
      <c r="AF85" s="120"/>
      <c r="AG85" s="1"/>
      <c r="AH85" s="120"/>
    </row>
    <row r="86" spans="1:34" ht="15">
      <c r="A86" s="128"/>
      <c r="B86" s="128"/>
      <c r="C86" s="128" t="s">
        <v>1139</v>
      </c>
      <c r="D86" s="128"/>
      <c r="E86" s="117"/>
      <c r="F86" s="117"/>
      <c r="G86" s="117"/>
      <c r="H86" s="115">
        <f t="shared" si="36"/>
        <v>135000</v>
      </c>
      <c r="I86" s="115">
        <f t="shared" si="37"/>
        <v>135000</v>
      </c>
      <c r="J86" s="115">
        <f t="shared" si="38"/>
        <v>135000</v>
      </c>
      <c r="K86" s="115">
        <f t="shared" si="39"/>
        <v>135000</v>
      </c>
      <c r="L86" s="115">
        <f t="shared" si="40"/>
        <v>135000</v>
      </c>
      <c r="M86" s="115">
        <f t="shared" si="41"/>
        <v>135000</v>
      </c>
      <c r="N86" s="115">
        <f t="shared" si="42"/>
        <v>135000</v>
      </c>
      <c r="O86" s="115">
        <f t="shared" si="43"/>
        <v>135000</v>
      </c>
      <c r="P86" s="115">
        <f t="shared" si="44"/>
        <v>135000</v>
      </c>
      <c r="Q86" s="125"/>
      <c r="R86" s="125"/>
      <c r="S86" s="125"/>
      <c r="T86" s="125">
        <v>135000</v>
      </c>
      <c r="U86" s="125"/>
      <c r="V86" s="125"/>
      <c r="W86" s="125"/>
      <c r="X86" s="125"/>
      <c r="Y86" s="125"/>
      <c r="Z86" s="125"/>
      <c r="AA86" s="125"/>
      <c r="AB86" s="125"/>
      <c r="AC86" s="124"/>
      <c r="AD86" s="234"/>
      <c r="AE86" s="1"/>
      <c r="AF86" s="120"/>
      <c r="AG86" s="1"/>
      <c r="AH86" s="120"/>
    </row>
    <row r="87" spans="1:34" ht="15">
      <c r="A87" s="128"/>
      <c r="B87" s="128"/>
      <c r="C87" s="128" t="s">
        <v>1140</v>
      </c>
      <c r="D87" s="128"/>
      <c r="E87" s="117"/>
      <c r="F87" s="117"/>
      <c r="G87" s="117"/>
      <c r="H87" s="115">
        <f t="shared" si="36"/>
        <v>60000</v>
      </c>
      <c r="I87" s="115">
        <f t="shared" si="37"/>
        <v>60000</v>
      </c>
      <c r="J87" s="115">
        <f t="shared" si="38"/>
        <v>60000</v>
      </c>
      <c r="K87" s="115">
        <f t="shared" si="39"/>
        <v>60000</v>
      </c>
      <c r="L87" s="115">
        <f t="shared" si="40"/>
        <v>60000</v>
      </c>
      <c r="M87" s="115">
        <f t="shared" si="41"/>
        <v>60000</v>
      </c>
      <c r="N87" s="115">
        <f t="shared" si="42"/>
        <v>60000</v>
      </c>
      <c r="O87" s="115">
        <f t="shared" si="43"/>
        <v>60000</v>
      </c>
      <c r="P87" s="115">
        <f t="shared" si="44"/>
        <v>60000</v>
      </c>
      <c r="Q87" s="125"/>
      <c r="R87" s="125"/>
      <c r="S87" s="125"/>
      <c r="T87" s="125">
        <v>60000</v>
      </c>
      <c r="U87" s="125"/>
      <c r="V87" s="125"/>
      <c r="W87" s="125"/>
      <c r="X87" s="125"/>
      <c r="Y87" s="125"/>
      <c r="Z87" s="125"/>
      <c r="AA87" s="125"/>
      <c r="AB87" s="125"/>
      <c r="AC87" s="124"/>
      <c r="AD87" s="234"/>
      <c r="AE87" s="1"/>
      <c r="AF87" s="120"/>
      <c r="AG87" s="1"/>
      <c r="AH87" s="120"/>
    </row>
    <row r="88" spans="1:34" ht="15">
      <c r="A88" s="128"/>
      <c r="B88" s="128"/>
      <c r="C88" s="128" t="s">
        <v>1141</v>
      </c>
      <c r="D88" s="128"/>
      <c r="E88" s="117"/>
      <c r="F88" s="117"/>
      <c r="G88" s="117"/>
      <c r="H88" s="115">
        <f t="shared" si="36"/>
        <v>135000</v>
      </c>
      <c r="I88" s="115">
        <f t="shared" si="37"/>
        <v>135000</v>
      </c>
      <c r="J88" s="115">
        <f t="shared" si="38"/>
        <v>135000</v>
      </c>
      <c r="K88" s="115">
        <f t="shared" si="39"/>
        <v>135000</v>
      </c>
      <c r="L88" s="115">
        <f t="shared" si="40"/>
        <v>135000</v>
      </c>
      <c r="M88" s="115">
        <f t="shared" si="41"/>
        <v>135000</v>
      </c>
      <c r="N88" s="115">
        <f t="shared" si="42"/>
        <v>135000</v>
      </c>
      <c r="O88" s="115">
        <f t="shared" si="43"/>
        <v>135000</v>
      </c>
      <c r="P88" s="115">
        <f t="shared" si="44"/>
        <v>135000</v>
      </c>
      <c r="Q88" s="125"/>
      <c r="R88" s="125"/>
      <c r="S88" s="125"/>
      <c r="T88" s="125">
        <v>135000</v>
      </c>
      <c r="U88" s="125"/>
      <c r="V88" s="125"/>
      <c r="W88" s="125"/>
      <c r="X88" s="125"/>
      <c r="Y88" s="125"/>
      <c r="Z88" s="125"/>
      <c r="AA88" s="125"/>
      <c r="AB88" s="125"/>
      <c r="AC88" s="124"/>
      <c r="AD88" s="234"/>
      <c r="AE88" s="1"/>
      <c r="AF88" s="120"/>
      <c r="AG88" s="1"/>
      <c r="AH88" s="120"/>
    </row>
    <row r="89" spans="1:34" ht="15">
      <c r="A89" s="128"/>
      <c r="B89" s="128"/>
      <c r="C89" s="128" t="s">
        <v>1142</v>
      </c>
      <c r="D89" s="128"/>
      <c r="E89" s="117"/>
      <c r="F89" s="117"/>
      <c r="G89" s="117"/>
      <c r="H89" s="115">
        <f t="shared" si="36"/>
        <v>8225</v>
      </c>
      <c r="I89" s="115">
        <f t="shared" si="37"/>
        <v>8225</v>
      </c>
      <c r="J89" s="115">
        <f t="shared" si="38"/>
        <v>8225</v>
      </c>
      <c r="K89" s="115">
        <f t="shared" si="39"/>
        <v>8225</v>
      </c>
      <c r="L89" s="115">
        <f t="shared" si="40"/>
        <v>8225</v>
      </c>
      <c r="M89" s="115">
        <f t="shared" si="41"/>
        <v>8225</v>
      </c>
      <c r="N89" s="115">
        <f t="shared" si="42"/>
        <v>8225</v>
      </c>
      <c r="O89" s="115">
        <f t="shared" si="43"/>
        <v>8225</v>
      </c>
      <c r="P89" s="115">
        <f t="shared" si="44"/>
        <v>8225</v>
      </c>
      <c r="Q89" s="125"/>
      <c r="R89" s="125"/>
      <c r="S89" s="125"/>
      <c r="T89" s="125">
        <f>200000-34000-51000-60775-16000-30000</f>
        <v>8225</v>
      </c>
      <c r="U89" s="125"/>
      <c r="V89" s="125"/>
      <c r="W89" s="125"/>
      <c r="X89" s="125"/>
      <c r="Y89" s="125"/>
      <c r="Z89" s="125"/>
      <c r="AA89" s="125"/>
      <c r="AB89" s="125"/>
      <c r="AC89" s="124"/>
      <c r="AD89" s="234"/>
      <c r="AE89" s="1"/>
      <c r="AF89" s="120"/>
      <c r="AG89" s="1"/>
      <c r="AH89" s="120"/>
    </row>
    <row r="90" spans="1:34" ht="15">
      <c r="A90" s="128"/>
      <c r="B90" s="128"/>
      <c r="C90" s="128" t="s">
        <v>1143</v>
      </c>
      <c r="D90" s="128"/>
      <c r="E90" s="117"/>
      <c r="F90" s="117"/>
      <c r="G90" s="117"/>
      <c r="H90" s="115">
        <f t="shared" si="36"/>
        <v>135000</v>
      </c>
      <c r="I90" s="115">
        <f t="shared" si="37"/>
        <v>135000</v>
      </c>
      <c r="J90" s="115">
        <f t="shared" si="38"/>
        <v>135000</v>
      </c>
      <c r="K90" s="115">
        <f t="shared" si="39"/>
        <v>135000</v>
      </c>
      <c r="L90" s="115">
        <f t="shared" si="40"/>
        <v>135000</v>
      </c>
      <c r="M90" s="115">
        <f t="shared" si="41"/>
        <v>135000</v>
      </c>
      <c r="N90" s="115">
        <f t="shared" si="42"/>
        <v>135000</v>
      </c>
      <c r="O90" s="115">
        <f t="shared" si="43"/>
        <v>135000</v>
      </c>
      <c r="P90" s="115">
        <f t="shared" si="44"/>
        <v>135000</v>
      </c>
      <c r="Q90" s="125"/>
      <c r="R90" s="125"/>
      <c r="S90" s="125"/>
      <c r="T90" s="125">
        <v>135000</v>
      </c>
      <c r="U90" s="125"/>
      <c r="V90" s="125"/>
      <c r="W90" s="125"/>
      <c r="X90" s="125"/>
      <c r="Y90" s="125"/>
      <c r="Z90" s="125"/>
      <c r="AA90" s="125"/>
      <c r="AB90" s="125"/>
      <c r="AC90" s="124"/>
      <c r="AD90" s="234"/>
      <c r="AE90" s="1"/>
      <c r="AF90" s="120"/>
      <c r="AG90" s="1"/>
      <c r="AH90" s="120"/>
    </row>
    <row r="91" spans="1:34" ht="15">
      <c r="A91" s="128"/>
      <c r="B91" s="128"/>
      <c r="C91" s="128" t="s">
        <v>1144</v>
      </c>
      <c r="D91" s="128"/>
      <c r="E91" s="117"/>
      <c r="F91" s="117"/>
      <c r="G91" s="117"/>
      <c r="H91" s="115">
        <f t="shared" si="36"/>
        <v>100000</v>
      </c>
      <c r="I91" s="115">
        <f t="shared" si="37"/>
        <v>100000</v>
      </c>
      <c r="J91" s="115">
        <f t="shared" si="38"/>
        <v>100000</v>
      </c>
      <c r="K91" s="115">
        <f t="shared" si="39"/>
        <v>100000</v>
      </c>
      <c r="L91" s="115">
        <f t="shared" si="40"/>
        <v>100000</v>
      </c>
      <c r="M91" s="115">
        <f t="shared" si="41"/>
        <v>100000</v>
      </c>
      <c r="N91" s="115">
        <f t="shared" si="42"/>
        <v>100000</v>
      </c>
      <c r="O91" s="115">
        <f t="shared" si="43"/>
        <v>100000</v>
      </c>
      <c r="P91" s="115">
        <f t="shared" si="44"/>
        <v>100000</v>
      </c>
      <c r="Q91" s="125"/>
      <c r="R91" s="125"/>
      <c r="S91" s="125"/>
      <c r="T91" s="125">
        <v>100000</v>
      </c>
      <c r="U91" s="125"/>
      <c r="V91" s="125"/>
      <c r="W91" s="125"/>
      <c r="X91" s="125"/>
      <c r="Y91" s="125"/>
      <c r="Z91" s="125"/>
      <c r="AA91" s="125"/>
      <c r="AB91" s="125"/>
      <c r="AC91" s="124"/>
      <c r="AD91" s="234"/>
      <c r="AE91" s="1"/>
      <c r="AF91" s="120"/>
      <c r="AG91" s="1"/>
      <c r="AH91" s="120"/>
    </row>
    <row r="92" spans="1:34" ht="15">
      <c r="A92" s="128"/>
      <c r="B92" s="128"/>
      <c r="C92" s="128" t="s">
        <v>1145</v>
      </c>
      <c r="D92" s="128"/>
      <c r="E92" s="117"/>
      <c r="F92" s="117"/>
      <c r="G92" s="117"/>
      <c r="H92" s="115">
        <f t="shared" si="36"/>
        <v>40000</v>
      </c>
      <c r="I92" s="115">
        <f t="shared" si="37"/>
        <v>40000</v>
      </c>
      <c r="J92" s="115">
        <f t="shared" si="38"/>
        <v>40000</v>
      </c>
      <c r="K92" s="115">
        <f t="shared" si="39"/>
        <v>40000</v>
      </c>
      <c r="L92" s="115">
        <f t="shared" si="40"/>
        <v>40000</v>
      </c>
      <c r="M92" s="115">
        <f t="shared" si="41"/>
        <v>40000</v>
      </c>
      <c r="N92" s="115">
        <f t="shared" si="42"/>
        <v>40000</v>
      </c>
      <c r="O92" s="115">
        <f t="shared" si="43"/>
        <v>40000</v>
      </c>
      <c r="P92" s="115">
        <f t="shared" si="44"/>
        <v>40000</v>
      </c>
      <c r="Q92" s="125"/>
      <c r="R92" s="125"/>
      <c r="S92" s="125"/>
      <c r="T92" s="125">
        <f>50000-10000</f>
        <v>40000</v>
      </c>
      <c r="U92" s="125"/>
      <c r="V92" s="125"/>
      <c r="W92" s="125"/>
      <c r="X92" s="125"/>
      <c r="Y92" s="125"/>
      <c r="Z92" s="125"/>
      <c r="AA92" s="125"/>
      <c r="AB92" s="125"/>
      <c r="AC92" s="124"/>
      <c r="AD92" s="234"/>
      <c r="AE92" s="1"/>
      <c r="AF92" s="120"/>
      <c r="AG92" s="1"/>
      <c r="AH92" s="120"/>
    </row>
    <row r="93" spans="1:34" ht="15">
      <c r="A93" s="128"/>
      <c r="B93" s="128"/>
      <c r="C93" s="128" t="s">
        <v>1146</v>
      </c>
      <c r="D93" s="128"/>
      <c r="E93" s="117"/>
      <c r="F93" s="117"/>
      <c r="G93" s="117"/>
      <c r="H93" s="115">
        <f t="shared" si="36"/>
        <v>16000</v>
      </c>
      <c r="I93" s="115">
        <f t="shared" si="37"/>
        <v>16000</v>
      </c>
      <c r="J93" s="115">
        <f t="shared" si="38"/>
        <v>16000</v>
      </c>
      <c r="K93" s="115">
        <f t="shared" si="39"/>
        <v>16000</v>
      </c>
      <c r="L93" s="115">
        <f t="shared" si="40"/>
        <v>16000</v>
      </c>
      <c r="M93" s="115">
        <f t="shared" si="41"/>
        <v>16000</v>
      </c>
      <c r="N93" s="115">
        <f t="shared" si="42"/>
        <v>16000</v>
      </c>
      <c r="O93" s="115">
        <f t="shared" si="43"/>
        <v>16000</v>
      </c>
      <c r="P93" s="115">
        <f t="shared" si="44"/>
        <v>16000</v>
      </c>
      <c r="Q93" s="125"/>
      <c r="R93" s="125"/>
      <c r="S93" s="125"/>
      <c r="T93" s="125">
        <f>20000-4000</f>
        <v>16000</v>
      </c>
      <c r="U93" s="125"/>
      <c r="V93" s="125"/>
      <c r="W93" s="125"/>
      <c r="X93" s="125"/>
      <c r="Y93" s="125"/>
      <c r="Z93" s="125"/>
      <c r="AA93" s="125"/>
      <c r="AB93" s="125"/>
      <c r="AC93" s="124"/>
      <c r="AD93" s="234"/>
      <c r="AE93" s="1"/>
      <c r="AF93" s="120"/>
      <c r="AG93" s="1"/>
      <c r="AH93" s="120"/>
    </row>
    <row r="94" spans="1:34" ht="15">
      <c r="A94" s="128"/>
      <c r="B94" s="128"/>
      <c r="C94" s="128" t="s">
        <v>1147</v>
      </c>
      <c r="D94" s="128"/>
      <c r="E94" s="117"/>
      <c r="F94" s="117"/>
      <c r="G94" s="117"/>
      <c r="H94" s="115">
        <f t="shared" si="36"/>
        <v>100000</v>
      </c>
      <c r="I94" s="115">
        <f t="shared" si="37"/>
        <v>100000</v>
      </c>
      <c r="J94" s="115">
        <f t="shared" si="38"/>
        <v>100000</v>
      </c>
      <c r="K94" s="115">
        <f t="shared" si="39"/>
        <v>100000</v>
      </c>
      <c r="L94" s="115">
        <f t="shared" si="40"/>
        <v>100000</v>
      </c>
      <c r="M94" s="115">
        <f t="shared" si="41"/>
        <v>100000</v>
      </c>
      <c r="N94" s="115">
        <f t="shared" si="42"/>
        <v>100000</v>
      </c>
      <c r="O94" s="115">
        <f t="shared" si="43"/>
        <v>100000</v>
      </c>
      <c r="P94" s="115">
        <f t="shared" si="44"/>
        <v>100000</v>
      </c>
      <c r="Q94" s="125"/>
      <c r="R94" s="125"/>
      <c r="S94" s="125"/>
      <c r="T94" s="125">
        <v>100000</v>
      </c>
      <c r="U94" s="125"/>
      <c r="V94" s="125"/>
      <c r="W94" s="125"/>
      <c r="X94" s="125"/>
      <c r="Y94" s="125"/>
      <c r="Z94" s="125"/>
      <c r="AA94" s="125"/>
      <c r="AB94" s="125"/>
      <c r="AC94" s="124"/>
      <c r="AD94" s="234"/>
      <c r="AE94" s="1"/>
      <c r="AF94" s="120"/>
      <c r="AG94" s="1"/>
      <c r="AH94" s="120"/>
    </row>
    <row r="95" spans="1:34" ht="15">
      <c r="A95" s="128"/>
      <c r="B95" s="128"/>
      <c r="C95" s="128" t="s">
        <v>1148</v>
      </c>
      <c r="D95" s="128"/>
      <c r="E95" s="117"/>
      <c r="F95" s="117"/>
      <c r="G95" s="117"/>
      <c r="H95" s="115">
        <f t="shared" si="36"/>
        <v>50000</v>
      </c>
      <c r="I95" s="115">
        <f t="shared" si="37"/>
        <v>50000</v>
      </c>
      <c r="J95" s="115">
        <f t="shared" si="38"/>
        <v>50000</v>
      </c>
      <c r="K95" s="115">
        <f t="shared" si="39"/>
        <v>50000</v>
      </c>
      <c r="L95" s="115">
        <f t="shared" si="40"/>
        <v>50000</v>
      </c>
      <c r="M95" s="115">
        <f t="shared" si="41"/>
        <v>50000</v>
      </c>
      <c r="N95" s="115">
        <f t="shared" si="42"/>
        <v>50000</v>
      </c>
      <c r="O95" s="115">
        <f t="shared" si="43"/>
        <v>50000</v>
      </c>
      <c r="P95" s="115">
        <f t="shared" si="44"/>
        <v>50000</v>
      </c>
      <c r="Q95" s="125"/>
      <c r="R95" s="125"/>
      <c r="S95" s="125"/>
      <c r="T95" s="125">
        <v>50000</v>
      </c>
      <c r="U95" s="125"/>
      <c r="V95" s="125"/>
      <c r="W95" s="125"/>
      <c r="X95" s="125"/>
      <c r="Y95" s="125"/>
      <c r="Z95" s="125"/>
      <c r="AA95" s="125"/>
      <c r="AB95" s="125"/>
      <c r="AC95" s="124"/>
      <c r="AD95" s="234"/>
      <c r="AE95" s="1"/>
      <c r="AF95" s="120"/>
      <c r="AG95" s="1"/>
      <c r="AH95" s="120"/>
    </row>
    <row r="96" spans="1:34" ht="15">
      <c r="A96" s="128"/>
      <c r="B96" s="128"/>
      <c r="C96" s="128" t="s">
        <v>1149</v>
      </c>
      <c r="D96" s="128"/>
      <c r="E96" s="117"/>
      <c r="F96" s="117"/>
      <c r="G96" s="117"/>
      <c r="H96" s="115">
        <f t="shared" si="36"/>
        <v>10000</v>
      </c>
      <c r="I96" s="115">
        <f t="shared" si="37"/>
        <v>10000</v>
      </c>
      <c r="J96" s="115">
        <f t="shared" si="38"/>
        <v>10000</v>
      </c>
      <c r="K96" s="115">
        <f t="shared" si="39"/>
        <v>10000</v>
      </c>
      <c r="L96" s="115">
        <f t="shared" si="40"/>
        <v>10000</v>
      </c>
      <c r="M96" s="115">
        <f t="shared" si="41"/>
        <v>10000</v>
      </c>
      <c r="N96" s="115">
        <f t="shared" si="42"/>
        <v>10000</v>
      </c>
      <c r="O96" s="115">
        <f t="shared" si="43"/>
        <v>10000</v>
      </c>
      <c r="P96" s="115">
        <f t="shared" si="44"/>
        <v>10000</v>
      </c>
      <c r="Q96" s="125"/>
      <c r="R96" s="125"/>
      <c r="S96" s="125"/>
      <c r="T96" s="125">
        <v>10000</v>
      </c>
      <c r="U96" s="125"/>
      <c r="V96" s="125"/>
      <c r="W96" s="125"/>
      <c r="X96" s="125"/>
      <c r="Y96" s="125"/>
      <c r="Z96" s="125"/>
      <c r="AA96" s="125"/>
      <c r="AB96" s="125"/>
      <c r="AC96" s="124"/>
      <c r="AD96" s="234"/>
      <c r="AE96" s="1"/>
      <c r="AF96" s="120"/>
      <c r="AG96" s="1"/>
      <c r="AH96" s="120"/>
    </row>
    <row r="97" spans="1:34" ht="15">
      <c r="A97" s="128"/>
      <c r="B97" s="128"/>
      <c r="C97" s="128" t="s">
        <v>1150</v>
      </c>
      <c r="D97" s="128"/>
      <c r="E97" s="117"/>
      <c r="F97" s="117"/>
      <c r="G97" s="117"/>
      <c r="H97" s="115">
        <f t="shared" si="36"/>
        <v>28000</v>
      </c>
      <c r="I97" s="115">
        <f t="shared" si="37"/>
        <v>28000</v>
      </c>
      <c r="J97" s="115">
        <f t="shared" si="38"/>
        <v>28000</v>
      </c>
      <c r="K97" s="115">
        <f t="shared" si="39"/>
        <v>28000</v>
      </c>
      <c r="L97" s="115">
        <f t="shared" si="40"/>
        <v>28000</v>
      </c>
      <c r="M97" s="115">
        <f t="shared" si="41"/>
        <v>28000</v>
      </c>
      <c r="N97" s="115">
        <f t="shared" si="42"/>
        <v>28000</v>
      </c>
      <c r="O97" s="115">
        <f t="shared" si="43"/>
        <v>28000</v>
      </c>
      <c r="P97" s="115">
        <f t="shared" si="44"/>
        <v>28000</v>
      </c>
      <c r="Q97" s="125"/>
      <c r="R97" s="125"/>
      <c r="S97" s="125"/>
      <c r="T97" s="125">
        <f>50000-10000-9000-3000</f>
        <v>28000</v>
      </c>
      <c r="U97" s="125"/>
      <c r="V97" s="125"/>
      <c r="W97" s="125"/>
      <c r="X97" s="125"/>
      <c r="Y97" s="125"/>
      <c r="Z97" s="125"/>
      <c r="AA97" s="125"/>
      <c r="AB97" s="125"/>
      <c r="AC97" s="124"/>
      <c r="AD97" s="234"/>
      <c r="AE97" s="1"/>
      <c r="AF97" s="120"/>
      <c r="AG97" s="1"/>
      <c r="AH97" s="120"/>
    </row>
    <row r="98" spans="1:34" ht="15">
      <c r="A98" s="128"/>
      <c r="B98" s="128"/>
      <c r="C98" s="128" t="s">
        <v>1151</v>
      </c>
      <c r="D98" s="128"/>
      <c r="E98" s="117"/>
      <c r="F98" s="117"/>
      <c r="G98" s="117"/>
      <c r="H98" s="115">
        <f t="shared" si="36"/>
        <v>-3600</v>
      </c>
      <c r="I98" s="115">
        <f t="shared" si="37"/>
        <v>-3600</v>
      </c>
      <c r="J98" s="115">
        <f t="shared" si="38"/>
        <v>-3600</v>
      </c>
      <c r="K98" s="115">
        <f t="shared" si="39"/>
        <v>-3600</v>
      </c>
      <c r="L98" s="115">
        <f t="shared" si="40"/>
        <v>-3600</v>
      </c>
      <c r="M98" s="115">
        <f t="shared" si="41"/>
        <v>-3600</v>
      </c>
      <c r="N98" s="115">
        <f t="shared" si="42"/>
        <v>-3600</v>
      </c>
      <c r="O98" s="115">
        <f t="shared" si="43"/>
        <v>-3600</v>
      </c>
      <c r="P98" s="115">
        <f t="shared" si="44"/>
        <v>-3600</v>
      </c>
      <c r="Q98" s="125"/>
      <c r="R98" s="125"/>
      <c r="S98" s="125"/>
      <c r="T98" s="125">
        <f>30000-5600-11200-8200-2000-6600</f>
        <v>-3600</v>
      </c>
      <c r="U98" s="125"/>
      <c r="V98" s="125"/>
      <c r="W98" s="125"/>
      <c r="X98" s="125"/>
      <c r="Y98" s="125"/>
      <c r="Z98" s="125"/>
      <c r="AA98" s="125"/>
      <c r="AB98" s="125"/>
      <c r="AC98" s="124"/>
      <c r="AD98" s="234"/>
      <c r="AE98" s="1"/>
      <c r="AF98" s="120"/>
      <c r="AG98" s="1"/>
      <c r="AH98" s="120"/>
    </row>
    <row r="99" spans="1:34" ht="15">
      <c r="A99" s="128"/>
      <c r="B99" s="128"/>
      <c r="C99" s="128" t="s">
        <v>1152</v>
      </c>
      <c r="D99" s="128"/>
      <c r="E99" s="117"/>
      <c r="F99" s="117"/>
      <c r="G99" s="117"/>
      <c r="H99" s="115">
        <f t="shared" si="36"/>
        <v>50000</v>
      </c>
      <c r="I99" s="115">
        <f t="shared" si="37"/>
        <v>50000</v>
      </c>
      <c r="J99" s="115">
        <f t="shared" si="38"/>
        <v>50000</v>
      </c>
      <c r="K99" s="115">
        <f t="shared" si="39"/>
        <v>50000</v>
      </c>
      <c r="L99" s="115">
        <f t="shared" si="40"/>
        <v>50000</v>
      </c>
      <c r="M99" s="115">
        <f t="shared" si="41"/>
        <v>50000</v>
      </c>
      <c r="N99" s="115">
        <f t="shared" si="42"/>
        <v>50000</v>
      </c>
      <c r="O99" s="115">
        <f t="shared" si="43"/>
        <v>50000</v>
      </c>
      <c r="P99" s="115">
        <f t="shared" si="44"/>
        <v>50000</v>
      </c>
      <c r="Q99" s="125"/>
      <c r="R99" s="125"/>
      <c r="S99" s="125"/>
      <c r="T99" s="125">
        <f>200000-150000</f>
        <v>50000</v>
      </c>
      <c r="U99" s="125"/>
      <c r="V99" s="125"/>
      <c r="W99" s="125"/>
      <c r="X99" s="125"/>
      <c r="Y99" s="125"/>
      <c r="Z99" s="125"/>
      <c r="AA99" s="125"/>
      <c r="AB99" s="125"/>
      <c r="AC99" s="124"/>
      <c r="AD99" s="234"/>
      <c r="AE99" s="1"/>
      <c r="AF99" s="120"/>
      <c r="AG99" s="1"/>
      <c r="AH99" s="120"/>
    </row>
    <row r="100" spans="1:34" ht="15">
      <c r="A100" s="128"/>
      <c r="B100" s="128"/>
      <c r="C100" s="128" t="s">
        <v>1153</v>
      </c>
      <c r="D100" s="128"/>
      <c r="E100" s="117"/>
      <c r="F100" s="117"/>
      <c r="G100" s="117"/>
      <c r="H100" s="115">
        <f t="shared" si="36"/>
        <v>200000</v>
      </c>
      <c r="I100" s="115">
        <f t="shared" si="37"/>
        <v>200000</v>
      </c>
      <c r="J100" s="115">
        <f t="shared" si="38"/>
        <v>200000</v>
      </c>
      <c r="K100" s="115">
        <f t="shared" si="39"/>
        <v>200000</v>
      </c>
      <c r="L100" s="115">
        <f t="shared" si="40"/>
        <v>200000</v>
      </c>
      <c r="M100" s="115">
        <f t="shared" si="41"/>
        <v>200000</v>
      </c>
      <c r="N100" s="115">
        <f t="shared" si="42"/>
        <v>200000</v>
      </c>
      <c r="O100" s="115">
        <f t="shared" si="43"/>
        <v>200000</v>
      </c>
      <c r="P100" s="115">
        <f t="shared" si="44"/>
        <v>200000</v>
      </c>
      <c r="Q100" s="125"/>
      <c r="R100" s="125"/>
      <c r="S100" s="125"/>
      <c r="T100" s="125">
        <v>200000</v>
      </c>
      <c r="U100" s="125"/>
      <c r="V100" s="125"/>
      <c r="W100" s="125"/>
      <c r="X100" s="125"/>
      <c r="Y100" s="125"/>
      <c r="Z100" s="125"/>
      <c r="AA100" s="125"/>
      <c r="AB100" s="125"/>
      <c r="AC100" s="124"/>
      <c r="AD100" s="234"/>
      <c r="AE100" s="1"/>
      <c r="AF100" s="120"/>
      <c r="AG100" s="1"/>
      <c r="AH100" s="120"/>
    </row>
    <row r="101" spans="1:34" ht="15">
      <c r="A101" s="128"/>
      <c r="B101" s="128"/>
      <c r="C101" s="128" t="s">
        <v>1154</v>
      </c>
      <c r="D101" s="128"/>
      <c r="E101" s="117"/>
      <c r="F101" s="117"/>
      <c r="G101" s="117"/>
      <c r="H101" s="115">
        <f t="shared" si="36"/>
        <v>44000</v>
      </c>
      <c r="I101" s="115">
        <f t="shared" si="37"/>
        <v>44000</v>
      </c>
      <c r="J101" s="115">
        <f t="shared" si="38"/>
        <v>44000</v>
      </c>
      <c r="K101" s="115">
        <f t="shared" si="39"/>
        <v>44000</v>
      </c>
      <c r="L101" s="115">
        <f t="shared" si="40"/>
        <v>44000</v>
      </c>
      <c r="M101" s="115">
        <f t="shared" si="41"/>
        <v>44000</v>
      </c>
      <c r="N101" s="115">
        <f t="shared" si="42"/>
        <v>44000</v>
      </c>
      <c r="O101" s="115">
        <f t="shared" si="43"/>
        <v>44000</v>
      </c>
      <c r="P101" s="115">
        <f t="shared" si="44"/>
        <v>44000</v>
      </c>
      <c r="Q101" s="125"/>
      <c r="R101" s="125"/>
      <c r="S101" s="125"/>
      <c r="T101" s="125">
        <f>50000-6000</f>
        <v>44000</v>
      </c>
      <c r="U101" s="125"/>
      <c r="V101" s="125"/>
      <c r="W101" s="125"/>
      <c r="X101" s="125"/>
      <c r="Y101" s="125"/>
      <c r="Z101" s="125"/>
      <c r="AA101" s="125"/>
      <c r="AB101" s="125"/>
      <c r="AC101" s="124"/>
      <c r="AD101" s="234"/>
      <c r="AE101" s="1"/>
      <c r="AF101" s="120"/>
      <c r="AG101" s="1"/>
      <c r="AH101" s="120"/>
    </row>
    <row r="102" spans="1:34" ht="15">
      <c r="A102" s="128"/>
      <c r="B102" s="128"/>
      <c r="C102" s="128" t="s">
        <v>1155</v>
      </c>
      <c r="D102" s="128"/>
      <c r="E102" s="117"/>
      <c r="F102" s="117"/>
      <c r="G102" s="117"/>
      <c r="H102" s="115">
        <f t="shared" si="36"/>
        <v>50000</v>
      </c>
      <c r="I102" s="115">
        <f t="shared" si="37"/>
        <v>50000</v>
      </c>
      <c r="J102" s="115">
        <f t="shared" si="38"/>
        <v>50000</v>
      </c>
      <c r="K102" s="115">
        <f t="shared" si="39"/>
        <v>50000</v>
      </c>
      <c r="L102" s="115">
        <f t="shared" si="40"/>
        <v>50000</v>
      </c>
      <c r="M102" s="115">
        <f t="shared" si="41"/>
        <v>50000</v>
      </c>
      <c r="N102" s="115">
        <f t="shared" si="42"/>
        <v>50000</v>
      </c>
      <c r="O102" s="115">
        <f t="shared" si="43"/>
        <v>50000</v>
      </c>
      <c r="P102" s="115">
        <f t="shared" si="44"/>
        <v>50000</v>
      </c>
      <c r="Q102" s="125"/>
      <c r="R102" s="125"/>
      <c r="S102" s="125"/>
      <c r="T102" s="125">
        <v>50000</v>
      </c>
      <c r="U102" s="125"/>
      <c r="V102" s="125"/>
      <c r="W102" s="125"/>
      <c r="X102" s="125"/>
      <c r="Y102" s="125"/>
      <c r="Z102" s="125"/>
      <c r="AA102" s="125"/>
      <c r="AB102" s="125"/>
      <c r="AC102" s="124"/>
      <c r="AD102" s="234"/>
      <c r="AE102" s="1"/>
      <c r="AF102" s="120"/>
      <c r="AG102" s="1"/>
      <c r="AH102" s="120"/>
    </row>
    <row r="103" spans="1:34" ht="15">
      <c r="A103" s="128"/>
      <c r="B103" s="128"/>
      <c r="C103" s="128" t="s">
        <v>1156</v>
      </c>
      <c r="D103" s="128"/>
      <c r="E103" s="117"/>
      <c r="F103" s="117"/>
      <c r="G103" s="117"/>
      <c r="H103" s="115">
        <f t="shared" si="36"/>
        <v>30000</v>
      </c>
      <c r="I103" s="115">
        <f t="shared" si="37"/>
        <v>30000</v>
      </c>
      <c r="J103" s="115">
        <f t="shared" si="38"/>
        <v>30000</v>
      </c>
      <c r="K103" s="115">
        <f t="shared" si="39"/>
        <v>30000</v>
      </c>
      <c r="L103" s="115">
        <f t="shared" si="40"/>
        <v>30000</v>
      </c>
      <c r="M103" s="115">
        <f t="shared" si="41"/>
        <v>30000</v>
      </c>
      <c r="N103" s="115">
        <f t="shared" si="42"/>
        <v>30000</v>
      </c>
      <c r="O103" s="115">
        <f t="shared" si="43"/>
        <v>30000</v>
      </c>
      <c r="P103" s="115">
        <f t="shared" si="44"/>
        <v>30000</v>
      </c>
      <c r="Q103" s="125"/>
      <c r="R103" s="125"/>
      <c r="S103" s="125"/>
      <c r="T103" s="125">
        <v>30000</v>
      </c>
      <c r="U103" s="125"/>
      <c r="V103" s="125"/>
      <c r="W103" s="125"/>
      <c r="X103" s="125"/>
      <c r="Y103" s="125"/>
      <c r="Z103" s="125"/>
      <c r="AA103" s="125"/>
      <c r="AB103" s="125"/>
      <c r="AC103" s="124"/>
      <c r="AD103" s="234"/>
      <c r="AE103" s="1"/>
      <c r="AF103" s="120"/>
      <c r="AG103" s="1"/>
      <c r="AH103" s="120"/>
    </row>
    <row r="104" spans="1:34" ht="15.75" thickBot="1">
      <c r="A104" s="128"/>
      <c r="B104" s="128"/>
      <c r="C104" s="141" t="s">
        <v>1114</v>
      </c>
      <c r="D104" s="128"/>
      <c r="E104" s="152"/>
      <c r="F104" s="152"/>
      <c r="G104" s="152"/>
      <c r="H104" s="152">
        <f>SUM(H83:H103)</f>
        <v>1897625</v>
      </c>
      <c r="I104" s="151">
        <f>SUM(I83:I103)</f>
        <v>1897625</v>
      </c>
      <c r="J104" s="151">
        <f>SUM(J83:J103)</f>
        <v>1897625</v>
      </c>
      <c r="K104" s="151">
        <f>SUM(K83:K103)</f>
        <v>1897625</v>
      </c>
      <c r="L104" s="151">
        <f>SUM(L83:L103)</f>
        <v>1897625</v>
      </c>
      <c r="M104" s="152"/>
      <c r="N104" s="152"/>
      <c r="O104" s="152"/>
      <c r="P104" s="152"/>
      <c r="Q104" s="143"/>
      <c r="R104" s="143"/>
      <c r="S104" s="143"/>
      <c r="T104" s="143">
        <f>SUM(T83:T103)</f>
        <v>1897625</v>
      </c>
      <c r="U104" s="143"/>
      <c r="V104" s="143"/>
      <c r="W104" s="143"/>
      <c r="X104" s="143"/>
      <c r="Y104" s="143"/>
      <c r="Z104" s="143"/>
      <c r="AA104" s="143"/>
      <c r="AB104" s="143"/>
      <c r="AC104" s="234"/>
      <c r="AD104" s="234" t="e">
        <f>+#REF!-[1]TB!G38</f>
        <v>#REF!</v>
      </c>
      <c r="AE104" s="1"/>
      <c r="AF104" s="120"/>
      <c r="AG104" s="1"/>
      <c r="AH104" s="120"/>
    </row>
    <row r="105" spans="1:34" ht="15">
      <c r="A105" s="128"/>
      <c r="B105" s="128"/>
      <c r="C105" s="128"/>
      <c r="D105" s="128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4"/>
      <c r="AD105" s="234"/>
      <c r="AE105" s="1"/>
      <c r="AF105" s="120"/>
      <c r="AG105" s="1"/>
      <c r="AH105" s="120"/>
    </row>
    <row r="106" spans="1:34" ht="15">
      <c r="A106" s="128"/>
      <c r="B106" s="128"/>
      <c r="C106" s="128"/>
      <c r="D106" s="128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  <c r="AB106" s="125"/>
      <c r="AC106" s="124"/>
      <c r="AD106" s="234"/>
      <c r="AE106" s="1"/>
      <c r="AF106" s="120"/>
      <c r="AG106" s="1"/>
      <c r="AH106" s="120"/>
    </row>
    <row r="107" spans="1:34" ht="15">
      <c r="A107" s="126" t="s">
        <v>2326</v>
      </c>
      <c r="B107" s="136"/>
      <c r="C107" s="126"/>
      <c r="D107" s="123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4"/>
      <c r="AD107" s="234"/>
      <c r="AE107" s="1"/>
      <c r="AF107" s="120"/>
      <c r="AG107" s="1"/>
      <c r="AH107" s="120"/>
    </row>
    <row r="108" spans="1:34" ht="15">
      <c r="A108" s="126"/>
      <c r="B108" s="136"/>
      <c r="C108" s="108" t="s">
        <v>1157</v>
      </c>
      <c r="E108" s="115"/>
      <c r="F108" s="115"/>
      <c r="G108" s="115"/>
      <c r="H108" s="115">
        <f t="shared" ref="H108:H175" si="45">Q108+R108+S108+T108</f>
        <v>6769960</v>
      </c>
      <c r="I108" s="115">
        <f t="shared" ref="I108:I176" si="46">Q108+R108+S108+T108+U108</f>
        <v>6769960</v>
      </c>
      <c r="J108" s="115">
        <f>Q108+R108+S108+T108+U108+V108</f>
        <v>6769960</v>
      </c>
      <c r="K108" s="115">
        <f>R108+S108+T108+U108+V108+W108</f>
        <v>6769960</v>
      </c>
      <c r="L108" s="115">
        <f t="shared" ref="L108:L177" si="47">Q108+R108+S108+T108+U108+V108+W108+X108</f>
        <v>6769960</v>
      </c>
      <c r="M108" s="115"/>
      <c r="N108" s="115"/>
      <c r="O108" s="115"/>
      <c r="P108" s="115"/>
      <c r="Q108" s="116"/>
      <c r="R108" s="116"/>
      <c r="S108" s="116"/>
      <c r="T108" s="116">
        <f>6769960</f>
        <v>6769960</v>
      </c>
      <c r="U108" s="116"/>
      <c r="V108" s="116"/>
      <c r="W108" s="116"/>
      <c r="X108" s="116"/>
      <c r="Y108" s="116"/>
      <c r="Z108" s="116"/>
      <c r="AA108" s="116"/>
      <c r="AB108" s="116"/>
      <c r="AC108" s="115"/>
      <c r="AD108" s="234"/>
      <c r="AE108" s="1" t="e">
        <f>#REF!</f>
        <v>#REF!</v>
      </c>
      <c r="AF108" s="120"/>
      <c r="AG108" s="1"/>
      <c r="AH108" s="120"/>
    </row>
    <row r="109" spans="1:34" ht="15">
      <c r="A109" s="126"/>
      <c r="B109" s="136"/>
      <c r="C109" s="154" t="s">
        <v>1158</v>
      </c>
      <c r="E109" s="120"/>
      <c r="F109" s="120"/>
      <c r="G109" s="120"/>
      <c r="H109" s="115">
        <f t="shared" si="45"/>
        <v>30000</v>
      </c>
      <c r="I109" s="115">
        <f t="shared" si="46"/>
        <v>30000</v>
      </c>
      <c r="J109" s="115">
        <f t="shared" ref="J109:J176" si="48">Q109+R109+S109+T109+U109+V109</f>
        <v>30000</v>
      </c>
      <c r="K109" s="115">
        <f t="shared" ref="K109:K177" si="49">Q109+R109+S109+T109+U109+V109+W109</f>
        <v>30000</v>
      </c>
      <c r="L109" s="115">
        <f t="shared" si="47"/>
        <v>30000</v>
      </c>
      <c r="M109" s="115">
        <f t="shared" ref="M109:M176" si="50">Q109+R109+S109+T109+U109+V109+W109+X109+Y109</f>
        <v>30000</v>
      </c>
      <c r="N109" s="115">
        <f t="shared" ref="N109:N176" si="51">Q109+R109+S109+T109+U109+V109+W109+X109+Y109+Z109</f>
        <v>30000</v>
      </c>
      <c r="O109" s="115">
        <f t="shared" ref="O109:O176" si="52">Q109+R109+S109+T109+U109+V109+W109+X109+Y109+Z109+AA109</f>
        <v>30000</v>
      </c>
      <c r="P109" s="115">
        <f t="shared" ref="P109:P176" si="53">Q109+R109+S109+T109+U109+V109+W109+X109+Y109+Z109+AA109+AB109</f>
        <v>30000</v>
      </c>
      <c r="Q109" s="116"/>
      <c r="R109" s="116"/>
      <c r="S109" s="116"/>
      <c r="T109" s="116">
        <f>30000+30000-29834.27-165.73</f>
        <v>30000</v>
      </c>
      <c r="U109" s="116"/>
      <c r="V109" s="116"/>
      <c r="W109" s="116"/>
      <c r="X109" s="116"/>
      <c r="Y109" s="116"/>
      <c r="Z109" s="116"/>
      <c r="AA109" s="116"/>
      <c r="AB109" s="116"/>
      <c r="AC109" s="115"/>
      <c r="AD109" s="234"/>
      <c r="AE109" s="1">
        <v>285000</v>
      </c>
      <c r="AF109" s="120"/>
      <c r="AG109" s="1"/>
      <c r="AH109" s="120"/>
    </row>
    <row r="110" spans="1:34" ht="15">
      <c r="A110" s="126"/>
      <c r="B110" s="136"/>
      <c r="C110" s="108" t="s">
        <v>1159</v>
      </c>
      <c r="E110" s="120"/>
      <c r="F110" s="120"/>
      <c r="G110" s="120"/>
      <c r="H110" s="115">
        <f t="shared" si="45"/>
        <v>-473.76000000000204</v>
      </c>
      <c r="I110" s="115">
        <f t="shared" si="46"/>
        <v>-473.76000000000204</v>
      </c>
      <c r="J110" s="115">
        <f t="shared" si="48"/>
        <v>-473.76000000000204</v>
      </c>
      <c r="K110" s="115">
        <f t="shared" si="49"/>
        <v>-473.76000000000204</v>
      </c>
      <c r="L110" s="115">
        <f t="shared" si="47"/>
        <v>-473.76000000000204</v>
      </c>
      <c r="M110" s="115">
        <f t="shared" si="50"/>
        <v>-473.76000000000204</v>
      </c>
      <c r="N110" s="115">
        <f t="shared" si="51"/>
        <v>-473.76000000000204</v>
      </c>
      <c r="O110" s="115">
        <f t="shared" si="52"/>
        <v>-473.76000000000204</v>
      </c>
      <c r="P110" s="115">
        <f t="shared" si="53"/>
        <v>-473.76000000000204</v>
      </c>
      <c r="Q110" s="116"/>
      <c r="R110" s="116"/>
      <c r="S110" s="116"/>
      <c r="T110" s="116">
        <f>14.25+30000+30000-29948.4-51.6+30000-29902.4-111.85-29978+30000-22+50000-29972-49558.25+50000-441.75-49669+50000-49974+50000+50000+50000-47629.34-48148.2-4297.01-1509.16-49275.05</f>
        <v>-473.76000000000204</v>
      </c>
      <c r="U110" s="116"/>
      <c r="V110" s="116"/>
      <c r="W110" s="116"/>
      <c r="X110" s="116"/>
      <c r="Y110" s="116"/>
      <c r="Z110" s="116"/>
      <c r="AA110" s="116"/>
      <c r="AB110" s="116"/>
      <c r="AC110" s="115"/>
      <c r="AD110" s="234"/>
      <c r="AE110" s="1"/>
      <c r="AF110" s="120"/>
      <c r="AG110" s="1"/>
      <c r="AH110" s="120"/>
    </row>
    <row r="111" spans="1:34" ht="15">
      <c r="A111" s="126"/>
      <c r="B111" s="136"/>
      <c r="C111" s="108" t="s">
        <v>1160</v>
      </c>
      <c r="E111" s="115"/>
      <c r="F111" s="115"/>
      <c r="G111" s="115"/>
      <c r="H111" s="115">
        <f t="shared" si="45"/>
        <v>285000</v>
      </c>
      <c r="I111" s="115">
        <f t="shared" si="46"/>
        <v>285000</v>
      </c>
      <c r="J111" s="115">
        <f t="shared" si="48"/>
        <v>285000</v>
      </c>
      <c r="K111" s="115">
        <f t="shared" si="49"/>
        <v>285000</v>
      </c>
      <c r="L111" s="115">
        <f t="shared" si="47"/>
        <v>285000</v>
      </c>
      <c r="M111" s="115">
        <f t="shared" si="50"/>
        <v>285000</v>
      </c>
      <c r="N111" s="115">
        <f t="shared" si="51"/>
        <v>285000</v>
      </c>
      <c r="O111" s="115">
        <f t="shared" si="52"/>
        <v>285000</v>
      </c>
      <c r="P111" s="115">
        <f t="shared" si="53"/>
        <v>285000</v>
      </c>
      <c r="Q111" s="116"/>
      <c r="R111" s="116"/>
      <c r="S111" s="116"/>
      <c r="T111" s="116">
        <f>35000+250000</f>
        <v>285000</v>
      </c>
      <c r="U111" s="116"/>
      <c r="V111" s="116"/>
      <c r="W111" s="116"/>
      <c r="X111" s="116"/>
      <c r="Y111" s="116"/>
      <c r="Z111" s="116"/>
      <c r="AA111" s="116"/>
      <c r="AB111" s="116"/>
      <c r="AC111" s="115"/>
      <c r="AD111" s="234"/>
      <c r="AE111" s="1" t="e">
        <f>#REF!</f>
        <v>#REF!</v>
      </c>
      <c r="AF111" s="120"/>
      <c r="AG111" s="1"/>
      <c r="AH111" s="120"/>
    </row>
    <row r="112" spans="1:34" ht="15">
      <c r="A112" s="126"/>
      <c r="B112" s="136"/>
      <c r="C112" s="108" t="s">
        <v>1161</v>
      </c>
      <c r="E112" s="120"/>
      <c r="F112" s="120"/>
      <c r="G112" s="120"/>
      <c r="H112" s="115">
        <f t="shared" si="45"/>
        <v>28507.9</v>
      </c>
      <c r="I112" s="115">
        <f t="shared" si="46"/>
        <v>28507.9</v>
      </c>
      <c r="J112" s="115">
        <f t="shared" si="48"/>
        <v>28507.9</v>
      </c>
      <c r="K112" s="115">
        <f t="shared" si="49"/>
        <v>28507.9</v>
      </c>
      <c r="L112" s="115">
        <f t="shared" si="47"/>
        <v>28507.9</v>
      </c>
      <c r="M112" s="115">
        <f t="shared" si="50"/>
        <v>28507.9</v>
      </c>
      <c r="N112" s="115">
        <f t="shared" si="51"/>
        <v>28507.9</v>
      </c>
      <c r="O112" s="115">
        <f t="shared" si="52"/>
        <v>28507.9</v>
      </c>
      <c r="P112" s="115">
        <f t="shared" si="53"/>
        <v>28507.9</v>
      </c>
      <c r="Q112" s="116"/>
      <c r="R112" s="116"/>
      <c r="S112" s="116"/>
      <c r="T112" s="116">
        <f>28507.9</f>
        <v>28507.9</v>
      </c>
      <c r="U112" s="116"/>
      <c r="V112" s="116"/>
      <c r="W112" s="116"/>
      <c r="X112" s="116"/>
      <c r="Y112" s="116"/>
      <c r="Z112" s="116"/>
      <c r="AA112" s="116"/>
      <c r="AB112" s="116"/>
      <c r="AC112" s="115"/>
      <c r="AD112" s="234"/>
      <c r="AE112" s="1" t="e">
        <f>#REF!</f>
        <v>#REF!</v>
      </c>
      <c r="AF112" s="120"/>
      <c r="AG112" s="1"/>
      <c r="AH112" s="120"/>
    </row>
    <row r="113" spans="1:35" ht="15">
      <c r="A113" s="126"/>
      <c r="B113" s="136"/>
      <c r="C113" s="108" t="s">
        <v>1162</v>
      </c>
      <c r="E113" s="120"/>
      <c r="F113" s="120"/>
      <c r="G113" s="120"/>
      <c r="H113" s="115">
        <f t="shared" si="45"/>
        <v>26000</v>
      </c>
      <c r="I113" s="115">
        <f t="shared" si="46"/>
        <v>26000</v>
      </c>
      <c r="J113" s="115">
        <f t="shared" si="48"/>
        <v>26000</v>
      </c>
      <c r="K113" s="115">
        <f t="shared" si="49"/>
        <v>26000</v>
      </c>
      <c r="L113" s="115">
        <f t="shared" si="47"/>
        <v>26000</v>
      </c>
      <c r="M113" s="115">
        <f t="shared" si="50"/>
        <v>26000</v>
      </c>
      <c r="N113" s="115">
        <f t="shared" si="51"/>
        <v>26000</v>
      </c>
      <c r="O113" s="115">
        <f t="shared" si="52"/>
        <v>26000</v>
      </c>
      <c r="P113" s="115">
        <f t="shared" si="53"/>
        <v>26000</v>
      </c>
      <c r="Q113" s="116"/>
      <c r="R113" s="116"/>
      <c r="S113" s="116"/>
      <c r="T113" s="116">
        <f>26000</f>
        <v>26000</v>
      </c>
      <c r="U113" s="116"/>
      <c r="V113" s="116"/>
      <c r="W113" s="116"/>
      <c r="X113" s="116"/>
      <c r="Y113" s="116"/>
      <c r="Z113" s="116"/>
      <c r="AA113" s="116"/>
      <c r="AB113" s="116"/>
      <c r="AC113" s="115"/>
      <c r="AD113" s="234"/>
      <c r="AE113" s="1">
        <v>229053</v>
      </c>
      <c r="AF113" s="120"/>
      <c r="AG113" s="1"/>
      <c r="AH113" s="120"/>
    </row>
    <row r="114" spans="1:35" ht="15">
      <c r="A114" s="126"/>
      <c r="B114" s="136"/>
      <c r="C114" s="108" t="s">
        <v>1163</v>
      </c>
      <c r="E114" s="115"/>
      <c r="F114" s="115"/>
      <c r="G114" s="115"/>
      <c r="H114" s="115">
        <f t="shared" si="45"/>
        <v>10126.39</v>
      </c>
      <c r="I114" s="115">
        <f t="shared" si="46"/>
        <v>10126.39</v>
      </c>
      <c r="J114" s="115">
        <f t="shared" si="48"/>
        <v>10126.39</v>
      </c>
      <c r="K114" s="115">
        <f t="shared" si="49"/>
        <v>10126.39</v>
      </c>
      <c r="L114" s="115">
        <f t="shared" si="47"/>
        <v>10126.39</v>
      </c>
      <c r="M114" s="115">
        <f t="shared" si="50"/>
        <v>10126.39</v>
      </c>
      <c r="N114" s="115">
        <f t="shared" si="51"/>
        <v>10126.39</v>
      </c>
      <c r="O114" s="115">
        <f t="shared" si="52"/>
        <v>10126.39</v>
      </c>
      <c r="P114" s="115">
        <f t="shared" si="53"/>
        <v>10126.39</v>
      </c>
      <c r="Q114" s="116"/>
      <c r="R114" s="116"/>
      <c r="S114" s="116"/>
      <c r="T114" s="116">
        <f>10126.39+92800-92261-539</f>
        <v>10126.39</v>
      </c>
      <c r="U114" s="116"/>
      <c r="V114" s="116"/>
      <c r="W114" s="116"/>
      <c r="X114" s="116"/>
      <c r="Y114" s="116"/>
      <c r="Z114" s="116"/>
      <c r="AA114" s="116"/>
      <c r="AB114" s="116"/>
      <c r="AC114" s="115"/>
      <c r="AD114" s="234"/>
      <c r="AE114" s="1"/>
      <c r="AF114" s="120" t="s">
        <v>1164</v>
      </c>
      <c r="AG114" s="1"/>
      <c r="AH114" s="120"/>
    </row>
    <row r="115" spans="1:35" ht="15">
      <c r="A115" s="126"/>
      <c r="B115" s="136"/>
      <c r="C115" s="108" t="s">
        <v>1165</v>
      </c>
      <c r="E115" s="120"/>
      <c r="F115" s="120"/>
      <c r="G115" s="120"/>
      <c r="H115" s="115">
        <f t="shared" si="45"/>
        <v>254824</v>
      </c>
      <c r="I115" s="115">
        <f t="shared" si="46"/>
        <v>254824</v>
      </c>
      <c r="J115" s="115">
        <f t="shared" si="48"/>
        <v>254824</v>
      </c>
      <c r="K115" s="115">
        <f t="shared" si="49"/>
        <v>254824</v>
      </c>
      <c r="L115" s="115">
        <f t="shared" si="47"/>
        <v>254824</v>
      </c>
      <c r="M115" s="115">
        <f t="shared" si="50"/>
        <v>254824</v>
      </c>
      <c r="N115" s="115">
        <f t="shared" si="51"/>
        <v>254824</v>
      </c>
      <c r="O115" s="115">
        <f t="shared" si="52"/>
        <v>254824</v>
      </c>
      <c r="P115" s="115">
        <f t="shared" si="53"/>
        <v>254824</v>
      </c>
      <c r="Q115" s="116"/>
      <c r="R115" s="116"/>
      <c r="S115" s="116"/>
      <c r="T115" s="116">
        <f>254824</f>
        <v>254824</v>
      </c>
      <c r="U115" s="116"/>
      <c r="V115" s="116"/>
      <c r="W115" s="116"/>
      <c r="X115" s="116"/>
      <c r="Y115" s="116"/>
      <c r="Z115" s="116"/>
      <c r="AA115" s="116"/>
      <c r="AB115" s="116"/>
      <c r="AC115" s="115"/>
      <c r="AD115" s="234"/>
      <c r="AE115" s="1"/>
      <c r="AF115" s="120"/>
      <c r="AG115" s="1"/>
      <c r="AH115" s="120"/>
    </row>
    <row r="116" spans="1:35" ht="15">
      <c r="A116" s="126"/>
      <c r="B116" s="136"/>
      <c r="C116" s="108" t="s">
        <v>1166</v>
      </c>
      <c r="E116" s="120"/>
      <c r="F116" s="120"/>
      <c r="G116" s="120"/>
      <c r="H116" s="115">
        <f t="shared" si="45"/>
        <v>20700.000000000004</v>
      </c>
      <c r="I116" s="115">
        <f t="shared" si="46"/>
        <v>20587.500000000004</v>
      </c>
      <c r="J116" s="115">
        <f t="shared" si="48"/>
        <v>20587.500000000004</v>
      </c>
      <c r="K116" s="115">
        <f t="shared" si="49"/>
        <v>20587.500000000004</v>
      </c>
      <c r="L116" s="115">
        <f t="shared" si="47"/>
        <v>20587.500000000004</v>
      </c>
      <c r="M116" s="115">
        <f t="shared" si="50"/>
        <v>20587.500000000004</v>
      </c>
      <c r="N116" s="115">
        <f t="shared" si="51"/>
        <v>20587.500000000004</v>
      </c>
      <c r="O116" s="115">
        <f t="shared" si="52"/>
        <v>20587.500000000004</v>
      </c>
      <c r="P116" s="115">
        <f t="shared" si="53"/>
        <v>20587.500000000004</v>
      </c>
      <c r="Q116" s="116"/>
      <c r="R116" s="116"/>
      <c r="S116" s="116"/>
      <c r="T116" s="116">
        <f>5000+14200+30000+16600-28500-600-16000+18000-212.59-17787.41</f>
        <v>20700.000000000004</v>
      </c>
      <c r="U116" s="116">
        <v>-112.5</v>
      </c>
      <c r="V116" s="116"/>
      <c r="W116" s="116"/>
      <c r="X116" s="116"/>
      <c r="Y116" s="116"/>
      <c r="Z116" s="116"/>
      <c r="AA116" s="116"/>
      <c r="AB116" s="116"/>
      <c r="AC116" s="115"/>
      <c r="AD116" s="234"/>
      <c r="AE116" s="1"/>
      <c r="AF116" s="120"/>
      <c r="AG116" s="1"/>
      <c r="AH116" s="120"/>
    </row>
    <row r="117" spans="1:35" ht="15">
      <c r="A117" s="126"/>
      <c r="B117" s="136"/>
      <c r="C117" s="108" t="s">
        <v>1167</v>
      </c>
      <c r="E117" s="120"/>
      <c r="F117" s="120"/>
      <c r="G117" s="120"/>
      <c r="H117" s="115">
        <f t="shared" si="45"/>
        <v>386339.93000000005</v>
      </c>
      <c r="I117" s="115">
        <f t="shared" si="46"/>
        <v>386339.93000000005</v>
      </c>
      <c r="J117" s="115">
        <f t="shared" si="48"/>
        <v>386339.93000000005</v>
      </c>
      <c r="K117" s="115">
        <f t="shared" si="49"/>
        <v>386339.93000000005</v>
      </c>
      <c r="L117" s="115">
        <f t="shared" si="47"/>
        <v>386339.93000000005</v>
      </c>
      <c r="M117" s="115">
        <f t="shared" si="50"/>
        <v>386339.93000000005</v>
      </c>
      <c r="N117" s="115">
        <f t="shared" si="51"/>
        <v>386339.93000000005</v>
      </c>
      <c r="O117" s="115">
        <f t="shared" si="52"/>
        <v>386339.93000000005</v>
      </c>
      <c r="P117" s="115">
        <f t="shared" si="53"/>
        <v>386339.93000000005</v>
      </c>
      <c r="Q117" s="116"/>
      <c r="R117" s="116"/>
      <c r="S117" s="116"/>
      <c r="T117" s="116">
        <f>717339.93-331000</f>
        <v>386339.93000000005</v>
      </c>
      <c r="U117" s="116"/>
      <c r="V117" s="116"/>
      <c r="W117" s="116"/>
      <c r="X117" s="116"/>
      <c r="Y117" s="116"/>
      <c r="Z117" s="116"/>
      <c r="AA117" s="116"/>
      <c r="AB117" s="116"/>
      <c r="AC117" s="115"/>
      <c r="AD117" s="234"/>
      <c r="AE117" s="1"/>
      <c r="AF117" s="120"/>
      <c r="AG117" s="1"/>
      <c r="AH117" s="120"/>
    </row>
    <row r="118" spans="1:35" ht="15">
      <c r="A118" s="126"/>
      <c r="B118" s="136"/>
      <c r="C118" s="128" t="s">
        <v>1168</v>
      </c>
      <c r="D118" s="128"/>
      <c r="E118" s="117"/>
      <c r="F118" s="117"/>
      <c r="G118" s="117"/>
      <c r="H118" s="115">
        <f t="shared" si="45"/>
        <v>760</v>
      </c>
      <c r="I118" s="115">
        <f t="shared" si="46"/>
        <v>760</v>
      </c>
      <c r="J118" s="115">
        <f t="shared" si="48"/>
        <v>760</v>
      </c>
      <c r="K118" s="115">
        <f t="shared" si="49"/>
        <v>760</v>
      </c>
      <c r="L118" s="115">
        <f t="shared" si="47"/>
        <v>760</v>
      </c>
      <c r="M118" s="115">
        <f t="shared" si="50"/>
        <v>760</v>
      </c>
      <c r="N118" s="115">
        <f t="shared" si="51"/>
        <v>760</v>
      </c>
      <c r="O118" s="115">
        <f t="shared" si="52"/>
        <v>760</v>
      </c>
      <c r="P118" s="115">
        <f t="shared" si="53"/>
        <v>760</v>
      </c>
      <c r="Q118" s="125"/>
      <c r="R118" s="125"/>
      <c r="S118" s="125"/>
      <c r="T118" s="125">
        <v>760</v>
      </c>
      <c r="U118" s="125"/>
      <c r="V118" s="125"/>
      <c r="W118" s="125"/>
      <c r="X118" s="125"/>
      <c r="Y118" s="125"/>
      <c r="Z118" s="125"/>
      <c r="AA118" s="125"/>
      <c r="AB118" s="125"/>
      <c r="AC118" s="124"/>
      <c r="AD118" s="234"/>
      <c r="AE118" s="1"/>
      <c r="AF118" s="120"/>
      <c r="AG118" s="1"/>
      <c r="AH118" s="120"/>
      <c r="AI118" s="135" t="e">
        <f>#REF!+#REF!+#REF!</f>
        <v>#REF!</v>
      </c>
    </row>
    <row r="119" spans="1:35" ht="15">
      <c r="A119" s="126"/>
      <c r="B119" s="136"/>
      <c r="C119" s="128" t="s">
        <v>1169</v>
      </c>
      <c r="D119" s="128"/>
      <c r="E119" s="117"/>
      <c r="F119" s="117"/>
      <c r="G119" s="117"/>
      <c r="H119" s="115">
        <f t="shared" si="45"/>
        <v>12935.14</v>
      </c>
      <c r="I119" s="115">
        <f t="shared" si="46"/>
        <v>12935.14</v>
      </c>
      <c r="J119" s="115">
        <f t="shared" si="48"/>
        <v>12935.14</v>
      </c>
      <c r="K119" s="115">
        <f t="shared" si="49"/>
        <v>12935.14</v>
      </c>
      <c r="L119" s="115">
        <f t="shared" si="47"/>
        <v>12935.14</v>
      </c>
      <c r="M119" s="115">
        <f t="shared" si="50"/>
        <v>12935.14</v>
      </c>
      <c r="N119" s="115">
        <f t="shared" si="51"/>
        <v>12935.14</v>
      </c>
      <c r="O119" s="115">
        <f t="shared" si="52"/>
        <v>12935.14</v>
      </c>
      <c r="P119" s="115">
        <f t="shared" si="53"/>
        <v>12935.14</v>
      </c>
      <c r="Q119" s="125"/>
      <c r="R119" s="125"/>
      <c r="S119" s="125"/>
      <c r="T119" s="125">
        <v>12935.14</v>
      </c>
      <c r="U119" s="125"/>
      <c r="V119" s="125"/>
      <c r="W119" s="125"/>
      <c r="X119" s="125"/>
      <c r="Y119" s="125"/>
      <c r="Z119" s="125"/>
      <c r="AA119" s="125"/>
      <c r="AB119" s="125"/>
      <c r="AC119" s="124"/>
      <c r="AD119" s="234"/>
      <c r="AE119" s="1"/>
      <c r="AF119" s="120" t="s">
        <v>1170</v>
      </c>
      <c r="AG119" s="1"/>
      <c r="AH119" s="120"/>
    </row>
    <row r="120" spans="1:35" ht="15">
      <c r="A120" s="126"/>
      <c r="B120" s="136"/>
      <c r="C120" s="123" t="s">
        <v>1171</v>
      </c>
      <c r="D120" s="128"/>
      <c r="E120" s="117"/>
      <c r="F120" s="117"/>
      <c r="G120" s="117"/>
      <c r="H120" s="115">
        <f t="shared" si="45"/>
        <v>13491.07</v>
      </c>
      <c r="I120" s="115">
        <f t="shared" si="46"/>
        <v>13491.07</v>
      </c>
      <c r="J120" s="115">
        <f t="shared" si="48"/>
        <v>13491.07</v>
      </c>
      <c r="K120" s="115">
        <f t="shared" si="49"/>
        <v>13491.07</v>
      </c>
      <c r="L120" s="115">
        <f t="shared" si="47"/>
        <v>13491.07</v>
      </c>
      <c r="M120" s="115">
        <f t="shared" si="50"/>
        <v>13491.07</v>
      </c>
      <c r="N120" s="115">
        <f t="shared" si="51"/>
        <v>13491.07</v>
      </c>
      <c r="O120" s="115">
        <f t="shared" si="52"/>
        <v>13491.07</v>
      </c>
      <c r="P120" s="115">
        <f t="shared" si="53"/>
        <v>13491.07</v>
      </c>
      <c r="Q120" s="125"/>
      <c r="R120" s="125"/>
      <c r="S120" s="125"/>
      <c r="T120" s="125">
        <f>167990-167990+68000-54508.93</f>
        <v>13491.07</v>
      </c>
      <c r="U120" s="125"/>
      <c r="V120" s="125"/>
      <c r="W120" s="125"/>
      <c r="X120" s="125"/>
      <c r="Y120" s="125"/>
      <c r="Z120" s="125"/>
      <c r="AA120" s="125"/>
      <c r="AB120" s="125"/>
      <c r="AC120" s="124"/>
      <c r="AD120" s="234"/>
      <c r="AE120" s="1"/>
      <c r="AF120" s="120"/>
      <c r="AG120" s="1"/>
      <c r="AH120" s="120"/>
    </row>
    <row r="121" spans="1:35" ht="15">
      <c r="A121" s="126"/>
      <c r="B121" s="136"/>
      <c r="C121" s="136" t="s">
        <v>1172</v>
      </c>
      <c r="E121" s="129"/>
      <c r="F121" s="129"/>
      <c r="G121" s="129"/>
      <c r="H121" s="115">
        <f t="shared" si="45"/>
        <v>20946.5</v>
      </c>
      <c r="I121" s="115">
        <f t="shared" si="46"/>
        <v>20946.5</v>
      </c>
      <c r="J121" s="115">
        <f t="shared" si="48"/>
        <v>20946.5</v>
      </c>
      <c r="K121" s="115">
        <f t="shared" si="49"/>
        <v>20946.5</v>
      </c>
      <c r="L121" s="115">
        <f t="shared" si="47"/>
        <v>20946.5</v>
      </c>
      <c r="M121" s="115">
        <f t="shared" si="50"/>
        <v>20946.5</v>
      </c>
      <c r="N121" s="115">
        <f t="shared" si="51"/>
        <v>20946.5</v>
      </c>
      <c r="O121" s="115">
        <f t="shared" si="52"/>
        <v>20946.5</v>
      </c>
      <c r="P121" s="115">
        <f t="shared" si="53"/>
        <v>20946.5</v>
      </c>
      <c r="Q121" s="147"/>
      <c r="R121" s="147"/>
      <c r="S121" s="147"/>
      <c r="T121" s="147">
        <f>22050-1103.5</f>
        <v>20946.5</v>
      </c>
      <c r="U121" s="147"/>
      <c r="V121" s="147"/>
      <c r="W121" s="147"/>
      <c r="X121" s="147"/>
      <c r="Y121" s="147"/>
      <c r="Z121" s="147"/>
      <c r="AA121" s="147"/>
      <c r="AB121" s="147"/>
      <c r="AC121" s="129"/>
      <c r="AD121" s="234"/>
      <c r="AE121" s="1"/>
      <c r="AF121" s="120"/>
      <c r="AG121" s="1"/>
      <c r="AH121" s="120"/>
    </row>
    <row r="122" spans="1:35" ht="15">
      <c r="A122" s="126"/>
      <c r="B122" s="136"/>
      <c r="C122" s="108" t="s">
        <v>1173</v>
      </c>
      <c r="E122" s="120"/>
      <c r="F122" s="120"/>
      <c r="G122" s="120"/>
      <c r="H122" s="115">
        <f t="shared" si="45"/>
        <v>31942.54</v>
      </c>
      <c r="I122" s="115">
        <f t="shared" si="46"/>
        <v>31942.54</v>
      </c>
      <c r="J122" s="115">
        <f t="shared" si="48"/>
        <v>31942.54</v>
      </c>
      <c r="K122" s="115">
        <f t="shared" si="49"/>
        <v>31942.54</v>
      </c>
      <c r="L122" s="115">
        <f t="shared" si="47"/>
        <v>31942.54</v>
      </c>
      <c r="M122" s="115">
        <f t="shared" si="50"/>
        <v>31942.54</v>
      </c>
      <c r="N122" s="115">
        <f t="shared" si="51"/>
        <v>31942.54</v>
      </c>
      <c r="O122" s="115">
        <f t="shared" si="52"/>
        <v>31942.54</v>
      </c>
      <c r="P122" s="115">
        <f t="shared" si="53"/>
        <v>31942.54</v>
      </c>
      <c r="Q122" s="116"/>
      <c r="R122" s="116"/>
      <c r="S122" s="116"/>
      <c r="T122" s="116">
        <f>83996.11-52053.57</f>
        <v>31942.54</v>
      </c>
      <c r="U122" s="116"/>
      <c r="V122" s="116"/>
      <c r="W122" s="116"/>
      <c r="X122" s="116"/>
      <c r="Y122" s="116"/>
      <c r="Z122" s="116"/>
      <c r="AA122" s="116"/>
      <c r="AB122" s="116"/>
      <c r="AC122" s="115"/>
      <c r="AD122" s="234"/>
      <c r="AE122" s="1"/>
      <c r="AF122" s="120"/>
      <c r="AG122" s="1"/>
      <c r="AH122" s="120"/>
    </row>
    <row r="123" spans="1:35" ht="15">
      <c r="A123" s="126"/>
      <c r="B123" s="136"/>
      <c r="C123" s="108" t="s">
        <v>1173</v>
      </c>
      <c r="E123" s="120"/>
      <c r="F123" s="120"/>
      <c r="G123" s="120"/>
      <c r="H123" s="115">
        <f t="shared" si="45"/>
        <v>55181.82</v>
      </c>
      <c r="I123" s="115">
        <f t="shared" si="46"/>
        <v>55181.82</v>
      </c>
      <c r="J123" s="115">
        <f t="shared" si="48"/>
        <v>55181.82</v>
      </c>
      <c r="K123" s="115">
        <f t="shared" si="49"/>
        <v>55181.82</v>
      </c>
      <c r="L123" s="115">
        <f t="shared" si="47"/>
        <v>55181.82</v>
      </c>
      <c r="M123" s="115">
        <f t="shared" si="50"/>
        <v>55181.82</v>
      </c>
      <c r="N123" s="115">
        <f t="shared" si="51"/>
        <v>55181.82</v>
      </c>
      <c r="O123" s="115">
        <f t="shared" si="52"/>
        <v>55181.82</v>
      </c>
      <c r="P123" s="115">
        <f t="shared" si="53"/>
        <v>55181.82</v>
      </c>
      <c r="Q123" s="116"/>
      <c r="R123" s="116"/>
      <c r="S123" s="116"/>
      <c r="T123" s="116">
        <f>55181.82</f>
        <v>55181.82</v>
      </c>
      <c r="U123" s="116"/>
      <c r="V123" s="116"/>
      <c r="W123" s="116"/>
      <c r="X123" s="116"/>
      <c r="Y123" s="116"/>
      <c r="Z123" s="116"/>
      <c r="AA123" s="116"/>
      <c r="AB123" s="116"/>
      <c r="AC123" s="115"/>
      <c r="AD123" s="234"/>
      <c r="AE123" s="1"/>
      <c r="AF123" s="120"/>
      <c r="AG123" s="1"/>
      <c r="AH123" s="120"/>
    </row>
    <row r="124" spans="1:35" ht="15">
      <c r="A124" s="126"/>
      <c r="B124" s="136"/>
      <c r="C124" s="108" t="s">
        <v>1173</v>
      </c>
      <c r="E124" s="120"/>
      <c r="F124" s="120"/>
      <c r="G124" s="120"/>
      <c r="H124" s="115">
        <f t="shared" si="45"/>
        <v>7799999.9999999991</v>
      </c>
      <c r="I124" s="115">
        <f t="shared" si="46"/>
        <v>7799999.9999999991</v>
      </c>
      <c r="J124" s="115">
        <f t="shared" si="48"/>
        <v>7799999.9999999991</v>
      </c>
      <c r="K124" s="115">
        <f t="shared" si="49"/>
        <v>7799999.9999999991</v>
      </c>
      <c r="L124" s="115">
        <f t="shared" si="47"/>
        <v>7799999.9999999991</v>
      </c>
      <c r="M124" s="115">
        <f t="shared" si="50"/>
        <v>7799999.9999999991</v>
      </c>
      <c r="N124" s="115">
        <f t="shared" si="51"/>
        <v>7799999.9999999991</v>
      </c>
      <c r="O124" s="115">
        <f t="shared" si="52"/>
        <v>7799999.9999999991</v>
      </c>
      <c r="P124" s="115">
        <f t="shared" si="53"/>
        <v>7799999.9999999991</v>
      </c>
      <c r="Q124" s="116"/>
      <c r="R124" s="116"/>
      <c r="S124" s="116"/>
      <c r="T124" s="116">
        <f>14500000-3027584.3-3672415.7</f>
        <v>7799999.9999999991</v>
      </c>
      <c r="U124" s="116"/>
      <c r="V124" s="116"/>
      <c r="W124" s="116"/>
      <c r="X124" s="116"/>
      <c r="Y124" s="116"/>
      <c r="Z124" s="116"/>
      <c r="AA124" s="116"/>
      <c r="AB124" s="116"/>
      <c r="AC124" s="115"/>
      <c r="AD124" s="234"/>
      <c r="AE124" s="1" t="s">
        <v>1174</v>
      </c>
      <c r="AF124" s="120"/>
      <c r="AG124" s="1"/>
      <c r="AH124" s="120"/>
    </row>
    <row r="125" spans="1:35" ht="15">
      <c r="A125" s="126"/>
      <c r="B125" s="136"/>
      <c r="C125" s="108" t="s">
        <v>1173</v>
      </c>
      <c r="E125" s="120"/>
      <c r="F125" s="120"/>
      <c r="G125" s="120"/>
      <c r="H125" s="115">
        <f t="shared" si="45"/>
        <v>555000</v>
      </c>
      <c r="I125" s="115">
        <f t="shared" si="46"/>
        <v>555000</v>
      </c>
      <c r="J125" s="115">
        <f t="shared" si="48"/>
        <v>555000</v>
      </c>
      <c r="K125" s="115">
        <f t="shared" si="49"/>
        <v>555000</v>
      </c>
      <c r="L125" s="115">
        <f t="shared" si="47"/>
        <v>555000</v>
      </c>
      <c r="M125" s="115">
        <f t="shared" si="50"/>
        <v>555000</v>
      </c>
      <c r="N125" s="115">
        <f t="shared" si="51"/>
        <v>555000</v>
      </c>
      <c r="O125" s="115">
        <f t="shared" si="52"/>
        <v>555000</v>
      </c>
      <c r="P125" s="115">
        <f t="shared" si="53"/>
        <v>555000</v>
      </c>
      <c r="Q125" s="116"/>
      <c r="R125" s="116"/>
      <c r="S125" s="116"/>
      <c r="T125" s="116">
        <f>555000</f>
        <v>555000</v>
      </c>
      <c r="U125" s="116"/>
      <c r="V125" s="116"/>
      <c r="W125" s="116"/>
      <c r="X125" s="116"/>
      <c r="Y125" s="116"/>
      <c r="Z125" s="116"/>
      <c r="AA125" s="116"/>
      <c r="AB125" s="116"/>
      <c r="AC125" s="115"/>
      <c r="AD125" s="234"/>
      <c r="AE125" s="155" t="e">
        <f>#REF!+#REF!+#REF!+#REF!+#REF!+#REF!</f>
        <v>#REF!</v>
      </c>
      <c r="AF125" s="120"/>
      <c r="AG125" s="1"/>
      <c r="AH125" s="120"/>
    </row>
    <row r="126" spans="1:35" ht="15">
      <c r="A126" s="126"/>
      <c r="B126" s="136"/>
      <c r="C126" s="108" t="s">
        <v>1173</v>
      </c>
      <c r="E126" s="120"/>
      <c r="F126" s="120"/>
      <c r="G126" s="120"/>
      <c r="H126" s="115">
        <f t="shared" si="45"/>
        <v>614641</v>
      </c>
      <c r="I126" s="115">
        <f t="shared" si="46"/>
        <v>614641</v>
      </c>
      <c r="J126" s="115">
        <f t="shared" si="48"/>
        <v>614641</v>
      </c>
      <c r="K126" s="115">
        <f t="shared" si="49"/>
        <v>614641</v>
      </c>
      <c r="L126" s="115">
        <f t="shared" si="47"/>
        <v>614641</v>
      </c>
      <c r="M126" s="115">
        <f t="shared" si="50"/>
        <v>614641</v>
      </c>
      <c r="N126" s="115">
        <f t="shared" si="51"/>
        <v>614641</v>
      </c>
      <c r="O126" s="115">
        <f t="shared" si="52"/>
        <v>614641</v>
      </c>
      <c r="P126" s="115">
        <f t="shared" si="53"/>
        <v>614641</v>
      </c>
      <c r="Q126" s="116"/>
      <c r="R126" s="116"/>
      <c r="S126" s="116"/>
      <c r="T126" s="116">
        <f>614641</f>
        <v>614641</v>
      </c>
      <c r="U126" s="116"/>
      <c r="V126" s="116"/>
      <c r="W126" s="116"/>
      <c r="X126" s="116"/>
      <c r="Y126" s="116"/>
      <c r="Z126" s="116"/>
      <c r="AA126" s="116"/>
      <c r="AB126" s="116"/>
      <c r="AC126" s="115"/>
      <c r="AD126" s="234"/>
      <c r="AE126" s="1"/>
      <c r="AF126" s="120"/>
      <c r="AG126" s="1"/>
      <c r="AH126" s="120"/>
    </row>
    <row r="127" spans="1:35" ht="15">
      <c r="A127" s="126"/>
      <c r="B127" s="136"/>
      <c r="C127" s="108" t="s">
        <v>1173</v>
      </c>
      <c r="E127" s="120"/>
      <c r="F127" s="120"/>
      <c r="G127" s="120"/>
      <c r="H127" s="115">
        <f t="shared" si="45"/>
        <v>485000</v>
      </c>
      <c r="I127" s="115">
        <f t="shared" si="46"/>
        <v>485000</v>
      </c>
      <c r="J127" s="115">
        <f t="shared" si="48"/>
        <v>485000</v>
      </c>
      <c r="K127" s="115">
        <f t="shared" si="49"/>
        <v>485000</v>
      </c>
      <c r="L127" s="115">
        <f t="shared" si="47"/>
        <v>485000</v>
      </c>
      <c r="M127" s="115">
        <f t="shared" si="50"/>
        <v>485000</v>
      </c>
      <c r="N127" s="115">
        <f t="shared" si="51"/>
        <v>485000</v>
      </c>
      <c r="O127" s="115">
        <f t="shared" si="52"/>
        <v>485000</v>
      </c>
      <c r="P127" s="115">
        <f t="shared" si="53"/>
        <v>485000</v>
      </c>
      <c r="Q127" s="116"/>
      <c r="R127" s="116"/>
      <c r="S127" s="116"/>
      <c r="T127" s="116">
        <v>485000</v>
      </c>
      <c r="U127" s="116"/>
      <c r="V127" s="116"/>
      <c r="W127" s="116"/>
      <c r="X127" s="116"/>
      <c r="Y127" s="116"/>
      <c r="Z127" s="116"/>
      <c r="AA127" s="116"/>
      <c r="AB127" s="116"/>
      <c r="AC127" s="115"/>
      <c r="AD127" s="234"/>
      <c r="AE127" s="1" t="e">
        <f>SUM(#REF!)</f>
        <v>#REF!</v>
      </c>
      <c r="AF127" s="120"/>
      <c r="AG127" s="1"/>
      <c r="AH127" s="120"/>
    </row>
    <row r="128" spans="1:35" ht="15">
      <c r="A128" s="126"/>
      <c r="B128" s="136"/>
      <c r="C128" s="108" t="s">
        <v>1175</v>
      </c>
      <c r="E128" s="120"/>
      <c r="F128" s="120"/>
      <c r="G128" s="120"/>
      <c r="H128" s="115">
        <f t="shared" si="45"/>
        <v>288800</v>
      </c>
      <c r="I128" s="115">
        <f t="shared" si="46"/>
        <v>288800</v>
      </c>
      <c r="J128" s="115">
        <f t="shared" si="48"/>
        <v>288800</v>
      </c>
      <c r="K128" s="115">
        <f t="shared" si="49"/>
        <v>288800</v>
      </c>
      <c r="L128" s="115">
        <f t="shared" si="47"/>
        <v>288800</v>
      </c>
      <c r="M128" s="115">
        <f t="shared" si="50"/>
        <v>288800</v>
      </c>
      <c r="N128" s="115">
        <f t="shared" si="51"/>
        <v>288800</v>
      </c>
      <c r="O128" s="115">
        <f t="shared" si="52"/>
        <v>288800</v>
      </c>
      <c r="P128" s="115">
        <f t="shared" si="53"/>
        <v>288800</v>
      </c>
      <c r="Q128" s="116"/>
      <c r="R128" s="116"/>
      <c r="S128" s="116"/>
      <c r="T128" s="116">
        <f>272000+150000-150000+17000+7000-7000-200</f>
        <v>288800</v>
      </c>
      <c r="U128" s="116"/>
      <c r="V128" s="116"/>
      <c r="W128" s="116"/>
      <c r="X128" s="116"/>
      <c r="Y128" s="116"/>
      <c r="Z128" s="116"/>
      <c r="AA128" s="116"/>
      <c r="AB128" s="116"/>
      <c r="AC128" s="115"/>
      <c r="AD128" s="234"/>
      <c r="AE128" s="1"/>
      <c r="AF128" s="120"/>
      <c r="AG128" s="1"/>
      <c r="AH128" s="120"/>
    </row>
    <row r="129" spans="1:34" ht="15">
      <c r="A129" s="126"/>
      <c r="B129" s="136"/>
      <c r="C129" s="108" t="s">
        <v>1176</v>
      </c>
      <c r="E129" s="120"/>
      <c r="F129" s="120"/>
      <c r="G129" s="120"/>
      <c r="H129" s="115">
        <f t="shared" si="45"/>
        <v>43649.5</v>
      </c>
      <c r="I129" s="115">
        <f t="shared" si="46"/>
        <v>43649.5</v>
      </c>
      <c r="J129" s="115">
        <f t="shared" si="48"/>
        <v>43649.5</v>
      </c>
      <c r="K129" s="115">
        <f t="shared" si="49"/>
        <v>43649.5</v>
      </c>
      <c r="L129" s="115">
        <f t="shared" si="47"/>
        <v>43649.5</v>
      </c>
      <c r="M129" s="115">
        <f t="shared" si="50"/>
        <v>43649.5</v>
      </c>
      <c r="N129" s="115">
        <f t="shared" si="51"/>
        <v>43649.5</v>
      </c>
      <c r="O129" s="115">
        <f t="shared" si="52"/>
        <v>43649.5</v>
      </c>
      <c r="P129" s="115">
        <f t="shared" si="53"/>
        <v>43649.5</v>
      </c>
      <c r="Q129" s="116"/>
      <c r="R129" s="116"/>
      <c r="S129" s="116"/>
      <c r="T129" s="116">
        <f>142899.5-26500-71250-1500+22500+45000-21825-675-1680-43320</f>
        <v>43649.5</v>
      </c>
      <c r="U129" s="116"/>
      <c r="V129" s="116"/>
      <c r="W129" s="116"/>
      <c r="X129" s="116"/>
      <c r="Y129" s="116"/>
      <c r="Z129" s="116"/>
      <c r="AA129" s="116"/>
      <c r="AB129" s="116"/>
      <c r="AC129" s="115"/>
      <c r="AD129" s="234"/>
      <c r="AE129" s="1"/>
      <c r="AF129" s="120"/>
      <c r="AG129" s="1"/>
      <c r="AH129" s="120"/>
    </row>
    <row r="130" spans="1:34" ht="15">
      <c r="A130" s="126"/>
      <c r="B130" s="136"/>
      <c r="C130" s="128" t="s">
        <v>1177</v>
      </c>
      <c r="D130" s="128"/>
      <c r="E130" s="117"/>
      <c r="F130" s="117"/>
      <c r="G130" s="117"/>
      <c r="H130" s="115">
        <f t="shared" si="45"/>
        <v>19137.400000000001</v>
      </c>
      <c r="I130" s="115">
        <f t="shared" si="46"/>
        <v>19137.400000000001</v>
      </c>
      <c r="J130" s="115">
        <f t="shared" si="48"/>
        <v>19137.400000000001</v>
      </c>
      <c r="K130" s="115">
        <f t="shared" si="49"/>
        <v>19137.400000000001</v>
      </c>
      <c r="L130" s="115">
        <f t="shared" si="47"/>
        <v>19137.400000000001</v>
      </c>
      <c r="M130" s="115">
        <f t="shared" si="50"/>
        <v>19137.400000000001</v>
      </c>
      <c r="N130" s="115">
        <f t="shared" si="51"/>
        <v>19137.400000000001</v>
      </c>
      <c r="O130" s="115">
        <f t="shared" si="52"/>
        <v>19137.400000000001</v>
      </c>
      <c r="P130" s="115">
        <f t="shared" si="53"/>
        <v>19137.400000000001</v>
      </c>
      <c r="Q130" s="125"/>
      <c r="R130" s="125"/>
      <c r="S130" s="125"/>
      <c r="T130" s="125">
        <f>21871.6+10000-21871.6-501.42+20000-9498.58-862.6</f>
        <v>19137.400000000001</v>
      </c>
      <c r="U130" s="125"/>
      <c r="V130" s="125"/>
      <c r="W130" s="125"/>
      <c r="X130" s="125"/>
      <c r="Y130" s="125"/>
      <c r="Z130" s="125"/>
      <c r="AA130" s="125"/>
      <c r="AB130" s="125"/>
      <c r="AC130" s="124"/>
      <c r="AD130" s="234"/>
      <c r="AE130" s="1"/>
      <c r="AF130" s="120"/>
      <c r="AG130" s="1"/>
      <c r="AH130" s="120"/>
    </row>
    <row r="131" spans="1:34" ht="15">
      <c r="A131" s="126"/>
      <c r="B131" s="136"/>
      <c r="C131" s="128" t="s">
        <v>1178</v>
      </c>
      <c r="D131" s="128"/>
      <c r="E131" s="117"/>
      <c r="F131" s="117"/>
      <c r="G131" s="117"/>
      <c r="H131" s="115">
        <f t="shared" si="45"/>
        <v>26000</v>
      </c>
      <c r="I131" s="115">
        <f t="shared" si="46"/>
        <v>26000</v>
      </c>
      <c r="J131" s="115">
        <f t="shared" si="48"/>
        <v>26000</v>
      </c>
      <c r="K131" s="115">
        <f t="shared" si="49"/>
        <v>26000</v>
      </c>
      <c r="L131" s="115">
        <f t="shared" si="47"/>
        <v>26000</v>
      </c>
      <c r="M131" s="115">
        <f t="shared" si="50"/>
        <v>26000</v>
      </c>
      <c r="N131" s="115">
        <f t="shared" si="51"/>
        <v>26000</v>
      </c>
      <c r="O131" s="115">
        <f t="shared" si="52"/>
        <v>26000</v>
      </c>
      <c r="P131" s="115">
        <f t="shared" si="53"/>
        <v>26000</v>
      </c>
      <c r="Q131" s="125"/>
      <c r="R131" s="125"/>
      <c r="S131" s="125"/>
      <c r="T131" s="125">
        <v>26000</v>
      </c>
      <c r="U131" s="125"/>
      <c r="V131" s="125"/>
      <c r="W131" s="125"/>
      <c r="X131" s="125"/>
      <c r="Y131" s="125"/>
      <c r="Z131" s="125"/>
      <c r="AA131" s="125"/>
      <c r="AB131" s="125"/>
      <c r="AC131" s="124"/>
      <c r="AD131" s="234"/>
      <c r="AE131" s="1"/>
      <c r="AF131" s="120"/>
      <c r="AG131" s="1"/>
      <c r="AH131" s="120" t="e">
        <f>#REF!+#REF!+#REF!</f>
        <v>#REF!</v>
      </c>
    </row>
    <row r="132" spans="1:34" ht="15">
      <c r="A132" s="126"/>
      <c r="B132" s="136"/>
      <c r="C132" s="128" t="s">
        <v>1179</v>
      </c>
      <c r="D132" s="128"/>
      <c r="E132" s="117"/>
      <c r="F132" s="117"/>
      <c r="G132" s="117"/>
      <c r="H132" s="115">
        <f t="shared" si="45"/>
        <v>38050</v>
      </c>
      <c r="I132" s="115">
        <f t="shared" si="46"/>
        <v>38050</v>
      </c>
      <c r="J132" s="115">
        <f t="shared" si="48"/>
        <v>38050</v>
      </c>
      <c r="K132" s="115">
        <f t="shared" si="49"/>
        <v>38050</v>
      </c>
      <c r="L132" s="115">
        <f t="shared" si="47"/>
        <v>38050</v>
      </c>
      <c r="M132" s="115">
        <f t="shared" si="50"/>
        <v>38050</v>
      </c>
      <c r="N132" s="115">
        <f t="shared" si="51"/>
        <v>38050</v>
      </c>
      <c r="O132" s="115">
        <f t="shared" si="52"/>
        <v>38050</v>
      </c>
      <c r="P132" s="115">
        <f t="shared" si="53"/>
        <v>38050</v>
      </c>
      <c r="Q132" s="125"/>
      <c r="R132" s="125"/>
      <c r="S132" s="125"/>
      <c r="T132" s="125">
        <f>35000+3050</f>
        <v>38050</v>
      </c>
      <c r="U132" s="125"/>
      <c r="V132" s="125"/>
      <c r="W132" s="125"/>
      <c r="X132" s="125"/>
      <c r="Y132" s="125"/>
      <c r="Z132" s="125"/>
      <c r="AA132" s="125"/>
      <c r="AB132" s="125"/>
      <c r="AC132" s="124"/>
      <c r="AD132" s="234"/>
      <c r="AE132" s="1"/>
      <c r="AF132" s="120"/>
      <c r="AG132" s="1"/>
      <c r="AH132" s="120"/>
    </row>
    <row r="133" spans="1:34" ht="15" hidden="1" customHeight="1">
      <c r="A133" s="126"/>
      <c r="B133" s="136"/>
      <c r="C133" s="108" t="s">
        <v>1180</v>
      </c>
      <c r="E133" s="120"/>
      <c r="F133" s="120"/>
      <c r="G133" s="120"/>
      <c r="H133" s="115">
        <f t="shared" si="45"/>
        <v>0</v>
      </c>
      <c r="I133" s="115">
        <f t="shared" si="46"/>
        <v>0</v>
      </c>
      <c r="J133" s="115">
        <f t="shared" si="48"/>
        <v>0</v>
      </c>
      <c r="K133" s="115">
        <f t="shared" si="49"/>
        <v>0</v>
      </c>
      <c r="L133" s="115">
        <f t="shared" si="47"/>
        <v>0</v>
      </c>
      <c r="M133" s="115">
        <f t="shared" si="50"/>
        <v>0</v>
      </c>
      <c r="N133" s="115">
        <f t="shared" si="51"/>
        <v>0</v>
      </c>
      <c r="O133" s="115">
        <f t="shared" si="52"/>
        <v>0</v>
      </c>
      <c r="P133" s="115">
        <f t="shared" si="53"/>
        <v>0</v>
      </c>
      <c r="Q133" s="116"/>
      <c r="R133" s="116"/>
      <c r="S133" s="116"/>
      <c r="T133" s="116">
        <f>191513.75-60642+97400-97400+300000-285211.07+28160-26752-1408-4496.65-546.93-1627.6-138989.5</f>
        <v>0</v>
      </c>
      <c r="U133" s="116"/>
      <c r="V133" s="116"/>
      <c r="W133" s="116"/>
      <c r="X133" s="116"/>
      <c r="Y133" s="116"/>
      <c r="Z133" s="116"/>
      <c r="AA133" s="116"/>
      <c r="AB133" s="116"/>
      <c r="AC133" s="115"/>
      <c r="AD133" s="234"/>
      <c r="AE133" s="1"/>
      <c r="AF133" s="120"/>
      <c r="AG133" s="1"/>
      <c r="AH133" s="120"/>
    </row>
    <row r="134" spans="1:34" ht="15">
      <c r="A134" s="126"/>
      <c r="B134" s="136"/>
      <c r="C134" s="108" t="s">
        <v>1181</v>
      </c>
      <c r="E134" s="120"/>
      <c r="F134" s="120"/>
      <c r="G134" s="120"/>
      <c r="H134" s="115">
        <f t="shared" si="45"/>
        <v>20000</v>
      </c>
      <c r="I134" s="115">
        <f t="shared" si="46"/>
        <v>20000</v>
      </c>
      <c r="J134" s="115">
        <f t="shared" si="48"/>
        <v>20000</v>
      </c>
      <c r="K134" s="115">
        <f t="shared" si="49"/>
        <v>20000</v>
      </c>
      <c r="L134" s="115">
        <f t="shared" si="47"/>
        <v>20000</v>
      </c>
      <c r="M134" s="115">
        <f t="shared" si="50"/>
        <v>20000</v>
      </c>
      <c r="N134" s="115">
        <f t="shared" si="51"/>
        <v>20000</v>
      </c>
      <c r="O134" s="115">
        <f t="shared" si="52"/>
        <v>20000</v>
      </c>
      <c r="P134" s="115">
        <f t="shared" si="53"/>
        <v>20000</v>
      </c>
      <c r="Q134" s="116"/>
      <c r="R134" s="116"/>
      <c r="S134" s="116"/>
      <c r="T134" s="116">
        <f>20000+19474-19474</f>
        <v>20000</v>
      </c>
      <c r="U134" s="116"/>
      <c r="V134" s="116"/>
      <c r="W134" s="116"/>
      <c r="X134" s="116"/>
      <c r="Y134" s="116"/>
      <c r="Z134" s="116"/>
      <c r="AA134" s="116"/>
      <c r="AB134" s="116"/>
      <c r="AC134" s="115"/>
      <c r="AD134" s="234"/>
      <c r="AE134" s="1"/>
      <c r="AF134" s="120"/>
      <c r="AG134" s="1"/>
      <c r="AH134" s="120"/>
    </row>
    <row r="135" spans="1:34" ht="15">
      <c r="A135" s="126"/>
      <c r="B135" s="136"/>
      <c r="C135" s="108" t="s">
        <v>1182</v>
      </c>
      <c r="E135" s="120"/>
      <c r="F135" s="120"/>
      <c r="G135" s="120"/>
      <c r="H135" s="115">
        <f t="shared" si="45"/>
        <v>6000</v>
      </c>
      <c r="I135" s="115">
        <f t="shared" si="46"/>
        <v>6000</v>
      </c>
      <c r="J135" s="115">
        <f t="shared" si="48"/>
        <v>6000</v>
      </c>
      <c r="K135" s="115">
        <f t="shared" si="49"/>
        <v>6000</v>
      </c>
      <c r="L135" s="115">
        <f t="shared" si="47"/>
        <v>6000</v>
      </c>
      <c r="M135" s="115">
        <f t="shared" si="50"/>
        <v>6000</v>
      </c>
      <c r="N135" s="115">
        <f t="shared" si="51"/>
        <v>6000</v>
      </c>
      <c r="O135" s="115">
        <f t="shared" si="52"/>
        <v>6000</v>
      </c>
      <c r="P135" s="115">
        <f t="shared" si="53"/>
        <v>6000</v>
      </c>
      <c r="Q135" s="116"/>
      <c r="R135" s="116"/>
      <c r="S135" s="116"/>
      <c r="T135" s="116">
        <f>14000+6000-715.55-13284.45</f>
        <v>6000</v>
      </c>
      <c r="U135" s="116"/>
      <c r="V135" s="116"/>
      <c r="W135" s="116"/>
      <c r="X135" s="116"/>
      <c r="Y135" s="116"/>
      <c r="Z135" s="116"/>
      <c r="AA135" s="116"/>
      <c r="AB135" s="116"/>
      <c r="AC135" s="115"/>
      <c r="AD135" s="234"/>
      <c r="AE135" s="1"/>
      <c r="AF135" s="120"/>
      <c r="AG135" s="1">
        <f ca="1">#REF!+#REF!+#REF!+AG135</f>
        <v>0</v>
      </c>
      <c r="AH135" s="120"/>
    </row>
    <row r="136" spans="1:34" ht="15">
      <c r="A136" s="126"/>
      <c r="B136" s="136"/>
      <c r="C136" s="108" t="s">
        <v>1183</v>
      </c>
      <c r="E136" s="120"/>
      <c r="F136" s="120"/>
      <c r="G136" s="120"/>
      <c r="H136" s="115">
        <f t="shared" si="45"/>
        <v>14686.760000000097</v>
      </c>
      <c r="I136" s="115">
        <f t="shared" si="46"/>
        <v>14686.760000000097</v>
      </c>
      <c r="J136" s="115">
        <f t="shared" si="48"/>
        <v>14686.760000000097</v>
      </c>
      <c r="K136" s="115">
        <f t="shared" si="49"/>
        <v>14686.760000000097</v>
      </c>
      <c r="L136" s="115">
        <f t="shared" si="47"/>
        <v>14686.760000000097</v>
      </c>
      <c r="M136" s="115">
        <f t="shared" si="50"/>
        <v>14686.760000000097</v>
      </c>
      <c r="N136" s="115">
        <f t="shared" si="51"/>
        <v>14686.760000000097</v>
      </c>
      <c r="O136" s="115">
        <f t="shared" si="52"/>
        <v>14686.760000000097</v>
      </c>
      <c r="P136" s="115">
        <f t="shared" si="53"/>
        <v>14686.760000000097</v>
      </c>
      <c r="Q136" s="116"/>
      <c r="R136" s="116"/>
      <c r="S136" s="116"/>
      <c r="T136" s="116">
        <f>539806.18-350212.1-2752.27-10539+10000-162156.55+540.5-10000</f>
        <v>14686.760000000097</v>
      </c>
      <c r="U136" s="116"/>
      <c r="V136" s="116"/>
      <c r="W136" s="116"/>
      <c r="X136" s="116"/>
      <c r="Y136" s="116"/>
      <c r="Z136" s="116"/>
      <c r="AA136" s="116"/>
      <c r="AB136" s="116"/>
      <c r="AC136" s="115"/>
      <c r="AD136" s="234"/>
      <c r="AE136" s="1"/>
      <c r="AF136" s="120"/>
      <c r="AG136" s="1"/>
      <c r="AH136" s="120"/>
    </row>
    <row r="137" spans="1:34" ht="15">
      <c r="A137" s="126"/>
      <c r="B137" s="136"/>
      <c r="C137" s="108" t="s">
        <v>1184</v>
      </c>
      <c r="E137" s="120"/>
      <c r="F137" s="120"/>
      <c r="G137" s="120"/>
      <c r="H137" s="115">
        <f t="shared" si="45"/>
        <v>59000</v>
      </c>
      <c r="I137" s="115">
        <f t="shared" si="46"/>
        <v>59000</v>
      </c>
      <c r="J137" s="115">
        <f t="shared" si="48"/>
        <v>59000</v>
      </c>
      <c r="K137" s="115">
        <f t="shared" si="49"/>
        <v>59000</v>
      </c>
      <c r="L137" s="115">
        <f t="shared" si="47"/>
        <v>59000</v>
      </c>
      <c r="M137" s="115">
        <f t="shared" si="50"/>
        <v>59000</v>
      </c>
      <c r="N137" s="115">
        <f t="shared" si="51"/>
        <v>59000</v>
      </c>
      <c r="O137" s="115">
        <f t="shared" si="52"/>
        <v>59000</v>
      </c>
      <c r="P137" s="115">
        <f t="shared" si="53"/>
        <v>59000</v>
      </c>
      <c r="Q137" s="116"/>
      <c r="R137" s="116"/>
      <c r="S137" s="116"/>
      <c r="T137" s="116">
        <f>20000+48000+16000-480-47520+5000+11785+24000-11785-5000+43000+27500-18928.57-1071.43-240-16000-7760-275-27225</f>
        <v>59000</v>
      </c>
      <c r="U137" s="116"/>
      <c r="V137" s="116"/>
      <c r="W137" s="116"/>
      <c r="X137" s="116"/>
      <c r="Y137" s="116"/>
      <c r="Z137" s="116"/>
      <c r="AA137" s="116"/>
      <c r="AB137" s="116"/>
      <c r="AC137" s="115"/>
      <c r="AF137" s="120"/>
      <c r="AG137" s="1"/>
      <c r="AH137" s="120"/>
    </row>
    <row r="138" spans="1:34" ht="15">
      <c r="A138" s="126"/>
      <c r="B138" s="136"/>
      <c r="C138" s="108" t="s">
        <v>1185</v>
      </c>
      <c r="E138" s="120"/>
      <c r="F138" s="120"/>
      <c r="G138" s="120"/>
      <c r="H138" s="115">
        <f t="shared" si="45"/>
        <v>10445.449999999895</v>
      </c>
      <c r="I138" s="115">
        <f t="shared" si="46"/>
        <v>10445.449999999895</v>
      </c>
      <c r="J138" s="115">
        <f t="shared" si="48"/>
        <v>10445.449999999895</v>
      </c>
      <c r="K138" s="115">
        <f t="shared" si="49"/>
        <v>10445.449999999895</v>
      </c>
      <c r="L138" s="115">
        <f t="shared" si="47"/>
        <v>10445.449999999895</v>
      </c>
      <c r="M138" s="115">
        <f t="shared" si="50"/>
        <v>10445.449999999895</v>
      </c>
      <c r="N138" s="115">
        <f t="shared" si="51"/>
        <v>10445.449999999895</v>
      </c>
      <c r="O138" s="115">
        <f t="shared" si="52"/>
        <v>10445.449999999895</v>
      </c>
      <c r="P138" s="115">
        <f t="shared" si="53"/>
        <v>10445.449999999895</v>
      </c>
      <c r="Q138" s="116"/>
      <c r="R138" s="116"/>
      <c r="S138" s="116"/>
      <c r="T138" s="116">
        <f>35192.46-12142.2+12142.2+20736.8+100057.15+22540+24794-193627.95+46863.8+22540-44403.8-186.8+266800+22540-23566.17+30879.8+20000+23441.6-22540+27498.8-313.48+27498.8-290241.6+650785.2-775.5-735572.72-2672.94+31105.2-31105.2+60000-2985.04-9.46-57005.5+272045-272045-47222+29400</f>
        <v>10445.449999999895</v>
      </c>
      <c r="U138" s="116"/>
      <c r="V138" s="116"/>
      <c r="W138" s="116"/>
      <c r="X138" s="116"/>
      <c r="Y138" s="116"/>
      <c r="Z138" s="116"/>
      <c r="AA138" s="116"/>
      <c r="AB138" s="116"/>
      <c r="AC138" s="115"/>
      <c r="AF138" s="120"/>
      <c r="AG138" s="1"/>
      <c r="AH138" s="120"/>
    </row>
    <row r="139" spans="1:34" ht="15">
      <c r="A139" s="126"/>
      <c r="B139" s="136"/>
      <c r="C139" s="108" t="s">
        <v>1185</v>
      </c>
      <c r="D139" s="156" t="s">
        <v>1186</v>
      </c>
      <c r="E139" s="120"/>
      <c r="F139" s="120"/>
      <c r="G139" s="120"/>
      <c r="H139" s="115">
        <f t="shared" si="45"/>
        <v>17820.559999999998</v>
      </c>
      <c r="I139" s="115">
        <f t="shared" si="46"/>
        <v>17820.559999999998</v>
      </c>
      <c r="J139" s="115">
        <f t="shared" si="48"/>
        <v>17820.559999999998</v>
      </c>
      <c r="K139" s="115">
        <f t="shared" si="49"/>
        <v>17820.559999999998</v>
      </c>
      <c r="L139" s="115">
        <f t="shared" si="47"/>
        <v>17820.559999999998</v>
      </c>
      <c r="M139" s="115">
        <f t="shared" si="50"/>
        <v>17820.559999999998</v>
      </c>
      <c r="N139" s="115">
        <f t="shared" si="51"/>
        <v>17820.559999999998</v>
      </c>
      <c r="O139" s="115">
        <f t="shared" si="52"/>
        <v>17820.559999999998</v>
      </c>
      <c r="P139" s="115">
        <f t="shared" si="53"/>
        <v>17820.559999999998</v>
      </c>
      <c r="Q139" s="116"/>
      <c r="R139" s="116"/>
      <c r="S139" s="116"/>
      <c r="T139" s="116">
        <f>50000-2639.17-12.87-29527.4</f>
        <v>17820.559999999998</v>
      </c>
      <c r="U139" s="116"/>
      <c r="V139" s="116"/>
      <c r="W139" s="116"/>
      <c r="X139" s="116"/>
      <c r="Y139" s="116"/>
      <c r="Z139" s="116"/>
      <c r="AA139" s="116"/>
      <c r="AB139" s="116"/>
      <c r="AC139" s="115"/>
      <c r="AD139" s="234"/>
      <c r="AE139" s="1"/>
      <c r="AF139" s="120"/>
      <c r="AG139" s="1"/>
      <c r="AH139" s="120"/>
    </row>
    <row r="140" spans="1:34" ht="15">
      <c r="A140" s="126"/>
      <c r="B140" s="136"/>
      <c r="C140" s="108" t="s">
        <v>1185</v>
      </c>
      <c r="D140" s="156" t="s">
        <v>1187</v>
      </c>
      <c r="E140" s="120"/>
      <c r="F140" s="120"/>
      <c r="G140" s="120"/>
      <c r="H140" s="115">
        <f t="shared" si="45"/>
        <v>2652.0400000000009</v>
      </c>
      <c r="I140" s="115">
        <f t="shared" si="46"/>
        <v>2652.0400000000009</v>
      </c>
      <c r="J140" s="115">
        <f t="shared" si="48"/>
        <v>2652.0400000000009</v>
      </c>
      <c r="K140" s="115">
        <f t="shared" si="49"/>
        <v>2652.0400000000009</v>
      </c>
      <c r="L140" s="115">
        <f t="shared" si="47"/>
        <v>2652.0400000000009</v>
      </c>
      <c r="M140" s="115">
        <f t="shared" si="50"/>
        <v>2652.0400000000009</v>
      </c>
      <c r="N140" s="115">
        <f t="shared" si="51"/>
        <v>2652.0400000000009</v>
      </c>
      <c r="O140" s="115">
        <f t="shared" si="52"/>
        <v>2652.0400000000009</v>
      </c>
      <c r="P140" s="115">
        <f t="shared" si="53"/>
        <v>2652.0400000000009</v>
      </c>
      <c r="Q140" s="116"/>
      <c r="R140" s="116"/>
      <c r="S140" s="116"/>
      <c r="T140" s="116">
        <f>50000-47347.96</f>
        <v>2652.0400000000009</v>
      </c>
      <c r="U140" s="116"/>
      <c r="V140" s="116"/>
      <c r="W140" s="116"/>
      <c r="X140" s="116"/>
      <c r="Y140" s="116"/>
      <c r="Z140" s="116"/>
      <c r="AA140" s="116"/>
      <c r="AB140" s="116"/>
      <c r="AC140" s="115"/>
      <c r="AD140" s="234"/>
      <c r="AE140" s="1"/>
      <c r="AF140" s="120"/>
      <c r="AG140" s="1"/>
      <c r="AH140" s="120"/>
    </row>
    <row r="141" spans="1:34" ht="15">
      <c r="A141" s="126"/>
      <c r="B141" s="136"/>
      <c r="C141" s="108" t="s">
        <v>1188</v>
      </c>
      <c r="D141" s="156"/>
      <c r="E141" s="120"/>
      <c r="F141" s="120"/>
      <c r="G141" s="120"/>
      <c r="H141" s="115">
        <f t="shared" si="45"/>
        <v>199523.7</v>
      </c>
      <c r="I141" s="115">
        <f t="shared" si="46"/>
        <v>199523.7</v>
      </c>
      <c r="J141" s="115">
        <f t="shared" si="48"/>
        <v>199523.7</v>
      </c>
      <c r="K141" s="115">
        <f t="shared" si="49"/>
        <v>199523.7</v>
      </c>
      <c r="L141" s="115">
        <f t="shared" si="47"/>
        <v>199523.7</v>
      </c>
      <c r="M141" s="115">
        <f t="shared" si="50"/>
        <v>199523.7</v>
      </c>
      <c r="N141" s="115">
        <f t="shared" si="51"/>
        <v>199523.7</v>
      </c>
      <c r="O141" s="115">
        <f t="shared" si="52"/>
        <v>199523.7</v>
      </c>
      <c r="P141" s="115">
        <f t="shared" si="53"/>
        <v>199523.7</v>
      </c>
      <c r="Q141" s="116"/>
      <c r="R141" s="116"/>
      <c r="S141" s="116"/>
      <c r="T141" s="116">
        <f>4500+12064.75+5906.02+1250-37.5+15000+5000+35000+25220-5906.02-1212.5-12064.75+49579.4-917.28-48662.12+41551.24+9500+10000-135+50000-1789.96+102025-8900-55424.6-32022.98</f>
        <v>199523.7</v>
      </c>
      <c r="U141" s="116"/>
      <c r="V141" s="116"/>
      <c r="W141" s="116"/>
      <c r="X141" s="116"/>
      <c r="Y141" s="116"/>
      <c r="Z141" s="116"/>
      <c r="AA141" s="116"/>
      <c r="AB141" s="116"/>
      <c r="AC141" s="115"/>
      <c r="AD141" s="234"/>
      <c r="AE141" s="1"/>
      <c r="AF141" s="120"/>
      <c r="AG141" s="1"/>
      <c r="AH141" s="120"/>
    </row>
    <row r="142" spans="1:34" ht="15">
      <c r="A142" s="126"/>
      <c r="B142" s="136"/>
      <c r="C142" s="108" t="s">
        <v>1189</v>
      </c>
      <c r="D142" s="156"/>
      <c r="E142" s="120"/>
      <c r="F142" s="120"/>
      <c r="G142" s="120"/>
      <c r="H142" s="115">
        <f t="shared" si="45"/>
        <v>2000</v>
      </c>
      <c r="I142" s="115">
        <f t="shared" si="46"/>
        <v>2000</v>
      </c>
      <c r="J142" s="115">
        <f t="shared" si="48"/>
        <v>2000</v>
      </c>
      <c r="K142" s="115">
        <f t="shared" si="49"/>
        <v>2000</v>
      </c>
      <c r="L142" s="115">
        <f t="shared" si="47"/>
        <v>2000</v>
      </c>
      <c r="M142" s="115">
        <f t="shared" si="50"/>
        <v>2000</v>
      </c>
      <c r="N142" s="115">
        <f t="shared" si="51"/>
        <v>2000</v>
      </c>
      <c r="O142" s="115">
        <f t="shared" si="52"/>
        <v>2000</v>
      </c>
      <c r="P142" s="115">
        <f t="shared" si="53"/>
        <v>2000</v>
      </c>
      <c r="Q142" s="116"/>
      <c r="R142" s="116"/>
      <c r="S142" s="116"/>
      <c r="T142" s="116">
        <f>2000</f>
        <v>2000</v>
      </c>
      <c r="U142" s="116"/>
      <c r="V142" s="116"/>
      <c r="W142" s="116"/>
      <c r="X142" s="116"/>
      <c r="Y142" s="116"/>
      <c r="Z142" s="116"/>
      <c r="AA142" s="116"/>
      <c r="AB142" s="116"/>
      <c r="AC142" s="115"/>
      <c r="AD142" s="234"/>
      <c r="AE142" s="1"/>
      <c r="AF142" s="120" t="e">
        <f>+#REF!</f>
        <v>#REF!</v>
      </c>
      <c r="AG142" s="1"/>
      <c r="AH142" s="120"/>
    </row>
    <row r="143" spans="1:34" ht="15">
      <c r="A143" s="126"/>
      <c r="B143" s="136"/>
      <c r="C143" s="108" t="s">
        <v>1037</v>
      </c>
      <c r="D143" s="156"/>
      <c r="E143" s="120"/>
      <c r="F143" s="120"/>
      <c r="G143" s="120"/>
      <c r="H143" s="115">
        <f t="shared" si="45"/>
        <v>-2040.9</v>
      </c>
      <c r="I143" s="115">
        <f t="shared" si="46"/>
        <v>-2040.9</v>
      </c>
      <c r="J143" s="115">
        <f t="shared" si="48"/>
        <v>-2040.9</v>
      </c>
      <c r="K143" s="115">
        <f t="shared" si="49"/>
        <v>-2040.9</v>
      </c>
      <c r="L143" s="115">
        <f t="shared" si="47"/>
        <v>-2040.9</v>
      </c>
      <c r="M143" s="115">
        <f t="shared" si="50"/>
        <v>-2040.9</v>
      </c>
      <c r="N143" s="115">
        <f t="shared" si="51"/>
        <v>-2040.9</v>
      </c>
      <c r="O143" s="115">
        <f t="shared" si="52"/>
        <v>-2040.9</v>
      </c>
      <c r="P143" s="115">
        <f t="shared" si="53"/>
        <v>-2040.9</v>
      </c>
      <c r="Q143" s="116"/>
      <c r="R143" s="116"/>
      <c r="S143" s="116"/>
      <c r="T143" s="116">
        <v>-2040.9</v>
      </c>
      <c r="U143" s="116"/>
      <c r="V143" s="116"/>
      <c r="W143" s="116"/>
      <c r="X143" s="116"/>
      <c r="Y143" s="116"/>
      <c r="Z143" s="116"/>
      <c r="AA143" s="116"/>
      <c r="AB143" s="116"/>
      <c r="AC143" s="115"/>
      <c r="AD143" s="234"/>
      <c r="AE143" s="1"/>
      <c r="AF143" s="120"/>
      <c r="AG143" s="1"/>
      <c r="AH143" s="120"/>
    </row>
    <row r="144" spans="1:34" ht="15">
      <c r="A144" s="126"/>
      <c r="B144" s="136"/>
      <c r="C144" s="108" t="s">
        <v>1190</v>
      </c>
      <c r="E144" s="120"/>
      <c r="F144" s="120"/>
      <c r="G144" s="120"/>
      <c r="H144" s="115">
        <f t="shared" si="45"/>
        <v>19931.219999999987</v>
      </c>
      <c r="I144" s="115">
        <f t="shared" si="46"/>
        <v>19931.219999999987</v>
      </c>
      <c r="J144" s="115">
        <f t="shared" si="48"/>
        <v>19931.219999999987</v>
      </c>
      <c r="K144" s="115">
        <f t="shared" si="49"/>
        <v>19931.219999999987</v>
      </c>
      <c r="L144" s="115">
        <f t="shared" si="47"/>
        <v>19931.219999999987</v>
      </c>
      <c r="M144" s="115">
        <f t="shared" si="50"/>
        <v>19931.219999999987</v>
      </c>
      <c r="N144" s="115">
        <f t="shared" si="51"/>
        <v>19931.219999999987</v>
      </c>
      <c r="O144" s="115">
        <f t="shared" si="52"/>
        <v>19931.219999999987</v>
      </c>
      <c r="P144" s="115">
        <f t="shared" si="53"/>
        <v>19931.219999999987</v>
      </c>
      <c r="Q144" s="116"/>
      <c r="R144" s="116"/>
      <c r="S144" s="116"/>
      <c r="T144" s="116">
        <f>35025.88+34350+65000-4062.5-3456.7-1635.14+75000-70940.3-1393.75-1070.37+20000-32976-4687.5-0.02-18909.88-70312.5</f>
        <v>19931.219999999987</v>
      </c>
      <c r="U144" s="116"/>
      <c r="V144" s="116"/>
      <c r="W144" s="116"/>
      <c r="X144" s="116"/>
      <c r="Y144" s="116"/>
      <c r="Z144" s="116"/>
      <c r="AA144" s="116"/>
      <c r="AB144" s="116"/>
      <c r="AC144" s="115"/>
      <c r="AD144" s="234"/>
      <c r="AE144" s="1"/>
      <c r="AF144" s="120"/>
      <c r="AG144" s="1"/>
      <c r="AH144" s="120"/>
    </row>
    <row r="145" spans="1:34" ht="15">
      <c r="A145" s="126"/>
      <c r="B145" s="136"/>
      <c r="C145" s="108" t="s">
        <v>1190</v>
      </c>
      <c r="D145" s="156" t="s">
        <v>1191</v>
      </c>
      <c r="E145" s="120"/>
      <c r="F145" s="120"/>
      <c r="G145" s="120"/>
      <c r="H145" s="115">
        <f t="shared" si="45"/>
        <v>80240</v>
      </c>
      <c r="I145" s="115">
        <f t="shared" si="46"/>
        <v>80240</v>
      </c>
      <c r="J145" s="115">
        <f t="shared" si="48"/>
        <v>80240</v>
      </c>
      <c r="K145" s="115">
        <f t="shared" si="49"/>
        <v>80240</v>
      </c>
      <c r="L145" s="115">
        <f t="shared" si="47"/>
        <v>80240</v>
      </c>
      <c r="M145" s="115">
        <f t="shared" si="50"/>
        <v>80240</v>
      </c>
      <c r="N145" s="115">
        <f t="shared" si="51"/>
        <v>80240</v>
      </c>
      <c r="O145" s="115">
        <f t="shared" si="52"/>
        <v>80240</v>
      </c>
      <c r="P145" s="115">
        <f t="shared" si="53"/>
        <v>80240</v>
      </c>
      <c r="Q145" s="116"/>
      <c r="R145" s="116"/>
      <c r="S145" s="116"/>
      <c r="T145" s="116">
        <v>80240</v>
      </c>
      <c r="U145" s="116"/>
      <c r="V145" s="116"/>
      <c r="W145" s="116"/>
      <c r="X145" s="116"/>
      <c r="Y145" s="116"/>
      <c r="Z145" s="116"/>
      <c r="AA145" s="116"/>
      <c r="AB145" s="116"/>
      <c r="AC145" s="115"/>
      <c r="AD145" s="234"/>
      <c r="AE145" s="1"/>
      <c r="AF145" s="120"/>
      <c r="AG145" s="1"/>
      <c r="AH145" s="120"/>
    </row>
    <row r="146" spans="1:34" ht="15">
      <c r="A146" s="126"/>
      <c r="B146" s="136"/>
      <c r="C146" s="108" t="s">
        <v>1192</v>
      </c>
      <c r="E146" s="120"/>
      <c r="F146" s="120"/>
      <c r="G146" s="120"/>
      <c r="H146" s="115">
        <f t="shared" si="45"/>
        <v>4202205.49</v>
      </c>
      <c r="I146" s="115">
        <f t="shared" si="46"/>
        <v>4202205.49</v>
      </c>
      <c r="J146" s="115">
        <f t="shared" si="48"/>
        <v>4202205.49</v>
      </c>
      <c r="K146" s="115">
        <f t="shared" si="49"/>
        <v>4202205.49</v>
      </c>
      <c r="L146" s="115">
        <f t="shared" si="47"/>
        <v>4202205.49</v>
      </c>
      <c r="M146" s="115">
        <f t="shared" si="50"/>
        <v>4202205.49</v>
      </c>
      <c r="N146" s="115">
        <f t="shared" si="51"/>
        <v>4202205.49</v>
      </c>
      <c r="O146" s="115">
        <f t="shared" si="52"/>
        <v>4202205.49</v>
      </c>
      <c r="P146" s="115">
        <f t="shared" si="53"/>
        <v>4202205.49</v>
      </c>
      <c r="Q146" s="116"/>
      <c r="R146" s="116"/>
      <c r="S146" s="116"/>
      <c r="T146" s="116">
        <f>3880930.09+53000+328000-517000+75000+123500+71000+214500-180000+226200+147000+85000-201000-11534.1+90000+160000+306000-468890.5+551000-310000+87000-52500-50000-135000-60000-50000-160000</f>
        <v>4202205.49</v>
      </c>
      <c r="U146" s="116"/>
      <c r="V146" s="116"/>
      <c r="W146" s="116"/>
      <c r="X146" s="116"/>
      <c r="Y146" s="116"/>
      <c r="Z146" s="116"/>
      <c r="AA146" s="116"/>
      <c r="AB146" s="116"/>
      <c r="AC146" s="115"/>
      <c r="AD146" s="234" t="e">
        <f>+#REF!+#REF!+'[2]2009'!$D$100</f>
        <v>#REF!</v>
      </c>
      <c r="AE146" s="1">
        <v>22300</v>
      </c>
      <c r="AF146" s="120"/>
      <c r="AG146" s="1"/>
      <c r="AH146" s="120"/>
    </row>
    <row r="147" spans="1:34" ht="15">
      <c r="A147" s="126"/>
      <c r="B147" s="136"/>
      <c r="C147" s="108" t="s">
        <v>1192</v>
      </c>
      <c r="E147" s="120"/>
      <c r="F147" s="120"/>
      <c r="G147" s="120"/>
      <c r="H147" s="115">
        <f t="shared" si="45"/>
        <v>120000</v>
      </c>
      <c r="I147" s="115">
        <f t="shared" si="46"/>
        <v>120000</v>
      </c>
      <c r="J147" s="115">
        <f t="shared" si="48"/>
        <v>120000</v>
      </c>
      <c r="K147" s="115">
        <f t="shared" si="49"/>
        <v>120000</v>
      </c>
      <c r="L147" s="115">
        <f t="shared" si="47"/>
        <v>120000</v>
      </c>
      <c r="M147" s="115">
        <f t="shared" si="50"/>
        <v>120000</v>
      </c>
      <c r="N147" s="115">
        <f t="shared" si="51"/>
        <v>120000</v>
      </c>
      <c r="O147" s="115">
        <f t="shared" si="52"/>
        <v>120000</v>
      </c>
      <c r="P147" s="115">
        <f t="shared" si="53"/>
        <v>120000</v>
      </c>
      <c r="Q147" s="116"/>
      <c r="R147" s="116"/>
      <c r="S147" s="116"/>
      <c r="T147" s="116">
        <v>120000</v>
      </c>
      <c r="U147" s="116"/>
      <c r="V147" s="116"/>
      <c r="W147" s="116"/>
      <c r="X147" s="116"/>
      <c r="Y147" s="116"/>
      <c r="Z147" s="116"/>
      <c r="AA147" s="116"/>
      <c r="AB147" s="116"/>
      <c r="AC147" s="115"/>
      <c r="AD147" s="234"/>
      <c r="AE147" s="1"/>
      <c r="AF147" s="120"/>
      <c r="AG147" s="1"/>
      <c r="AH147" s="120"/>
    </row>
    <row r="148" spans="1:34" ht="15">
      <c r="A148" s="126"/>
      <c r="B148" s="136"/>
      <c r="C148" s="128" t="s">
        <v>1193</v>
      </c>
      <c r="D148" s="128"/>
      <c r="E148" s="117"/>
      <c r="F148" s="117"/>
      <c r="G148" s="117"/>
      <c r="H148" s="115">
        <f t="shared" si="45"/>
        <v>-21147.380000000179</v>
      </c>
      <c r="I148" s="115">
        <f t="shared" si="46"/>
        <v>-21147.380000000179</v>
      </c>
      <c r="J148" s="115">
        <f t="shared" si="48"/>
        <v>-21147.380000000179</v>
      </c>
      <c r="K148" s="115">
        <f t="shared" si="49"/>
        <v>-21147.380000000179</v>
      </c>
      <c r="L148" s="115">
        <f t="shared" si="47"/>
        <v>-21147.380000000179</v>
      </c>
      <c r="M148" s="115">
        <f t="shared" si="50"/>
        <v>-21147.380000000179</v>
      </c>
      <c r="N148" s="115">
        <f t="shared" si="51"/>
        <v>-21147.380000000179</v>
      </c>
      <c r="O148" s="115">
        <f t="shared" si="52"/>
        <v>-21147.380000000179</v>
      </c>
      <c r="P148" s="115">
        <f t="shared" si="53"/>
        <v>-21147.380000000179</v>
      </c>
      <c r="Q148" s="125"/>
      <c r="R148" s="125"/>
      <c r="S148" s="125"/>
      <c r="T148" s="125">
        <f>1049737.64+83925-6653-43487.5-280945.3-10012.5+20000-110447.5+50000-1005-531800+20000-67720-11600-18750-699-94026+59327.49-53120.49+25000-10000-400-40000+16470-18627.5-4342.5+48250+50000-74590-29991.5-18.5+20000+51551+21000+24000-50000+94900-44351-7200-19499.17+14280+51100-36661-296-14280+7200-7200+5000-136226.21+191200+257750-33202-2008.5-27625-4134-5610-11006.25+46800+96100-10000-214984.75-150379.5+4500+38625+200000+56500+182600+102100+35165+10900-44460-91420-7020+500000+250000+350000-1-12361.25+200000+31000-190100-36842.75-10355-4365-638-95081.62-237840.6-150000-475275-26340.08+31100-200-24525-6663-5874+20000-94126-96987-29450-18810-29545-95679.04-93997.5+31000-1190-1555-8863-173737-53752.5-2747.5-670.88-31000+10000-9329.12-1224.6-33302.4</f>
        <v>-21147.380000000179</v>
      </c>
      <c r="U148" s="125"/>
      <c r="V148" s="125"/>
      <c r="W148" s="125"/>
      <c r="X148" s="125"/>
      <c r="Y148" s="125"/>
      <c r="Z148" s="125"/>
      <c r="AA148" s="125"/>
      <c r="AB148" s="125"/>
      <c r="AC148" s="124"/>
      <c r="AD148" s="234"/>
      <c r="AE148" s="1"/>
      <c r="AF148" s="120"/>
      <c r="AG148" s="1"/>
      <c r="AH148" s="120"/>
    </row>
    <row r="149" spans="1:34" ht="15">
      <c r="A149" s="126"/>
      <c r="B149" s="136"/>
      <c r="C149" s="108" t="s">
        <v>1194</v>
      </c>
      <c r="E149" s="120"/>
      <c r="F149" s="120"/>
      <c r="G149" s="120"/>
      <c r="H149" s="115">
        <f t="shared" si="45"/>
        <v>1430.9</v>
      </c>
      <c r="I149" s="115">
        <f t="shared" si="46"/>
        <v>1430.9</v>
      </c>
      <c r="J149" s="115">
        <f t="shared" si="48"/>
        <v>1430.9</v>
      </c>
      <c r="K149" s="115">
        <f t="shared" si="49"/>
        <v>1430.9</v>
      </c>
      <c r="L149" s="115">
        <f t="shared" si="47"/>
        <v>1430.9</v>
      </c>
      <c r="M149" s="115">
        <f t="shared" si="50"/>
        <v>1430.9</v>
      </c>
      <c r="N149" s="115">
        <f t="shared" si="51"/>
        <v>1430.9</v>
      </c>
      <c r="O149" s="115">
        <f t="shared" si="52"/>
        <v>1430.9</v>
      </c>
      <c r="P149" s="115">
        <f t="shared" si="53"/>
        <v>1430.9</v>
      </c>
      <c r="Q149" s="116"/>
      <c r="R149" s="116"/>
      <c r="S149" s="116"/>
      <c r="T149" s="116">
        <v>1430.9</v>
      </c>
      <c r="U149" s="116"/>
      <c r="V149" s="116"/>
      <c r="W149" s="116"/>
      <c r="X149" s="116"/>
      <c r="Y149" s="116"/>
      <c r="Z149" s="116"/>
      <c r="AA149" s="116"/>
      <c r="AB149" s="116"/>
      <c r="AC149" s="115"/>
      <c r="AD149" s="234"/>
      <c r="AE149" s="1">
        <v>168000</v>
      </c>
      <c r="AF149" s="120"/>
      <c r="AG149" s="1"/>
      <c r="AH149" s="120"/>
    </row>
    <row r="150" spans="1:34" ht="15">
      <c r="A150" s="126"/>
      <c r="B150" s="136"/>
      <c r="C150" s="108" t="s">
        <v>1195</v>
      </c>
      <c r="E150" s="120"/>
      <c r="F150" s="120"/>
      <c r="G150" s="120"/>
      <c r="H150" s="115">
        <f t="shared" si="45"/>
        <v>2266.3400000000111</v>
      </c>
      <c r="I150" s="115">
        <f t="shared" si="46"/>
        <v>2266.3400000000111</v>
      </c>
      <c r="J150" s="115">
        <f t="shared" si="48"/>
        <v>42266.340000000011</v>
      </c>
      <c r="K150" s="115">
        <f t="shared" si="49"/>
        <v>42266.340000000011</v>
      </c>
      <c r="L150" s="115">
        <f t="shared" si="47"/>
        <v>42266.340000000011</v>
      </c>
      <c r="M150" s="115">
        <f t="shared" si="50"/>
        <v>42266.340000000011</v>
      </c>
      <c r="N150" s="115">
        <f t="shared" si="51"/>
        <v>42266.340000000011</v>
      </c>
      <c r="O150" s="115">
        <f t="shared" si="52"/>
        <v>42266.340000000011</v>
      </c>
      <c r="P150" s="115">
        <f t="shared" si="53"/>
        <v>42266.340000000011</v>
      </c>
      <c r="Q150" s="116"/>
      <c r="R150" s="116"/>
      <c r="S150" s="116"/>
      <c r="T150" s="116">
        <f>67000+82110.8+69200+60000-146555.26-104000+23500+17500-19832.49+61275-940-3063.75-167.51-22560-58211.25+550000+126789.9+49977-700-16800+20850-6339.5-1042.5+25000-25000-2498.31-550000-120450.4-19807.5-5500-47467.89</f>
        <v>2266.3400000000111</v>
      </c>
      <c r="U150" s="116"/>
      <c r="V150" s="116">
        <v>40000</v>
      </c>
      <c r="W150" s="116"/>
      <c r="X150" s="116"/>
      <c r="Y150" s="116"/>
      <c r="Z150" s="116"/>
      <c r="AA150" s="116"/>
      <c r="AB150" s="116"/>
      <c r="AC150" s="115"/>
      <c r="AD150" s="234"/>
      <c r="AE150" s="1">
        <v>28507.9</v>
      </c>
      <c r="AF150" s="120"/>
      <c r="AG150" s="1"/>
      <c r="AH150" s="120"/>
    </row>
    <row r="151" spans="1:34" ht="15">
      <c r="A151" s="126"/>
      <c r="B151" s="136"/>
      <c r="C151" s="108" t="s">
        <v>1196</v>
      </c>
      <c r="E151" s="120"/>
      <c r="F151" s="120"/>
      <c r="G151" s="120"/>
      <c r="H151" s="115">
        <f t="shared" si="45"/>
        <v>100000</v>
      </c>
      <c r="I151" s="115">
        <f t="shared" si="46"/>
        <v>100000</v>
      </c>
      <c r="J151" s="115">
        <f t="shared" si="48"/>
        <v>100000</v>
      </c>
      <c r="K151" s="115">
        <f t="shared" si="49"/>
        <v>100000</v>
      </c>
      <c r="L151" s="115">
        <f t="shared" si="47"/>
        <v>100000</v>
      </c>
      <c r="M151" s="115">
        <f t="shared" si="50"/>
        <v>100000</v>
      </c>
      <c r="N151" s="115">
        <f t="shared" si="51"/>
        <v>100000</v>
      </c>
      <c r="O151" s="115">
        <f t="shared" si="52"/>
        <v>100000</v>
      </c>
      <c r="P151" s="115">
        <f t="shared" si="53"/>
        <v>100000</v>
      </c>
      <c r="Q151" s="116"/>
      <c r="R151" s="116"/>
      <c r="S151" s="116"/>
      <c r="T151" s="116">
        <v>100000</v>
      </c>
      <c r="U151" s="116"/>
      <c r="V151" s="116"/>
      <c r="W151" s="116"/>
      <c r="X151" s="116"/>
      <c r="Y151" s="116"/>
      <c r="Z151" s="116"/>
      <c r="AA151" s="116"/>
      <c r="AB151" s="116"/>
      <c r="AC151" s="115"/>
      <c r="AD151" s="234" t="s">
        <v>1197</v>
      </c>
      <c r="AE151" s="1"/>
      <c r="AF151" s="120"/>
      <c r="AG151" s="1"/>
      <c r="AH151" s="120"/>
    </row>
    <row r="152" spans="1:34" ht="15">
      <c r="A152" s="126"/>
      <c r="B152" s="136"/>
      <c r="C152" s="108" t="s">
        <v>1196</v>
      </c>
      <c r="E152" s="120"/>
      <c r="F152" s="120"/>
      <c r="G152" s="120"/>
      <c r="H152" s="115">
        <f t="shared" si="45"/>
        <v>352409.70000000007</v>
      </c>
      <c r="I152" s="115">
        <f t="shared" si="46"/>
        <v>352409.70000000007</v>
      </c>
      <c r="J152" s="115">
        <f t="shared" si="48"/>
        <v>352409.70000000007</v>
      </c>
      <c r="K152" s="115">
        <f t="shared" si="49"/>
        <v>352409.70000000007</v>
      </c>
      <c r="L152" s="115">
        <f t="shared" si="47"/>
        <v>352409.70000000007</v>
      </c>
      <c r="M152" s="115">
        <f t="shared" si="50"/>
        <v>352409.70000000007</v>
      </c>
      <c r="N152" s="115">
        <f t="shared" si="51"/>
        <v>352409.70000000007</v>
      </c>
      <c r="O152" s="115">
        <f t="shared" si="52"/>
        <v>352409.70000000007</v>
      </c>
      <c r="P152" s="115">
        <f t="shared" si="53"/>
        <v>352409.70000000007</v>
      </c>
      <c r="Q152" s="116"/>
      <c r="R152" s="116"/>
      <c r="S152" s="116"/>
      <c r="T152" s="116">
        <f>8950+80000-6842-2108+30000-80000+8000+30000+30000-8000-26500-30000-22812+8400+15000+94200+37660+20000-38248-1611+32900-18389-94200+99012-31913+120000+81000+50000+100000+10000-3200-47040-29074.8+50000-259497.5+20250+104110-36800-20250-987-900-1400+120000-860-6324.25-93675.75-98900-104110-120000+371890-371890+77175+62000+34000+100000+46900-45800-15000+48000+15000-1100+41250-4135-74733.04-62000-37115-2441.96+175000+26008-25008+50000-1000+29800-50000+91720+50000+6000+10975+8850-1025-18800-4738.7-29800-95261.3-8400+25300-1800-9750-23500</f>
        <v>352409.70000000007</v>
      </c>
      <c r="U152" s="116"/>
      <c r="V152" s="116"/>
      <c r="W152" s="116"/>
      <c r="X152" s="116"/>
      <c r="Y152" s="116"/>
      <c r="Z152" s="116"/>
      <c r="AA152" s="116"/>
      <c r="AB152" s="116"/>
      <c r="AC152" s="115"/>
      <c r="AD152" s="234"/>
      <c r="AE152" s="1">
        <v>5000</v>
      </c>
      <c r="AF152" s="120"/>
      <c r="AG152" s="1"/>
      <c r="AH152" s="120"/>
    </row>
    <row r="153" spans="1:34" ht="15">
      <c r="A153" s="126"/>
      <c r="B153" s="136"/>
      <c r="C153" s="108" t="s">
        <v>1196</v>
      </c>
      <c r="E153" s="120"/>
      <c r="F153" s="120"/>
      <c r="G153" s="120"/>
      <c r="H153" s="115">
        <f t="shared" si="45"/>
        <v>18150</v>
      </c>
      <c r="I153" s="115">
        <f t="shared" si="46"/>
        <v>18150</v>
      </c>
      <c r="J153" s="115">
        <f t="shared" si="48"/>
        <v>18150</v>
      </c>
      <c r="K153" s="115">
        <f t="shared" si="49"/>
        <v>18150</v>
      </c>
      <c r="L153" s="115">
        <f t="shared" si="47"/>
        <v>18150</v>
      </c>
      <c r="M153" s="115">
        <f t="shared" si="50"/>
        <v>18150</v>
      </c>
      <c r="N153" s="115">
        <f t="shared" si="51"/>
        <v>18150</v>
      </c>
      <c r="O153" s="115">
        <f t="shared" si="52"/>
        <v>18150</v>
      </c>
      <c r="P153" s="115">
        <f t="shared" si="53"/>
        <v>18150</v>
      </c>
      <c r="Q153" s="116"/>
      <c r="R153" s="116"/>
      <c r="S153" s="116"/>
      <c r="T153" s="116">
        <v>18150</v>
      </c>
      <c r="U153" s="116"/>
      <c r="V153" s="116"/>
      <c r="W153" s="116"/>
      <c r="X153" s="116"/>
      <c r="Y153" s="116"/>
      <c r="Z153" s="116"/>
      <c r="AA153" s="116"/>
      <c r="AB153" s="116"/>
      <c r="AC153" s="115"/>
      <c r="AD153" s="234"/>
      <c r="AE153" s="1"/>
      <c r="AF153" s="120"/>
      <c r="AG153" s="1"/>
      <c r="AH153" s="120"/>
    </row>
    <row r="154" spans="1:34" ht="15" hidden="1">
      <c r="A154" s="126"/>
      <c r="B154" s="136"/>
      <c r="C154" s="108" t="s">
        <v>1196</v>
      </c>
      <c r="E154" s="120"/>
      <c r="F154" s="120"/>
      <c r="G154" s="120"/>
      <c r="H154" s="115"/>
      <c r="I154" s="115">
        <f t="shared" si="46"/>
        <v>50000</v>
      </c>
      <c r="J154" s="115">
        <f>Q154+R154+S154+T154+U154+V154</f>
        <v>0</v>
      </c>
      <c r="K154" s="115"/>
      <c r="L154" s="115"/>
      <c r="M154" s="115"/>
      <c r="N154" s="115"/>
      <c r="O154" s="115"/>
      <c r="P154" s="115"/>
      <c r="Q154" s="116"/>
      <c r="R154" s="116"/>
      <c r="S154" s="116"/>
      <c r="T154" s="116"/>
      <c r="U154" s="116">
        <v>50000</v>
      </c>
      <c r="V154" s="116">
        <v>-50000</v>
      </c>
      <c r="W154" s="116"/>
      <c r="X154" s="116"/>
      <c r="Y154" s="116"/>
      <c r="Z154" s="116"/>
      <c r="AA154" s="116"/>
      <c r="AB154" s="116"/>
      <c r="AC154" s="115"/>
      <c r="AD154" s="234" t="s">
        <v>1197</v>
      </c>
      <c r="AE154" s="1"/>
      <c r="AF154" s="120"/>
      <c r="AG154" s="1"/>
      <c r="AH154" s="120"/>
    </row>
    <row r="155" spans="1:34" ht="15" hidden="1">
      <c r="A155" s="126"/>
      <c r="B155" s="136"/>
      <c r="C155" s="108" t="s">
        <v>1196</v>
      </c>
      <c r="E155" s="120"/>
      <c r="F155" s="120"/>
      <c r="G155" s="120"/>
      <c r="H155" s="115"/>
      <c r="I155" s="115">
        <f t="shared" si="46"/>
        <v>100000</v>
      </c>
      <c r="J155" s="115">
        <f>Q155+R155+S155+T155+U155+V155</f>
        <v>0</v>
      </c>
      <c r="K155" s="115"/>
      <c r="L155" s="115"/>
      <c r="M155" s="115"/>
      <c r="N155" s="115"/>
      <c r="O155" s="115"/>
      <c r="P155" s="115"/>
      <c r="Q155" s="116"/>
      <c r="R155" s="116"/>
      <c r="S155" s="116"/>
      <c r="T155" s="116"/>
      <c r="U155" s="116">
        <v>100000</v>
      </c>
      <c r="V155" s="116">
        <v>-100000</v>
      </c>
      <c r="W155" s="116"/>
      <c r="X155" s="116"/>
      <c r="Y155" s="116"/>
      <c r="Z155" s="116"/>
      <c r="AA155" s="116"/>
      <c r="AB155" s="116"/>
      <c r="AC155" s="115"/>
      <c r="AD155" s="234"/>
      <c r="AE155" s="1"/>
      <c r="AF155" s="120"/>
      <c r="AG155" s="1"/>
      <c r="AH155" s="120"/>
    </row>
    <row r="156" spans="1:34" ht="15">
      <c r="A156" s="126"/>
      <c r="B156" s="136"/>
      <c r="C156" s="108" t="s">
        <v>1196</v>
      </c>
      <c r="E156" s="120"/>
      <c r="F156" s="120"/>
      <c r="G156" s="120"/>
      <c r="H156" s="115"/>
      <c r="I156" s="115"/>
      <c r="J156" s="115">
        <f>Q156+R156+S156+T156+U156+V156</f>
        <v>150000</v>
      </c>
      <c r="K156" s="115">
        <f t="shared" si="49"/>
        <v>150000</v>
      </c>
      <c r="L156" s="115">
        <f t="shared" si="47"/>
        <v>150000</v>
      </c>
      <c r="M156" s="115"/>
      <c r="N156" s="115"/>
      <c r="O156" s="115"/>
      <c r="P156" s="115"/>
      <c r="Q156" s="116"/>
      <c r="R156" s="116"/>
      <c r="S156" s="116"/>
      <c r="T156" s="116"/>
      <c r="U156" s="116"/>
      <c r="V156" s="116">
        <v>150000</v>
      </c>
      <c r="W156" s="116"/>
      <c r="X156" s="116"/>
      <c r="Y156" s="116"/>
      <c r="Z156" s="116"/>
      <c r="AA156" s="116"/>
      <c r="AB156" s="116"/>
      <c r="AC156" s="115"/>
      <c r="AD156" s="234"/>
      <c r="AE156" s="1"/>
      <c r="AF156" s="120"/>
      <c r="AG156" s="1"/>
      <c r="AH156" s="120"/>
    </row>
    <row r="157" spans="1:34" ht="15">
      <c r="A157" s="126"/>
      <c r="B157" s="136"/>
      <c r="C157" s="108" t="s">
        <v>1198</v>
      </c>
      <c r="E157" s="120"/>
      <c r="F157" s="120"/>
      <c r="G157" s="120"/>
      <c r="H157" s="115">
        <f t="shared" si="45"/>
        <v>154.84</v>
      </c>
      <c r="I157" s="115">
        <f t="shared" si="46"/>
        <v>154.84</v>
      </c>
      <c r="J157" s="115">
        <f t="shared" si="48"/>
        <v>154.84</v>
      </c>
      <c r="K157" s="115">
        <f t="shared" si="49"/>
        <v>154.84</v>
      </c>
      <c r="L157" s="115">
        <f t="shared" si="47"/>
        <v>154.84</v>
      </c>
      <c r="M157" s="115">
        <f t="shared" si="50"/>
        <v>154.84</v>
      </c>
      <c r="N157" s="115">
        <f t="shared" si="51"/>
        <v>154.84</v>
      </c>
      <c r="O157" s="115">
        <f t="shared" si="52"/>
        <v>154.84</v>
      </c>
      <c r="P157" s="115">
        <f t="shared" si="53"/>
        <v>154.84</v>
      </c>
      <c r="Q157" s="116"/>
      <c r="R157" s="116"/>
      <c r="S157" s="116"/>
      <c r="T157" s="116">
        <f>244-89.16</f>
        <v>154.84</v>
      </c>
      <c r="U157" s="116"/>
      <c r="V157" s="116"/>
      <c r="W157" s="116"/>
      <c r="X157" s="116"/>
      <c r="Y157" s="116"/>
      <c r="Z157" s="116"/>
      <c r="AA157" s="116"/>
      <c r="AB157" s="116"/>
      <c r="AC157" s="115"/>
      <c r="AD157" s="234"/>
      <c r="AE157" s="1">
        <v>200000</v>
      </c>
      <c r="AF157" s="120"/>
      <c r="AG157" s="1"/>
      <c r="AH157" s="120"/>
    </row>
    <row r="158" spans="1:34" ht="15">
      <c r="A158" s="126"/>
      <c r="B158" s="136"/>
      <c r="C158" s="108" t="s">
        <v>2316</v>
      </c>
      <c r="E158" s="120"/>
      <c r="F158" s="120"/>
      <c r="G158" s="120"/>
      <c r="H158" s="115"/>
      <c r="I158" s="115">
        <f t="shared" si="46"/>
        <v>250000</v>
      </c>
      <c r="J158" s="115">
        <f>Q158+R158+S158+T158+U158+V158</f>
        <v>250000</v>
      </c>
      <c r="K158" s="115">
        <f t="shared" si="49"/>
        <v>250000</v>
      </c>
      <c r="L158" s="115">
        <f t="shared" si="47"/>
        <v>300000</v>
      </c>
      <c r="M158" s="115"/>
      <c r="N158" s="115"/>
      <c r="O158" s="115"/>
      <c r="P158" s="115"/>
      <c r="Q158" s="116"/>
      <c r="R158" s="116"/>
      <c r="S158" s="116"/>
      <c r="T158" s="116"/>
      <c r="U158" s="116">
        <v>250000</v>
      </c>
      <c r="V158" s="116"/>
      <c r="W158" s="116"/>
      <c r="X158" s="116">
        <v>50000</v>
      </c>
      <c r="Y158" s="116"/>
      <c r="Z158" s="116"/>
      <c r="AA158" s="116"/>
      <c r="AB158" s="116"/>
      <c r="AC158" s="115"/>
      <c r="AD158" s="234"/>
      <c r="AE158" s="1"/>
      <c r="AF158" s="120"/>
      <c r="AG158" s="1"/>
      <c r="AH158" s="120"/>
    </row>
    <row r="159" spans="1:34" ht="15">
      <c r="A159" s="126"/>
      <c r="B159" s="136"/>
      <c r="C159" s="128" t="s">
        <v>1199</v>
      </c>
      <c r="D159" s="128"/>
      <c r="E159" s="117"/>
      <c r="F159" s="117"/>
      <c r="G159" s="117"/>
      <c r="H159" s="115">
        <f t="shared" si="45"/>
        <v>675214</v>
      </c>
      <c r="I159" s="115">
        <f t="shared" si="46"/>
        <v>675214</v>
      </c>
      <c r="J159" s="115">
        <f t="shared" si="48"/>
        <v>675214</v>
      </c>
      <c r="K159" s="115">
        <f t="shared" si="49"/>
        <v>675214</v>
      </c>
      <c r="L159" s="115">
        <f t="shared" si="47"/>
        <v>675214</v>
      </c>
      <c r="M159" s="115">
        <f t="shared" si="50"/>
        <v>675214</v>
      </c>
      <c r="N159" s="115">
        <f t="shared" si="51"/>
        <v>675214</v>
      </c>
      <c r="O159" s="115">
        <f t="shared" si="52"/>
        <v>675214</v>
      </c>
      <c r="P159" s="115">
        <f t="shared" si="53"/>
        <v>675214</v>
      </c>
      <c r="Q159" s="125"/>
      <c r="R159" s="125"/>
      <c r="S159" s="125"/>
      <c r="T159" s="125">
        <f>20000+229053+51564-20000+25570+30000+70000+115000+200000-12270.7-216782.3+33080+90000+60000</f>
        <v>675214</v>
      </c>
      <c r="U159" s="125"/>
      <c r="V159" s="125"/>
      <c r="W159" s="125"/>
      <c r="X159" s="125"/>
      <c r="Y159" s="125"/>
      <c r="Z159" s="125"/>
      <c r="AA159" s="125"/>
      <c r="AB159" s="125"/>
      <c r="AC159" s="124"/>
      <c r="AD159" s="234"/>
      <c r="AE159" s="1"/>
      <c r="AF159" s="120"/>
      <c r="AG159" s="1"/>
      <c r="AH159" s="120"/>
    </row>
    <row r="160" spans="1:34" ht="15">
      <c r="A160" s="126"/>
      <c r="B160" s="136"/>
      <c r="C160" s="128" t="s">
        <v>1200</v>
      </c>
      <c r="D160" s="128"/>
      <c r="E160" s="117"/>
      <c r="F160" s="117"/>
      <c r="G160" s="117"/>
      <c r="H160" s="115">
        <f t="shared" si="45"/>
        <v>465.13999999989755</v>
      </c>
      <c r="I160" s="115">
        <f t="shared" si="46"/>
        <v>465.13999999989755</v>
      </c>
      <c r="J160" s="115">
        <f t="shared" si="48"/>
        <v>465.13999999989755</v>
      </c>
      <c r="K160" s="115">
        <f t="shared" si="49"/>
        <v>465.13999999989755</v>
      </c>
      <c r="L160" s="115">
        <f t="shared" si="47"/>
        <v>465.13999999989755</v>
      </c>
      <c r="M160" s="115">
        <f t="shared" si="50"/>
        <v>465.13999999989755</v>
      </c>
      <c r="N160" s="115">
        <f t="shared" si="51"/>
        <v>465.13999999989755</v>
      </c>
      <c r="O160" s="115">
        <f t="shared" si="52"/>
        <v>465.13999999989755</v>
      </c>
      <c r="P160" s="115">
        <f t="shared" si="53"/>
        <v>465.13999999989755</v>
      </c>
      <c r="Q160" s="125"/>
      <c r="R160" s="125"/>
      <c r="S160" s="125"/>
      <c r="T160" s="125">
        <f>465.14+1296341.97-1271341.97-1.95-24998.05</f>
        <v>465.13999999989755</v>
      </c>
      <c r="U160" s="125"/>
      <c r="V160" s="125"/>
      <c r="W160" s="125"/>
      <c r="X160" s="125"/>
      <c r="Y160" s="125"/>
      <c r="Z160" s="125"/>
      <c r="AA160" s="125"/>
      <c r="AB160" s="125"/>
      <c r="AC160" s="124"/>
      <c r="AD160" s="234"/>
      <c r="AE160" s="1">
        <v>680430</v>
      </c>
      <c r="AF160" s="120"/>
      <c r="AG160" s="1"/>
      <c r="AH160" s="120"/>
    </row>
    <row r="161" spans="1:34" ht="15">
      <c r="A161" s="126"/>
      <c r="B161" s="136"/>
      <c r="C161" s="128" t="s">
        <v>1201</v>
      </c>
      <c r="D161" s="128"/>
      <c r="E161" s="117"/>
      <c r="F161" s="117"/>
      <c r="G161" s="117"/>
      <c r="H161" s="115">
        <f t="shared" si="45"/>
        <v>5978.5800000000381</v>
      </c>
      <c r="I161" s="115">
        <f t="shared" si="46"/>
        <v>5978.5800000000381</v>
      </c>
      <c r="J161" s="115">
        <f t="shared" si="48"/>
        <v>5978.5800000000381</v>
      </c>
      <c r="K161" s="115">
        <f t="shared" si="49"/>
        <v>5978.5800000000381</v>
      </c>
      <c r="L161" s="115">
        <f t="shared" si="47"/>
        <v>5978.5800000000381</v>
      </c>
      <c r="M161" s="115">
        <f t="shared" si="50"/>
        <v>5978.5800000000381</v>
      </c>
      <c r="N161" s="115">
        <f t="shared" si="51"/>
        <v>5978.5800000000381</v>
      </c>
      <c r="O161" s="115">
        <f t="shared" si="52"/>
        <v>5978.5800000000381</v>
      </c>
      <c r="P161" s="115">
        <f t="shared" si="53"/>
        <v>5978.5800000000381</v>
      </c>
      <c r="Q161" s="125"/>
      <c r="R161" s="125"/>
      <c r="S161" s="125"/>
      <c r="T161" s="125">
        <f>13750-13750+13750+27500+55000+55950-13750+27500+650-27500+77015-52952.68-27500+27500-27500+15000-52668.74+27500-4631.8-306.42-27500+52500-72383.2-1401.18-65792.4+27500+15000-27500+27500+27500-27500-803.57+27500-27500-14196.43-27500+27500-27500</f>
        <v>5978.5800000000381</v>
      </c>
      <c r="U161" s="125"/>
      <c r="V161" s="125"/>
      <c r="W161" s="125"/>
      <c r="X161" s="125"/>
      <c r="Y161" s="125"/>
      <c r="Z161" s="125"/>
      <c r="AA161" s="125"/>
      <c r="AB161" s="125"/>
      <c r="AC161" s="124"/>
      <c r="AD161" s="234"/>
      <c r="AE161" s="1" t="e">
        <f>#REF!</f>
        <v>#REF!</v>
      </c>
      <c r="AF161" s="120"/>
      <c r="AG161" s="1"/>
      <c r="AH161" s="120"/>
    </row>
    <row r="162" spans="1:34" ht="15">
      <c r="A162" s="126"/>
      <c r="B162" s="136"/>
      <c r="C162" s="128" t="s">
        <v>1202</v>
      </c>
      <c r="D162" s="128"/>
      <c r="E162" s="117"/>
      <c r="F162" s="117"/>
      <c r="G162" s="117"/>
      <c r="H162" s="115">
        <f t="shared" si="45"/>
        <v>132620.35</v>
      </c>
      <c r="I162" s="115">
        <f t="shared" si="46"/>
        <v>132620.35</v>
      </c>
      <c r="J162" s="115">
        <f t="shared" si="48"/>
        <v>132620.35</v>
      </c>
      <c r="K162" s="115">
        <f t="shared" si="49"/>
        <v>132620.35</v>
      </c>
      <c r="L162" s="115">
        <f t="shared" si="47"/>
        <v>132620.35</v>
      </c>
      <c r="M162" s="115">
        <f t="shared" si="50"/>
        <v>132620.35</v>
      </c>
      <c r="N162" s="115">
        <f t="shared" si="51"/>
        <v>132620.35</v>
      </c>
      <c r="O162" s="115">
        <f t="shared" si="52"/>
        <v>132620.35</v>
      </c>
      <c r="P162" s="115">
        <f t="shared" si="53"/>
        <v>132620.35</v>
      </c>
      <c r="Q162" s="125"/>
      <c r="R162" s="125"/>
      <c r="S162" s="125"/>
      <c r="T162" s="125">
        <f>90000+63375+16500+14400+10000-30830.36-30824.29</f>
        <v>132620.35</v>
      </c>
      <c r="U162" s="125"/>
      <c r="V162" s="125"/>
      <c r="W162" s="125"/>
      <c r="X162" s="125"/>
      <c r="Y162" s="125"/>
      <c r="Z162" s="125"/>
      <c r="AA162" s="125"/>
      <c r="AB162" s="125"/>
      <c r="AC162" s="124"/>
      <c r="AD162" s="234"/>
      <c r="AE162" s="1"/>
      <c r="AF162" s="120"/>
      <c r="AG162" s="1"/>
      <c r="AH162" s="120"/>
    </row>
    <row r="163" spans="1:34" ht="15">
      <c r="A163" s="126"/>
      <c r="B163" s="136"/>
      <c r="C163" s="128" t="s">
        <v>1203</v>
      </c>
      <c r="D163" s="128"/>
      <c r="E163" s="117"/>
      <c r="F163" s="117"/>
      <c r="G163" s="117"/>
      <c r="H163" s="115">
        <f t="shared" si="45"/>
        <v>46000</v>
      </c>
      <c r="I163" s="115">
        <f t="shared" si="46"/>
        <v>46000</v>
      </c>
      <c r="J163" s="115">
        <f t="shared" si="48"/>
        <v>46000</v>
      </c>
      <c r="K163" s="115">
        <f t="shared" si="49"/>
        <v>46000</v>
      </c>
      <c r="L163" s="115">
        <f t="shared" si="47"/>
        <v>46000</v>
      </c>
      <c r="M163" s="115">
        <f t="shared" si="50"/>
        <v>46000</v>
      </c>
      <c r="N163" s="115">
        <f t="shared" si="51"/>
        <v>46000</v>
      </c>
      <c r="O163" s="115">
        <f t="shared" si="52"/>
        <v>46000</v>
      </c>
      <c r="P163" s="115">
        <f t="shared" si="53"/>
        <v>46000</v>
      </c>
      <c r="Q163" s="125"/>
      <c r="R163" s="125"/>
      <c r="S163" s="125"/>
      <c r="T163" s="125">
        <f>50000-2500+50000-1950-4850-43200+30000-1500-28500-1500</f>
        <v>46000</v>
      </c>
      <c r="U163" s="125"/>
      <c r="V163" s="125"/>
      <c r="W163" s="125"/>
      <c r="X163" s="125"/>
      <c r="Y163" s="125"/>
      <c r="Z163" s="125"/>
      <c r="AA163" s="125"/>
      <c r="AB163" s="125"/>
      <c r="AC163" s="124"/>
      <c r="AD163" s="234"/>
      <c r="AE163" s="1">
        <v>12759.6</v>
      </c>
      <c r="AF163" s="120"/>
      <c r="AG163" s="1"/>
      <c r="AH163" s="120"/>
    </row>
    <row r="164" spans="1:34" ht="15">
      <c r="A164" s="126"/>
      <c r="B164" s="136"/>
      <c r="C164" s="108" t="s">
        <v>1204</v>
      </c>
      <c r="E164" s="129"/>
      <c r="F164" s="129"/>
      <c r="G164" s="129"/>
      <c r="H164" s="115">
        <f t="shared" si="45"/>
        <v>70234</v>
      </c>
      <c r="I164" s="115">
        <f t="shared" si="46"/>
        <v>70234</v>
      </c>
      <c r="J164" s="115">
        <f t="shared" si="48"/>
        <v>70234</v>
      </c>
      <c r="K164" s="115">
        <f t="shared" si="49"/>
        <v>70234</v>
      </c>
      <c r="L164" s="115">
        <f t="shared" si="47"/>
        <v>70234</v>
      </c>
      <c r="M164" s="115">
        <f t="shared" si="50"/>
        <v>70234</v>
      </c>
      <c r="N164" s="115">
        <f t="shared" si="51"/>
        <v>70234</v>
      </c>
      <c r="O164" s="115">
        <f t="shared" si="52"/>
        <v>70234</v>
      </c>
      <c r="P164" s="115">
        <f t="shared" si="53"/>
        <v>70234</v>
      </c>
      <c r="Q164" s="147"/>
      <c r="R164" s="147"/>
      <c r="S164" s="147"/>
      <c r="T164" s="147">
        <f>20000+20000+8100-40000+20000-20000+8000-8000-7566+8000+7800+30400+60000+10000+25000+14400-240-771.43-361.61-15498.39-1216-13628.57-29184-204.9-24795.1</f>
        <v>70234</v>
      </c>
      <c r="U164" s="147"/>
      <c r="V164" s="147"/>
      <c r="W164" s="147"/>
      <c r="X164" s="147"/>
      <c r="Y164" s="147"/>
      <c r="Z164" s="147"/>
      <c r="AA164" s="147"/>
      <c r="AB164" s="147"/>
      <c r="AC164" s="129"/>
      <c r="AD164" s="234"/>
      <c r="AE164" s="1"/>
      <c r="AF164" s="120"/>
      <c r="AG164" s="1"/>
      <c r="AH164" s="120"/>
    </row>
    <row r="165" spans="1:34" ht="15">
      <c r="A165" s="126"/>
      <c r="B165" s="136"/>
      <c r="C165" s="108" t="s">
        <v>1205</v>
      </c>
      <c r="E165" s="120"/>
      <c r="F165" s="120"/>
      <c r="G165" s="120"/>
      <c r="H165" s="115">
        <f t="shared" si="45"/>
        <v>1076977.5</v>
      </c>
      <c r="I165" s="115">
        <f t="shared" si="46"/>
        <v>1076977.5</v>
      </c>
      <c r="J165" s="115">
        <f t="shared" si="48"/>
        <v>1076977.5</v>
      </c>
      <c r="K165" s="115">
        <f t="shared" si="49"/>
        <v>1076977.5</v>
      </c>
      <c r="L165" s="115">
        <f t="shared" si="47"/>
        <v>1076977.5</v>
      </c>
      <c r="M165" s="115">
        <f t="shared" si="50"/>
        <v>1076977.5</v>
      </c>
      <c r="N165" s="115">
        <f t="shared" si="51"/>
        <v>1076977.5</v>
      </c>
      <c r="O165" s="115">
        <f t="shared" si="52"/>
        <v>1076977.5</v>
      </c>
      <c r="P165" s="115">
        <f t="shared" si="53"/>
        <v>1076977.5</v>
      </c>
      <c r="Q165" s="116"/>
      <c r="R165" s="116"/>
      <c r="S165" s="116"/>
      <c r="T165" s="116">
        <f>231000+100000+200000+50000+150845+37720+75000-6981.47+100000-193018.53-5447.46-97140.04+155000+80000+100000+100000</f>
        <v>1076977.5</v>
      </c>
      <c r="U165" s="116"/>
      <c r="V165" s="116"/>
      <c r="W165" s="116"/>
      <c r="X165" s="116"/>
      <c r="Y165" s="116"/>
      <c r="Z165" s="116"/>
      <c r="AA165" s="116"/>
      <c r="AB165" s="116"/>
      <c r="AC165" s="115"/>
      <c r="AD165" s="234"/>
      <c r="AE165" s="1">
        <v>6000</v>
      </c>
      <c r="AF165" s="120"/>
      <c r="AG165" s="1"/>
      <c r="AH165" s="120"/>
    </row>
    <row r="166" spans="1:34" ht="15">
      <c r="A166" s="126"/>
      <c r="B166" s="136"/>
      <c r="C166" s="108" t="s">
        <v>1206</v>
      </c>
      <c r="E166" s="120"/>
      <c r="F166" s="120"/>
      <c r="G166" s="120"/>
      <c r="H166" s="115">
        <f t="shared" si="45"/>
        <v>123000.8</v>
      </c>
      <c r="I166" s="115">
        <f t="shared" si="46"/>
        <v>123000.8</v>
      </c>
      <c r="J166" s="115">
        <f t="shared" si="48"/>
        <v>123000.8</v>
      </c>
      <c r="K166" s="115">
        <f t="shared" si="49"/>
        <v>123000.8</v>
      </c>
      <c r="L166" s="115">
        <f t="shared" si="47"/>
        <v>123000.8</v>
      </c>
      <c r="M166" s="115">
        <f t="shared" si="50"/>
        <v>123000.8</v>
      </c>
      <c r="N166" s="115">
        <f t="shared" si="51"/>
        <v>123000.8</v>
      </c>
      <c r="O166" s="115">
        <f t="shared" si="52"/>
        <v>123000.8</v>
      </c>
      <c r="P166" s="115">
        <f t="shared" si="53"/>
        <v>123000.8</v>
      </c>
      <c r="Q166" s="116"/>
      <c r="R166" s="116"/>
      <c r="S166" s="116"/>
      <c r="T166" s="116">
        <f>28488.8-28488+12000+25000+15000+15000+15000+20000+11000+10000</f>
        <v>123000.8</v>
      </c>
      <c r="U166" s="116"/>
      <c r="V166" s="116"/>
      <c r="W166" s="116"/>
      <c r="X166" s="116"/>
      <c r="Y166" s="116"/>
      <c r="Z166" s="116"/>
      <c r="AA166" s="116"/>
      <c r="AB166" s="116"/>
      <c r="AC166" s="115"/>
      <c r="AD166" s="234"/>
      <c r="AE166" s="1">
        <v>30426</v>
      </c>
      <c r="AF166" s="120"/>
      <c r="AG166" s="1"/>
      <c r="AH166" s="120"/>
    </row>
    <row r="167" spans="1:34" ht="15">
      <c r="A167" s="126"/>
      <c r="B167" s="136"/>
      <c r="C167" s="108" t="s">
        <v>1207</v>
      </c>
      <c r="E167" s="120"/>
      <c r="F167" s="120"/>
      <c r="G167" s="120"/>
      <c r="H167" s="115">
        <f t="shared" si="45"/>
        <v>26330.869999999995</v>
      </c>
      <c r="I167" s="115">
        <f t="shared" si="46"/>
        <v>26330.869999999995</v>
      </c>
      <c r="J167" s="115">
        <f t="shared" si="48"/>
        <v>26330.869999999995</v>
      </c>
      <c r="K167" s="115">
        <f t="shared" si="49"/>
        <v>26330.869999999995</v>
      </c>
      <c r="L167" s="115">
        <f t="shared" si="47"/>
        <v>26330.869999999995</v>
      </c>
      <c r="M167" s="115">
        <f t="shared" si="50"/>
        <v>26330.869999999995</v>
      </c>
      <c r="N167" s="115">
        <f t="shared" si="51"/>
        <v>26330.869999999995</v>
      </c>
      <c r="O167" s="115">
        <f t="shared" si="52"/>
        <v>26330.869999999995</v>
      </c>
      <c r="P167" s="115">
        <f t="shared" si="53"/>
        <v>26330.869999999995</v>
      </c>
      <c r="Q167" s="116"/>
      <c r="R167" s="116"/>
      <c r="S167" s="116"/>
      <c r="T167" s="116">
        <f>111170.87-17694.43-1001.57-1304-25000-2134.28-37705.72</f>
        <v>26330.869999999995</v>
      </c>
      <c r="U167" s="116"/>
      <c r="V167" s="116"/>
      <c r="W167" s="116"/>
      <c r="X167" s="116"/>
      <c r="Y167" s="116"/>
      <c r="Z167" s="116"/>
      <c r="AA167" s="116"/>
      <c r="AB167" s="116"/>
      <c r="AC167" s="115"/>
      <c r="AD167" s="234"/>
      <c r="AE167" s="1">
        <v>70000</v>
      </c>
      <c r="AF167" s="120"/>
      <c r="AG167" s="1"/>
      <c r="AH167" s="120"/>
    </row>
    <row r="168" spans="1:34" ht="15">
      <c r="A168" s="126"/>
      <c r="B168" s="136"/>
      <c r="C168" s="108" t="s">
        <v>1207</v>
      </c>
      <c r="E168" s="120"/>
      <c r="F168" s="120"/>
      <c r="G168" s="120"/>
      <c r="H168" s="115">
        <f t="shared" si="45"/>
        <v>13439.89</v>
      </c>
      <c r="I168" s="115">
        <f t="shared" si="46"/>
        <v>13439.89</v>
      </c>
      <c r="J168" s="115">
        <f t="shared" si="48"/>
        <v>13439.89</v>
      </c>
      <c r="K168" s="115">
        <f t="shared" si="49"/>
        <v>13439.89</v>
      </c>
      <c r="L168" s="115">
        <f t="shared" si="47"/>
        <v>13439.89</v>
      </c>
      <c r="M168" s="115">
        <f t="shared" si="50"/>
        <v>13439.89</v>
      </c>
      <c r="N168" s="115">
        <f t="shared" si="51"/>
        <v>13439.89</v>
      </c>
      <c r="O168" s="115">
        <f t="shared" si="52"/>
        <v>13439.89</v>
      </c>
      <c r="P168" s="115">
        <f t="shared" si="53"/>
        <v>13439.89</v>
      </c>
      <c r="Q168" s="116"/>
      <c r="R168" s="116"/>
      <c r="S168" s="116"/>
      <c r="T168" s="116">
        <f>14200-760.11</f>
        <v>13439.89</v>
      </c>
      <c r="U168" s="116"/>
      <c r="V168" s="116"/>
      <c r="W168" s="116"/>
      <c r="X168" s="116"/>
      <c r="Y168" s="116"/>
      <c r="Z168" s="116"/>
      <c r="AA168" s="116"/>
      <c r="AB168" s="116"/>
      <c r="AC168" s="115"/>
      <c r="AD168" s="234"/>
      <c r="AE168" s="1"/>
      <c r="AF168" s="120"/>
      <c r="AG168" s="1"/>
      <c r="AH168" s="120"/>
    </row>
    <row r="169" spans="1:34" ht="15">
      <c r="A169" s="126"/>
      <c r="B169" s="136"/>
      <c r="C169" s="108" t="s">
        <v>1208</v>
      </c>
      <c r="E169" s="120"/>
      <c r="F169" s="120"/>
      <c r="G169" s="120"/>
      <c r="H169" s="115">
        <f t="shared" si="45"/>
        <v>537924.58000000007</v>
      </c>
      <c r="I169" s="115">
        <f t="shared" si="46"/>
        <v>537924.58000000007</v>
      </c>
      <c r="J169" s="115">
        <f t="shared" si="48"/>
        <v>537924.58000000007</v>
      </c>
      <c r="K169" s="115">
        <f t="shared" si="49"/>
        <v>537924.58000000007</v>
      </c>
      <c r="L169" s="115">
        <f t="shared" si="47"/>
        <v>537924.58000000007</v>
      </c>
      <c r="M169" s="115">
        <f t="shared" si="50"/>
        <v>537924.58000000007</v>
      </c>
      <c r="N169" s="115">
        <f t="shared" si="51"/>
        <v>537924.58000000007</v>
      </c>
      <c r="O169" s="115">
        <f t="shared" si="52"/>
        <v>537924.58000000007</v>
      </c>
      <c r="P169" s="115">
        <f t="shared" si="53"/>
        <v>537924.58000000007</v>
      </c>
      <c r="Q169" s="116"/>
      <c r="R169" s="116"/>
      <c r="S169" s="116"/>
      <c r="T169" s="116">
        <f>949130.93-211185+120000+60000+8250-1.35+55000-338248.5-21.5-105000+200000-48+80000+357600-119952-467800-2640-17160-30000</f>
        <v>537924.58000000007</v>
      </c>
      <c r="U169" s="116"/>
      <c r="V169" s="116"/>
      <c r="W169" s="116"/>
      <c r="X169" s="116"/>
      <c r="Y169" s="116"/>
      <c r="Z169" s="116"/>
      <c r="AA169" s="116"/>
      <c r="AB169" s="116"/>
      <c r="AC169" s="115"/>
      <c r="AD169" s="234"/>
      <c r="AE169" s="1">
        <v>125000</v>
      </c>
      <c r="AF169" s="120"/>
      <c r="AG169" s="1"/>
      <c r="AH169" s="120"/>
    </row>
    <row r="170" spans="1:34" ht="15">
      <c r="A170" s="126"/>
      <c r="B170" s="136"/>
      <c r="C170" s="108" t="s">
        <v>1209</v>
      </c>
      <c r="E170" s="120"/>
      <c r="F170" s="120"/>
      <c r="G170" s="120"/>
      <c r="H170" s="115">
        <f t="shared" si="45"/>
        <v>955049.99999999988</v>
      </c>
      <c r="I170" s="115">
        <f t="shared" si="46"/>
        <v>955049.99999999988</v>
      </c>
      <c r="J170" s="115">
        <f t="shared" si="48"/>
        <v>955049.99999999988</v>
      </c>
      <c r="K170" s="115">
        <f t="shared" si="49"/>
        <v>955049.99999999988</v>
      </c>
      <c r="L170" s="115">
        <f t="shared" si="47"/>
        <v>955049.99999999988</v>
      </c>
      <c r="M170" s="115">
        <f t="shared" si="50"/>
        <v>955049.99999999988</v>
      </c>
      <c r="N170" s="115">
        <f t="shared" si="51"/>
        <v>955049.99999999988</v>
      </c>
      <c r="O170" s="115">
        <f t="shared" si="52"/>
        <v>955049.99999999988</v>
      </c>
      <c r="P170" s="115">
        <f t="shared" si="53"/>
        <v>955049.99999999988</v>
      </c>
      <c r="Q170" s="116"/>
      <c r="R170" s="116"/>
      <c r="S170" s="116"/>
      <c r="T170" s="116">
        <f>426530-409468.8-17061.2+13180+210000+296965-296965+20000+399870+37020+493352.93+60000-95500+95500+234000+18000-530372.93</f>
        <v>955049.99999999988</v>
      </c>
      <c r="U170" s="116"/>
      <c r="V170" s="116"/>
      <c r="W170" s="116"/>
      <c r="X170" s="116"/>
      <c r="Y170" s="116"/>
      <c r="Z170" s="116"/>
      <c r="AA170" s="116"/>
      <c r="AB170" s="116"/>
      <c r="AC170" s="115"/>
      <c r="AD170" s="234"/>
      <c r="AE170" s="1">
        <v>20000</v>
      </c>
      <c r="AF170" s="120"/>
      <c r="AG170" s="1"/>
      <c r="AH170" s="120"/>
    </row>
    <row r="171" spans="1:34" ht="15" hidden="1">
      <c r="A171" s="126"/>
      <c r="B171" s="136"/>
      <c r="C171" s="108" t="s">
        <v>1210</v>
      </c>
      <c r="E171" s="120"/>
      <c r="F171" s="120"/>
      <c r="G171" s="120"/>
      <c r="H171" s="115">
        <f t="shared" si="45"/>
        <v>5800</v>
      </c>
      <c r="I171" s="115">
        <f t="shared" si="46"/>
        <v>0</v>
      </c>
      <c r="J171" s="115">
        <f t="shared" si="48"/>
        <v>0</v>
      </c>
      <c r="K171" s="115">
        <f t="shared" si="49"/>
        <v>0</v>
      </c>
      <c r="L171" s="115">
        <f t="shared" si="47"/>
        <v>0</v>
      </c>
      <c r="M171" s="115">
        <f t="shared" si="50"/>
        <v>0</v>
      </c>
      <c r="N171" s="115">
        <f t="shared" si="51"/>
        <v>0</v>
      </c>
      <c r="O171" s="115">
        <f t="shared" si="52"/>
        <v>0</v>
      </c>
      <c r="P171" s="115">
        <f t="shared" si="53"/>
        <v>0</v>
      </c>
      <c r="Q171" s="116"/>
      <c r="R171" s="116"/>
      <c r="S171" s="116"/>
      <c r="T171" s="116">
        <f>100000+45000-139200</f>
        <v>5800</v>
      </c>
      <c r="U171" s="116">
        <v>-5800</v>
      </c>
      <c r="V171" s="116"/>
      <c r="W171" s="116"/>
      <c r="X171" s="116"/>
      <c r="Y171" s="116"/>
      <c r="Z171" s="116"/>
      <c r="AA171" s="116"/>
      <c r="AB171" s="116"/>
      <c r="AC171" s="115"/>
      <c r="AD171" s="234"/>
      <c r="AE171" s="1">
        <v>3200000</v>
      </c>
      <c r="AF171" s="120"/>
      <c r="AG171" s="1"/>
      <c r="AH171" s="120"/>
    </row>
    <row r="172" spans="1:34" ht="15">
      <c r="A172" s="126"/>
      <c r="B172" s="136"/>
      <c r="C172" s="108" t="s">
        <v>1211</v>
      </c>
      <c r="E172" s="120"/>
      <c r="F172" s="120"/>
      <c r="G172" s="120"/>
      <c r="H172" s="115">
        <f t="shared" si="45"/>
        <v>40000</v>
      </c>
      <c r="I172" s="115">
        <f t="shared" si="46"/>
        <v>40000</v>
      </c>
      <c r="J172" s="115">
        <f t="shared" si="48"/>
        <v>40000</v>
      </c>
      <c r="K172" s="115">
        <f t="shared" si="49"/>
        <v>40000</v>
      </c>
      <c r="L172" s="115">
        <f t="shared" si="47"/>
        <v>40000</v>
      </c>
      <c r="M172" s="115">
        <f t="shared" si="50"/>
        <v>40000</v>
      </c>
      <c r="N172" s="115">
        <f t="shared" si="51"/>
        <v>40000</v>
      </c>
      <c r="O172" s="115">
        <f t="shared" si="52"/>
        <v>40000</v>
      </c>
      <c r="P172" s="115">
        <f t="shared" si="53"/>
        <v>40000</v>
      </c>
      <c r="Q172" s="116"/>
      <c r="R172" s="116"/>
      <c r="S172" s="116"/>
      <c r="T172" s="116">
        <v>40000</v>
      </c>
      <c r="U172" s="116"/>
      <c r="V172" s="116"/>
      <c r="W172" s="116"/>
      <c r="X172" s="116"/>
      <c r="Y172" s="116"/>
      <c r="Z172" s="116"/>
      <c r="AA172" s="116"/>
      <c r="AB172" s="116"/>
      <c r="AC172" s="115"/>
      <c r="AD172" s="234"/>
      <c r="AE172" s="1">
        <v>533490.9</v>
      </c>
      <c r="AF172" s="120"/>
      <c r="AG172" s="1"/>
      <c r="AH172" s="120"/>
    </row>
    <row r="173" spans="1:34" ht="15">
      <c r="A173" s="126"/>
      <c r="B173" s="136"/>
      <c r="C173" s="108" t="s">
        <v>1212</v>
      </c>
      <c r="E173" s="120"/>
      <c r="F173" s="120"/>
      <c r="G173" s="120"/>
      <c r="H173" s="115">
        <f t="shared" si="45"/>
        <v>47539.999999999185</v>
      </c>
      <c r="I173" s="115">
        <f t="shared" si="46"/>
        <v>47539.999999999185</v>
      </c>
      <c r="J173" s="115">
        <f t="shared" si="48"/>
        <v>47539.999999999185</v>
      </c>
      <c r="K173" s="115">
        <f t="shared" si="49"/>
        <v>47539.999999999185</v>
      </c>
      <c r="L173" s="115">
        <f t="shared" si="47"/>
        <v>47539.999999999185</v>
      </c>
      <c r="M173" s="115">
        <f t="shared" si="50"/>
        <v>47539.999999999185</v>
      </c>
      <c r="N173" s="115">
        <f t="shared" si="51"/>
        <v>47539.999999999185</v>
      </c>
      <c r="O173" s="115">
        <f t="shared" si="52"/>
        <v>47539.999999999185</v>
      </c>
      <c r="P173" s="115">
        <f t="shared" si="53"/>
        <v>47539.999999999185</v>
      </c>
      <c r="Q173" s="116"/>
      <c r="R173" s="116"/>
      <c r="S173" s="116"/>
      <c r="T173" s="116">
        <f>36020-1050+110116-6006.96-104109.04+680-680+20900+50000-1207.39-50000-19692.61+65000+85000-811.88+19700+271330-185-1445-3356.52+49000+1230000-1322.09+7000000-270007.91-18665-61458.48-8230000-35208.12-288-84712</f>
        <v>47539.999999999185</v>
      </c>
      <c r="U173" s="116"/>
      <c r="V173" s="116"/>
      <c r="W173" s="116"/>
      <c r="X173" s="116"/>
      <c r="Y173" s="116"/>
      <c r="Z173" s="116"/>
      <c r="AA173" s="116"/>
      <c r="AB173" s="116"/>
      <c r="AC173" s="115"/>
      <c r="AD173" s="234"/>
      <c r="AE173" s="1">
        <v>10000</v>
      </c>
      <c r="AF173" s="120"/>
      <c r="AG173" s="1"/>
      <c r="AH173" s="120"/>
    </row>
    <row r="174" spans="1:34" ht="15">
      <c r="A174" s="126"/>
      <c r="B174" s="136"/>
      <c r="C174" s="108" t="s">
        <v>1213</v>
      </c>
      <c r="E174" s="120"/>
      <c r="F174" s="120"/>
      <c r="G174" s="120"/>
      <c r="H174" s="115">
        <f t="shared" si="45"/>
        <v>1368</v>
      </c>
      <c r="I174" s="115">
        <f t="shared" si="46"/>
        <v>1368</v>
      </c>
      <c r="J174" s="115">
        <f t="shared" si="48"/>
        <v>1368</v>
      </c>
      <c r="K174" s="115">
        <f t="shared" si="49"/>
        <v>1368</v>
      </c>
      <c r="L174" s="115">
        <f t="shared" si="47"/>
        <v>1368</v>
      </c>
      <c r="M174" s="115">
        <f t="shared" si="50"/>
        <v>1368</v>
      </c>
      <c r="N174" s="115">
        <f t="shared" si="51"/>
        <v>1368</v>
      </c>
      <c r="O174" s="115">
        <f t="shared" si="52"/>
        <v>1368</v>
      </c>
      <c r="P174" s="115">
        <f t="shared" si="53"/>
        <v>1368</v>
      </c>
      <c r="Q174" s="116"/>
      <c r="R174" s="116"/>
      <c r="S174" s="116"/>
      <c r="T174" s="116">
        <v>1368</v>
      </c>
      <c r="U174" s="116"/>
      <c r="V174" s="116"/>
      <c r="W174" s="116"/>
      <c r="X174" s="116"/>
      <c r="Y174" s="116"/>
      <c r="Z174" s="116"/>
      <c r="AA174" s="116"/>
      <c r="AB174" s="116"/>
      <c r="AC174" s="115"/>
      <c r="AD174" s="234"/>
      <c r="AE174" s="1">
        <v>35000</v>
      </c>
      <c r="AF174" s="120"/>
      <c r="AG174" s="1"/>
      <c r="AH174" s="120"/>
    </row>
    <row r="175" spans="1:34" ht="15">
      <c r="A175" s="126"/>
      <c r="B175" s="136"/>
      <c r="C175" s="108" t="s">
        <v>1214</v>
      </c>
      <c r="E175" s="120"/>
      <c r="F175" s="120"/>
      <c r="G175" s="120"/>
      <c r="H175" s="115">
        <f t="shared" si="45"/>
        <v>379000</v>
      </c>
      <c r="I175" s="115">
        <f t="shared" si="46"/>
        <v>379000</v>
      </c>
      <c r="J175" s="115">
        <f t="shared" si="48"/>
        <v>379000</v>
      </c>
      <c r="K175" s="115">
        <f t="shared" si="49"/>
        <v>379000</v>
      </c>
      <c r="L175" s="115">
        <f t="shared" si="47"/>
        <v>379000</v>
      </c>
      <c r="M175" s="115">
        <f t="shared" si="50"/>
        <v>379000</v>
      </c>
      <c r="N175" s="115">
        <f t="shared" si="51"/>
        <v>379000</v>
      </c>
      <c r="O175" s="115">
        <f t="shared" si="52"/>
        <v>379000</v>
      </c>
      <c r="P175" s="115">
        <f t="shared" si="53"/>
        <v>379000</v>
      </c>
      <c r="Q175" s="116"/>
      <c r="R175" s="116"/>
      <c r="S175" s="116"/>
      <c r="T175" s="116">
        <v>379000</v>
      </c>
      <c r="U175" s="116"/>
      <c r="V175" s="116"/>
      <c r="W175" s="116"/>
      <c r="X175" s="116"/>
      <c r="Y175" s="116"/>
      <c r="Z175" s="116"/>
      <c r="AA175" s="116"/>
      <c r="AB175" s="116"/>
      <c r="AC175" s="115"/>
      <c r="AD175" s="234"/>
      <c r="AE175" s="1"/>
      <c r="AF175" s="120"/>
      <c r="AG175" s="1"/>
      <c r="AH175" s="120"/>
    </row>
    <row r="176" spans="1:34" ht="15">
      <c r="A176" s="126"/>
      <c r="B176" s="136"/>
      <c r="C176" s="108" t="s">
        <v>1215</v>
      </c>
      <c r="E176" s="120"/>
      <c r="F176" s="120"/>
      <c r="G176" s="120"/>
      <c r="H176" s="115">
        <f t="shared" ref="H176:H189" si="54">Q176+R176+S176+T176</f>
        <v>-293.58000000008269</v>
      </c>
      <c r="I176" s="115">
        <f t="shared" si="46"/>
        <v>-293.58000000008269</v>
      </c>
      <c r="J176" s="115">
        <f t="shared" si="48"/>
        <v>-293.58000000008269</v>
      </c>
      <c r="K176" s="115">
        <f t="shared" si="49"/>
        <v>-293.58000000008269</v>
      </c>
      <c r="L176" s="115">
        <f t="shared" si="47"/>
        <v>-293.58000000008269</v>
      </c>
      <c r="M176" s="115">
        <f t="shared" si="50"/>
        <v>-293.58000000008269</v>
      </c>
      <c r="N176" s="115">
        <f t="shared" si="51"/>
        <v>-293.58000000008269</v>
      </c>
      <c r="O176" s="115">
        <f t="shared" si="52"/>
        <v>-293.58000000008269</v>
      </c>
      <c r="P176" s="115">
        <f t="shared" si="53"/>
        <v>-293.58000000008269</v>
      </c>
      <c r="Q176" s="116"/>
      <c r="R176" s="116"/>
      <c r="S176" s="116"/>
      <c r="T176" s="116">
        <f>125850.12+21450+20000-670.5-525-750-223.5-1482+45000-9975-1961.93+60000-1416.65-144970.45-1618.97-1732.65+161940-28267.35-1711.06-6455.07+106940-155713.89+8572+31940-1711.07-2567.13-1272.94+13023+29400+25000-588.9-1536.1+59400-1009.23-1607.15+30000-109940.86-3150-1585.94+0.02+79400-252694.29-2792.63-20-1000-270-8730-19000-2695.94-47304.06-1258.46</f>
        <v>-293.58000000008269</v>
      </c>
      <c r="U176" s="116"/>
      <c r="V176" s="116"/>
      <c r="W176" s="116"/>
      <c r="X176" s="116"/>
      <c r="Y176" s="116"/>
      <c r="Z176" s="116"/>
      <c r="AA176" s="116"/>
      <c r="AB176" s="116"/>
      <c r="AC176" s="115"/>
      <c r="AD176" s="234"/>
      <c r="AE176" s="1">
        <v>20000</v>
      </c>
      <c r="AF176" s="120"/>
      <c r="AG176" s="1"/>
      <c r="AH176" s="120"/>
    </row>
    <row r="177" spans="1:34" ht="15">
      <c r="A177" s="126"/>
      <c r="B177" s="136"/>
      <c r="C177" s="108" t="s">
        <v>2333</v>
      </c>
      <c r="E177" s="120"/>
      <c r="F177" s="120"/>
      <c r="G177" s="120"/>
      <c r="H177" s="115"/>
      <c r="I177" s="115"/>
      <c r="J177" s="115"/>
      <c r="K177" s="115">
        <f t="shared" si="49"/>
        <v>12500</v>
      </c>
      <c r="L177" s="115">
        <f t="shared" si="47"/>
        <v>12500</v>
      </c>
      <c r="M177" s="115"/>
      <c r="N177" s="115"/>
      <c r="O177" s="115"/>
      <c r="P177" s="115"/>
      <c r="Q177" s="116"/>
      <c r="R177" s="116"/>
      <c r="S177" s="116"/>
      <c r="T177" s="116"/>
      <c r="U177" s="116"/>
      <c r="V177" s="116"/>
      <c r="W177" s="116">
        <v>12500</v>
      </c>
      <c r="X177" s="116"/>
      <c r="Y177" s="116"/>
      <c r="Z177" s="116"/>
      <c r="AA177" s="116"/>
      <c r="AB177" s="116"/>
      <c r="AC177" s="115"/>
      <c r="AD177" s="234"/>
      <c r="AE177" s="1"/>
      <c r="AF177" s="120"/>
      <c r="AG177" s="1"/>
      <c r="AH177" s="120"/>
    </row>
    <row r="178" spans="1:34" ht="15">
      <c r="A178" s="126"/>
      <c r="B178" s="136"/>
      <c r="C178" s="108" t="s">
        <v>2333</v>
      </c>
      <c r="E178" s="120"/>
      <c r="F178" s="120"/>
      <c r="G178" s="120"/>
      <c r="H178" s="115"/>
      <c r="I178" s="115"/>
      <c r="J178" s="115"/>
      <c r="K178" s="115">
        <f t="shared" ref="K178:K189" si="55">Q178+R178+S178+T178+U178+V178+W178</f>
        <v>10000</v>
      </c>
      <c r="L178" s="115">
        <f t="shared" ref="L178" si="56">Q178+R178+S178+T178+U178+V178+W178+X178</f>
        <v>10000</v>
      </c>
      <c r="M178" s="115"/>
      <c r="N178" s="115"/>
      <c r="O178" s="115"/>
      <c r="P178" s="115"/>
      <c r="Q178" s="116"/>
      <c r="R178" s="116"/>
      <c r="S178" s="116"/>
      <c r="T178" s="116"/>
      <c r="U178" s="116"/>
      <c r="V178" s="116"/>
      <c r="W178" s="116">
        <v>10000</v>
      </c>
      <c r="X178" s="116"/>
      <c r="Y178" s="116"/>
      <c r="Z178" s="116"/>
      <c r="AA178" s="116"/>
      <c r="AB178" s="116"/>
      <c r="AC178" s="115"/>
      <c r="AD178" s="234"/>
      <c r="AE178" s="1"/>
      <c r="AF178" s="120"/>
      <c r="AG178" s="1"/>
      <c r="AH178" s="120"/>
    </row>
    <row r="179" spans="1:34" ht="15">
      <c r="A179" s="126"/>
      <c r="B179" s="136"/>
      <c r="C179" s="108" t="s">
        <v>1216</v>
      </c>
      <c r="D179" s="156" t="s">
        <v>1217</v>
      </c>
      <c r="E179" s="120"/>
      <c r="F179" s="120"/>
      <c r="G179" s="120"/>
      <c r="H179" s="115">
        <f t="shared" si="54"/>
        <v>100000</v>
      </c>
      <c r="I179" s="115">
        <f t="shared" ref="I179:I189" si="57">Q179+R179+S179+T179+U179</f>
        <v>100000</v>
      </c>
      <c r="J179" s="115">
        <f t="shared" ref="J179:J189" si="58">Q179+R179+S179+T179+U179+V179</f>
        <v>100000</v>
      </c>
      <c r="K179" s="115">
        <f t="shared" si="55"/>
        <v>100000</v>
      </c>
      <c r="L179" s="115">
        <f t="shared" ref="L179:L189" si="59">Q179+R179+S179+T179+U179+V179+W179+X179</f>
        <v>100000</v>
      </c>
      <c r="M179" s="115">
        <f t="shared" ref="M179:M189" si="60">Q179+R179+S179+T179+U179+V179+W179+X179+Y179</f>
        <v>100000</v>
      </c>
      <c r="N179" s="115">
        <f t="shared" ref="N179:N189" si="61">Q179+R179+S179+T179+U179+V179+W179+X179+Y179+Z179</f>
        <v>100000</v>
      </c>
      <c r="O179" s="115">
        <f t="shared" ref="O179:O189" si="62">Q179+R179+S179+T179+U179+V179+W179+X179+Y179+Z179+AA179</f>
        <v>100000</v>
      </c>
      <c r="P179" s="115">
        <f t="shared" ref="P179:P189" si="63">Q179+R179+S179+T179+U179+V179+W179+X179+Y179+Z179+AA179+AB179</f>
        <v>100000</v>
      </c>
      <c r="Q179" s="116"/>
      <c r="R179" s="116"/>
      <c r="S179" s="116"/>
      <c r="T179" s="116">
        <v>100000</v>
      </c>
      <c r="U179" s="116"/>
      <c r="V179" s="116"/>
      <c r="W179" s="116"/>
      <c r="X179" s="116"/>
      <c r="Y179" s="116"/>
      <c r="Z179" s="116"/>
      <c r="AA179" s="116"/>
      <c r="AB179" s="116"/>
      <c r="AC179" s="115"/>
      <c r="AD179" s="234"/>
      <c r="AE179" s="1"/>
      <c r="AF179" s="120"/>
      <c r="AG179" s="1"/>
      <c r="AH179" s="120"/>
    </row>
    <row r="180" spans="1:34" ht="15">
      <c r="A180" s="126"/>
      <c r="B180" s="136"/>
      <c r="C180" s="108" t="s">
        <v>1218</v>
      </c>
      <c r="D180" s="156"/>
      <c r="E180" s="120"/>
      <c r="F180" s="120"/>
      <c r="G180" s="120"/>
      <c r="H180" s="115">
        <f t="shared" si="54"/>
        <v>17132.639999999781</v>
      </c>
      <c r="I180" s="115">
        <f t="shared" si="57"/>
        <v>17132.639999999781</v>
      </c>
      <c r="J180" s="115">
        <f t="shared" si="58"/>
        <v>17132.639999999781</v>
      </c>
      <c r="K180" s="115">
        <f t="shared" si="55"/>
        <v>17132.639999999781</v>
      </c>
      <c r="L180" s="115">
        <f t="shared" si="59"/>
        <v>17132.639999999781</v>
      </c>
      <c r="M180" s="115">
        <f t="shared" si="60"/>
        <v>17132.639999999781</v>
      </c>
      <c r="N180" s="115">
        <f t="shared" si="61"/>
        <v>17132.639999999781</v>
      </c>
      <c r="O180" s="115">
        <f t="shared" si="62"/>
        <v>17132.639999999781</v>
      </c>
      <c r="P180" s="115">
        <f t="shared" si="63"/>
        <v>17132.639999999781</v>
      </c>
      <c r="Q180" s="116"/>
      <c r="R180" s="116"/>
      <c r="S180" s="116"/>
      <c r="T180" s="116">
        <f>199229.94+20000+20000-100000+368414-68573.74+10000-7650+70000-135150-3868.69-78321.81-6125.82+1100000+670000+76500-175-300+17000-1880344.11-9821.43-5982.14-1849.1+175-68150.9-2855-238.56-4556.75-86578.25-73645</f>
        <v>17132.639999999781</v>
      </c>
      <c r="U180" s="116"/>
      <c r="V180" s="116"/>
      <c r="W180" s="116"/>
      <c r="X180" s="116"/>
      <c r="Y180" s="116"/>
      <c r="Z180" s="116"/>
      <c r="AA180" s="116"/>
      <c r="AB180" s="116"/>
      <c r="AC180" s="115"/>
      <c r="AD180" s="234"/>
      <c r="AE180" s="1"/>
      <c r="AF180" s="120"/>
      <c r="AG180" s="1"/>
      <c r="AH180" s="120"/>
    </row>
    <row r="181" spans="1:34" ht="15">
      <c r="A181" s="126"/>
      <c r="B181" s="136"/>
      <c r="C181" s="108" t="s">
        <v>1218</v>
      </c>
      <c r="D181" s="156" t="s">
        <v>1219</v>
      </c>
      <c r="E181" s="120"/>
      <c r="F181" s="120"/>
      <c r="G181" s="120"/>
      <c r="H181" s="115">
        <f t="shared" si="54"/>
        <v>50000</v>
      </c>
      <c r="I181" s="115">
        <f t="shared" si="57"/>
        <v>50000</v>
      </c>
      <c r="J181" s="115">
        <f t="shared" si="58"/>
        <v>50000</v>
      </c>
      <c r="K181" s="115">
        <f t="shared" si="55"/>
        <v>50000</v>
      </c>
      <c r="L181" s="115">
        <f t="shared" si="59"/>
        <v>50000</v>
      </c>
      <c r="M181" s="115">
        <f t="shared" si="60"/>
        <v>50000</v>
      </c>
      <c r="N181" s="115">
        <f t="shared" si="61"/>
        <v>50000</v>
      </c>
      <c r="O181" s="115">
        <f t="shared" si="62"/>
        <v>50000</v>
      </c>
      <c r="P181" s="115">
        <f t="shared" si="63"/>
        <v>50000</v>
      </c>
      <c r="Q181" s="116"/>
      <c r="R181" s="116"/>
      <c r="S181" s="116"/>
      <c r="T181" s="116">
        <v>50000</v>
      </c>
      <c r="U181" s="116"/>
      <c r="V181" s="116"/>
      <c r="W181" s="116"/>
      <c r="X181" s="116"/>
      <c r="Y181" s="116"/>
      <c r="Z181" s="116"/>
      <c r="AA181" s="116"/>
      <c r="AB181" s="116"/>
      <c r="AC181" s="115"/>
      <c r="AD181" s="234"/>
      <c r="AE181" s="1">
        <v>14000</v>
      </c>
      <c r="AF181" s="120"/>
      <c r="AG181" s="1"/>
      <c r="AH181" s="120"/>
    </row>
    <row r="182" spans="1:34" ht="15">
      <c r="A182" s="126"/>
      <c r="B182" s="136"/>
      <c r="C182" s="108" t="s">
        <v>1220</v>
      </c>
      <c r="D182" s="156"/>
      <c r="E182" s="120"/>
      <c r="F182" s="120"/>
      <c r="G182" s="120"/>
      <c r="H182" s="115">
        <f t="shared" si="54"/>
        <v>359.57000000002154</v>
      </c>
      <c r="I182" s="115">
        <f t="shared" si="57"/>
        <v>359.57000000002154</v>
      </c>
      <c r="J182" s="115">
        <f t="shared" si="58"/>
        <v>359.57000000002154</v>
      </c>
      <c r="K182" s="115">
        <f t="shared" si="55"/>
        <v>359.57000000002154</v>
      </c>
      <c r="L182" s="115">
        <f t="shared" si="59"/>
        <v>359.57000000002154</v>
      </c>
      <c r="M182" s="115">
        <f t="shared" si="60"/>
        <v>359.57000000002154</v>
      </c>
      <c r="N182" s="115">
        <f t="shared" si="61"/>
        <v>359.57000000002154</v>
      </c>
      <c r="O182" s="115">
        <f t="shared" si="62"/>
        <v>359.57000000002154</v>
      </c>
      <c r="P182" s="115">
        <f t="shared" si="63"/>
        <v>359.57000000002154</v>
      </c>
      <c r="Q182" s="116"/>
      <c r="R182" s="116"/>
      <c r="S182" s="116"/>
      <c r="T182" s="116">
        <f>10000-1608.52-358.57-7673.34+127100-12695.21-114404.79</f>
        <v>359.57000000002154</v>
      </c>
      <c r="U182" s="116"/>
      <c r="V182" s="116"/>
      <c r="W182" s="116"/>
      <c r="X182" s="116"/>
      <c r="Y182" s="116"/>
      <c r="Z182" s="116"/>
      <c r="AA182" s="116"/>
      <c r="AB182" s="116"/>
      <c r="AC182" s="115"/>
      <c r="AD182" s="234"/>
      <c r="AE182" s="1">
        <v>16600</v>
      </c>
      <c r="AF182" s="120"/>
      <c r="AG182" s="1"/>
      <c r="AH182" s="120"/>
    </row>
    <row r="183" spans="1:34" ht="15">
      <c r="A183" s="126"/>
      <c r="B183" s="136"/>
      <c r="C183" s="108" t="s">
        <v>1221</v>
      </c>
      <c r="D183" s="156"/>
      <c r="E183" s="120"/>
      <c r="F183" s="120"/>
      <c r="G183" s="120"/>
      <c r="H183" s="115">
        <f t="shared" si="54"/>
        <v>685850</v>
      </c>
      <c r="I183" s="115">
        <f t="shared" si="57"/>
        <v>685850</v>
      </c>
      <c r="J183" s="115">
        <f t="shared" si="58"/>
        <v>685850</v>
      </c>
      <c r="K183" s="115">
        <f t="shared" si="55"/>
        <v>685850</v>
      </c>
      <c r="L183" s="115">
        <f t="shared" si="59"/>
        <v>685850</v>
      </c>
      <c r="M183" s="115">
        <f t="shared" si="60"/>
        <v>685850</v>
      </c>
      <c r="N183" s="115">
        <f t="shared" si="61"/>
        <v>685850</v>
      </c>
      <c r="O183" s="115">
        <f t="shared" si="62"/>
        <v>685850</v>
      </c>
      <c r="P183" s="115">
        <f t="shared" si="63"/>
        <v>685850</v>
      </c>
      <c r="Q183" s="116"/>
      <c r="R183" s="116"/>
      <c r="S183" s="116"/>
      <c r="T183" s="116">
        <f>80600+180000+82500+70000+125000+20000+32500+95250</f>
        <v>685850</v>
      </c>
      <c r="U183" s="116"/>
      <c r="V183" s="116"/>
      <c r="W183" s="116"/>
      <c r="X183" s="116"/>
      <c r="Y183" s="116"/>
      <c r="Z183" s="116"/>
      <c r="AA183" s="116"/>
      <c r="AB183" s="116"/>
      <c r="AC183" s="115"/>
      <c r="AD183" s="234"/>
      <c r="AE183" s="1"/>
      <c r="AF183" s="120"/>
      <c r="AG183" s="1"/>
      <c r="AH183" s="120"/>
    </row>
    <row r="184" spans="1:34" ht="15">
      <c r="A184" s="126"/>
      <c r="B184" s="136"/>
      <c r="C184" s="108" t="s">
        <v>1222</v>
      </c>
      <c r="D184" s="156"/>
      <c r="E184" s="120"/>
      <c r="F184" s="120"/>
      <c r="G184" s="120"/>
      <c r="H184" s="115">
        <f t="shared" si="54"/>
        <v>119212.5</v>
      </c>
      <c r="I184" s="115">
        <f t="shared" si="57"/>
        <v>119212.5</v>
      </c>
      <c r="J184" s="115">
        <f t="shared" si="58"/>
        <v>119212.5</v>
      </c>
      <c r="K184" s="115">
        <f t="shared" si="55"/>
        <v>119212.5</v>
      </c>
      <c r="L184" s="115">
        <f t="shared" si="59"/>
        <v>119212.5</v>
      </c>
      <c r="M184" s="115">
        <f t="shared" si="60"/>
        <v>119212.5</v>
      </c>
      <c r="N184" s="115">
        <f t="shared" si="61"/>
        <v>119212.5</v>
      </c>
      <c r="O184" s="115">
        <f t="shared" si="62"/>
        <v>119212.5</v>
      </c>
      <c r="P184" s="115">
        <f t="shared" si="63"/>
        <v>119212.5</v>
      </c>
      <c r="Q184" s="116"/>
      <c r="R184" s="116"/>
      <c r="S184" s="116"/>
      <c r="T184" s="116">
        <f>9712.5+12500+23000+18000+47000+9000</f>
        <v>119212.5</v>
      </c>
      <c r="U184" s="116"/>
      <c r="V184" s="116"/>
      <c r="W184" s="116"/>
      <c r="X184" s="116"/>
      <c r="Y184" s="116"/>
      <c r="Z184" s="116"/>
      <c r="AA184" s="116"/>
      <c r="AB184" s="116"/>
      <c r="AC184" s="115"/>
      <c r="AD184" s="234"/>
      <c r="AE184" s="1">
        <v>135000</v>
      </c>
      <c r="AF184" s="120"/>
      <c r="AG184" s="1"/>
      <c r="AH184" s="120"/>
    </row>
    <row r="185" spans="1:34" ht="15">
      <c r="A185" s="126"/>
      <c r="B185" s="136"/>
      <c r="C185" s="128" t="s">
        <v>1223</v>
      </c>
      <c r="D185" s="156"/>
      <c r="E185" s="117"/>
      <c r="F185" s="117"/>
      <c r="G185" s="117"/>
      <c r="H185" s="115">
        <f t="shared" si="54"/>
        <v>57986.75</v>
      </c>
      <c r="I185" s="115">
        <f t="shared" si="57"/>
        <v>57986.75</v>
      </c>
      <c r="J185" s="115">
        <f t="shared" si="58"/>
        <v>57986.75</v>
      </c>
      <c r="K185" s="115">
        <f t="shared" si="55"/>
        <v>57986.75</v>
      </c>
      <c r="L185" s="115">
        <f t="shared" si="59"/>
        <v>57986.75</v>
      </c>
      <c r="M185" s="115">
        <f t="shared" si="60"/>
        <v>57986.75</v>
      </c>
      <c r="N185" s="115">
        <f t="shared" si="61"/>
        <v>57986.75</v>
      </c>
      <c r="O185" s="115">
        <f t="shared" si="62"/>
        <v>57986.75</v>
      </c>
      <c r="P185" s="115">
        <f t="shared" si="63"/>
        <v>57986.75</v>
      </c>
      <c r="Q185" s="125"/>
      <c r="R185" s="125"/>
      <c r="S185" s="125"/>
      <c r="T185" s="125">
        <f>707986.75-650000</f>
        <v>57986.75</v>
      </c>
      <c r="U185" s="125"/>
      <c r="V185" s="125"/>
      <c r="W185" s="125"/>
      <c r="X185" s="125"/>
      <c r="Y185" s="125"/>
      <c r="Z185" s="125"/>
      <c r="AA185" s="125"/>
      <c r="AB185" s="125"/>
      <c r="AC185" s="124"/>
      <c r="AD185" s="234"/>
      <c r="AE185" s="1">
        <f ca="1">SUM(AE164:AF189)</f>
        <v>4278276.5</v>
      </c>
      <c r="AF185" s="120"/>
      <c r="AG185" s="1"/>
      <c r="AH185" s="120"/>
    </row>
    <row r="186" spans="1:34" ht="15">
      <c r="A186" s="126"/>
      <c r="B186" s="136"/>
      <c r="C186" s="108" t="s">
        <v>1224</v>
      </c>
      <c r="D186" s="156"/>
      <c r="E186" s="129"/>
      <c r="F186" s="129"/>
      <c r="G186" s="129"/>
      <c r="H186" s="115">
        <f t="shared" si="54"/>
        <v>199.99999999999932</v>
      </c>
      <c r="I186" s="115">
        <f t="shared" si="57"/>
        <v>199.99999999999932</v>
      </c>
      <c r="J186" s="115">
        <f t="shared" si="58"/>
        <v>199.99999999999932</v>
      </c>
      <c r="K186" s="115">
        <f t="shared" si="55"/>
        <v>199.99999999999932</v>
      </c>
      <c r="L186" s="115">
        <f t="shared" si="59"/>
        <v>199.99999999999932</v>
      </c>
      <c r="M186" s="115">
        <f t="shared" si="60"/>
        <v>199.99999999999932</v>
      </c>
      <c r="N186" s="115">
        <f t="shared" si="61"/>
        <v>199.99999999999932</v>
      </c>
      <c r="O186" s="115">
        <f t="shared" si="62"/>
        <v>199.99999999999932</v>
      </c>
      <c r="P186" s="115">
        <f t="shared" si="63"/>
        <v>199.99999999999932</v>
      </c>
      <c r="Q186" s="147"/>
      <c r="R186" s="147"/>
      <c r="S186" s="147"/>
      <c r="T186" s="147">
        <f>5700-5300-200+15000-13426.2-1573.8</f>
        <v>199.99999999999932</v>
      </c>
      <c r="U186" s="147"/>
      <c r="V186" s="147"/>
      <c r="W186" s="147"/>
      <c r="X186" s="147"/>
      <c r="Y186" s="147"/>
      <c r="Z186" s="147"/>
      <c r="AA186" s="147"/>
      <c r="AB186" s="147"/>
      <c r="AC186" s="129"/>
      <c r="AD186" s="234"/>
      <c r="AE186" s="1"/>
      <c r="AF186" s="120"/>
      <c r="AG186" s="1"/>
      <c r="AH186" s="120"/>
    </row>
    <row r="187" spans="1:34" ht="15">
      <c r="A187" s="126"/>
      <c r="B187" s="136"/>
      <c r="C187" s="108" t="s">
        <v>1225</v>
      </c>
      <c r="D187" s="156"/>
      <c r="E187" s="120"/>
      <c r="F187" s="120"/>
      <c r="G187" s="120"/>
      <c r="H187" s="115">
        <f t="shared" si="54"/>
        <v>53788.629999999823</v>
      </c>
      <c r="I187" s="115">
        <f t="shared" si="57"/>
        <v>53788.629999999823</v>
      </c>
      <c r="J187" s="115">
        <f t="shared" si="58"/>
        <v>53788.629999999823</v>
      </c>
      <c r="K187" s="115">
        <f t="shared" si="55"/>
        <v>53788.629999999823</v>
      </c>
      <c r="L187" s="115">
        <f t="shared" si="59"/>
        <v>53788.629999999823</v>
      </c>
      <c r="M187" s="115">
        <f t="shared" si="60"/>
        <v>53788.629999999823</v>
      </c>
      <c r="N187" s="115">
        <f t="shared" si="61"/>
        <v>53788.629999999823</v>
      </c>
      <c r="O187" s="115">
        <f t="shared" si="62"/>
        <v>53788.629999999823</v>
      </c>
      <c r="P187" s="115">
        <f t="shared" si="63"/>
        <v>53788.629999999823</v>
      </c>
      <c r="Q187" s="116"/>
      <c r="R187" s="116"/>
      <c r="S187" s="116"/>
      <c r="T187" s="116">
        <f>18035-920-436.36+18400-11563.64-17664-5000-736+300000+213000+71952-300000+148514.5+37375-71952+300000-300000-1326.29-1495+470000-100000-811.93+320000-369188.07-148514.58+55000+20000+20000-240358.49-8521.51+30000-30000-16872.49-3127.51-20000-17142.85-354910.72+52053.57</f>
        <v>53788.629999999823</v>
      </c>
      <c r="U187" s="116"/>
      <c r="V187" s="116"/>
      <c r="W187" s="116"/>
      <c r="X187" s="116"/>
      <c r="Y187" s="116"/>
      <c r="Z187" s="116"/>
      <c r="AA187" s="116"/>
      <c r="AB187" s="116"/>
      <c r="AC187" s="115"/>
      <c r="AD187" s="234"/>
      <c r="AE187" s="1"/>
      <c r="AF187" s="120"/>
      <c r="AG187" s="1"/>
      <c r="AH187" s="120"/>
    </row>
    <row r="188" spans="1:34" ht="15">
      <c r="A188" s="126"/>
      <c r="B188" s="136"/>
      <c r="C188" s="108" t="s">
        <v>1226</v>
      </c>
      <c r="D188" s="156"/>
      <c r="E188" s="120"/>
      <c r="F188" s="120"/>
      <c r="G188" s="120"/>
      <c r="H188" s="115">
        <f t="shared" si="54"/>
        <v>55600</v>
      </c>
      <c r="I188" s="115">
        <f t="shared" si="57"/>
        <v>55600</v>
      </c>
      <c r="J188" s="115">
        <f t="shared" si="58"/>
        <v>55600</v>
      </c>
      <c r="K188" s="115">
        <f t="shared" si="55"/>
        <v>55600</v>
      </c>
      <c r="L188" s="115">
        <f t="shared" si="59"/>
        <v>55600</v>
      </c>
      <c r="M188" s="115">
        <f t="shared" si="60"/>
        <v>55600</v>
      </c>
      <c r="N188" s="115">
        <f t="shared" si="61"/>
        <v>55600</v>
      </c>
      <c r="O188" s="115">
        <f t="shared" si="62"/>
        <v>55600</v>
      </c>
      <c r="P188" s="115">
        <f t="shared" si="63"/>
        <v>55600</v>
      </c>
      <c r="Q188" s="116"/>
      <c r="R188" s="116"/>
      <c r="S188" s="116"/>
      <c r="T188" s="116">
        <f>56600-1000</f>
        <v>55600</v>
      </c>
      <c r="U188" s="116"/>
      <c r="V188" s="116"/>
      <c r="W188" s="116"/>
      <c r="X188" s="116"/>
      <c r="Y188" s="116"/>
      <c r="Z188" s="116"/>
      <c r="AA188" s="116"/>
      <c r="AB188" s="116"/>
      <c r="AC188" s="115"/>
      <c r="AD188" s="234"/>
      <c r="AE188" s="1"/>
      <c r="AF188" s="120"/>
      <c r="AG188" s="1"/>
      <c r="AH188" s="120"/>
    </row>
    <row r="189" spans="1:34" ht="15" hidden="1">
      <c r="A189" s="126"/>
      <c r="B189" s="136"/>
      <c r="C189" s="108" t="s">
        <v>1227</v>
      </c>
      <c r="E189" s="120"/>
      <c r="F189" s="120"/>
      <c r="G189" s="120"/>
      <c r="H189" s="115">
        <f t="shared" si="54"/>
        <v>10647.980000000018</v>
      </c>
      <c r="I189" s="115">
        <f t="shared" si="57"/>
        <v>1.8189894035458565E-11</v>
      </c>
      <c r="J189" s="115">
        <f t="shared" si="58"/>
        <v>1.8189894035458565E-11</v>
      </c>
      <c r="K189" s="115">
        <f t="shared" si="55"/>
        <v>1.8189894035458565E-11</v>
      </c>
      <c r="L189" s="115">
        <f t="shared" si="59"/>
        <v>1.8189894035458565E-11</v>
      </c>
      <c r="M189" s="115">
        <f t="shared" si="60"/>
        <v>1.8189894035458565E-11</v>
      </c>
      <c r="N189" s="115">
        <f t="shared" si="61"/>
        <v>1.8189894035458565E-11</v>
      </c>
      <c r="O189" s="115">
        <f t="shared" si="62"/>
        <v>1.8189894035458565E-11</v>
      </c>
      <c r="P189" s="115">
        <f t="shared" si="63"/>
        <v>1.8189894035458565E-11</v>
      </c>
      <c r="Q189" s="116"/>
      <c r="R189" s="116"/>
      <c r="S189" s="116"/>
      <c r="T189" s="116">
        <f>2408.22+37500-29260.24+16875+167325-16875-156867.18-10457.82</f>
        <v>10647.980000000018</v>
      </c>
      <c r="U189" s="116">
        <v>-10647.98</v>
      </c>
      <c r="V189" s="116"/>
      <c r="W189" s="116"/>
      <c r="X189" s="116"/>
      <c r="Y189" s="116"/>
      <c r="Z189" s="116"/>
      <c r="AA189" s="116"/>
      <c r="AB189" s="116"/>
      <c r="AC189" s="115"/>
      <c r="AD189" s="234"/>
      <c r="AE189" s="1"/>
      <c r="AF189" s="120"/>
      <c r="AG189" s="1"/>
      <c r="AH189" s="120"/>
    </row>
    <row r="190" spans="1:34" ht="15" hidden="1">
      <c r="A190" s="126"/>
      <c r="B190" s="136"/>
      <c r="C190" s="108" t="s">
        <v>1196</v>
      </c>
      <c r="E190" s="120"/>
      <c r="F190" s="120"/>
      <c r="G190" s="120"/>
      <c r="H190" s="120">
        <f>200000-200000</f>
        <v>0</v>
      </c>
      <c r="I190" s="120"/>
      <c r="J190" s="120"/>
      <c r="K190" s="120"/>
      <c r="L190" s="120"/>
      <c r="M190" s="120"/>
      <c r="N190" s="120"/>
      <c r="O190" s="120"/>
      <c r="P190" s="120"/>
      <c r="Q190" s="116"/>
      <c r="R190" s="116"/>
      <c r="S190" s="116"/>
      <c r="T190" s="116">
        <f>200000-200000</f>
        <v>0</v>
      </c>
      <c r="U190" s="116"/>
      <c r="V190" s="116"/>
      <c r="W190" s="116"/>
      <c r="X190" s="116"/>
      <c r="Y190" s="116"/>
      <c r="Z190" s="116"/>
      <c r="AA190" s="116"/>
      <c r="AB190" s="116"/>
      <c r="AC190" s="115"/>
      <c r="AD190" s="234" t="s">
        <v>1197</v>
      </c>
      <c r="AE190" s="1"/>
      <c r="AF190" s="120"/>
      <c r="AG190" s="1"/>
      <c r="AH190" s="120"/>
    </row>
    <row r="191" spans="1:34" ht="15">
      <c r="A191" s="126"/>
      <c r="B191" s="136"/>
      <c r="C191" s="126" t="s">
        <v>1228</v>
      </c>
      <c r="E191" s="118"/>
      <c r="F191" s="118"/>
      <c r="G191" s="118"/>
      <c r="H191" s="118">
        <f>SUM(H108:H189)</f>
        <v>28309676.349999998</v>
      </c>
      <c r="I191" s="118">
        <f>SUM(I108:I190)</f>
        <v>28693115.869999997</v>
      </c>
      <c r="J191" s="118">
        <f>SUM(J108:J190)</f>
        <v>28733115.869999997</v>
      </c>
      <c r="K191" s="118">
        <f>SUM(K108:K190)</f>
        <v>28755615.869999997</v>
      </c>
      <c r="L191" s="118">
        <f>SUM(L108:L190)</f>
        <v>28805615.869999997</v>
      </c>
      <c r="M191" s="118"/>
      <c r="N191" s="118"/>
      <c r="O191" s="118"/>
      <c r="P191" s="118"/>
      <c r="Q191" s="119"/>
      <c r="R191" s="119"/>
      <c r="S191" s="119"/>
      <c r="T191" s="119">
        <f>SUM(T108:T189)</f>
        <v>28309676.349999998</v>
      </c>
      <c r="U191" s="119">
        <f>SUM(U108:U189)</f>
        <v>383439.52</v>
      </c>
      <c r="V191" s="119"/>
      <c r="W191" s="119"/>
      <c r="X191" s="119"/>
      <c r="Y191" s="119"/>
      <c r="Z191" s="119"/>
      <c r="AA191" s="119"/>
      <c r="AB191" s="119"/>
      <c r="AC191" s="172"/>
      <c r="AD191" s="234"/>
      <c r="AE191" s="1" t="e">
        <f>#REF!-AD191</f>
        <v>#REF!</v>
      </c>
      <c r="AF191" s="120"/>
      <c r="AG191" s="1"/>
      <c r="AH191" s="120"/>
    </row>
    <row r="192" spans="1:34" ht="15">
      <c r="A192" s="126"/>
      <c r="B192" s="136"/>
      <c r="C192" s="126"/>
      <c r="D192" s="123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  <c r="AB192" s="125"/>
      <c r="AC192" s="124"/>
      <c r="AD192" s="234"/>
      <c r="AE192" s="1" t="e">
        <f>#REF!-AE191</f>
        <v>#REF!</v>
      </c>
      <c r="AF192" s="120"/>
      <c r="AG192" s="1"/>
      <c r="AH192" s="120"/>
    </row>
    <row r="193" spans="1:34" ht="15">
      <c r="A193" s="126" t="s">
        <v>2327</v>
      </c>
      <c r="B193" s="136"/>
      <c r="C193" s="153"/>
      <c r="D193" s="123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  <c r="AB193" s="125"/>
      <c r="AC193" s="124"/>
      <c r="AD193" s="234"/>
      <c r="AE193" s="1">
        <v>-3400884.43</v>
      </c>
      <c r="AF193" s="120"/>
      <c r="AG193" s="1"/>
      <c r="AH193" s="120"/>
    </row>
    <row r="194" spans="1:34" ht="15">
      <c r="A194" s="150"/>
      <c r="B194" s="128"/>
      <c r="C194" s="108" t="s">
        <v>1229</v>
      </c>
      <c r="E194" s="120"/>
      <c r="F194" s="120"/>
      <c r="G194" s="120"/>
      <c r="H194" s="115">
        <f t="shared" ref="H194:H258" si="64">Q194+R194+S194+T194</f>
        <v>17198</v>
      </c>
      <c r="I194" s="115">
        <f t="shared" ref="I194:I258" si="65">Q194+R194+S194+T194+U194</f>
        <v>17198</v>
      </c>
      <c r="J194" s="115">
        <f t="shared" ref="J194:J258" si="66">Q194+R194+S194+T194+U194+V194</f>
        <v>17198</v>
      </c>
      <c r="K194" s="115">
        <f t="shared" ref="K194:K258" si="67">Q194+R194+S194+T194+U194+V194+W194</f>
        <v>17198</v>
      </c>
      <c r="L194" s="115">
        <f t="shared" ref="L194:L258" si="68">Q194+R194+S194+T194+U194+V194+W194+X194</f>
        <v>17198</v>
      </c>
      <c r="M194" s="115">
        <f t="shared" ref="M194:M258" si="69">Q194+R194+S194+T194+U194+V194+W194+X194+Y194</f>
        <v>17198</v>
      </c>
      <c r="N194" s="115">
        <f t="shared" ref="N194:N258" si="70">Q194+R194+S194+T194+U194+V194+W194+X194+Y194+Z194</f>
        <v>17198</v>
      </c>
      <c r="O194" s="115">
        <f t="shared" ref="O194:O258" si="71">Q194+R194+S194+T194+U194+V194+W194+X194+Y194+Z194+AA194</f>
        <v>17198</v>
      </c>
      <c r="P194" s="115">
        <f t="shared" ref="P194:P258" si="72">Q194+R194+S194+T194+U194+V194+W194+X194+Y194+Z194+AA194+AB194</f>
        <v>17198</v>
      </c>
      <c r="Q194" s="116"/>
      <c r="R194" s="116"/>
      <c r="S194" s="116"/>
      <c r="T194" s="116">
        <v>17198</v>
      </c>
      <c r="U194" s="116"/>
      <c r="V194" s="116"/>
      <c r="W194" s="116"/>
      <c r="X194" s="116"/>
      <c r="Y194" s="116"/>
      <c r="Z194" s="116"/>
      <c r="AA194" s="116"/>
      <c r="AB194" s="116"/>
      <c r="AC194" s="115"/>
      <c r="AD194" s="234"/>
      <c r="AE194" s="1"/>
      <c r="AF194" s="120"/>
      <c r="AG194" s="1"/>
      <c r="AH194" s="120"/>
    </row>
    <row r="195" spans="1:34" ht="15">
      <c r="A195" s="150"/>
      <c r="B195" s="128"/>
      <c r="C195" s="108" t="s">
        <v>1230</v>
      </c>
      <c r="E195" s="120"/>
      <c r="F195" s="120"/>
      <c r="G195" s="120"/>
      <c r="H195" s="115">
        <f t="shared" si="64"/>
        <v>419101.4</v>
      </c>
      <c r="I195" s="115">
        <f t="shared" si="65"/>
        <v>419101.4</v>
      </c>
      <c r="J195" s="115">
        <f t="shared" si="66"/>
        <v>419101.4</v>
      </c>
      <c r="K195" s="115">
        <f t="shared" si="67"/>
        <v>419101.4</v>
      </c>
      <c r="L195" s="115">
        <f t="shared" si="68"/>
        <v>419101.4</v>
      </c>
      <c r="M195" s="115">
        <f t="shared" si="69"/>
        <v>419101.4</v>
      </c>
      <c r="N195" s="115">
        <f t="shared" si="70"/>
        <v>419101.4</v>
      </c>
      <c r="O195" s="115">
        <f t="shared" si="71"/>
        <v>419101.4</v>
      </c>
      <c r="P195" s="115">
        <f t="shared" si="72"/>
        <v>419101.4</v>
      </c>
      <c r="Q195" s="116"/>
      <c r="R195" s="116"/>
      <c r="S195" s="116"/>
      <c r="T195" s="116">
        <f>110500+199280.4+109321</f>
        <v>419101.4</v>
      </c>
      <c r="U195" s="116"/>
      <c r="V195" s="116"/>
      <c r="W195" s="116"/>
      <c r="X195" s="116"/>
      <c r="Y195" s="116"/>
      <c r="Z195" s="116"/>
      <c r="AA195" s="116"/>
      <c r="AB195" s="116"/>
      <c r="AC195" s="115"/>
      <c r="AD195" s="234"/>
      <c r="AE195" s="1"/>
      <c r="AF195" s="120"/>
      <c r="AG195" s="1"/>
      <c r="AH195" s="120"/>
    </row>
    <row r="196" spans="1:34" ht="15">
      <c r="A196" s="150"/>
      <c r="B196" s="128"/>
      <c r="C196" s="108" t="s">
        <v>1231</v>
      </c>
      <c r="D196" s="156" t="s">
        <v>1232</v>
      </c>
      <c r="E196" s="120"/>
      <c r="F196" s="120"/>
      <c r="G196" s="120"/>
      <c r="H196" s="115">
        <f t="shared" si="64"/>
        <v>11370</v>
      </c>
      <c r="I196" s="115">
        <f t="shared" si="65"/>
        <v>11370</v>
      </c>
      <c r="J196" s="115">
        <f t="shared" si="66"/>
        <v>11370</v>
      </c>
      <c r="K196" s="115">
        <f t="shared" si="67"/>
        <v>11370</v>
      </c>
      <c r="L196" s="115">
        <f t="shared" si="68"/>
        <v>11370</v>
      </c>
      <c r="M196" s="115">
        <f t="shared" si="69"/>
        <v>11370</v>
      </c>
      <c r="N196" s="115">
        <f t="shared" si="70"/>
        <v>11370</v>
      </c>
      <c r="O196" s="115">
        <f t="shared" si="71"/>
        <v>11370</v>
      </c>
      <c r="P196" s="115">
        <f t="shared" si="72"/>
        <v>11370</v>
      </c>
      <c r="Q196" s="116"/>
      <c r="R196" s="116"/>
      <c r="S196" s="116"/>
      <c r="T196" s="116">
        <v>11370</v>
      </c>
      <c r="U196" s="116"/>
      <c r="V196" s="116"/>
      <c r="W196" s="116"/>
      <c r="X196" s="116"/>
      <c r="Y196" s="116"/>
      <c r="Z196" s="116"/>
      <c r="AA196" s="116"/>
      <c r="AB196" s="116"/>
      <c r="AC196" s="115"/>
      <c r="AD196" s="234"/>
      <c r="AE196" s="1" t="e">
        <f>AE192-AE194</f>
        <v>#REF!</v>
      </c>
      <c r="AF196" s="120"/>
      <c r="AG196" s="1"/>
      <c r="AH196" s="120"/>
    </row>
    <row r="197" spans="1:34" ht="15">
      <c r="A197" s="150"/>
      <c r="B197" s="128"/>
      <c r="C197" s="108" t="s">
        <v>1233</v>
      </c>
      <c r="D197" s="156" t="s">
        <v>1234</v>
      </c>
      <c r="E197" s="120"/>
      <c r="F197" s="120"/>
      <c r="G197" s="120"/>
      <c r="H197" s="115">
        <f t="shared" si="64"/>
        <v>4380</v>
      </c>
      <c r="I197" s="115">
        <f t="shared" si="65"/>
        <v>4380</v>
      </c>
      <c r="J197" s="115">
        <f t="shared" si="66"/>
        <v>4380</v>
      </c>
      <c r="K197" s="115">
        <f t="shared" si="67"/>
        <v>4380</v>
      </c>
      <c r="L197" s="115">
        <f t="shared" si="68"/>
        <v>4380</v>
      </c>
      <c r="M197" s="115">
        <f t="shared" si="69"/>
        <v>4380</v>
      </c>
      <c r="N197" s="115">
        <f t="shared" si="70"/>
        <v>4380</v>
      </c>
      <c r="O197" s="115">
        <f t="shared" si="71"/>
        <v>4380</v>
      </c>
      <c r="P197" s="115">
        <f t="shared" si="72"/>
        <v>4380</v>
      </c>
      <c r="Q197" s="116"/>
      <c r="R197" s="116"/>
      <c r="S197" s="116"/>
      <c r="T197" s="116">
        <v>4380</v>
      </c>
      <c r="U197" s="116"/>
      <c r="V197" s="116"/>
      <c r="W197" s="116"/>
      <c r="X197" s="116"/>
      <c r="Y197" s="116"/>
      <c r="Z197" s="116"/>
      <c r="AA197" s="116"/>
      <c r="AB197" s="116"/>
      <c r="AC197" s="115"/>
      <c r="AD197" s="234"/>
      <c r="AE197" s="1"/>
      <c r="AF197" s="120"/>
      <c r="AG197" s="1"/>
      <c r="AH197" s="120"/>
    </row>
    <row r="198" spans="1:34" ht="15">
      <c r="A198" s="150"/>
      <c r="B198" s="128"/>
      <c r="C198" s="108" t="s">
        <v>1235</v>
      </c>
      <c r="E198" s="120"/>
      <c r="F198" s="120"/>
      <c r="G198" s="120"/>
      <c r="H198" s="115">
        <f t="shared" si="64"/>
        <v>20010</v>
      </c>
      <c r="I198" s="115">
        <f t="shared" si="65"/>
        <v>20010</v>
      </c>
      <c r="J198" s="115">
        <f t="shared" si="66"/>
        <v>20010</v>
      </c>
      <c r="K198" s="115">
        <f t="shared" si="67"/>
        <v>20010</v>
      </c>
      <c r="L198" s="115">
        <f t="shared" si="68"/>
        <v>20010</v>
      </c>
      <c r="M198" s="115">
        <f t="shared" si="69"/>
        <v>20010</v>
      </c>
      <c r="N198" s="115">
        <f t="shared" si="70"/>
        <v>20010</v>
      </c>
      <c r="O198" s="115">
        <f t="shared" si="71"/>
        <v>20010</v>
      </c>
      <c r="P198" s="115">
        <f t="shared" si="72"/>
        <v>20010</v>
      </c>
      <c r="Q198" s="116"/>
      <c r="R198" s="116"/>
      <c r="S198" s="116"/>
      <c r="T198" s="116">
        <f>20010</f>
        <v>20010</v>
      </c>
      <c r="U198" s="116"/>
      <c r="V198" s="116"/>
      <c r="W198" s="116"/>
      <c r="X198" s="116"/>
      <c r="Y198" s="116"/>
      <c r="Z198" s="116"/>
      <c r="AA198" s="116"/>
      <c r="AB198" s="116"/>
      <c r="AC198" s="115"/>
      <c r="AD198" s="234"/>
      <c r="AE198" s="1"/>
      <c r="AF198" s="120"/>
      <c r="AG198" s="1"/>
      <c r="AH198" s="120"/>
    </row>
    <row r="199" spans="1:34" ht="15">
      <c r="A199" s="150"/>
      <c r="B199" s="128"/>
      <c r="C199" s="108" t="s">
        <v>1236</v>
      </c>
      <c r="E199" s="120"/>
      <c r="F199" s="120"/>
      <c r="G199" s="120"/>
      <c r="H199" s="115">
        <f t="shared" si="64"/>
        <v>9506</v>
      </c>
      <c r="I199" s="115">
        <f t="shared" si="65"/>
        <v>9506</v>
      </c>
      <c r="J199" s="115">
        <f t="shared" si="66"/>
        <v>9506</v>
      </c>
      <c r="K199" s="115">
        <f t="shared" si="67"/>
        <v>9506</v>
      </c>
      <c r="L199" s="115">
        <f t="shared" si="68"/>
        <v>9506</v>
      </c>
      <c r="M199" s="115">
        <f t="shared" si="69"/>
        <v>9506</v>
      </c>
      <c r="N199" s="115">
        <f t="shared" si="70"/>
        <v>9506</v>
      </c>
      <c r="O199" s="115">
        <f t="shared" si="71"/>
        <v>9506</v>
      </c>
      <c r="P199" s="115">
        <f t="shared" si="72"/>
        <v>9506</v>
      </c>
      <c r="Q199" s="116"/>
      <c r="R199" s="116"/>
      <c r="S199" s="116"/>
      <c r="T199" s="116">
        <v>9506</v>
      </c>
      <c r="U199" s="116"/>
      <c r="V199" s="116"/>
      <c r="W199" s="116"/>
      <c r="X199" s="116"/>
      <c r="Y199" s="116"/>
      <c r="Z199" s="116"/>
      <c r="AA199" s="116"/>
      <c r="AB199" s="116"/>
      <c r="AC199" s="115"/>
      <c r="AD199" s="234"/>
      <c r="AE199" s="1"/>
      <c r="AF199" s="120"/>
      <c r="AG199" s="1"/>
      <c r="AH199" s="120"/>
    </row>
    <row r="200" spans="1:34" ht="15">
      <c r="A200" s="150"/>
      <c r="B200" s="128"/>
      <c r="C200" s="108" t="s">
        <v>1237</v>
      </c>
      <c r="E200" s="120"/>
      <c r="F200" s="120"/>
      <c r="G200" s="120"/>
      <c r="H200" s="115">
        <f t="shared" si="64"/>
        <v>14900</v>
      </c>
      <c r="I200" s="115">
        <f t="shared" si="65"/>
        <v>14900</v>
      </c>
      <c r="J200" s="115">
        <f t="shared" si="66"/>
        <v>14900</v>
      </c>
      <c r="K200" s="115">
        <f t="shared" si="67"/>
        <v>14900</v>
      </c>
      <c r="L200" s="115">
        <f t="shared" si="68"/>
        <v>14900</v>
      </c>
      <c r="M200" s="115">
        <f t="shared" si="69"/>
        <v>14900</v>
      </c>
      <c r="N200" s="115">
        <f t="shared" si="70"/>
        <v>14900</v>
      </c>
      <c r="O200" s="115">
        <f t="shared" si="71"/>
        <v>14900</v>
      </c>
      <c r="P200" s="115">
        <f t="shared" si="72"/>
        <v>14900</v>
      </c>
      <c r="Q200" s="116"/>
      <c r="R200" s="116"/>
      <c r="S200" s="116"/>
      <c r="T200" s="116">
        <f>5900+7100+1900</f>
        <v>14900</v>
      </c>
      <c r="U200" s="116"/>
      <c r="V200" s="116"/>
      <c r="W200" s="116"/>
      <c r="X200" s="116"/>
      <c r="Y200" s="116"/>
      <c r="Z200" s="116"/>
      <c r="AA200" s="116"/>
      <c r="AB200" s="116"/>
      <c r="AC200" s="115"/>
      <c r="AD200" s="234"/>
      <c r="AE200" s="1"/>
      <c r="AF200" s="120"/>
      <c r="AG200" s="1"/>
      <c r="AH200" s="120"/>
    </row>
    <row r="201" spans="1:34" ht="15">
      <c r="B201" s="154"/>
      <c r="C201" s="136" t="s">
        <v>1238</v>
      </c>
      <c r="D201" s="156"/>
      <c r="E201" s="120"/>
      <c r="F201" s="120"/>
      <c r="G201" s="120"/>
      <c r="H201" s="115">
        <f t="shared" si="64"/>
        <v>8340</v>
      </c>
      <c r="I201" s="115">
        <f t="shared" si="65"/>
        <v>8340</v>
      </c>
      <c r="J201" s="115">
        <f t="shared" si="66"/>
        <v>8340</v>
      </c>
      <c r="K201" s="115">
        <f t="shared" si="67"/>
        <v>8340</v>
      </c>
      <c r="L201" s="115">
        <f t="shared" si="68"/>
        <v>8340</v>
      </c>
      <c r="M201" s="115">
        <f t="shared" si="69"/>
        <v>8340</v>
      </c>
      <c r="N201" s="115">
        <f t="shared" si="70"/>
        <v>8340</v>
      </c>
      <c r="O201" s="115">
        <f t="shared" si="71"/>
        <v>8340</v>
      </c>
      <c r="P201" s="115">
        <f t="shared" si="72"/>
        <v>8340</v>
      </c>
      <c r="Q201" s="116"/>
      <c r="R201" s="116"/>
      <c r="S201" s="116"/>
      <c r="T201" s="116">
        <f>8340</f>
        <v>8340</v>
      </c>
      <c r="U201" s="116"/>
      <c r="V201" s="116"/>
      <c r="W201" s="116"/>
      <c r="X201" s="116"/>
      <c r="Y201" s="116"/>
      <c r="Z201" s="116"/>
      <c r="AA201" s="116"/>
      <c r="AB201" s="116"/>
      <c r="AC201" s="115"/>
      <c r="AD201" s="234"/>
      <c r="AE201" s="1"/>
      <c r="AF201" s="120"/>
      <c r="AG201" s="1"/>
      <c r="AH201" s="120"/>
    </row>
    <row r="202" spans="1:34" ht="15">
      <c r="B202" s="154"/>
      <c r="C202" s="108" t="s">
        <v>1239</v>
      </c>
      <c r="D202" s="156"/>
      <c r="E202" s="120"/>
      <c r="F202" s="120"/>
      <c r="G202" s="120"/>
      <c r="H202" s="115">
        <f t="shared" si="64"/>
        <v>18678</v>
      </c>
      <c r="I202" s="115">
        <f t="shared" si="65"/>
        <v>18678</v>
      </c>
      <c r="J202" s="115">
        <f t="shared" si="66"/>
        <v>18678</v>
      </c>
      <c r="K202" s="115">
        <f t="shared" si="67"/>
        <v>18678</v>
      </c>
      <c r="L202" s="115">
        <f t="shared" si="68"/>
        <v>18678</v>
      </c>
      <c r="M202" s="115">
        <f t="shared" si="69"/>
        <v>18678</v>
      </c>
      <c r="N202" s="115">
        <f t="shared" si="70"/>
        <v>18678</v>
      </c>
      <c r="O202" s="115">
        <f t="shared" si="71"/>
        <v>18678</v>
      </c>
      <c r="P202" s="115">
        <f t="shared" si="72"/>
        <v>18678</v>
      </c>
      <c r="Q202" s="116"/>
      <c r="R202" s="116"/>
      <c r="S202" s="116"/>
      <c r="T202" s="116">
        <v>18678</v>
      </c>
      <c r="U202" s="116"/>
      <c r="V202" s="116"/>
      <c r="W202" s="116"/>
      <c r="X202" s="116"/>
      <c r="Y202" s="116"/>
      <c r="Z202" s="116"/>
      <c r="AA202" s="116"/>
      <c r="AB202" s="116"/>
      <c r="AC202" s="115"/>
      <c r="AD202" s="234"/>
      <c r="AE202" s="1"/>
      <c r="AF202" s="120"/>
      <c r="AG202" s="1"/>
      <c r="AH202" s="120"/>
    </row>
    <row r="203" spans="1:34" ht="15">
      <c r="B203" s="154"/>
      <c r="C203" s="108" t="s">
        <v>1240</v>
      </c>
      <c r="D203" s="156"/>
      <c r="E203" s="120"/>
      <c r="F203" s="120"/>
      <c r="G203" s="120"/>
      <c r="H203" s="115">
        <f t="shared" si="64"/>
        <v>2198</v>
      </c>
      <c r="I203" s="115">
        <f t="shared" si="65"/>
        <v>2198</v>
      </c>
      <c r="J203" s="115">
        <f t="shared" si="66"/>
        <v>2198</v>
      </c>
      <c r="K203" s="115">
        <f t="shared" si="67"/>
        <v>2198</v>
      </c>
      <c r="L203" s="115">
        <f t="shared" si="68"/>
        <v>2198</v>
      </c>
      <c r="M203" s="115">
        <f t="shared" si="69"/>
        <v>2198</v>
      </c>
      <c r="N203" s="115">
        <f t="shared" si="70"/>
        <v>2198</v>
      </c>
      <c r="O203" s="115">
        <f t="shared" si="71"/>
        <v>2198</v>
      </c>
      <c r="P203" s="115">
        <f t="shared" si="72"/>
        <v>2198</v>
      </c>
      <c r="Q203" s="116"/>
      <c r="R203" s="116"/>
      <c r="S203" s="116"/>
      <c r="T203" s="116">
        <v>2198</v>
      </c>
      <c r="U203" s="116"/>
      <c r="V203" s="116"/>
      <c r="W203" s="116"/>
      <c r="X203" s="116"/>
      <c r="Y203" s="116"/>
      <c r="Z203" s="116"/>
      <c r="AA203" s="116"/>
      <c r="AB203" s="116"/>
      <c r="AC203" s="115"/>
      <c r="AD203" s="234"/>
      <c r="AE203" s="1"/>
      <c r="AF203" s="120"/>
      <c r="AG203" s="1"/>
      <c r="AH203" s="120"/>
    </row>
    <row r="204" spans="1:34" ht="15">
      <c r="B204" s="154"/>
      <c r="C204" s="136" t="s">
        <v>1241</v>
      </c>
      <c r="D204" s="156"/>
      <c r="E204" s="120"/>
      <c r="F204" s="120"/>
      <c r="G204" s="120"/>
      <c r="H204" s="115">
        <f t="shared" si="64"/>
        <v>9168</v>
      </c>
      <c r="I204" s="115">
        <f t="shared" si="65"/>
        <v>9168</v>
      </c>
      <c r="J204" s="115">
        <f t="shared" si="66"/>
        <v>9168</v>
      </c>
      <c r="K204" s="115">
        <f t="shared" si="67"/>
        <v>9168</v>
      </c>
      <c r="L204" s="115">
        <f t="shared" si="68"/>
        <v>9168</v>
      </c>
      <c r="M204" s="115">
        <f t="shared" si="69"/>
        <v>9168</v>
      </c>
      <c r="N204" s="115">
        <f t="shared" si="70"/>
        <v>9168</v>
      </c>
      <c r="O204" s="115">
        <f t="shared" si="71"/>
        <v>9168</v>
      </c>
      <c r="P204" s="115">
        <f t="shared" si="72"/>
        <v>9168</v>
      </c>
      <c r="Q204" s="116"/>
      <c r="R204" s="116"/>
      <c r="S204" s="116"/>
      <c r="T204" s="116">
        <f>9168</f>
        <v>9168</v>
      </c>
      <c r="U204" s="116"/>
      <c r="V204" s="116"/>
      <c r="W204" s="116"/>
      <c r="X204" s="116"/>
      <c r="Y204" s="116"/>
      <c r="Z204" s="116"/>
      <c r="AA204" s="116"/>
      <c r="AB204" s="116"/>
      <c r="AC204" s="115"/>
      <c r="AD204" s="234"/>
      <c r="AE204" s="1"/>
      <c r="AF204" s="120"/>
      <c r="AG204" s="1"/>
      <c r="AH204" s="120"/>
    </row>
    <row r="205" spans="1:34" ht="15">
      <c r="B205" s="154"/>
      <c r="C205" s="108" t="s">
        <v>1242</v>
      </c>
      <c r="E205" s="120"/>
      <c r="F205" s="120"/>
      <c r="G205" s="120"/>
      <c r="H205" s="115">
        <f t="shared" si="64"/>
        <v>2384</v>
      </c>
      <c r="I205" s="115">
        <f t="shared" si="65"/>
        <v>2384</v>
      </c>
      <c r="J205" s="115">
        <f t="shared" si="66"/>
        <v>2384</v>
      </c>
      <c r="K205" s="115">
        <f t="shared" si="67"/>
        <v>2384</v>
      </c>
      <c r="L205" s="115">
        <f t="shared" si="68"/>
        <v>2384</v>
      </c>
      <c r="M205" s="115">
        <f t="shared" si="69"/>
        <v>2384</v>
      </c>
      <c r="N205" s="115">
        <f t="shared" si="70"/>
        <v>2384</v>
      </c>
      <c r="O205" s="115">
        <f t="shared" si="71"/>
        <v>2384</v>
      </c>
      <c r="P205" s="115">
        <f t="shared" si="72"/>
        <v>2384</v>
      </c>
      <c r="Q205" s="116"/>
      <c r="R205" s="116"/>
      <c r="S205" s="116"/>
      <c r="T205" s="116">
        <f>1384+1000</f>
        <v>2384</v>
      </c>
      <c r="U205" s="116"/>
      <c r="V205" s="116"/>
      <c r="W205" s="116"/>
      <c r="X205" s="116"/>
      <c r="Y205" s="116"/>
      <c r="Z205" s="116"/>
      <c r="AA205" s="116"/>
      <c r="AB205" s="116"/>
      <c r="AC205" s="115"/>
      <c r="AD205" s="234"/>
      <c r="AE205" s="1"/>
      <c r="AF205" s="120"/>
      <c r="AG205" s="1"/>
      <c r="AH205" s="120"/>
    </row>
    <row r="206" spans="1:34" ht="15">
      <c r="B206" s="154"/>
      <c r="C206" s="108" t="s">
        <v>1243</v>
      </c>
      <c r="D206" s="156"/>
      <c r="E206" s="120"/>
      <c r="F206" s="120"/>
      <c r="G206" s="120"/>
      <c r="H206" s="115">
        <f t="shared" si="64"/>
        <v>4670</v>
      </c>
      <c r="I206" s="115">
        <f t="shared" si="65"/>
        <v>4670</v>
      </c>
      <c r="J206" s="115">
        <f t="shared" si="66"/>
        <v>4670</v>
      </c>
      <c r="K206" s="115">
        <f t="shared" si="67"/>
        <v>4670</v>
      </c>
      <c r="L206" s="115">
        <f t="shared" si="68"/>
        <v>4670</v>
      </c>
      <c r="M206" s="115">
        <f t="shared" si="69"/>
        <v>4670</v>
      </c>
      <c r="N206" s="115">
        <f t="shared" si="70"/>
        <v>4670</v>
      </c>
      <c r="O206" s="115">
        <f t="shared" si="71"/>
        <v>4670</v>
      </c>
      <c r="P206" s="115">
        <f t="shared" si="72"/>
        <v>4670</v>
      </c>
      <c r="Q206" s="116"/>
      <c r="R206" s="116"/>
      <c r="S206" s="116"/>
      <c r="T206" s="116">
        <f>3500+1170</f>
        <v>4670</v>
      </c>
      <c r="U206" s="116"/>
      <c r="V206" s="116"/>
      <c r="W206" s="116"/>
      <c r="X206" s="116"/>
      <c r="Y206" s="116"/>
      <c r="Z206" s="116"/>
      <c r="AA206" s="116"/>
      <c r="AB206" s="116"/>
      <c r="AC206" s="115"/>
      <c r="AD206" s="234"/>
      <c r="AE206" s="1"/>
      <c r="AF206" s="120"/>
      <c r="AG206" s="1"/>
      <c r="AH206" s="120"/>
    </row>
    <row r="207" spans="1:34" ht="15">
      <c r="B207" s="154"/>
      <c r="C207" s="108" t="s">
        <v>1244</v>
      </c>
      <c r="D207" s="156"/>
      <c r="E207" s="120"/>
      <c r="F207" s="120"/>
      <c r="G207" s="120"/>
      <c r="H207" s="115">
        <f t="shared" si="64"/>
        <v>13062.56</v>
      </c>
      <c r="I207" s="115">
        <f t="shared" si="65"/>
        <v>13062.56</v>
      </c>
      <c r="J207" s="115">
        <f t="shared" si="66"/>
        <v>13062.56</v>
      </c>
      <c r="K207" s="115">
        <f t="shared" si="67"/>
        <v>13062.56</v>
      </c>
      <c r="L207" s="115">
        <f t="shared" si="68"/>
        <v>13062.56</v>
      </c>
      <c r="M207" s="115">
        <f t="shared" si="69"/>
        <v>13062.56</v>
      </c>
      <c r="N207" s="115">
        <f t="shared" si="70"/>
        <v>13062.56</v>
      </c>
      <c r="O207" s="115">
        <f t="shared" si="71"/>
        <v>13062.56</v>
      </c>
      <c r="P207" s="115">
        <f t="shared" si="72"/>
        <v>13062.56</v>
      </c>
      <c r="Q207" s="116"/>
      <c r="R207" s="116"/>
      <c r="S207" s="116"/>
      <c r="T207" s="116">
        <v>13062.56</v>
      </c>
      <c r="U207" s="116"/>
      <c r="V207" s="116"/>
      <c r="W207" s="116"/>
      <c r="X207" s="116"/>
      <c r="Y207" s="116"/>
      <c r="Z207" s="116"/>
      <c r="AA207" s="116"/>
      <c r="AB207" s="116"/>
      <c r="AC207" s="115"/>
      <c r="AD207" s="234"/>
      <c r="AE207" s="1"/>
      <c r="AF207" s="120"/>
      <c r="AG207" s="1"/>
      <c r="AH207" s="120"/>
    </row>
    <row r="208" spans="1:34" ht="15">
      <c r="B208" s="154"/>
      <c r="C208" s="108" t="s">
        <v>1245</v>
      </c>
      <c r="D208" s="156"/>
      <c r="E208" s="120"/>
      <c r="F208" s="120"/>
      <c r="G208" s="120"/>
      <c r="H208" s="115">
        <f t="shared" si="64"/>
        <v>14580</v>
      </c>
      <c r="I208" s="115">
        <f t="shared" si="65"/>
        <v>14580</v>
      </c>
      <c r="J208" s="115">
        <f t="shared" si="66"/>
        <v>14580</v>
      </c>
      <c r="K208" s="115">
        <f t="shared" si="67"/>
        <v>14580</v>
      </c>
      <c r="L208" s="115">
        <f t="shared" si="68"/>
        <v>14580</v>
      </c>
      <c r="M208" s="115">
        <f t="shared" si="69"/>
        <v>14580</v>
      </c>
      <c r="N208" s="115">
        <f t="shared" si="70"/>
        <v>14580</v>
      </c>
      <c r="O208" s="115">
        <f t="shared" si="71"/>
        <v>14580</v>
      </c>
      <c r="P208" s="115">
        <f t="shared" si="72"/>
        <v>14580</v>
      </c>
      <c r="Q208" s="116"/>
      <c r="R208" s="116"/>
      <c r="S208" s="116"/>
      <c r="T208" s="116">
        <f>5720+5060-5720+9520</f>
        <v>14580</v>
      </c>
      <c r="U208" s="116"/>
      <c r="V208" s="116"/>
      <c r="W208" s="116"/>
      <c r="X208" s="116"/>
      <c r="Y208" s="116"/>
      <c r="Z208" s="116"/>
      <c r="AA208" s="116"/>
      <c r="AB208" s="116"/>
      <c r="AC208" s="115"/>
      <c r="AD208" s="234"/>
      <c r="AE208" s="1"/>
      <c r="AF208" s="120"/>
      <c r="AG208" s="1"/>
      <c r="AH208" s="120"/>
    </row>
    <row r="209" spans="1:34" ht="15" hidden="1">
      <c r="A209" s="150"/>
      <c r="B209" s="128"/>
      <c r="C209" s="108" t="s">
        <v>1246</v>
      </c>
      <c r="D209" s="156" t="s">
        <v>1247</v>
      </c>
      <c r="E209" s="120"/>
      <c r="F209" s="120"/>
      <c r="G209" s="120"/>
      <c r="H209" s="115">
        <f t="shared" si="64"/>
        <v>6689</v>
      </c>
      <c r="I209" s="115">
        <f t="shared" si="65"/>
        <v>6689</v>
      </c>
      <c r="J209" s="115">
        <f t="shared" si="66"/>
        <v>0</v>
      </c>
      <c r="K209" s="115">
        <f t="shared" si="67"/>
        <v>0</v>
      </c>
      <c r="L209" s="115">
        <f t="shared" si="68"/>
        <v>0</v>
      </c>
      <c r="M209" s="115">
        <f t="shared" si="69"/>
        <v>0</v>
      </c>
      <c r="N209" s="115">
        <f t="shared" si="70"/>
        <v>0</v>
      </c>
      <c r="O209" s="115">
        <f t="shared" si="71"/>
        <v>0</v>
      </c>
      <c r="P209" s="115">
        <f t="shared" si="72"/>
        <v>0</v>
      </c>
      <c r="Q209" s="116"/>
      <c r="R209" s="116"/>
      <c r="S209" s="116"/>
      <c r="T209" s="116">
        <f>6800-111</f>
        <v>6689</v>
      </c>
      <c r="U209" s="116"/>
      <c r="V209" s="116">
        <v>-6689</v>
      </c>
      <c r="W209" s="116"/>
      <c r="X209" s="116"/>
      <c r="Y209" s="116"/>
      <c r="Z209" s="116"/>
      <c r="AA209" s="116"/>
      <c r="AB209" s="116"/>
      <c r="AC209" s="115"/>
      <c r="AD209" s="234"/>
      <c r="AE209" s="1"/>
      <c r="AF209" s="120"/>
      <c r="AG209" s="1"/>
      <c r="AH209" s="120"/>
    </row>
    <row r="210" spans="1:34" ht="15">
      <c r="A210" s="150"/>
      <c r="B210" s="128"/>
      <c r="C210" s="108" t="s">
        <v>2324</v>
      </c>
      <c r="D210" s="156"/>
      <c r="E210" s="120"/>
      <c r="F210" s="120"/>
      <c r="G210" s="120"/>
      <c r="H210" s="115"/>
      <c r="I210" s="115"/>
      <c r="J210" s="115">
        <f t="shared" si="66"/>
        <v>4920</v>
      </c>
      <c r="K210" s="115">
        <f t="shared" si="67"/>
        <v>4920</v>
      </c>
      <c r="L210" s="115">
        <f t="shared" si="68"/>
        <v>4920</v>
      </c>
      <c r="M210" s="115"/>
      <c r="N210" s="115"/>
      <c r="O210" s="115"/>
      <c r="P210" s="115"/>
      <c r="Q210" s="116"/>
      <c r="R210" s="116"/>
      <c r="S210" s="116"/>
      <c r="T210" s="116"/>
      <c r="U210" s="116"/>
      <c r="V210" s="116">
        <v>4920</v>
      </c>
      <c r="W210" s="116"/>
      <c r="X210" s="116"/>
      <c r="Y210" s="116"/>
      <c r="Z210" s="116"/>
      <c r="AA210" s="116"/>
      <c r="AB210" s="116"/>
      <c r="AC210" s="115"/>
      <c r="AD210" s="234"/>
      <c r="AE210" s="1"/>
      <c r="AF210" s="120"/>
      <c r="AG210" s="1"/>
      <c r="AH210" s="120"/>
    </row>
    <row r="211" spans="1:34" ht="15">
      <c r="B211" s="154"/>
      <c r="C211" s="108" t="s">
        <v>1248</v>
      </c>
      <c r="D211" s="156"/>
      <c r="E211" s="120"/>
      <c r="F211" s="120"/>
      <c r="G211" s="120"/>
      <c r="H211" s="115">
        <f t="shared" si="64"/>
        <v>-178.57</v>
      </c>
      <c r="I211" s="115">
        <f t="shared" si="65"/>
        <v>-178.57</v>
      </c>
      <c r="J211" s="115">
        <f t="shared" si="66"/>
        <v>-178.57</v>
      </c>
      <c r="K211" s="115">
        <f t="shared" si="67"/>
        <v>-178.57</v>
      </c>
      <c r="L211" s="115">
        <f t="shared" si="68"/>
        <v>-178.57</v>
      </c>
      <c r="M211" s="115">
        <f t="shared" si="69"/>
        <v>-178.57</v>
      </c>
      <c r="N211" s="115">
        <f t="shared" si="70"/>
        <v>-178.57</v>
      </c>
      <c r="O211" s="115">
        <f t="shared" si="71"/>
        <v>-178.57</v>
      </c>
      <c r="P211" s="115">
        <f t="shared" si="72"/>
        <v>-178.57</v>
      </c>
      <c r="Q211" s="116"/>
      <c r="R211" s="116"/>
      <c r="S211" s="116"/>
      <c r="T211" s="116">
        <f>-178.57</f>
        <v>-178.57</v>
      </c>
      <c r="U211" s="116"/>
      <c r="V211" s="116"/>
      <c r="W211" s="116"/>
      <c r="X211" s="116"/>
      <c r="Y211" s="116"/>
      <c r="Z211" s="116"/>
      <c r="AA211" s="116"/>
      <c r="AB211" s="116"/>
      <c r="AC211" s="115"/>
      <c r="AD211" s="234"/>
      <c r="AE211" s="1"/>
      <c r="AF211" s="120"/>
      <c r="AG211" s="1"/>
      <c r="AH211" s="120"/>
    </row>
    <row r="212" spans="1:34" ht="15">
      <c r="B212" s="154"/>
      <c r="C212" s="108" t="s">
        <v>1162</v>
      </c>
      <c r="D212" s="156"/>
      <c r="E212" s="120"/>
      <c r="F212" s="120"/>
      <c r="G212" s="120"/>
      <c r="H212" s="115">
        <f t="shared" si="64"/>
        <v>24040</v>
      </c>
      <c r="I212" s="115">
        <f t="shared" si="65"/>
        <v>24040</v>
      </c>
      <c r="J212" s="115">
        <f t="shared" si="66"/>
        <v>24040</v>
      </c>
      <c r="K212" s="115">
        <f t="shared" si="67"/>
        <v>24040</v>
      </c>
      <c r="L212" s="115">
        <f t="shared" si="68"/>
        <v>24040</v>
      </c>
      <c r="M212" s="115">
        <f t="shared" si="69"/>
        <v>24040</v>
      </c>
      <c r="N212" s="115">
        <f t="shared" si="70"/>
        <v>24040</v>
      </c>
      <c r="O212" s="115">
        <f t="shared" si="71"/>
        <v>24040</v>
      </c>
      <c r="P212" s="115">
        <f t="shared" si="72"/>
        <v>24040</v>
      </c>
      <c r="Q212" s="116"/>
      <c r="R212" s="116"/>
      <c r="S212" s="116"/>
      <c r="T212" s="116">
        <f>4410+1910+2660+8540+6520</f>
        <v>24040</v>
      </c>
      <c r="U212" s="116"/>
      <c r="V212" s="116"/>
      <c r="W212" s="116"/>
      <c r="X212" s="116"/>
      <c r="Y212" s="116"/>
      <c r="Z212" s="116"/>
      <c r="AA212" s="116"/>
      <c r="AB212" s="116"/>
      <c r="AC212" s="115"/>
      <c r="AD212" s="234"/>
      <c r="AE212" s="1"/>
      <c r="AF212" s="120"/>
      <c r="AG212" s="1"/>
      <c r="AH212" s="120"/>
    </row>
    <row r="213" spans="1:34" ht="15">
      <c r="B213" s="154"/>
      <c r="C213" s="108" t="s">
        <v>1249</v>
      </c>
      <c r="D213" s="156"/>
      <c r="E213" s="120"/>
      <c r="F213" s="120"/>
      <c r="G213" s="120"/>
      <c r="H213" s="115">
        <f t="shared" si="64"/>
        <v>1020</v>
      </c>
      <c r="I213" s="115">
        <f t="shared" si="65"/>
        <v>1020</v>
      </c>
      <c r="J213" s="115">
        <f t="shared" si="66"/>
        <v>1020</v>
      </c>
      <c r="K213" s="115">
        <f t="shared" si="67"/>
        <v>1020</v>
      </c>
      <c r="L213" s="115">
        <f t="shared" si="68"/>
        <v>1020</v>
      </c>
      <c r="M213" s="115">
        <f t="shared" si="69"/>
        <v>1020</v>
      </c>
      <c r="N213" s="115">
        <f t="shared" si="70"/>
        <v>1020</v>
      </c>
      <c r="O213" s="115">
        <f t="shared" si="71"/>
        <v>1020</v>
      </c>
      <c r="P213" s="115">
        <f t="shared" si="72"/>
        <v>1020</v>
      </c>
      <c r="Q213" s="116"/>
      <c r="R213" s="116"/>
      <c r="S213" s="116"/>
      <c r="T213" s="116">
        <v>1020</v>
      </c>
      <c r="U213" s="116"/>
      <c r="V213" s="116"/>
      <c r="W213" s="116"/>
      <c r="X213" s="116"/>
      <c r="Y213" s="116"/>
      <c r="Z213" s="116"/>
      <c r="AA213" s="116"/>
      <c r="AB213" s="116"/>
      <c r="AC213" s="115"/>
      <c r="AD213" s="234"/>
      <c r="AE213" s="1"/>
      <c r="AF213" s="120"/>
      <c r="AG213" s="1"/>
      <c r="AH213" s="120"/>
    </row>
    <row r="214" spans="1:34" ht="15">
      <c r="B214" s="154"/>
      <c r="C214" s="108" t="s">
        <v>1250</v>
      </c>
      <c r="D214" s="156"/>
      <c r="E214" s="120"/>
      <c r="F214" s="120"/>
      <c r="G214" s="120"/>
      <c r="H214" s="115">
        <f t="shared" si="64"/>
        <v>12474</v>
      </c>
      <c r="I214" s="115">
        <f t="shared" si="65"/>
        <v>12474</v>
      </c>
      <c r="J214" s="115">
        <f t="shared" si="66"/>
        <v>12474</v>
      </c>
      <c r="K214" s="115">
        <f t="shared" si="67"/>
        <v>12474</v>
      </c>
      <c r="L214" s="115">
        <f t="shared" si="68"/>
        <v>12474</v>
      </c>
      <c r="M214" s="115">
        <f t="shared" si="69"/>
        <v>12474</v>
      </c>
      <c r="N214" s="115">
        <f t="shared" si="70"/>
        <v>12474</v>
      </c>
      <c r="O214" s="115">
        <f t="shared" si="71"/>
        <v>12474</v>
      </c>
      <c r="P214" s="115">
        <f t="shared" si="72"/>
        <v>12474</v>
      </c>
      <c r="Q214" s="116"/>
      <c r="R214" s="116"/>
      <c r="S214" s="116"/>
      <c r="T214" s="116">
        <f>15135+14495-5123-2160-10-825+3351+17905-1531-703-23548+1328+3014-12-6984-491-1289+2354+15860-3014-2353-9383-2354+9736+4104+10192+3364+1982-341-4104-10192-3023-9736-4124-71-1911+2720+7400-7400+1952-1952-2720+9000+5120-5120+3832-3832-9000+2936</f>
        <v>12474</v>
      </c>
      <c r="U214" s="116"/>
      <c r="V214" s="116"/>
      <c r="W214" s="116"/>
      <c r="X214" s="116"/>
      <c r="Y214" s="116"/>
      <c r="Z214" s="116"/>
      <c r="AA214" s="116"/>
      <c r="AB214" s="116"/>
      <c r="AC214" s="115"/>
      <c r="AD214" s="234"/>
      <c r="AE214" s="1"/>
      <c r="AF214" s="120"/>
      <c r="AG214" s="1"/>
      <c r="AH214" s="120"/>
    </row>
    <row r="215" spans="1:34" ht="15">
      <c r="B215" s="154"/>
      <c r="C215" s="108" t="s">
        <v>1251</v>
      </c>
      <c r="D215" s="156"/>
      <c r="E215" s="120"/>
      <c r="F215" s="120"/>
      <c r="G215" s="120"/>
      <c r="H215" s="115">
        <f t="shared" si="64"/>
        <v>1250</v>
      </c>
      <c r="I215" s="115">
        <f t="shared" si="65"/>
        <v>1250</v>
      </c>
      <c r="J215" s="115">
        <f t="shared" si="66"/>
        <v>1250</v>
      </c>
      <c r="K215" s="115">
        <f t="shared" si="67"/>
        <v>1250</v>
      </c>
      <c r="L215" s="115">
        <f t="shared" si="68"/>
        <v>1250</v>
      </c>
      <c r="M215" s="115">
        <f t="shared" si="69"/>
        <v>1250</v>
      </c>
      <c r="N215" s="115">
        <f t="shared" si="70"/>
        <v>1250</v>
      </c>
      <c r="O215" s="115">
        <f t="shared" si="71"/>
        <v>1250</v>
      </c>
      <c r="P215" s="115">
        <f t="shared" si="72"/>
        <v>1250</v>
      </c>
      <c r="Q215" s="116"/>
      <c r="R215" s="116"/>
      <c r="S215" s="116"/>
      <c r="T215" s="116">
        <f>1250</f>
        <v>1250</v>
      </c>
      <c r="U215" s="116"/>
      <c r="V215" s="116"/>
      <c r="W215" s="116"/>
      <c r="X215" s="116"/>
      <c r="Y215" s="116"/>
      <c r="Z215" s="116"/>
      <c r="AA215" s="116"/>
      <c r="AB215" s="116"/>
      <c r="AC215" s="115"/>
      <c r="AD215" s="234"/>
      <c r="AE215" s="1"/>
      <c r="AF215" s="120"/>
      <c r="AG215" s="1"/>
      <c r="AH215" s="120"/>
    </row>
    <row r="216" spans="1:34" ht="15">
      <c r="A216" s="150"/>
      <c r="B216" s="128"/>
      <c r="C216" s="108" t="s">
        <v>1252</v>
      </c>
      <c r="E216" s="120"/>
      <c r="F216" s="120"/>
      <c r="G216" s="120"/>
      <c r="H216" s="115">
        <f t="shared" si="64"/>
        <v>16419.57</v>
      </c>
      <c r="I216" s="115">
        <f t="shared" si="65"/>
        <v>16419.57</v>
      </c>
      <c r="J216" s="115">
        <f t="shared" si="66"/>
        <v>16419.57</v>
      </c>
      <c r="K216" s="115">
        <f t="shared" si="67"/>
        <v>16419.57</v>
      </c>
      <c r="L216" s="115">
        <f t="shared" si="68"/>
        <v>16419.57</v>
      </c>
      <c r="M216" s="115">
        <f t="shared" si="69"/>
        <v>16419.57</v>
      </c>
      <c r="N216" s="115">
        <f t="shared" si="70"/>
        <v>16419.57</v>
      </c>
      <c r="O216" s="115">
        <f t="shared" si="71"/>
        <v>16419.57</v>
      </c>
      <c r="P216" s="115">
        <f t="shared" si="72"/>
        <v>16419.57</v>
      </c>
      <c r="Q216" s="116"/>
      <c r="R216" s="116"/>
      <c r="S216" s="116"/>
      <c r="T216" s="116">
        <f>16616-196.43</f>
        <v>16419.57</v>
      </c>
      <c r="U216" s="116"/>
      <c r="V216" s="116"/>
      <c r="W216" s="116"/>
      <c r="X216" s="116"/>
      <c r="Y216" s="116"/>
      <c r="Z216" s="116"/>
      <c r="AA216" s="116"/>
      <c r="AB216" s="116"/>
      <c r="AC216" s="115"/>
      <c r="AD216" s="234"/>
      <c r="AE216" s="1"/>
      <c r="AF216" s="120"/>
      <c r="AG216" s="1"/>
      <c r="AH216" s="120"/>
    </row>
    <row r="217" spans="1:34" ht="15">
      <c r="B217" s="154"/>
      <c r="C217" s="108" t="s">
        <v>1253</v>
      </c>
      <c r="D217" s="156"/>
      <c r="E217" s="120"/>
      <c r="F217" s="120"/>
      <c r="G217" s="120"/>
      <c r="H217" s="115">
        <f t="shared" si="64"/>
        <v>97429.92</v>
      </c>
      <c r="I217" s="115">
        <f t="shared" si="65"/>
        <v>97429.92</v>
      </c>
      <c r="J217" s="115">
        <f t="shared" si="66"/>
        <v>97429.92</v>
      </c>
      <c r="K217" s="115">
        <f t="shared" si="67"/>
        <v>97429.92</v>
      </c>
      <c r="L217" s="115">
        <f t="shared" si="68"/>
        <v>97429.92</v>
      </c>
      <c r="M217" s="115">
        <f t="shared" si="69"/>
        <v>97429.92</v>
      </c>
      <c r="N217" s="115">
        <f t="shared" si="70"/>
        <v>97429.92</v>
      </c>
      <c r="O217" s="115">
        <f t="shared" si="71"/>
        <v>97429.92</v>
      </c>
      <c r="P217" s="115">
        <f t="shared" si="72"/>
        <v>97429.92</v>
      </c>
      <c r="Q217" s="116"/>
      <c r="R217" s="116"/>
      <c r="S217" s="116"/>
      <c r="T217" s="116">
        <f>8162+2990+11258+11926+14556+6720+21218-1092-6720-7070+16848+8320+10313.92</f>
        <v>97429.92</v>
      </c>
      <c r="U217" s="116"/>
      <c r="V217" s="116"/>
      <c r="W217" s="116"/>
      <c r="X217" s="116"/>
      <c r="Y217" s="116"/>
      <c r="Z217" s="116"/>
      <c r="AA217" s="116"/>
      <c r="AB217" s="116"/>
      <c r="AC217" s="115"/>
      <c r="AD217" s="234"/>
      <c r="AE217" s="1"/>
      <c r="AF217" s="120"/>
      <c r="AG217" s="1"/>
      <c r="AH217" s="120"/>
    </row>
    <row r="218" spans="1:34" ht="15">
      <c r="B218" s="154"/>
      <c r="C218" s="108" t="s">
        <v>1254</v>
      </c>
      <c r="D218" s="156"/>
      <c r="E218" s="120"/>
      <c r="F218" s="120"/>
      <c r="G218" s="120"/>
      <c r="H218" s="115">
        <f t="shared" si="64"/>
        <v>63740</v>
      </c>
      <c r="I218" s="115">
        <f t="shared" si="65"/>
        <v>63740</v>
      </c>
      <c r="J218" s="115">
        <f t="shared" si="66"/>
        <v>63740</v>
      </c>
      <c r="K218" s="115">
        <f t="shared" si="67"/>
        <v>63740</v>
      </c>
      <c r="L218" s="115">
        <f t="shared" si="68"/>
        <v>63740</v>
      </c>
      <c r="M218" s="115">
        <f t="shared" si="69"/>
        <v>63740</v>
      </c>
      <c r="N218" s="115">
        <f t="shared" si="70"/>
        <v>63740</v>
      </c>
      <c r="O218" s="115">
        <f t="shared" si="71"/>
        <v>63740</v>
      </c>
      <c r="P218" s="115">
        <f t="shared" si="72"/>
        <v>63740</v>
      </c>
      <c r="Q218" s="116"/>
      <c r="R218" s="116"/>
      <c r="S218" s="116"/>
      <c r="T218" s="116">
        <f>29240-14620+21020-21020+18898+16300-16300-18898+49120</f>
        <v>63740</v>
      </c>
      <c r="U218" s="116"/>
      <c r="V218" s="116"/>
      <c r="W218" s="116"/>
      <c r="X218" s="116"/>
      <c r="Y218" s="116"/>
      <c r="Z218" s="116"/>
      <c r="AA218" s="116"/>
      <c r="AB218" s="116"/>
      <c r="AC218" s="115"/>
      <c r="AD218" s="234"/>
      <c r="AE218" s="1"/>
      <c r="AF218" s="120"/>
      <c r="AG218" s="1"/>
      <c r="AH218" s="120"/>
    </row>
    <row r="219" spans="1:34" ht="15">
      <c r="B219" s="154"/>
      <c r="C219" s="108" t="s">
        <v>1255</v>
      </c>
      <c r="D219" s="156"/>
      <c r="E219" s="120"/>
      <c r="F219" s="120"/>
      <c r="G219" s="120"/>
      <c r="H219" s="115">
        <f t="shared" si="64"/>
        <v>28141</v>
      </c>
      <c r="I219" s="115">
        <f t="shared" si="65"/>
        <v>28141</v>
      </c>
      <c r="J219" s="115">
        <f t="shared" si="66"/>
        <v>28141</v>
      </c>
      <c r="K219" s="115">
        <f t="shared" si="67"/>
        <v>28141</v>
      </c>
      <c r="L219" s="115">
        <f t="shared" si="68"/>
        <v>28141</v>
      </c>
      <c r="M219" s="115">
        <f t="shared" si="69"/>
        <v>28141</v>
      </c>
      <c r="N219" s="115">
        <f t="shared" si="70"/>
        <v>28141</v>
      </c>
      <c r="O219" s="115">
        <f t="shared" si="71"/>
        <v>28141</v>
      </c>
      <c r="P219" s="115">
        <f t="shared" si="72"/>
        <v>28141</v>
      </c>
      <c r="Q219" s="116"/>
      <c r="R219" s="116"/>
      <c r="S219" s="116"/>
      <c r="T219" s="116">
        <f>10500+17641</f>
        <v>28141</v>
      </c>
      <c r="U219" s="116"/>
      <c r="V219" s="116"/>
      <c r="W219" s="116"/>
      <c r="X219" s="116"/>
      <c r="Y219" s="116"/>
      <c r="Z219" s="116"/>
      <c r="AA219" s="116"/>
      <c r="AB219" s="116"/>
      <c r="AC219" s="115"/>
      <c r="AD219" s="234"/>
      <c r="AE219" s="1"/>
      <c r="AF219" s="120"/>
      <c r="AG219" s="1"/>
      <c r="AH219" s="120"/>
    </row>
    <row r="220" spans="1:34" ht="15">
      <c r="A220" s="150"/>
      <c r="B220" s="128"/>
      <c r="C220" s="108" t="s">
        <v>1256</v>
      </c>
      <c r="D220" s="156"/>
      <c r="E220" s="120"/>
      <c r="F220" s="120"/>
      <c r="G220" s="120"/>
      <c r="H220" s="115">
        <f t="shared" si="64"/>
        <v>17198</v>
      </c>
      <c r="I220" s="115">
        <f t="shared" si="65"/>
        <v>17198</v>
      </c>
      <c r="J220" s="115">
        <f t="shared" si="66"/>
        <v>17198</v>
      </c>
      <c r="K220" s="115">
        <f t="shared" si="67"/>
        <v>17198</v>
      </c>
      <c r="L220" s="115">
        <f t="shared" si="68"/>
        <v>17198</v>
      </c>
      <c r="M220" s="115">
        <f t="shared" si="69"/>
        <v>17198</v>
      </c>
      <c r="N220" s="115">
        <f t="shared" si="70"/>
        <v>17198</v>
      </c>
      <c r="O220" s="115">
        <f t="shared" si="71"/>
        <v>17198</v>
      </c>
      <c r="P220" s="115">
        <f t="shared" si="72"/>
        <v>17198</v>
      </c>
      <c r="Q220" s="116"/>
      <c r="R220" s="116"/>
      <c r="S220" s="116"/>
      <c r="T220" s="116">
        <v>17198</v>
      </c>
      <c r="U220" s="116"/>
      <c r="V220" s="116"/>
      <c r="W220" s="116"/>
      <c r="X220" s="116"/>
      <c r="Y220" s="116"/>
      <c r="Z220" s="116"/>
      <c r="AA220" s="116"/>
      <c r="AB220" s="116"/>
      <c r="AC220" s="115"/>
      <c r="AD220" s="234"/>
      <c r="AE220" s="1"/>
      <c r="AF220" s="120"/>
      <c r="AG220" s="1"/>
      <c r="AH220" s="120"/>
    </row>
    <row r="221" spans="1:34" ht="15">
      <c r="B221" s="154"/>
      <c r="C221" s="108" t="s">
        <v>1257</v>
      </c>
      <c r="D221" s="156"/>
      <c r="E221" s="120"/>
      <c r="F221" s="120"/>
      <c r="G221" s="120"/>
      <c r="H221" s="115">
        <f t="shared" si="64"/>
        <v>1200</v>
      </c>
      <c r="I221" s="115">
        <f t="shared" si="65"/>
        <v>1200</v>
      </c>
      <c r="J221" s="115">
        <f t="shared" si="66"/>
        <v>1200</v>
      </c>
      <c r="K221" s="115">
        <f t="shared" si="67"/>
        <v>1200</v>
      </c>
      <c r="L221" s="115">
        <f t="shared" si="68"/>
        <v>1200</v>
      </c>
      <c r="M221" s="115">
        <f t="shared" si="69"/>
        <v>1200</v>
      </c>
      <c r="N221" s="115">
        <f t="shared" si="70"/>
        <v>1200</v>
      </c>
      <c r="O221" s="115">
        <f t="shared" si="71"/>
        <v>1200</v>
      </c>
      <c r="P221" s="115">
        <f t="shared" si="72"/>
        <v>1200</v>
      </c>
      <c r="Q221" s="116"/>
      <c r="R221" s="116"/>
      <c r="S221" s="116"/>
      <c r="T221" s="116">
        <v>1200</v>
      </c>
      <c r="U221" s="116"/>
      <c r="V221" s="116"/>
      <c r="W221" s="116"/>
      <c r="X221" s="116"/>
      <c r="Y221" s="116"/>
      <c r="Z221" s="116"/>
      <c r="AA221" s="116"/>
      <c r="AB221" s="116"/>
      <c r="AC221" s="115"/>
      <c r="AD221" s="234"/>
      <c r="AE221" s="1"/>
      <c r="AF221" s="120"/>
      <c r="AG221" s="1"/>
      <c r="AH221" s="120"/>
    </row>
    <row r="222" spans="1:34" ht="15">
      <c r="A222" s="150"/>
      <c r="B222" s="128"/>
      <c r="C222" s="108" t="s">
        <v>1258</v>
      </c>
      <c r="D222" s="156"/>
      <c r="E222" s="120"/>
      <c r="F222" s="120"/>
      <c r="G222" s="120"/>
      <c r="H222" s="115">
        <f t="shared" si="64"/>
        <v>17198</v>
      </c>
      <c r="I222" s="115">
        <f t="shared" si="65"/>
        <v>17198</v>
      </c>
      <c r="J222" s="115">
        <f t="shared" si="66"/>
        <v>17198</v>
      </c>
      <c r="K222" s="115">
        <f t="shared" si="67"/>
        <v>17198</v>
      </c>
      <c r="L222" s="115">
        <f t="shared" si="68"/>
        <v>17198</v>
      </c>
      <c r="M222" s="115">
        <f t="shared" si="69"/>
        <v>17198</v>
      </c>
      <c r="N222" s="115">
        <f t="shared" si="70"/>
        <v>17198</v>
      </c>
      <c r="O222" s="115">
        <f t="shared" si="71"/>
        <v>17198</v>
      </c>
      <c r="P222" s="115">
        <f t="shared" si="72"/>
        <v>17198</v>
      </c>
      <c r="Q222" s="116"/>
      <c r="R222" s="116"/>
      <c r="S222" s="116"/>
      <c r="T222" s="116">
        <v>17198</v>
      </c>
      <c r="U222" s="116"/>
      <c r="V222" s="116"/>
      <c r="W222" s="116"/>
      <c r="X222" s="116"/>
      <c r="Y222" s="116"/>
      <c r="Z222" s="116"/>
      <c r="AA222" s="116"/>
      <c r="AB222" s="116"/>
      <c r="AC222" s="115"/>
      <c r="AD222" s="234"/>
      <c r="AE222" s="1"/>
      <c r="AF222" s="120"/>
      <c r="AG222" s="1"/>
      <c r="AH222" s="120"/>
    </row>
    <row r="223" spans="1:34" ht="15">
      <c r="B223" s="154"/>
      <c r="C223" s="108" t="s">
        <v>1259</v>
      </c>
      <c r="D223" s="156"/>
      <c r="E223" s="120"/>
      <c r="F223" s="120"/>
      <c r="G223" s="120"/>
      <c r="H223" s="115">
        <f t="shared" si="64"/>
        <v>-5152</v>
      </c>
      <c r="I223" s="115">
        <f t="shared" si="65"/>
        <v>-5152</v>
      </c>
      <c r="J223" s="115">
        <f t="shared" si="66"/>
        <v>-5152</v>
      </c>
      <c r="K223" s="115">
        <f t="shared" si="67"/>
        <v>-5152</v>
      </c>
      <c r="L223" s="115">
        <f t="shared" si="68"/>
        <v>-5152</v>
      </c>
      <c r="M223" s="115">
        <f t="shared" si="69"/>
        <v>-5152</v>
      </c>
      <c r="N223" s="115">
        <f t="shared" si="70"/>
        <v>-5152</v>
      </c>
      <c r="O223" s="115">
        <f t="shared" si="71"/>
        <v>-5152</v>
      </c>
      <c r="P223" s="115">
        <f t="shared" si="72"/>
        <v>-5152</v>
      </c>
      <c r="Q223" s="116"/>
      <c r="R223" s="116"/>
      <c r="S223" s="116"/>
      <c r="T223" s="116">
        <f>4260-50-4210+1720+960+2616+8035-960-1720-2616-114-85-8035-4953</f>
        <v>-5152</v>
      </c>
      <c r="U223" s="116"/>
      <c r="V223" s="116"/>
      <c r="W223" s="116"/>
      <c r="X223" s="116"/>
      <c r="Y223" s="116"/>
      <c r="Z223" s="116"/>
      <c r="AA223" s="116"/>
      <c r="AB223" s="116"/>
      <c r="AC223" s="115"/>
      <c r="AD223" s="234"/>
      <c r="AE223" s="1"/>
      <c r="AF223" s="120"/>
      <c r="AG223" s="1"/>
      <c r="AH223" s="120"/>
    </row>
    <row r="224" spans="1:34" ht="15">
      <c r="B224" s="154"/>
      <c r="C224" s="108" t="s">
        <v>1260</v>
      </c>
      <c r="D224" s="156"/>
      <c r="E224" s="120"/>
      <c r="F224" s="120"/>
      <c r="G224" s="120"/>
      <c r="H224" s="115">
        <f t="shared" si="64"/>
        <v>1600</v>
      </c>
      <c r="I224" s="115">
        <f t="shared" si="65"/>
        <v>1600</v>
      </c>
      <c r="J224" s="115">
        <f t="shared" si="66"/>
        <v>1600</v>
      </c>
      <c r="K224" s="115">
        <f t="shared" si="67"/>
        <v>1600</v>
      </c>
      <c r="L224" s="115">
        <f t="shared" si="68"/>
        <v>1600</v>
      </c>
      <c r="M224" s="115">
        <f t="shared" si="69"/>
        <v>1600</v>
      </c>
      <c r="N224" s="115">
        <f t="shared" si="70"/>
        <v>1600</v>
      </c>
      <c r="O224" s="115">
        <f t="shared" si="71"/>
        <v>1600</v>
      </c>
      <c r="P224" s="115">
        <f t="shared" si="72"/>
        <v>1600</v>
      </c>
      <c r="Q224" s="116"/>
      <c r="R224" s="116"/>
      <c r="S224" s="116"/>
      <c r="T224" s="116">
        <v>1600</v>
      </c>
      <c r="U224" s="116"/>
      <c r="V224" s="116"/>
      <c r="W224" s="116"/>
      <c r="X224" s="116"/>
      <c r="Y224" s="116"/>
      <c r="Z224" s="116"/>
      <c r="AA224" s="116"/>
      <c r="AB224" s="116"/>
      <c r="AC224" s="115"/>
      <c r="AD224" s="234"/>
      <c r="AE224" s="1"/>
      <c r="AF224" s="120"/>
      <c r="AG224" s="1"/>
      <c r="AH224" s="120"/>
    </row>
    <row r="225" spans="1:34" ht="15">
      <c r="B225" s="154"/>
      <c r="C225" s="108" t="s">
        <v>1261</v>
      </c>
      <c r="D225" s="156" t="s">
        <v>1262</v>
      </c>
      <c r="E225" s="120"/>
      <c r="F225" s="120"/>
      <c r="G225" s="120"/>
      <c r="H225" s="115">
        <f t="shared" si="64"/>
        <v>11370</v>
      </c>
      <c r="I225" s="115">
        <f t="shared" si="65"/>
        <v>11370</v>
      </c>
      <c r="J225" s="115">
        <f t="shared" si="66"/>
        <v>11370</v>
      </c>
      <c r="K225" s="115">
        <f t="shared" si="67"/>
        <v>11370</v>
      </c>
      <c r="L225" s="115">
        <f t="shared" si="68"/>
        <v>11370</v>
      </c>
      <c r="M225" s="115">
        <f t="shared" si="69"/>
        <v>11370</v>
      </c>
      <c r="N225" s="115">
        <f t="shared" si="70"/>
        <v>11370</v>
      </c>
      <c r="O225" s="115">
        <f t="shared" si="71"/>
        <v>11370</v>
      </c>
      <c r="P225" s="115">
        <f t="shared" si="72"/>
        <v>11370</v>
      </c>
      <c r="Q225" s="116"/>
      <c r="R225" s="116"/>
      <c r="S225" s="116"/>
      <c r="T225" s="116">
        <v>11370</v>
      </c>
      <c r="U225" s="116"/>
      <c r="V225" s="116"/>
      <c r="W225" s="116"/>
      <c r="X225" s="116"/>
      <c r="Y225" s="116"/>
      <c r="Z225" s="116"/>
      <c r="AA225" s="116"/>
      <c r="AB225" s="116"/>
      <c r="AC225" s="115"/>
      <c r="AD225" s="234"/>
      <c r="AE225" s="1"/>
      <c r="AF225" s="120"/>
      <c r="AG225" s="1"/>
      <c r="AH225" s="120"/>
    </row>
    <row r="226" spans="1:34" ht="15">
      <c r="B226" s="154"/>
      <c r="C226" s="108" t="s">
        <v>1172</v>
      </c>
      <c r="D226" s="156"/>
      <c r="E226" s="120"/>
      <c r="F226" s="120"/>
      <c r="G226" s="120"/>
      <c r="H226" s="115">
        <f t="shared" si="64"/>
        <v>50151.81</v>
      </c>
      <c r="I226" s="115">
        <f t="shared" si="65"/>
        <v>50151.81</v>
      </c>
      <c r="J226" s="115">
        <f t="shared" si="66"/>
        <v>50151.81</v>
      </c>
      <c r="K226" s="115">
        <f t="shared" si="67"/>
        <v>50151.81</v>
      </c>
      <c r="L226" s="115">
        <f t="shared" si="68"/>
        <v>50151.81</v>
      </c>
      <c r="M226" s="115">
        <f t="shared" si="69"/>
        <v>50151.81</v>
      </c>
      <c r="N226" s="115">
        <f t="shared" si="70"/>
        <v>50151.81</v>
      </c>
      <c r="O226" s="115">
        <f t="shared" si="71"/>
        <v>50151.81</v>
      </c>
      <c r="P226" s="115">
        <f t="shared" si="72"/>
        <v>50151.81</v>
      </c>
      <c r="Q226" s="116"/>
      <c r="R226" s="116"/>
      <c r="S226" s="116"/>
      <c r="T226" s="116">
        <f>96880.4-96728.59+25000+25000</f>
        <v>50151.81</v>
      </c>
      <c r="U226" s="116"/>
      <c r="V226" s="116"/>
      <c r="W226" s="116"/>
      <c r="X226" s="116"/>
      <c r="Y226" s="116"/>
      <c r="Z226" s="116"/>
      <c r="AA226" s="116"/>
      <c r="AB226" s="116"/>
      <c r="AC226" s="115"/>
      <c r="AD226" s="234"/>
      <c r="AE226" s="1"/>
      <c r="AF226" s="120"/>
      <c r="AG226" s="1"/>
      <c r="AH226" s="120"/>
    </row>
    <row r="227" spans="1:34" ht="15">
      <c r="B227" s="154"/>
      <c r="C227" s="108" t="s">
        <v>1263</v>
      </c>
      <c r="D227" s="156"/>
      <c r="E227" s="120"/>
      <c r="F227" s="120"/>
      <c r="G227" s="120"/>
      <c r="H227" s="115">
        <f t="shared" si="64"/>
        <v>29630</v>
      </c>
      <c r="I227" s="115">
        <f t="shared" si="65"/>
        <v>29630</v>
      </c>
      <c r="J227" s="115">
        <f t="shared" si="66"/>
        <v>29630</v>
      </c>
      <c r="K227" s="115">
        <f t="shared" si="67"/>
        <v>29630</v>
      </c>
      <c r="L227" s="115">
        <f t="shared" si="68"/>
        <v>29630</v>
      </c>
      <c r="M227" s="115">
        <f t="shared" si="69"/>
        <v>29630</v>
      </c>
      <c r="N227" s="115">
        <f t="shared" si="70"/>
        <v>29630</v>
      </c>
      <c r="O227" s="115">
        <f t="shared" si="71"/>
        <v>29630</v>
      </c>
      <c r="P227" s="115">
        <f t="shared" si="72"/>
        <v>29630</v>
      </c>
      <c r="Q227" s="116"/>
      <c r="R227" s="116"/>
      <c r="S227" s="116"/>
      <c r="T227" s="116">
        <f>8720+20110+9432-8720-9432+9520</f>
        <v>29630</v>
      </c>
      <c r="U227" s="116"/>
      <c r="V227" s="116"/>
      <c r="W227" s="116"/>
      <c r="X227" s="116"/>
      <c r="Y227" s="116"/>
      <c r="Z227" s="116"/>
      <c r="AA227" s="116"/>
      <c r="AB227" s="116"/>
      <c r="AC227" s="115"/>
      <c r="AD227" s="234"/>
      <c r="AE227" s="1"/>
      <c r="AF227" s="120"/>
      <c r="AG227" s="1"/>
      <c r="AH227" s="120"/>
    </row>
    <row r="228" spans="1:34" ht="15">
      <c r="B228" s="154"/>
      <c r="C228" s="108" t="s">
        <v>1264</v>
      </c>
      <c r="D228" s="156"/>
      <c r="E228" s="120"/>
      <c r="F228" s="120"/>
      <c r="G228" s="120"/>
      <c r="H228" s="115">
        <f t="shared" si="64"/>
        <v>21336.81</v>
      </c>
      <c r="I228" s="115">
        <f t="shared" si="65"/>
        <v>21336.81</v>
      </c>
      <c r="J228" s="115">
        <f t="shared" si="66"/>
        <v>21336.81</v>
      </c>
      <c r="K228" s="115">
        <f t="shared" si="67"/>
        <v>21336.81</v>
      </c>
      <c r="L228" s="115">
        <f t="shared" si="68"/>
        <v>21336.81</v>
      </c>
      <c r="M228" s="115">
        <f t="shared" si="69"/>
        <v>21336.81</v>
      </c>
      <c r="N228" s="115">
        <f t="shared" si="70"/>
        <v>21336.81</v>
      </c>
      <c r="O228" s="115">
        <f t="shared" si="71"/>
        <v>21336.81</v>
      </c>
      <c r="P228" s="115">
        <f t="shared" si="72"/>
        <v>21336.81</v>
      </c>
      <c r="Q228" s="116"/>
      <c r="R228" s="116"/>
      <c r="S228" s="116"/>
      <c r="T228" s="116">
        <f>27717-6380.19</f>
        <v>21336.81</v>
      </c>
      <c r="U228" s="116"/>
      <c r="V228" s="116"/>
      <c r="W228" s="116"/>
      <c r="X228" s="116"/>
      <c r="Y228" s="116"/>
      <c r="Z228" s="116"/>
      <c r="AA228" s="116"/>
      <c r="AB228" s="116"/>
      <c r="AC228" s="115"/>
      <c r="AD228" s="234"/>
      <c r="AE228" s="1"/>
      <c r="AF228" s="120"/>
      <c r="AG228" s="1"/>
      <c r="AH228" s="120"/>
    </row>
    <row r="229" spans="1:34" ht="15">
      <c r="B229" s="154"/>
      <c r="C229" s="108" t="s">
        <v>1265</v>
      </c>
      <c r="D229" s="156"/>
      <c r="E229" s="120"/>
      <c r="F229" s="120"/>
      <c r="G229" s="120"/>
      <c r="H229" s="115">
        <f t="shared" si="64"/>
        <v>3185</v>
      </c>
      <c r="I229" s="115">
        <f t="shared" si="65"/>
        <v>3185</v>
      </c>
      <c r="J229" s="115">
        <f t="shared" si="66"/>
        <v>3185</v>
      </c>
      <c r="K229" s="115">
        <f t="shared" si="67"/>
        <v>3185</v>
      </c>
      <c r="L229" s="115">
        <f t="shared" si="68"/>
        <v>3185</v>
      </c>
      <c r="M229" s="115">
        <f t="shared" si="69"/>
        <v>3185</v>
      </c>
      <c r="N229" s="115">
        <f t="shared" si="70"/>
        <v>3185</v>
      </c>
      <c r="O229" s="115">
        <f t="shared" si="71"/>
        <v>3185</v>
      </c>
      <c r="P229" s="115">
        <f t="shared" si="72"/>
        <v>3185</v>
      </c>
      <c r="Q229" s="116"/>
      <c r="R229" s="116"/>
      <c r="S229" s="116"/>
      <c r="T229" s="116">
        <v>3185</v>
      </c>
      <c r="U229" s="116"/>
      <c r="V229" s="116"/>
      <c r="W229" s="116"/>
      <c r="X229" s="116"/>
      <c r="Y229" s="116"/>
      <c r="Z229" s="116"/>
      <c r="AA229" s="116"/>
      <c r="AB229" s="116"/>
      <c r="AC229" s="115"/>
      <c r="AD229" s="234"/>
      <c r="AE229" s="1"/>
      <c r="AF229" s="120"/>
      <c r="AG229" s="1"/>
      <c r="AH229" s="120"/>
    </row>
    <row r="230" spans="1:34" ht="15">
      <c r="B230" s="154"/>
      <c r="C230" s="108" t="s">
        <v>1266</v>
      </c>
      <c r="D230" s="156"/>
      <c r="E230" s="120"/>
      <c r="F230" s="120"/>
      <c r="G230" s="120"/>
      <c r="H230" s="115">
        <f t="shared" si="64"/>
        <v>5322</v>
      </c>
      <c r="I230" s="115">
        <f t="shared" si="65"/>
        <v>5322</v>
      </c>
      <c r="J230" s="115">
        <f t="shared" si="66"/>
        <v>5322</v>
      </c>
      <c r="K230" s="115">
        <f t="shared" si="67"/>
        <v>5322</v>
      </c>
      <c r="L230" s="115">
        <f t="shared" si="68"/>
        <v>5322</v>
      </c>
      <c r="M230" s="115">
        <f t="shared" si="69"/>
        <v>5322</v>
      </c>
      <c r="N230" s="115">
        <f t="shared" si="70"/>
        <v>5322</v>
      </c>
      <c r="O230" s="115">
        <f t="shared" si="71"/>
        <v>5322</v>
      </c>
      <c r="P230" s="115">
        <f t="shared" si="72"/>
        <v>5322</v>
      </c>
      <c r="Q230" s="116"/>
      <c r="R230" s="116"/>
      <c r="S230" s="116"/>
      <c r="T230" s="116">
        <f>7070-1748</f>
        <v>5322</v>
      </c>
      <c r="U230" s="116"/>
      <c r="V230" s="116"/>
      <c r="W230" s="116"/>
      <c r="X230" s="116"/>
      <c r="Y230" s="116"/>
      <c r="Z230" s="116"/>
      <c r="AA230" s="116"/>
      <c r="AB230" s="116"/>
      <c r="AC230" s="115"/>
      <c r="AD230" s="234"/>
      <c r="AE230" s="1"/>
      <c r="AF230" s="120"/>
      <c r="AG230" s="1"/>
      <c r="AH230" s="120"/>
    </row>
    <row r="231" spans="1:34" ht="15">
      <c r="B231" s="154"/>
      <c r="C231" s="108" t="s">
        <v>1267</v>
      </c>
      <c r="D231" s="156"/>
      <c r="E231" s="120"/>
      <c r="F231" s="120"/>
      <c r="G231" s="120"/>
      <c r="H231" s="115">
        <f t="shared" si="64"/>
        <v>16760</v>
      </c>
      <c r="I231" s="115">
        <f t="shared" si="65"/>
        <v>16760</v>
      </c>
      <c r="J231" s="115">
        <f t="shared" si="66"/>
        <v>16760</v>
      </c>
      <c r="K231" s="115">
        <f t="shared" si="67"/>
        <v>16760</v>
      </c>
      <c r="L231" s="115">
        <f t="shared" si="68"/>
        <v>16760</v>
      </c>
      <c r="M231" s="115">
        <f t="shared" si="69"/>
        <v>16760</v>
      </c>
      <c r="N231" s="115">
        <f t="shared" si="70"/>
        <v>16760</v>
      </c>
      <c r="O231" s="115">
        <f t="shared" si="71"/>
        <v>16760</v>
      </c>
      <c r="P231" s="115">
        <f t="shared" si="72"/>
        <v>16760</v>
      </c>
      <c r="Q231" s="116"/>
      <c r="R231" s="116"/>
      <c r="S231" s="116"/>
      <c r="T231" s="116">
        <v>16760</v>
      </c>
      <c r="U231" s="116"/>
      <c r="V231" s="116"/>
      <c r="W231" s="116"/>
      <c r="X231" s="116"/>
      <c r="Y231" s="116"/>
      <c r="Z231" s="116"/>
      <c r="AA231" s="116"/>
      <c r="AB231" s="116"/>
      <c r="AC231" s="115"/>
      <c r="AD231" s="234"/>
      <c r="AE231" s="1"/>
      <c r="AF231" s="120"/>
      <c r="AG231" s="1"/>
      <c r="AH231" s="120"/>
    </row>
    <row r="232" spans="1:34" ht="15">
      <c r="A232" s="126"/>
      <c r="B232" s="136"/>
      <c r="C232" s="108" t="s">
        <v>1268</v>
      </c>
      <c r="D232" s="156"/>
      <c r="E232" s="120"/>
      <c r="F232" s="120"/>
      <c r="G232" s="120"/>
      <c r="H232" s="115">
        <f t="shared" si="64"/>
        <v>7100</v>
      </c>
      <c r="I232" s="115">
        <f t="shared" si="65"/>
        <v>7100</v>
      </c>
      <c r="J232" s="115">
        <f t="shared" si="66"/>
        <v>7100</v>
      </c>
      <c r="K232" s="115">
        <f t="shared" si="67"/>
        <v>7100</v>
      </c>
      <c r="L232" s="115">
        <f t="shared" si="68"/>
        <v>7100</v>
      </c>
      <c r="M232" s="115">
        <f t="shared" si="69"/>
        <v>7100</v>
      </c>
      <c r="N232" s="115">
        <f t="shared" si="70"/>
        <v>7100</v>
      </c>
      <c r="O232" s="115">
        <f t="shared" si="71"/>
        <v>7100</v>
      </c>
      <c r="P232" s="115">
        <f t="shared" si="72"/>
        <v>7100</v>
      </c>
      <c r="Q232" s="116"/>
      <c r="R232" s="116"/>
      <c r="S232" s="116"/>
      <c r="T232" s="116">
        <f>7100</f>
        <v>7100</v>
      </c>
      <c r="U232" s="116"/>
      <c r="V232" s="116"/>
      <c r="W232" s="116"/>
      <c r="X232" s="116"/>
      <c r="Y232" s="116"/>
      <c r="Z232" s="116"/>
      <c r="AA232" s="116"/>
      <c r="AB232" s="116"/>
      <c r="AC232" s="115"/>
      <c r="AD232" s="234"/>
      <c r="AE232" s="1"/>
      <c r="AF232" s="120"/>
      <c r="AG232" s="1"/>
      <c r="AH232" s="120"/>
    </row>
    <row r="233" spans="1:34" ht="15">
      <c r="B233" s="154"/>
      <c r="C233" s="108" t="s">
        <v>1269</v>
      </c>
      <c r="D233" s="156"/>
      <c r="E233" s="120"/>
      <c r="F233" s="120"/>
      <c r="G233" s="120"/>
      <c r="H233" s="115">
        <f t="shared" si="64"/>
        <v>0.2</v>
      </c>
      <c r="I233" s="115">
        <f t="shared" si="65"/>
        <v>0.2</v>
      </c>
      <c r="J233" s="115">
        <f t="shared" si="66"/>
        <v>0.2</v>
      </c>
      <c r="K233" s="115">
        <f t="shared" si="67"/>
        <v>0.2</v>
      </c>
      <c r="L233" s="115">
        <f t="shared" si="68"/>
        <v>0.2</v>
      </c>
      <c r="M233" s="115">
        <f t="shared" si="69"/>
        <v>0.2</v>
      </c>
      <c r="N233" s="115">
        <f t="shared" si="70"/>
        <v>0.2</v>
      </c>
      <c r="O233" s="115">
        <f t="shared" si="71"/>
        <v>0.2</v>
      </c>
      <c r="P233" s="115">
        <f t="shared" si="72"/>
        <v>0.2</v>
      </c>
      <c r="Q233" s="116"/>
      <c r="R233" s="116"/>
      <c r="S233" s="116"/>
      <c r="T233" s="116">
        <v>0.2</v>
      </c>
      <c r="U233" s="116"/>
      <c r="V233" s="116"/>
      <c r="W233" s="116"/>
      <c r="X233" s="116"/>
      <c r="Y233" s="116"/>
      <c r="Z233" s="116"/>
      <c r="AA233" s="116"/>
      <c r="AB233" s="116"/>
      <c r="AC233" s="115"/>
      <c r="AD233" s="234"/>
      <c r="AE233" s="1"/>
      <c r="AF233" s="120"/>
      <c r="AG233" s="1"/>
      <c r="AH233" s="120"/>
    </row>
    <row r="234" spans="1:34" ht="15">
      <c r="B234" s="154"/>
      <c r="C234" s="108" t="s">
        <v>1270</v>
      </c>
      <c r="D234" s="156"/>
      <c r="E234" s="120"/>
      <c r="F234" s="120"/>
      <c r="G234" s="120"/>
      <c r="H234" s="115">
        <f t="shared" si="64"/>
        <v>19026</v>
      </c>
      <c r="I234" s="115">
        <f t="shared" si="65"/>
        <v>19026</v>
      </c>
      <c r="J234" s="115">
        <f t="shared" si="66"/>
        <v>19026</v>
      </c>
      <c r="K234" s="115">
        <f t="shared" si="67"/>
        <v>19026</v>
      </c>
      <c r="L234" s="115">
        <f t="shared" si="68"/>
        <v>19026</v>
      </c>
      <c r="M234" s="115">
        <f t="shared" si="69"/>
        <v>19026</v>
      </c>
      <c r="N234" s="115">
        <f t="shared" si="70"/>
        <v>19026</v>
      </c>
      <c r="O234" s="115">
        <f t="shared" si="71"/>
        <v>19026</v>
      </c>
      <c r="P234" s="115">
        <f t="shared" si="72"/>
        <v>19026</v>
      </c>
      <c r="Q234" s="116"/>
      <c r="R234" s="116"/>
      <c r="S234" s="116"/>
      <c r="T234" s="116">
        <f>21702-4645-7801-6804+12580-10305+11580-9321+11216-623+12040-10593</f>
        <v>19026</v>
      </c>
      <c r="U234" s="116"/>
      <c r="V234" s="116"/>
      <c r="W234" s="116"/>
      <c r="X234" s="116"/>
      <c r="Y234" s="116"/>
      <c r="Z234" s="116"/>
      <c r="AA234" s="116"/>
      <c r="AB234" s="116"/>
      <c r="AC234" s="115"/>
      <c r="AD234" s="234"/>
      <c r="AE234" s="1"/>
      <c r="AF234" s="120"/>
      <c r="AG234" s="1"/>
      <c r="AH234" s="120"/>
    </row>
    <row r="235" spans="1:34" ht="15">
      <c r="B235" s="154"/>
      <c r="C235" s="108" t="s">
        <v>1271</v>
      </c>
      <c r="D235" s="156"/>
      <c r="E235" s="120"/>
      <c r="F235" s="120"/>
      <c r="G235" s="120"/>
      <c r="H235" s="115">
        <f t="shared" si="64"/>
        <v>2198</v>
      </c>
      <c r="I235" s="115">
        <f t="shared" si="65"/>
        <v>2198</v>
      </c>
      <c r="J235" s="115">
        <f t="shared" si="66"/>
        <v>2198</v>
      </c>
      <c r="K235" s="115">
        <f t="shared" si="67"/>
        <v>2198</v>
      </c>
      <c r="L235" s="115">
        <f t="shared" si="68"/>
        <v>2198</v>
      </c>
      <c r="M235" s="115">
        <f t="shared" si="69"/>
        <v>2198</v>
      </c>
      <c r="N235" s="115">
        <f t="shared" si="70"/>
        <v>2198</v>
      </c>
      <c r="O235" s="115">
        <f t="shared" si="71"/>
        <v>2198</v>
      </c>
      <c r="P235" s="115">
        <f t="shared" si="72"/>
        <v>2198</v>
      </c>
      <c r="Q235" s="116"/>
      <c r="R235" s="116"/>
      <c r="S235" s="116"/>
      <c r="T235" s="116">
        <v>2198</v>
      </c>
      <c r="U235" s="116"/>
      <c r="V235" s="116"/>
      <c r="W235" s="116"/>
      <c r="X235" s="116"/>
      <c r="Y235" s="116"/>
      <c r="Z235" s="116"/>
      <c r="AA235" s="116"/>
      <c r="AB235" s="116"/>
      <c r="AC235" s="115"/>
      <c r="AD235" s="234"/>
      <c r="AE235" s="1"/>
      <c r="AF235" s="120"/>
      <c r="AG235" s="1"/>
      <c r="AH235" s="120"/>
    </row>
    <row r="236" spans="1:34" ht="15">
      <c r="B236" s="154"/>
      <c r="C236" s="108" t="s">
        <v>1272</v>
      </c>
      <c r="D236" s="156"/>
      <c r="E236" s="120"/>
      <c r="F236" s="120"/>
      <c r="G236" s="120"/>
      <c r="H236" s="115">
        <f t="shared" si="64"/>
        <v>800</v>
      </c>
      <c r="I236" s="115">
        <f t="shared" si="65"/>
        <v>800</v>
      </c>
      <c r="J236" s="115">
        <f t="shared" si="66"/>
        <v>800</v>
      </c>
      <c r="K236" s="115">
        <f t="shared" si="67"/>
        <v>800</v>
      </c>
      <c r="L236" s="115">
        <f t="shared" si="68"/>
        <v>800</v>
      </c>
      <c r="M236" s="115">
        <f t="shared" si="69"/>
        <v>800</v>
      </c>
      <c r="N236" s="115">
        <f t="shared" si="70"/>
        <v>800</v>
      </c>
      <c r="O236" s="115">
        <f t="shared" si="71"/>
        <v>800</v>
      </c>
      <c r="P236" s="115">
        <f t="shared" si="72"/>
        <v>800</v>
      </c>
      <c r="Q236" s="116"/>
      <c r="R236" s="116"/>
      <c r="S236" s="116"/>
      <c r="T236" s="116">
        <v>800</v>
      </c>
      <c r="U236" s="116"/>
      <c r="V236" s="116"/>
      <c r="W236" s="116"/>
      <c r="X236" s="116"/>
      <c r="Y236" s="116"/>
      <c r="Z236" s="116"/>
      <c r="AA236" s="116"/>
      <c r="AB236" s="116"/>
      <c r="AC236" s="115"/>
      <c r="AD236" s="234"/>
      <c r="AE236" s="1"/>
      <c r="AF236" s="120"/>
      <c r="AG236" s="1"/>
      <c r="AH236" s="120"/>
    </row>
    <row r="237" spans="1:34" ht="15">
      <c r="B237" s="154"/>
      <c r="C237" s="108" t="s">
        <v>1273</v>
      </c>
      <c r="D237" s="156"/>
      <c r="E237" s="120"/>
      <c r="F237" s="120"/>
      <c r="G237" s="120"/>
      <c r="H237" s="115">
        <f t="shared" si="64"/>
        <v>9520</v>
      </c>
      <c r="I237" s="115">
        <f t="shared" si="65"/>
        <v>9520</v>
      </c>
      <c r="J237" s="115">
        <f t="shared" si="66"/>
        <v>9520</v>
      </c>
      <c r="K237" s="115">
        <f t="shared" si="67"/>
        <v>9520</v>
      </c>
      <c r="L237" s="115">
        <f t="shared" si="68"/>
        <v>9520</v>
      </c>
      <c r="M237" s="115">
        <f t="shared" si="69"/>
        <v>9520</v>
      </c>
      <c r="N237" s="115">
        <f t="shared" si="70"/>
        <v>9520</v>
      </c>
      <c r="O237" s="115">
        <f t="shared" si="71"/>
        <v>9520</v>
      </c>
      <c r="P237" s="115">
        <f t="shared" si="72"/>
        <v>9520</v>
      </c>
      <c r="Q237" s="116"/>
      <c r="R237" s="116"/>
      <c r="S237" s="116"/>
      <c r="T237" s="116">
        <v>9520</v>
      </c>
      <c r="U237" s="116"/>
      <c r="V237" s="116"/>
      <c r="W237" s="116"/>
      <c r="X237" s="116"/>
      <c r="Y237" s="116"/>
      <c r="Z237" s="116"/>
      <c r="AA237" s="116"/>
      <c r="AB237" s="116"/>
      <c r="AC237" s="115"/>
      <c r="AD237" s="234"/>
      <c r="AE237" s="1"/>
      <c r="AF237" s="120"/>
      <c r="AG237" s="1"/>
      <c r="AH237" s="120"/>
    </row>
    <row r="238" spans="1:34">
      <c r="B238" s="154"/>
      <c r="C238" s="108" t="s">
        <v>1189</v>
      </c>
      <c r="D238" s="156"/>
      <c r="E238" s="120"/>
      <c r="F238" s="120"/>
      <c r="G238" s="120"/>
      <c r="H238" s="115">
        <f t="shared" si="64"/>
        <v>18678</v>
      </c>
      <c r="I238" s="115">
        <f t="shared" si="65"/>
        <v>18678</v>
      </c>
      <c r="J238" s="115">
        <f t="shared" si="66"/>
        <v>18678</v>
      </c>
      <c r="K238" s="115">
        <f t="shared" si="67"/>
        <v>18678</v>
      </c>
      <c r="L238" s="115">
        <f t="shared" si="68"/>
        <v>18678</v>
      </c>
      <c r="M238" s="115">
        <f t="shared" si="69"/>
        <v>18678</v>
      </c>
      <c r="N238" s="115">
        <f t="shared" si="70"/>
        <v>18678</v>
      </c>
      <c r="O238" s="115">
        <f t="shared" si="71"/>
        <v>18678</v>
      </c>
      <c r="P238" s="115">
        <f t="shared" si="72"/>
        <v>18678</v>
      </c>
      <c r="Q238" s="116"/>
      <c r="R238" s="116"/>
      <c r="S238" s="116"/>
      <c r="T238" s="116">
        <v>18678</v>
      </c>
      <c r="U238" s="116"/>
      <c r="V238" s="116"/>
      <c r="W238" s="116"/>
      <c r="X238" s="116"/>
      <c r="Y238" s="116"/>
      <c r="Z238" s="116"/>
      <c r="AA238" s="116"/>
      <c r="AB238" s="116"/>
      <c r="AC238" s="115"/>
      <c r="AD238" s="120"/>
      <c r="AE238" s="1"/>
      <c r="AF238" s="120"/>
      <c r="AG238" s="1"/>
      <c r="AH238" s="120"/>
    </row>
    <row r="239" spans="1:34" ht="15">
      <c r="B239" s="154"/>
      <c r="C239" s="108" t="s">
        <v>1274</v>
      </c>
      <c r="D239" s="156"/>
      <c r="E239" s="120"/>
      <c r="F239" s="120"/>
      <c r="G239" s="120"/>
      <c r="H239" s="115">
        <f t="shared" si="64"/>
        <v>1600</v>
      </c>
      <c r="I239" s="115">
        <f t="shared" si="65"/>
        <v>1600</v>
      </c>
      <c r="J239" s="115">
        <f t="shared" si="66"/>
        <v>1600</v>
      </c>
      <c r="K239" s="115">
        <f t="shared" si="67"/>
        <v>1600</v>
      </c>
      <c r="L239" s="115">
        <f t="shared" si="68"/>
        <v>1600</v>
      </c>
      <c r="M239" s="115">
        <f t="shared" si="69"/>
        <v>1600</v>
      </c>
      <c r="N239" s="115">
        <f t="shared" si="70"/>
        <v>1600</v>
      </c>
      <c r="O239" s="115">
        <f t="shared" si="71"/>
        <v>1600</v>
      </c>
      <c r="P239" s="115">
        <f t="shared" si="72"/>
        <v>1600</v>
      </c>
      <c r="Q239" s="116"/>
      <c r="R239" s="116"/>
      <c r="S239" s="116"/>
      <c r="T239" s="116">
        <f>1600+1600+1800-3400</f>
        <v>1600</v>
      </c>
      <c r="U239" s="116"/>
      <c r="V239" s="116"/>
      <c r="W239" s="116"/>
      <c r="X239" s="116"/>
      <c r="Y239" s="116"/>
      <c r="Z239" s="116"/>
      <c r="AA239" s="116"/>
      <c r="AB239" s="116"/>
      <c r="AC239" s="115"/>
      <c r="AD239" s="234"/>
      <c r="AE239" s="1"/>
      <c r="AF239" s="120"/>
      <c r="AG239" s="1"/>
      <c r="AH239" s="120"/>
    </row>
    <row r="240" spans="1:34" ht="15">
      <c r="B240" s="154"/>
      <c r="C240" s="108" t="s">
        <v>1275</v>
      </c>
      <c r="D240" s="156"/>
      <c r="E240" s="120"/>
      <c r="F240" s="120"/>
      <c r="G240" s="120"/>
      <c r="H240" s="115">
        <f t="shared" si="64"/>
        <v>1360</v>
      </c>
      <c r="I240" s="115">
        <f t="shared" si="65"/>
        <v>1360</v>
      </c>
      <c r="J240" s="115">
        <f t="shared" si="66"/>
        <v>1360</v>
      </c>
      <c r="K240" s="115">
        <f t="shared" si="67"/>
        <v>1360</v>
      </c>
      <c r="L240" s="115">
        <f t="shared" si="68"/>
        <v>1360</v>
      </c>
      <c r="M240" s="115">
        <f t="shared" si="69"/>
        <v>1360</v>
      </c>
      <c r="N240" s="115">
        <f t="shared" si="70"/>
        <v>1360</v>
      </c>
      <c r="O240" s="115">
        <f t="shared" si="71"/>
        <v>1360</v>
      </c>
      <c r="P240" s="115">
        <f t="shared" si="72"/>
        <v>1360</v>
      </c>
      <c r="Q240" s="116"/>
      <c r="R240" s="116"/>
      <c r="S240" s="116"/>
      <c r="T240" s="116">
        <f>1360</f>
        <v>1360</v>
      </c>
      <c r="U240" s="116"/>
      <c r="V240" s="116"/>
      <c r="W240" s="116"/>
      <c r="X240" s="116"/>
      <c r="Y240" s="116"/>
      <c r="Z240" s="116"/>
      <c r="AA240" s="116"/>
      <c r="AB240" s="116"/>
      <c r="AC240" s="115"/>
      <c r="AD240" s="234"/>
      <c r="AE240" s="1"/>
      <c r="AF240" s="120"/>
      <c r="AG240" s="1"/>
      <c r="AH240" s="120"/>
    </row>
    <row r="241" spans="1:34" ht="15">
      <c r="B241" s="154"/>
      <c r="C241" s="136" t="s">
        <v>1276</v>
      </c>
      <c r="D241" s="156"/>
      <c r="E241" s="120"/>
      <c r="F241" s="120"/>
      <c r="G241" s="120"/>
      <c r="H241" s="115">
        <f t="shared" si="64"/>
        <v>9168</v>
      </c>
      <c r="I241" s="115">
        <f t="shared" si="65"/>
        <v>9168</v>
      </c>
      <c r="J241" s="115">
        <f t="shared" si="66"/>
        <v>9168</v>
      </c>
      <c r="K241" s="115">
        <f t="shared" si="67"/>
        <v>9168</v>
      </c>
      <c r="L241" s="115">
        <f t="shared" si="68"/>
        <v>9168</v>
      </c>
      <c r="M241" s="115">
        <f t="shared" si="69"/>
        <v>9168</v>
      </c>
      <c r="N241" s="115">
        <f t="shared" si="70"/>
        <v>9168</v>
      </c>
      <c r="O241" s="115">
        <f t="shared" si="71"/>
        <v>9168</v>
      </c>
      <c r="P241" s="115">
        <f t="shared" si="72"/>
        <v>9168</v>
      </c>
      <c r="Q241" s="116"/>
      <c r="R241" s="116"/>
      <c r="S241" s="116"/>
      <c r="T241" s="116">
        <f>9168</f>
        <v>9168</v>
      </c>
      <c r="U241" s="116"/>
      <c r="V241" s="116"/>
      <c r="W241" s="116"/>
      <c r="X241" s="116"/>
      <c r="Y241" s="116"/>
      <c r="Z241" s="116"/>
      <c r="AA241" s="116"/>
      <c r="AB241" s="116"/>
      <c r="AC241" s="115"/>
      <c r="AD241" s="234"/>
      <c r="AE241" s="1"/>
      <c r="AF241" s="120"/>
      <c r="AG241" s="1"/>
      <c r="AH241" s="120"/>
    </row>
    <row r="242" spans="1:34" ht="15">
      <c r="B242" s="154"/>
      <c r="C242" s="108" t="s">
        <v>1190</v>
      </c>
      <c r="D242" s="156"/>
      <c r="E242" s="120"/>
      <c r="F242" s="120"/>
      <c r="G242" s="120"/>
      <c r="H242" s="115">
        <f t="shared" si="64"/>
        <v>9520</v>
      </c>
      <c r="I242" s="115">
        <f t="shared" si="65"/>
        <v>9520</v>
      </c>
      <c r="J242" s="115">
        <f t="shared" si="66"/>
        <v>9520</v>
      </c>
      <c r="K242" s="115">
        <f t="shared" si="67"/>
        <v>9520</v>
      </c>
      <c r="L242" s="115">
        <f t="shared" si="68"/>
        <v>9520</v>
      </c>
      <c r="M242" s="115">
        <f t="shared" si="69"/>
        <v>9520</v>
      </c>
      <c r="N242" s="115">
        <f t="shared" si="70"/>
        <v>9520</v>
      </c>
      <c r="O242" s="115">
        <f t="shared" si="71"/>
        <v>9520</v>
      </c>
      <c r="P242" s="115">
        <f t="shared" si="72"/>
        <v>9520</v>
      </c>
      <c r="Q242" s="116"/>
      <c r="R242" s="116"/>
      <c r="S242" s="116"/>
      <c r="T242" s="116">
        <v>9520</v>
      </c>
      <c r="U242" s="116"/>
      <c r="V242" s="116"/>
      <c r="W242" s="116"/>
      <c r="X242" s="116"/>
      <c r="Y242" s="116"/>
      <c r="Z242" s="116"/>
      <c r="AA242" s="116"/>
      <c r="AB242" s="116"/>
      <c r="AC242" s="115"/>
      <c r="AD242" s="234"/>
      <c r="AE242" s="1"/>
      <c r="AF242" s="120"/>
      <c r="AG242" s="1"/>
      <c r="AH242" s="120"/>
    </row>
    <row r="243" spans="1:34" ht="15">
      <c r="B243" s="154"/>
      <c r="C243" s="108" t="s">
        <v>1277</v>
      </c>
      <c r="D243" s="156"/>
      <c r="E243" s="120"/>
      <c r="F243" s="120"/>
      <c r="G243" s="120"/>
      <c r="H243" s="115">
        <f t="shared" si="64"/>
        <v>45085</v>
      </c>
      <c r="I243" s="115">
        <f t="shared" si="65"/>
        <v>45085</v>
      </c>
      <c r="J243" s="115">
        <f t="shared" si="66"/>
        <v>45085</v>
      </c>
      <c r="K243" s="115">
        <f t="shared" si="67"/>
        <v>45085</v>
      </c>
      <c r="L243" s="115">
        <f t="shared" si="68"/>
        <v>45085</v>
      </c>
      <c r="M243" s="115">
        <f t="shared" si="69"/>
        <v>45085</v>
      </c>
      <c r="N243" s="115">
        <f t="shared" si="70"/>
        <v>45085</v>
      </c>
      <c r="O243" s="115">
        <f t="shared" si="71"/>
        <v>45085</v>
      </c>
      <c r="P243" s="115">
        <f t="shared" si="72"/>
        <v>45085</v>
      </c>
      <c r="Q243" s="116"/>
      <c r="R243" s="116"/>
      <c r="S243" s="116"/>
      <c r="T243" s="116">
        <f>14+71+45000</f>
        <v>45085</v>
      </c>
      <c r="U243" s="116"/>
      <c r="V243" s="116"/>
      <c r="W243" s="116"/>
      <c r="X243" s="116"/>
      <c r="Y243" s="116"/>
      <c r="Z243" s="116"/>
      <c r="AA243" s="116"/>
      <c r="AB243" s="116"/>
      <c r="AC243" s="115"/>
      <c r="AD243" s="234"/>
      <c r="AE243" s="1"/>
      <c r="AF243" s="120"/>
      <c r="AG243" s="1"/>
      <c r="AH243" s="120"/>
    </row>
    <row r="244" spans="1:34" ht="15">
      <c r="B244" s="154"/>
      <c r="C244" s="108" t="s">
        <v>1278</v>
      </c>
      <c r="D244" s="156"/>
      <c r="E244" s="120"/>
      <c r="F244" s="120"/>
      <c r="G244" s="120"/>
      <c r="H244" s="115">
        <f t="shared" si="64"/>
        <v>7976</v>
      </c>
      <c r="I244" s="115">
        <f t="shared" si="65"/>
        <v>7976</v>
      </c>
      <c r="J244" s="115">
        <f t="shared" si="66"/>
        <v>7976</v>
      </c>
      <c r="K244" s="115">
        <f t="shared" si="67"/>
        <v>7976</v>
      </c>
      <c r="L244" s="115">
        <f t="shared" si="68"/>
        <v>7976</v>
      </c>
      <c r="M244" s="115">
        <f t="shared" si="69"/>
        <v>7976</v>
      </c>
      <c r="N244" s="115">
        <f t="shared" si="70"/>
        <v>7976</v>
      </c>
      <c r="O244" s="115">
        <f t="shared" si="71"/>
        <v>7976</v>
      </c>
      <c r="P244" s="115">
        <f t="shared" si="72"/>
        <v>7976</v>
      </c>
      <c r="Q244" s="116"/>
      <c r="R244" s="116"/>
      <c r="S244" s="116"/>
      <c r="T244" s="116">
        <v>7976</v>
      </c>
      <c r="U244" s="116"/>
      <c r="V244" s="116"/>
      <c r="W244" s="116"/>
      <c r="X244" s="116"/>
      <c r="Y244" s="116"/>
      <c r="Z244" s="116"/>
      <c r="AA244" s="116"/>
      <c r="AB244" s="116"/>
      <c r="AC244" s="115"/>
      <c r="AD244" s="234"/>
      <c r="AE244" s="1"/>
      <c r="AF244" s="120"/>
      <c r="AG244" s="1"/>
      <c r="AH244" s="120"/>
    </row>
    <row r="245" spans="1:34" ht="15">
      <c r="B245" s="154"/>
      <c r="C245" s="108" t="s">
        <v>1279</v>
      </c>
      <c r="D245" s="156"/>
      <c r="E245" s="120"/>
      <c r="F245" s="120"/>
      <c r="G245" s="120"/>
      <c r="H245" s="115">
        <f t="shared" si="64"/>
        <v>19877</v>
      </c>
      <c r="I245" s="115">
        <f t="shared" si="65"/>
        <v>19877</v>
      </c>
      <c r="J245" s="115">
        <f t="shared" si="66"/>
        <v>19877</v>
      </c>
      <c r="K245" s="115">
        <f t="shared" si="67"/>
        <v>19877</v>
      </c>
      <c r="L245" s="115">
        <f t="shared" si="68"/>
        <v>19877</v>
      </c>
      <c r="M245" s="115">
        <f t="shared" si="69"/>
        <v>19877</v>
      </c>
      <c r="N245" s="115">
        <f t="shared" si="70"/>
        <v>19877</v>
      </c>
      <c r="O245" s="115">
        <f t="shared" si="71"/>
        <v>19877</v>
      </c>
      <c r="P245" s="115">
        <f t="shared" si="72"/>
        <v>19877</v>
      </c>
      <c r="Q245" s="116"/>
      <c r="R245" s="116"/>
      <c r="S245" s="116"/>
      <c r="T245" s="116">
        <f>19877</f>
        <v>19877</v>
      </c>
      <c r="U245" s="116"/>
      <c r="V245" s="116"/>
      <c r="W245" s="116"/>
      <c r="X245" s="116"/>
      <c r="Y245" s="116"/>
      <c r="Z245" s="116"/>
      <c r="AA245" s="116"/>
      <c r="AB245" s="116"/>
      <c r="AC245" s="115"/>
      <c r="AD245" s="234"/>
      <c r="AE245" s="1"/>
      <c r="AF245" s="120"/>
      <c r="AG245" s="1"/>
      <c r="AH245" s="120"/>
    </row>
    <row r="246" spans="1:34" ht="15">
      <c r="B246" s="154"/>
      <c r="C246" s="108" t="s">
        <v>1193</v>
      </c>
      <c r="D246" s="156"/>
      <c r="E246" s="120"/>
      <c r="F246" s="120"/>
      <c r="G246" s="120"/>
      <c r="H246" s="115">
        <f t="shared" si="64"/>
        <v>6600</v>
      </c>
      <c r="I246" s="115">
        <f t="shared" si="65"/>
        <v>6600</v>
      </c>
      <c r="J246" s="115">
        <f t="shared" si="66"/>
        <v>6600</v>
      </c>
      <c r="K246" s="115">
        <f t="shared" si="67"/>
        <v>6600</v>
      </c>
      <c r="L246" s="115">
        <f t="shared" si="68"/>
        <v>6600</v>
      </c>
      <c r="M246" s="115">
        <f t="shared" si="69"/>
        <v>6600</v>
      </c>
      <c r="N246" s="115">
        <f t="shared" si="70"/>
        <v>6600</v>
      </c>
      <c r="O246" s="115">
        <f t="shared" si="71"/>
        <v>6600</v>
      </c>
      <c r="P246" s="115">
        <f t="shared" si="72"/>
        <v>6600</v>
      </c>
      <c r="Q246" s="116"/>
      <c r="R246" s="116"/>
      <c r="S246" s="116"/>
      <c r="T246" s="116">
        <f>6600+15940-1621-14319</f>
        <v>6600</v>
      </c>
      <c r="U246" s="116"/>
      <c r="V246" s="116"/>
      <c r="W246" s="116"/>
      <c r="X246" s="116"/>
      <c r="Y246" s="116"/>
      <c r="Z246" s="116"/>
      <c r="AA246" s="116"/>
      <c r="AB246" s="116"/>
      <c r="AC246" s="115"/>
      <c r="AD246" s="234"/>
      <c r="AE246" s="1"/>
      <c r="AF246" s="120"/>
      <c r="AG246" s="1"/>
      <c r="AH246" s="120"/>
    </row>
    <row r="247" spans="1:34" ht="15">
      <c r="B247" s="154"/>
      <c r="C247" s="108" t="s">
        <v>1280</v>
      </c>
      <c r="D247" s="156"/>
      <c r="E247" s="120"/>
      <c r="F247" s="120"/>
      <c r="G247" s="120"/>
      <c r="H247" s="115">
        <f t="shared" si="64"/>
        <v>3351</v>
      </c>
      <c r="I247" s="115">
        <f t="shared" si="65"/>
        <v>3351</v>
      </c>
      <c r="J247" s="115">
        <f t="shared" si="66"/>
        <v>3351</v>
      </c>
      <c r="K247" s="115">
        <f t="shared" si="67"/>
        <v>3351</v>
      </c>
      <c r="L247" s="115">
        <f t="shared" si="68"/>
        <v>3351</v>
      </c>
      <c r="M247" s="115">
        <f t="shared" si="69"/>
        <v>3351</v>
      </c>
      <c r="N247" s="115">
        <f t="shared" si="70"/>
        <v>3351</v>
      </c>
      <c r="O247" s="115">
        <f t="shared" si="71"/>
        <v>3351</v>
      </c>
      <c r="P247" s="115">
        <f t="shared" si="72"/>
        <v>3351</v>
      </c>
      <c r="Q247" s="116"/>
      <c r="R247" s="116"/>
      <c r="S247" s="116"/>
      <c r="T247" s="116">
        <v>3351</v>
      </c>
      <c r="U247" s="116"/>
      <c r="V247" s="116"/>
      <c r="W247" s="116"/>
      <c r="X247" s="116"/>
      <c r="Y247" s="116"/>
      <c r="Z247" s="116"/>
      <c r="AA247" s="116"/>
      <c r="AB247" s="116"/>
      <c r="AC247" s="115"/>
      <c r="AD247" s="234"/>
      <c r="AE247" s="1"/>
      <c r="AF247" s="120"/>
      <c r="AG247" s="1"/>
      <c r="AH247" s="120"/>
    </row>
    <row r="248" spans="1:34" ht="15">
      <c r="B248" s="154"/>
      <c r="C248" s="108" t="s">
        <v>1281</v>
      </c>
      <c r="D248" s="156"/>
      <c r="E248" s="120"/>
      <c r="F248" s="120"/>
      <c r="G248" s="120"/>
      <c r="H248" s="115">
        <f t="shared" si="64"/>
        <v>3500</v>
      </c>
      <c r="I248" s="115">
        <f t="shared" si="65"/>
        <v>3500</v>
      </c>
      <c r="J248" s="115">
        <f t="shared" si="66"/>
        <v>3500</v>
      </c>
      <c r="K248" s="115">
        <f t="shared" si="67"/>
        <v>3500</v>
      </c>
      <c r="L248" s="115">
        <f t="shared" si="68"/>
        <v>3500</v>
      </c>
      <c r="M248" s="115">
        <f t="shared" si="69"/>
        <v>3500</v>
      </c>
      <c r="N248" s="115">
        <f t="shared" si="70"/>
        <v>3500</v>
      </c>
      <c r="O248" s="115">
        <f t="shared" si="71"/>
        <v>3500</v>
      </c>
      <c r="P248" s="115">
        <f t="shared" si="72"/>
        <v>3500</v>
      </c>
      <c r="Q248" s="116"/>
      <c r="R248" s="116"/>
      <c r="S248" s="116"/>
      <c r="T248" s="116">
        <f>3500</f>
        <v>3500</v>
      </c>
      <c r="U248" s="116"/>
      <c r="V248" s="116"/>
      <c r="W248" s="116"/>
      <c r="X248" s="116"/>
      <c r="Y248" s="116"/>
      <c r="Z248" s="116"/>
      <c r="AA248" s="116"/>
      <c r="AB248" s="116"/>
      <c r="AC248" s="115"/>
      <c r="AD248" s="234"/>
      <c r="AE248" s="1"/>
      <c r="AF248" s="120"/>
      <c r="AG248" s="1"/>
      <c r="AH248" s="120"/>
    </row>
    <row r="249" spans="1:34" ht="15">
      <c r="B249" s="154"/>
      <c r="C249" s="108" t="s">
        <v>1282</v>
      </c>
      <c r="D249" s="156"/>
      <c r="E249" s="120"/>
      <c r="F249" s="120"/>
      <c r="G249" s="120"/>
      <c r="H249" s="115">
        <f t="shared" si="64"/>
        <v>7976</v>
      </c>
      <c r="I249" s="115">
        <f t="shared" si="65"/>
        <v>7976</v>
      </c>
      <c r="J249" s="115">
        <f t="shared" si="66"/>
        <v>7976</v>
      </c>
      <c r="K249" s="115">
        <f t="shared" si="67"/>
        <v>7976</v>
      </c>
      <c r="L249" s="115">
        <f t="shared" si="68"/>
        <v>7976</v>
      </c>
      <c r="M249" s="115">
        <f t="shared" si="69"/>
        <v>7976</v>
      </c>
      <c r="N249" s="115">
        <f t="shared" si="70"/>
        <v>7976</v>
      </c>
      <c r="O249" s="115">
        <f t="shared" si="71"/>
        <v>7976</v>
      </c>
      <c r="P249" s="115">
        <f t="shared" si="72"/>
        <v>7976</v>
      </c>
      <c r="Q249" s="116"/>
      <c r="R249" s="116"/>
      <c r="S249" s="116"/>
      <c r="T249" s="116">
        <v>7976</v>
      </c>
      <c r="U249" s="116"/>
      <c r="V249" s="116"/>
      <c r="W249" s="116"/>
      <c r="X249" s="116"/>
      <c r="Y249" s="116"/>
      <c r="Z249" s="116"/>
      <c r="AA249" s="116"/>
      <c r="AB249" s="116"/>
      <c r="AC249" s="115"/>
      <c r="AD249" s="234"/>
      <c r="AE249" s="1"/>
      <c r="AF249" s="120"/>
      <c r="AG249" s="1"/>
      <c r="AH249" s="120"/>
    </row>
    <row r="250" spans="1:34" ht="15">
      <c r="B250" s="154"/>
      <c r="C250" s="108" t="s">
        <v>1283</v>
      </c>
      <c r="D250" s="156"/>
      <c r="E250" s="120"/>
      <c r="F250" s="120"/>
      <c r="G250" s="120"/>
      <c r="H250" s="115">
        <f t="shared" si="64"/>
        <v>22770</v>
      </c>
      <c r="I250" s="115">
        <f t="shared" si="65"/>
        <v>22770</v>
      </c>
      <c r="J250" s="115">
        <f t="shared" si="66"/>
        <v>22770</v>
      </c>
      <c r="K250" s="115">
        <f t="shared" si="67"/>
        <v>22770</v>
      </c>
      <c r="L250" s="115">
        <f t="shared" si="68"/>
        <v>22770</v>
      </c>
      <c r="M250" s="115">
        <f t="shared" si="69"/>
        <v>22770</v>
      </c>
      <c r="N250" s="115">
        <f t="shared" si="70"/>
        <v>22770</v>
      </c>
      <c r="O250" s="115">
        <f t="shared" si="71"/>
        <v>22770</v>
      </c>
      <c r="P250" s="115">
        <f t="shared" si="72"/>
        <v>22770</v>
      </c>
      <c r="Q250" s="116"/>
      <c r="R250" s="116"/>
      <c r="S250" s="116"/>
      <c r="T250" s="116">
        <f>13250+9520</f>
        <v>22770</v>
      </c>
      <c r="U250" s="116"/>
      <c r="V250" s="116"/>
      <c r="W250" s="116"/>
      <c r="X250" s="116"/>
      <c r="Y250" s="116"/>
      <c r="Z250" s="116"/>
      <c r="AA250" s="116"/>
      <c r="AB250" s="116"/>
      <c r="AC250" s="115"/>
      <c r="AD250" s="234"/>
      <c r="AE250" s="1"/>
      <c r="AF250" s="120"/>
      <c r="AG250" s="1"/>
      <c r="AH250" s="120"/>
    </row>
    <row r="251" spans="1:34" ht="15">
      <c r="B251" s="154"/>
      <c r="C251" s="108" t="s">
        <v>1284</v>
      </c>
      <c r="D251" s="156"/>
      <c r="E251" s="120"/>
      <c r="F251" s="120"/>
      <c r="G251" s="120"/>
      <c r="H251" s="115">
        <f t="shared" si="64"/>
        <v>200</v>
      </c>
      <c r="I251" s="115">
        <f t="shared" si="65"/>
        <v>200</v>
      </c>
      <c r="J251" s="115">
        <f t="shared" si="66"/>
        <v>200</v>
      </c>
      <c r="K251" s="115">
        <f t="shared" si="67"/>
        <v>200</v>
      </c>
      <c r="L251" s="115">
        <f t="shared" si="68"/>
        <v>200</v>
      </c>
      <c r="M251" s="115">
        <f t="shared" si="69"/>
        <v>200</v>
      </c>
      <c r="N251" s="115">
        <f t="shared" si="70"/>
        <v>200</v>
      </c>
      <c r="O251" s="115">
        <f t="shared" si="71"/>
        <v>200</v>
      </c>
      <c r="P251" s="115">
        <f t="shared" si="72"/>
        <v>200</v>
      </c>
      <c r="Q251" s="116"/>
      <c r="R251" s="116"/>
      <c r="S251" s="116"/>
      <c r="T251" s="116">
        <f>14283-14083</f>
        <v>200</v>
      </c>
      <c r="U251" s="116"/>
      <c r="V251" s="116"/>
      <c r="W251" s="116"/>
      <c r="X251" s="116"/>
      <c r="Y251" s="116"/>
      <c r="Z251" s="116"/>
      <c r="AA251" s="116"/>
      <c r="AB251" s="116"/>
      <c r="AC251" s="115"/>
      <c r="AD251" s="234"/>
      <c r="AE251" s="1"/>
      <c r="AF251" s="120"/>
      <c r="AG251" s="1"/>
      <c r="AH251" s="120"/>
    </row>
    <row r="252" spans="1:34" ht="15">
      <c r="B252" s="154"/>
      <c r="C252" s="108" t="s">
        <v>1285</v>
      </c>
      <c r="D252" s="156"/>
      <c r="E252" s="120"/>
      <c r="F252" s="120"/>
      <c r="G252" s="120"/>
      <c r="H252" s="115">
        <f t="shared" si="64"/>
        <v>16946</v>
      </c>
      <c r="I252" s="115">
        <f t="shared" si="65"/>
        <v>16946</v>
      </c>
      <c r="J252" s="115">
        <f t="shared" si="66"/>
        <v>16946</v>
      </c>
      <c r="K252" s="115">
        <f t="shared" si="67"/>
        <v>16946</v>
      </c>
      <c r="L252" s="115">
        <f t="shared" si="68"/>
        <v>16946</v>
      </c>
      <c r="M252" s="115">
        <f t="shared" si="69"/>
        <v>16946</v>
      </c>
      <c r="N252" s="115">
        <f t="shared" si="70"/>
        <v>16946</v>
      </c>
      <c r="O252" s="115">
        <f t="shared" si="71"/>
        <v>16946</v>
      </c>
      <c r="P252" s="115">
        <f t="shared" si="72"/>
        <v>16946</v>
      </c>
      <c r="Q252" s="116"/>
      <c r="R252" s="116"/>
      <c r="S252" s="116"/>
      <c r="T252" s="116">
        <v>16946</v>
      </c>
      <c r="U252" s="116"/>
      <c r="V252" s="116"/>
      <c r="W252" s="116"/>
      <c r="X252" s="116"/>
      <c r="Y252" s="116"/>
      <c r="Z252" s="116"/>
      <c r="AA252" s="116"/>
      <c r="AB252" s="116"/>
      <c r="AC252" s="115"/>
      <c r="AD252" s="234"/>
      <c r="AE252" s="1"/>
      <c r="AF252" s="120"/>
      <c r="AG252" s="1"/>
      <c r="AH252" s="120"/>
    </row>
    <row r="253" spans="1:34" ht="15">
      <c r="A253" s="150"/>
      <c r="B253" s="128"/>
      <c r="C253" s="108" t="s">
        <v>1286</v>
      </c>
      <c r="D253" s="156"/>
      <c r="E253" s="120"/>
      <c r="F253" s="120"/>
      <c r="G253" s="120"/>
      <c r="H253" s="115">
        <f t="shared" si="64"/>
        <v>17198</v>
      </c>
      <c r="I253" s="115">
        <f t="shared" si="65"/>
        <v>17198</v>
      </c>
      <c r="J253" s="115">
        <f t="shared" si="66"/>
        <v>17198</v>
      </c>
      <c r="K253" s="115">
        <f t="shared" si="67"/>
        <v>17198</v>
      </c>
      <c r="L253" s="115">
        <f t="shared" si="68"/>
        <v>17198</v>
      </c>
      <c r="M253" s="115">
        <f t="shared" si="69"/>
        <v>17198</v>
      </c>
      <c r="N253" s="115">
        <f t="shared" si="70"/>
        <v>17198</v>
      </c>
      <c r="O253" s="115">
        <f t="shared" si="71"/>
        <v>17198</v>
      </c>
      <c r="P253" s="115">
        <f t="shared" si="72"/>
        <v>17198</v>
      </c>
      <c r="Q253" s="116"/>
      <c r="R253" s="116"/>
      <c r="S253" s="116"/>
      <c r="T253" s="116">
        <v>17198</v>
      </c>
      <c r="U253" s="116"/>
      <c r="V253" s="116"/>
      <c r="W253" s="116"/>
      <c r="X253" s="116"/>
      <c r="Y253" s="116"/>
      <c r="Z253" s="116"/>
      <c r="AA253" s="116"/>
      <c r="AB253" s="116"/>
      <c r="AC253" s="115"/>
      <c r="AD253" s="234"/>
      <c r="AE253" s="1"/>
      <c r="AF253" s="120"/>
      <c r="AG253" s="1"/>
      <c r="AH253" s="120"/>
    </row>
    <row r="254" spans="1:34" ht="15">
      <c r="B254" s="154"/>
      <c r="C254" s="108" t="s">
        <v>1287</v>
      </c>
      <c r="D254" s="156"/>
      <c r="E254" s="120"/>
      <c r="F254" s="120"/>
      <c r="G254" s="120"/>
      <c r="H254" s="115">
        <f t="shared" si="64"/>
        <v>11110</v>
      </c>
      <c r="I254" s="115">
        <f t="shared" si="65"/>
        <v>11110</v>
      </c>
      <c r="J254" s="115">
        <f t="shared" si="66"/>
        <v>11110</v>
      </c>
      <c r="K254" s="115">
        <f t="shared" si="67"/>
        <v>11110</v>
      </c>
      <c r="L254" s="115">
        <f t="shared" si="68"/>
        <v>11110</v>
      </c>
      <c r="M254" s="115">
        <f t="shared" si="69"/>
        <v>11110</v>
      </c>
      <c r="N254" s="115">
        <f t="shared" si="70"/>
        <v>11110</v>
      </c>
      <c r="O254" s="115">
        <f t="shared" si="71"/>
        <v>11110</v>
      </c>
      <c r="P254" s="115">
        <f t="shared" si="72"/>
        <v>11110</v>
      </c>
      <c r="Q254" s="116"/>
      <c r="R254" s="116"/>
      <c r="S254" s="116"/>
      <c r="T254" s="116">
        <f>6223+14495+3500-6095+6609-14495+4028+3014-2700-4-4338+2354+4124+5864+3736-6609-4124+4104+9736-3736+10192+2600+1982+2730-10192-2600-3500-9736-4104-5864-2354+2720-2720-2730+9000</f>
        <v>11110</v>
      </c>
      <c r="U254" s="116"/>
      <c r="V254" s="116"/>
      <c r="W254" s="116"/>
      <c r="X254" s="116"/>
      <c r="Y254" s="116"/>
      <c r="Z254" s="116"/>
      <c r="AA254" s="116"/>
      <c r="AB254" s="116"/>
      <c r="AC254" s="115"/>
      <c r="AD254" s="234"/>
      <c r="AE254" s="1"/>
      <c r="AF254" s="120"/>
      <c r="AG254" s="1"/>
      <c r="AH254" s="120"/>
    </row>
    <row r="255" spans="1:34" ht="15">
      <c r="B255" s="154"/>
      <c r="C255" s="108" t="s">
        <v>1288</v>
      </c>
      <c r="D255" s="156"/>
      <c r="E255" s="120"/>
      <c r="F255" s="120"/>
      <c r="G255" s="120"/>
      <c r="H255" s="115">
        <f t="shared" si="64"/>
        <v>34690</v>
      </c>
      <c r="I255" s="115">
        <f t="shared" si="65"/>
        <v>34690</v>
      </c>
      <c r="J255" s="115">
        <f t="shared" si="66"/>
        <v>34690</v>
      </c>
      <c r="K255" s="115">
        <f t="shared" si="67"/>
        <v>34690</v>
      </c>
      <c r="L255" s="115">
        <f t="shared" si="68"/>
        <v>34690</v>
      </c>
      <c r="M255" s="115">
        <f t="shared" si="69"/>
        <v>34690</v>
      </c>
      <c r="N255" s="115">
        <f t="shared" si="70"/>
        <v>34690</v>
      </c>
      <c r="O255" s="115">
        <f t="shared" si="71"/>
        <v>34690</v>
      </c>
      <c r="P255" s="115">
        <f t="shared" si="72"/>
        <v>34690</v>
      </c>
      <c r="Q255" s="116"/>
      <c r="R255" s="116"/>
      <c r="S255" s="116"/>
      <c r="T255" s="116">
        <f>5720+5060+20110-5720+9520</f>
        <v>34690</v>
      </c>
      <c r="U255" s="116"/>
      <c r="V255" s="116"/>
      <c r="W255" s="116"/>
      <c r="X255" s="116"/>
      <c r="Y255" s="116"/>
      <c r="Z255" s="116"/>
      <c r="AA255" s="116"/>
      <c r="AB255" s="116"/>
      <c r="AC255" s="115"/>
      <c r="AD255" s="234"/>
      <c r="AE255" s="1"/>
      <c r="AF255" s="120"/>
      <c r="AG255" s="1"/>
      <c r="AH255" s="120"/>
    </row>
    <row r="256" spans="1:34" ht="15">
      <c r="B256" s="154"/>
      <c r="C256" s="108" t="s">
        <v>1289</v>
      </c>
      <c r="D256" s="156" t="s">
        <v>1290</v>
      </c>
      <c r="E256" s="120"/>
      <c r="F256" s="120"/>
      <c r="G256" s="120"/>
      <c r="H256" s="115">
        <f t="shared" si="64"/>
        <v>6800</v>
      </c>
      <c r="I256" s="115">
        <f t="shared" si="65"/>
        <v>6728</v>
      </c>
      <c r="J256" s="115">
        <f t="shared" si="66"/>
        <v>6728</v>
      </c>
      <c r="K256" s="115">
        <f t="shared" si="67"/>
        <v>6728</v>
      </c>
      <c r="L256" s="115">
        <f t="shared" si="68"/>
        <v>6728</v>
      </c>
      <c r="M256" s="115">
        <f t="shared" si="69"/>
        <v>6728</v>
      </c>
      <c r="N256" s="115">
        <f t="shared" si="70"/>
        <v>6728</v>
      </c>
      <c r="O256" s="115">
        <f t="shared" si="71"/>
        <v>6728</v>
      </c>
      <c r="P256" s="115">
        <f t="shared" si="72"/>
        <v>6728</v>
      </c>
      <c r="Q256" s="116"/>
      <c r="R256" s="116"/>
      <c r="S256" s="116"/>
      <c r="T256" s="116">
        <v>6800</v>
      </c>
      <c r="U256" s="116">
        <v>-72</v>
      </c>
      <c r="V256" s="116"/>
      <c r="W256" s="116"/>
      <c r="X256" s="116"/>
      <c r="Y256" s="116"/>
      <c r="Z256" s="116"/>
      <c r="AA256" s="116"/>
      <c r="AB256" s="116"/>
      <c r="AC256" s="115"/>
      <c r="AD256" s="234"/>
      <c r="AE256" s="1"/>
      <c r="AF256" s="120"/>
      <c r="AG256" s="1"/>
      <c r="AH256" s="120"/>
    </row>
    <row r="257" spans="1:34" ht="15">
      <c r="A257" s="150"/>
      <c r="B257" s="128"/>
      <c r="C257" s="108" t="s">
        <v>1291</v>
      </c>
      <c r="D257" s="156"/>
      <c r="E257" s="120"/>
      <c r="F257" s="120"/>
      <c r="G257" s="120"/>
      <c r="H257" s="115">
        <f t="shared" si="64"/>
        <v>3520</v>
      </c>
      <c r="I257" s="115">
        <f t="shared" si="65"/>
        <v>3520</v>
      </c>
      <c r="J257" s="115">
        <f t="shared" si="66"/>
        <v>3520</v>
      </c>
      <c r="K257" s="115">
        <f t="shared" si="67"/>
        <v>3520</v>
      </c>
      <c r="L257" s="115">
        <f t="shared" si="68"/>
        <v>3520</v>
      </c>
      <c r="M257" s="115">
        <f t="shared" si="69"/>
        <v>3520</v>
      </c>
      <c r="N257" s="115">
        <f t="shared" si="70"/>
        <v>3520</v>
      </c>
      <c r="O257" s="115">
        <f t="shared" si="71"/>
        <v>3520</v>
      </c>
      <c r="P257" s="115">
        <f t="shared" si="72"/>
        <v>3520</v>
      </c>
      <c r="Q257" s="116"/>
      <c r="R257" s="116"/>
      <c r="S257" s="116"/>
      <c r="T257" s="116">
        <v>3520</v>
      </c>
      <c r="U257" s="116"/>
      <c r="V257" s="116"/>
      <c r="W257" s="116"/>
      <c r="X257" s="116"/>
      <c r="Y257" s="116"/>
      <c r="Z257" s="116"/>
      <c r="AA257" s="116"/>
      <c r="AB257" s="116"/>
      <c r="AC257" s="115"/>
      <c r="AD257" s="234"/>
      <c r="AE257" s="1"/>
      <c r="AF257" s="120"/>
      <c r="AG257" s="1"/>
      <c r="AH257" s="120"/>
    </row>
    <row r="258" spans="1:34" ht="15">
      <c r="B258" s="154"/>
      <c r="C258" s="136" t="s">
        <v>1292</v>
      </c>
      <c r="D258" s="156"/>
      <c r="E258" s="120"/>
      <c r="F258" s="120"/>
      <c r="G258" s="120"/>
      <c r="H258" s="115">
        <f t="shared" si="64"/>
        <v>24725</v>
      </c>
      <c r="I258" s="115">
        <f t="shared" si="65"/>
        <v>24725</v>
      </c>
      <c r="J258" s="115">
        <f t="shared" si="66"/>
        <v>24725</v>
      </c>
      <c r="K258" s="115">
        <f t="shared" si="67"/>
        <v>24725</v>
      </c>
      <c r="L258" s="115">
        <f t="shared" si="68"/>
        <v>24725</v>
      </c>
      <c r="M258" s="115">
        <f t="shared" si="69"/>
        <v>24725</v>
      </c>
      <c r="N258" s="115">
        <f t="shared" si="70"/>
        <v>24725</v>
      </c>
      <c r="O258" s="115">
        <f t="shared" si="71"/>
        <v>24725</v>
      </c>
      <c r="P258" s="115">
        <f t="shared" si="72"/>
        <v>24725</v>
      </c>
      <c r="Q258" s="116"/>
      <c r="R258" s="116"/>
      <c r="S258" s="116"/>
      <c r="T258" s="116">
        <f>4925+19800</f>
        <v>24725</v>
      </c>
      <c r="U258" s="116"/>
      <c r="V258" s="116"/>
      <c r="W258" s="116"/>
      <c r="X258" s="116"/>
      <c r="Y258" s="116"/>
      <c r="Z258" s="116"/>
      <c r="AA258" s="116"/>
      <c r="AB258" s="116"/>
      <c r="AC258" s="115"/>
      <c r="AD258" s="234"/>
      <c r="AE258" s="1"/>
      <c r="AF258" s="120"/>
      <c r="AG258" s="1"/>
      <c r="AH258" s="120"/>
    </row>
    <row r="259" spans="1:34" ht="15">
      <c r="B259" s="154"/>
      <c r="C259" s="108" t="s">
        <v>1293</v>
      </c>
      <c r="D259" s="156"/>
      <c r="E259" s="120"/>
      <c r="F259" s="120"/>
      <c r="G259" s="120"/>
      <c r="H259" s="115">
        <f t="shared" ref="H259:H296" si="73">Q259+R259+S259+T259</f>
        <v>7074</v>
      </c>
      <c r="I259" s="115">
        <f t="shared" ref="I259:I296" si="74">Q259+R259+S259+T259+U259</f>
        <v>7074</v>
      </c>
      <c r="J259" s="115">
        <f t="shared" ref="J259:J296" si="75">Q259+R259+S259+T259+U259+V259</f>
        <v>7074</v>
      </c>
      <c r="K259" s="115">
        <f t="shared" ref="K259:K296" si="76">Q259+R259+S259+T259+U259+V259+W259</f>
        <v>7074</v>
      </c>
      <c r="L259" s="115">
        <f t="shared" ref="L259:L296" si="77">Q259+R259+S259+T259+U259+V259+W259+X259</f>
        <v>7074</v>
      </c>
      <c r="M259" s="115">
        <f t="shared" ref="M259:M296" si="78">Q259+R259+S259+T259+U259+V259+W259+X259+Y259</f>
        <v>7074</v>
      </c>
      <c r="N259" s="115">
        <f t="shared" ref="N259:N296" si="79">Q259+R259+S259+T259+U259+V259+W259+X259+Y259+Z259</f>
        <v>7074</v>
      </c>
      <c r="O259" s="115">
        <f t="shared" ref="O259:O296" si="80">Q259+R259+S259+T259+U259+V259+W259+X259+Y259+Z259+AA259</f>
        <v>7074</v>
      </c>
      <c r="P259" s="115">
        <f t="shared" ref="P259:P296" si="81">Q259+R259+S259+T259+U259+V259+W259+X259+Y259+Z259+AA259+AB259</f>
        <v>7074</v>
      </c>
      <c r="Q259" s="116"/>
      <c r="R259" s="116"/>
      <c r="S259" s="116"/>
      <c r="T259" s="116">
        <v>7074</v>
      </c>
      <c r="U259" s="116"/>
      <c r="V259" s="116"/>
      <c r="W259" s="116"/>
      <c r="X259" s="116"/>
      <c r="Y259" s="116"/>
      <c r="Z259" s="116"/>
      <c r="AA259" s="116"/>
      <c r="AB259" s="116"/>
      <c r="AC259" s="115"/>
      <c r="AD259" s="234"/>
      <c r="AE259" s="1"/>
      <c r="AF259" s="120"/>
      <c r="AG259" s="1"/>
      <c r="AH259" s="120"/>
    </row>
    <row r="260" spans="1:34" ht="15">
      <c r="B260" s="154"/>
      <c r="C260" s="108" t="s">
        <v>1294</v>
      </c>
      <c r="D260" s="156"/>
      <c r="E260" s="120"/>
      <c r="F260" s="120"/>
      <c r="G260" s="120"/>
      <c r="H260" s="115">
        <f t="shared" si="73"/>
        <v>13000</v>
      </c>
      <c r="I260" s="115">
        <f t="shared" si="74"/>
        <v>13000</v>
      </c>
      <c r="J260" s="115">
        <f t="shared" si="75"/>
        <v>13000</v>
      </c>
      <c r="K260" s="115">
        <f t="shared" si="76"/>
        <v>13000</v>
      </c>
      <c r="L260" s="115">
        <f t="shared" si="77"/>
        <v>13000</v>
      </c>
      <c r="M260" s="115">
        <f t="shared" si="78"/>
        <v>13000</v>
      </c>
      <c r="N260" s="115">
        <f t="shared" si="79"/>
        <v>13000</v>
      </c>
      <c r="O260" s="115">
        <f t="shared" si="80"/>
        <v>13000</v>
      </c>
      <c r="P260" s="115">
        <f t="shared" si="81"/>
        <v>13000</v>
      </c>
      <c r="Q260" s="116"/>
      <c r="R260" s="116"/>
      <c r="S260" s="116"/>
      <c r="T260" s="116">
        <f>5900+7100</f>
        <v>13000</v>
      </c>
      <c r="U260" s="116"/>
      <c r="V260" s="116"/>
      <c r="W260" s="116"/>
      <c r="X260" s="116"/>
      <c r="Y260" s="116"/>
      <c r="Z260" s="116"/>
      <c r="AA260" s="116"/>
      <c r="AB260" s="116"/>
      <c r="AC260" s="115"/>
      <c r="AD260" s="234"/>
      <c r="AE260" s="1"/>
      <c r="AF260" s="120"/>
      <c r="AG260" s="1"/>
      <c r="AH260" s="120"/>
    </row>
    <row r="261" spans="1:34" ht="15">
      <c r="B261" s="154"/>
      <c r="C261" s="108" t="s">
        <v>1295</v>
      </c>
      <c r="D261" s="156"/>
      <c r="E261" s="120"/>
      <c r="F261" s="120"/>
      <c r="G261" s="120"/>
      <c r="H261" s="115">
        <f t="shared" si="73"/>
        <v>3500</v>
      </c>
      <c r="I261" s="115">
        <f t="shared" si="74"/>
        <v>3500</v>
      </c>
      <c r="J261" s="115">
        <f t="shared" si="75"/>
        <v>3500</v>
      </c>
      <c r="K261" s="115">
        <f t="shared" si="76"/>
        <v>3500</v>
      </c>
      <c r="L261" s="115">
        <f t="shared" si="77"/>
        <v>3500</v>
      </c>
      <c r="M261" s="115">
        <f t="shared" si="78"/>
        <v>3500</v>
      </c>
      <c r="N261" s="115">
        <f t="shared" si="79"/>
        <v>3500</v>
      </c>
      <c r="O261" s="115">
        <f t="shared" si="80"/>
        <v>3500</v>
      </c>
      <c r="P261" s="115">
        <f t="shared" si="81"/>
        <v>3500</v>
      </c>
      <c r="Q261" s="116"/>
      <c r="R261" s="116"/>
      <c r="S261" s="116"/>
      <c r="T261" s="116">
        <f>2000+1400+3500-3400+1900+790-790-1900</f>
        <v>3500</v>
      </c>
      <c r="U261" s="116"/>
      <c r="V261" s="116"/>
      <c r="W261" s="116"/>
      <c r="X261" s="116"/>
      <c r="Y261" s="116"/>
      <c r="Z261" s="116"/>
      <c r="AA261" s="116"/>
      <c r="AB261" s="116"/>
      <c r="AC261" s="115"/>
      <c r="AD261" s="234"/>
      <c r="AE261" s="1"/>
      <c r="AF261" s="120"/>
      <c r="AG261" s="1"/>
      <c r="AH261" s="120"/>
    </row>
    <row r="262" spans="1:34" ht="15">
      <c r="B262" s="154"/>
      <c r="C262" s="108" t="s">
        <v>1296</v>
      </c>
      <c r="D262" s="156"/>
      <c r="E262" s="120"/>
      <c r="F262" s="120"/>
      <c r="G262" s="120"/>
      <c r="H262" s="115">
        <f t="shared" si="73"/>
        <v>63700</v>
      </c>
      <c r="I262" s="115">
        <f t="shared" si="74"/>
        <v>63700</v>
      </c>
      <c r="J262" s="115">
        <f t="shared" si="75"/>
        <v>63700</v>
      </c>
      <c r="K262" s="115">
        <f t="shared" si="76"/>
        <v>63700</v>
      </c>
      <c r="L262" s="115">
        <f t="shared" si="77"/>
        <v>63700</v>
      </c>
      <c r="M262" s="115">
        <f t="shared" si="78"/>
        <v>63700</v>
      </c>
      <c r="N262" s="115">
        <f t="shared" si="79"/>
        <v>63700</v>
      </c>
      <c r="O262" s="115">
        <f t="shared" si="80"/>
        <v>63700</v>
      </c>
      <c r="P262" s="115">
        <f t="shared" si="81"/>
        <v>63700</v>
      </c>
      <c r="Q262" s="116"/>
      <c r="R262" s="116"/>
      <c r="S262" s="116"/>
      <c r="T262" s="116">
        <f>63700</f>
        <v>63700</v>
      </c>
      <c r="U262" s="116"/>
      <c r="V262" s="116"/>
      <c r="W262" s="116"/>
      <c r="X262" s="116"/>
      <c r="Y262" s="116"/>
      <c r="Z262" s="116"/>
      <c r="AA262" s="116"/>
      <c r="AB262" s="116"/>
      <c r="AC262" s="115"/>
      <c r="AD262" s="234"/>
      <c r="AE262" s="1"/>
      <c r="AF262" s="120"/>
      <c r="AG262" s="1"/>
      <c r="AH262" s="120"/>
    </row>
    <row r="263" spans="1:34" ht="15">
      <c r="A263" s="150"/>
      <c r="B263" s="128"/>
      <c r="C263" s="108" t="s">
        <v>1297</v>
      </c>
      <c r="D263" s="156"/>
      <c r="E263" s="120"/>
      <c r="F263" s="120"/>
      <c r="G263" s="120"/>
      <c r="H263" s="115">
        <f t="shared" si="73"/>
        <v>16616</v>
      </c>
      <c r="I263" s="115">
        <f t="shared" si="74"/>
        <v>16616</v>
      </c>
      <c r="J263" s="115">
        <f t="shared" si="75"/>
        <v>16616</v>
      </c>
      <c r="K263" s="115">
        <f t="shared" si="76"/>
        <v>16616</v>
      </c>
      <c r="L263" s="115">
        <f t="shared" si="77"/>
        <v>16616</v>
      </c>
      <c r="M263" s="115">
        <f t="shared" si="78"/>
        <v>16616</v>
      </c>
      <c r="N263" s="115">
        <f t="shared" si="79"/>
        <v>16616</v>
      </c>
      <c r="O263" s="115">
        <f t="shared" si="80"/>
        <v>16616</v>
      </c>
      <c r="P263" s="115">
        <f t="shared" si="81"/>
        <v>16616</v>
      </c>
      <c r="Q263" s="116"/>
      <c r="R263" s="116"/>
      <c r="S263" s="116"/>
      <c r="T263" s="116">
        <v>16616</v>
      </c>
      <c r="U263" s="116"/>
      <c r="V263" s="116"/>
      <c r="W263" s="116"/>
      <c r="X263" s="116"/>
      <c r="Y263" s="116"/>
      <c r="Z263" s="116"/>
      <c r="AA263" s="116"/>
      <c r="AB263" s="116"/>
      <c r="AC263" s="115"/>
      <c r="AD263" s="234"/>
      <c r="AE263" s="1"/>
      <c r="AF263" s="120"/>
      <c r="AG263" s="1"/>
      <c r="AH263" s="120"/>
    </row>
    <row r="264" spans="1:34" ht="15">
      <c r="B264" s="154"/>
      <c r="C264" s="108" t="s">
        <v>1298</v>
      </c>
      <c r="D264" s="156"/>
      <c r="E264" s="120"/>
      <c r="F264" s="120"/>
      <c r="G264" s="120"/>
      <c r="H264" s="115">
        <f t="shared" si="73"/>
        <v>2384</v>
      </c>
      <c r="I264" s="115">
        <f t="shared" si="74"/>
        <v>2384</v>
      </c>
      <c r="J264" s="115">
        <f t="shared" si="75"/>
        <v>2384</v>
      </c>
      <c r="K264" s="115">
        <f t="shared" si="76"/>
        <v>2384</v>
      </c>
      <c r="L264" s="115">
        <f t="shared" si="77"/>
        <v>2384</v>
      </c>
      <c r="M264" s="115">
        <f t="shared" si="78"/>
        <v>2384</v>
      </c>
      <c r="N264" s="115">
        <f t="shared" si="79"/>
        <v>2384</v>
      </c>
      <c r="O264" s="115">
        <f t="shared" si="80"/>
        <v>2384</v>
      </c>
      <c r="P264" s="115">
        <f t="shared" si="81"/>
        <v>2384</v>
      </c>
      <c r="Q264" s="116"/>
      <c r="R264" s="116"/>
      <c r="S264" s="116"/>
      <c r="T264" s="116">
        <f>1384+1000</f>
        <v>2384</v>
      </c>
      <c r="U264" s="116"/>
      <c r="V264" s="116"/>
      <c r="W264" s="116"/>
      <c r="X264" s="116"/>
      <c r="Y264" s="116"/>
      <c r="Z264" s="116"/>
      <c r="AA264" s="116"/>
      <c r="AB264" s="116"/>
      <c r="AC264" s="115"/>
      <c r="AD264" s="234"/>
      <c r="AE264" s="1"/>
      <c r="AF264" s="120"/>
      <c r="AG264" s="1"/>
      <c r="AH264" s="120"/>
    </row>
    <row r="265" spans="1:34" ht="15">
      <c r="B265" s="154"/>
      <c r="C265" s="108" t="s">
        <v>1299</v>
      </c>
      <c r="D265" s="156"/>
      <c r="E265" s="120"/>
      <c r="F265" s="120"/>
      <c r="G265" s="120"/>
      <c r="H265" s="115">
        <f t="shared" si="73"/>
        <v>15290</v>
      </c>
      <c r="I265" s="115">
        <f t="shared" si="74"/>
        <v>15290</v>
      </c>
      <c r="J265" s="115">
        <f t="shared" si="75"/>
        <v>15290</v>
      </c>
      <c r="K265" s="115">
        <f t="shared" si="76"/>
        <v>15290</v>
      </c>
      <c r="L265" s="115">
        <f t="shared" si="77"/>
        <v>15290</v>
      </c>
      <c r="M265" s="115">
        <f t="shared" si="78"/>
        <v>15290</v>
      </c>
      <c r="N265" s="115">
        <f t="shared" si="79"/>
        <v>15290</v>
      </c>
      <c r="O265" s="115">
        <f t="shared" si="80"/>
        <v>15290</v>
      </c>
      <c r="P265" s="115">
        <f t="shared" si="81"/>
        <v>15290</v>
      </c>
      <c r="Q265" s="116"/>
      <c r="R265" s="116"/>
      <c r="S265" s="116"/>
      <c r="T265" s="116">
        <f>15290</f>
        <v>15290</v>
      </c>
      <c r="U265" s="116"/>
      <c r="V265" s="116"/>
      <c r="W265" s="116"/>
      <c r="X265" s="116"/>
      <c r="Y265" s="116"/>
      <c r="Z265" s="116"/>
      <c r="AA265" s="116"/>
      <c r="AB265" s="116"/>
      <c r="AC265" s="115"/>
      <c r="AD265" s="234"/>
      <c r="AE265" s="1"/>
      <c r="AF265" s="120"/>
      <c r="AG265" s="1"/>
      <c r="AH265" s="120"/>
    </row>
    <row r="266" spans="1:34" ht="15">
      <c r="B266" s="154"/>
      <c r="C266" s="108" t="s">
        <v>1300</v>
      </c>
      <c r="D266" s="156"/>
      <c r="E266" s="120"/>
      <c r="F266" s="120"/>
      <c r="G266" s="120"/>
      <c r="H266" s="115">
        <f t="shared" si="73"/>
        <v>5900</v>
      </c>
      <c r="I266" s="115">
        <f t="shared" si="74"/>
        <v>5900</v>
      </c>
      <c r="J266" s="115">
        <f t="shared" si="75"/>
        <v>5900</v>
      </c>
      <c r="K266" s="115">
        <f t="shared" si="76"/>
        <v>5900</v>
      </c>
      <c r="L266" s="115">
        <f t="shared" si="77"/>
        <v>5900</v>
      </c>
      <c r="M266" s="115">
        <f t="shared" si="78"/>
        <v>5900</v>
      </c>
      <c r="N266" s="115">
        <f t="shared" si="79"/>
        <v>5900</v>
      </c>
      <c r="O266" s="115">
        <f t="shared" si="80"/>
        <v>5900</v>
      </c>
      <c r="P266" s="115">
        <f t="shared" si="81"/>
        <v>5900</v>
      </c>
      <c r="Q266" s="116"/>
      <c r="R266" s="116"/>
      <c r="S266" s="116"/>
      <c r="T266" s="116">
        <f>1400+600+1000+2900+100000-100000</f>
        <v>5900</v>
      </c>
      <c r="U266" s="116"/>
      <c r="V266" s="116"/>
      <c r="W266" s="116"/>
      <c r="X266" s="116"/>
      <c r="Y266" s="116"/>
      <c r="Z266" s="116"/>
      <c r="AA266" s="116"/>
      <c r="AB266" s="116"/>
      <c r="AC266" s="115"/>
      <c r="AD266" s="234"/>
      <c r="AE266" s="1"/>
      <c r="AF266" s="120"/>
      <c r="AG266" s="1"/>
      <c r="AH266" s="120"/>
    </row>
    <row r="267" spans="1:34" ht="15" hidden="1">
      <c r="B267" s="154"/>
      <c r="C267" s="108" t="s">
        <v>1301</v>
      </c>
      <c r="D267" s="156"/>
      <c r="E267" s="120"/>
      <c r="F267" s="120"/>
      <c r="G267" s="120"/>
      <c r="H267" s="115">
        <f t="shared" si="73"/>
        <v>7180</v>
      </c>
      <c r="I267" s="115">
        <f t="shared" si="74"/>
        <v>0</v>
      </c>
      <c r="J267" s="115">
        <f t="shared" si="75"/>
        <v>0</v>
      </c>
      <c r="K267" s="115">
        <f t="shared" si="76"/>
        <v>0</v>
      </c>
      <c r="L267" s="115">
        <f t="shared" si="77"/>
        <v>0</v>
      </c>
      <c r="M267" s="115">
        <f t="shared" si="78"/>
        <v>0</v>
      </c>
      <c r="N267" s="115">
        <f t="shared" si="79"/>
        <v>0</v>
      </c>
      <c r="O267" s="115">
        <f t="shared" si="80"/>
        <v>0</v>
      </c>
      <c r="P267" s="115">
        <f t="shared" si="81"/>
        <v>0</v>
      </c>
      <c r="Q267" s="116"/>
      <c r="R267" s="116"/>
      <c r="S267" s="116"/>
      <c r="T267" s="116">
        <f>1200+1920-1920+20169+17020-31209</f>
        <v>7180</v>
      </c>
      <c r="U267" s="116">
        <v>-7180</v>
      </c>
      <c r="V267" s="116"/>
      <c r="W267" s="116"/>
      <c r="X267" s="116"/>
      <c r="Y267" s="116"/>
      <c r="Z267" s="116"/>
      <c r="AA267" s="116"/>
      <c r="AB267" s="116"/>
      <c r="AC267" s="115"/>
      <c r="AD267" s="234"/>
      <c r="AE267" s="1"/>
      <c r="AF267" s="120"/>
      <c r="AG267" s="1"/>
      <c r="AH267" s="120"/>
    </row>
    <row r="268" spans="1:34" ht="15">
      <c r="B268" s="154"/>
      <c r="C268" s="108" t="s">
        <v>1302</v>
      </c>
      <c r="D268" s="156"/>
      <c r="E268" s="120"/>
      <c r="F268" s="120"/>
      <c r="G268" s="120"/>
      <c r="H268" s="115">
        <f t="shared" si="73"/>
        <v>81078</v>
      </c>
      <c r="I268" s="115">
        <f t="shared" si="74"/>
        <v>81078</v>
      </c>
      <c r="J268" s="115">
        <f t="shared" si="75"/>
        <v>81078</v>
      </c>
      <c r="K268" s="115">
        <f t="shared" si="76"/>
        <v>81078</v>
      </c>
      <c r="L268" s="115">
        <f t="shared" si="77"/>
        <v>81078</v>
      </c>
      <c r="M268" s="115">
        <f t="shared" si="78"/>
        <v>81078</v>
      </c>
      <c r="N268" s="115">
        <f t="shared" si="79"/>
        <v>81078</v>
      </c>
      <c r="O268" s="115">
        <f t="shared" si="80"/>
        <v>81078</v>
      </c>
      <c r="P268" s="115">
        <f t="shared" si="81"/>
        <v>81078</v>
      </c>
      <c r="Q268" s="116"/>
      <c r="R268" s="116"/>
      <c r="S268" s="116"/>
      <c r="T268" s="116">
        <f>7120+8720+6520+21180+12970+15400+9168</f>
        <v>81078</v>
      </c>
      <c r="U268" s="116"/>
      <c r="V268" s="116"/>
      <c r="W268" s="116"/>
      <c r="X268" s="116"/>
      <c r="Y268" s="116"/>
      <c r="Z268" s="116"/>
      <c r="AA268" s="116"/>
      <c r="AB268" s="116"/>
      <c r="AC268" s="115"/>
      <c r="AD268" s="234"/>
      <c r="AE268" s="1"/>
      <c r="AF268" s="120"/>
      <c r="AG268" s="1"/>
      <c r="AH268" s="120"/>
    </row>
    <row r="269" spans="1:34" ht="15">
      <c r="A269" s="150"/>
      <c r="B269" s="128"/>
      <c r="C269" s="108" t="s">
        <v>1303</v>
      </c>
      <c r="D269" s="156"/>
      <c r="E269" s="120"/>
      <c r="F269" s="120"/>
      <c r="G269" s="120"/>
      <c r="H269" s="115">
        <f t="shared" si="73"/>
        <v>3260</v>
      </c>
      <c r="I269" s="115">
        <f t="shared" si="74"/>
        <v>3260</v>
      </c>
      <c r="J269" s="115">
        <f t="shared" si="75"/>
        <v>3260</v>
      </c>
      <c r="K269" s="115">
        <f t="shared" si="76"/>
        <v>3260</v>
      </c>
      <c r="L269" s="115">
        <f t="shared" si="77"/>
        <v>3260</v>
      </c>
      <c r="M269" s="115">
        <f t="shared" si="78"/>
        <v>3260</v>
      </c>
      <c r="N269" s="115">
        <f t="shared" si="79"/>
        <v>3260</v>
      </c>
      <c r="O269" s="115">
        <f t="shared" si="80"/>
        <v>3260</v>
      </c>
      <c r="P269" s="115">
        <f t="shared" si="81"/>
        <v>3260</v>
      </c>
      <c r="Q269" s="116"/>
      <c r="R269" s="116"/>
      <c r="S269" s="116"/>
      <c r="T269" s="116">
        <v>3260</v>
      </c>
      <c r="U269" s="116"/>
      <c r="V269" s="116"/>
      <c r="W269" s="116"/>
      <c r="X269" s="116"/>
      <c r="Y269" s="116"/>
      <c r="Z269" s="116"/>
      <c r="AA269" s="116"/>
      <c r="AB269" s="116"/>
      <c r="AC269" s="115"/>
      <c r="AD269" s="234"/>
      <c r="AE269" s="1">
        <v>106657.84</v>
      </c>
      <c r="AF269" s="120"/>
      <c r="AG269" s="1"/>
      <c r="AH269" s="120"/>
    </row>
    <row r="270" spans="1:34" ht="15">
      <c r="B270" s="154"/>
      <c r="C270" s="108" t="s">
        <v>1304</v>
      </c>
      <c r="D270" s="156"/>
      <c r="E270" s="120"/>
      <c r="F270" s="120"/>
      <c r="G270" s="120"/>
      <c r="H270" s="115">
        <f t="shared" si="73"/>
        <v>2600</v>
      </c>
      <c r="I270" s="115">
        <f t="shared" si="74"/>
        <v>2600</v>
      </c>
      <c r="J270" s="115">
        <f t="shared" si="75"/>
        <v>2600</v>
      </c>
      <c r="K270" s="115">
        <f t="shared" si="76"/>
        <v>2600</v>
      </c>
      <c r="L270" s="115">
        <f t="shared" si="77"/>
        <v>2600</v>
      </c>
      <c r="M270" s="115">
        <f t="shared" si="78"/>
        <v>2600</v>
      </c>
      <c r="N270" s="115">
        <f t="shared" si="79"/>
        <v>2600</v>
      </c>
      <c r="O270" s="115">
        <f t="shared" si="80"/>
        <v>2600</v>
      </c>
      <c r="P270" s="115">
        <f t="shared" si="81"/>
        <v>2600</v>
      </c>
      <c r="Q270" s="116"/>
      <c r="R270" s="116"/>
      <c r="S270" s="116"/>
      <c r="T270" s="116">
        <f>2600+4600-4600+2700-342-2358</f>
        <v>2600</v>
      </c>
      <c r="U270" s="116"/>
      <c r="V270" s="116"/>
      <c r="W270" s="116"/>
      <c r="X270" s="116"/>
      <c r="Y270" s="116"/>
      <c r="Z270" s="116"/>
      <c r="AA270" s="116"/>
      <c r="AB270" s="116"/>
      <c r="AC270" s="115"/>
      <c r="AD270" s="234"/>
      <c r="AE270" s="1"/>
      <c r="AF270" s="120"/>
      <c r="AG270" s="1"/>
      <c r="AH270" s="120"/>
    </row>
    <row r="271" spans="1:34" ht="15" hidden="1">
      <c r="B271" s="154"/>
      <c r="C271" s="108" t="s">
        <v>1305</v>
      </c>
      <c r="D271" s="156"/>
      <c r="E271" s="120"/>
      <c r="F271" s="120"/>
      <c r="G271" s="120"/>
      <c r="H271" s="115">
        <f t="shared" si="73"/>
        <v>960</v>
      </c>
      <c r="I271" s="115">
        <f t="shared" si="74"/>
        <v>0</v>
      </c>
      <c r="J271" s="115">
        <f t="shared" si="75"/>
        <v>0</v>
      </c>
      <c r="K271" s="115">
        <f t="shared" si="76"/>
        <v>0</v>
      </c>
      <c r="L271" s="115">
        <f t="shared" si="77"/>
        <v>0</v>
      </c>
      <c r="M271" s="115">
        <f t="shared" si="78"/>
        <v>0</v>
      </c>
      <c r="N271" s="115">
        <f t="shared" si="79"/>
        <v>0</v>
      </c>
      <c r="O271" s="115">
        <f t="shared" si="80"/>
        <v>0</v>
      </c>
      <c r="P271" s="115">
        <f t="shared" si="81"/>
        <v>0</v>
      </c>
      <c r="Q271" s="116"/>
      <c r="R271" s="116"/>
      <c r="S271" s="116"/>
      <c r="T271" s="116">
        <f>960-960+960</f>
        <v>960</v>
      </c>
      <c r="U271" s="116">
        <v>-960</v>
      </c>
      <c r="V271" s="116"/>
      <c r="W271" s="116"/>
      <c r="X271" s="116"/>
      <c r="Y271" s="116"/>
      <c r="Z271" s="116"/>
      <c r="AA271" s="116"/>
      <c r="AB271" s="116"/>
      <c r="AC271" s="115"/>
      <c r="AD271" s="234"/>
      <c r="AE271" s="1"/>
      <c r="AF271" s="120"/>
      <c r="AG271" s="1"/>
      <c r="AH271" s="120"/>
    </row>
    <row r="272" spans="1:34" ht="15">
      <c r="B272" s="154"/>
      <c r="C272" s="108" t="s">
        <v>1212</v>
      </c>
      <c r="D272" s="156"/>
      <c r="E272" s="120"/>
      <c r="F272" s="120"/>
      <c r="G272" s="120"/>
      <c r="H272" s="115">
        <f t="shared" si="73"/>
        <v>9930</v>
      </c>
      <c r="I272" s="115">
        <f t="shared" si="74"/>
        <v>9930</v>
      </c>
      <c r="J272" s="115">
        <f t="shared" si="75"/>
        <v>9930</v>
      </c>
      <c r="K272" s="115">
        <f t="shared" si="76"/>
        <v>9930</v>
      </c>
      <c r="L272" s="115">
        <f t="shared" si="77"/>
        <v>9930</v>
      </c>
      <c r="M272" s="115">
        <f t="shared" si="78"/>
        <v>9930</v>
      </c>
      <c r="N272" s="115">
        <f t="shared" si="79"/>
        <v>9930</v>
      </c>
      <c r="O272" s="115">
        <f t="shared" si="80"/>
        <v>9930</v>
      </c>
      <c r="P272" s="115">
        <f t="shared" si="81"/>
        <v>9930</v>
      </c>
      <c r="Q272" s="116"/>
      <c r="R272" s="116"/>
      <c r="S272" s="116"/>
      <c r="T272" s="116">
        <f>8950+14842-8950-14842+8720+20110-8720-19700+9520</f>
        <v>9930</v>
      </c>
      <c r="U272" s="116"/>
      <c r="V272" s="116"/>
      <c r="W272" s="116"/>
      <c r="X272" s="116"/>
      <c r="Y272" s="116"/>
      <c r="Z272" s="116"/>
      <c r="AA272" s="116"/>
      <c r="AB272" s="116"/>
      <c r="AC272" s="115"/>
      <c r="AD272" s="234"/>
      <c r="AE272" s="1"/>
      <c r="AF272" s="120"/>
      <c r="AG272" s="1"/>
      <c r="AH272" s="120"/>
    </row>
    <row r="273" spans="1:34" ht="15">
      <c r="B273" s="154"/>
      <c r="C273" s="108" t="s">
        <v>1306</v>
      </c>
      <c r="D273" s="156"/>
      <c r="E273" s="120"/>
      <c r="F273" s="120"/>
      <c r="G273" s="120"/>
      <c r="H273" s="115">
        <f t="shared" si="73"/>
        <v>7976</v>
      </c>
      <c r="I273" s="115">
        <f t="shared" si="74"/>
        <v>7976</v>
      </c>
      <c r="J273" s="115">
        <f t="shared" si="75"/>
        <v>7976</v>
      </c>
      <c r="K273" s="115">
        <f t="shared" si="76"/>
        <v>7976</v>
      </c>
      <c r="L273" s="115">
        <f t="shared" si="77"/>
        <v>7976</v>
      </c>
      <c r="M273" s="115">
        <f t="shared" si="78"/>
        <v>7976</v>
      </c>
      <c r="N273" s="115">
        <f t="shared" si="79"/>
        <v>7976</v>
      </c>
      <c r="O273" s="115">
        <f t="shared" si="80"/>
        <v>7976</v>
      </c>
      <c r="P273" s="115">
        <f t="shared" si="81"/>
        <v>7976</v>
      </c>
      <c r="Q273" s="116"/>
      <c r="R273" s="116"/>
      <c r="S273" s="116"/>
      <c r="T273" s="116">
        <v>7976</v>
      </c>
      <c r="U273" s="116"/>
      <c r="V273" s="116"/>
      <c r="W273" s="116"/>
      <c r="X273" s="116"/>
      <c r="Y273" s="116"/>
      <c r="Z273" s="116"/>
      <c r="AA273" s="116"/>
      <c r="AB273" s="116"/>
      <c r="AC273" s="115"/>
      <c r="AD273" s="234"/>
      <c r="AE273" s="1"/>
      <c r="AF273" s="120"/>
      <c r="AG273" s="1"/>
      <c r="AH273" s="120"/>
    </row>
    <row r="274" spans="1:34" ht="15">
      <c r="B274" s="154"/>
      <c r="C274" s="108" t="s">
        <v>1307</v>
      </c>
      <c r="D274" s="156"/>
      <c r="E274" s="120"/>
      <c r="F274" s="120"/>
      <c r="G274" s="120"/>
      <c r="H274" s="115">
        <f t="shared" si="73"/>
        <v>2160</v>
      </c>
      <c r="I274" s="115">
        <f t="shared" si="74"/>
        <v>2160</v>
      </c>
      <c r="J274" s="115">
        <f t="shared" si="75"/>
        <v>2160</v>
      </c>
      <c r="K274" s="115">
        <f t="shared" si="76"/>
        <v>2160</v>
      </c>
      <c r="L274" s="115">
        <f t="shared" si="77"/>
        <v>2160</v>
      </c>
      <c r="M274" s="115">
        <f t="shared" si="78"/>
        <v>2160</v>
      </c>
      <c r="N274" s="115">
        <f t="shared" si="79"/>
        <v>2160</v>
      </c>
      <c r="O274" s="115">
        <f t="shared" si="80"/>
        <v>2160</v>
      </c>
      <c r="P274" s="115">
        <f t="shared" si="81"/>
        <v>2160</v>
      </c>
      <c r="Q274" s="116"/>
      <c r="R274" s="116"/>
      <c r="S274" s="116"/>
      <c r="T274" s="116">
        <f>800+1360</f>
        <v>2160</v>
      </c>
      <c r="U274" s="116"/>
      <c r="V274" s="116"/>
      <c r="W274" s="116"/>
      <c r="X274" s="116"/>
      <c r="Y274" s="116"/>
      <c r="Z274" s="116"/>
      <c r="AA274" s="116"/>
      <c r="AB274" s="116"/>
      <c r="AC274" s="115"/>
      <c r="AD274" s="234"/>
      <c r="AE274" s="1"/>
      <c r="AF274" s="120"/>
      <c r="AG274" s="1"/>
      <c r="AH274" s="120"/>
    </row>
    <row r="275" spans="1:34" ht="15">
      <c r="B275" s="154"/>
      <c r="C275" s="108" t="s">
        <v>1308</v>
      </c>
      <c r="D275" s="156"/>
      <c r="E275" s="120"/>
      <c r="F275" s="120"/>
      <c r="G275" s="120"/>
      <c r="H275" s="115">
        <f t="shared" si="73"/>
        <v>1500</v>
      </c>
      <c r="I275" s="115">
        <f t="shared" si="74"/>
        <v>1500</v>
      </c>
      <c r="J275" s="115">
        <f t="shared" si="75"/>
        <v>1500</v>
      </c>
      <c r="K275" s="115">
        <f t="shared" si="76"/>
        <v>1500</v>
      </c>
      <c r="L275" s="115">
        <f t="shared" si="77"/>
        <v>1500</v>
      </c>
      <c r="M275" s="115">
        <f t="shared" si="78"/>
        <v>1500</v>
      </c>
      <c r="N275" s="115">
        <f t="shared" si="79"/>
        <v>1500</v>
      </c>
      <c r="O275" s="115">
        <f t="shared" si="80"/>
        <v>1500</v>
      </c>
      <c r="P275" s="115">
        <f t="shared" si="81"/>
        <v>1500</v>
      </c>
      <c r="Q275" s="116"/>
      <c r="R275" s="116"/>
      <c r="S275" s="116"/>
      <c r="T275" s="116">
        <v>1500</v>
      </c>
      <c r="U275" s="116"/>
      <c r="V275" s="116"/>
      <c r="W275" s="116"/>
      <c r="X275" s="116"/>
      <c r="Y275" s="116"/>
      <c r="Z275" s="116"/>
      <c r="AA275" s="116"/>
      <c r="AB275" s="116"/>
      <c r="AC275" s="115"/>
      <c r="AD275" s="234"/>
      <c r="AE275" s="1"/>
      <c r="AF275" s="120"/>
      <c r="AG275" s="1"/>
      <c r="AH275" s="120"/>
    </row>
    <row r="276" spans="1:34" ht="15">
      <c r="B276" s="154"/>
      <c r="C276" s="108" t="s">
        <v>1309</v>
      </c>
      <c r="D276" s="156"/>
      <c r="E276" s="120"/>
      <c r="F276" s="120"/>
      <c r="G276" s="120"/>
      <c r="H276" s="115">
        <f t="shared" si="73"/>
        <v>1360</v>
      </c>
      <c r="I276" s="115">
        <f t="shared" si="74"/>
        <v>1360</v>
      </c>
      <c r="J276" s="115">
        <f t="shared" si="75"/>
        <v>1360</v>
      </c>
      <c r="K276" s="115">
        <f t="shared" si="76"/>
        <v>1360</v>
      </c>
      <c r="L276" s="115">
        <f t="shared" si="77"/>
        <v>1360</v>
      </c>
      <c r="M276" s="115">
        <f t="shared" si="78"/>
        <v>1360</v>
      </c>
      <c r="N276" s="115">
        <f t="shared" si="79"/>
        <v>1360</v>
      </c>
      <c r="O276" s="115">
        <f t="shared" si="80"/>
        <v>1360</v>
      </c>
      <c r="P276" s="115">
        <f t="shared" si="81"/>
        <v>1360</v>
      </c>
      <c r="Q276" s="116"/>
      <c r="R276" s="116"/>
      <c r="S276" s="116"/>
      <c r="T276" s="116">
        <f>1360</f>
        <v>1360</v>
      </c>
      <c r="U276" s="116"/>
      <c r="V276" s="116"/>
      <c r="W276" s="116"/>
      <c r="X276" s="116"/>
      <c r="Y276" s="116"/>
      <c r="Z276" s="116"/>
      <c r="AA276" s="116"/>
      <c r="AB276" s="116"/>
      <c r="AC276" s="115"/>
      <c r="AD276" s="234"/>
      <c r="AE276" s="1"/>
      <c r="AF276" s="120"/>
      <c r="AG276" s="1"/>
      <c r="AH276" s="120"/>
    </row>
    <row r="277" spans="1:34" ht="15">
      <c r="B277" s="154"/>
      <c r="C277" s="108" t="s">
        <v>1310</v>
      </c>
      <c r="D277" s="156"/>
      <c r="E277" s="120"/>
      <c r="F277" s="120"/>
      <c r="G277" s="120"/>
      <c r="H277" s="115">
        <f t="shared" si="73"/>
        <v>720</v>
      </c>
      <c r="I277" s="115">
        <f t="shared" si="74"/>
        <v>720</v>
      </c>
      <c r="J277" s="115">
        <f t="shared" si="75"/>
        <v>720</v>
      </c>
      <c r="K277" s="115">
        <f t="shared" si="76"/>
        <v>720</v>
      </c>
      <c r="L277" s="115">
        <f t="shared" si="77"/>
        <v>720</v>
      </c>
      <c r="M277" s="115">
        <f t="shared" si="78"/>
        <v>720</v>
      </c>
      <c r="N277" s="115">
        <f t="shared" si="79"/>
        <v>720</v>
      </c>
      <c r="O277" s="115">
        <f t="shared" si="80"/>
        <v>720</v>
      </c>
      <c r="P277" s="115">
        <f t="shared" si="81"/>
        <v>720</v>
      </c>
      <c r="Q277" s="116"/>
      <c r="R277" s="116"/>
      <c r="S277" s="116"/>
      <c r="T277" s="116">
        <f>720</f>
        <v>720</v>
      </c>
      <c r="U277" s="116"/>
      <c r="V277" s="116"/>
      <c r="W277" s="116"/>
      <c r="X277" s="116"/>
      <c r="Y277" s="116"/>
      <c r="Z277" s="116"/>
      <c r="AA277" s="116"/>
      <c r="AB277" s="116"/>
      <c r="AC277" s="115"/>
      <c r="AD277" s="234"/>
      <c r="AE277" s="1">
        <v>525</v>
      </c>
      <c r="AF277" s="120"/>
      <c r="AG277" s="1"/>
      <c r="AH277" s="120"/>
    </row>
    <row r="278" spans="1:34" ht="15" hidden="1">
      <c r="B278" s="154"/>
      <c r="C278" s="108" t="s">
        <v>1311</v>
      </c>
      <c r="D278" s="156"/>
      <c r="E278" s="120"/>
      <c r="F278" s="120"/>
      <c r="G278" s="120"/>
      <c r="H278" s="115">
        <f t="shared" si="73"/>
        <v>3704</v>
      </c>
      <c r="I278" s="115">
        <f t="shared" si="74"/>
        <v>3700</v>
      </c>
      <c r="J278" s="115">
        <f t="shared" si="75"/>
        <v>0</v>
      </c>
      <c r="K278" s="115">
        <f t="shared" si="76"/>
        <v>0</v>
      </c>
      <c r="L278" s="115">
        <f t="shared" si="77"/>
        <v>0</v>
      </c>
      <c r="M278" s="115">
        <f t="shared" si="78"/>
        <v>0</v>
      </c>
      <c r="N278" s="115">
        <f t="shared" si="79"/>
        <v>0</v>
      </c>
      <c r="O278" s="115">
        <f t="shared" si="80"/>
        <v>0</v>
      </c>
      <c r="P278" s="115">
        <f t="shared" si="81"/>
        <v>0</v>
      </c>
      <c r="Q278" s="116"/>
      <c r="R278" s="116"/>
      <c r="S278" s="116"/>
      <c r="T278" s="116">
        <v>3704</v>
      </c>
      <c r="U278" s="116">
        <v>-4</v>
      </c>
      <c r="V278" s="116">
        <v>-3700</v>
      </c>
      <c r="W278" s="116"/>
      <c r="X278" s="116"/>
      <c r="Y278" s="116"/>
      <c r="Z278" s="116"/>
      <c r="AA278" s="116"/>
      <c r="AB278" s="116"/>
      <c r="AC278" s="115"/>
      <c r="AD278" s="234"/>
      <c r="AE278" s="1"/>
      <c r="AF278" s="120"/>
      <c r="AG278" s="1"/>
      <c r="AH278" s="120"/>
    </row>
    <row r="279" spans="1:34" ht="15">
      <c r="B279" s="154"/>
      <c r="C279" s="108" t="s">
        <v>1311</v>
      </c>
      <c r="D279" s="156"/>
      <c r="E279" s="120"/>
      <c r="F279" s="120"/>
      <c r="G279" s="120"/>
      <c r="H279" s="115">
        <f t="shared" si="73"/>
        <v>9506</v>
      </c>
      <c r="I279" s="115">
        <f t="shared" si="74"/>
        <v>9506</v>
      </c>
      <c r="J279" s="115">
        <f t="shared" si="75"/>
        <v>9506</v>
      </c>
      <c r="K279" s="115">
        <f t="shared" si="76"/>
        <v>9506</v>
      </c>
      <c r="L279" s="115">
        <f t="shared" si="77"/>
        <v>9506</v>
      </c>
      <c r="M279" s="115">
        <f t="shared" si="78"/>
        <v>9506</v>
      </c>
      <c r="N279" s="115">
        <f t="shared" si="79"/>
        <v>9506</v>
      </c>
      <c r="O279" s="115">
        <f t="shared" si="80"/>
        <v>9506</v>
      </c>
      <c r="P279" s="115">
        <f t="shared" si="81"/>
        <v>9506</v>
      </c>
      <c r="Q279" s="116"/>
      <c r="R279" s="116"/>
      <c r="S279" s="116"/>
      <c r="T279" s="116">
        <v>9506</v>
      </c>
      <c r="U279" s="116"/>
      <c r="V279" s="116"/>
      <c r="W279" s="116"/>
      <c r="X279" s="116"/>
      <c r="Y279" s="116"/>
      <c r="Z279" s="116"/>
      <c r="AA279" s="116"/>
      <c r="AB279" s="116"/>
      <c r="AC279" s="115"/>
      <c r="AD279" s="234"/>
      <c r="AE279" s="1"/>
      <c r="AF279" s="120"/>
      <c r="AG279" s="1"/>
      <c r="AH279" s="120"/>
    </row>
    <row r="280" spans="1:34" ht="15">
      <c r="B280" s="154"/>
      <c r="C280" s="108" t="s">
        <v>1312</v>
      </c>
      <c r="D280" s="156"/>
      <c r="E280" s="120"/>
      <c r="F280" s="120"/>
      <c r="G280" s="120"/>
      <c r="H280" s="115">
        <f t="shared" si="73"/>
        <v>18038</v>
      </c>
      <c r="I280" s="115">
        <f t="shared" si="74"/>
        <v>18038</v>
      </c>
      <c r="J280" s="115">
        <f t="shared" si="75"/>
        <v>18038</v>
      </c>
      <c r="K280" s="115">
        <f t="shared" si="76"/>
        <v>18038</v>
      </c>
      <c r="L280" s="115">
        <f t="shared" si="77"/>
        <v>18038</v>
      </c>
      <c r="M280" s="115">
        <f t="shared" si="78"/>
        <v>18038</v>
      </c>
      <c r="N280" s="115">
        <f t="shared" si="79"/>
        <v>18038</v>
      </c>
      <c r="O280" s="115">
        <f t="shared" si="80"/>
        <v>18038</v>
      </c>
      <c r="P280" s="115">
        <f t="shared" si="81"/>
        <v>18038</v>
      </c>
      <c r="Q280" s="116"/>
      <c r="R280" s="116"/>
      <c r="S280" s="116"/>
      <c r="T280" s="116">
        <v>18038</v>
      </c>
      <c r="U280" s="116"/>
      <c r="V280" s="116"/>
      <c r="W280" s="116"/>
      <c r="X280" s="116"/>
      <c r="Y280" s="116"/>
      <c r="Z280" s="116"/>
      <c r="AA280" s="116"/>
      <c r="AB280" s="116"/>
      <c r="AC280" s="115"/>
      <c r="AD280" s="234"/>
      <c r="AE280" s="1">
        <v>750</v>
      </c>
      <c r="AF280" s="120"/>
      <c r="AG280" s="1"/>
      <c r="AH280" s="120"/>
    </row>
    <row r="281" spans="1:34" ht="15">
      <c r="A281" s="126"/>
      <c r="B281" s="136"/>
      <c r="C281" s="108" t="s">
        <v>1313</v>
      </c>
      <c r="D281" s="156"/>
      <c r="E281" s="120"/>
      <c r="F281" s="120"/>
      <c r="G281" s="120"/>
      <c r="H281" s="115">
        <f t="shared" si="73"/>
        <v>29630</v>
      </c>
      <c r="I281" s="115">
        <f t="shared" si="74"/>
        <v>29630</v>
      </c>
      <c r="J281" s="115">
        <f t="shared" si="75"/>
        <v>29630</v>
      </c>
      <c r="K281" s="115">
        <f t="shared" si="76"/>
        <v>29630</v>
      </c>
      <c r="L281" s="115">
        <f t="shared" si="77"/>
        <v>29630</v>
      </c>
      <c r="M281" s="115">
        <f t="shared" si="78"/>
        <v>29630</v>
      </c>
      <c r="N281" s="115">
        <f t="shared" si="79"/>
        <v>29630</v>
      </c>
      <c r="O281" s="115">
        <f t="shared" si="80"/>
        <v>29630</v>
      </c>
      <c r="P281" s="115">
        <f t="shared" si="81"/>
        <v>29630</v>
      </c>
      <c r="Q281" s="116"/>
      <c r="R281" s="116"/>
      <c r="S281" s="116"/>
      <c r="T281" s="116">
        <f>20110+9520</f>
        <v>29630</v>
      </c>
      <c r="U281" s="116"/>
      <c r="V281" s="116"/>
      <c r="W281" s="116"/>
      <c r="X281" s="116"/>
      <c r="Y281" s="116"/>
      <c r="Z281" s="116"/>
      <c r="AA281" s="116"/>
      <c r="AB281" s="116"/>
      <c r="AC281" s="115"/>
      <c r="AD281" s="234"/>
      <c r="AE281" s="1"/>
      <c r="AF281" s="120"/>
      <c r="AG281" s="1"/>
      <c r="AH281" s="120"/>
    </row>
    <row r="282" spans="1:34" ht="15">
      <c r="B282" s="154"/>
      <c r="C282" s="108" t="s">
        <v>1314</v>
      </c>
      <c r="D282" s="156"/>
      <c r="E282" s="120"/>
      <c r="F282" s="120"/>
      <c r="G282" s="120"/>
      <c r="H282" s="115">
        <f t="shared" si="73"/>
        <v>12524</v>
      </c>
      <c r="I282" s="115">
        <f t="shared" si="74"/>
        <v>12524</v>
      </c>
      <c r="J282" s="115">
        <f t="shared" si="75"/>
        <v>12524</v>
      </c>
      <c r="K282" s="115">
        <f t="shared" si="76"/>
        <v>12524</v>
      </c>
      <c r="L282" s="115">
        <f t="shared" si="77"/>
        <v>12524</v>
      </c>
      <c r="M282" s="115">
        <f t="shared" si="78"/>
        <v>12524</v>
      </c>
      <c r="N282" s="115">
        <f t="shared" si="79"/>
        <v>12524</v>
      </c>
      <c r="O282" s="115">
        <f t="shared" si="80"/>
        <v>12524</v>
      </c>
      <c r="P282" s="115">
        <f t="shared" si="81"/>
        <v>12524</v>
      </c>
      <c r="Q282" s="116"/>
      <c r="R282" s="116"/>
      <c r="S282" s="116"/>
      <c r="T282" s="116">
        <f>12022-5800-200+6502+1000-1000</f>
        <v>12524</v>
      </c>
      <c r="U282" s="116"/>
      <c r="V282" s="116"/>
      <c r="W282" s="116"/>
      <c r="X282" s="116"/>
      <c r="Y282" s="116"/>
      <c r="Z282" s="116"/>
      <c r="AA282" s="116"/>
      <c r="AB282" s="116"/>
      <c r="AC282" s="115"/>
      <c r="AD282" s="234"/>
      <c r="AE282" s="1"/>
      <c r="AF282" s="120"/>
      <c r="AG282" s="1"/>
      <c r="AH282" s="120"/>
    </row>
    <row r="283" spans="1:34" ht="15">
      <c r="B283" s="154"/>
      <c r="C283" s="108" t="s">
        <v>1315</v>
      </c>
      <c r="D283" s="156"/>
      <c r="E283" s="120"/>
      <c r="F283" s="120"/>
      <c r="G283" s="120"/>
      <c r="H283" s="115">
        <f t="shared" si="73"/>
        <v>4300</v>
      </c>
      <c r="I283" s="115">
        <f t="shared" si="74"/>
        <v>4300</v>
      </c>
      <c r="J283" s="115">
        <f t="shared" si="75"/>
        <v>4300</v>
      </c>
      <c r="K283" s="115">
        <f t="shared" si="76"/>
        <v>4300</v>
      </c>
      <c r="L283" s="115">
        <f t="shared" si="77"/>
        <v>4300</v>
      </c>
      <c r="M283" s="115">
        <f t="shared" si="78"/>
        <v>4300</v>
      </c>
      <c r="N283" s="115">
        <f t="shared" si="79"/>
        <v>4300</v>
      </c>
      <c r="O283" s="115">
        <f t="shared" si="80"/>
        <v>4300</v>
      </c>
      <c r="P283" s="115">
        <f t="shared" si="81"/>
        <v>4300</v>
      </c>
      <c r="Q283" s="116"/>
      <c r="R283" s="116"/>
      <c r="S283" s="116"/>
      <c r="T283" s="116">
        <f>600+1000+1400+2900-1600</f>
        <v>4300</v>
      </c>
      <c r="U283" s="116"/>
      <c r="V283" s="116"/>
      <c r="W283" s="116"/>
      <c r="X283" s="116"/>
      <c r="Y283" s="116"/>
      <c r="Z283" s="116"/>
      <c r="AA283" s="116"/>
      <c r="AB283" s="116"/>
      <c r="AC283" s="115"/>
      <c r="AD283" s="234"/>
      <c r="AE283" s="1">
        <v>223.5</v>
      </c>
      <c r="AF283" s="120"/>
      <c r="AG283" s="1"/>
      <c r="AH283" s="120"/>
    </row>
    <row r="284" spans="1:34" ht="15">
      <c r="B284" s="154"/>
      <c r="C284" s="108" t="s">
        <v>1316</v>
      </c>
      <c r="D284" s="156"/>
      <c r="E284" s="120"/>
      <c r="F284" s="120"/>
      <c r="G284" s="120"/>
      <c r="H284" s="115">
        <f t="shared" si="73"/>
        <v>220</v>
      </c>
      <c r="I284" s="115">
        <f t="shared" si="74"/>
        <v>220</v>
      </c>
      <c r="J284" s="115">
        <f t="shared" si="75"/>
        <v>220</v>
      </c>
      <c r="K284" s="115">
        <f t="shared" si="76"/>
        <v>220</v>
      </c>
      <c r="L284" s="115">
        <f t="shared" si="77"/>
        <v>220</v>
      </c>
      <c r="M284" s="115">
        <f t="shared" si="78"/>
        <v>220</v>
      </c>
      <c r="N284" s="115">
        <f t="shared" si="79"/>
        <v>220</v>
      </c>
      <c r="O284" s="115">
        <f t="shared" si="80"/>
        <v>220</v>
      </c>
      <c r="P284" s="115">
        <f t="shared" si="81"/>
        <v>220</v>
      </c>
      <c r="Q284" s="116"/>
      <c r="R284" s="116"/>
      <c r="S284" s="116"/>
      <c r="T284" s="116">
        <f>19000-18780</f>
        <v>220</v>
      </c>
      <c r="U284" s="116"/>
      <c r="V284" s="116"/>
      <c r="W284" s="116"/>
      <c r="X284" s="116"/>
      <c r="Y284" s="116"/>
      <c r="Z284" s="116"/>
      <c r="AA284" s="116"/>
      <c r="AB284" s="116"/>
      <c r="AC284" s="115"/>
      <c r="AD284" s="234"/>
      <c r="AE284" s="1"/>
      <c r="AF284" s="120"/>
      <c r="AG284" s="1"/>
      <c r="AH284" s="120"/>
    </row>
    <row r="285" spans="1:34" ht="15">
      <c r="B285" s="154"/>
      <c r="C285" s="108" t="s">
        <v>1317</v>
      </c>
      <c r="D285" s="156"/>
      <c r="E285" s="120"/>
      <c r="F285" s="120"/>
      <c r="G285" s="120"/>
      <c r="H285" s="115">
        <f t="shared" si="73"/>
        <v>2629</v>
      </c>
      <c r="I285" s="115">
        <f t="shared" si="74"/>
        <v>2629</v>
      </c>
      <c r="J285" s="115">
        <f t="shared" si="75"/>
        <v>2629</v>
      </c>
      <c r="K285" s="115">
        <f t="shared" si="76"/>
        <v>2629</v>
      </c>
      <c r="L285" s="115">
        <f t="shared" si="77"/>
        <v>2629</v>
      </c>
      <c r="M285" s="115">
        <f t="shared" si="78"/>
        <v>2629</v>
      </c>
      <c r="N285" s="115">
        <f t="shared" si="79"/>
        <v>2629</v>
      </c>
      <c r="O285" s="115">
        <f t="shared" si="80"/>
        <v>2629</v>
      </c>
      <c r="P285" s="115">
        <f t="shared" si="81"/>
        <v>2629</v>
      </c>
      <c r="Q285" s="116"/>
      <c r="R285" s="116"/>
      <c r="S285" s="116"/>
      <c r="T285" s="116">
        <f>752+1900-23</f>
        <v>2629</v>
      </c>
      <c r="U285" s="116"/>
      <c r="V285" s="116"/>
      <c r="W285" s="116"/>
      <c r="X285" s="116"/>
      <c r="Y285" s="116"/>
      <c r="Z285" s="116"/>
      <c r="AA285" s="116"/>
      <c r="AB285" s="116"/>
      <c r="AC285" s="115"/>
      <c r="AD285" s="234"/>
      <c r="AE285" s="1"/>
      <c r="AF285" s="120"/>
      <c r="AG285" s="1"/>
      <c r="AH285" s="120"/>
    </row>
    <row r="286" spans="1:34" ht="15">
      <c r="B286" s="154"/>
      <c r="C286" s="108" t="s">
        <v>1318</v>
      </c>
      <c r="D286" s="156"/>
      <c r="E286" s="120"/>
      <c r="F286" s="120"/>
      <c r="G286" s="120"/>
      <c r="H286" s="115">
        <f t="shared" si="73"/>
        <v>8260</v>
      </c>
      <c r="I286" s="115">
        <f t="shared" si="74"/>
        <v>8260</v>
      </c>
      <c r="J286" s="115">
        <f t="shared" si="75"/>
        <v>8260</v>
      </c>
      <c r="K286" s="115">
        <f t="shared" si="76"/>
        <v>8260</v>
      </c>
      <c r="L286" s="115">
        <f t="shared" si="77"/>
        <v>8260</v>
      </c>
      <c r="M286" s="115">
        <f t="shared" si="78"/>
        <v>8260</v>
      </c>
      <c r="N286" s="115">
        <f t="shared" si="79"/>
        <v>8260</v>
      </c>
      <c r="O286" s="115">
        <f t="shared" si="80"/>
        <v>8260</v>
      </c>
      <c r="P286" s="115">
        <f t="shared" si="81"/>
        <v>8260</v>
      </c>
      <c r="Q286" s="116"/>
      <c r="R286" s="116"/>
      <c r="S286" s="116"/>
      <c r="T286" s="116">
        <f>8260+5720-5720</f>
        <v>8260</v>
      </c>
      <c r="U286" s="116"/>
      <c r="V286" s="116"/>
      <c r="W286" s="116"/>
      <c r="X286" s="116"/>
      <c r="Y286" s="116"/>
      <c r="Z286" s="116"/>
      <c r="AA286" s="116"/>
      <c r="AB286" s="116"/>
      <c r="AC286" s="115"/>
      <c r="AD286" s="234"/>
      <c r="AE286" s="1">
        <f>SUM(AE277:AE284)</f>
        <v>1498.5</v>
      </c>
      <c r="AF286" s="120"/>
      <c r="AG286" s="1"/>
      <c r="AH286" s="120"/>
    </row>
    <row r="287" spans="1:34" ht="15">
      <c r="B287" s="154"/>
      <c r="C287" s="108" t="s">
        <v>1319</v>
      </c>
      <c r="D287" s="156"/>
      <c r="E287" s="120"/>
      <c r="F287" s="120"/>
      <c r="G287" s="120"/>
      <c r="H287" s="115">
        <f t="shared" si="73"/>
        <v>4612</v>
      </c>
      <c r="I287" s="115">
        <f t="shared" si="74"/>
        <v>4612</v>
      </c>
      <c r="J287" s="115">
        <f t="shared" si="75"/>
        <v>4612</v>
      </c>
      <c r="K287" s="115">
        <f t="shared" si="76"/>
        <v>4612</v>
      </c>
      <c r="L287" s="115">
        <f t="shared" si="77"/>
        <v>4612</v>
      </c>
      <c r="M287" s="115">
        <f t="shared" si="78"/>
        <v>4612</v>
      </c>
      <c r="N287" s="115">
        <f t="shared" si="79"/>
        <v>4612</v>
      </c>
      <c r="O287" s="115">
        <f t="shared" si="80"/>
        <v>4612</v>
      </c>
      <c r="P287" s="115">
        <f t="shared" si="81"/>
        <v>4612</v>
      </c>
      <c r="Q287" s="116"/>
      <c r="R287" s="116"/>
      <c r="S287" s="116"/>
      <c r="T287" s="116">
        <v>4612</v>
      </c>
      <c r="U287" s="116"/>
      <c r="V287" s="116"/>
      <c r="W287" s="116"/>
      <c r="X287" s="116"/>
      <c r="Y287" s="116"/>
      <c r="Z287" s="116"/>
      <c r="AA287" s="116"/>
      <c r="AB287" s="116"/>
      <c r="AC287" s="115"/>
      <c r="AD287" s="234"/>
      <c r="AE287" s="1"/>
      <c r="AF287" s="120"/>
      <c r="AG287" s="1"/>
      <c r="AH287" s="120"/>
    </row>
    <row r="288" spans="1:34" ht="15">
      <c r="B288" s="154"/>
      <c r="C288" s="108" t="s">
        <v>1320</v>
      </c>
      <c r="D288" s="156"/>
      <c r="E288" s="120"/>
      <c r="F288" s="120"/>
      <c r="G288" s="120"/>
      <c r="H288" s="115">
        <f t="shared" si="73"/>
        <v>5900</v>
      </c>
      <c r="I288" s="115">
        <f t="shared" si="74"/>
        <v>5900</v>
      </c>
      <c r="J288" s="115">
        <f t="shared" si="75"/>
        <v>5900</v>
      </c>
      <c r="K288" s="115">
        <f t="shared" si="76"/>
        <v>5900</v>
      </c>
      <c r="L288" s="115">
        <f t="shared" si="77"/>
        <v>5900</v>
      </c>
      <c r="M288" s="115">
        <f t="shared" si="78"/>
        <v>5900</v>
      </c>
      <c r="N288" s="115">
        <f t="shared" si="79"/>
        <v>5900</v>
      </c>
      <c r="O288" s="115">
        <f t="shared" si="80"/>
        <v>5900</v>
      </c>
      <c r="P288" s="115">
        <f t="shared" si="81"/>
        <v>5900</v>
      </c>
      <c r="Q288" s="116"/>
      <c r="R288" s="116"/>
      <c r="S288" s="116"/>
      <c r="T288" s="116">
        <v>5900</v>
      </c>
      <c r="U288" s="116"/>
      <c r="V288" s="116"/>
      <c r="W288" s="116"/>
      <c r="X288" s="116"/>
      <c r="Y288" s="116"/>
      <c r="Z288" s="116"/>
      <c r="AA288" s="116"/>
      <c r="AB288" s="116"/>
      <c r="AC288" s="115"/>
      <c r="AD288" s="234"/>
      <c r="AE288" s="1"/>
      <c r="AF288" s="120"/>
      <c r="AG288" s="1"/>
      <c r="AH288" s="120"/>
    </row>
    <row r="289" spans="1:34" ht="15">
      <c r="B289" s="154"/>
      <c r="C289" s="108" t="s">
        <v>1321</v>
      </c>
      <c r="D289" s="156"/>
      <c r="E289" s="120"/>
      <c r="F289" s="120"/>
      <c r="G289" s="120"/>
      <c r="H289" s="115">
        <f t="shared" si="73"/>
        <v>2810.01</v>
      </c>
      <c r="I289" s="115">
        <f t="shared" si="74"/>
        <v>2810.01</v>
      </c>
      <c r="J289" s="115">
        <f t="shared" si="75"/>
        <v>2810.01</v>
      </c>
      <c r="K289" s="115">
        <f t="shared" si="76"/>
        <v>2810.01</v>
      </c>
      <c r="L289" s="115">
        <f t="shared" si="77"/>
        <v>2810.01</v>
      </c>
      <c r="M289" s="115">
        <f t="shared" si="78"/>
        <v>2810.01</v>
      </c>
      <c r="N289" s="115">
        <f t="shared" si="79"/>
        <v>2810.01</v>
      </c>
      <c r="O289" s="115">
        <f t="shared" si="80"/>
        <v>2810.01</v>
      </c>
      <c r="P289" s="115">
        <f t="shared" si="81"/>
        <v>2810.01</v>
      </c>
      <c r="Q289" s="116"/>
      <c r="R289" s="116"/>
      <c r="S289" s="116"/>
      <c r="T289" s="116">
        <f>2810+0.01</f>
        <v>2810.01</v>
      </c>
      <c r="U289" s="116"/>
      <c r="V289" s="116"/>
      <c r="W289" s="116"/>
      <c r="X289" s="116"/>
      <c r="Y289" s="116"/>
      <c r="Z289" s="116"/>
      <c r="AA289" s="116"/>
      <c r="AB289" s="116"/>
      <c r="AC289" s="115"/>
      <c r="AD289" s="234"/>
      <c r="AE289" s="1"/>
      <c r="AF289" s="120"/>
      <c r="AG289" s="1"/>
      <c r="AH289" s="120"/>
    </row>
    <row r="290" spans="1:34" ht="15" hidden="1">
      <c r="B290" s="154"/>
      <c r="C290" s="108" t="s">
        <v>1322</v>
      </c>
      <c r="D290" s="156"/>
      <c r="E290" s="120"/>
      <c r="F290" s="120"/>
      <c r="G290" s="120"/>
      <c r="H290" s="115">
        <f t="shared" si="73"/>
        <v>0</v>
      </c>
      <c r="I290" s="115">
        <f t="shared" si="74"/>
        <v>0</v>
      </c>
      <c r="J290" s="115">
        <f t="shared" si="75"/>
        <v>0</v>
      </c>
      <c r="K290" s="115">
        <f t="shared" si="76"/>
        <v>0</v>
      </c>
      <c r="L290" s="115">
        <f t="shared" si="77"/>
        <v>0</v>
      </c>
      <c r="M290" s="115">
        <f t="shared" si="78"/>
        <v>0</v>
      </c>
      <c r="N290" s="115">
        <f t="shared" si="79"/>
        <v>0</v>
      </c>
      <c r="O290" s="115">
        <f t="shared" si="80"/>
        <v>0</v>
      </c>
      <c r="P290" s="115">
        <f t="shared" si="81"/>
        <v>0</v>
      </c>
      <c r="Q290" s="116"/>
      <c r="R290" s="116"/>
      <c r="S290" s="116"/>
      <c r="T290" s="116">
        <f>3324-64-3260</f>
        <v>0</v>
      </c>
      <c r="U290" s="116"/>
      <c r="V290" s="116"/>
      <c r="W290" s="116"/>
      <c r="X290" s="116"/>
      <c r="Y290" s="116"/>
      <c r="Z290" s="116"/>
      <c r="AA290" s="116"/>
      <c r="AB290" s="116"/>
      <c r="AC290" s="115"/>
      <c r="AD290" s="234"/>
      <c r="AE290" s="1"/>
      <c r="AF290" s="120"/>
      <c r="AG290" s="1"/>
      <c r="AH290" s="120"/>
    </row>
    <row r="291" spans="1:34" ht="15">
      <c r="B291" s="154"/>
      <c r="C291" s="108" t="s">
        <v>1322</v>
      </c>
      <c r="D291" s="156"/>
      <c r="E291" s="120"/>
      <c r="F291" s="120"/>
      <c r="G291" s="120"/>
      <c r="H291" s="115">
        <f t="shared" si="73"/>
        <v>9506</v>
      </c>
      <c r="I291" s="115">
        <f t="shared" si="74"/>
        <v>9506</v>
      </c>
      <c r="J291" s="115">
        <f t="shared" si="75"/>
        <v>9506</v>
      </c>
      <c r="K291" s="115">
        <f t="shared" si="76"/>
        <v>9506</v>
      </c>
      <c r="L291" s="115">
        <f t="shared" si="77"/>
        <v>9506</v>
      </c>
      <c r="M291" s="115">
        <f t="shared" si="78"/>
        <v>9506</v>
      </c>
      <c r="N291" s="115">
        <f t="shared" si="79"/>
        <v>9506</v>
      </c>
      <c r="O291" s="115">
        <f t="shared" si="80"/>
        <v>9506</v>
      </c>
      <c r="P291" s="115">
        <f t="shared" si="81"/>
        <v>9506</v>
      </c>
      <c r="Q291" s="116"/>
      <c r="R291" s="116"/>
      <c r="S291" s="116"/>
      <c r="T291" s="116">
        <v>9506</v>
      </c>
      <c r="U291" s="116"/>
      <c r="V291" s="116"/>
      <c r="W291" s="116"/>
      <c r="X291" s="116"/>
      <c r="Y291" s="116"/>
      <c r="Z291" s="116"/>
      <c r="AA291" s="116"/>
      <c r="AB291" s="116"/>
      <c r="AC291" s="115"/>
      <c r="AD291" s="234"/>
      <c r="AE291" s="1"/>
      <c r="AF291" s="120"/>
      <c r="AG291" s="1"/>
      <c r="AH291" s="120"/>
    </row>
    <row r="292" spans="1:34" ht="15">
      <c r="B292" s="154"/>
      <c r="C292" s="108" t="s">
        <v>1322</v>
      </c>
      <c r="D292" s="156"/>
      <c r="E292" s="120"/>
      <c r="F292" s="120"/>
      <c r="G292" s="120"/>
      <c r="H292" s="115">
        <f t="shared" si="73"/>
        <v>1404</v>
      </c>
      <c r="I292" s="115">
        <f t="shared" si="74"/>
        <v>1404</v>
      </c>
      <c r="J292" s="115">
        <f t="shared" si="75"/>
        <v>1404</v>
      </c>
      <c r="K292" s="115">
        <f t="shared" si="76"/>
        <v>1404</v>
      </c>
      <c r="L292" s="115">
        <f t="shared" si="77"/>
        <v>1404</v>
      </c>
      <c r="M292" s="115">
        <f t="shared" si="78"/>
        <v>1404</v>
      </c>
      <c r="N292" s="115">
        <f t="shared" si="79"/>
        <v>1404</v>
      </c>
      <c r="O292" s="115">
        <f t="shared" si="80"/>
        <v>1404</v>
      </c>
      <c r="P292" s="115">
        <f t="shared" si="81"/>
        <v>1404</v>
      </c>
      <c r="Q292" s="116"/>
      <c r="R292" s="116"/>
      <c r="S292" s="116"/>
      <c r="T292" s="116">
        <v>1404</v>
      </c>
      <c r="U292" s="116"/>
      <c r="V292" s="116"/>
      <c r="W292" s="116"/>
      <c r="X292" s="116"/>
      <c r="Y292" s="116"/>
      <c r="Z292" s="116"/>
      <c r="AA292" s="116"/>
      <c r="AB292" s="116"/>
      <c r="AC292" s="115"/>
      <c r="AD292" s="234"/>
      <c r="AE292" s="1"/>
      <c r="AF292" s="120"/>
      <c r="AG292" s="1"/>
      <c r="AH292" s="120"/>
    </row>
    <row r="293" spans="1:34" ht="15" hidden="1">
      <c r="B293" s="154"/>
      <c r="C293" s="108" t="s">
        <v>1323</v>
      </c>
      <c r="D293" s="156"/>
      <c r="E293" s="120"/>
      <c r="F293" s="120"/>
      <c r="G293" s="120"/>
      <c r="H293" s="115">
        <f t="shared" si="73"/>
        <v>0</v>
      </c>
      <c r="I293" s="115">
        <f t="shared" si="74"/>
        <v>0</v>
      </c>
      <c r="J293" s="115">
        <f t="shared" si="75"/>
        <v>0</v>
      </c>
      <c r="K293" s="115">
        <f t="shared" si="76"/>
        <v>0</v>
      </c>
      <c r="L293" s="115">
        <f t="shared" si="77"/>
        <v>0</v>
      </c>
      <c r="M293" s="115">
        <f t="shared" si="78"/>
        <v>0</v>
      </c>
      <c r="N293" s="115">
        <f t="shared" si="79"/>
        <v>0</v>
      </c>
      <c r="O293" s="115">
        <f t="shared" si="80"/>
        <v>0</v>
      </c>
      <c r="P293" s="115">
        <f t="shared" si="81"/>
        <v>0</v>
      </c>
      <c r="Q293" s="116"/>
      <c r="R293" s="116"/>
      <c r="S293" s="116"/>
      <c r="T293" s="116">
        <f>3360-3360</f>
        <v>0</v>
      </c>
      <c r="U293" s="116"/>
      <c r="V293" s="116"/>
      <c r="W293" s="116"/>
      <c r="X293" s="116"/>
      <c r="Y293" s="116"/>
      <c r="Z293" s="116"/>
      <c r="AA293" s="116"/>
      <c r="AB293" s="116"/>
      <c r="AC293" s="115"/>
      <c r="AD293" s="234"/>
      <c r="AE293" s="1"/>
      <c r="AF293" s="120"/>
      <c r="AG293" s="1"/>
      <c r="AH293" s="120"/>
    </row>
    <row r="294" spans="1:34" ht="15">
      <c r="B294" s="154"/>
      <c r="C294" s="108" t="s">
        <v>1324</v>
      </c>
      <c r="D294" s="156" t="s">
        <v>1325</v>
      </c>
      <c r="E294" s="120"/>
      <c r="F294" s="120"/>
      <c r="G294" s="120"/>
      <c r="H294" s="115">
        <f t="shared" si="73"/>
        <v>8272</v>
      </c>
      <c r="I294" s="115">
        <f t="shared" si="74"/>
        <v>8272</v>
      </c>
      <c r="J294" s="115">
        <f t="shared" si="75"/>
        <v>8272</v>
      </c>
      <c r="K294" s="115">
        <f t="shared" si="76"/>
        <v>8272</v>
      </c>
      <c r="L294" s="115">
        <f t="shared" si="77"/>
        <v>8272</v>
      </c>
      <c r="M294" s="115">
        <f t="shared" si="78"/>
        <v>8272</v>
      </c>
      <c r="N294" s="115">
        <f t="shared" si="79"/>
        <v>8272</v>
      </c>
      <c r="O294" s="115">
        <f t="shared" si="80"/>
        <v>8272</v>
      </c>
      <c r="P294" s="115">
        <f t="shared" si="81"/>
        <v>8272</v>
      </c>
      <c r="Q294" s="116"/>
      <c r="R294" s="116"/>
      <c r="S294" s="116"/>
      <c r="T294" s="116">
        <v>8272</v>
      </c>
      <c r="U294" s="116"/>
      <c r="V294" s="116"/>
      <c r="W294" s="116"/>
      <c r="X294" s="116"/>
      <c r="Y294" s="116"/>
      <c r="Z294" s="116"/>
      <c r="AA294" s="116"/>
      <c r="AB294" s="116"/>
      <c r="AC294" s="115"/>
      <c r="AD294" s="234"/>
      <c r="AE294" s="1"/>
      <c r="AF294" s="120"/>
      <c r="AG294" s="1"/>
      <c r="AH294" s="120"/>
    </row>
    <row r="295" spans="1:34" ht="15" hidden="1">
      <c r="B295" s="154"/>
      <c r="C295" s="108" t="s">
        <v>1326</v>
      </c>
      <c r="D295" s="156"/>
      <c r="E295" s="120"/>
      <c r="F295" s="120"/>
      <c r="G295" s="120"/>
      <c r="H295" s="115">
        <f t="shared" si="73"/>
        <v>4716</v>
      </c>
      <c r="I295" s="115">
        <f t="shared" si="74"/>
        <v>4716</v>
      </c>
      <c r="J295" s="115">
        <f t="shared" si="75"/>
        <v>0</v>
      </c>
      <c r="K295" s="115">
        <f t="shared" si="76"/>
        <v>0</v>
      </c>
      <c r="L295" s="115">
        <f t="shared" si="77"/>
        <v>0</v>
      </c>
      <c r="M295" s="115">
        <f t="shared" si="78"/>
        <v>0</v>
      </c>
      <c r="N295" s="115">
        <f t="shared" si="79"/>
        <v>0</v>
      </c>
      <c r="O295" s="115">
        <f t="shared" si="80"/>
        <v>0</v>
      </c>
      <c r="P295" s="115">
        <f t="shared" si="81"/>
        <v>0</v>
      </c>
      <c r="Q295" s="116"/>
      <c r="R295" s="116"/>
      <c r="S295" s="116"/>
      <c r="T295" s="116">
        <f>4728-12</f>
        <v>4716</v>
      </c>
      <c r="U295" s="116"/>
      <c r="V295" s="116">
        <v>-4716</v>
      </c>
      <c r="W295" s="116"/>
      <c r="X295" s="116"/>
      <c r="Y295" s="116"/>
      <c r="Z295" s="116"/>
      <c r="AA295" s="116"/>
      <c r="AB295" s="116"/>
      <c r="AC295" s="115"/>
      <c r="AD295" s="234"/>
      <c r="AE295" s="1"/>
      <c r="AF295" s="120"/>
      <c r="AG295" s="1"/>
      <c r="AH295" s="120"/>
    </row>
    <row r="296" spans="1:34" ht="15" hidden="1">
      <c r="B296" s="154"/>
      <c r="C296" s="108" t="s">
        <v>1327</v>
      </c>
      <c r="D296" s="156"/>
      <c r="E296" s="120"/>
      <c r="F296" s="120"/>
      <c r="G296" s="120"/>
      <c r="H296" s="115">
        <f t="shared" si="73"/>
        <v>1404</v>
      </c>
      <c r="I296" s="115">
        <f t="shared" si="74"/>
        <v>1404</v>
      </c>
      <c r="J296" s="115">
        <f t="shared" si="75"/>
        <v>0</v>
      </c>
      <c r="K296" s="115">
        <f t="shared" si="76"/>
        <v>0</v>
      </c>
      <c r="L296" s="115">
        <f t="shared" si="77"/>
        <v>0</v>
      </c>
      <c r="M296" s="115">
        <f t="shared" si="78"/>
        <v>0</v>
      </c>
      <c r="N296" s="115">
        <f t="shared" si="79"/>
        <v>0</v>
      </c>
      <c r="O296" s="115">
        <f t="shared" si="80"/>
        <v>0</v>
      </c>
      <c r="P296" s="115">
        <f t="shared" si="81"/>
        <v>0</v>
      </c>
      <c r="Q296" s="116"/>
      <c r="R296" s="116"/>
      <c r="S296" s="116"/>
      <c r="T296" s="116">
        <v>1404</v>
      </c>
      <c r="U296" s="116"/>
      <c r="V296" s="116">
        <f>-16-1388</f>
        <v>-1404</v>
      </c>
      <c r="W296" s="116"/>
      <c r="X296" s="116"/>
      <c r="Y296" s="116"/>
      <c r="Z296" s="116"/>
      <c r="AA296" s="116"/>
      <c r="AB296" s="116"/>
      <c r="AC296" s="115"/>
      <c r="AD296" s="234"/>
      <c r="AE296" s="1"/>
      <c r="AF296" s="120"/>
      <c r="AG296" s="1"/>
      <c r="AH296" s="120"/>
    </row>
    <row r="297" spans="1:34" ht="15">
      <c r="B297" s="154"/>
      <c r="C297" s="126" t="s">
        <v>1328</v>
      </c>
      <c r="E297" s="157"/>
      <c r="F297" s="157"/>
      <c r="G297" s="157"/>
      <c r="H297" s="157">
        <f>SUM(H194:H296)</f>
        <v>1675287.7100000002</v>
      </c>
      <c r="I297" s="157">
        <f>SUM(I194:I296)</f>
        <v>1667071.7100000002</v>
      </c>
      <c r="J297" s="157">
        <f>SUM(J194:J296)</f>
        <v>1655482.7100000002</v>
      </c>
      <c r="K297" s="157">
        <f>SUM(K194:K296)</f>
        <v>1655482.7100000002</v>
      </c>
      <c r="L297" s="157">
        <f>SUM(L194:L296)</f>
        <v>1655482.7100000002</v>
      </c>
      <c r="M297" s="157"/>
      <c r="N297" s="157"/>
      <c r="O297" s="157"/>
      <c r="P297" s="157"/>
      <c r="Q297" s="158"/>
      <c r="R297" s="158"/>
      <c r="S297" s="158"/>
      <c r="T297" s="158">
        <f>SUM(T194:T296)</f>
        <v>1675287.7100000002</v>
      </c>
      <c r="U297" s="158">
        <f>SUM(U194:U296)</f>
        <v>-8216</v>
      </c>
      <c r="V297" s="158"/>
      <c r="W297" s="158"/>
      <c r="X297" s="158"/>
      <c r="Y297" s="158"/>
      <c r="Z297" s="158"/>
      <c r="AA297" s="158"/>
      <c r="AB297" s="158"/>
      <c r="AC297" s="178"/>
      <c r="AD297" s="234"/>
      <c r="AE297" s="1"/>
      <c r="AF297" s="120"/>
      <c r="AG297" s="1"/>
      <c r="AH297" s="120"/>
    </row>
    <row r="298" spans="1:34" ht="15.75" thickBot="1">
      <c r="A298" s="128"/>
      <c r="B298" s="128"/>
      <c r="C298" s="141" t="s">
        <v>1114</v>
      </c>
      <c r="D298" s="141"/>
      <c r="E298" s="159"/>
      <c r="F298" s="159"/>
      <c r="G298" s="159"/>
      <c r="H298" s="159">
        <f>+H191+H297</f>
        <v>29984964.059999999</v>
      </c>
      <c r="I298" s="151">
        <f>+I191+I297</f>
        <v>30360187.579999998</v>
      </c>
      <c r="J298" s="151">
        <f>+J191+J297</f>
        <v>30388598.579999998</v>
      </c>
      <c r="K298" s="151">
        <f>+K191+K297</f>
        <v>30411098.579999998</v>
      </c>
      <c r="L298" s="151">
        <f>+L191+L297</f>
        <v>30461098.579999998</v>
      </c>
      <c r="M298" s="159"/>
      <c r="N298" s="159"/>
      <c r="O298" s="159"/>
      <c r="P298" s="159"/>
      <c r="Q298" s="143"/>
      <c r="R298" s="143"/>
      <c r="S298" s="143"/>
      <c r="T298" s="143">
        <f>+T191+T297</f>
        <v>29984964.059999999</v>
      </c>
      <c r="U298" s="143">
        <f>+U191+U297</f>
        <v>375223.52</v>
      </c>
      <c r="V298" s="143">
        <f>SUM(V108:V297)</f>
        <v>28411</v>
      </c>
      <c r="W298" s="143"/>
      <c r="X298" s="143"/>
      <c r="Y298" s="143"/>
      <c r="Z298" s="143"/>
      <c r="AA298" s="143"/>
      <c r="AB298" s="143"/>
      <c r="AC298" s="234"/>
      <c r="AD298" s="234" t="e">
        <f>+#REF!-[1]TB!H41</f>
        <v>#REF!</v>
      </c>
      <c r="AE298" s="1" t="e">
        <f>+AD298/2</f>
        <v>#REF!</v>
      </c>
      <c r="AF298" s="120"/>
      <c r="AG298" s="1"/>
      <c r="AH298" s="120"/>
    </row>
    <row r="299" spans="1:34" ht="15.75" thickTop="1">
      <c r="A299" s="128"/>
      <c r="B299" s="128"/>
      <c r="C299" s="128"/>
      <c r="D299" s="128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125"/>
      <c r="AB299" s="125"/>
      <c r="AC299" s="124"/>
      <c r="AD299" s="234"/>
      <c r="AE299" s="1"/>
      <c r="AF299" s="120"/>
      <c r="AG299" s="1"/>
      <c r="AH299" s="120"/>
    </row>
    <row r="300" spans="1:34" ht="15">
      <c r="A300" s="128"/>
      <c r="B300" s="128"/>
      <c r="C300" s="128"/>
      <c r="D300" s="128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  <c r="AB300" s="125"/>
      <c r="AC300" s="124"/>
      <c r="AD300" s="234"/>
      <c r="AE300" s="1"/>
      <c r="AF300" s="120"/>
      <c r="AG300" s="1"/>
      <c r="AH300" s="120"/>
    </row>
    <row r="301" spans="1:34" ht="15">
      <c r="A301" s="126" t="s">
        <v>1329</v>
      </c>
      <c r="C301" s="126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  <c r="AB301" s="121"/>
      <c r="AC301" s="127"/>
      <c r="AD301" s="135"/>
      <c r="AE301" s="1"/>
      <c r="AF301" s="120"/>
      <c r="AG301" s="1"/>
      <c r="AH301" s="120"/>
    </row>
    <row r="302" spans="1:34">
      <c r="A302" s="150"/>
      <c r="C302" s="108" t="s">
        <v>1330</v>
      </c>
      <c r="E302" s="120"/>
      <c r="F302" s="120"/>
      <c r="G302" s="120"/>
      <c r="H302" s="115">
        <f t="shared" ref="H302:H366" si="82">Q302+R302+S302+T302</f>
        <v>200</v>
      </c>
      <c r="I302" s="115">
        <f t="shared" ref="I302:I366" si="83">Q302+R302+S302+T302+U302</f>
        <v>200</v>
      </c>
      <c r="J302" s="115">
        <f t="shared" ref="J302:J366" si="84">Q302+R302+S302+T302+U302+V302</f>
        <v>200</v>
      </c>
      <c r="K302" s="115">
        <f t="shared" ref="K302:K366" si="85">Q302+R302+S302+T302+U302+V302+W302</f>
        <v>200</v>
      </c>
      <c r="L302" s="115">
        <f t="shared" ref="L302:L366" si="86">Q302+R302+S302+T302+U302+V302+W302+X302</f>
        <v>200</v>
      </c>
      <c r="M302" s="115">
        <f t="shared" ref="M302:M366" si="87">Q302+R302+S302+T302+U302+V302+W302+X302+Y302</f>
        <v>200</v>
      </c>
      <c r="N302" s="115">
        <f t="shared" ref="N302:N366" si="88">Q302+R302+S302+T302+U302+V302+W302+X302+Y302+Z302</f>
        <v>200</v>
      </c>
      <c r="O302" s="115">
        <f t="shared" ref="O302:O366" si="89">Q302+R302+S302+T302+U302+V302+W302+X302+Y302+Z302+AA302</f>
        <v>200</v>
      </c>
      <c r="P302" s="115">
        <f t="shared" ref="P302:P366" si="90">Q302+R302+S302+T302+U302+V302+W302+X302+Y302+Z302+AA302+AB302</f>
        <v>200</v>
      </c>
      <c r="Q302" s="116"/>
      <c r="R302" s="116"/>
      <c r="S302" s="116"/>
      <c r="T302" s="116">
        <v>200</v>
      </c>
      <c r="U302" s="116"/>
      <c r="V302" s="116"/>
      <c r="W302" s="116"/>
      <c r="X302" s="116"/>
      <c r="Y302" s="116"/>
      <c r="Z302" s="116"/>
      <c r="AA302" s="116"/>
      <c r="AB302" s="116"/>
      <c r="AC302" s="115"/>
      <c r="AE302" s="1"/>
      <c r="AF302" s="120"/>
      <c r="AG302" s="1"/>
      <c r="AH302" s="120"/>
    </row>
    <row r="303" spans="1:34">
      <c r="A303" s="150"/>
      <c r="B303" s="128"/>
      <c r="C303" s="128" t="s">
        <v>1331</v>
      </c>
      <c r="D303" s="128"/>
      <c r="E303" s="117"/>
      <c r="F303" s="117"/>
      <c r="G303" s="117"/>
      <c r="H303" s="115">
        <f t="shared" si="82"/>
        <v>200</v>
      </c>
      <c r="I303" s="115">
        <f t="shared" si="83"/>
        <v>200</v>
      </c>
      <c r="J303" s="115">
        <f t="shared" si="84"/>
        <v>200</v>
      </c>
      <c r="K303" s="115">
        <f t="shared" si="85"/>
        <v>200</v>
      </c>
      <c r="L303" s="115">
        <f t="shared" si="86"/>
        <v>200</v>
      </c>
      <c r="M303" s="115">
        <f t="shared" si="87"/>
        <v>200</v>
      </c>
      <c r="N303" s="115">
        <f t="shared" si="88"/>
        <v>200</v>
      </c>
      <c r="O303" s="115">
        <f t="shared" si="89"/>
        <v>200</v>
      </c>
      <c r="P303" s="115">
        <f t="shared" si="90"/>
        <v>200</v>
      </c>
      <c r="Q303" s="125"/>
      <c r="R303" s="125"/>
      <c r="S303" s="125"/>
      <c r="T303" s="125">
        <v>200</v>
      </c>
      <c r="U303" s="125"/>
      <c r="V303" s="125"/>
      <c r="W303" s="125"/>
      <c r="X303" s="125"/>
      <c r="Y303" s="125"/>
      <c r="Z303" s="125"/>
      <c r="AA303" s="125"/>
      <c r="AB303" s="125"/>
      <c r="AC303" s="124"/>
      <c r="AD303" s="117"/>
      <c r="AE303" s="1"/>
      <c r="AF303" s="120"/>
      <c r="AG303" s="1"/>
      <c r="AH303" s="120"/>
    </row>
    <row r="304" spans="1:34">
      <c r="A304" s="150"/>
      <c r="B304" s="128"/>
      <c r="C304" s="128" t="s">
        <v>1332</v>
      </c>
      <c r="D304" s="128"/>
      <c r="E304" s="117"/>
      <c r="F304" s="117"/>
      <c r="G304" s="117"/>
      <c r="H304" s="115">
        <f t="shared" si="82"/>
        <v>500</v>
      </c>
      <c r="I304" s="115">
        <f t="shared" si="83"/>
        <v>500</v>
      </c>
      <c r="J304" s="115">
        <f t="shared" si="84"/>
        <v>500</v>
      </c>
      <c r="K304" s="115">
        <f t="shared" si="85"/>
        <v>500</v>
      </c>
      <c r="L304" s="115">
        <f t="shared" si="86"/>
        <v>500</v>
      </c>
      <c r="M304" s="115">
        <f t="shared" si="87"/>
        <v>500</v>
      </c>
      <c r="N304" s="115">
        <f t="shared" si="88"/>
        <v>500</v>
      </c>
      <c r="O304" s="115">
        <f t="shared" si="89"/>
        <v>500</v>
      </c>
      <c r="P304" s="115">
        <f t="shared" si="90"/>
        <v>500</v>
      </c>
      <c r="Q304" s="125"/>
      <c r="R304" s="125"/>
      <c r="S304" s="125"/>
      <c r="T304" s="125">
        <v>500</v>
      </c>
      <c r="U304" s="125"/>
      <c r="V304" s="125"/>
      <c r="W304" s="125"/>
      <c r="X304" s="125"/>
      <c r="Y304" s="125"/>
      <c r="Z304" s="125"/>
      <c r="AA304" s="125"/>
      <c r="AB304" s="125"/>
      <c r="AC304" s="124"/>
      <c r="AD304" s="117"/>
      <c r="AE304" s="1"/>
      <c r="AF304" s="120"/>
      <c r="AG304" s="1"/>
      <c r="AH304" s="120"/>
    </row>
    <row r="305" spans="1:34">
      <c r="A305" s="150"/>
      <c r="B305" s="128"/>
      <c r="C305" s="128" t="s">
        <v>1333</v>
      </c>
      <c r="D305" s="128"/>
      <c r="E305" s="117"/>
      <c r="F305" s="117"/>
      <c r="G305" s="117"/>
      <c r="H305" s="115">
        <f t="shared" si="82"/>
        <v>800</v>
      </c>
      <c r="I305" s="115">
        <f t="shared" si="83"/>
        <v>800</v>
      </c>
      <c r="J305" s="115">
        <f t="shared" si="84"/>
        <v>800</v>
      </c>
      <c r="K305" s="115">
        <f t="shared" si="85"/>
        <v>800</v>
      </c>
      <c r="L305" s="115">
        <f t="shared" si="86"/>
        <v>800</v>
      </c>
      <c r="M305" s="115">
        <f t="shared" si="87"/>
        <v>800</v>
      </c>
      <c r="N305" s="115">
        <f t="shared" si="88"/>
        <v>800</v>
      </c>
      <c r="O305" s="115">
        <f t="shared" si="89"/>
        <v>800</v>
      </c>
      <c r="P305" s="115">
        <f t="shared" si="90"/>
        <v>800</v>
      </c>
      <c r="Q305" s="125"/>
      <c r="R305" s="125"/>
      <c r="S305" s="125"/>
      <c r="T305" s="125">
        <v>800</v>
      </c>
      <c r="U305" s="125"/>
      <c r="V305" s="125"/>
      <c r="W305" s="125"/>
      <c r="X305" s="125"/>
      <c r="Y305" s="125"/>
      <c r="Z305" s="125"/>
      <c r="AA305" s="125"/>
      <c r="AB305" s="125"/>
      <c r="AC305" s="124"/>
      <c r="AD305" s="117"/>
      <c r="AE305" s="1"/>
      <c r="AF305" s="120"/>
      <c r="AG305" s="1"/>
      <c r="AH305" s="120"/>
    </row>
    <row r="306" spans="1:34">
      <c r="A306" s="150"/>
      <c r="B306" s="128"/>
      <c r="C306" s="128" t="s">
        <v>1334</v>
      </c>
      <c r="D306" s="128"/>
      <c r="E306" s="117"/>
      <c r="F306" s="117"/>
      <c r="G306" s="117"/>
      <c r="H306" s="115">
        <f t="shared" si="82"/>
        <v>1100</v>
      </c>
      <c r="I306" s="115">
        <f t="shared" si="83"/>
        <v>1100</v>
      </c>
      <c r="J306" s="115">
        <f t="shared" si="84"/>
        <v>1100</v>
      </c>
      <c r="K306" s="115">
        <f t="shared" si="85"/>
        <v>1100</v>
      </c>
      <c r="L306" s="115">
        <f t="shared" si="86"/>
        <v>1100</v>
      </c>
      <c r="M306" s="115">
        <f t="shared" si="87"/>
        <v>1100</v>
      </c>
      <c r="N306" s="115">
        <f t="shared" si="88"/>
        <v>1100</v>
      </c>
      <c r="O306" s="115">
        <f t="shared" si="89"/>
        <v>1100</v>
      </c>
      <c r="P306" s="115">
        <f t="shared" si="90"/>
        <v>1100</v>
      </c>
      <c r="Q306" s="125"/>
      <c r="R306" s="125"/>
      <c r="S306" s="125"/>
      <c r="T306" s="125">
        <v>1100</v>
      </c>
      <c r="U306" s="125"/>
      <c r="V306" s="125"/>
      <c r="W306" s="125"/>
      <c r="X306" s="125"/>
      <c r="Y306" s="125"/>
      <c r="Z306" s="125"/>
      <c r="AA306" s="125"/>
      <c r="AB306" s="125"/>
      <c r="AC306" s="124"/>
      <c r="AD306" s="117"/>
      <c r="AE306" s="1"/>
      <c r="AF306" s="120"/>
      <c r="AG306" s="1"/>
      <c r="AH306" s="120"/>
    </row>
    <row r="307" spans="1:34">
      <c r="A307" s="150"/>
      <c r="B307" s="128"/>
      <c r="C307" s="128" t="s">
        <v>1335</v>
      </c>
      <c r="D307" s="128"/>
      <c r="E307" s="117"/>
      <c r="F307" s="117"/>
      <c r="G307" s="117"/>
      <c r="H307" s="115">
        <f t="shared" si="82"/>
        <v>200</v>
      </c>
      <c r="I307" s="115">
        <f t="shared" si="83"/>
        <v>200</v>
      </c>
      <c r="J307" s="115">
        <f t="shared" si="84"/>
        <v>200</v>
      </c>
      <c r="K307" s="115">
        <f t="shared" si="85"/>
        <v>200</v>
      </c>
      <c r="L307" s="115">
        <f t="shared" si="86"/>
        <v>200</v>
      </c>
      <c r="M307" s="115">
        <f t="shared" si="87"/>
        <v>200</v>
      </c>
      <c r="N307" s="115">
        <f t="shared" si="88"/>
        <v>200</v>
      </c>
      <c r="O307" s="115">
        <f t="shared" si="89"/>
        <v>200</v>
      </c>
      <c r="P307" s="115">
        <f t="shared" si="90"/>
        <v>200</v>
      </c>
      <c r="Q307" s="125"/>
      <c r="R307" s="125"/>
      <c r="S307" s="125"/>
      <c r="T307" s="125">
        <v>200</v>
      </c>
      <c r="U307" s="125"/>
      <c r="V307" s="125"/>
      <c r="W307" s="125"/>
      <c r="X307" s="125"/>
      <c r="Y307" s="125"/>
      <c r="Z307" s="125"/>
      <c r="AA307" s="125"/>
      <c r="AB307" s="125"/>
      <c r="AC307" s="124"/>
      <c r="AD307" s="117"/>
      <c r="AE307" s="1"/>
      <c r="AF307" s="120"/>
      <c r="AG307" s="1"/>
      <c r="AH307" s="120"/>
    </row>
    <row r="308" spans="1:34">
      <c r="A308" s="150"/>
      <c r="B308" s="128"/>
      <c r="C308" s="128" t="s">
        <v>1336</v>
      </c>
      <c r="D308" s="128"/>
      <c r="E308" s="117"/>
      <c r="F308" s="117"/>
      <c r="G308" s="117"/>
      <c r="H308" s="115">
        <f t="shared" si="82"/>
        <v>724</v>
      </c>
      <c r="I308" s="115">
        <f t="shared" si="83"/>
        <v>724</v>
      </c>
      <c r="J308" s="115">
        <f t="shared" si="84"/>
        <v>724</v>
      </c>
      <c r="K308" s="115">
        <f t="shared" si="85"/>
        <v>724</v>
      </c>
      <c r="L308" s="115">
        <f t="shared" si="86"/>
        <v>724</v>
      </c>
      <c r="M308" s="115">
        <f t="shared" si="87"/>
        <v>724</v>
      </c>
      <c r="N308" s="115">
        <f t="shared" si="88"/>
        <v>724</v>
      </c>
      <c r="O308" s="115">
        <f t="shared" si="89"/>
        <v>724</v>
      </c>
      <c r="P308" s="115">
        <f t="shared" si="90"/>
        <v>724</v>
      </c>
      <c r="Q308" s="125"/>
      <c r="R308" s="125"/>
      <c r="S308" s="125"/>
      <c r="T308" s="125">
        <v>724</v>
      </c>
      <c r="U308" s="125"/>
      <c r="V308" s="125"/>
      <c r="W308" s="125"/>
      <c r="X308" s="125"/>
      <c r="Y308" s="125"/>
      <c r="Z308" s="125"/>
      <c r="AA308" s="125"/>
      <c r="AB308" s="125"/>
      <c r="AC308" s="124"/>
      <c r="AD308" s="117"/>
      <c r="AE308" s="1"/>
      <c r="AF308" s="120"/>
      <c r="AG308" s="1"/>
      <c r="AH308" s="120"/>
    </row>
    <row r="309" spans="1:34">
      <c r="A309" s="150"/>
      <c r="B309" s="128"/>
      <c r="C309" s="128" t="s">
        <v>1337</v>
      </c>
      <c r="D309" s="128"/>
      <c r="E309" s="117"/>
      <c r="F309" s="117"/>
      <c r="G309" s="117"/>
      <c r="H309" s="115">
        <f t="shared" si="82"/>
        <v>1478</v>
      </c>
      <c r="I309" s="115">
        <f t="shared" si="83"/>
        <v>1478</v>
      </c>
      <c r="J309" s="115">
        <f t="shared" si="84"/>
        <v>1478</v>
      </c>
      <c r="K309" s="115">
        <f t="shared" si="85"/>
        <v>1478</v>
      </c>
      <c r="L309" s="115">
        <f t="shared" si="86"/>
        <v>1478</v>
      </c>
      <c r="M309" s="115">
        <f t="shared" si="87"/>
        <v>1478</v>
      </c>
      <c r="N309" s="115">
        <f t="shared" si="88"/>
        <v>1478</v>
      </c>
      <c r="O309" s="115">
        <f t="shared" si="89"/>
        <v>1478</v>
      </c>
      <c r="P309" s="115">
        <f t="shared" si="90"/>
        <v>1478</v>
      </c>
      <c r="Q309" s="125"/>
      <c r="R309" s="125"/>
      <c r="S309" s="125"/>
      <c r="T309" s="125">
        <v>1478</v>
      </c>
      <c r="U309" s="125"/>
      <c r="V309" s="125"/>
      <c r="W309" s="125"/>
      <c r="X309" s="125"/>
      <c r="Y309" s="125"/>
      <c r="Z309" s="125"/>
      <c r="AA309" s="125"/>
      <c r="AB309" s="125"/>
      <c r="AC309" s="124"/>
      <c r="AD309" s="117"/>
      <c r="AE309" s="1"/>
      <c r="AF309" s="120"/>
      <c r="AG309" s="1"/>
      <c r="AH309" s="120"/>
    </row>
    <row r="310" spans="1:34">
      <c r="A310" s="150"/>
      <c r="B310" s="128"/>
      <c r="C310" s="128" t="s">
        <v>1338</v>
      </c>
      <c r="D310" s="128"/>
      <c r="E310" s="117"/>
      <c r="F310" s="117"/>
      <c r="G310" s="117"/>
      <c r="H310" s="115">
        <f t="shared" si="82"/>
        <v>1000</v>
      </c>
      <c r="I310" s="115">
        <f t="shared" si="83"/>
        <v>1000</v>
      </c>
      <c r="J310" s="115">
        <f t="shared" si="84"/>
        <v>1000</v>
      </c>
      <c r="K310" s="115">
        <f t="shared" si="85"/>
        <v>1000</v>
      </c>
      <c r="L310" s="115">
        <f t="shared" si="86"/>
        <v>1000</v>
      </c>
      <c r="M310" s="115">
        <f t="shared" si="87"/>
        <v>1000</v>
      </c>
      <c r="N310" s="115">
        <f t="shared" si="88"/>
        <v>1000</v>
      </c>
      <c r="O310" s="115">
        <f t="shared" si="89"/>
        <v>1000</v>
      </c>
      <c r="P310" s="115">
        <f t="shared" si="90"/>
        <v>1000</v>
      </c>
      <c r="Q310" s="125"/>
      <c r="R310" s="125"/>
      <c r="S310" s="125"/>
      <c r="T310" s="125">
        <v>1000</v>
      </c>
      <c r="U310" s="125"/>
      <c r="V310" s="125"/>
      <c r="W310" s="125"/>
      <c r="X310" s="125"/>
      <c r="Y310" s="125"/>
      <c r="Z310" s="125"/>
      <c r="AA310" s="125"/>
      <c r="AB310" s="125"/>
      <c r="AC310" s="124"/>
      <c r="AD310" s="117"/>
      <c r="AE310" s="1"/>
      <c r="AF310" s="120"/>
      <c r="AG310" s="1"/>
      <c r="AH310" s="120"/>
    </row>
    <row r="311" spans="1:34">
      <c r="A311" s="150"/>
      <c r="B311" s="128"/>
      <c r="C311" s="128" t="s">
        <v>1339</v>
      </c>
      <c r="D311" s="128"/>
      <c r="E311" s="117"/>
      <c r="F311" s="117"/>
      <c r="G311" s="117"/>
      <c r="H311" s="115">
        <f t="shared" si="82"/>
        <v>1000</v>
      </c>
      <c r="I311" s="115">
        <f t="shared" si="83"/>
        <v>1000</v>
      </c>
      <c r="J311" s="115">
        <f t="shared" si="84"/>
        <v>1000</v>
      </c>
      <c r="K311" s="115">
        <f t="shared" si="85"/>
        <v>1000</v>
      </c>
      <c r="L311" s="115">
        <f t="shared" si="86"/>
        <v>1000</v>
      </c>
      <c r="M311" s="115">
        <f t="shared" si="87"/>
        <v>1000</v>
      </c>
      <c r="N311" s="115">
        <f t="shared" si="88"/>
        <v>1000</v>
      </c>
      <c r="O311" s="115">
        <f t="shared" si="89"/>
        <v>1000</v>
      </c>
      <c r="P311" s="115">
        <f t="shared" si="90"/>
        <v>1000</v>
      </c>
      <c r="Q311" s="125"/>
      <c r="R311" s="125"/>
      <c r="S311" s="125"/>
      <c r="T311" s="125">
        <v>1000</v>
      </c>
      <c r="U311" s="125"/>
      <c r="V311" s="125"/>
      <c r="W311" s="125"/>
      <c r="X311" s="125"/>
      <c r="Y311" s="125"/>
      <c r="Z311" s="125"/>
      <c r="AA311" s="125"/>
      <c r="AB311" s="125"/>
      <c r="AC311" s="124"/>
      <c r="AD311" s="117"/>
      <c r="AE311" s="1"/>
      <c r="AF311" s="120"/>
      <c r="AG311" s="1"/>
      <c r="AH311" s="120"/>
    </row>
    <row r="312" spans="1:34">
      <c r="A312" s="150"/>
      <c r="B312" s="128"/>
      <c r="C312" s="128" t="s">
        <v>1340</v>
      </c>
      <c r="D312" s="128"/>
      <c r="E312" s="117"/>
      <c r="F312" s="117"/>
      <c r="G312" s="117"/>
      <c r="H312" s="115">
        <f t="shared" si="82"/>
        <v>1274</v>
      </c>
      <c r="I312" s="115">
        <f t="shared" si="83"/>
        <v>1274</v>
      </c>
      <c r="J312" s="115">
        <f t="shared" si="84"/>
        <v>1274</v>
      </c>
      <c r="K312" s="115">
        <f t="shared" si="85"/>
        <v>1274</v>
      </c>
      <c r="L312" s="115">
        <f t="shared" si="86"/>
        <v>1274</v>
      </c>
      <c r="M312" s="115">
        <f t="shared" si="87"/>
        <v>1274</v>
      </c>
      <c r="N312" s="115">
        <f t="shared" si="88"/>
        <v>1274</v>
      </c>
      <c r="O312" s="115">
        <f t="shared" si="89"/>
        <v>1274</v>
      </c>
      <c r="P312" s="115">
        <f t="shared" si="90"/>
        <v>1274</v>
      </c>
      <c r="Q312" s="125"/>
      <c r="R312" s="125"/>
      <c r="S312" s="125"/>
      <c r="T312" s="125">
        <v>1274</v>
      </c>
      <c r="U312" s="125"/>
      <c r="V312" s="125"/>
      <c r="W312" s="125"/>
      <c r="X312" s="125"/>
      <c r="Y312" s="125"/>
      <c r="Z312" s="125"/>
      <c r="AA312" s="125"/>
      <c r="AB312" s="125"/>
      <c r="AC312" s="124"/>
      <c r="AD312" s="117"/>
      <c r="AE312" s="1"/>
      <c r="AF312" s="120"/>
      <c r="AG312" s="1"/>
      <c r="AH312" s="120"/>
    </row>
    <row r="313" spans="1:34">
      <c r="A313" s="150"/>
      <c r="B313" s="128"/>
      <c r="C313" s="128" t="s">
        <v>1341</v>
      </c>
      <c r="D313" s="128"/>
      <c r="E313" s="117"/>
      <c r="F313" s="117"/>
      <c r="G313" s="117"/>
      <c r="H313" s="115">
        <f t="shared" si="82"/>
        <v>223.48</v>
      </c>
      <c r="I313" s="115">
        <f t="shared" si="83"/>
        <v>223.48</v>
      </c>
      <c r="J313" s="115">
        <f t="shared" si="84"/>
        <v>223.48</v>
      </c>
      <c r="K313" s="115">
        <f t="shared" si="85"/>
        <v>223.48</v>
      </c>
      <c r="L313" s="115">
        <f t="shared" si="86"/>
        <v>223.48</v>
      </c>
      <c r="M313" s="115">
        <f t="shared" si="87"/>
        <v>223.48</v>
      </c>
      <c r="N313" s="115">
        <f t="shared" si="88"/>
        <v>223.48</v>
      </c>
      <c r="O313" s="115">
        <f t="shared" si="89"/>
        <v>223.48</v>
      </c>
      <c r="P313" s="115">
        <f t="shared" si="90"/>
        <v>223.48</v>
      </c>
      <c r="Q313" s="125"/>
      <c r="R313" s="125"/>
      <c r="S313" s="125"/>
      <c r="T313" s="125">
        <v>223.48</v>
      </c>
      <c r="U313" s="125"/>
      <c r="V313" s="125"/>
      <c r="W313" s="125"/>
      <c r="X313" s="125"/>
      <c r="Y313" s="125"/>
      <c r="Z313" s="125"/>
      <c r="AA313" s="125"/>
      <c r="AB313" s="125"/>
      <c r="AC313" s="124"/>
      <c r="AD313" s="117"/>
      <c r="AE313" s="1"/>
      <c r="AF313" s="120"/>
      <c r="AG313" s="1"/>
      <c r="AH313" s="120"/>
    </row>
    <row r="314" spans="1:34">
      <c r="A314" s="150"/>
      <c r="B314" s="128"/>
      <c r="C314" s="128" t="s">
        <v>1342</v>
      </c>
      <c r="D314" s="128"/>
      <c r="E314" s="117"/>
      <c r="F314" s="117"/>
      <c r="G314" s="117"/>
      <c r="H314" s="115">
        <f t="shared" si="82"/>
        <v>950</v>
      </c>
      <c r="I314" s="115">
        <f t="shared" si="83"/>
        <v>950</v>
      </c>
      <c r="J314" s="115">
        <f t="shared" si="84"/>
        <v>950</v>
      </c>
      <c r="K314" s="115">
        <f t="shared" si="85"/>
        <v>950</v>
      </c>
      <c r="L314" s="115">
        <f t="shared" si="86"/>
        <v>950</v>
      </c>
      <c r="M314" s="115">
        <f t="shared" si="87"/>
        <v>950</v>
      </c>
      <c r="N314" s="115">
        <f t="shared" si="88"/>
        <v>950</v>
      </c>
      <c r="O314" s="115">
        <f t="shared" si="89"/>
        <v>950</v>
      </c>
      <c r="P314" s="115">
        <f t="shared" si="90"/>
        <v>950</v>
      </c>
      <c r="Q314" s="125"/>
      <c r="R314" s="125"/>
      <c r="S314" s="125"/>
      <c r="T314" s="125">
        <v>950</v>
      </c>
      <c r="U314" s="125"/>
      <c r="V314" s="125"/>
      <c r="W314" s="125"/>
      <c r="X314" s="125"/>
      <c r="Y314" s="125"/>
      <c r="Z314" s="125"/>
      <c r="AA314" s="125"/>
      <c r="AB314" s="125"/>
      <c r="AC314" s="124"/>
      <c r="AD314" s="117"/>
      <c r="AE314" s="1"/>
      <c r="AF314" s="120"/>
      <c r="AG314" s="1"/>
      <c r="AH314" s="120"/>
    </row>
    <row r="315" spans="1:34">
      <c r="A315" s="150"/>
      <c r="B315" s="128"/>
      <c r="C315" s="128" t="s">
        <v>1343</v>
      </c>
      <c r="D315" s="128"/>
      <c r="E315" s="117"/>
      <c r="F315" s="117"/>
      <c r="G315" s="117"/>
      <c r="H315" s="115">
        <f t="shared" si="82"/>
        <v>1000</v>
      </c>
      <c r="I315" s="115">
        <f t="shared" si="83"/>
        <v>1000</v>
      </c>
      <c r="J315" s="115">
        <f t="shared" si="84"/>
        <v>1000</v>
      </c>
      <c r="K315" s="115">
        <f t="shared" si="85"/>
        <v>1000</v>
      </c>
      <c r="L315" s="115">
        <f t="shared" si="86"/>
        <v>1000</v>
      </c>
      <c r="M315" s="115">
        <f t="shared" si="87"/>
        <v>1000</v>
      </c>
      <c r="N315" s="115">
        <f t="shared" si="88"/>
        <v>1000</v>
      </c>
      <c r="O315" s="115">
        <f t="shared" si="89"/>
        <v>1000</v>
      </c>
      <c r="P315" s="115">
        <f t="shared" si="90"/>
        <v>1000</v>
      </c>
      <c r="Q315" s="125"/>
      <c r="R315" s="125"/>
      <c r="S315" s="125"/>
      <c r="T315" s="125">
        <v>1000</v>
      </c>
      <c r="U315" s="125"/>
      <c r="V315" s="125"/>
      <c r="W315" s="125"/>
      <c r="X315" s="125"/>
      <c r="Y315" s="125"/>
      <c r="Z315" s="125"/>
      <c r="AA315" s="125"/>
      <c r="AB315" s="125"/>
      <c r="AC315" s="124"/>
      <c r="AD315" s="117"/>
      <c r="AE315" s="1"/>
      <c r="AF315" s="120"/>
      <c r="AG315" s="1"/>
      <c r="AH315" s="120"/>
    </row>
    <row r="316" spans="1:34">
      <c r="A316" s="150"/>
      <c r="B316" s="128"/>
      <c r="C316" s="128" t="s">
        <v>1344</v>
      </c>
      <c r="D316" s="128"/>
      <c r="E316" s="117"/>
      <c r="F316" s="117"/>
      <c r="G316" s="117"/>
      <c r="H316" s="115">
        <f t="shared" si="82"/>
        <v>547</v>
      </c>
      <c r="I316" s="115">
        <f t="shared" si="83"/>
        <v>547</v>
      </c>
      <c r="J316" s="115">
        <f t="shared" si="84"/>
        <v>547</v>
      </c>
      <c r="K316" s="115">
        <f t="shared" si="85"/>
        <v>547</v>
      </c>
      <c r="L316" s="115">
        <f t="shared" si="86"/>
        <v>547</v>
      </c>
      <c r="M316" s="115">
        <f t="shared" si="87"/>
        <v>547</v>
      </c>
      <c r="N316" s="115">
        <f t="shared" si="88"/>
        <v>547</v>
      </c>
      <c r="O316" s="115">
        <f t="shared" si="89"/>
        <v>547</v>
      </c>
      <c r="P316" s="115">
        <f t="shared" si="90"/>
        <v>547</v>
      </c>
      <c r="Q316" s="125"/>
      <c r="R316" s="125"/>
      <c r="S316" s="125"/>
      <c r="T316" s="125">
        <v>547</v>
      </c>
      <c r="U316" s="125"/>
      <c r="V316" s="125"/>
      <c r="W316" s="125"/>
      <c r="X316" s="125"/>
      <c r="Y316" s="125"/>
      <c r="Z316" s="125"/>
      <c r="AA316" s="125"/>
      <c r="AB316" s="125"/>
      <c r="AC316" s="124"/>
      <c r="AD316" s="117"/>
      <c r="AE316" s="1"/>
      <c r="AF316" s="120"/>
      <c r="AG316" s="1"/>
      <c r="AH316" s="120"/>
    </row>
    <row r="317" spans="1:34">
      <c r="A317" s="150"/>
      <c r="B317" s="128"/>
      <c r="C317" s="128" t="s">
        <v>1345</v>
      </c>
      <c r="D317" s="128"/>
      <c r="E317" s="117"/>
      <c r="F317" s="117"/>
      <c r="G317" s="117"/>
      <c r="H317" s="115">
        <f t="shared" si="82"/>
        <v>2059</v>
      </c>
      <c r="I317" s="115">
        <f t="shared" si="83"/>
        <v>2059</v>
      </c>
      <c r="J317" s="115">
        <f t="shared" si="84"/>
        <v>2059</v>
      </c>
      <c r="K317" s="115">
        <f t="shared" si="85"/>
        <v>2059</v>
      </c>
      <c r="L317" s="115">
        <f t="shared" si="86"/>
        <v>2059</v>
      </c>
      <c r="M317" s="115">
        <f t="shared" si="87"/>
        <v>2059</v>
      </c>
      <c r="N317" s="115">
        <f t="shared" si="88"/>
        <v>2059</v>
      </c>
      <c r="O317" s="115">
        <f t="shared" si="89"/>
        <v>2059</v>
      </c>
      <c r="P317" s="115">
        <f t="shared" si="90"/>
        <v>2059</v>
      </c>
      <c r="Q317" s="125"/>
      <c r="R317" s="125"/>
      <c r="S317" s="125"/>
      <c r="T317" s="125">
        <v>2059</v>
      </c>
      <c r="U317" s="125"/>
      <c r="V317" s="125"/>
      <c r="W317" s="125"/>
      <c r="X317" s="125"/>
      <c r="Y317" s="125"/>
      <c r="Z317" s="125"/>
      <c r="AA317" s="125"/>
      <c r="AB317" s="125"/>
      <c r="AC317" s="124"/>
      <c r="AD317" s="117"/>
      <c r="AE317" s="1"/>
      <c r="AF317" s="120"/>
      <c r="AG317" s="1"/>
      <c r="AH317" s="120"/>
    </row>
    <row r="318" spans="1:34">
      <c r="A318" s="150"/>
      <c r="B318" s="128"/>
      <c r="C318" s="128" t="s">
        <v>1346</v>
      </c>
      <c r="D318" s="128"/>
      <c r="E318" s="117"/>
      <c r="F318" s="117"/>
      <c r="G318" s="117"/>
      <c r="H318" s="115">
        <f t="shared" si="82"/>
        <v>1000</v>
      </c>
      <c r="I318" s="115">
        <f t="shared" si="83"/>
        <v>1000</v>
      </c>
      <c r="J318" s="115">
        <f t="shared" si="84"/>
        <v>1000</v>
      </c>
      <c r="K318" s="115">
        <f t="shared" si="85"/>
        <v>1000</v>
      </c>
      <c r="L318" s="115">
        <f t="shared" si="86"/>
        <v>1000</v>
      </c>
      <c r="M318" s="115">
        <f t="shared" si="87"/>
        <v>1000</v>
      </c>
      <c r="N318" s="115">
        <f t="shared" si="88"/>
        <v>1000</v>
      </c>
      <c r="O318" s="115">
        <f t="shared" si="89"/>
        <v>1000</v>
      </c>
      <c r="P318" s="115">
        <f t="shared" si="90"/>
        <v>1000</v>
      </c>
      <c r="Q318" s="125"/>
      <c r="R318" s="125"/>
      <c r="S318" s="125"/>
      <c r="T318" s="125">
        <v>1000</v>
      </c>
      <c r="U318" s="125"/>
      <c r="V318" s="125"/>
      <c r="W318" s="125"/>
      <c r="X318" s="125"/>
      <c r="Y318" s="125"/>
      <c r="Z318" s="125"/>
      <c r="AA318" s="125"/>
      <c r="AB318" s="125"/>
      <c r="AC318" s="124"/>
      <c r="AD318" s="117"/>
      <c r="AE318" s="1"/>
      <c r="AF318" s="120"/>
      <c r="AG318" s="1"/>
      <c r="AH318" s="120"/>
    </row>
    <row r="319" spans="1:34">
      <c r="A319" s="150"/>
      <c r="B319" s="128"/>
      <c r="C319" s="128" t="s">
        <v>1347</v>
      </c>
      <c r="D319" s="128"/>
      <c r="E319" s="117"/>
      <c r="F319" s="117"/>
      <c r="G319" s="117"/>
      <c r="H319" s="115">
        <f t="shared" si="82"/>
        <v>1000</v>
      </c>
      <c r="I319" s="115">
        <f t="shared" si="83"/>
        <v>1000</v>
      </c>
      <c r="J319" s="115">
        <f t="shared" si="84"/>
        <v>1000</v>
      </c>
      <c r="K319" s="115">
        <f t="shared" si="85"/>
        <v>1000</v>
      </c>
      <c r="L319" s="115">
        <f t="shared" si="86"/>
        <v>1000</v>
      </c>
      <c r="M319" s="115">
        <f t="shared" si="87"/>
        <v>1000</v>
      </c>
      <c r="N319" s="115">
        <f t="shared" si="88"/>
        <v>1000</v>
      </c>
      <c r="O319" s="115">
        <f t="shared" si="89"/>
        <v>1000</v>
      </c>
      <c r="P319" s="115">
        <f t="shared" si="90"/>
        <v>1000</v>
      </c>
      <c r="Q319" s="125"/>
      <c r="R319" s="125"/>
      <c r="S319" s="125"/>
      <c r="T319" s="125">
        <v>1000</v>
      </c>
      <c r="U319" s="125"/>
      <c r="V319" s="125"/>
      <c r="W319" s="125"/>
      <c r="X319" s="125"/>
      <c r="Y319" s="125"/>
      <c r="Z319" s="125"/>
      <c r="AA319" s="125"/>
      <c r="AB319" s="125"/>
      <c r="AC319" s="124"/>
      <c r="AD319" s="117"/>
      <c r="AE319" s="1"/>
      <c r="AF319" s="120"/>
      <c r="AG319" s="1"/>
      <c r="AH319" s="120"/>
    </row>
    <row r="320" spans="1:34">
      <c r="A320" s="150"/>
      <c r="B320" s="128"/>
      <c r="C320" s="128" t="s">
        <v>1348</v>
      </c>
      <c r="D320" s="128"/>
      <c r="E320" s="117"/>
      <c r="F320" s="117"/>
      <c r="G320" s="117"/>
      <c r="H320" s="115">
        <f t="shared" si="82"/>
        <v>1000</v>
      </c>
      <c r="I320" s="115">
        <f t="shared" si="83"/>
        <v>1000</v>
      </c>
      <c r="J320" s="115">
        <f t="shared" si="84"/>
        <v>1000</v>
      </c>
      <c r="K320" s="115">
        <f t="shared" si="85"/>
        <v>1000</v>
      </c>
      <c r="L320" s="115">
        <f t="shared" si="86"/>
        <v>1000</v>
      </c>
      <c r="M320" s="115">
        <f t="shared" si="87"/>
        <v>1000</v>
      </c>
      <c r="N320" s="115">
        <f t="shared" si="88"/>
        <v>1000</v>
      </c>
      <c r="O320" s="115">
        <f t="shared" si="89"/>
        <v>1000</v>
      </c>
      <c r="P320" s="115">
        <f t="shared" si="90"/>
        <v>1000</v>
      </c>
      <c r="Q320" s="125"/>
      <c r="R320" s="125"/>
      <c r="S320" s="125"/>
      <c r="T320" s="125">
        <v>1000</v>
      </c>
      <c r="U320" s="125"/>
      <c r="V320" s="125"/>
      <c r="W320" s="125"/>
      <c r="X320" s="125"/>
      <c r="Y320" s="125"/>
      <c r="Z320" s="125"/>
      <c r="AA320" s="125"/>
      <c r="AB320" s="125"/>
      <c r="AC320" s="124"/>
      <c r="AD320" s="117"/>
      <c r="AE320" s="1"/>
      <c r="AF320" s="120"/>
      <c r="AG320" s="1"/>
      <c r="AH320" s="120"/>
    </row>
    <row r="321" spans="1:34">
      <c r="A321" s="150"/>
      <c r="B321" s="128"/>
      <c r="C321" s="128" t="s">
        <v>1349</v>
      </c>
      <c r="D321" s="128"/>
      <c r="E321" s="117"/>
      <c r="F321" s="117"/>
      <c r="G321" s="117"/>
      <c r="H321" s="115">
        <f t="shared" si="82"/>
        <v>2000</v>
      </c>
      <c r="I321" s="115">
        <f t="shared" si="83"/>
        <v>2000</v>
      </c>
      <c r="J321" s="115">
        <f t="shared" si="84"/>
        <v>2000</v>
      </c>
      <c r="K321" s="115">
        <f t="shared" si="85"/>
        <v>2000</v>
      </c>
      <c r="L321" s="115">
        <f t="shared" si="86"/>
        <v>2000</v>
      </c>
      <c r="M321" s="115">
        <f t="shared" si="87"/>
        <v>2000</v>
      </c>
      <c r="N321" s="115">
        <f t="shared" si="88"/>
        <v>2000</v>
      </c>
      <c r="O321" s="115">
        <f t="shared" si="89"/>
        <v>2000</v>
      </c>
      <c r="P321" s="115">
        <f t="shared" si="90"/>
        <v>2000</v>
      </c>
      <c r="Q321" s="125"/>
      <c r="R321" s="125"/>
      <c r="S321" s="125"/>
      <c r="T321" s="125">
        <v>2000</v>
      </c>
      <c r="U321" s="125"/>
      <c r="V321" s="125"/>
      <c r="W321" s="125"/>
      <c r="X321" s="125"/>
      <c r="Y321" s="125"/>
      <c r="Z321" s="125"/>
      <c r="AA321" s="125"/>
      <c r="AB321" s="125"/>
      <c r="AC321" s="124"/>
      <c r="AD321" s="117"/>
      <c r="AE321" s="1"/>
      <c r="AF321" s="120"/>
      <c r="AG321" s="1"/>
      <c r="AH321" s="120"/>
    </row>
    <row r="322" spans="1:34">
      <c r="A322" s="150"/>
      <c r="B322" s="128"/>
      <c r="C322" s="128" t="s">
        <v>1350</v>
      </c>
      <c r="D322" s="128"/>
      <c r="E322" s="117"/>
      <c r="F322" s="117"/>
      <c r="G322" s="117"/>
      <c r="H322" s="115">
        <f t="shared" si="82"/>
        <v>1000</v>
      </c>
      <c r="I322" s="115">
        <f t="shared" si="83"/>
        <v>1000</v>
      </c>
      <c r="J322" s="115">
        <f t="shared" si="84"/>
        <v>1000</v>
      </c>
      <c r="K322" s="115">
        <f t="shared" si="85"/>
        <v>1000</v>
      </c>
      <c r="L322" s="115">
        <f t="shared" si="86"/>
        <v>1000</v>
      </c>
      <c r="M322" s="115">
        <f t="shared" si="87"/>
        <v>1000</v>
      </c>
      <c r="N322" s="115">
        <f t="shared" si="88"/>
        <v>1000</v>
      </c>
      <c r="O322" s="115">
        <f t="shared" si="89"/>
        <v>1000</v>
      </c>
      <c r="P322" s="115">
        <f t="shared" si="90"/>
        <v>1000</v>
      </c>
      <c r="Q322" s="125"/>
      <c r="R322" s="125"/>
      <c r="S322" s="125"/>
      <c r="T322" s="125">
        <v>1000</v>
      </c>
      <c r="U322" s="125"/>
      <c r="V322" s="125"/>
      <c r="W322" s="125"/>
      <c r="X322" s="125"/>
      <c r="Y322" s="125"/>
      <c r="Z322" s="125"/>
      <c r="AA322" s="125"/>
      <c r="AB322" s="125"/>
      <c r="AC322" s="124"/>
      <c r="AD322" s="117"/>
      <c r="AE322" s="1"/>
      <c r="AF322" s="120"/>
      <c r="AG322" s="1"/>
      <c r="AH322" s="120"/>
    </row>
    <row r="323" spans="1:34">
      <c r="A323" s="150"/>
      <c r="B323" s="128"/>
      <c r="C323" s="128" t="s">
        <v>2340</v>
      </c>
      <c r="D323" s="128"/>
      <c r="E323" s="117"/>
      <c r="F323" s="117"/>
      <c r="G323" s="117"/>
      <c r="H323" s="115"/>
      <c r="I323" s="115"/>
      <c r="J323" s="115"/>
      <c r="K323" s="115"/>
      <c r="L323" s="115">
        <f t="shared" si="86"/>
        <v>35000</v>
      </c>
      <c r="M323" s="115"/>
      <c r="N323" s="115"/>
      <c r="O323" s="115"/>
      <c r="P323" s="115"/>
      <c r="Q323" s="125"/>
      <c r="R323" s="125"/>
      <c r="S323" s="125"/>
      <c r="T323" s="125"/>
      <c r="U323" s="125"/>
      <c r="V323" s="125"/>
      <c r="W323" s="125"/>
      <c r="X323" s="125">
        <v>35000</v>
      </c>
      <c r="Y323" s="125"/>
      <c r="Z323" s="125"/>
      <c r="AA323" s="125"/>
      <c r="AB323" s="125"/>
      <c r="AC323" s="124"/>
      <c r="AD323" s="117"/>
      <c r="AE323" s="1"/>
      <c r="AF323" s="120"/>
      <c r="AG323" s="1"/>
      <c r="AH323" s="120"/>
    </row>
    <row r="324" spans="1:34">
      <c r="A324" s="150"/>
      <c r="B324" s="128"/>
      <c r="C324" s="128" t="s">
        <v>1351</v>
      </c>
      <c r="D324" s="128"/>
      <c r="E324" s="117"/>
      <c r="F324" s="117"/>
      <c r="G324" s="117"/>
      <c r="H324" s="115">
        <f t="shared" si="82"/>
        <v>3000</v>
      </c>
      <c r="I324" s="115">
        <f t="shared" si="83"/>
        <v>3000</v>
      </c>
      <c r="J324" s="115">
        <f t="shared" si="84"/>
        <v>3000</v>
      </c>
      <c r="K324" s="115">
        <f t="shared" si="85"/>
        <v>3000</v>
      </c>
      <c r="L324" s="115">
        <f t="shared" si="86"/>
        <v>3000</v>
      </c>
      <c r="M324" s="115">
        <f t="shared" si="87"/>
        <v>3000</v>
      </c>
      <c r="N324" s="115">
        <f t="shared" si="88"/>
        <v>3000</v>
      </c>
      <c r="O324" s="115">
        <f t="shared" si="89"/>
        <v>3000</v>
      </c>
      <c r="P324" s="115">
        <f t="shared" si="90"/>
        <v>3000</v>
      </c>
      <c r="Q324" s="125"/>
      <c r="R324" s="125"/>
      <c r="S324" s="125"/>
      <c r="T324" s="125">
        <v>3000</v>
      </c>
      <c r="U324" s="125"/>
      <c r="V324" s="125"/>
      <c r="W324" s="125"/>
      <c r="X324" s="125"/>
      <c r="Y324" s="125"/>
      <c r="Z324" s="125"/>
      <c r="AA324" s="125"/>
      <c r="AB324" s="125"/>
      <c r="AC324" s="124"/>
      <c r="AD324" s="117"/>
      <c r="AE324" s="1"/>
      <c r="AF324" s="120"/>
      <c r="AG324" s="1"/>
      <c r="AH324" s="120"/>
    </row>
    <row r="325" spans="1:34">
      <c r="A325" s="150"/>
      <c r="B325" s="128"/>
      <c r="C325" s="128" t="s">
        <v>1352</v>
      </c>
      <c r="D325" s="128"/>
      <c r="E325" s="117"/>
      <c r="F325" s="117"/>
      <c r="G325" s="117"/>
      <c r="H325" s="115">
        <f t="shared" si="82"/>
        <v>500</v>
      </c>
      <c r="I325" s="115">
        <f t="shared" si="83"/>
        <v>500</v>
      </c>
      <c r="J325" s="115">
        <f t="shared" si="84"/>
        <v>500</v>
      </c>
      <c r="K325" s="115">
        <f t="shared" si="85"/>
        <v>500</v>
      </c>
      <c r="L325" s="115">
        <f t="shared" si="86"/>
        <v>500</v>
      </c>
      <c r="M325" s="115">
        <f t="shared" si="87"/>
        <v>500</v>
      </c>
      <c r="N325" s="115">
        <f t="shared" si="88"/>
        <v>500</v>
      </c>
      <c r="O325" s="115">
        <f t="shared" si="89"/>
        <v>500</v>
      </c>
      <c r="P325" s="115">
        <f t="shared" si="90"/>
        <v>500</v>
      </c>
      <c r="Q325" s="125"/>
      <c r="R325" s="125"/>
      <c r="S325" s="125"/>
      <c r="T325" s="125">
        <v>500</v>
      </c>
      <c r="U325" s="125"/>
      <c r="V325" s="125"/>
      <c r="W325" s="125"/>
      <c r="X325" s="125"/>
      <c r="Y325" s="125"/>
      <c r="Z325" s="125"/>
      <c r="AA325" s="125"/>
      <c r="AB325" s="125"/>
      <c r="AC325" s="124"/>
      <c r="AD325" s="117"/>
      <c r="AE325" s="1"/>
      <c r="AF325" s="120"/>
      <c r="AG325" s="1"/>
      <c r="AH325" s="120"/>
    </row>
    <row r="326" spans="1:34">
      <c r="A326" s="150"/>
      <c r="B326" s="128"/>
      <c r="C326" s="128" t="s">
        <v>1353</v>
      </c>
      <c r="D326" s="128"/>
      <c r="E326" s="117"/>
      <c r="F326" s="117"/>
      <c r="G326" s="117"/>
      <c r="H326" s="115">
        <f t="shared" si="82"/>
        <v>500</v>
      </c>
      <c r="I326" s="115">
        <f t="shared" si="83"/>
        <v>500</v>
      </c>
      <c r="J326" s="115">
        <f t="shared" si="84"/>
        <v>500</v>
      </c>
      <c r="K326" s="115">
        <f t="shared" si="85"/>
        <v>500</v>
      </c>
      <c r="L326" s="115">
        <f t="shared" si="86"/>
        <v>500</v>
      </c>
      <c r="M326" s="115">
        <f t="shared" si="87"/>
        <v>500</v>
      </c>
      <c r="N326" s="115">
        <f t="shared" si="88"/>
        <v>500</v>
      </c>
      <c r="O326" s="115">
        <f t="shared" si="89"/>
        <v>500</v>
      </c>
      <c r="P326" s="115">
        <f t="shared" si="90"/>
        <v>500</v>
      </c>
      <c r="Q326" s="125"/>
      <c r="R326" s="125"/>
      <c r="S326" s="125"/>
      <c r="T326" s="125">
        <v>500</v>
      </c>
      <c r="U326" s="125"/>
      <c r="V326" s="125"/>
      <c r="W326" s="125"/>
      <c r="X326" s="125"/>
      <c r="Y326" s="125"/>
      <c r="Z326" s="125"/>
      <c r="AA326" s="125"/>
      <c r="AB326" s="125"/>
      <c r="AC326" s="124"/>
      <c r="AD326" s="117"/>
      <c r="AE326" s="1"/>
      <c r="AF326" s="120"/>
      <c r="AG326" s="1"/>
      <c r="AH326" s="120"/>
    </row>
    <row r="327" spans="1:34">
      <c r="A327" s="150"/>
      <c r="B327" s="128"/>
      <c r="C327" s="128" t="s">
        <v>1354</v>
      </c>
      <c r="D327" s="128"/>
      <c r="E327" s="117"/>
      <c r="F327" s="117"/>
      <c r="G327" s="117"/>
      <c r="H327" s="115">
        <f t="shared" si="82"/>
        <v>482</v>
      </c>
      <c r="I327" s="115">
        <f t="shared" si="83"/>
        <v>482</v>
      </c>
      <c r="J327" s="115">
        <f t="shared" si="84"/>
        <v>482</v>
      </c>
      <c r="K327" s="115">
        <f t="shared" si="85"/>
        <v>482</v>
      </c>
      <c r="L327" s="115">
        <f t="shared" si="86"/>
        <v>482</v>
      </c>
      <c r="M327" s="115">
        <f t="shared" si="87"/>
        <v>482</v>
      </c>
      <c r="N327" s="115">
        <f t="shared" si="88"/>
        <v>482</v>
      </c>
      <c r="O327" s="115">
        <f t="shared" si="89"/>
        <v>482</v>
      </c>
      <c r="P327" s="115">
        <f t="shared" si="90"/>
        <v>482</v>
      </c>
      <c r="Q327" s="125"/>
      <c r="R327" s="125"/>
      <c r="S327" s="125"/>
      <c r="T327" s="125">
        <v>482</v>
      </c>
      <c r="U327" s="125"/>
      <c r="V327" s="125"/>
      <c r="W327" s="125"/>
      <c r="X327" s="125"/>
      <c r="Y327" s="125"/>
      <c r="Z327" s="125"/>
      <c r="AA327" s="125"/>
      <c r="AB327" s="125"/>
      <c r="AC327" s="124"/>
      <c r="AD327" s="117"/>
      <c r="AE327" s="1"/>
      <c r="AF327" s="120"/>
      <c r="AG327" s="1"/>
      <c r="AH327" s="120"/>
    </row>
    <row r="328" spans="1:34">
      <c r="A328" s="150"/>
      <c r="B328" s="128"/>
      <c r="C328" s="128" t="s">
        <v>1355</v>
      </c>
      <c r="D328" s="128"/>
      <c r="E328" s="117"/>
      <c r="F328" s="117"/>
      <c r="G328" s="117"/>
      <c r="H328" s="115">
        <f t="shared" si="82"/>
        <v>1500</v>
      </c>
      <c r="I328" s="115">
        <f t="shared" si="83"/>
        <v>1500</v>
      </c>
      <c r="J328" s="115">
        <f t="shared" si="84"/>
        <v>1500</v>
      </c>
      <c r="K328" s="115">
        <f t="shared" si="85"/>
        <v>1500</v>
      </c>
      <c r="L328" s="115">
        <f t="shared" si="86"/>
        <v>1500</v>
      </c>
      <c r="M328" s="115">
        <f t="shared" si="87"/>
        <v>1500</v>
      </c>
      <c r="N328" s="115">
        <f t="shared" si="88"/>
        <v>1500</v>
      </c>
      <c r="O328" s="115">
        <f t="shared" si="89"/>
        <v>1500</v>
      </c>
      <c r="P328" s="115">
        <f t="shared" si="90"/>
        <v>1500</v>
      </c>
      <c r="Q328" s="125"/>
      <c r="R328" s="125"/>
      <c r="S328" s="125"/>
      <c r="T328" s="125">
        <v>1500</v>
      </c>
      <c r="U328" s="125"/>
      <c r="V328" s="125"/>
      <c r="W328" s="125"/>
      <c r="X328" s="125"/>
      <c r="Y328" s="125"/>
      <c r="Z328" s="125"/>
      <c r="AA328" s="125"/>
      <c r="AB328" s="125"/>
      <c r="AC328" s="124"/>
      <c r="AD328" s="117"/>
      <c r="AE328" s="1"/>
      <c r="AF328" s="120"/>
      <c r="AG328" s="1"/>
      <c r="AH328" s="120"/>
    </row>
    <row r="329" spans="1:34">
      <c r="A329" s="150"/>
      <c r="B329" s="128"/>
      <c r="C329" s="128" t="s">
        <v>1356</v>
      </c>
      <c r="D329" s="128"/>
      <c r="E329" s="117"/>
      <c r="F329" s="117"/>
      <c r="G329" s="117"/>
      <c r="H329" s="115">
        <f t="shared" si="82"/>
        <v>1600</v>
      </c>
      <c r="I329" s="115">
        <f t="shared" si="83"/>
        <v>1600</v>
      </c>
      <c r="J329" s="115">
        <f t="shared" si="84"/>
        <v>1600</v>
      </c>
      <c r="K329" s="115">
        <f t="shared" si="85"/>
        <v>1600</v>
      </c>
      <c r="L329" s="115">
        <f t="shared" si="86"/>
        <v>1600</v>
      </c>
      <c r="M329" s="115">
        <f t="shared" si="87"/>
        <v>1600</v>
      </c>
      <c r="N329" s="115">
        <f t="shared" si="88"/>
        <v>1600</v>
      </c>
      <c r="O329" s="115">
        <f t="shared" si="89"/>
        <v>1600</v>
      </c>
      <c r="P329" s="115">
        <f t="shared" si="90"/>
        <v>1600</v>
      </c>
      <c r="Q329" s="125"/>
      <c r="R329" s="125"/>
      <c r="S329" s="125"/>
      <c r="T329" s="125">
        <v>1600</v>
      </c>
      <c r="U329" s="125"/>
      <c r="V329" s="125"/>
      <c r="W329" s="125"/>
      <c r="X329" s="125"/>
      <c r="Y329" s="125"/>
      <c r="Z329" s="125"/>
      <c r="AA329" s="125"/>
      <c r="AB329" s="125"/>
      <c r="AC329" s="124"/>
      <c r="AD329" s="117"/>
      <c r="AE329" s="1"/>
      <c r="AF329" s="120"/>
      <c r="AG329" s="1"/>
      <c r="AH329" s="120"/>
    </row>
    <row r="330" spans="1:34">
      <c r="A330" s="150"/>
      <c r="B330" s="128"/>
      <c r="C330" s="128" t="s">
        <v>1357</v>
      </c>
      <c r="D330" s="128"/>
      <c r="E330" s="117"/>
      <c r="F330" s="117"/>
      <c r="G330" s="117"/>
      <c r="H330" s="115">
        <f t="shared" si="82"/>
        <v>313.5</v>
      </c>
      <c r="I330" s="115">
        <f t="shared" si="83"/>
        <v>313.5</v>
      </c>
      <c r="J330" s="115">
        <f t="shared" si="84"/>
        <v>313.5</v>
      </c>
      <c r="K330" s="115">
        <f t="shared" si="85"/>
        <v>313.5</v>
      </c>
      <c r="L330" s="115">
        <f t="shared" si="86"/>
        <v>313.5</v>
      </c>
      <c r="M330" s="115">
        <f t="shared" si="87"/>
        <v>313.5</v>
      </c>
      <c r="N330" s="115">
        <f t="shared" si="88"/>
        <v>313.5</v>
      </c>
      <c r="O330" s="115">
        <f t="shared" si="89"/>
        <v>313.5</v>
      </c>
      <c r="P330" s="115">
        <f t="shared" si="90"/>
        <v>313.5</v>
      </c>
      <c r="Q330" s="125"/>
      <c r="R330" s="125"/>
      <c r="S330" s="125"/>
      <c r="T330" s="125">
        <v>313.5</v>
      </c>
      <c r="U330" s="125"/>
      <c r="V330" s="125"/>
      <c r="W330" s="125"/>
      <c r="X330" s="125"/>
      <c r="Y330" s="125"/>
      <c r="Z330" s="125"/>
      <c r="AA330" s="125"/>
      <c r="AB330" s="125"/>
      <c r="AC330" s="124"/>
      <c r="AD330" s="117"/>
      <c r="AE330" s="1"/>
      <c r="AF330" s="120"/>
      <c r="AG330" s="1"/>
      <c r="AH330" s="120"/>
    </row>
    <row r="331" spans="1:34">
      <c r="A331" s="150"/>
      <c r="B331" s="128"/>
      <c r="C331" s="128" t="s">
        <v>1358</v>
      </c>
      <c r="D331" s="128"/>
      <c r="E331" s="117"/>
      <c r="F331" s="117"/>
      <c r="G331" s="117"/>
      <c r="H331" s="115">
        <f t="shared" si="82"/>
        <v>2262</v>
      </c>
      <c r="I331" s="115">
        <f t="shared" si="83"/>
        <v>2262</v>
      </c>
      <c r="J331" s="115">
        <f t="shared" si="84"/>
        <v>2262</v>
      </c>
      <c r="K331" s="115">
        <f t="shared" si="85"/>
        <v>2262</v>
      </c>
      <c r="L331" s="115">
        <f t="shared" si="86"/>
        <v>2262</v>
      </c>
      <c r="M331" s="115">
        <f t="shared" si="87"/>
        <v>2262</v>
      </c>
      <c r="N331" s="115">
        <f t="shared" si="88"/>
        <v>2262</v>
      </c>
      <c r="O331" s="115">
        <f t="shared" si="89"/>
        <v>2262</v>
      </c>
      <c r="P331" s="115">
        <f t="shared" si="90"/>
        <v>2262</v>
      </c>
      <c r="Q331" s="125"/>
      <c r="R331" s="125"/>
      <c r="S331" s="125"/>
      <c r="T331" s="125">
        <v>2262</v>
      </c>
      <c r="U331" s="125"/>
      <c r="V331" s="125"/>
      <c r="W331" s="125"/>
      <c r="X331" s="125"/>
      <c r="Y331" s="125"/>
      <c r="Z331" s="125"/>
      <c r="AA331" s="125"/>
      <c r="AB331" s="125"/>
      <c r="AC331" s="124"/>
      <c r="AD331" s="117"/>
      <c r="AE331" s="1"/>
      <c r="AF331" s="120"/>
      <c r="AG331" s="1"/>
      <c r="AH331" s="120"/>
    </row>
    <row r="332" spans="1:34">
      <c r="A332" s="150"/>
      <c r="B332" s="128"/>
      <c r="C332" s="128" t="s">
        <v>1359</v>
      </c>
      <c r="D332" s="128"/>
      <c r="E332" s="117"/>
      <c r="F332" s="117"/>
      <c r="G332" s="117"/>
      <c r="H332" s="115">
        <f t="shared" si="82"/>
        <v>1350</v>
      </c>
      <c r="I332" s="115">
        <f t="shared" si="83"/>
        <v>1350</v>
      </c>
      <c r="J332" s="115">
        <f t="shared" si="84"/>
        <v>1350</v>
      </c>
      <c r="K332" s="115">
        <f t="shared" si="85"/>
        <v>1350</v>
      </c>
      <c r="L332" s="115">
        <f t="shared" si="86"/>
        <v>1350</v>
      </c>
      <c r="M332" s="115">
        <f t="shared" si="87"/>
        <v>1350</v>
      </c>
      <c r="N332" s="115">
        <f t="shared" si="88"/>
        <v>1350</v>
      </c>
      <c r="O332" s="115">
        <f t="shared" si="89"/>
        <v>1350</v>
      </c>
      <c r="P332" s="115">
        <f t="shared" si="90"/>
        <v>1350</v>
      </c>
      <c r="Q332" s="125"/>
      <c r="R332" s="125"/>
      <c r="S332" s="125"/>
      <c r="T332" s="125">
        <v>1350</v>
      </c>
      <c r="U332" s="125"/>
      <c r="V332" s="125"/>
      <c r="W332" s="125"/>
      <c r="X332" s="125"/>
      <c r="Y332" s="125"/>
      <c r="Z332" s="125"/>
      <c r="AA332" s="125"/>
      <c r="AB332" s="125"/>
      <c r="AC332" s="124"/>
      <c r="AD332" s="117"/>
      <c r="AE332" s="1"/>
      <c r="AF332" s="120"/>
      <c r="AG332" s="1"/>
      <c r="AH332" s="120"/>
    </row>
    <row r="333" spans="1:34">
      <c r="A333" s="150"/>
      <c r="B333" s="128"/>
      <c r="C333" s="128" t="s">
        <v>1360</v>
      </c>
      <c r="D333" s="128"/>
      <c r="E333" s="117"/>
      <c r="F333" s="117"/>
      <c r="G333" s="117"/>
      <c r="H333" s="115">
        <f t="shared" si="82"/>
        <v>1983</v>
      </c>
      <c r="I333" s="115">
        <f t="shared" si="83"/>
        <v>1983</v>
      </c>
      <c r="J333" s="115">
        <f t="shared" si="84"/>
        <v>1983</v>
      </c>
      <c r="K333" s="115">
        <f t="shared" si="85"/>
        <v>1983</v>
      </c>
      <c r="L333" s="115">
        <f t="shared" si="86"/>
        <v>1983</v>
      </c>
      <c r="M333" s="115">
        <f t="shared" si="87"/>
        <v>1983</v>
      </c>
      <c r="N333" s="115">
        <f t="shared" si="88"/>
        <v>1983</v>
      </c>
      <c r="O333" s="115">
        <f t="shared" si="89"/>
        <v>1983</v>
      </c>
      <c r="P333" s="115">
        <f t="shared" si="90"/>
        <v>1983</v>
      </c>
      <c r="Q333" s="125"/>
      <c r="R333" s="125"/>
      <c r="S333" s="125"/>
      <c r="T333" s="125">
        <v>1983</v>
      </c>
      <c r="U333" s="125"/>
      <c r="V333" s="125"/>
      <c r="W333" s="125"/>
      <c r="X333" s="125"/>
      <c r="Y333" s="125"/>
      <c r="Z333" s="125"/>
      <c r="AA333" s="125"/>
      <c r="AB333" s="125"/>
      <c r="AC333" s="124"/>
      <c r="AD333" s="117"/>
      <c r="AE333" s="1"/>
      <c r="AF333" s="120"/>
      <c r="AG333" s="1"/>
      <c r="AH333" s="120"/>
    </row>
    <row r="334" spans="1:34">
      <c r="A334" s="150"/>
      <c r="B334" s="128"/>
      <c r="C334" s="128" t="s">
        <v>1361</v>
      </c>
      <c r="D334" s="128"/>
      <c r="E334" s="117"/>
      <c r="F334" s="117"/>
      <c r="G334" s="117"/>
      <c r="H334" s="115">
        <f t="shared" si="82"/>
        <v>1500</v>
      </c>
      <c r="I334" s="115">
        <f t="shared" si="83"/>
        <v>1500</v>
      </c>
      <c r="J334" s="115">
        <f t="shared" si="84"/>
        <v>1500</v>
      </c>
      <c r="K334" s="115">
        <f t="shared" si="85"/>
        <v>1500</v>
      </c>
      <c r="L334" s="115">
        <f t="shared" si="86"/>
        <v>1500</v>
      </c>
      <c r="M334" s="115">
        <f t="shared" si="87"/>
        <v>1500</v>
      </c>
      <c r="N334" s="115">
        <f t="shared" si="88"/>
        <v>1500</v>
      </c>
      <c r="O334" s="115">
        <f t="shared" si="89"/>
        <v>1500</v>
      </c>
      <c r="P334" s="115">
        <f t="shared" si="90"/>
        <v>1500</v>
      </c>
      <c r="Q334" s="125"/>
      <c r="R334" s="125"/>
      <c r="S334" s="125"/>
      <c r="T334" s="125">
        <v>1500</v>
      </c>
      <c r="U334" s="125"/>
      <c r="V334" s="125"/>
      <c r="W334" s="125"/>
      <c r="X334" s="125"/>
      <c r="Y334" s="125"/>
      <c r="Z334" s="125"/>
      <c r="AA334" s="125"/>
      <c r="AB334" s="125"/>
      <c r="AC334" s="124"/>
      <c r="AD334" s="117"/>
      <c r="AE334" s="1"/>
      <c r="AF334" s="120"/>
      <c r="AG334" s="1"/>
      <c r="AH334" s="120"/>
    </row>
    <row r="335" spans="1:34">
      <c r="A335" s="150"/>
      <c r="B335" s="128"/>
      <c r="C335" s="128" t="s">
        <v>1362</v>
      </c>
      <c r="D335" s="128"/>
      <c r="E335" s="117"/>
      <c r="F335" s="117"/>
      <c r="G335" s="117"/>
      <c r="H335" s="115">
        <f t="shared" si="82"/>
        <v>1407</v>
      </c>
      <c r="I335" s="115">
        <f t="shared" si="83"/>
        <v>1407</v>
      </c>
      <c r="J335" s="115">
        <f t="shared" si="84"/>
        <v>1407</v>
      </c>
      <c r="K335" s="115">
        <f t="shared" si="85"/>
        <v>1407</v>
      </c>
      <c r="L335" s="115">
        <f t="shared" si="86"/>
        <v>1407</v>
      </c>
      <c r="M335" s="115">
        <f t="shared" si="87"/>
        <v>1407</v>
      </c>
      <c r="N335" s="115">
        <f t="shared" si="88"/>
        <v>1407</v>
      </c>
      <c r="O335" s="115">
        <f t="shared" si="89"/>
        <v>1407</v>
      </c>
      <c r="P335" s="115">
        <f t="shared" si="90"/>
        <v>1407</v>
      </c>
      <c r="Q335" s="125"/>
      <c r="R335" s="125"/>
      <c r="S335" s="125"/>
      <c r="T335" s="125">
        <v>1407</v>
      </c>
      <c r="U335" s="125"/>
      <c r="V335" s="125"/>
      <c r="W335" s="125"/>
      <c r="X335" s="125"/>
      <c r="Y335" s="125"/>
      <c r="Z335" s="125"/>
      <c r="AA335" s="125"/>
      <c r="AB335" s="125"/>
      <c r="AC335" s="124"/>
      <c r="AD335" s="117"/>
      <c r="AE335" s="1"/>
      <c r="AF335" s="120"/>
      <c r="AG335" s="1"/>
      <c r="AH335" s="120"/>
    </row>
    <row r="336" spans="1:34">
      <c r="A336" s="150"/>
      <c r="B336" s="128"/>
      <c r="C336" s="128" t="s">
        <v>1363</v>
      </c>
      <c r="D336" s="128"/>
      <c r="E336" s="117"/>
      <c r="F336" s="117"/>
      <c r="G336" s="117"/>
      <c r="H336" s="115">
        <f t="shared" si="82"/>
        <v>1600</v>
      </c>
      <c r="I336" s="115">
        <f t="shared" si="83"/>
        <v>1600</v>
      </c>
      <c r="J336" s="115">
        <f t="shared" si="84"/>
        <v>1600</v>
      </c>
      <c r="K336" s="115">
        <f t="shared" si="85"/>
        <v>1600</v>
      </c>
      <c r="L336" s="115">
        <f t="shared" si="86"/>
        <v>1600</v>
      </c>
      <c r="M336" s="115">
        <f t="shared" si="87"/>
        <v>1600</v>
      </c>
      <c r="N336" s="115">
        <f t="shared" si="88"/>
        <v>1600</v>
      </c>
      <c r="O336" s="115">
        <f t="shared" si="89"/>
        <v>1600</v>
      </c>
      <c r="P336" s="115">
        <f t="shared" si="90"/>
        <v>1600</v>
      </c>
      <c r="Q336" s="125"/>
      <c r="R336" s="125"/>
      <c r="S336" s="125"/>
      <c r="T336" s="125">
        <v>1600</v>
      </c>
      <c r="U336" s="125"/>
      <c r="V336" s="125"/>
      <c r="W336" s="125"/>
      <c r="X336" s="125"/>
      <c r="Y336" s="125"/>
      <c r="Z336" s="125"/>
      <c r="AA336" s="125"/>
      <c r="AB336" s="125"/>
      <c r="AC336" s="124"/>
      <c r="AD336" s="117"/>
      <c r="AE336" s="1"/>
      <c r="AF336" s="120"/>
      <c r="AG336" s="1"/>
      <c r="AH336" s="120"/>
    </row>
    <row r="337" spans="1:34">
      <c r="A337" s="150"/>
      <c r="B337" s="128"/>
      <c r="C337" s="128" t="s">
        <v>1364</v>
      </c>
      <c r="D337" s="128"/>
      <c r="E337" s="117"/>
      <c r="F337" s="117"/>
      <c r="G337" s="117"/>
      <c r="H337" s="115">
        <f t="shared" si="82"/>
        <v>1500</v>
      </c>
      <c r="I337" s="115">
        <f t="shared" si="83"/>
        <v>1500</v>
      </c>
      <c r="J337" s="115">
        <f t="shared" si="84"/>
        <v>1500</v>
      </c>
      <c r="K337" s="115">
        <f t="shared" si="85"/>
        <v>1500</v>
      </c>
      <c r="L337" s="115">
        <f t="shared" si="86"/>
        <v>1500</v>
      </c>
      <c r="M337" s="115">
        <f t="shared" si="87"/>
        <v>1500</v>
      </c>
      <c r="N337" s="115">
        <f t="shared" si="88"/>
        <v>1500</v>
      </c>
      <c r="O337" s="115">
        <f t="shared" si="89"/>
        <v>1500</v>
      </c>
      <c r="P337" s="115">
        <f t="shared" si="90"/>
        <v>1500</v>
      </c>
      <c r="Q337" s="125"/>
      <c r="R337" s="125"/>
      <c r="S337" s="125"/>
      <c r="T337" s="125">
        <v>1500</v>
      </c>
      <c r="U337" s="125"/>
      <c r="V337" s="125"/>
      <c r="W337" s="125"/>
      <c r="X337" s="125"/>
      <c r="Y337" s="125"/>
      <c r="Z337" s="125"/>
      <c r="AA337" s="125"/>
      <c r="AB337" s="125"/>
      <c r="AC337" s="124"/>
      <c r="AD337" s="117"/>
      <c r="AE337" s="1"/>
      <c r="AF337" s="120"/>
      <c r="AG337" s="1"/>
      <c r="AH337" s="120"/>
    </row>
    <row r="338" spans="1:34">
      <c r="A338" s="150"/>
      <c r="B338" s="128"/>
      <c r="C338" s="128" t="s">
        <v>1365</v>
      </c>
      <c r="D338" s="128"/>
      <c r="E338" s="117"/>
      <c r="F338" s="117"/>
      <c r="G338" s="117"/>
      <c r="H338" s="115">
        <f t="shared" si="82"/>
        <v>3000</v>
      </c>
      <c r="I338" s="115">
        <f t="shared" si="83"/>
        <v>3000</v>
      </c>
      <c r="J338" s="115">
        <f t="shared" si="84"/>
        <v>3000</v>
      </c>
      <c r="K338" s="115">
        <f t="shared" si="85"/>
        <v>3000</v>
      </c>
      <c r="L338" s="115">
        <f t="shared" si="86"/>
        <v>3000</v>
      </c>
      <c r="M338" s="115">
        <f t="shared" si="87"/>
        <v>3000</v>
      </c>
      <c r="N338" s="115">
        <f t="shared" si="88"/>
        <v>3000</v>
      </c>
      <c r="O338" s="115">
        <f t="shared" si="89"/>
        <v>3000</v>
      </c>
      <c r="P338" s="115">
        <f t="shared" si="90"/>
        <v>3000</v>
      </c>
      <c r="Q338" s="125"/>
      <c r="R338" s="125"/>
      <c r="S338" s="125"/>
      <c r="T338" s="125">
        <v>3000</v>
      </c>
      <c r="U338" s="125"/>
      <c r="V338" s="125"/>
      <c r="W338" s="125"/>
      <c r="X338" s="125"/>
      <c r="Y338" s="125"/>
      <c r="Z338" s="125"/>
      <c r="AA338" s="125"/>
      <c r="AB338" s="125"/>
      <c r="AC338" s="124"/>
      <c r="AD338" s="117"/>
      <c r="AE338" s="1"/>
      <c r="AF338" s="120"/>
      <c r="AG338" s="1"/>
      <c r="AH338" s="120"/>
    </row>
    <row r="339" spans="1:34">
      <c r="A339" s="150"/>
      <c r="B339" s="128"/>
      <c r="C339" s="128" t="s">
        <v>1366</v>
      </c>
      <c r="D339" s="128"/>
      <c r="E339" s="117"/>
      <c r="F339" s="117"/>
      <c r="G339" s="117"/>
      <c r="H339" s="115">
        <f t="shared" si="82"/>
        <v>383</v>
      </c>
      <c r="I339" s="115">
        <f t="shared" si="83"/>
        <v>383</v>
      </c>
      <c r="J339" s="115">
        <f t="shared" si="84"/>
        <v>383</v>
      </c>
      <c r="K339" s="115">
        <f t="shared" si="85"/>
        <v>383</v>
      </c>
      <c r="L339" s="115">
        <f t="shared" si="86"/>
        <v>383</v>
      </c>
      <c r="M339" s="115">
        <f t="shared" si="87"/>
        <v>383</v>
      </c>
      <c r="N339" s="115">
        <f t="shared" si="88"/>
        <v>383</v>
      </c>
      <c r="O339" s="115">
        <f t="shared" si="89"/>
        <v>383</v>
      </c>
      <c r="P339" s="115">
        <f t="shared" si="90"/>
        <v>383</v>
      </c>
      <c r="Q339" s="125"/>
      <c r="R339" s="125"/>
      <c r="S339" s="125"/>
      <c r="T339" s="125">
        <v>383</v>
      </c>
      <c r="U339" s="125"/>
      <c r="V339" s="125"/>
      <c r="W339" s="125"/>
      <c r="X339" s="125"/>
      <c r="Y339" s="125"/>
      <c r="Z339" s="125"/>
      <c r="AA339" s="125"/>
      <c r="AB339" s="125"/>
      <c r="AC339" s="124"/>
      <c r="AD339" s="117"/>
      <c r="AE339" s="1"/>
      <c r="AF339" s="120"/>
      <c r="AG339" s="1"/>
      <c r="AH339" s="120"/>
    </row>
    <row r="340" spans="1:34">
      <c r="A340" s="150"/>
      <c r="B340" s="128"/>
      <c r="C340" s="128" t="s">
        <v>1367</v>
      </c>
      <c r="D340" s="128"/>
      <c r="E340" s="117"/>
      <c r="F340" s="117"/>
      <c r="G340" s="117"/>
      <c r="H340" s="115">
        <f t="shared" si="82"/>
        <v>200</v>
      </c>
      <c r="I340" s="115">
        <f t="shared" si="83"/>
        <v>200</v>
      </c>
      <c r="J340" s="115">
        <f t="shared" si="84"/>
        <v>200</v>
      </c>
      <c r="K340" s="115">
        <f t="shared" si="85"/>
        <v>200</v>
      </c>
      <c r="L340" s="115">
        <f t="shared" si="86"/>
        <v>200</v>
      </c>
      <c r="M340" s="115">
        <f t="shared" si="87"/>
        <v>200</v>
      </c>
      <c r="N340" s="115">
        <f t="shared" si="88"/>
        <v>200</v>
      </c>
      <c r="O340" s="115">
        <f t="shared" si="89"/>
        <v>200</v>
      </c>
      <c r="P340" s="115">
        <f t="shared" si="90"/>
        <v>200</v>
      </c>
      <c r="Q340" s="125"/>
      <c r="R340" s="125"/>
      <c r="S340" s="125"/>
      <c r="T340" s="125">
        <v>200</v>
      </c>
      <c r="U340" s="125"/>
      <c r="V340" s="125"/>
      <c r="W340" s="125"/>
      <c r="X340" s="125"/>
      <c r="Y340" s="125"/>
      <c r="Z340" s="125"/>
      <c r="AA340" s="125"/>
      <c r="AB340" s="125"/>
      <c r="AC340" s="124"/>
      <c r="AD340" s="117"/>
      <c r="AE340" s="1"/>
      <c r="AF340" s="120"/>
      <c r="AG340" s="1"/>
      <c r="AH340" s="120"/>
    </row>
    <row r="341" spans="1:34">
      <c r="A341" s="150"/>
      <c r="B341" s="128"/>
      <c r="C341" s="128" t="s">
        <v>1368</v>
      </c>
      <c r="D341" s="128"/>
      <c r="E341" s="117"/>
      <c r="F341" s="117"/>
      <c r="G341" s="117"/>
      <c r="H341" s="115">
        <f t="shared" si="82"/>
        <v>1000</v>
      </c>
      <c r="I341" s="115">
        <f t="shared" si="83"/>
        <v>1000</v>
      </c>
      <c r="J341" s="115">
        <f t="shared" si="84"/>
        <v>1000</v>
      </c>
      <c r="K341" s="115">
        <f t="shared" si="85"/>
        <v>1000</v>
      </c>
      <c r="L341" s="115">
        <f t="shared" si="86"/>
        <v>1000</v>
      </c>
      <c r="M341" s="115">
        <f t="shared" si="87"/>
        <v>1000</v>
      </c>
      <c r="N341" s="115">
        <f t="shared" si="88"/>
        <v>1000</v>
      </c>
      <c r="O341" s="115">
        <f t="shared" si="89"/>
        <v>1000</v>
      </c>
      <c r="P341" s="115">
        <f t="shared" si="90"/>
        <v>1000</v>
      </c>
      <c r="Q341" s="125"/>
      <c r="R341" s="125"/>
      <c r="S341" s="125"/>
      <c r="T341" s="125">
        <v>1000</v>
      </c>
      <c r="U341" s="125"/>
      <c r="V341" s="125"/>
      <c r="W341" s="125"/>
      <c r="X341" s="125"/>
      <c r="Y341" s="125"/>
      <c r="Z341" s="125"/>
      <c r="AA341" s="125"/>
      <c r="AB341" s="125"/>
      <c r="AC341" s="124"/>
      <c r="AD341" s="117"/>
      <c r="AE341" s="1"/>
      <c r="AF341" s="120"/>
      <c r="AG341" s="1"/>
      <c r="AH341" s="120"/>
    </row>
    <row r="342" spans="1:34">
      <c r="A342" s="150"/>
      <c r="B342" s="128"/>
      <c r="C342" s="128" t="s">
        <v>1369</v>
      </c>
      <c r="D342" s="128"/>
      <c r="E342" s="117"/>
      <c r="F342" s="117"/>
      <c r="G342" s="117"/>
      <c r="H342" s="115">
        <f t="shared" si="82"/>
        <v>1600</v>
      </c>
      <c r="I342" s="115">
        <f t="shared" si="83"/>
        <v>1600</v>
      </c>
      <c r="J342" s="115">
        <f t="shared" si="84"/>
        <v>1600</v>
      </c>
      <c r="K342" s="115">
        <f t="shared" si="85"/>
        <v>1600</v>
      </c>
      <c r="L342" s="115">
        <f t="shared" si="86"/>
        <v>1600</v>
      </c>
      <c r="M342" s="115">
        <f t="shared" si="87"/>
        <v>1600</v>
      </c>
      <c r="N342" s="115">
        <f t="shared" si="88"/>
        <v>1600</v>
      </c>
      <c r="O342" s="115">
        <f t="shared" si="89"/>
        <v>1600</v>
      </c>
      <c r="P342" s="115">
        <f t="shared" si="90"/>
        <v>1600</v>
      </c>
      <c r="Q342" s="125"/>
      <c r="R342" s="125"/>
      <c r="S342" s="125"/>
      <c r="T342" s="125">
        <v>1600</v>
      </c>
      <c r="U342" s="125"/>
      <c r="V342" s="125"/>
      <c r="W342" s="125"/>
      <c r="X342" s="125"/>
      <c r="Y342" s="125"/>
      <c r="Z342" s="125"/>
      <c r="AA342" s="125"/>
      <c r="AB342" s="125"/>
      <c r="AC342" s="124"/>
      <c r="AD342" s="117"/>
      <c r="AE342" s="1"/>
      <c r="AF342" s="120"/>
      <c r="AG342" s="1"/>
      <c r="AH342" s="120"/>
    </row>
    <row r="343" spans="1:34">
      <c r="A343" s="150"/>
      <c r="B343" s="128"/>
      <c r="C343" s="128" t="s">
        <v>1370</v>
      </c>
      <c r="D343" s="128"/>
      <c r="E343" s="117"/>
      <c r="F343" s="117"/>
      <c r="G343" s="117"/>
      <c r="H343" s="115">
        <f t="shared" si="82"/>
        <v>3000</v>
      </c>
      <c r="I343" s="115">
        <f t="shared" si="83"/>
        <v>3000</v>
      </c>
      <c r="J343" s="115">
        <f t="shared" si="84"/>
        <v>3000</v>
      </c>
      <c r="K343" s="115">
        <f t="shared" si="85"/>
        <v>3000</v>
      </c>
      <c r="L343" s="115">
        <f t="shared" si="86"/>
        <v>3000</v>
      </c>
      <c r="M343" s="115">
        <f t="shared" si="87"/>
        <v>3000</v>
      </c>
      <c r="N343" s="115">
        <f t="shared" si="88"/>
        <v>3000</v>
      </c>
      <c r="O343" s="115">
        <f t="shared" si="89"/>
        <v>3000</v>
      </c>
      <c r="P343" s="115">
        <f t="shared" si="90"/>
        <v>3000</v>
      </c>
      <c r="Q343" s="125"/>
      <c r="R343" s="125"/>
      <c r="S343" s="125"/>
      <c r="T343" s="125">
        <v>3000</v>
      </c>
      <c r="U343" s="125"/>
      <c r="V343" s="125"/>
      <c r="W343" s="125"/>
      <c r="X343" s="125"/>
      <c r="Y343" s="125"/>
      <c r="Z343" s="125"/>
      <c r="AA343" s="125"/>
      <c r="AB343" s="125"/>
      <c r="AC343" s="124"/>
      <c r="AD343" s="117"/>
      <c r="AE343" s="1"/>
      <c r="AF343" s="120"/>
      <c r="AG343" s="1"/>
      <c r="AH343" s="120"/>
    </row>
    <row r="344" spans="1:34">
      <c r="A344" s="150"/>
      <c r="B344" s="128"/>
      <c r="C344" s="128" t="s">
        <v>1371</v>
      </c>
      <c r="D344" s="128"/>
      <c r="E344" s="117"/>
      <c r="F344" s="117"/>
      <c r="G344" s="117"/>
      <c r="H344" s="115">
        <f t="shared" si="82"/>
        <v>200</v>
      </c>
      <c r="I344" s="115">
        <f t="shared" si="83"/>
        <v>200</v>
      </c>
      <c r="J344" s="115">
        <f t="shared" si="84"/>
        <v>200</v>
      </c>
      <c r="K344" s="115">
        <f t="shared" si="85"/>
        <v>200</v>
      </c>
      <c r="L344" s="115">
        <f t="shared" si="86"/>
        <v>200</v>
      </c>
      <c r="M344" s="115">
        <f t="shared" si="87"/>
        <v>200</v>
      </c>
      <c r="N344" s="115">
        <f t="shared" si="88"/>
        <v>200</v>
      </c>
      <c r="O344" s="115">
        <f t="shared" si="89"/>
        <v>200</v>
      </c>
      <c r="P344" s="115">
        <f t="shared" si="90"/>
        <v>200</v>
      </c>
      <c r="Q344" s="125"/>
      <c r="R344" s="125"/>
      <c r="S344" s="125"/>
      <c r="T344" s="125">
        <v>200</v>
      </c>
      <c r="U344" s="125"/>
      <c r="V344" s="125"/>
      <c r="W344" s="125"/>
      <c r="X344" s="125"/>
      <c r="Y344" s="125"/>
      <c r="Z344" s="125"/>
      <c r="AA344" s="125"/>
      <c r="AB344" s="125"/>
      <c r="AC344" s="124"/>
      <c r="AD344" s="117"/>
      <c r="AE344" s="1"/>
      <c r="AF344" s="120"/>
      <c r="AG344" s="1"/>
      <c r="AH344" s="120"/>
    </row>
    <row r="345" spans="1:34">
      <c r="A345" s="150"/>
      <c r="B345" s="128"/>
      <c r="C345" s="128" t="s">
        <v>1372</v>
      </c>
      <c r="D345" s="128"/>
      <c r="E345" s="117"/>
      <c r="F345" s="117"/>
      <c r="G345" s="117"/>
      <c r="H345" s="115">
        <f t="shared" si="82"/>
        <v>1532</v>
      </c>
      <c r="I345" s="115">
        <f t="shared" si="83"/>
        <v>1532</v>
      </c>
      <c r="J345" s="115">
        <f t="shared" si="84"/>
        <v>1532</v>
      </c>
      <c r="K345" s="115">
        <f t="shared" si="85"/>
        <v>1532</v>
      </c>
      <c r="L345" s="115">
        <f t="shared" si="86"/>
        <v>1532</v>
      </c>
      <c r="M345" s="115">
        <f t="shared" si="87"/>
        <v>1532</v>
      </c>
      <c r="N345" s="115">
        <f t="shared" si="88"/>
        <v>1532</v>
      </c>
      <c r="O345" s="115">
        <f t="shared" si="89"/>
        <v>1532</v>
      </c>
      <c r="P345" s="115">
        <f t="shared" si="90"/>
        <v>1532</v>
      </c>
      <c r="Q345" s="125"/>
      <c r="R345" s="125"/>
      <c r="S345" s="125"/>
      <c r="T345" s="125">
        <v>1532</v>
      </c>
      <c r="U345" s="125"/>
      <c r="V345" s="125"/>
      <c r="W345" s="125"/>
      <c r="X345" s="125"/>
      <c r="Y345" s="125"/>
      <c r="Z345" s="125"/>
      <c r="AA345" s="125"/>
      <c r="AB345" s="125"/>
      <c r="AC345" s="124"/>
      <c r="AD345" s="117"/>
      <c r="AE345" s="1"/>
      <c r="AF345" s="120"/>
      <c r="AG345" s="1"/>
      <c r="AH345" s="120"/>
    </row>
    <row r="346" spans="1:34">
      <c r="A346" s="150"/>
      <c r="B346" s="128"/>
      <c r="C346" s="128" t="s">
        <v>1373</v>
      </c>
      <c r="D346" s="128"/>
      <c r="E346" s="117"/>
      <c r="F346" s="117"/>
      <c r="G346" s="117"/>
      <c r="H346" s="115">
        <f t="shared" si="82"/>
        <v>537.5</v>
      </c>
      <c r="I346" s="115">
        <f t="shared" si="83"/>
        <v>537.5</v>
      </c>
      <c r="J346" s="115">
        <f t="shared" si="84"/>
        <v>537.5</v>
      </c>
      <c r="K346" s="115">
        <f t="shared" si="85"/>
        <v>537.5</v>
      </c>
      <c r="L346" s="115">
        <f t="shared" si="86"/>
        <v>537.5</v>
      </c>
      <c r="M346" s="115">
        <f t="shared" si="87"/>
        <v>537.5</v>
      </c>
      <c r="N346" s="115">
        <f t="shared" si="88"/>
        <v>537.5</v>
      </c>
      <c r="O346" s="115">
        <f t="shared" si="89"/>
        <v>537.5</v>
      </c>
      <c r="P346" s="115">
        <f t="shared" si="90"/>
        <v>537.5</v>
      </c>
      <c r="Q346" s="125"/>
      <c r="R346" s="125"/>
      <c r="S346" s="125"/>
      <c r="T346" s="125">
        <v>537.5</v>
      </c>
      <c r="U346" s="125"/>
      <c r="V346" s="125"/>
      <c r="W346" s="125"/>
      <c r="X346" s="125"/>
      <c r="Y346" s="125"/>
      <c r="Z346" s="125"/>
      <c r="AA346" s="125"/>
      <c r="AB346" s="125"/>
      <c r="AC346" s="124"/>
      <c r="AD346" s="117"/>
      <c r="AE346" s="1"/>
      <c r="AF346" s="120"/>
      <c r="AG346" s="1"/>
      <c r="AH346" s="120"/>
    </row>
    <row r="347" spans="1:34">
      <c r="A347" s="150"/>
      <c r="B347" s="128"/>
      <c r="C347" s="128" t="s">
        <v>1374</v>
      </c>
      <c r="D347" s="128"/>
      <c r="E347" s="117"/>
      <c r="F347" s="117"/>
      <c r="G347" s="117"/>
      <c r="H347" s="115">
        <f t="shared" si="82"/>
        <v>2500</v>
      </c>
      <c r="I347" s="115">
        <f t="shared" si="83"/>
        <v>2500</v>
      </c>
      <c r="J347" s="115">
        <f t="shared" si="84"/>
        <v>2500</v>
      </c>
      <c r="K347" s="115">
        <f t="shared" si="85"/>
        <v>2500</v>
      </c>
      <c r="L347" s="115">
        <f t="shared" si="86"/>
        <v>2500</v>
      </c>
      <c r="M347" s="115">
        <f t="shared" si="87"/>
        <v>2500</v>
      </c>
      <c r="N347" s="115">
        <f t="shared" si="88"/>
        <v>2500</v>
      </c>
      <c r="O347" s="115">
        <f t="shared" si="89"/>
        <v>2500</v>
      </c>
      <c r="P347" s="115">
        <f t="shared" si="90"/>
        <v>2500</v>
      </c>
      <c r="Q347" s="125"/>
      <c r="R347" s="125"/>
      <c r="S347" s="125"/>
      <c r="T347" s="125">
        <v>2500</v>
      </c>
      <c r="U347" s="125"/>
      <c r="V347" s="125"/>
      <c r="W347" s="125"/>
      <c r="X347" s="125"/>
      <c r="Y347" s="125"/>
      <c r="Z347" s="125"/>
      <c r="AA347" s="125"/>
      <c r="AB347" s="125"/>
      <c r="AC347" s="124"/>
      <c r="AD347" s="117"/>
      <c r="AE347" s="1"/>
      <c r="AF347" s="120"/>
      <c r="AG347" s="1"/>
      <c r="AH347" s="120"/>
    </row>
    <row r="348" spans="1:34">
      <c r="A348" s="150"/>
      <c r="B348" s="128"/>
      <c r="C348" s="128" t="s">
        <v>1375</v>
      </c>
      <c r="D348" s="128"/>
      <c r="E348" s="117"/>
      <c r="F348" s="117"/>
      <c r="G348" s="117"/>
      <c r="H348" s="115">
        <f t="shared" si="82"/>
        <v>877</v>
      </c>
      <c r="I348" s="115">
        <f t="shared" si="83"/>
        <v>877</v>
      </c>
      <c r="J348" s="115">
        <f t="shared" si="84"/>
        <v>877</v>
      </c>
      <c r="K348" s="115">
        <f t="shared" si="85"/>
        <v>877</v>
      </c>
      <c r="L348" s="115">
        <f t="shared" si="86"/>
        <v>877</v>
      </c>
      <c r="M348" s="115">
        <f t="shared" si="87"/>
        <v>877</v>
      </c>
      <c r="N348" s="115">
        <f t="shared" si="88"/>
        <v>877</v>
      </c>
      <c r="O348" s="115">
        <f t="shared" si="89"/>
        <v>877</v>
      </c>
      <c r="P348" s="115">
        <f t="shared" si="90"/>
        <v>877</v>
      </c>
      <c r="Q348" s="125"/>
      <c r="R348" s="125"/>
      <c r="S348" s="125"/>
      <c r="T348" s="125">
        <v>877</v>
      </c>
      <c r="U348" s="125"/>
      <c r="V348" s="125"/>
      <c r="W348" s="125"/>
      <c r="X348" s="125"/>
      <c r="Y348" s="125"/>
      <c r="Z348" s="125"/>
      <c r="AA348" s="125"/>
      <c r="AB348" s="125"/>
      <c r="AC348" s="124"/>
      <c r="AD348" s="117"/>
      <c r="AE348" s="1"/>
      <c r="AF348" s="120"/>
      <c r="AG348" s="1"/>
      <c r="AH348" s="120"/>
    </row>
    <row r="349" spans="1:34">
      <c r="A349" s="150"/>
      <c r="B349" s="128"/>
      <c r="C349" s="128" t="s">
        <v>1376</v>
      </c>
      <c r="D349" s="128"/>
      <c r="E349" s="117"/>
      <c r="F349" s="117"/>
      <c r="G349" s="117"/>
      <c r="H349" s="115">
        <f t="shared" si="82"/>
        <v>1000</v>
      </c>
      <c r="I349" s="115">
        <f t="shared" si="83"/>
        <v>1000</v>
      </c>
      <c r="J349" s="115">
        <f t="shared" si="84"/>
        <v>1000</v>
      </c>
      <c r="K349" s="115">
        <f t="shared" si="85"/>
        <v>1000</v>
      </c>
      <c r="L349" s="115">
        <f t="shared" si="86"/>
        <v>1000</v>
      </c>
      <c r="M349" s="115">
        <f t="shared" si="87"/>
        <v>1000</v>
      </c>
      <c r="N349" s="115">
        <f t="shared" si="88"/>
        <v>1000</v>
      </c>
      <c r="O349" s="115">
        <f t="shared" si="89"/>
        <v>1000</v>
      </c>
      <c r="P349" s="115">
        <f t="shared" si="90"/>
        <v>1000</v>
      </c>
      <c r="Q349" s="125"/>
      <c r="R349" s="125"/>
      <c r="S349" s="125"/>
      <c r="T349" s="125">
        <v>1000</v>
      </c>
      <c r="U349" s="125"/>
      <c r="V349" s="125"/>
      <c r="W349" s="125"/>
      <c r="X349" s="125"/>
      <c r="Y349" s="125"/>
      <c r="Z349" s="125"/>
      <c r="AA349" s="125"/>
      <c r="AB349" s="125"/>
      <c r="AC349" s="124"/>
      <c r="AD349" s="117"/>
      <c r="AE349" s="1"/>
      <c r="AF349" s="120"/>
      <c r="AG349" s="1"/>
      <c r="AH349" s="120"/>
    </row>
    <row r="350" spans="1:34">
      <c r="A350" s="150"/>
      <c r="B350" s="128"/>
      <c r="C350" s="128" t="s">
        <v>1377</v>
      </c>
      <c r="D350" s="128"/>
      <c r="E350" s="117"/>
      <c r="F350" s="117"/>
      <c r="G350" s="117"/>
      <c r="H350" s="115">
        <f t="shared" si="82"/>
        <v>1000</v>
      </c>
      <c r="I350" s="115">
        <f t="shared" si="83"/>
        <v>1000</v>
      </c>
      <c r="J350" s="115">
        <f t="shared" si="84"/>
        <v>1000</v>
      </c>
      <c r="K350" s="115">
        <f t="shared" si="85"/>
        <v>1000</v>
      </c>
      <c r="L350" s="115">
        <f t="shared" si="86"/>
        <v>1000</v>
      </c>
      <c r="M350" s="115">
        <f t="shared" si="87"/>
        <v>1000</v>
      </c>
      <c r="N350" s="115">
        <f t="shared" si="88"/>
        <v>1000</v>
      </c>
      <c r="O350" s="115">
        <f t="shared" si="89"/>
        <v>1000</v>
      </c>
      <c r="P350" s="115">
        <f t="shared" si="90"/>
        <v>1000</v>
      </c>
      <c r="Q350" s="125"/>
      <c r="R350" s="125"/>
      <c r="S350" s="125"/>
      <c r="T350" s="125">
        <v>1000</v>
      </c>
      <c r="U350" s="125"/>
      <c r="V350" s="125"/>
      <c r="W350" s="125"/>
      <c r="X350" s="125"/>
      <c r="Y350" s="125"/>
      <c r="Z350" s="125"/>
      <c r="AA350" s="125"/>
      <c r="AB350" s="125"/>
      <c r="AC350" s="124"/>
      <c r="AD350" s="117"/>
      <c r="AE350" s="1"/>
      <c r="AF350" s="120"/>
      <c r="AG350" s="1"/>
      <c r="AH350" s="120"/>
    </row>
    <row r="351" spans="1:34">
      <c r="A351" s="150"/>
      <c r="B351" s="128"/>
      <c r="C351" s="128" t="s">
        <v>1378</v>
      </c>
      <c r="D351" s="128"/>
      <c r="E351" s="117"/>
      <c r="F351" s="117"/>
      <c r="G351" s="117"/>
      <c r="H351" s="115">
        <f t="shared" si="82"/>
        <v>1000</v>
      </c>
      <c r="I351" s="115">
        <f t="shared" si="83"/>
        <v>1000</v>
      </c>
      <c r="J351" s="115">
        <f t="shared" si="84"/>
        <v>1000</v>
      </c>
      <c r="K351" s="115">
        <f t="shared" si="85"/>
        <v>1000</v>
      </c>
      <c r="L351" s="115">
        <f t="shared" si="86"/>
        <v>1000</v>
      </c>
      <c r="M351" s="115">
        <f t="shared" si="87"/>
        <v>1000</v>
      </c>
      <c r="N351" s="115">
        <f t="shared" si="88"/>
        <v>1000</v>
      </c>
      <c r="O351" s="115">
        <f t="shared" si="89"/>
        <v>1000</v>
      </c>
      <c r="P351" s="115">
        <f t="shared" si="90"/>
        <v>1000</v>
      </c>
      <c r="Q351" s="125"/>
      <c r="R351" s="125"/>
      <c r="S351" s="125"/>
      <c r="T351" s="125">
        <v>1000</v>
      </c>
      <c r="U351" s="125"/>
      <c r="V351" s="125"/>
      <c r="W351" s="125"/>
      <c r="X351" s="125"/>
      <c r="Y351" s="125"/>
      <c r="Z351" s="125"/>
      <c r="AA351" s="125"/>
      <c r="AB351" s="125"/>
      <c r="AC351" s="124"/>
      <c r="AD351" s="117"/>
      <c r="AE351" s="1"/>
      <c r="AF351" s="120"/>
      <c r="AG351" s="1"/>
      <c r="AH351" s="120"/>
    </row>
    <row r="352" spans="1:34">
      <c r="A352" s="150"/>
      <c r="B352" s="128"/>
      <c r="C352" s="128" t="s">
        <v>1379</v>
      </c>
      <c r="D352" s="128"/>
      <c r="E352" s="117"/>
      <c r="F352" s="117"/>
      <c r="G352" s="117"/>
      <c r="H352" s="115">
        <f t="shared" si="82"/>
        <v>1285</v>
      </c>
      <c r="I352" s="115">
        <f t="shared" si="83"/>
        <v>1285</v>
      </c>
      <c r="J352" s="115">
        <f t="shared" si="84"/>
        <v>1285</v>
      </c>
      <c r="K352" s="115">
        <f t="shared" si="85"/>
        <v>1285</v>
      </c>
      <c r="L352" s="115">
        <f t="shared" si="86"/>
        <v>1285</v>
      </c>
      <c r="M352" s="115">
        <f t="shared" si="87"/>
        <v>1285</v>
      </c>
      <c r="N352" s="115">
        <f t="shared" si="88"/>
        <v>1285</v>
      </c>
      <c r="O352" s="115">
        <f t="shared" si="89"/>
        <v>1285</v>
      </c>
      <c r="P352" s="115">
        <f t="shared" si="90"/>
        <v>1285</v>
      </c>
      <c r="Q352" s="125"/>
      <c r="R352" s="125"/>
      <c r="S352" s="125"/>
      <c r="T352" s="125">
        <v>1285</v>
      </c>
      <c r="U352" s="125"/>
      <c r="V352" s="125"/>
      <c r="W352" s="125"/>
      <c r="X352" s="125"/>
      <c r="Y352" s="125"/>
      <c r="Z352" s="125"/>
      <c r="AA352" s="125"/>
      <c r="AB352" s="125"/>
      <c r="AC352" s="124"/>
      <c r="AD352" s="117"/>
      <c r="AE352" s="1"/>
      <c r="AF352" s="120"/>
      <c r="AG352" s="1"/>
      <c r="AH352" s="120"/>
    </row>
    <row r="353" spans="1:34">
      <c r="A353" s="150"/>
      <c r="B353" s="128"/>
      <c r="C353" s="128" t="s">
        <v>1380</v>
      </c>
      <c r="D353" s="128"/>
      <c r="E353" s="117"/>
      <c r="F353" s="117"/>
      <c r="G353" s="117"/>
      <c r="H353" s="115">
        <f t="shared" si="82"/>
        <v>1250</v>
      </c>
      <c r="I353" s="115">
        <f t="shared" si="83"/>
        <v>1250</v>
      </c>
      <c r="J353" s="115">
        <f t="shared" si="84"/>
        <v>1250</v>
      </c>
      <c r="K353" s="115">
        <f t="shared" si="85"/>
        <v>1250</v>
      </c>
      <c r="L353" s="115">
        <f t="shared" si="86"/>
        <v>1250</v>
      </c>
      <c r="M353" s="115">
        <f t="shared" si="87"/>
        <v>1250</v>
      </c>
      <c r="N353" s="115">
        <f t="shared" si="88"/>
        <v>1250</v>
      </c>
      <c r="O353" s="115">
        <f t="shared" si="89"/>
        <v>1250</v>
      </c>
      <c r="P353" s="115">
        <f t="shared" si="90"/>
        <v>1250</v>
      </c>
      <c r="Q353" s="125"/>
      <c r="R353" s="125"/>
      <c r="S353" s="125"/>
      <c r="T353" s="125">
        <v>1250</v>
      </c>
      <c r="U353" s="125"/>
      <c r="V353" s="125"/>
      <c r="W353" s="125"/>
      <c r="X353" s="125"/>
      <c r="Y353" s="125"/>
      <c r="Z353" s="125"/>
      <c r="AA353" s="125"/>
      <c r="AB353" s="125"/>
      <c r="AC353" s="124"/>
      <c r="AD353" s="117"/>
      <c r="AE353" s="1"/>
      <c r="AF353" s="120"/>
      <c r="AG353" s="1"/>
      <c r="AH353" s="120"/>
    </row>
    <row r="354" spans="1:34">
      <c r="A354" s="150"/>
      <c r="B354" s="128"/>
      <c r="C354" s="128" t="s">
        <v>1381</v>
      </c>
      <c r="D354" s="128"/>
      <c r="E354" s="117"/>
      <c r="F354" s="117"/>
      <c r="G354" s="117"/>
      <c r="H354" s="115">
        <f t="shared" si="82"/>
        <v>600</v>
      </c>
      <c r="I354" s="115">
        <f t="shared" si="83"/>
        <v>600</v>
      </c>
      <c r="J354" s="115">
        <f t="shared" si="84"/>
        <v>600</v>
      </c>
      <c r="K354" s="115">
        <f t="shared" si="85"/>
        <v>600</v>
      </c>
      <c r="L354" s="115">
        <f t="shared" si="86"/>
        <v>600</v>
      </c>
      <c r="M354" s="115">
        <f t="shared" si="87"/>
        <v>600</v>
      </c>
      <c r="N354" s="115">
        <f t="shared" si="88"/>
        <v>600</v>
      </c>
      <c r="O354" s="115">
        <f t="shared" si="89"/>
        <v>600</v>
      </c>
      <c r="P354" s="115">
        <f t="shared" si="90"/>
        <v>600</v>
      </c>
      <c r="Q354" s="125"/>
      <c r="R354" s="125"/>
      <c r="S354" s="125"/>
      <c r="T354" s="125">
        <v>600</v>
      </c>
      <c r="U354" s="125"/>
      <c r="V354" s="125"/>
      <c r="W354" s="125"/>
      <c r="X354" s="125"/>
      <c r="Y354" s="125"/>
      <c r="Z354" s="125"/>
      <c r="AA354" s="125"/>
      <c r="AB354" s="125"/>
      <c r="AC354" s="124"/>
      <c r="AD354" s="117"/>
      <c r="AE354" s="1"/>
      <c r="AF354" s="120"/>
      <c r="AG354" s="1"/>
      <c r="AH354" s="120"/>
    </row>
    <row r="355" spans="1:34">
      <c r="A355" s="150"/>
      <c r="B355" s="128"/>
      <c r="C355" s="128" t="s">
        <v>1382</v>
      </c>
      <c r="D355" s="128"/>
      <c r="E355" s="117"/>
      <c r="F355" s="117"/>
      <c r="G355" s="117"/>
      <c r="H355" s="115">
        <f t="shared" si="82"/>
        <v>1028</v>
      </c>
      <c r="I355" s="115">
        <f t="shared" si="83"/>
        <v>1028</v>
      </c>
      <c r="J355" s="115">
        <f t="shared" si="84"/>
        <v>1028</v>
      </c>
      <c r="K355" s="115">
        <f t="shared" si="85"/>
        <v>1028</v>
      </c>
      <c r="L355" s="115">
        <f t="shared" si="86"/>
        <v>1028</v>
      </c>
      <c r="M355" s="115">
        <f t="shared" si="87"/>
        <v>1028</v>
      </c>
      <c r="N355" s="115">
        <f t="shared" si="88"/>
        <v>1028</v>
      </c>
      <c r="O355" s="115">
        <f t="shared" si="89"/>
        <v>1028</v>
      </c>
      <c r="P355" s="115">
        <f t="shared" si="90"/>
        <v>1028</v>
      </c>
      <c r="Q355" s="125"/>
      <c r="R355" s="125"/>
      <c r="S355" s="125"/>
      <c r="T355" s="125">
        <v>1028</v>
      </c>
      <c r="U355" s="125"/>
      <c r="V355" s="125"/>
      <c r="W355" s="125"/>
      <c r="X355" s="125"/>
      <c r="Y355" s="125"/>
      <c r="Z355" s="125"/>
      <c r="AA355" s="125"/>
      <c r="AB355" s="125"/>
      <c r="AC355" s="124"/>
      <c r="AD355" s="117"/>
      <c r="AE355" s="1"/>
      <c r="AF355" s="120"/>
      <c r="AG355" s="1"/>
      <c r="AH355" s="120"/>
    </row>
    <row r="356" spans="1:34">
      <c r="A356" s="150"/>
      <c r="B356" s="128"/>
      <c r="C356" s="128" t="s">
        <v>1383</v>
      </c>
      <c r="D356" s="128"/>
      <c r="E356" s="117"/>
      <c r="F356" s="117"/>
      <c r="G356" s="117"/>
      <c r="H356" s="115">
        <f t="shared" si="82"/>
        <v>1156</v>
      </c>
      <c r="I356" s="115">
        <f t="shared" si="83"/>
        <v>1156</v>
      </c>
      <c r="J356" s="115">
        <f t="shared" si="84"/>
        <v>1156</v>
      </c>
      <c r="K356" s="115">
        <f t="shared" si="85"/>
        <v>1156</v>
      </c>
      <c r="L356" s="115">
        <f t="shared" si="86"/>
        <v>1156</v>
      </c>
      <c r="M356" s="115">
        <f t="shared" si="87"/>
        <v>1156</v>
      </c>
      <c r="N356" s="115">
        <f t="shared" si="88"/>
        <v>1156</v>
      </c>
      <c r="O356" s="115">
        <f t="shared" si="89"/>
        <v>1156</v>
      </c>
      <c r="P356" s="115">
        <f t="shared" si="90"/>
        <v>1156</v>
      </c>
      <c r="Q356" s="125"/>
      <c r="R356" s="125"/>
      <c r="S356" s="125"/>
      <c r="T356" s="125">
        <v>1156</v>
      </c>
      <c r="U356" s="125"/>
      <c r="V356" s="125"/>
      <c r="W356" s="125"/>
      <c r="X356" s="125"/>
      <c r="Y356" s="125"/>
      <c r="Z356" s="125"/>
      <c r="AA356" s="125"/>
      <c r="AB356" s="125"/>
      <c r="AC356" s="124"/>
      <c r="AD356" s="117"/>
      <c r="AE356" s="1"/>
      <c r="AF356" s="120"/>
      <c r="AG356" s="1"/>
      <c r="AH356" s="120"/>
    </row>
    <row r="357" spans="1:34">
      <c r="A357" s="150"/>
      <c r="B357" s="128"/>
      <c r="C357" s="128" t="s">
        <v>1384</v>
      </c>
      <c r="D357" s="128"/>
      <c r="E357" s="117"/>
      <c r="F357" s="117"/>
      <c r="G357" s="117"/>
      <c r="H357" s="115">
        <f t="shared" si="82"/>
        <v>1000</v>
      </c>
      <c r="I357" s="115">
        <f t="shared" si="83"/>
        <v>1000</v>
      </c>
      <c r="J357" s="115">
        <f t="shared" si="84"/>
        <v>1000</v>
      </c>
      <c r="K357" s="115">
        <f t="shared" si="85"/>
        <v>1000</v>
      </c>
      <c r="L357" s="115">
        <f t="shared" si="86"/>
        <v>1000</v>
      </c>
      <c r="M357" s="115">
        <f t="shared" si="87"/>
        <v>1000</v>
      </c>
      <c r="N357" s="115">
        <f t="shared" si="88"/>
        <v>1000</v>
      </c>
      <c r="O357" s="115">
        <f t="shared" si="89"/>
        <v>1000</v>
      </c>
      <c r="P357" s="115">
        <f t="shared" si="90"/>
        <v>1000</v>
      </c>
      <c r="Q357" s="125"/>
      <c r="R357" s="125"/>
      <c r="S357" s="125"/>
      <c r="T357" s="125">
        <v>1000</v>
      </c>
      <c r="U357" s="125"/>
      <c r="V357" s="125"/>
      <c r="W357" s="125"/>
      <c r="X357" s="125"/>
      <c r="Y357" s="125"/>
      <c r="Z357" s="125"/>
      <c r="AA357" s="125"/>
      <c r="AB357" s="125"/>
      <c r="AC357" s="124"/>
      <c r="AD357" s="117"/>
      <c r="AE357" s="1"/>
      <c r="AF357" s="120"/>
      <c r="AG357" s="1"/>
      <c r="AH357" s="120"/>
    </row>
    <row r="358" spans="1:34">
      <c r="A358" s="150"/>
      <c r="B358" s="128"/>
      <c r="C358" s="128" t="s">
        <v>1385</v>
      </c>
      <c r="D358" s="128"/>
      <c r="E358" s="117"/>
      <c r="F358" s="117"/>
      <c r="G358" s="117"/>
      <c r="H358" s="115">
        <f t="shared" si="82"/>
        <v>313.5</v>
      </c>
      <c r="I358" s="115">
        <f t="shared" si="83"/>
        <v>313.5</v>
      </c>
      <c r="J358" s="115">
        <f t="shared" si="84"/>
        <v>313.5</v>
      </c>
      <c r="K358" s="115">
        <f t="shared" si="85"/>
        <v>313.5</v>
      </c>
      <c r="L358" s="115">
        <f t="shared" si="86"/>
        <v>313.5</v>
      </c>
      <c r="M358" s="115">
        <f t="shared" si="87"/>
        <v>313.5</v>
      </c>
      <c r="N358" s="115">
        <f t="shared" si="88"/>
        <v>313.5</v>
      </c>
      <c r="O358" s="115">
        <f t="shared" si="89"/>
        <v>313.5</v>
      </c>
      <c r="P358" s="115">
        <f t="shared" si="90"/>
        <v>313.5</v>
      </c>
      <c r="Q358" s="125"/>
      <c r="R358" s="125"/>
      <c r="S358" s="125"/>
      <c r="T358" s="125">
        <v>313.5</v>
      </c>
      <c r="U358" s="125"/>
      <c r="V358" s="125"/>
      <c r="W358" s="125"/>
      <c r="X358" s="125"/>
      <c r="Y358" s="125"/>
      <c r="Z358" s="125"/>
      <c r="AA358" s="125"/>
      <c r="AB358" s="125"/>
      <c r="AC358" s="124"/>
      <c r="AD358" s="117"/>
      <c r="AE358" s="1"/>
      <c r="AF358" s="117"/>
      <c r="AG358" s="1"/>
      <c r="AH358" s="120"/>
    </row>
    <row r="359" spans="1:34">
      <c r="A359" s="150"/>
      <c r="B359" s="128"/>
      <c r="C359" s="128" t="s">
        <v>1386</v>
      </c>
      <c r="D359" s="128"/>
      <c r="E359" s="117"/>
      <c r="F359" s="117"/>
      <c r="G359" s="117"/>
      <c r="H359" s="115">
        <f t="shared" si="82"/>
        <v>600</v>
      </c>
      <c r="I359" s="115">
        <f t="shared" si="83"/>
        <v>600</v>
      </c>
      <c r="J359" s="115">
        <f t="shared" si="84"/>
        <v>600</v>
      </c>
      <c r="K359" s="115">
        <f t="shared" si="85"/>
        <v>600</v>
      </c>
      <c r="L359" s="115">
        <f t="shared" si="86"/>
        <v>600</v>
      </c>
      <c r="M359" s="115">
        <f t="shared" si="87"/>
        <v>600</v>
      </c>
      <c r="N359" s="115">
        <f t="shared" si="88"/>
        <v>600</v>
      </c>
      <c r="O359" s="115">
        <f t="shared" si="89"/>
        <v>600</v>
      </c>
      <c r="P359" s="115">
        <f t="shared" si="90"/>
        <v>600</v>
      </c>
      <c r="Q359" s="125"/>
      <c r="R359" s="125"/>
      <c r="S359" s="125"/>
      <c r="T359" s="125">
        <v>600</v>
      </c>
      <c r="U359" s="125"/>
      <c r="V359" s="125"/>
      <c r="W359" s="125"/>
      <c r="X359" s="125"/>
      <c r="Y359" s="125"/>
      <c r="Z359" s="125"/>
      <c r="AA359" s="125"/>
      <c r="AB359" s="125"/>
      <c r="AC359" s="124"/>
      <c r="AD359" s="117"/>
      <c r="AE359" s="1"/>
      <c r="AF359" s="120"/>
      <c r="AG359" s="1"/>
      <c r="AH359" s="120"/>
    </row>
    <row r="360" spans="1:34">
      <c r="A360" s="150"/>
      <c r="B360" s="128"/>
      <c r="C360" s="128" t="s">
        <v>1387</v>
      </c>
      <c r="D360" s="128"/>
      <c r="E360" s="117"/>
      <c r="F360" s="117"/>
      <c r="G360" s="117"/>
      <c r="H360" s="115">
        <f t="shared" si="82"/>
        <v>1700</v>
      </c>
      <c r="I360" s="115">
        <f t="shared" si="83"/>
        <v>1700</v>
      </c>
      <c r="J360" s="115">
        <f t="shared" si="84"/>
        <v>1700</v>
      </c>
      <c r="K360" s="115">
        <f t="shared" si="85"/>
        <v>1700</v>
      </c>
      <c r="L360" s="115">
        <f t="shared" si="86"/>
        <v>1700</v>
      </c>
      <c r="M360" s="115">
        <f t="shared" si="87"/>
        <v>1700</v>
      </c>
      <c r="N360" s="115">
        <f t="shared" si="88"/>
        <v>1700</v>
      </c>
      <c r="O360" s="115">
        <f t="shared" si="89"/>
        <v>1700</v>
      </c>
      <c r="P360" s="115">
        <f t="shared" si="90"/>
        <v>1700</v>
      </c>
      <c r="Q360" s="125"/>
      <c r="R360" s="125"/>
      <c r="S360" s="125"/>
      <c r="T360" s="125">
        <v>1700</v>
      </c>
      <c r="U360" s="125"/>
      <c r="V360" s="125"/>
      <c r="W360" s="125"/>
      <c r="X360" s="125"/>
      <c r="Y360" s="125"/>
      <c r="Z360" s="125"/>
      <c r="AA360" s="125"/>
      <c r="AB360" s="125"/>
      <c r="AC360" s="124"/>
      <c r="AD360" s="117"/>
      <c r="AE360" s="1"/>
      <c r="AF360" s="120"/>
      <c r="AG360" s="1"/>
      <c r="AH360" s="120"/>
    </row>
    <row r="361" spans="1:34">
      <c r="A361" s="150"/>
      <c r="B361" s="128"/>
      <c r="C361" s="128" t="s">
        <v>1388</v>
      </c>
      <c r="D361" s="128"/>
      <c r="E361" s="117"/>
      <c r="F361" s="117"/>
      <c r="G361" s="117"/>
      <c r="H361" s="115">
        <f t="shared" si="82"/>
        <v>628</v>
      </c>
      <c r="I361" s="115">
        <f t="shared" si="83"/>
        <v>628</v>
      </c>
      <c r="J361" s="115">
        <f t="shared" si="84"/>
        <v>628</v>
      </c>
      <c r="K361" s="115">
        <f t="shared" si="85"/>
        <v>628</v>
      </c>
      <c r="L361" s="115">
        <f t="shared" si="86"/>
        <v>628</v>
      </c>
      <c r="M361" s="115">
        <f t="shared" si="87"/>
        <v>628</v>
      </c>
      <c r="N361" s="115">
        <f t="shared" si="88"/>
        <v>628</v>
      </c>
      <c r="O361" s="115">
        <f t="shared" si="89"/>
        <v>628</v>
      </c>
      <c r="P361" s="115">
        <f t="shared" si="90"/>
        <v>628</v>
      </c>
      <c r="Q361" s="125"/>
      <c r="R361" s="125"/>
      <c r="S361" s="125"/>
      <c r="T361" s="125">
        <v>628</v>
      </c>
      <c r="U361" s="125"/>
      <c r="V361" s="125"/>
      <c r="W361" s="125"/>
      <c r="X361" s="125"/>
      <c r="Y361" s="125"/>
      <c r="Z361" s="125"/>
      <c r="AA361" s="125"/>
      <c r="AB361" s="125"/>
      <c r="AC361" s="124"/>
      <c r="AD361" s="117"/>
      <c r="AE361" s="1"/>
      <c r="AF361" s="120"/>
      <c r="AG361" s="1"/>
      <c r="AH361" s="120"/>
    </row>
    <row r="362" spans="1:34">
      <c r="A362" s="150"/>
      <c r="B362" s="128"/>
      <c r="C362" s="128" t="s">
        <v>1389</v>
      </c>
      <c r="D362" s="128"/>
      <c r="E362" s="117"/>
      <c r="F362" s="117"/>
      <c r="G362" s="117"/>
      <c r="H362" s="115">
        <f t="shared" si="82"/>
        <v>1000</v>
      </c>
      <c r="I362" s="115">
        <f t="shared" si="83"/>
        <v>1000</v>
      </c>
      <c r="J362" s="115">
        <f t="shared" si="84"/>
        <v>1000</v>
      </c>
      <c r="K362" s="115">
        <f t="shared" si="85"/>
        <v>1000</v>
      </c>
      <c r="L362" s="115">
        <f t="shared" si="86"/>
        <v>1000</v>
      </c>
      <c r="M362" s="115">
        <f t="shared" si="87"/>
        <v>1000</v>
      </c>
      <c r="N362" s="115">
        <f t="shared" si="88"/>
        <v>1000</v>
      </c>
      <c r="O362" s="115">
        <f t="shared" si="89"/>
        <v>1000</v>
      </c>
      <c r="P362" s="115">
        <f t="shared" si="90"/>
        <v>1000</v>
      </c>
      <c r="Q362" s="125"/>
      <c r="R362" s="125"/>
      <c r="S362" s="125"/>
      <c r="T362" s="125">
        <v>1000</v>
      </c>
      <c r="U362" s="125"/>
      <c r="V362" s="125"/>
      <c r="W362" s="125"/>
      <c r="X362" s="125"/>
      <c r="Y362" s="125"/>
      <c r="Z362" s="125"/>
      <c r="AA362" s="125"/>
      <c r="AB362" s="125"/>
      <c r="AC362" s="124"/>
      <c r="AD362" s="117"/>
      <c r="AE362" s="1"/>
      <c r="AF362" s="120"/>
      <c r="AG362" s="1"/>
      <c r="AH362" s="120"/>
    </row>
    <row r="363" spans="1:34">
      <c r="A363" s="150"/>
      <c r="B363" s="128"/>
      <c r="C363" s="128" t="s">
        <v>1390</v>
      </c>
      <c r="D363" s="128"/>
      <c r="E363" s="117"/>
      <c r="F363" s="117"/>
      <c r="G363" s="117"/>
      <c r="H363" s="115">
        <f t="shared" si="82"/>
        <v>1000</v>
      </c>
      <c r="I363" s="115">
        <f t="shared" si="83"/>
        <v>1000</v>
      </c>
      <c r="J363" s="115">
        <f t="shared" si="84"/>
        <v>1000</v>
      </c>
      <c r="K363" s="115">
        <f t="shared" si="85"/>
        <v>1000</v>
      </c>
      <c r="L363" s="115">
        <f t="shared" si="86"/>
        <v>1000</v>
      </c>
      <c r="M363" s="115">
        <f t="shared" si="87"/>
        <v>1000</v>
      </c>
      <c r="N363" s="115">
        <f t="shared" si="88"/>
        <v>1000</v>
      </c>
      <c r="O363" s="115">
        <f t="shared" si="89"/>
        <v>1000</v>
      </c>
      <c r="P363" s="115">
        <f t="shared" si="90"/>
        <v>1000</v>
      </c>
      <c r="Q363" s="125"/>
      <c r="R363" s="125"/>
      <c r="S363" s="125"/>
      <c r="T363" s="125">
        <v>1000</v>
      </c>
      <c r="U363" s="125"/>
      <c r="V363" s="125"/>
      <c r="W363" s="125"/>
      <c r="X363" s="125"/>
      <c r="Y363" s="125"/>
      <c r="Z363" s="125"/>
      <c r="AA363" s="125"/>
      <c r="AB363" s="125"/>
      <c r="AC363" s="124"/>
      <c r="AD363" s="117"/>
      <c r="AE363" s="1"/>
      <c r="AF363" s="120"/>
      <c r="AG363" s="1"/>
      <c r="AH363" s="120"/>
    </row>
    <row r="364" spans="1:34">
      <c r="A364" s="150"/>
      <c r="B364" s="128"/>
      <c r="C364" s="128" t="s">
        <v>1391</v>
      </c>
      <c r="D364" s="128"/>
      <c r="E364" s="117"/>
      <c r="F364" s="117"/>
      <c r="G364" s="117"/>
      <c r="H364" s="115">
        <f t="shared" si="82"/>
        <v>1000</v>
      </c>
      <c r="I364" s="115">
        <f t="shared" si="83"/>
        <v>1000</v>
      </c>
      <c r="J364" s="115">
        <f t="shared" si="84"/>
        <v>1000</v>
      </c>
      <c r="K364" s="115">
        <f t="shared" si="85"/>
        <v>1000</v>
      </c>
      <c r="L364" s="115">
        <f t="shared" si="86"/>
        <v>1000</v>
      </c>
      <c r="M364" s="115">
        <f t="shared" si="87"/>
        <v>1000</v>
      </c>
      <c r="N364" s="115">
        <f t="shared" si="88"/>
        <v>1000</v>
      </c>
      <c r="O364" s="115">
        <f t="shared" si="89"/>
        <v>1000</v>
      </c>
      <c r="P364" s="115">
        <f t="shared" si="90"/>
        <v>1000</v>
      </c>
      <c r="Q364" s="125"/>
      <c r="R364" s="125"/>
      <c r="S364" s="125"/>
      <c r="T364" s="125">
        <v>1000</v>
      </c>
      <c r="U364" s="125"/>
      <c r="V364" s="125"/>
      <c r="W364" s="125"/>
      <c r="X364" s="125"/>
      <c r="Y364" s="125"/>
      <c r="Z364" s="125"/>
      <c r="AA364" s="125"/>
      <c r="AB364" s="125"/>
      <c r="AC364" s="124"/>
      <c r="AD364" s="117"/>
      <c r="AE364" s="1"/>
      <c r="AF364" s="120"/>
      <c r="AG364" s="1"/>
      <c r="AH364" s="120"/>
    </row>
    <row r="365" spans="1:34">
      <c r="A365" s="150"/>
      <c r="B365" s="128"/>
      <c r="C365" s="128" t="s">
        <v>1392</v>
      </c>
      <c r="D365" s="128"/>
      <c r="E365" s="117"/>
      <c r="F365" s="117"/>
      <c r="G365" s="117"/>
      <c r="H365" s="115">
        <f t="shared" si="82"/>
        <v>500</v>
      </c>
      <c r="I365" s="115">
        <f t="shared" si="83"/>
        <v>500</v>
      </c>
      <c r="J365" s="115">
        <f t="shared" si="84"/>
        <v>500</v>
      </c>
      <c r="K365" s="115">
        <f t="shared" si="85"/>
        <v>500</v>
      </c>
      <c r="L365" s="115">
        <f t="shared" si="86"/>
        <v>500</v>
      </c>
      <c r="M365" s="115">
        <f t="shared" si="87"/>
        <v>500</v>
      </c>
      <c r="N365" s="115">
        <f t="shared" si="88"/>
        <v>500</v>
      </c>
      <c r="O365" s="115">
        <f t="shared" si="89"/>
        <v>500</v>
      </c>
      <c r="P365" s="115">
        <f t="shared" si="90"/>
        <v>500</v>
      </c>
      <c r="Q365" s="125"/>
      <c r="R365" s="125"/>
      <c r="S365" s="125"/>
      <c r="T365" s="125">
        <v>500</v>
      </c>
      <c r="U365" s="125"/>
      <c r="V365" s="125"/>
      <c r="W365" s="125"/>
      <c r="X365" s="125"/>
      <c r="Y365" s="125"/>
      <c r="Z365" s="125"/>
      <c r="AA365" s="125"/>
      <c r="AB365" s="125"/>
      <c r="AC365" s="124"/>
      <c r="AD365" s="117"/>
      <c r="AE365" s="1"/>
      <c r="AF365" s="120"/>
      <c r="AG365" s="1"/>
      <c r="AH365" s="120"/>
    </row>
    <row r="366" spans="1:34">
      <c r="A366" s="150"/>
      <c r="B366" s="128"/>
      <c r="C366" s="128" t="s">
        <v>1393</v>
      </c>
      <c r="D366" s="128"/>
      <c r="E366" s="117"/>
      <c r="F366" s="117"/>
      <c r="G366" s="117"/>
      <c r="H366" s="115">
        <f t="shared" si="82"/>
        <v>1400</v>
      </c>
      <c r="I366" s="115">
        <f t="shared" si="83"/>
        <v>1400</v>
      </c>
      <c r="J366" s="115">
        <f t="shared" si="84"/>
        <v>1400</v>
      </c>
      <c r="K366" s="115">
        <f t="shared" si="85"/>
        <v>1400</v>
      </c>
      <c r="L366" s="115">
        <f t="shared" si="86"/>
        <v>1400</v>
      </c>
      <c r="M366" s="115">
        <f t="shared" si="87"/>
        <v>1400</v>
      </c>
      <c r="N366" s="115">
        <f t="shared" si="88"/>
        <v>1400</v>
      </c>
      <c r="O366" s="115">
        <f t="shared" si="89"/>
        <v>1400</v>
      </c>
      <c r="P366" s="115">
        <f t="shared" si="90"/>
        <v>1400</v>
      </c>
      <c r="Q366" s="125"/>
      <c r="R366" s="125"/>
      <c r="S366" s="125"/>
      <c r="T366" s="125">
        <v>1400</v>
      </c>
      <c r="U366" s="125"/>
      <c r="V366" s="125"/>
      <c r="W366" s="125"/>
      <c r="X366" s="125"/>
      <c r="Y366" s="125"/>
      <c r="Z366" s="125"/>
      <c r="AA366" s="125"/>
      <c r="AB366" s="125"/>
      <c r="AC366" s="124"/>
      <c r="AD366" s="117"/>
      <c r="AE366" s="1"/>
      <c r="AF366" s="120"/>
      <c r="AG366" s="1"/>
      <c r="AH366" s="120"/>
    </row>
    <row r="367" spans="1:34">
      <c r="A367" s="150"/>
      <c r="B367" s="128"/>
      <c r="C367" s="128" t="s">
        <v>1394</v>
      </c>
      <c r="D367" s="128"/>
      <c r="E367" s="117"/>
      <c r="F367" s="117"/>
      <c r="G367" s="117"/>
      <c r="H367" s="115">
        <f t="shared" ref="H367:H430" si="91">Q367+R367+S367+T367</f>
        <v>1000</v>
      </c>
      <c r="I367" s="115">
        <f t="shared" ref="I367:I430" si="92">Q367+R367+S367+T367+U367</f>
        <v>1000</v>
      </c>
      <c r="J367" s="115">
        <f t="shared" ref="J367:J430" si="93">Q367+R367+S367+T367+U367+V367</f>
        <v>1000</v>
      </c>
      <c r="K367" s="115">
        <f t="shared" ref="K367:K430" si="94">Q367+R367+S367+T367+U367+V367+W367</f>
        <v>1000</v>
      </c>
      <c r="L367" s="115">
        <f t="shared" ref="L367:L430" si="95">Q367+R367+S367+T367+U367+V367+W367+X367</f>
        <v>1000</v>
      </c>
      <c r="M367" s="115">
        <f t="shared" ref="M367:M430" si="96">Q367+R367+S367+T367+U367+V367+W367+X367+Y367</f>
        <v>1000</v>
      </c>
      <c r="N367" s="115">
        <f t="shared" ref="N367:N430" si="97">Q367+R367+S367+T367+U367+V367+W367+X367+Y367+Z367</f>
        <v>1000</v>
      </c>
      <c r="O367" s="115">
        <f t="shared" ref="O367:O430" si="98">Q367+R367+S367+T367+U367+V367+W367+X367+Y367+Z367+AA367</f>
        <v>1000</v>
      </c>
      <c r="P367" s="115">
        <f t="shared" ref="P367:P430" si="99">Q367+R367+S367+T367+U367+V367+W367+X367+Y367+Z367+AA367+AB367</f>
        <v>1000</v>
      </c>
      <c r="Q367" s="125"/>
      <c r="R367" s="125"/>
      <c r="S367" s="125"/>
      <c r="T367" s="125">
        <v>1000</v>
      </c>
      <c r="U367" s="125"/>
      <c r="V367" s="125"/>
      <c r="W367" s="125"/>
      <c r="X367" s="125"/>
      <c r="Y367" s="125"/>
      <c r="Z367" s="125"/>
      <c r="AA367" s="125"/>
      <c r="AB367" s="125"/>
      <c r="AC367" s="124"/>
      <c r="AD367" s="117"/>
      <c r="AE367" s="1"/>
      <c r="AF367" s="120"/>
      <c r="AG367" s="1"/>
      <c r="AH367" s="120"/>
    </row>
    <row r="368" spans="1:34">
      <c r="A368" s="150"/>
      <c r="B368" s="128"/>
      <c r="C368" s="128" t="s">
        <v>1395</v>
      </c>
      <c r="D368" s="128"/>
      <c r="E368" s="117"/>
      <c r="F368" s="117"/>
      <c r="G368" s="117"/>
      <c r="H368" s="115">
        <f t="shared" si="91"/>
        <v>885</v>
      </c>
      <c r="I368" s="115">
        <f t="shared" si="92"/>
        <v>885</v>
      </c>
      <c r="J368" s="115">
        <f t="shared" si="93"/>
        <v>885</v>
      </c>
      <c r="K368" s="115">
        <f t="shared" si="94"/>
        <v>885</v>
      </c>
      <c r="L368" s="115">
        <f t="shared" si="95"/>
        <v>885</v>
      </c>
      <c r="M368" s="115">
        <f t="shared" si="96"/>
        <v>885</v>
      </c>
      <c r="N368" s="115">
        <f t="shared" si="97"/>
        <v>885</v>
      </c>
      <c r="O368" s="115">
        <f t="shared" si="98"/>
        <v>885</v>
      </c>
      <c r="P368" s="115">
        <f t="shared" si="99"/>
        <v>885</v>
      </c>
      <c r="Q368" s="125"/>
      <c r="R368" s="125"/>
      <c r="S368" s="125"/>
      <c r="T368" s="125">
        <v>885</v>
      </c>
      <c r="U368" s="125"/>
      <c r="V368" s="125"/>
      <c r="W368" s="125"/>
      <c r="X368" s="125"/>
      <c r="Y368" s="125"/>
      <c r="Z368" s="125"/>
      <c r="AA368" s="125"/>
      <c r="AB368" s="125"/>
      <c r="AC368" s="124"/>
      <c r="AD368" s="117"/>
      <c r="AE368" s="1"/>
      <c r="AF368" s="120"/>
      <c r="AG368" s="1"/>
      <c r="AH368" s="120"/>
    </row>
    <row r="369" spans="1:34">
      <c r="A369" s="150"/>
      <c r="B369" s="128"/>
      <c r="C369" s="128" t="s">
        <v>1396</v>
      </c>
      <c r="D369" s="128"/>
      <c r="E369" s="117"/>
      <c r="F369" s="117"/>
      <c r="G369" s="117"/>
      <c r="H369" s="115">
        <f t="shared" si="91"/>
        <v>2000</v>
      </c>
      <c r="I369" s="115">
        <f t="shared" si="92"/>
        <v>2000</v>
      </c>
      <c r="J369" s="115">
        <f t="shared" si="93"/>
        <v>2000</v>
      </c>
      <c r="K369" s="115">
        <f t="shared" si="94"/>
        <v>2000</v>
      </c>
      <c r="L369" s="115">
        <f t="shared" si="95"/>
        <v>2000</v>
      </c>
      <c r="M369" s="115">
        <f t="shared" si="96"/>
        <v>2000</v>
      </c>
      <c r="N369" s="115">
        <f t="shared" si="97"/>
        <v>2000</v>
      </c>
      <c r="O369" s="115">
        <f t="shared" si="98"/>
        <v>2000</v>
      </c>
      <c r="P369" s="115">
        <f t="shared" si="99"/>
        <v>2000</v>
      </c>
      <c r="Q369" s="125"/>
      <c r="R369" s="125"/>
      <c r="S369" s="125"/>
      <c r="T369" s="125">
        <v>2000</v>
      </c>
      <c r="U369" s="125"/>
      <c r="V369" s="125"/>
      <c r="W369" s="125"/>
      <c r="X369" s="125"/>
      <c r="Y369" s="125"/>
      <c r="Z369" s="125"/>
      <c r="AA369" s="125"/>
      <c r="AB369" s="125"/>
      <c r="AC369" s="124"/>
      <c r="AD369" s="117"/>
      <c r="AE369" s="1"/>
      <c r="AF369" s="120"/>
      <c r="AG369" s="1"/>
      <c r="AH369" s="120"/>
    </row>
    <row r="370" spans="1:34">
      <c r="A370" s="150"/>
      <c r="B370" s="128"/>
      <c r="C370" s="123" t="s">
        <v>1397</v>
      </c>
      <c r="D370" s="123"/>
      <c r="E370" s="130"/>
      <c r="F370" s="130"/>
      <c r="G370" s="130"/>
      <c r="H370" s="115">
        <f t="shared" si="91"/>
        <v>30</v>
      </c>
      <c r="I370" s="115">
        <f t="shared" si="92"/>
        <v>30</v>
      </c>
      <c r="J370" s="115">
        <f t="shared" si="93"/>
        <v>30</v>
      </c>
      <c r="K370" s="115">
        <f t="shared" si="94"/>
        <v>30</v>
      </c>
      <c r="L370" s="115">
        <f t="shared" si="95"/>
        <v>30</v>
      </c>
      <c r="M370" s="115">
        <f t="shared" si="96"/>
        <v>30</v>
      </c>
      <c r="N370" s="115">
        <f t="shared" si="97"/>
        <v>30</v>
      </c>
      <c r="O370" s="115">
        <f t="shared" si="98"/>
        <v>30</v>
      </c>
      <c r="P370" s="115">
        <f t="shared" si="99"/>
        <v>30</v>
      </c>
      <c r="Q370" s="131"/>
      <c r="R370" s="131"/>
      <c r="S370" s="131"/>
      <c r="T370" s="131">
        <v>30</v>
      </c>
      <c r="U370" s="131"/>
      <c r="V370" s="131"/>
      <c r="W370" s="131"/>
      <c r="X370" s="131"/>
      <c r="Y370" s="131"/>
      <c r="Z370" s="131"/>
      <c r="AA370" s="131"/>
      <c r="AB370" s="131"/>
      <c r="AC370" s="132"/>
      <c r="AD370" s="117"/>
      <c r="AE370" s="1"/>
      <c r="AF370" s="120"/>
      <c r="AG370" s="1"/>
      <c r="AH370" s="120"/>
    </row>
    <row r="371" spans="1:34">
      <c r="A371" s="150"/>
      <c r="B371" s="128"/>
      <c r="C371" s="128" t="s">
        <v>1398</v>
      </c>
      <c r="D371" s="128"/>
      <c r="E371" s="117"/>
      <c r="F371" s="117"/>
      <c r="G371" s="117"/>
      <c r="H371" s="115">
        <f t="shared" si="91"/>
        <v>300</v>
      </c>
      <c r="I371" s="115">
        <f t="shared" si="92"/>
        <v>300</v>
      </c>
      <c r="J371" s="115">
        <f t="shared" si="93"/>
        <v>300</v>
      </c>
      <c r="K371" s="115">
        <f t="shared" si="94"/>
        <v>300</v>
      </c>
      <c r="L371" s="115">
        <f t="shared" si="95"/>
        <v>300</v>
      </c>
      <c r="M371" s="115">
        <f t="shared" si="96"/>
        <v>300</v>
      </c>
      <c r="N371" s="115">
        <f t="shared" si="97"/>
        <v>300</v>
      </c>
      <c r="O371" s="115">
        <f t="shared" si="98"/>
        <v>300</v>
      </c>
      <c r="P371" s="115">
        <f t="shared" si="99"/>
        <v>300</v>
      </c>
      <c r="Q371" s="125"/>
      <c r="R371" s="125"/>
      <c r="S371" s="125"/>
      <c r="T371" s="125">
        <v>300</v>
      </c>
      <c r="U371" s="125"/>
      <c r="V371" s="125"/>
      <c r="W371" s="125"/>
      <c r="X371" s="125"/>
      <c r="Y371" s="125"/>
      <c r="Z371" s="125"/>
      <c r="AA371" s="125"/>
      <c r="AB371" s="125"/>
      <c r="AC371" s="124"/>
      <c r="AD371" s="117"/>
      <c r="AE371" s="1"/>
      <c r="AF371" s="120"/>
      <c r="AG371" s="1"/>
      <c r="AH371" s="120"/>
    </row>
    <row r="372" spans="1:34">
      <c r="A372" s="150"/>
      <c r="B372" s="128"/>
      <c r="C372" s="128" t="s">
        <v>1399</v>
      </c>
      <c r="D372" s="128"/>
      <c r="E372" s="117"/>
      <c r="F372" s="117"/>
      <c r="G372" s="117"/>
      <c r="H372" s="115">
        <f t="shared" si="91"/>
        <v>1000</v>
      </c>
      <c r="I372" s="115">
        <f t="shared" si="92"/>
        <v>1000</v>
      </c>
      <c r="J372" s="115">
        <f t="shared" si="93"/>
        <v>1000</v>
      </c>
      <c r="K372" s="115">
        <f t="shared" si="94"/>
        <v>1000</v>
      </c>
      <c r="L372" s="115">
        <f t="shared" si="95"/>
        <v>1000</v>
      </c>
      <c r="M372" s="115">
        <f t="shared" si="96"/>
        <v>1000</v>
      </c>
      <c r="N372" s="115">
        <f t="shared" si="97"/>
        <v>1000</v>
      </c>
      <c r="O372" s="115">
        <f t="shared" si="98"/>
        <v>1000</v>
      </c>
      <c r="P372" s="115">
        <f t="shared" si="99"/>
        <v>1000</v>
      </c>
      <c r="Q372" s="125"/>
      <c r="R372" s="125"/>
      <c r="S372" s="125"/>
      <c r="T372" s="125">
        <v>1000</v>
      </c>
      <c r="U372" s="125"/>
      <c r="V372" s="125"/>
      <c r="W372" s="125"/>
      <c r="X372" s="125"/>
      <c r="Y372" s="125"/>
      <c r="Z372" s="125"/>
      <c r="AA372" s="125"/>
      <c r="AB372" s="125"/>
      <c r="AC372" s="124"/>
      <c r="AD372" s="117"/>
      <c r="AE372" s="1"/>
      <c r="AF372" s="120"/>
      <c r="AG372" s="1"/>
      <c r="AH372" s="120"/>
    </row>
    <row r="373" spans="1:34">
      <c r="A373" s="150"/>
      <c r="B373" s="128"/>
      <c r="C373" s="128" t="s">
        <v>1400</v>
      </c>
      <c r="D373" s="128"/>
      <c r="E373" s="117"/>
      <c r="F373" s="117"/>
      <c r="G373" s="117"/>
      <c r="H373" s="115">
        <f t="shared" si="91"/>
        <v>2072</v>
      </c>
      <c r="I373" s="115">
        <f t="shared" si="92"/>
        <v>2072</v>
      </c>
      <c r="J373" s="115">
        <f t="shared" si="93"/>
        <v>2072</v>
      </c>
      <c r="K373" s="115">
        <f t="shared" si="94"/>
        <v>2072</v>
      </c>
      <c r="L373" s="115">
        <f t="shared" si="95"/>
        <v>2072</v>
      </c>
      <c r="M373" s="115">
        <f t="shared" si="96"/>
        <v>2072</v>
      </c>
      <c r="N373" s="115">
        <f t="shared" si="97"/>
        <v>2072</v>
      </c>
      <c r="O373" s="115">
        <f t="shared" si="98"/>
        <v>2072</v>
      </c>
      <c r="P373" s="115">
        <f t="shared" si="99"/>
        <v>2072</v>
      </c>
      <c r="Q373" s="125"/>
      <c r="R373" s="125"/>
      <c r="S373" s="125"/>
      <c r="T373" s="125">
        <v>2072</v>
      </c>
      <c r="U373" s="125"/>
      <c r="V373" s="125"/>
      <c r="W373" s="125"/>
      <c r="X373" s="125"/>
      <c r="Y373" s="125"/>
      <c r="Z373" s="125"/>
      <c r="AA373" s="125"/>
      <c r="AB373" s="125"/>
      <c r="AC373" s="124"/>
      <c r="AD373" s="117"/>
      <c r="AE373" s="1"/>
      <c r="AF373" s="120"/>
      <c r="AG373" s="1"/>
      <c r="AH373" s="120"/>
    </row>
    <row r="374" spans="1:34">
      <c r="A374" s="150"/>
      <c r="B374" s="128"/>
      <c r="C374" s="128" t="s">
        <v>1401</v>
      </c>
      <c r="D374" s="128"/>
      <c r="E374" s="117"/>
      <c r="F374" s="117"/>
      <c r="G374" s="117"/>
      <c r="H374" s="115">
        <f t="shared" si="91"/>
        <v>1083</v>
      </c>
      <c r="I374" s="115">
        <f t="shared" si="92"/>
        <v>1083</v>
      </c>
      <c r="J374" s="115">
        <f t="shared" si="93"/>
        <v>1083</v>
      </c>
      <c r="K374" s="115">
        <f t="shared" si="94"/>
        <v>1083</v>
      </c>
      <c r="L374" s="115">
        <f t="shared" si="95"/>
        <v>1083</v>
      </c>
      <c r="M374" s="115">
        <f t="shared" si="96"/>
        <v>1083</v>
      </c>
      <c r="N374" s="115">
        <f t="shared" si="97"/>
        <v>1083</v>
      </c>
      <c r="O374" s="115">
        <f t="shared" si="98"/>
        <v>1083</v>
      </c>
      <c r="P374" s="115">
        <f t="shared" si="99"/>
        <v>1083</v>
      </c>
      <c r="Q374" s="125"/>
      <c r="R374" s="125"/>
      <c r="S374" s="125"/>
      <c r="T374" s="125">
        <v>1083</v>
      </c>
      <c r="U374" s="125"/>
      <c r="V374" s="125"/>
      <c r="W374" s="125"/>
      <c r="X374" s="125"/>
      <c r="Y374" s="125"/>
      <c r="Z374" s="125"/>
      <c r="AA374" s="125"/>
      <c r="AB374" s="125"/>
      <c r="AC374" s="124"/>
      <c r="AD374" s="117"/>
      <c r="AE374" s="1"/>
      <c r="AF374" s="120"/>
      <c r="AG374" s="1"/>
      <c r="AH374" s="120"/>
    </row>
    <row r="375" spans="1:34">
      <c r="A375" s="150"/>
      <c r="B375" s="128"/>
      <c r="C375" s="128" t="s">
        <v>1402</v>
      </c>
      <c r="D375" s="128"/>
      <c r="E375" s="117"/>
      <c r="F375" s="117"/>
      <c r="G375" s="117"/>
      <c r="H375" s="115">
        <f t="shared" si="91"/>
        <v>200</v>
      </c>
      <c r="I375" s="115">
        <f t="shared" si="92"/>
        <v>200</v>
      </c>
      <c r="J375" s="115">
        <f t="shared" si="93"/>
        <v>200</v>
      </c>
      <c r="K375" s="115">
        <f t="shared" si="94"/>
        <v>200</v>
      </c>
      <c r="L375" s="115">
        <f t="shared" si="95"/>
        <v>200</v>
      </c>
      <c r="M375" s="115">
        <f t="shared" si="96"/>
        <v>200</v>
      </c>
      <c r="N375" s="115">
        <f t="shared" si="97"/>
        <v>200</v>
      </c>
      <c r="O375" s="115">
        <f t="shared" si="98"/>
        <v>200</v>
      </c>
      <c r="P375" s="115">
        <f t="shared" si="99"/>
        <v>200</v>
      </c>
      <c r="Q375" s="125"/>
      <c r="R375" s="125"/>
      <c r="S375" s="125"/>
      <c r="T375" s="125">
        <v>200</v>
      </c>
      <c r="U375" s="125"/>
      <c r="V375" s="125"/>
      <c r="W375" s="125"/>
      <c r="X375" s="125"/>
      <c r="Y375" s="125"/>
      <c r="Z375" s="125"/>
      <c r="AA375" s="125"/>
      <c r="AB375" s="125"/>
      <c r="AC375" s="124"/>
      <c r="AD375" s="117"/>
      <c r="AE375" s="1"/>
      <c r="AF375" s="120"/>
      <c r="AG375" s="1"/>
      <c r="AH375" s="120"/>
    </row>
    <row r="376" spans="1:34">
      <c r="A376" s="150"/>
      <c r="B376" s="128"/>
      <c r="C376" s="128" t="s">
        <v>1403</v>
      </c>
      <c r="D376" s="128"/>
      <c r="E376" s="117"/>
      <c r="F376" s="117"/>
      <c r="G376" s="117"/>
      <c r="H376" s="115">
        <f t="shared" si="91"/>
        <v>2288</v>
      </c>
      <c r="I376" s="115">
        <f t="shared" si="92"/>
        <v>2288</v>
      </c>
      <c r="J376" s="115">
        <f t="shared" si="93"/>
        <v>2288</v>
      </c>
      <c r="K376" s="115">
        <f t="shared" si="94"/>
        <v>2288</v>
      </c>
      <c r="L376" s="115">
        <f t="shared" si="95"/>
        <v>2288</v>
      </c>
      <c r="M376" s="115">
        <f t="shared" si="96"/>
        <v>2288</v>
      </c>
      <c r="N376" s="115">
        <f t="shared" si="97"/>
        <v>2288</v>
      </c>
      <c r="O376" s="115">
        <f t="shared" si="98"/>
        <v>2288</v>
      </c>
      <c r="P376" s="115">
        <f t="shared" si="99"/>
        <v>2288</v>
      </c>
      <c r="Q376" s="125"/>
      <c r="R376" s="125"/>
      <c r="S376" s="125"/>
      <c r="T376" s="125">
        <v>2288</v>
      </c>
      <c r="U376" s="125"/>
      <c r="V376" s="125"/>
      <c r="W376" s="125"/>
      <c r="X376" s="125"/>
      <c r="Y376" s="125"/>
      <c r="Z376" s="125"/>
      <c r="AA376" s="125"/>
      <c r="AB376" s="125"/>
      <c r="AC376" s="124"/>
      <c r="AD376" s="117"/>
      <c r="AE376" s="1"/>
      <c r="AF376" s="120"/>
      <c r="AG376" s="1"/>
      <c r="AH376" s="120"/>
    </row>
    <row r="377" spans="1:34">
      <c r="A377" s="150"/>
      <c r="B377" s="128"/>
      <c r="C377" s="128" t="s">
        <v>1404</v>
      </c>
      <c r="D377" s="128"/>
      <c r="E377" s="117"/>
      <c r="F377" s="117"/>
      <c r="G377" s="117"/>
      <c r="H377" s="115">
        <f t="shared" si="91"/>
        <v>1613</v>
      </c>
      <c r="I377" s="115">
        <f t="shared" si="92"/>
        <v>1613</v>
      </c>
      <c r="J377" s="115">
        <f t="shared" si="93"/>
        <v>1613</v>
      </c>
      <c r="K377" s="115">
        <f t="shared" si="94"/>
        <v>1613</v>
      </c>
      <c r="L377" s="115">
        <f t="shared" si="95"/>
        <v>1613</v>
      </c>
      <c r="M377" s="115">
        <f t="shared" si="96"/>
        <v>1613</v>
      </c>
      <c r="N377" s="115">
        <f t="shared" si="97"/>
        <v>1613</v>
      </c>
      <c r="O377" s="115">
        <f t="shared" si="98"/>
        <v>1613</v>
      </c>
      <c r="P377" s="115">
        <f t="shared" si="99"/>
        <v>1613</v>
      </c>
      <c r="Q377" s="125"/>
      <c r="R377" s="125"/>
      <c r="S377" s="125"/>
      <c r="T377" s="125">
        <v>1613</v>
      </c>
      <c r="U377" s="125"/>
      <c r="V377" s="125"/>
      <c r="W377" s="125"/>
      <c r="X377" s="125"/>
      <c r="Y377" s="125"/>
      <c r="Z377" s="125"/>
      <c r="AA377" s="125"/>
      <c r="AB377" s="125"/>
      <c r="AC377" s="124"/>
      <c r="AD377" s="117"/>
      <c r="AE377" s="1"/>
      <c r="AF377" s="120"/>
      <c r="AG377" s="1"/>
      <c r="AH377" s="120"/>
    </row>
    <row r="378" spans="1:34">
      <c r="A378" s="150"/>
      <c r="B378" s="128"/>
      <c r="C378" s="128" t="s">
        <v>1405</v>
      </c>
      <c r="D378" s="128"/>
      <c r="E378" s="117"/>
      <c r="F378" s="117"/>
      <c r="G378" s="117"/>
      <c r="H378" s="115">
        <f t="shared" si="91"/>
        <v>1500</v>
      </c>
      <c r="I378" s="115">
        <f t="shared" si="92"/>
        <v>1500</v>
      </c>
      <c r="J378" s="115">
        <f t="shared" si="93"/>
        <v>1500</v>
      </c>
      <c r="K378" s="115">
        <f t="shared" si="94"/>
        <v>1500</v>
      </c>
      <c r="L378" s="115">
        <f t="shared" si="95"/>
        <v>1500</v>
      </c>
      <c r="M378" s="115">
        <f t="shared" si="96"/>
        <v>1500</v>
      </c>
      <c r="N378" s="115">
        <f t="shared" si="97"/>
        <v>1500</v>
      </c>
      <c r="O378" s="115">
        <f t="shared" si="98"/>
        <v>1500</v>
      </c>
      <c r="P378" s="115">
        <f t="shared" si="99"/>
        <v>1500</v>
      </c>
      <c r="Q378" s="125"/>
      <c r="R378" s="125"/>
      <c r="S378" s="125"/>
      <c r="T378" s="125">
        <v>1500</v>
      </c>
      <c r="U378" s="125"/>
      <c r="V378" s="125"/>
      <c r="W378" s="125"/>
      <c r="X378" s="125"/>
      <c r="Y378" s="125"/>
      <c r="Z378" s="125"/>
      <c r="AA378" s="125"/>
      <c r="AB378" s="125"/>
      <c r="AC378" s="124"/>
      <c r="AD378" s="117"/>
      <c r="AE378" s="1"/>
      <c r="AF378" s="120"/>
      <c r="AG378" s="1"/>
      <c r="AH378" s="120"/>
    </row>
    <row r="379" spans="1:34">
      <c r="A379" s="150"/>
      <c r="B379" s="128"/>
      <c r="C379" s="128" t="s">
        <v>1406</v>
      </c>
      <c r="D379" s="128"/>
      <c r="E379" s="117"/>
      <c r="F379" s="117"/>
      <c r="G379" s="117"/>
      <c r="H379" s="115">
        <f t="shared" si="91"/>
        <v>383</v>
      </c>
      <c r="I379" s="115">
        <f t="shared" si="92"/>
        <v>383</v>
      </c>
      <c r="J379" s="115">
        <f t="shared" si="93"/>
        <v>383</v>
      </c>
      <c r="K379" s="115">
        <f t="shared" si="94"/>
        <v>383</v>
      </c>
      <c r="L379" s="115">
        <f t="shared" si="95"/>
        <v>383</v>
      </c>
      <c r="M379" s="115">
        <f t="shared" si="96"/>
        <v>383</v>
      </c>
      <c r="N379" s="115">
        <f t="shared" si="97"/>
        <v>383</v>
      </c>
      <c r="O379" s="115">
        <f t="shared" si="98"/>
        <v>383</v>
      </c>
      <c r="P379" s="115">
        <f t="shared" si="99"/>
        <v>383</v>
      </c>
      <c r="Q379" s="125"/>
      <c r="R379" s="125"/>
      <c r="S379" s="125"/>
      <c r="T379" s="125">
        <v>383</v>
      </c>
      <c r="U379" s="125"/>
      <c r="V379" s="125"/>
      <c r="W379" s="125"/>
      <c r="X379" s="125"/>
      <c r="Y379" s="125"/>
      <c r="Z379" s="125"/>
      <c r="AA379" s="125"/>
      <c r="AB379" s="125"/>
      <c r="AC379" s="124"/>
      <c r="AD379" s="117"/>
      <c r="AE379" s="1"/>
      <c r="AF379" s="120"/>
      <c r="AG379" s="1"/>
      <c r="AH379" s="120"/>
    </row>
    <row r="380" spans="1:34">
      <c r="A380" s="150"/>
      <c r="B380" s="128"/>
      <c r="C380" s="128" t="s">
        <v>1407</v>
      </c>
      <c r="D380" s="128"/>
      <c r="E380" s="117"/>
      <c r="F380" s="117"/>
      <c r="G380" s="117"/>
      <c r="H380" s="115">
        <f t="shared" si="91"/>
        <v>1000</v>
      </c>
      <c r="I380" s="115">
        <f t="shared" si="92"/>
        <v>1000</v>
      </c>
      <c r="J380" s="115">
        <f t="shared" si="93"/>
        <v>1000</v>
      </c>
      <c r="K380" s="115">
        <f t="shared" si="94"/>
        <v>1000</v>
      </c>
      <c r="L380" s="115">
        <f t="shared" si="95"/>
        <v>1000</v>
      </c>
      <c r="M380" s="115">
        <f t="shared" si="96"/>
        <v>1000</v>
      </c>
      <c r="N380" s="115">
        <f t="shared" si="97"/>
        <v>1000</v>
      </c>
      <c r="O380" s="115">
        <f t="shared" si="98"/>
        <v>1000</v>
      </c>
      <c r="P380" s="115">
        <f t="shared" si="99"/>
        <v>1000</v>
      </c>
      <c r="Q380" s="125"/>
      <c r="R380" s="125"/>
      <c r="S380" s="125"/>
      <c r="T380" s="125">
        <v>1000</v>
      </c>
      <c r="U380" s="125"/>
      <c r="V380" s="125"/>
      <c r="W380" s="125"/>
      <c r="X380" s="125"/>
      <c r="Y380" s="125"/>
      <c r="Z380" s="125"/>
      <c r="AA380" s="125"/>
      <c r="AB380" s="125"/>
      <c r="AC380" s="124"/>
      <c r="AD380" s="117"/>
      <c r="AE380" s="1"/>
      <c r="AF380" s="120"/>
      <c r="AG380" s="1"/>
      <c r="AH380" s="120"/>
    </row>
    <row r="381" spans="1:34">
      <c r="A381" s="150"/>
      <c r="B381" s="128"/>
      <c r="C381" s="128" t="s">
        <v>1408</v>
      </c>
      <c r="D381" s="128"/>
      <c r="E381" s="117"/>
      <c r="F381" s="117"/>
      <c r="G381" s="117"/>
      <c r="H381" s="115">
        <f t="shared" si="91"/>
        <v>1900</v>
      </c>
      <c r="I381" s="115">
        <f t="shared" si="92"/>
        <v>1900</v>
      </c>
      <c r="J381" s="115">
        <f t="shared" si="93"/>
        <v>1900</v>
      </c>
      <c r="K381" s="115">
        <f t="shared" si="94"/>
        <v>1900</v>
      </c>
      <c r="L381" s="115">
        <f t="shared" si="95"/>
        <v>1900</v>
      </c>
      <c r="M381" s="115">
        <f t="shared" si="96"/>
        <v>1900</v>
      </c>
      <c r="N381" s="115">
        <f t="shared" si="97"/>
        <v>1900</v>
      </c>
      <c r="O381" s="115">
        <f t="shared" si="98"/>
        <v>1900</v>
      </c>
      <c r="P381" s="115">
        <f t="shared" si="99"/>
        <v>1900</v>
      </c>
      <c r="Q381" s="125"/>
      <c r="R381" s="125"/>
      <c r="S381" s="125"/>
      <c r="T381" s="125">
        <v>1900</v>
      </c>
      <c r="U381" s="125"/>
      <c r="V381" s="125"/>
      <c r="W381" s="125"/>
      <c r="X381" s="125"/>
      <c r="Y381" s="125"/>
      <c r="Z381" s="125"/>
      <c r="AA381" s="125"/>
      <c r="AB381" s="125"/>
      <c r="AC381" s="124"/>
      <c r="AD381" s="117"/>
      <c r="AE381" s="1"/>
      <c r="AF381" s="120"/>
      <c r="AG381" s="1"/>
      <c r="AH381" s="120"/>
    </row>
    <row r="382" spans="1:34">
      <c r="A382" s="150"/>
      <c r="B382" s="128"/>
      <c r="C382" s="128" t="s">
        <v>1409</v>
      </c>
      <c r="D382" s="128"/>
      <c r="E382" s="117"/>
      <c r="F382" s="117"/>
      <c r="G382" s="117"/>
      <c r="H382" s="115">
        <f t="shared" si="91"/>
        <v>300</v>
      </c>
      <c r="I382" s="115">
        <f t="shared" si="92"/>
        <v>300</v>
      </c>
      <c r="J382" s="115">
        <f t="shared" si="93"/>
        <v>300</v>
      </c>
      <c r="K382" s="115">
        <f t="shared" si="94"/>
        <v>300</v>
      </c>
      <c r="L382" s="115">
        <f t="shared" si="95"/>
        <v>300</v>
      </c>
      <c r="M382" s="115">
        <f t="shared" si="96"/>
        <v>300</v>
      </c>
      <c r="N382" s="115">
        <f t="shared" si="97"/>
        <v>300</v>
      </c>
      <c r="O382" s="115">
        <f t="shared" si="98"/>
        <v>300</v>
      </c>
      <c r="P382" s="115">
        <f t="shared" si="99"/>
        <v>300</v>
      </c>
      <c r="Q382" s="125"/>
      <c r="R382" s="125"/>
      <c r="S382" s="125"/>
      <c r="T382" s="125">
        <v>300</v>
      </c>
      <c r="U382" s="125"/>
      <c r="V382" s="125"/>
      <c r="W382" s="125"/>
      <c r="X382" s="125"/>
      <c r="Y382" s="125"/>
      <c r="Z382" s="125"/>
      <c r="AA382" s="125"/>
      <c r="AB382" s="125"/>
      <c r="AC382" s="124"/>
      <c r="AD382" s="117"/>
      <c r="AE382" s="1"/>
      <c r="AF382" s="120"/>
      <c r="AG382" s="1"/>
      <c r="AH382" s="120"/>
    </row>
    <row r="383" spans="1:34">
      <c r="A383" s="150"/>
      <c r="B383" s="128"/>
      <c r="C383" s="128" t="s">
        <v>1410</v>
      </c>
      <c r="D383" s="128"/>
      <c r="E383" s="117"/>
      <c r="F383" s="117"/>
      <c r="G383" s="117"/>
      <c r="H383" s="115">
        <f t="shared" si="91"/>
        <v>1000</v>
      </c>
      <c r="I383" s="115">
        <f t="shared" si="92"/>
        <v>1000</v>
      </c>
      <c r="J383" s="115">
        <f t="shared" si="93"/>
        <v>1000</v>
      </c>
      <c r="K383" s="115">
        <f t="shared" si="94"/>
        <v>1000</v>
      </c>
      <c r="L383" s="115">
        <f t="shared" si="95"/>
        <v>1000</v>
      </c>
      <c r="M383" s="115">
        <f t="shared" si="96"/>
        <v>1000</v>
      </c>
      <c r="N383" s="115">
        <f t="shared" si="97"/>
        <v>1000</v>
      </c>
      <c r="O383" s="115">
        <f t="shared" si="98"/>
        <v>1000</v>
      </c>
      <c r="P383" s="115">
        <f t="shared" si="99"/>
        <v>1000</v>
      </c>
      <c r="Q383" s="125"/>
      <c r="R383" s="125"/>
      <c r="S383" s="125"/>
      <c r="T383" s="125">
        <v>1000</v>
      </c>
      <c r="U383" s="125"/>
      <c r="V383" s="125"/>
      <c r="W383" s="125"/>
      <c r="X383" s="125"/>
      <c r="Y383" s="125"/>
      <c r="Z383" s="125"/>
      <c r="AA383" s="125"/>
      <c r="AB383" s="125"/>
      <c r="AC383" s="124"/>
      <c r="AD383" s="117"/>
      <c r="AE383" s="1"/>
      <c r="AF383" s="120"/>
      <c r="AG383" s="1"/>
      <c r="AH383" s="120"/>
    </row>
    <row r="384" spans="1:34">
      <c r="A384" s="150"/>
      <c r="B384" s="128"/>
      <c r="C384" s="128" t="s">
        <v>1411</v>
      </c>
      <c r="D384" s="128"/>
      <c r="E384" s="117"/>
      <c r="F384" s="117"/>
      <c r="G384" s="117"/>
      <c r="H384" s="115">
        <f t="shared" si="91"/>
        <v>1750</v>
      </c>
      <c r="I384" s="115">
        <f t="shared" si="92"/>
        <v>1750</v>
      </c>
      <c r="J384" s="115">
        <f t="shared" si="93"/>
        <v>1750</v>
      </c>
      <c r="K384" s="115">
        <f t="shared" si="94"/>
        <v>1750</v>
      </c>
      <c r="L384" s="115">
        <f t="shared" si="95"/>
        <v>1750</v>
      </c>
      <c r="M384" s="115">
        <f t="shared" si="96"/>
        <v>1750</v>
      </c>
      <c r="N384" s="115">
        <f t="shared" si="97"/>
        <v>1750</v>
      </c>
      <c r="O384" s="115">
        <f t="shared" si="98"/>
        <v>1750</v>
      </c>
      <c r="P384" s="115">
        <f t="shared" si="99"/>
        <v>1750</v>
      </c>
      <c r="Q384" s="125"/>
      <c r="R384" s="125"/>
      <c r="S384" s="125"/>
      <c r="T384" s="125">
        <v>1750</v>
      </c>
      <c r="U384" s="125"/>
      <c r="V384" s="125"/>
      <c r="W384" s="125"/>
      <c r="X384" s="125"/>
      <c r="Y384" s="125"/>
      <c r="Z384" s="125"/>
      <c r="AA384" s="125"/>
      <c r="AB384" s="125"/>
      <c r="AC384" s="124"/>
      <c r="AD384" s="117"/>
      <c r="AE384" s="1"/>
      <c r="AF384" s="120"/>
      <c r="AG384" s="1"/>
      <c r="AH384" s="120"/>
    </row>
    <row r="385" spans="1:34">
      <c r="A385" s="150"/>
      <c r="B385" s="128"/>
      <c r="C385" s="128" t="s">
        <v>1412</v>
      </c>
      <c r="D385" s="128"/>
      <c r="E385" s="117"/>
      <c r="F385" s="117"/>
      <c r="G385" s="117"/>
      <c r="H385" s="115">
        <f t="shared" si="91"/>
        <v>3000</v>
      </c>
      <c r="I385" s="115">
        <f t="shared" si="92"/>
        <v>3000</v>
      </c>
      <c r="J385" s="115">
        <f t="shared" si="93"/>
        <v>3000</v>
      </c>
      <c r="K385" s="115">
        <f t="shared" si="94"/>
        <v>3000</v>
      </c>
      <c r="L385" s="115">
        <f t="shared" si="95"/>
        <v>3000</v>
      </c>
      <c r="M385" s="115">
        <f t="shared" si="96"/>
        <v>3000</v>
      </c>
      <c r="N385" s="115">
        <f t="shared" si="97"/>
        <v>3000</v>
      </c>
      <c r="O385" s="115">
        <f t="shared" si="98"/>
        <v>3000</v>
      </c>
      <c r="P385" s="115">
        <f t="shared" si="99"/>
        <v>3000</v>
      </c>
      <c r="Q385" s="125"/>
      <c r="R385" s="125"/>
      <c r="S385" s="125"/>
      <c r="T385" s="125">
        <v>3000</v>
      </c>
      <c r="U385" s="125"/>
      <c r="V385" s="125"/>
      <c r="W385" s="125"/>
      <c r="X385" s="125"/>
      <c r="Y385" s="125"/>
      <c r="Z385" s="125"/>
      <c r="AA385" s="125"/>
      <c r="AB385" s="125"/>
      <c r="AC385" s="124"/>
      <c r="AD385" s="117"/>
      <c r="AE385" s="1"/>
      <c r="AF385" s="120"/>
      <c r="AG385" s="1"/>
      <c r="AH385" s="120"/>
    </row>
    <row r="386" spans="1:34">
      <c r="A386" s="150"/>
      <c r="B386" s="128"/>
      <c r="C386" s="128" t="s">
        <v>1413</v>
      </c>
      <c r="D386" s="128"/>
      <c r="E386" s="117"/>
      <c r="F386" s="117"/>
      <c r="G386" s="117"/>
      <c r="H386" s="115">
        <f t="shared" si="91"/>
        <v>1000</v>
      </c>
      <c r="I386" s="115">
        <f t="shared" si="92"/>
        <v>1000</v>
      </c>
      <c r="J386" s="115">
        <f t="shared" si="93"/>
        <v>1000</v>
      </c>
      <c r="K386" s="115">
        <f t="shared" si="94"/>
        <v>1000</v>
      </c>
      <c r="L386" s="115">
        <f t="shared" si="95"/>
        <v>1000</v>
      </c>
      <c r="M386" s="115">
        <f t="shared" si="96"/>
        <v>1000</v>
      </c>
      <c r="N386" s="115">
        <f t="shared" si="97"/>
        <v>1000</v>
      </c>
      <c r="O386" s="115">
        <f t="shared" si="98"/>
        <v>1000</v>
      </c>
      <c r="P386" s="115">
        <f t="shared" si="99"/>
        <v>1000</v>
      </c>
      <c r="Q386" s="125"/>
      <c r="R386" s="125"/>
      <c r="S386" s="125"/>
      <c r="T386" s="125">
        <v>1000</v>
      </c>
      <c r="U386" s="125"/>
      <c r="V386" s="125"/>
      <c r="W386" s="125"/>
      <c r="X386" s="125"/>
      <c r="Y386" s="125"/>
      <c r="Z386" s="125"/>
      <c r="AA386" s="125"/>
      <c r="AB386" s="125"/>
      <c r="AC386" s="124"/>
      <c r="AD386" s="117"/>
      <c r="AE386" s="1"/>
      <c r="AF386" s="120"/>
      <c r="AG386" s="1"/>
      <c r="AH386" s="120"/>
    </row>
    <row r="387" spans="1:34">
      <c r="A387" s="150"/>
      <c r="B387" s="128"/>
      <c r="C387" s="128" t="s">
        <v>1414</v>
      </c>
      <c r="D387" s="128"/>
      <c r="E387" s="117"/>
      <c r="F387" s="117"/>
      <c r="G387" s="117"/>
      <c r="H387" s="115">
        <f t="shared" si="91"/>
        <v>2000</v>
      </c>
      <c r="I387" s="115">
        <f t="shared" si="92"/>
        <v>2000</v>
      </c>
      <c r="J387" s="115">
        <f t="shared" si="93"/>
        <v>2000</v>
      </c>
      <c r="K387" s="115">
        <f t="shared" si="94"/>
        <v>2000</v>
      </c>
      <c r="L387" s="115">
        <f t="shared" si="95"/>
        <v>2000</v>
      </c>
      <c r="M387" s="115">
        <f t="shared" si="96"/>
        <v>2000</v>
      </c>
      <c r="N387" s="115">
        <f t="shared" si="97"/>
        <v>2000</v>
      </c>
      <c r="O387" s="115">
        <f t="shared" si="98"/>
        <v>2000</v>
      </c>
      <c r="P387" s="115">
        <f t="shared" si="99"/>
        <v>2000</v>
      </c>
      <c r="Q387" s="125"/>
      <c r="R387" s="125"/>
      <c r="S387" s="125"/>
      <c r="T387" s="125">
        <v>2000</v>
      </c>
      <c r="U387" s="125"/>
      <c r="V387" s="125"/>
      <c r="W387" s="125"/>
      <c r="X387" s="125"/>
      <c r="Y387" s="125"/>
      <c r="Z387" s="125"/>
      <c r="AA387" s="125"/>
      <c r="AB387" s="125"/>
      <c r="AC387" s="124"/>
      <c r="AD387" s="117"/>
      <c r="AE387" s="1"/>
      <c r="AF387" s="120"/>
      <c r="AG387" s="1"/>
      <c r="AH387" s="120"/>
    </row>
    <row r="388" spans="1:34">
      <c r="A388" s="150"/>
      <c r="B388" s="128"/>
      <c r="C388" s="128" t="s">
        <v>1415</v>
      </c>
      <c r="D388" s="128"/>
      <c r="E388" s="117"/>
      <c r="F388" s="117"/>
      <c r="G388" s="117"/>
      <c r="H388" s="115">
        <f t="shared" si="91"/>
        <v>1729</v>
      </c>
      <c r="I388" s="115">
        <f t="shared" si="92"/>
        <v>1729</v>
      </c>
      <c r="J388" s="115">
        <f t="shared" si="93"/>
        <v>1729</v>
      </c>
      <c r="K388" s="115">
        <f t="shared" si="94"/>
        <v>1729</v>
      </c>
      <c r="L388" s="115">
        <f t="shared" si="95"/>
        <v>1729</v>
      </c>
      <c r="M388" s="115">
        <f t="shared" si="96"/>
        <v>1729</v>
      </c>
      <c r="N388" s="115">
        <f t="shared" si="97"/>
        <v>1729</v>
      </c>
      <c r="O388" s="115">
        <f t="shared" si="98"/>
        <v>1729</v>
      </c>
      <c r="P388" s="115">
        <f t="shared" si="99"/>
        <v>1729</v>
      </c>
      <c r="Q388" s="125"/>
      <c r="R388" s="125"/>
      <c r="S388" s="125"/>
      <c r="T388" s="125">
        <v>1729</v>
      </c>
      <c r="U388" s="125"/>
      <c r="V388" s="125"/>
      <c r="W388" s="125"/>
      <c r="X388" s="125"/>
      <c r="Y388" s="125"/>
      <c r="Z388" s="125"/>
      <c r="AA388" s="125"/>
      <c r="AB388" s="125"/>
      <c r="AC388" s="124"/>
      <c r="AD388" s="117"/>
      <c r="AE388" s="1"/>
      <c r="AF388" s="120"/>
      <c r="AG388" s="1"/>
      <c r="AH388" s="120"/>
    </row>
    <row r="389" spans="1:34">
      <c r="A389" s="150"/>
      <c r="B389" s="128"/>
      <c r="C389" s="128" t="s">
        <v>1416</v>
      </c>
      <c r="D389" s="128"/>
      <c r="E389" s="117"/>
      <c r="F389" s="117"/>
      <c r="G389" s="117"/>
      <c r="H389" s="115">
        <f t="shared" si="91"/>
        <v>500</v>
      </c>
      <c r="I389" s="115">
        <f t="shared" si="92"/>
        <v>500</v>
      </c>
      <c r="J389" s="115">
        <f t="shared" si="93"/>
        <v>500</v>
      </c>
      <c r="K389" s="115">
        <f t="shared" si="94"/>
        <v>500</v>
      </c>
      <c r="L389" s="115">
        <f t="shared" si="95"/>
        <v>500</v>
      </c>
      <c r="M389" s="115">
        <f t="shared" si="96"/>
        <v>500</v>
      </c>
      <c r="N389" s="115">
        <f t="shared" si="97"/>
        <v>500</v>
      </c>
      <c r="O389" s="115">
        <f t="shared" si="98"/>
        <v>500</v>
      </c>
      <c r="P389" s="115">
        <f t="shared" si="99"/>
        <v>500</v>
      </c>
      <c r="Q389" s="125"/>
      <c r="R389" s="125"/>
      <c r="S389" s="125"/>
      <c r="T389" s="125">
        <v>500</v>
      </c>
      <c r="U389" s="125"/>
      <c r="V389" s="125"/>
      <c r="W389" s="125"/>
      <c r="X389" s="125"/>
      <c r="Y389" s="125"/>
      <c r="Z389" s="125"/>
      <c r="AA389" s="125"/>
      <c r="AB389" s="125"/>
      <c r="AC389" s="124"/>
      <c r="AD389" s="117"/>
      <c r="AE389" s="1"/>
      <c r="AF389" s="120"/>
      <c r="AG389" s="1"/>
      <c r="AH389" s="120"/>
    </row>
    <row r="390" spans="1:34">
      <c r="A390" s="150"/>
      <c r="B390" s="128"/>
      <c r="C390" s="128" t="s">
        <v>1417</v>
      </c>
      <c r="D390" s="128"/>
      <c r="E390" s="117"/>
      <c r="F390" s="117"/>
      <c r="G390" s="117"/>
      <c r="H390" s="115">
        <f t="shared" si="91"/>
        <v>300</v>
      </c>
      <c r="I390" s="115">
        <f t="shared" si="92"/>
        <v>300</v>
      </c>
      <c r="J390" s="115">
        <f t="shared" si="93"/>
        <v>300</v>
      </c>
      <c r="K390" s="115">
        <f t="shared" si="94"/>
        <v>300</v>
      </c>
      <c r="L390" s="115">
        <f t="shared" si="95"/>
        <v>300</v>
      </c>
      <c r="M390" s="115">
        <f t="shared" si="96"/>
        <v>300</v>
      </c>
      <c r="N390" s="115">
        <f t="shared" si="97"/>
        <v>300</v>
      </c>
      <c r="O390" s="115">
        <f t="shared" si="98"/>
        <v>300</v>
      </c>
      <c r="P390" s="115">
        <f t="shared" si="99"/>
        <v>300</v>
      </c>
      <c r="Q390" s="125"/>
      <c r="R390" s="125"/>
      <c r="S390" s="125"/>
      <c r="T390" s="125">
        <v>300</v>
      </c>
      <c r="U390" s="125"/>
      <c r="V390" s="125"/>
      <c r="W390" s="125"/>
      <c r="X390" s="125"/>
      <c r="Y390" s="125"/>
      <c r="Z390" s="125"/>
      <c r="AA390" s="125"/>
      <c r="AB390" s="125"/>
      <c r="AC390" s="124"/>
      <c r="AD390" s="117"/>
      <c r="AE390" s="1"/>
      <c r="AF390" s="120"/>
      <c r="AG390" s="1"/>
      <c r="AH390" s="120"/>
    </row>
    <row r="391" spans="1:34">
      <c r="A391" s="150"/>
      <c r="B391" s="128"/>
      <c r="C391" s="128" t="s">
        <v>1418</v>
      </c>
      <c r="D391" s="128"/>
      <c r="E391" s="117"/>
      <c r="F391" s="117"/>
      <c r="G391" s="117"/>
      <c r="H391" s="115">
        <f t="shared" si="91"/>
        <v>1000</v>
      </c>
      <c r="I391" s="115">
        <f t="shared" si="92"/>
        <v>1000</v>
      </c>
      <c r="J391" s="115">
        <f t="shared" si="93"/>
        <v>1000</v>
      </c>
      <c r="K391" s="115">
        <f t="shared" si="94"/>
        <v>1000</v>
      </c>
      <c r="L391" s="115">
        <f t="shared" si="95"/>
        <v>1000</v>
      </c>
      <c r="M391" s="115">
        <f t="shared" si="96"/>
        <v>1000</v>
      </c>
      <c r="N391" s="115">
        <f t="shared" si="97"/>
        <v>1000</v>
      </c>
      <c r="O391" s="115">
        <f t="shared" si="98"/>
        <v>1000</v>
      </c>
      <c r="P391" s="115">
        <f t="shared" si="99"/>
        <v>1000</v>
      </c>
      <c r="Q391" s="125"/>
      <c r="R391" s="125"/>
      <c r="S391" s="125"/>
      <c r="T391" s="125">
        <v>1000</v>
      </c>
      <c r="U391" s="125"/>
      <c r="V391" s="125"/>
      <c r="W391" s="125"/>
      <c r="X391" s="125"/>
      <c r="Y391" s="125"/>
      <c r="Z391" s="125"/>
      <c r="AA391" s="125"/>
      <c r="AB391" s="125"/>
      <c r="AC391" s="124"/>
      <c r="AD391" s="117"/>
      <c r="AE391" s="1"/>
      <c r="AF391" s="120"/>
      <c r="AG391" s="1"/>
      <c r="AH391" s="120"/>
    </row>
    <row r="392" spans="1:34">
      <c r="A392" s="150"/>
      <c r="B392" s="128"/>
      <c r="C392" s="128" t="s">
        <v>1419</v>
      </c>
      <c r="D392" s="128"/>
      <c r="E392" s="117"/>
      <c r="F392" s="117"/>
      <c r="G392" s="117"/>
      <c r="H392" s="115">
        <f t="shared" si="91"/>
        <v>1315.5</v>
      </c>
      <c r="I392" s="115">
        <f t="shared" si="92"/>
        <v>1315.5</v>
      </c>
      <c r="J392" s="115">
        <f t="shared" si="93"/>
        <v>1315.5</v>
      </c>
      <c r="K392" s="115">
        <f t="shared" si="94"/>
        <v>1315.5</v>
      </c>
      <c r="L392" s="115">
        <f t="shared" si="95"/>
        <v>1315.5</v>
      </c>
      <c r="M392" s="115">
        <f t="shared" si="96"/>
        <v>1315.5</v>
      </c>
      <c r="N392" s="115">
        <f t="shared" si="97"/>
        <v>1315.5</v>
      </c>
      <c r="O392" s="115">
        <f t="shared" si="98"/>
        <v>1315.5</v>
      </c>
      <c r="P392" s="115">
        <f t="shared" si="99"/>
        <v>1315.5</v>
      </c>
      <c r="Q392" s="125"/>
      <c r="R392" s="125"/>
      <c r="S392" s="125"/>
      <c r="T392" s="125">
        <v>1315.5</v>
      </c>
      <c r="U392" s="125"/>
      <c r="V392" s="125"/>
      <c r="W392" s="125"/>
      <c r="X392" s="125"/>
      <c r="Y392" s="125"/>
      <c r="Z392" s="125"/>
      <c r="AA392" s="125"/>
      <c r="AB392" s="125"/>
      <c r="AC392" s="124"/>
      <c r="AD392" s="117"/>
      <c r="AE392" s="1"/>
      <c r="AF392" s="120"/>
      <c r="AG392" s="1"/>
      <c r="AH392" s="120"/>
    </row>
    <row r="393" spans="1:34">
      <c r="A393" s="150"/>
      <c r="B393" s="128"/>
      <c r="C393" s="128" t="s">
        <v>1420</v>
      </c>
      <c r="D393" s="128"/>
      <c r="E393" s="117"/>
      <c r="F393" s="117"/>
      <c r="G393" s="117"/>
      <c r="H393" s="115">
        <f t="shared" si="91"/>
        <v>500</v>
      </c>
      <c r="I393" s="115">
        <f t="shared" si="92"/>
        <v>500</v>
      </c>
      <c r="J393" s="115">
        <f t="shared" si="93"/>
        <v>500</v>
      </c>
      <c r="K393" s="115">
        <f t="shared" si="94"/>
        <v>500</v>
      </c>
      <c r="L393" s="115">
        <f t="shared" si="95"/>
        <v>500</v>
      </c>
      <c r="M393" s="115">
        <f t="shared" si="96"/>
        <v>500</v>
      </c>
      <c r="N393" s="115">
        <f t="shared" si="97"/>
        <v>500</v>
      </c>
      <c r="O393" s="115">
        <f t="shared" si="98"/>
        <v>500</v>
      </c>
      <c r="P393" s="115">
        <f t="shared" si="99"/>
        <v>500</v>
      </c>
      <c r="Q393" s="125"/>
      <c r="R393" s="125"/>
      <c r="S393" s="125"/>
      <c r="T393" s="125">
        <v>500</v>
      </c>
      <c r="U393" s="125"/>
      <c r="V393" s="125"/>
      <c r="W393" s="125"/>
      <c r="X393" s="125"/>
      <c r="Y393" s="125"/>
      <c r="Z393" s="125"/>
      <c r="AA393" s="125"/>
      <c r="AB393" s="125"/>
      <c r="AC393" s="124"/>
      <c r="AD393" s="117"/>
      <c r="AE393" s="1"/>
      <c r="AF393" s="120"/>
      <c r="AG393" s="1"/>
      <c r="AH393" s="120"/>
    </row>
    <row r="394" spans="1:34">
      <c r="A394" s="150"/>
      <c r="B394" s="128"/>
      <c r="C394" s="128" t="s">
        <v>1421</v>
      </c>
      <c r="D394" s="128"/>
      <c r="E394" s="117"/>
      <c r="F394" s="117"/>
      <c r="G394" s="117"/>
      <c r="H394" s="115">
        <f t="shared" si="91"/>
        <v>1600</v>
      </c>
      <c r="I394" s="115">
        <f t="shared" si="92"/>
        <v>1600</v>
      </c>
      <c r="J394" s="115">
        <f t="shared" si="93"/>
        <v>1600</v>
      </c>
      <c r="K394" s="115">
        <f t="shared" si="94"/>
        <v>1600</v>
      </c>
      <c r="L394" s="115">
        <f t="shared" si="95"/>
        <v>1600</v>
      </c>
      <c r="M394" s="115">
        <f t="shared" si="96"/>
        <v>1600</v>
      </c>
      <c r="N394" s="115">
        <f t="shared" si="97"/>
        <v>1600</v>
      </c>
      <c r="O394" s="115">
        <f t="shared" si="98"/>
        <v>1600</v>
      </c>
      <c r="P394" s="115">
        <f t="shared" si="99"/>
        <v>1600</v>
      </c>
      <c r="Q394" s="125"/>
      <c r="R394" s="125"/>
      <c r="S394" s="125"/>
      <c r="T394" s="125">
        <v>1600</v>
      </c>
      <c r="U394" s="125"/>
      <c r="V394" s="125"/>
      <c r="W394" s="125"/>
      <c r="X394" s="125"/>
      <c r="Y394" s="125"/>
      <c r="Z394" s="125"/>
      <c r="AA394" s="125"/>
      <c r="AB394" s="125"/>
      <c r="AC394" s="124"/>
      <c r="AD394" s="117"/>
      <c r="AE394" s="1"/>
      <c r="AF394" s="120"/>
      <c r="AG394" s="1"/>
      <c r="AH394" s="120"/>
    </row>
    <row r="395" spans="1:34">
      <c r="A395" s="150"/>
      <c r="B395" s="128"/>
      <c r="C395" s="128" t="s">
        <v>1422</v>
      </c>
      <c r="D395" s="128"/>
      <c r="E395" s="117"/>
      <c r="F395" s="117"/>
      <c r="G395" s="117"/>
      <c r="H395" s="115">
        <f t="shared" si="91"/>
        <v>200</v>
      </c>
      <c r="I395" s="115">
        <f t="shared" si="92"/>
        <v>200</v>
      </c>
      <c r="J395" s="115">
        <f t="shared" si="93"/>
        <v>200</v>
      </c>
      <c r="K395" s="115">
        <f t="shared" si="94"/>
        <v>200</v>
      </c>
      <c r="L395" s="115">
        <f t="shared" si="95"/>
        <v>200</v>
      </c>
      <c r="M395" s="115">
        <f t="shared" si="96"/>
        <v>200</v>
      </c>
      <c r="N395" s="115">
        <f t="shared" si="97"/>
        <v>200</v>
      </c>
      <c r="O395" s="115">
        <f t="shared" si="98"/>
        <v>200</v>
      </c>
      <c r="P395" s="115">
        <f t="shared" si="99"/>
        <v>200</v>
      </c>
      <c r="Q395" s="125"/>
      <c r="R395" s="125"/>
      <c r="S395" s="125"/>
      <c r="T395" s="125">
        <v>200</v>
      </c>
      <c r="U395" s="125"/>
      <c r="V395" s="125"/>
      <c r="W395" s="125"/>
      <c r="X395" s="125"/>
      <c r="Y395" s="125"/>
      <c r="Z395" s="125"/>
      <c r="AA395" s="125"/>
      <c r="AB395" s="125"/>
      <c r="AC395" s="124"/>
      <c r="AD395" s="117"/>
      <c r="AE395" s="1"/>
      <c r="AF395" s="120"/>
      <c r="AG395" s="1"/>
      <c r="AH395" s="120"/>
    </row>
    <row r="396" spans="1:34">
      <c r="A396" s="150"/>
      <c r="B396" s="128"/>
      <c r="C396" s="128" t="s">
        <v>1423</v>
      </c>
      <c r="D396" s="128"/>
      <c r="E396" s="117"/>
      <c r="F396" s="117"/>
      <c r="G396" s="117"/>
      <c r="H396" s="115">
        <f t="shared" si="91"/>
        <v>800</v>
      </c>
      <c r="I396" s="115">
        <f t="shared" si="92"/>
        <v>800</v>
      </c>
      <c r="J396" s="115">
        <f t="shared" si="93"/>
        <v>800</v>
      </c>
      <c r="K396" s="115">
        <f t="shared" si="94"/>
        <v>800</v>
      </c>
      <c r="L396" s="115">
        <f t="shared" si="95"/>
        <v>800</v>
      </c>
      <c r="M396" s="115">
        <f t="shared" si="96"/>
        <v>800</v>
      </c>
      <c r="N396" s="115">
        <f t="shared" si="97"/>
        <v>800</v>
      </c>
      <c r="O396" s="115">
        <f t="shared" si="98"/>
        <v>800</v>
      </c>
      <c r="P396" s="115">
        <f t="shared" si="99"/>
        <v>800</v>
      </c>
      <c r="Q396" s="125"/>
      <c r="R396" s="125"/>
      <c r="S396" s="125"/>
      <c r="T396" s="125">
        <v>800</v>
      </c>
      <c r="U396" s="125"/>
      <c r="V396" s="125"/>
      <c r="W396" s="125"/>
      <c r="X396" s="125"/>
      <c r="Y396" s="125"/>
      <c r="Z396" s="125"/>
      <c r="AA396" s="125"/>
      <c r="AB396" s="125"/>
      <c r="AC396" s="124"/>
      <c r="AD396" s="117"/>
      <c r="AE396" s="1"/>
      <c r="AF396" s="120"/>
      <c r="AG396" s="1"/>
      <c r="AH396" s="120"/>
    </row>
    <row r="397" spans="1:34">
      <c r="A397" s="150"/>
      <c r="B397" s="128"/>
      <c r="C397" s="128" t="s">
        <v>1424</v>
      </c>
      <c r="D397" s="128"/>
      <c r="E397" s="117"/>
      <c r="F397" s="117"/>
      <c r="G397" s="117"/>
      <c r="H397" s="115">
        <f t="shared" si="91"/>
        <v>1184</v>
      </c>
      <c r="I397" s="115">
        <f t="shared" si="92"/>
        <v>1184</v>
      </c>
      <c r="J397" s="115">
        <f t="shared" si="93"/>
        <v>1184</v>
      </c>
      <c r="K397" s="115">
        <f t="shared" si="94"/>
        <v>1184</v>
      </c>
      <c r="L397" s="115">
        <f t="shared" si="95"/>
        <v>1184</v>
      </c>
      <c r="M397" s="115">
        <f t="shared" si="96"/>
        <v>1184</v>
      </c>
      <c r="N397" s="115">
        <f t="shared" si="97"/>
        <v>1184</v>
      </c>
      <c r="O397" s="115">
        <f t="shared" si="98"/>
        <v>1184</v>
      </c>
      <c r="P397" s="115">
        <f t="shared" si="99"/>
        <v>1184</v>
      </c>
      <c r="Q397" s="125"/>
      <c r="R397" s="125"/>
      <c r="S397" s="125"/>
      <c r="T397" s="125">
        <v>1184</v>
      </c>
      <c r="U397" s="125"/>
      <c r="V397" s="125"/>
      <c r="W397" s="125"/>
      <c r="X397" s="125"/>
      <c r="Y397" s="125"/>
      <c r="Z397" s="125"/>
      <c r="AA397" s="125"/>
      <c r="AB397" s="125"/>
      <c r="AC397" s="124"/>
      <c r="AD397" s="117"/>
      <c r="AE397" s="1"/>
      <c r="AF397" s="120"/>
      <c r="AG397" s="1"/>
      <c r="AH397" s="120"/>
    </row>
    <row r="398" spans="1:34">
      <c r="A398" s="150"/>
      <c r="B398" s="128"/>
      <c r="C398" s="128" t="s">
        <v>1425</v>
      </c>
      <c r="D398" s="128"/>
      <c r="E398" s="117"/>
      <c r="F398" s="117"/>
      <c r="G398" s="117"/>
      <c r="H398" s="115">
        <f t="shared" si="91"/>
        <v>3000</v>
      </c>
      <c r="I398" s="115">
        <f t="shared" si="92"/>
        <v>3000</v>
      </c>
      <c r="J398" s="115">
        <f t="shared" si="93"/>
        <v>3000</v>
      </c>
      <c r="K398" s="115">
        <f t="shared" si="94"/>
        <v>3000</v>
      </c>
      <c r="L398" s="115">
        <f t="shared" si="95"/>
        <v>3000</v>
      </c>
      <c r="M398" s="115">
        <f t="shared" si="96"/>
        <v>3000</v>
      </c>
      <c r="N398" s="115">
        <f t="shared" si="97"/>
        <v>3000</v>
      </c>
      <c r="O398" s="115">
        <f t="shared" si="98"/>
        <v>3000</v>
      </c>
      <c r="P398" s="115">
        <f t="shared" si="99"/>
        <v>3000</v>
      </c>
      <c r="Q398" s="125"/>
      <c r="R398" s="125"/>
      <c r="S398" s="125"/>
      <c r="T398" s="125">
        <v>3000</v>
      </c>
      <c r="U398" s="125"/>
      <c r="V398" s="125"/>
      <c r="W398" s="125"/>
      <c r="X398" s="125"/>
      <c r="Y398" s="125"/>
      <c r="Z398" s="125"/>
      <c r="AA398" s="125"/>
      <c r="AB398" s="125"/>
      <c r="AC398" s="124"/>
      <c r="AD398" s="117"/>
      <c r="AE398" s="1"/>
      <c r="AF398" s="120"/>
      <c r="AG398" s="1"/>
      <c r="AH398" s="120"/>
    </row>
    <row r="399" spans="1:34">
      <c r="A399" s="150"/>
      <c r="B399" s="128"/>
      <c r="C399" s="128" t="s">
        <v>1426</v>
      </c>
      <c r="D399" s="128"/>
      <c r="E399" s="117"/>
      <c r="F399" s="117"/>
      <c r="G399" s="117"/>
      <c r="H399" s="115">
        <f t="shared" si="91"/>
        <v>1100</v>
      </c>
      <c r="I399" s="115">
        <f t="shared" si="92"/>
        <v>1100</v>
      </c>
      <c r="J399" s="115">
        <f t="shared" si="93"/>
        <v>1100</v>
      </c>
      <c r="K399" s="115">
        <f t="shared" si="94"/>
        <v>1100</v>
      </c>
      <c r="L399" s="115">
        <f t="shared" si="95"/>
        <v>1100</v>
      </c>
      <c r="M399" s="115">
        <f t="shared" si="96"/>
        <v>1100</v>
      </c>
      <c r="N399" s="115">
        <f t="shared" si="97"/>
        <v>1100</v>
      </c>
      <c r="O399" s="115">
        <f t="shared" si="98"/>
        <v>1100</v>
      </c>
      <c r="P399" s="115">
        <f t="shared" si="99"/>
        <v>1100</v>
      </c>
      <c r="Q399" s="125"/>
      <c r="R399" s="125"/>
      <c r="S399" s="125"/>
      <c r="T399" s="125">
        <v>1100</v>
      </c>
      <c r="U399" s="125"/>
      <c r="V399" s="125"/>
      <c r="W399" s="125"/>
      <c r="X399" s="125"/>
      <c r="Y399" s="125"/>
      <c r="Z399" s="125"/>
      <c r="AA399" s="125"/>
      <c r="AB399" s="125"/>
      <c r="AC399" s="124"/>
      <c r="AD399" s="117"/>
      <c r="AE399" s="1"/>
      <c r="AF399" s="120"/>
      <c r="AG399" s="1"/>
      <c r="AH399" s="120"/>
    </row>
    <row r="400" spans="1:34">
      <c r="A400" s="150"/>
      <c r="B400" s="128"/>
      <c r="C400" s="128" t="s">
        <v>1427</v>
      </c>
      <c r="D400" s="128"/>
      <c r="E400" s="117"/>
      <c r="F400" s="117"/>
      <c r="G400" s="117"/>
      <c r="H400" s="115">
        <f t="shared" si="91"/>
        <v>640</v>
      </c>
      <c r="I400" s="115">
        <f t="shared" si="92"/>
        <v>640</v>
      </c>
      <c r="J400" s="115">
        <f t="shared" si="93"/>
        <v>640</v>
      </c>
      <c r="K400" s="115">
        <f t="shared" si="94"/>
        <v>640</v>
      </c>
      <c r="L400" s="115">
        <f t="shared" si="95"/>
        <v>640</v>
      </c>
      <c r="M400" s="115">
        <f t="shared" si="96"/>
        <v>640</v>
      </c>
      <c r="N400" s="115">
        <f t="shared" si="97"/>
        <v>640</v>
      </c>
      <c r="O400" s="115">
        <f t="shared" si="98"/>
        <v>640</v>
      </c>
      <c r="P400" s="115">
        <f t="shared" si="99"/>
        <v>640</v>
      </c>
      <c r="Q400" s="125"/>
      <c r="R400" s="125"/>
      <c r="S400" s="125"/>
      <c r="T400" s="125">
        <v>640</v>
      </c>
      <c r="U400" s="125"/>
      <c r="V400" s="125"/>
      <c r="W400" s="125"/>
      <c r="X400" s="125"/>
      <c r="Y400" s="125"/>
      <c r="Z400" s="125"/>
      <c r="AA400" s="125"/>
      <c r="AB400" s="125"/>
      <c r="AC400" s="124"/>
      <c r="AD400" s="117"/>
      <c r="AE400" s="1"/>
      <c r="AF400" s="120"/>
      <c r="AG400" s="1"/>
      <c r="AH400" s="120"/>
    </row>
    <row r="401" spans="1:34">
      <c r="A401" s="150"/>
      <c r="B401" s="128"/>
      <c r="C401" s="128" t="s">
        <v>1428</v>
      </c>
      <c r="D401" s="128"/>
      <c r="E401" s="117"/>
      <c r="F401" s="117"/>
      <c r="G401" s="117"/>
      <c r="H401" s="115">
        <f t="shared" si="91"/>
        <v>2500</v>
      </c>
      <c r="I401" s="115">
        <f t="shared" si="92"/>
        <v>2500</v>
      </c>
      <c r="J401" s="115">
        <f t="shared" si="93"/>
        <v>2500</v>
      </c>
      <c r="K401" s="115">
        <f t="shared" si="94"/>
        <v>2500</v>
      </c>
      <c r="L401" s="115">
        <f t="shared" si="95"/>
        <v>2500</v>
      </c>
      <c r="M401" s="115">
        <f t="shared" si="96"/>
        <v>2500</v>
      </c>
      <c r="N401" s="115">
        <f t="shared" si="97"/>
        <v>2500</v>
      </c>
      <c r="O401" s="115">
        <f t="shared" si="98"/>
        <v>2500</v>
      </c>
      <c r="P401" s="115">
        <f t="shared" si="99"/>
        <v>2500</v>
      </c>
      <c r="Q401" s="125"/>
      <c r="R401" s="125"/>
      <c r="S401" s="125"/>
      <c r="T401" s="125">
        <v>2500</v>
      </c>
      <c r="U401" s="125"/>
      <c r="V401" s="125"/>
      <c r="W401" s="125"/>
      <c r="X401" s="125"/>
      <c r="Y401" s="125"/>
      <c r="Z401" s="125"/>
      <c r="AA401" s="125"/>
      <c r="AB401" s="125"/>
      <c r="AC401" s="124"/>
      <c r="AD401" s="117"/>
      <c r="AE401" s="1"/>
      <c r="AF401" s="120"/>
      <c r="AG401" s="1"/>
      <c r="AH401" s="120"/>
    </row>
    <row r="402" spans="1:34">
      <c r="A402" s="150"/>
      <c r="B402" s="128"/>
      <c r="C402" s="128" t="s">
        <v>1429</v>
      </c>
      <c r="D402" s="128"/>
      <c r="E402" s="117"/>
      <c r="F402" s="117"/>
      <c r="G402" s="117"/>
      <c r="H402" s="115">
        <f t="shared" si="91"/>
        <v>400</v>
      </c>
      <c r="I402" s="115">
        <f t="shared" si="92"/>
        <v>400</v>
      </c>
      <c r="J402" s="115">
        <f t="shared" si="93"/>
        <v>400</v>
      </c>
      <c r="K402" s="115">
        <f t="shared" si="94"/>
        <v>400</v>
      </c>
      <c r="L402" s="115">
        <f t="shared" si="95"/>
        <v>400</v>
      </c>
      <c r="M402" s="115">
        <f t="shared" si="96"/>
        <v>400</v>
      </c>
      <c r="N402" s="115">
        <f t="shared" si="97"/>
        <v>400</v>
      </c>
      <c r="O402" s="115">
        <f t="shared" si="98"/>
        <v>400</v>
      </c>
      <c r="P402" s="115">
        <f t="shared" si="99"/>
        <v>400</v>
      </c>
      <c r="Q402" s="125"/>
      <c r="R402" s="125"/>
      <c r="S402" s="125"/>
      <c r="T402" s="125">
        <v>400</v>
      </c>
      <c r="U402" s="125"/>
      <c r="V402" s="125"/>
      <c r="W402" s="125"/>
      <c r="X402" s="125"/>
      <c r="Y402" s="125"/>
      <c r="Z402" s="125"/>
      <c r="AA402" s="125"/>
      <c r="AB402" s="125"/>
      <c r="AC402" s="124"/>
      <c r="AD402" s="117"/>
      <c r="AE402" s="1"/>
      <c r="AF402" s="120"/>
      <c r="AG402" s="1"/>
      <c r="AH402" s="120"/>
    </row>
    <row r="403" spans="1:34">
      <c r="A403" s="150"/>
      <c r="B403" s="128"/>
      <c r="C403" s="128" t="s">
        <v>1430</v>
      </c>
      <c r="D403" s="128"/>
      <c r="E403" s="117"/>
      <c r="F403" s="117"/>
      <c r="G403" s="117"/>
      <c r="H403" s="115">
        <f t="shared" si="91"/>
        <v>1315</v>
      </c>
      <c r="I403" s="115">
        <f t="shared" si="92"/>
        <v>1315</v>
      </c>
      <c r="J403" s="115">
        <f t="shared" si="93"/>
        <v>1315</v>
      </c>
      <c r="K403" s="115">
        <f t="shared" si="94"/>
        <v>1315</v>
      </c>
      <c r="L403" s="115">
        <f t="shared" si="95"/>
        <v>1315</v>
      </c>
      <c r="M403" s="115">
        <f t="shared" si="96"/>
        <v>1315</v>
      </c>
      <c r="N403" s="115">
        <f t="shared" si="97"/>
        <v>1315</v>
      </c>
      <c r="O403" s="115">
        <f t="shared" si="98"/>
        <v>1315</v>
      </c>
      <c r="P403" s="115">
        <f t="shared" si="99"/>
        <v>1315</v>
      </c>
      <c r="Q403" s="125"/>
      <c r="R403" s="125"/>
      <c r="S403" s="125"/>
      <c r="T403" s="125">
        <v>1315</v>
      </c>
      <c r="U403" s="125"/>
      <c r="V403" s="125"/>
      <c r="W403" s="125"/>
      <c r="X403" s="125"/>
      <c r="Y403" s="125"/>
      <c r="Z403" s="125"/>
      <c r="AA403" s="125"/>
      <c r="AB403" s="125"/>
      <c r="AC403" s="124"/>
      <c r="AD403" s="117"/>
      <c r="AE403" s="1"/>
      <c r="AF403" s="120"/>
      <c r="AG403" s="1"/>
      <c r="AH403" s="120"/>
    </row>
    <row r="404" spans="1:34">
      <c r="A404" s="150"/>
      <c r="B404" s="128"/>
      <c r="C404" s="128" t="s">
        <v>1431</v>
      </c>
      <c r="D404" s="128"/>
      <c r="E404" s="117"/>
      <c r="F404" s="117"/>
      <c r="G404" s="117"/>
      <c r="H404" s="115">
        <f t="shared" si="91"/>
        <v>446.5</v>
      </c>
      <c r="I404" s="115">
        <f t="shared" si="92"/>
        <v>446.5</v>
      </c>
      <c r="J404" s="115">
        <f t="shared" si="93"/>
        <v>446.5</v>
      </c>
      <c r="K404" s="115">
        <f t="shared" si="94"/>
        <v>446.5</v>
      </c>
      <c r="L404" s="115">
        <f t="shared" si="95"/>
        <v>446.5</v>
      </c>
      <c r="M404" s="115">
        <f t="shared" si="96"/>
        <v>446.5</v>
      </c>
      <c r="N404" s="115">
        <f t="shared" si="97"/>
        <v>446.5</v>
      </c>
      <c r="O404" s="115">
        <f t="shared" si="98"/>
        <v>446.5</v>
      </c>
      <c r="P404" s="115">
        <f t="shared" si="99"/>
        <v>446.5</v>
      </c>
      <c r="Q404" s="125"/>
      <c r="R404" s="125"/>
      <c r="S404" s="125"/>
      <c r="T404" s="125">
        <v>446.5</v>
      </c>
      <c r="U404" s="125"/>
      <c r="V404" s="125"/>
      <c r="W404" s="125"/>
      <c r="X404" s="125"/>
      <c r="Y404" s="125"/>
      <c r="Z404" s="125"/>
      <c r="AA404" s="125"/>
      <c r="AB404" s="125"/>
      <c r="AC404" s="124"/>
      <c r="AD404" s="117"/>
      <c r="AE404" s="1"/>
      <c r="AF404" s="120"/>
      <c r="AG404" s="1"/>
      <c r="AH404" s="120"/>
    </row>
    <row r="405" spans="1:34">
      <c r="A405" s="150"/>
      <c r="B405" s="128"/>
      <c r="C405" s="128" t="s">
        <v>1432</v>
      </c>
      <c r="D405" s="128"/>
      <c r="E405" s="117"/>
      <c r="F405" s="117"/>
      <c r="G405" s="117"/>
      <c r="H405" s="115">
        <f t="shared" si="91"/>
        <v>905</v>
      </c>
      <c r="I405" s="115">
        <f t="shared" si="92"/>
        <v>905</v>
      </c>
      <c r="J405" s="115">
        <f t="shared" si="93"/>
        <v>905</v>
      </c>
      <c r="K405" s="115">
        <f t="shared" si="94"/>
        <v>905</v>
      </c>
      <c r="L405" s="115">
        <f t="shared" si="95"/>
        <v>905</v>
      </c>
      <c r="M405" s="115">
        <f t="shared" si="96"/>
        <v>905</v>
      </c>
      <c r="N405" s="115">
        <f t="shared" si="97"/>
        <v>905</v>
      </c>
      <c r="O405" s="115">
        <f t="shared" si="98"/>
        <v>905</v>
      </c>
      <c r="P405" s="115">
        <f t="shared" si="99"/>
        <v>905</v>
      </c>
      <c r="Q405" s="125"/>
      <c r="R405" s="125"/>
      <c r="S405" s="125"/>
      <c r="T405" s="125">
        <v>905</v>
      </c>
      <c r="U405" s="125"/>
      <c r="V405" s="125"/>
      <c r="W405" s="125"/>
      <c r="X405" s="125"/>
      <c r="Y405" s="125"/>
      <c r="Z405" s="125"/>
      <c r="AA405" s="125"/>
      <c r="AB405" s="125"/>
      <c r="AC405" s="124"/>
      <c r="AD405" s="117"/>
      <c r="AE405" s="1"/>
      <c r="AF405" s="120"/>
      <c r="AG405" s="1"/>
      <c r="AH405" s="120"/>
    </row>
    <row r="406" spans="1:34">
      <c r="A406" s="150"/>
      <c r="B406" s="128"/>
      <c r="C406" s="128" t="s">
        <v>1433</v>
      </c>
      <c r="D406" s="128"/>
      <c r="E406" s="117"/>
      <c r="F406" s="117"/>
      <c r="G406" s="117"/>
      <c r="H406" s="115">
        <f t="shared" si="91"/>
        <v>3000</v>
      </c>
      <c r="I406" s="115">
        <f t="shared" si="92"/>
        <v>3000</v>
      </c>
      <c r="J406" s="115">
        <f t="shared" si="93"/>
        <v>3000</v>
      </c>
      <c r="K406" s="115">
        <f t="shared" si="94"/>
        <v>3000</v>
      </c>
      <c r="L406" s="115">
        <f t="shared" si="95"/>
        <v>3000</v>
      </c>
      <c r="M406" s="115">
        <f t="shared" si="96"/>
        <v>3000</v>
      </c>
      <c r="N406" s="115">
        <f t="shared" si="97"/>
        <v>3000</v>
      </c>
      <c r="O406" s="115">
        <f t="shared" si="98"/>
        <v>3000</v>
      </c>
      <c r="P406" s="115">
        <f t="shared" si="99"/>
        <v>3000</v>
      </c>
      <c r="Q406" s="125"/>
      <c r="R406" s="125"/>
      <c r="S406" s="125"/>
      <c r="T406" s="125">
        <v>3000</v>
      </c>
      <c r="U406" s="125"/>
      <c r="V406" s="125"/>
      <c r="W406" s="125"/>
      <c r="X406" s="125"/>
      <c r="Y406" s="125"/>
      <c r="Z406" s="125"/>
      <c r="AA406" s="125"/>
      <c r="AB406" s="125"/>
      <c r="AC406" s="124"/>
      <c r="AD406" s="117"/>
      <c r="AE406" s="1"/>
      <c r="AF406" s="120"/>
      <c r="AG406" s="1"/>
      <c r="AH406" s="120"/>
    </row>
    <row r="407" spans="1:34">
      <c r="A407" s="150"/>
      <c r="B407" s="128"/>
      <c r="C407" s="128" t="s">
        <v>1434</v>
      </c>
      <c r="D407" s="128"/>
      <c r="E407" s="117"/>
      <c r="F407" s="117"/>
      <c r="G407" s="117"/>
      <c r="H407" s="115">
        <f t="shared" si="91"/>
        <v>293.5</v>
      </c>
      <c r="I407" s="115">
        <f t="shared" si="92"/>
        <v>293.5</v>
      </c>
      <c r="J407" s="115">
        <f t="shared" si="93"/>
        <v>293.5</v>
      </c>
      <c r="K407" s="115">
        <f t="shared" si="94"/>
        <v>293.5</v>
      </c>
      <c r="L407" s="115">
        <f t="shared" si="95"/>
        <v>293.5</v>
      </c>
      <c r="M407" s="115">
        <f t="shared" si="96"/>
        <v>293.5</v>
      </c>
      <c r="N407" s="115">
        <f t="shared" si="97"/>
        <v>293.5</v>
      </c>
      <c r="O407" s="115">
        <f t="shared" si="98"/>
        <v>293.5</v>
      </c>
      <c r="P407" s="115">
        <f t="shared" si="99"/>
        <v>293.5</v>
      </c>
      <c r="Q407" s="125"/>
      <c r="R407" s="125"/>
      <c r="S407" s="125"/>
      <c r="T407" s="125">
        <v>293.5</v>
      </c>
      <c r="U407" s="125"/>
      <c r="V407" s="125"/>
      <c r="W407" s="125"/>
      <c r="X407" s="125"/>
      <c r="Y407" s="125"/>
      <c r="Z407" s="125"/>
      <c r="AA407" s="125"/>
      <c r="AB407" s="125"/>
      <c r="AC407" s="124"/>
      <c r="AD407" s="117"/>
      <c r="AE407" s="1"/>
      <c r="AF407" s="120"/>
      <c r="AG407" s="1"/>
      <c r="AH407" s="120"/>
    </row>
    <row r="408" spans="1:34">
      <c r="A408" s="150"/>
      <c r="B408" s="128"/>
      <c r="C408" s="128" t="s">
        <v>1435</v>
      </c>
      <c r="D408" s="128"/>
      <c r="E408" s="117"/>
      <c r="F408" s="117"/>
      <c r="G408" s="117"/>
      <c r="H408" s="115">
        <f t="shared" si="91"/>
        <v>766</v>
      </c>
      <c r="I408" s="115">
        <f t="shared" si="92"/>
        <v>766</v>
      </c>
      <c r="J408" s="115">
        <f t="shared" si="93"/>
        <v>766</v>
      </c>
      <c r="K408" s="115">
        <f t="shared" si="94"/>
        <v>766</v>
      </c>
      <c r="L408" s="115">
        <f t="shared" si="95"/>
        <v>766</v>
      </c>
      <c r="M408" s="115">
        <f t="shared" si="96"/>
        <v>766</v>
      </c>
      <c r="N408" s="115">
        <f t="shared" si="97"/>
        <v>766</v>
      </c>
      <c r="O408" s="115">
        <f t="shared" si="98"/>
        <v>766</v>
      </c>
      <c r="P408" s="115">
        <f t="shared" si="99"/>
        <v>766</v>
      </c>
      <c r="Q408" s="125"/>
      <c r="R408" s="125"/>
      <c r="S408" s="125"/>
      <c r="T408" s="125">
        <v>766</v>
      </c>
      <c r="U408" s="125"/>
      <c r="V408" s="125"/>
      <c r="W408" s="125"/>
      <c r="X408" s="125"/>
      <c r="Y408" s="125"/>
      <c r="Z408" s="125"/>
      <c r="AA408" s="125"/>
      <c r="AB408" s="125"/>
      <c r="AC408" s="124"/>
      <c r="AD408" s="117"/>
      <c r="AE408" s="1"/>
      <c r="AF408" s="120"/>
      <c r="AG408" s="1"/>
      <c r="AH408" s="120"/>
    </row>
    <row r="409" spans="1:34">
      <c r="A409" s="150"/>
      <c r="B409" s="128"/>
      <c r="C409" s="128" t="s">
        <v>1436</v>
      </c>
      <c r="D409" s="128"/>
      <c r="E409" s="117"/>
      <c r="F409" s="117"/>
      <c r="G409" s="117"/>
      <c r="H409" s="115">
        <f t="shared" si="91"/>
        <v>200</v>
      </c>
      <c r="I409" s="115">
        <f t="shared" si="92"/>
        <v>200</v>
      </c>
      <c r="J409" s="115">
        <f t="shared" si="93"/>
        <v>200</v>
      </c>
      <c r="K409" s="115">
        <f t="shared" si="94"/>
        <v>200</v>
      </c>
      <c r="L409" s="115">
        <f t="shared" si="95"/>
        <v>200</v>
      </c>
      <c r="M409" s="115">
        <f t="shared" si="96"/>
        <v>200</v>
      </c>
      <c r="N409" s="115">
        <f t="shared" si="97"/>
        <v>200</v>
      </c>
      <c r="O409" s="115">
        <f t="shared" si="98"/>
        <v>200</v>
      </c>
      <c r="P409" s="115">
        <f t="shared" si="99"/>
        <v>200</v>
      </c>
      <c r="Q409" s="125"/>
      <c r="R409" s="125"/>
      <c r="S409" s="125"/>
      <c r="T409" s="125">
        <v>200</v>
      </c>
      <c r="U409" s="125"/>
      <c r="V409" s="125"/>
      <c r="W409" s="125"/>
      <c r="X409" s="125"/>
      <c r="Y409" s="125"/>
      <c r="Z409" s="125"/>
      <c r="AA409" s="125"/>
      <c r="AB409" s="125"/>
      <c r="AC409" s="124"/>
      <c r="AD409" s="117"/>
      <c r="AE409" s="1"/>
      <c r="AF409" s="120"/>
      <c r="AG409" s="1"/>
      <c r="AH409" s="120"/>
    </row>
    <row r="410" spans="1:34">
      <c r="A410" s="150"/>
      <c r="B410" s="128"/>
      <c r="C410" s="128" t="s">
        <v>1437</v>
      </c>
      <c r="D410" s="128"/>
      <c r="E410" s="117"/>
      <c r="F410" s="117"/>
      <c r="G410" s="117"/>
      <c r="H410" s="115">
        <f t="shared" si="91"/>
        <v>754</v>
      </c>
      <c r="I410" s="115">
        <f t="shared" si="92"/>
        <v>754</v>
      </c>
      <c r="J410" s="115">
        <f t="shared" si="93"/>
        <v>754</v>
      </c>
      <c r="K410" s="115">
        <f t="shared" si="94"/>
        <v>754</v>
      </c>
      <c r="L410" s="115">
        <f t="shared" si="95"/>
        <v>754</v>
      </c>
      <c r="M410" s="115">
        <f t="shared" si="96"/>
        <v>754</v>
      </c>
      <c r="N410" s="115">
        <f t="shared" si="97"/>
        <v>754</v>
      </c>
      <c r="O410" s="115">
        <f t="shared" si="98"/>
        <v>754</v>
      </c>
      <c r="P410" s="115">
        <f t="shared" si="99"/>
        <v>754</v>
      </c>
      <c r="Q410" s="125"/>
      <c r="R410" s="125"/>
      <c r="S410" s="125"/>
      <c r="T410" s="125">
        <v>754</v>
      </c>
      <c r="U410" s="125"/>
      <c r="V410" s="125"/>
      <c r="W410" s="125"/>
      <c r="X410" s="125"/>
      <c r="Y410" s="125"/>
      <c r="Z410" s="125"/>
      <c r="AA410" s="125"/>
      <c r="AB410" s="125"/>
      <c r="AC410" s="124"/>
      <c r="AD410" s="117"/>
      <c r="AE410" s="1"/>
      <c r="AF410" s="120"/>
      <c r="AG410" s="1"/>
      <c r="AH410" s="120"/>
    </row>
    <row r="411" spans="1:34">
      <c r="A411" s="150"/>
      <c r="B411" s="128"/>
      <c r="C411" s="128" t="s">
        <v>1438</v>
      </c>
      <c r="D411" s="128"/>
      <c r="E411" s="117"/>
      <c r="F411" s="117"/>
      <c r="G411" s="117"/>
      <c r="H411" s="115">
        <f t="shared" si="91"/>
        <v>100</v>
      </c>
      <c r="I411" s="115">
        <f t="shared" si="92"/>
        <v>100</v>
      </c>
      <c r="J411" s="115">
        <f t="shared" si="93"/>
        <v>100</v>
      </c>
      <c r="K411" s="115">
        <f t="shared" si="94"/>
        <v>100</v>
      </c>
      <c r="L411" s="115">
        <f t="shared" si="95"/>
        <v>100</v>
      </c>
      <c r="M411" s="115">
        <f t="shared" si="96"/>
        <v>100</v>
      </c>
      <c r="N411" s="115">
        <f t="shared" si="97"/>
        <v>100</v>
      </c>
      <c r="O411" s="115">
        <f t="shared" si="98"/>
        <v>100</v>
      </c>
      <c r="P411" s="115">
        <f t="shared" si="99"/>
        <v>100</v>
      </c>
      <c r="Q411" s="125"/>
      <c r="R411" s="125"/>
      <c r="S411" s="125"/>
      <c r="T411" s="125">
        <v>100</v>
      </c>
      <c r="U411" s="125"/>
      <c r="V411" s="125"/>
      <c r="W411" s="125"/>
      <c r="X411" s="125"/>
      <c r="Y411" s="125"/>
      <c r="Z411" s="125"/>
      <c r="AA411" s="125"/>
      <c r="AB411" s="125"/>
      <c r="AC411" s="124"/>
      <c r="AD411" s="117"/>
      <c r="AE411" s="1"/>
      <c r="AF411" s="120"/>
      <c r="AG411" s="1"/>
      <c r="AH411" s="120"/>
    </row>
    <row r="412" spans="1:34">
      <c r="A412" s="150"/>
      <c r="B412" s="128"/>
      <c r="C412" s="128" t="s">
        <v>1439</v>
      </c>
      <c r="D412" s="128"/>
      <c r="E412" s="117"/>
      <c r="F412" s="117"/>
      <c r="G412" s="117"/>
      <c r="H412" s="115">
        <f t="shared" si="91"/>
        <v>892</v>
      </c>
      <c r="I412" s="115">
        <f t="shared" si="92"/>
        <v>892</v>
      </c>
      <c r="J412" s="115">
        <f t="shared" si="93"/>
        <v>892</v>
      </c>
      <c r="K412" s="115">
        <f t="shared" si="94"/>
        <v>892</v>
      </c>
      <c r="L412" s="115">
        <f t="shared" si="95"/>
        <v>892</v>
      </c>
      <c r="M412" s="115">
        <f t="shared" si="96"/>
        <v>892</v>
      </c>
      <c r="N412" s="115">
        <f t="shared" si="97"/>
        <v>892</v>
      </c>
      <c r="O412" s="115">
        <f t="shared" si="98"/>
        <v>892</v>
      </c>
      <c r="P412" s="115">
        <f t="shared" si="99"/>
        <v>892</v>
      </c>
      <c r="Q412" s="125"/>
      <c r="R412" s="125"/>
      <c r="S412" s="125"/>
      <c r="T412" s="125">
        <v>892</v>
      </c>
      <c r="U412" s="125"/>
      <c r="V412" s="125"/>
      <c r="W412" s="125"/>
      <c r="X412" s="125"/>
      <c r="Y412" s="125"/>
      <c r="Z412" s="125"/>
      <c r="AA412" s="125"/>
      <c r="AB412" s="125"/>
      <c r="AC412" s="124"/>
      <c r="AD412" s="117"/>
      <c r="AE412" s="1"/>
      <c r="AF412" s="120"/>
      <c r="AG412" s="1"/>
      <c r="AH412" s="120"/>
    </row>
    <row r="413" spans="1:34">
      <c r="A413" s="150"/>
      <c r="B413" s="128"/>
      <c r="C413" s="128" t="s">
        <v>1440</v>
      </c>
      <c r="D413" s="128"/>
      <c r="E413" s="117"/>
      <c r="F413" s="117"/>
      <c r="G413" s="117"/>
      <c r="H413" s="115">
        <f t="shared" si="91"/>
        <v>3000</v>
      </c>
      <c r="I413" s="115">
        <f t="shared" si="92"/>
        <v>3000</v>
      </c>
      <c r="J413" s="115">
        <f t="shared" si="93"/>
        <v>3000</v>
      </c>
      <c r="K413" s="115">
        <f t="shared" si="94"/>
        <v>3000</v>
      </c>
      <c r="L413" s="115">
        <f t="shared" si="95"/>
        <v>3000</v>
      </c>
      <c r="M413" s="115">
        <f t="shared" si="96"/>
        <v>3000</v>
      </c>
      <c r="N413" s="115">
        <f t="shared" si="97"/>
        <v>3000</v>
      </c>
      <c r="O413" s="115">
        <f t="shared" si="98"/>
        <v>3000</v>
      </c>
      <c r="P413" s="115">
        <f t="shared" si="99"/>
        <v>3000</v>
      </c>
      <c r="Q413" s="125"/>
      <c r="R413" s="125"/>
      <c r="S413" s="125"/>
      <c r="T413" s="125">
        <v>3000</v>
      </c>
      <c r="U413" s="125"/>
      <c r="V413" s="125"/>
      <c r="W413" s="125"/>
      <c r="X413" s="125"/>
      <c r="Y413" s="125"/>
      <c r="Z413" s="125"/>
      <c r="AA413" s="125"/>
      <c r="AB413" s="125"/>
      <c r="AC413" s="124"/>
      <c r="AD413" s="117"/>
      <c r="AE413" s="1"/>
      <c r="AF413" s="120"/>
      <c r="AG413" s="1"/>
      <c r="AH413" s="120"/>
    </row>
    <row r="414" spans="1:34">
      <c r="A414" s="150"/>
      <c r="B414" s="128"/>
      <c r="C414" s="128" t="s">
        <v>1441</v>
      </c>
      <c r="D414" s="128"/>
      <c r="E414" s="117"/>
      <c r="F414" s="117"/>
      <c r="G414" s="117"/>
      <c r="H414" s="115">
        <f t="shared" si="91"/>
        <v>496</v>
      </c>
      <c r="I414" s="115">
        <f t="shared" si="92"/>
        <v>496</v>
      </c>
      <c r="J414" s="115">
        <f t="shared" si="93"/>
        <v>496</v>
      </c>
      <c r="K414" s="115">
        <f t="shared" si="94"/>
        <v>496</v>
      </c>
      <c r="L414" s="115">
        <f t="shared" si="95"/>
        <v>496</v>
      </c>
      <c r="M414" s="115">
        <f t="shared" si="96"/>
        <v>496</v>
      </c>
      <c r="N414" s="115">
        <f t="shared" si="97"/>
        <v>496</v>
      </c>
      <c r="O414" s="115">
        <f t="shared" si="98"/>
        <v>496</v>
      </c>
      <c r="P414" s="115">
        <f t="shared" si="99"/>
        <v>496</v>
      </c>
      <c r="Q414" s="125"/>
      <c r="R414" s="125"/>
      <c r="S414" s="125"/>
      <c r="T414" s="125">
        <v>496</v>
      </c>
      <c r="U414" s="125"/>
      <c r="V414" s="125"/>
      <c r="W414" s="125"/>
      <c r="X414" s="125"/>
      <c r="Y414" s="125"/>
      <c r="Z414" s="125"/>
      <c r="AA414" s="125"/>
      <c r="AB414" s="125"/>
      <c r="AC414" s="124"/>
      <c r="AD414" s="117"/>
      <c r="AE414" s="1"/>
      <c r="AF414" s="120"/>
      <c r="AG414" s="1"/>
      <c r="AH414" s="120"/>
    </row>
    <row r="415" spans="1:34">
      <c r="A415" s="150"/>
      <c r="B415" s="128"/>
      <c r="C415" s="128" t="s">
        <v>1442</v>
      </c>
      <c r="D415" s="128"/>
      <c r="E415" s="117"/>
      <c r="F415" s="117"/>
      <c r="G415" s="117"/>
      <c r="H415" s="115">
        <f t="shared" si="91"/>
        <v>700</v>
      </c>
      <c r="I415" s="115">
        <f t="shared" si="92"/>
        <v>700</v>
      </c>
      <c r="J415" s="115">
        <f t="shared" si="93"/>
        <v>700</v>
      </c>
      <c r="K415" s="115">
        <f t="shared" si="94"/>
        <v>700</v>
      </c>
      <c r="L415" s="115">
        <f t="shared" si="95"/>
        <v>700</v>
      </c>
      <c r="M415" s="115">
        <f t="shared" si="96"/>
        <v>700</v>
      </c>
      <c r="N415" s="115">
        <f t="shared" si="97"/>
        <v>700</v>
      </c>
      <c r="O415" s="115">
        <f t="shared" si="98"/>
        <v>700</v>
      </c>
      <c r="P415" s="115">
        <f t="shared" si="99"/>
        <v>700</v>
      </c>
      <c r="Q415" s="125"/>
      <c r="R415" s="125"/>
      <c r="S415" s="125"/>
      <c r="T415" s="125">
        <v>700</v>
      </c>
      <c r="U415" s="125"/>
      <c r="V415" s="125"/>
      <c r="W415" s="125"/>
      <c r="X415" s="125"/>
      <c r="Y415" s="125"/>
      <c r="Z415" s="125"/>
      <c r="AA415" s="125"/>
      <c r="AB415" s="125"/>
      <c r="AC415" s="124"/>
      <c r="AD415" s="117"/>
      <c r="AE415" s="1"/>
      <c r="AF415" s="120"/>
      <c r="AG415" s="1"/>
      <c r="AH415" s="120"/>
    </row>
    <row r="416" spans="1:34">
      <c r="A416" s="150"/>
      <c r="B416" s="128"/>
      <c r="C416" s="128" t="s">
        <v>1443</v>
      </c>
      <c r="D416" s="128"/>
      <c r="E416" s="117"/>
      <c r="F416" s="117"/>
      <c r="G416" s="117"/>
      <c r="H416" s="115">
        <f t="shared" si="91"/>
        <v>3000</v>
      </c>
      <c r="I416" s="115">
        <f t="shared" si="92"/>
        <v>3000</v>
      </c>
      <c r="J416" s="115">
        <f t="shared" si="93"/>
        <v>3000</v>
      </c>
      <c r="K416" s="115">
        <f t="shared" si="94"/>
        <v>3000</v>
      </c>
      <c r="L416" s="115">
        <f t="shared" si="95"/>
        <v>3000</v>
      </c>
      <c r="M416" s="115">
        <f t="shared" si="96"/>
        <v>3000</v>
      </c>
      <c r="N416" s="115">
        <f t="shared" si="97"/>
        <v>3000</v>
      </c>
      <c r="O416" s="115">
        <f t="shared" si="98"/>
        <v>3000</v>
      </c>
      <c r="P416" s="115">
        <f t="shared" si="99"/>
        <v>3000</v>
      </c>
      <c r="Q416" s="125"/>
      <c r="R416" s="125"/>
      <c r="S416" s="125"/>
      <c r="T416" s="125">
        <v>3000</v>
      </c>
      <c r="U416" s="125"/>
      <c r="V416" s="125"/>
      <c r="W416" s="125"/>
      <c r="X416" s="125"/>
      <c r="Y416" s="125"/>
      <c r="Z416" s="125"/>
      <c r="AA416" s="125"/>
      <c r="AB416" s="125"/>
      <c r="AC416" s="124"/>
      <c r="AD416" s="117"/>
      <c r="AE416" s="1"/>
      <c r="AF416" s="120"/>
      <c r="AG416" s="1"/>
      <c r="AH416" s="120"/>
    </row>
    <row r="417" spans="1:34">
      <c r="A417" s="150"/>
      <c r="B417" s="128"/>
      <c r="C417" s="128" t="s">
        <v>1444</v>
      </c>
      <c r="D417" s="128"/>
      <c r="E417" s="117"/>
      <c r="F417" s="117"/>
      <c r="G417" s="117"/>
      <c r="H417" s="115">
        <f t="shared" si="91"/>
        <v>1262.6500000000001</v>
      </c>
      <c r="I417" s="115">
        <f t="shared" si="92"/>
        <v>1262.6500000000001</v>
      </c>
      <c r="J417" s="115">
        <f t="shared" si="93"/>
        <v>1262.6500000000001</v>
      </c>
      <c r="K417" s="115">
        <f t="shared" si="94"/>
        <v>1262.6500000000001</v>
      </c>
      <c r="L417" s="115">
        <f t="shared" si="95"/>
        <v>1262.6500000000001</v>
      </c>
      <c r="M417" s="115">
        <f t="shared" si="96"/>
        <v>1262.6500000000001</v>
      </c>
      <c r="N417" s="115">
        <f t="shared" si="97"/>
        <v>1262.6500000000001</v>
      </c>
      <c r="O417" s="115">
        <f t="shared" si="98"/>
        <v>1262.6500000000001</v>
      </c>
      <c r="P417" s="115">
        <f t="shared" si="99"/>
        <v>1262.6500000000001</v>
      </c>
      <c r="Q417" s="125"/>
      <c r="R417" s="125"/>
      <c r="S417" s="125"/>
      <c r="T417" s="125">
        <v>1262.6500000000001</v>
      </c>
      <c r="U417" s="125"/>
      <c r="V417" s="125"/>
      <c r="W417" s="125"/>
      <c r="X417" s="125"/>
      <c r="Y417" s="125"/>
      <c r="Z417" s="125"/>
      <c r="AA417" s="125"/>
      <c r="AB417" s="125"/>
      <c r="AC417" s="124"/>
      <c r="AD417" s="117"/>
      <c r="AE417" s="1"/>
      <c r="AF417" s="120"/>
      <c r="AG417" s="1"/>
      <c r="AH417" s="120"/>
    </row>
    <row r="418" spans="1:34">
      <c r="A418" s="150"/>
      <c r="B418" s="128"/>
      <c r="C418" s="128" t="s">
        <v>1445</v>
      </c>
      <c r="D418" s="128"/>
      <c r="E418" s="117"/>
      <c r="F418" s="117"/>
      <c r="G418" s="117"/>
      <c r="H418" s="115">
        <f t="shared" si="91"/>
        <v>3000</v>
      </c>
      <c r="I418" s="115">
        <f t="shared" si="92"/>
        <v>3000</v>
      </c>
      <c r="J418" s="115">
        <f t="shared" si="93"/>
        <v>3000</v>
      </c>
      <c r="K418" s="115">
        <f t="shared" si="94"/>
        <v>3000</v>
      </c>
      <c r="L418" s="115">
        <f t="shared" si="95"/>
        <v>3000</v>
      </c>
      <c r="M418" s="115">
        <f t="shared" si="96"/>
        <v>3000</v>
      </c>
      <c r="N418" s="115">
        <f t="shared" si="97"/>
        <v>3000</v>
      </c>
      <c r="O418" s="115">
        <f t="shared" si="98"/>
        <v>3000</v>
      </c>
      <c r="P418" s="115">
        <f t="shared" si="99"/>
        <v>3000</v>
      </c>
      <c r="Q418" s="125"/>
      <c r="R418" s="125"/>
      <c r="S418" s="125"/>
      <c r="T418" s="125">
        <v>3000</v>
      </c>
      <c r="U418" s="125"/>
      <c r="V418" s="125"/>
      <c r="W418" s="125"/>
      <c r="X418" s="125"/>
      <c r="Y418" s="125"/>
      <c r="Z418" s="125"/>
      <c r="AA418" s="125"/>
      <c r="AB418" s="125"/>
      <c r="AC418" s="124"/>
      <c r="AD418" s="117"/>
      <c r="AE418" s="1"/>
      <c r="AF418" s="120"/>
      <c r="AG418" s="1"/>
      <c r="AH418" s="120"/>
    </row>
    <row r="419" spans="1:34">
      <c r="A419" s="150"/>
      <c r="B419" s="128"/>
      <c r="C419" s="128" t="s">
        <v>1446</v>
      </c>
      <c r="D419" s="128"/>
      <c r="E419" s="117"/>
      <c r="F419" s="117"/>
      <c r="G419" s="117"/>
      <c r="H419" s="115">
        <f t="shared" si="91"/>
        <v>200</v>
      </c>
      <c r="I419" s="115">
        <f t="shared" si="92"/>
        <v>200</v>
      </c>
      <c r="J419" s="115">
        <f t="shared" si="93"/>
        <v>200</v>
      </c>
      <c r="K419" s="115">
        <f t="shared" si="94"/>
        <v>200</v>
      </c>
      <c r="L419" s="115">
        <f t="shared" si="95"/>
        <v>200</v>
      </c>
      <c r="M419" s="115">
        <f t="shared" si="96"/>
        <v>200</v>
      </c>
      <c r="N419" s="115">
        <f t="shared" si="97"/>
        <v>200</v>
      </c>
      <c r="O419" s="115">
        <f t="shared" si="98"/>
        <v>200</v>
      </c>
      <c r="P419" s="115">
        <f t="shared" si="99"/>
        <v>200</v>
      </c>
      <c r="Q419" s="125"/>
      <c r="R419" s="125"/>
      <c r="S419" s="125"/>
      <c r="T419" s="125">
        <v>200</v>
      </c>
      <c r="U419" s="125"/>
      <c r="V419" s="125"/>
      <c r="W419" s="125"/>
      <c r="X419" s="125"/>
      <c r="Y419" s="125"/>
      <c r="Z419" s="125"/>
      <c r="AA419" s="125"/>
      <c r="AB419" s="125"/>
      <c r="AC419" s="124"/>
      <c r="AD419" s="117"/>
      <c r="AE419" s="1"/>
      <c r="AF419" s="120"/>
      <c r="AG419" s="1"/>
      <c r="AH419" s="120"/>
    </row>
    <row r="420" spans="1:34">
      <c r="A420" s="150"/>
      <c r="B420" s="128"/>
      <c r="C420" s="128" t="s">
        <v>1447</v>
      </c>
      <c r="D420" s="128"/>
      <c r="E420" s="117"/>
      <c r="F420" s="117"/>
      <c r="G420" s="117"/>
      <c r="H420" s="115">
        <f t="shared" si="91"/>
        <v>1000</v>
      </c>
      <c r="I420" s="115">
        <f t="shared" si="92"/>
        <v>1000</v>
      </c>
      <c r="J420" s="115">
        <f t="shared" si="93"/>
        <v>1000</v>
      </c>
      <c r="K420" s="115">
        <f t="shared" si="94"/>
        <v>1000</v>
      </c>
      <c r="L420" s="115">
        <f t="shared" si="95"/>
        <v>1000</v>
      </c>
      <c r="M420" s="115">
        <f t="shared" si="96"/>
        <v>1000</v>
      </c>
      <c r="N420" s="115">
        <f t="shared" si="97"/>
        <v>1000</v>
      </c>
      <c r="O420" s="115">
        <f t="shared" si="98"/>
        <v>1000</v>
      </c>
      <c r="P420" s="115">
        <f t="shared" si="99"/>
        <v>1000</v>
      </c>
      <c r="Q420" s="125"/>
      <c r="R420" s="125"/>
      <c r="S420" s="125"/>
      <c r="T420" s="125">
        <v>1000</v>
      </c>
      <c r="U420" s="125"/>
      <c r="V420" s="125"/>
      <c r="W420" s="125"/>
      <c r="X420" s="125"/>
      <c r="Y420" s="125"/>
      <c r="Z420" s="125"/>
      <c r="AA420" s="125"/>
      <c r="AB420" s="125"/>
      <c r="AC420" s="124"/>
      <c r="AD420" s="117"/>
      <c r="AE420" s="1"/>
      <c r="AF420" s="120"/>
      <c r="AG420" s="1"/>
      <c r="AH420" s="120"/>
    </row>
    <row r="421" spans="1:34">
      <c r="A421" s="150"/>
      <c r="B421" s="128"/>
      <c r="C421" s="128" t="s">
        <v>1448</v>
      </c>
      <c r="D421" s="128"/>
      <c r="E421" s="117"/>
      <c r="F421" s="117"/>
      <c r="G421" s="117"/>
      <c r="H421" s="115">
        <f t="shared" si="91"/>
        <v>397</v>
      </c>
      <c r="I421" s="115">
        <f t="shared" si="92"/>
        <v>397</v>
      </c>
      <c r="J421" s="115">
        <f t="shared" si="93"/>
        <v>397</v>
      </c>
      <c r="K421" s="115">
        <f t="shared" si="94"/>
        <v>397</v>
      </c>
      <c r="L421" s="115">
        <f t="shared" si="95"/>
        <v>397</v>
      </c>
      <c r="M421" s="115">
        <f t="shared" si="96"/>
        <v>397</v>
      </c>
      <c r="N421" s="115">
        <f t="shared" si="97"/>
        <v>397</v>
      </c>
      <c r="O421" s="115">
        <f t="shared" si="98"/>
        <v>397</v>
      </c>
      <c r="P421" s="115">
        <f t="shared" si="99"/>
        <v>397</v>
      </c>
      <c r="Q421" s="125"/>
      <c r="R421" s="125"/>
      <c r="S421" s="125"/>
      <c r="T421" s="125">
        <v>397</v>
      </c>
      <c r="U421" s="125"/>
      <c r="V421" s="125"/>
      <c r="W421" s="125"/>
      <c r="X421" s="125"/>
      <c r="Y421" s="125"/>
      <c r="Z421" s="125"/>
      <c r="AA421" s="125"/>
      <c r="AB421" s="125"/>
      <c r="AC421" s="124"/>
      <c r="AD421" s="117"/>
      <c r="AE421" s="1"/>
      <c r="AF421" s="120"/>
      <c r="AG421" s="1"/>
      <c r="AH421" s="120"/>
    </row>
    <row r="422" spans="1:34">
      <c r="A422" s="150"/>
      <c r="B422" s="128"/>
      <c r="C422" s="128" t="s">
        <v>1449</v>
      </c>
      <c r="D422" s="128"/>
      <c r="E422" s="117"/>
      <c r="F422" s="117"/>
      <c r="G422" s="117"/>
      <c r="H422" s="115">
        <f t="shared" si="91"/>
        <v>1000</v>
      </c>
      <c r="I422" s="115">
        <f t="shared" si="92"/>
        <v>1000</v>
      </c>
      <c r="J422" s="115">
        <f t="shared" si="93"/>
        <v>1000</v>
      </c>
      <c r="K422" s="115">
        <f t="shared" si="94"/>
        <v>1000</v>
      </c>
      <c r="L422" s="115">
        <f t="shared" si="95"/>
        <v>1000</v>
      </c>
      <c r="M422" s="115">
        <f t="shared" si="96"/>
        <v>1000</v>
      </c>
      <c r="N422" s="115">
        <f t="shared" si="97"/>
        <v>1000</v>
      </c>
      <c r="O422" s="115">
        <f t="shared" si="98"/>
        <v>1000</v>
      </c>
      <c r="P422" s="115">
        <f t="shared" si="99"/>
        <v>1000</v>
      </c>
      <c r="Q422" s="125"/>
      <c r="R422" s="125"/>
      <c r="S422" s="125"/>
      <c r="T422" s="125">
        <v>1000</v>
      </c>
      <c r="U422" s="125"/>
      <c r="V422" s="125"/>
      <c r="W422" s="125"/>
      <c r="X422" s="125"/>
      <c r="Y422" s="125"/>
      <c r="Z422" s="125"/>
      <c r="AA422" s="125"/>
      <c r="AB422" s="125"/>
      <c r="AC422" s="124"/>
      <c r="AD422" s="117"/>
      <c r="AE422" s="1"/>
      <c r="AF422" s="120"/>
      <c r="AG422" s="1"/>
      <c r="AH422" s="120"/>
    </row>
    <row r="423" spans="1:34">
      <c r="A423" s="150"/>
      <c r="B423" s="128"/>
      <c r="C423" s="128" t="s">
        <v>1450</v>
      </c>
      <c r="D423" s="128"/>
      <c r="E423" s="117"/>
      <c r="F423" s="117"/>
      <c r="G423" s="117"/>
      <c r="H423" s="115">
        <f t="shared" si="91"/>
        <v>892</v>
      </c>
      <c r="I423" s="115">
        <f t="shared" si="92"/>
        <v>892</v>
      </c>
      <c r="J423" s="115">
        <f t="shared" si="93"/>
        <v>892</v>
      </c>
      <c r="K423" s="115">
        <f t="shared" si="94"/>
        <v>892</v>
      </c>
      <c r="L423" s="115">
        <f t="shared" si="95"/>
        <v>892</v>
      </c>
      <c r="M423" s="115">
        <f t="shared" si="96"/>
        <v>892</v>
      </c>
      <c r="N423" s="115">
        <f t="shared" si="97"/>
        <v>892</v>
      </c>
      <c r="O423" s="115">
        <f t="shared" si="98"/>
        <v>892</v>
      </c>
      <c r="P423" s="115">
        <f t="shared" si="99"/>
        <v>892</v>
      </c>
      <c r="Q423" s="125"/>
      <c r="R423" s="125"/>
      <c r="S423" s="125"/>
      <c r="T423" s="125">
        <v>892</v>
      </c>
      <c r="U423" s="125"/>
      <c r="V423" s="125"/>
      <c r="W423" s="125"/>
      <c r="X423" s="125"/>
      <c r="Y423" s="125"/>
      <c r="Z423" s="125"/>
      <c r="AA423" s="125"/>
      <c r="AB423" s="125"/>
      <c r="AC423" s="124"/>
      <c r="AD423" s="117"/>
      <c r="AE423" s="1"/>
      <c r="AF423" s="120"/>
      <c r="AG423" s="1"/>
      <c r="AH423" s="120"/>
    </row>
    <row r="424" spans="1:34">
      <c r="A424" s="150"/>
      <c r="B424" s="128"/>
      <c r="C424" s="128" t="s">
        <v>1451</v>
      </c>
      <c r="D424" s="128"/>
      <c r="E424" s="117"/>
      <c r="F424" s="117"/>
      <c r="G424" s="117"/>
      <c r="H424" s="115">
        <f t="shared" si="91"/>
        <v>618</v>
      </c>
      <c r="I424" s="115">
        <f t="shared" si="92"/>
        <v>618</v>
      </c>
      <c r="J424" s="115">
        <f t="shared" si="93"/>
        <v>618</v>
      </c>
      <c r="K424" s="115">
        <f t="shared" si="94"/>
        <v>618</v>
      </c>
      <c r="L424" s="115">
        <f t="shared" si="95"/>
        <v>618</v>
      </c>
      <c r="M424" s="115">
        <f t="shared" si="96"/>
        <v>618</v>
      </c>
      <c r="N424" s="115">
        <f t="shared" si="97"/>
        <v>618</v>
      </c>
      <c r="O424" s="115">
        <f t="shared" si="98"/>
        <v>618</v>
      </c>
      <c r="P424" s="115">
        <f t="shared" si="99"/>
        <v>618</v>
      </c>
      <c r="Q424" s="125"/>
      <c r="R424" s="125"/>
      <c r="S424" s="125"/>
      <c r="T424" s="125">
        <v>618</v>
      </c>
      <c r="U424" s="125"/>
      <c r="V424" s="125"/>
      <c r="W424" s="125"/>
      <c r="X424" s="125"/>
      <c r="Y424" s="125"/>
      <c r="Z424" s="125"/>
      <c r="AA424" s="125"/>
      <c r="AB424" s="125"/>
      <c r="AC424" s="124"/>
      <c r="AD424" s="117"/>
      <c r="AE424" s="1"/>
      <c r="AF424" s="120"/>
      <c r="AG424" s="1"/>
      <c r="AH424" s="120"/>
    </row>
    <row r="425" spans="1:34">
      <c r="A425" s="150"/>
      <c r="B425" s="128"/>
      <c r="C425" s="128" t="s">
        <v>1452</v>
      </c>
      <c r="D425" s="128"/>
      <c r="E425" s="117"/>
      <c r="F425" s="117"/>
      <c r="G425" s="117"/>
      <c r="H425" s="115">
        <f t="shared" si="91"/>
        <v>1000</v>
      </c>
      <c r="I425" s="115">
        <f t="shared" si="92"/>
        <v>1000</v>
      </c>
      <c r="J425" s="115">
        <f t="shared" si="93"/>
        <v>1000</v>
      </c>
      <c r="K425" s="115">
        <f t="shared" si="94"/>
        <v>1000</v>
      </c>
      <c r="L425" s="115">
        <f t="shared" si="95"/>
        <v>1000</v>
      </c>
      <c r="M425" s="115">
        <f t="shared" si="96"/>
        <v>1000</v>
      </c>
      <c r="N425" s="115">
        <f t="shared" si="97"/>
        <v>1000</v>
      </c>
      <c r="O425" s="115">
        <f t="shared" si="98"/>
        <v>1000</v>
      </c>
      <c r="P425" s="115">
        <f t="shared" si="99"/>
        <v>1000</v>
      </c>
      <c r="Q425" s="125"/>
      <c r="R425" s="125"/>
      <c r="S425" s="125"/>
      <c r="T425" s="125">
        <v>1000</v>
      </c>
      <c r="U425" s="125"/>
      <c r="V425" s="125"/>
      <c r="W425" s="125"/>
      <c r="X425" s="125"/>
      <c r="Y425" s="125"/>
      <c r="Z425" s="125"/>
      <c r="AA425" s="125"/>
      <c r="AB425" s="125"/>
      <c r="AC425" s="124"/>
      <c r="AD425" s="117"/>
      <c r="AE425" s="1"/>
      <c r="AF425" s="120"/>
      <c r="AG425" s="1"/>
      <c r="AH425" s="120"/>
    </row>
    <row r="426" spans="1:34">
      <c r="A426" s="150"/>
      <c r="B426" s="128"/>
      <c r="C426" s="128" t="s">
        <v>1453</v>
      </c>
      <c r="D426" s="128"/>
      <c r="E426" s="117"/>
      <c r="F426" s="117"/>
      <c r="G426" s="117"/>
      <c r="H426" s="115">
        <f t="shared" si="91"/>
        <v>1000</v>
      </c>
      <c r="I426" s="115">
        <f t="shared" si="92"/>
        <v>1000</v>
      </c>
      <c r="J426" s="115">
        <f t="shared" si="93"/>
        <v>1000</v>
      </c>
      <c r="K426" s="115">
        <f t="shared" si="94"/>
        <v>1000</v>
      </c>
      <c r="L426" s="115">
        <f t="shared" si="95"/>
        <v>1000</v>
      </c>
      <c r="M426" s="115">
        <f t="shared" si="96"/>
        <v>1000</v>
      </c>
      <c r="N426" s="115">
        <f t="shared" si="97"/>
        <v>1000</v>
      </c>
      <c r="O426" s="115">
        <f t="shared" si="98"/>
        <v>1000</v>
      </c>
      <c r="P426" s="115">
        <f t="shared" si="99"/>
        <v>1000</v>
      </c>
      <c r="Q426" s="125"/>
      <c r="R426" s="125"/>
      <c r="S426" s="125"/>
      <c r="T426" s="125">
        <v>1000</v>
      </c>
      <c r="U426" s="125"/>
      <c r="V426" s="125"/>
      <c r="W426" s="125"/>
      <c r="X426" s="125"/>
      <c r="Y426" s="125"/>
      <c r="Z426" s="125"/>
      <c r="AA426" s="125"/>
      <c r="AB426" s="125"/>
      <c r="AC426" s="124"/>
      <c r="AD426" s="117"/>
      <c r="AE426" s="1"/>
      <c r="AF426" s="120"/>
      <c r="AG426" s="1"/>
      <c r="AH426" s="120"/>
    </row>
    <row r="427" spans="1:34">
      <c r="A427" s="150"/>
      <c r="B427" s="128"/>
      <c r="C427" s="128" t="s">
        <v>1454</v>
      </c>
      <c r="D427" s="128"/>
      <c r="E427" s="117"/>
      <c r="F427" s="117"/>
      <c r="G427" s="117"/>
      <c r="H427" s="115">
        <f t="shared" si="91"/>
        <v>826</v>
      </c>
      <c r="I427" s="115">
        <f t="shared" si="92"/>
        <v>826</v>
      </c>
      <c r="J427" s="115">
        <f t="shared" si="93"/>
        <v>826</v>
      </c>
      <c r="K427" s="115">
        <f t="shared" si="94"/>
        <v>826</v>
      </c>
      <c r="L427" s="115">
        <f t="shared" si="95"/>
        <v>826</v>
      </c>
      <c r="M427" s="115">
        <f t="shared" si="96"/>
        <v>826</v>
      </c>
      <c r="N427" s="115">
        <f t="shared" si="97"/>
        <v>826</v>
      </c>
      <c r="O427" s="115">
        <f t="shared" si="98"/>
        <v>826</v>
      </c>
      <c r="P427" s="115">
        <f t="shared" si="99"/>
        <v>826</v>
      </c>
      <c r="Q427" s="125"/>
      <c r="R427" s="125"/>
      <c r="S427" s="125"/>
      <c r="T427" s="125">
        <v>826</v>
      </c>
      <c r="U427" s="125"/>
      <c r="V427" s="125"/>
      <c r="W427" s="125"/>
      <c r="X427" s="125"/>
      <c r="Y427" s="125"/>
      <c r="Z427" s="125"/>
      <c r="AA427" s="125"/>
      <c r="AB427" s="125"/>
      <c r="AC427" s="124"/>
      <c r="AD427" s="117"/>
      <c r="AE427" s="1"/>
      <c r="AF427" s="120"/>
      <c r="AG427" s="1"/>
      <c r="AH427" s="120"/>
    </row>
    <row r="428" spans="1:34">
      <c r="A428" s="150"/>
      <c r="B428" s="128"/>
      <c r="C428" s="128" t="s">
        <v>1455</v>
      </c>
      <c r="D428" s="128"/>
      <c r="E428" s="117"/>
      <c r="F428" s="117"/>
      <c r="G428" s="117"/>
      <c r="H428" s="115">
        <f t="shared" si="91"/>
        <v>500</v>
      </c>
      <c r="I428" s="115">
        <f t="shared" si="92"/>
        <v>500</v>
      </c>
      <c r="J428" s="115">
        <f t="shared" si="93"/>
        <v>500</v>
      </c>
      <c r="K428" s="115">
        <f t="shared" si="94"/>
        <v>500</v>
      </c>
      <c r="L428" s="115">
        <f t="shared" si="95"/>
        <v>500</v>
      </c>
      <c r="M428" s="115">
        <f t="shared" si="96"/>
        <v>500</v>
      </c>
      <c r="N428" s="115">
        <f t="shared" si="97"/>
        <v>500</v>
      </c>
      <c r="O428" s="115">
        <f t="shared" si="98"/>
        <v>500</v>
      </c>
      <c r="P428" s="115">
        <f t="shared" si="99"/>
        <v>500</v>
      </c>
      <c r="Q428" s="125"/>
      <c r="R428" s="125"/>
      <c r="S428" s="125"/>
      <c r="T428" s="125">
        <v>500</v>
      </c>
      <c r="U428" s="125"/>
      <c r="V428" s="125"/>
      <c r="W428" s="125"/>
      <c r="X428" s="125"/>
      <c r="Y428" s="125"/>
      <c r="Z428" s="125"/>
      <c r="AA428" s="125"/>
      <c r="AB428" s="125"/>
      <c r="AC428" s="124"/>
      <c r="AD428" s="117"/>
      <c r="AE428" s="1"/>
      <c r="AF428" s="120"/>
      <c r="AG428" s="1"/>
      <c r="AH428" s="120"/>
    </row>
    <row r="429" spans="1:34">
      <c r="A429" s="150"/>
      <c r="B429" s="128"/>
      <c r="C429" s="128" t="s">
        <v>1456</v>
      </c>
      <c r="D429" s="128"/>
      <c r="E429" s="117"/>
      <c r="F429" s="117"/>
      <c r="G429" s="117"/>
      <c r="H429" s="115">
        <f t="shared" si="91"/>
        <v>800</v>
      </c>
      <c r="I429" s="115">
        <f t="shared" si="92"/>
        <v>800</v>
      </c>
      <c r="J429" s="115">
        <f t="shared" si="93"/>
        <v>800</v>
      </c>
      <c r="K429" s="115">
        <f t="shared" si="94"/>
        <v>800</v>
      </c>
      <c r="L429" s="115">
        <f t="shared" si="95"/>
        <v>800</v>
      </c>
      <c r="M429" s="115">
        <f t="shared" si="96"/>
        <v>800</v>
      </c>
      <c r="N429" s="115">
        <f t="shared" si="97"/>
        <v>800</v>
      </c>
      <c r="O429" s="115">
        <f t="shared" si="98"/>
        <v>800</v>
      </c>
      <c r="P429" s="115">
        <f t="shared" si="99"/>
        <v>800</v>
      </c>
      <c r="Q429" s="125"/>
      <c r="R429" s="125"/>
      <c r="S429" s="125"/>
      <c r="T429" s="125">
        <v>800</v>
      </c>
      <c r="U429" s="125"/>
      <c r="V429" s="125"/>
      <c r="W429" s="125"/>
      <c r="X429" s="125"/>
      <c r="Y429" s="125"/>
      <c r="Z429" s="125"/>
      <c r="AA429" s="125"/>
      <c r="AB429" s="125"/>
      <c r="AC429" s="124"/>
      <c r="AD429" s="117"/>
      <c r="AE429" s="1"/>
      <c r="AF429" s="120"/>
      <c r="AG429" s="1"/>
      <c r="AH429" s="120"/>
    </row>
    <row r="430" spans="1:34">
      <c r="A430" s="150"/>
      <c r="B430" s="128"/>
      <c r="C430" s="128" t="s">
        <v>1457</v>
      </c>
      <c r="D430" s="128"/>
      <c r="E430" s="117"/>
      <c r="F430" s="117"/>
      <c r="G430" s="117"/>
      <c r="H430" s="115">
        <f t="shared" si="91"/>
        <v>1000</v>
      </c>
      <c r="I430" s="115">
        <f t="shared" si="92"/>
        <v>1000</v>
      </c>
      <c r="J430" s="115">
        <f t="shared" si="93"/>
        <v>1000</v>
      </c>
      <c r="K430" s="115">
        <f t="shared" si="94"/>
        <v>1000</v>
      </c>
      <c r="L430" s="115">
        <f t="shared" si="95"/>
        <v>1000</v>
      </c>
      <c r="M430" s="115">
        <f t="shared" si="96"/>
        <v>1000</v>
      </c>
      <c r="N430" s="115">
        <f t="shared" si="97"/>
        <v>1000</v>
      </c>
      <c r="O430" s="115">
        <f t="shared" si="98"/>
        <v>1000</v>
      </c>
      <c r="P430" s="115">
        <f t="shared" si="99"/>
        <v>1000</v>
      </c>
      <c r="Q430" s="125"/>
      <c r="R430" s="125"/>
      <c r="S430" s="125"/>
      <c r="T430" s="125">
        <v>1000</v>
      </c>
      <c r="U430" s="125"/>
      <c r="V430" s="125"/>
      <c r="W430" s="125"/>
      <c r="X430" s="125"/>
      <c r="Y430" s="125"/>
      <c r="Z430" s="125"/>
      <c r="AA430" s="125"/>
      <c r="AB430" s="125"/>
      <c r="AC430" s="124"/>
      <c r="AD430" s="117"/>
      <c r="AE430" s="1"/>
      <c r="AF430" s="120"/>
      <c r="AG430" s="1"/>
      <c r="AH430" s="120"/>
    </row>
    <row r="431" spans="1:34">
      <c r="A431" s="150"/>
      <c r="B431" s="128"/>
      <c r="C431" s="128" t="s">
        <v>1458</v>
      </c>
      <c r="D431" s="128"/>
      <c r="E431" s="117"/>
      <c r="F431" s="117"/>
      <c r="G431" s="117"/>
      <c r="H431" s="115">
        <f t="shared" ref="H431:H494" si="100">Q431+R431+S431+T431</f>
        <v>1107</v>
      </c>
      <c r="I431" s="115">
        <f t="shared" ref="I431:I494" si="101">Q431+R431+S431+T431+U431</f>
        <v>1107</v>
      </c>
      <c r="J431" s="115">
        <f t="shared" ref="J431:J494" si="102">Q431+R431+S431+T431+U431+V431</f>
        <v>1107</v>
      </c>
      <c r="K431" s="115">
        <f t="shared" ref="K431:K494" si="103">Q431+R431+S431+T431+U431+V431+W431</f>
        <v>1107</v>
      </c>
      <c r="L431" s="115">
        <f t="shared" ref="L431:L494" si="104">Q431+R431+S431+T431+U431+V431+W431+X431</f>
        <v>1107</v>
      </c>
      <c r="M431" s="115">
        <f t="shared" ref="M431:M494" si="105">Q431+R431+S431+T431+U431+V431+W431+X431+Y431</f>
        <v>1107</v>
      </c>
      <c r="N431" s="115">
        <f t="shared" ref="N431:N494" si="106">Q431+R431+S431+T431+U431+V431+W431+X431+Y431+Z431</f>
        <v>1107</v>
      </c>
      <c r="O431" s="115">
        <f t="shared" ref="O431:O494" si="107">Q431+R431+S431+T431+U431+V431+W431+X431+Y431+Z431+AA431</f>
        <v>1107</v>
      </c>
      <c r="P431" s="115">
        <f t="shared" ref="P431:P494" si="108">Q431+R431+S431+T431+U431+V431+W431+X431+Y431+Z431+AA431+AB431</f>
        <v>1107</v>
      </c>
      <c r="Q431" s="125"/>
      <c r="R431" s="125"/>
      <c r="S431" s="125"/>
      <c r="T431" s="125">
        <v>1107</v>
      </c>
      <c r="U431" s="125"/>
      <c r="V431" s="125"/>
      <c r="W431" s="125"/>
      <c r="X431" s="125"/>
      <c r="Y431" s="125"/>
      <c r="Z431" s="125"/>
      <c r="AA431" s="125"/>
      <c r="AB431" s="125"/>
      <c r="AC431" s="124"/>
      <c r="AD431" s="117"/>
      <c r="AE431" s="1"/>
      <c r="AF431" s="120"/>
      <c r="AG431" s="1"/>
      <c r="AH431" s="120"/>
    </row>
    <row r="432" spans="1:34">
      <c r="A432" s="150"/>
      <c r="B432" s="128"/>
      <c r="C432" s="128" t="s">
        <v>1459</v>
      </c>
      <c r="D432" s="128"/>
      <c r="E432" s="117"/>
      <c r="F432" s="117"/>
      <c r="G432" s="117"/>
      <c r="H432" s="115">
        <f t="shared" si="100"/>
        <v>3000</v>
      </c>
      <c r="I432" s="115">
        <f t="shared" si="101"/>
        <v>3000</v>
      </c>
      <c r="J432" s="115">
        <f t="shared" si="102"/>
        <v>3000</v>
      </c>
      <c r="K432" s="115">
        <f t="shared" si="103"/>
        <v>3000</v>
      </c>
      <c r="L432" s="115">
        <f t="shared" si="104"/>
        <v>3000</v>
      </c>
      <c r="M432" s="115">
        <f t="shared" si="105"/>
        <v>3000</v>
      </c>
      <c r="N432" s="115">
        <f t="shared" si="106"/>
        <v>3000</v>
      </c>
      <c r="O432" s="115">
        <f t="shared" si="107"/>
        <v>3000</v>
      </c>
      <c r="P432" s="115">
        <f t="shared" si="108"/>
        <v>3000</v>
      </c>
      <c r="Q432" s="125"/>
      <c r="R432" s="125"/>
      <c r="S432" s="125"/>
      <c r="T432" s="125">
        <v>3000</v>
      </c>
      <c r="U432" s="125"/>
      <c r="V432" s="125"/>
      <c r="W432" s="125"/>
      <c r="X432" s="125"/>
      <c r="Y432" s="125"/>
      <c r="Z432" s="125"/>
      <c r="AA432" s="125"/>
      <c r="AB432" s="125"/>
      <c r="AC432" s="124"/>
      <c r="AD432" s="117"/>
      <c r="AE432" s="1"/>
      <c r="AF432" s="120"/>
      <c r="AG432" s="1"/>
      <c r="AH432" s="120"/>
    </row>
    <row r="433" spans="1:34">
      <c r="A433" s="150"/>
      <c r="B433" s="128"/>
      <c r="C433" s="128" t="s">
        <v>1460</v>
      </c>
      <c r="D433" s="128"/>
      <c r="E433" s="117"/>
      <c r="F433" s="117"/>
      <c r="G433" s="117"/>
      <c r="H433" s="115">
        <f t="shared" si="100"/>
        <v>546.5</v>
      </c>
      <c r="I433" s="115">
        <f t="shared" si="101"/>
        <v>546.5</v>
      </c>
      <c r="J433" s="115">
        <f t="shared" si="102"/>
        <v>546.5</v>
      </c>
      <c r="K433" s="115">
        <f t="shared" si="103"/>
        <v>546.5</v>
      </c>
      <c r="L433" s="115">
        <f t="shared" si="104"/>
        <v>546.5</v>
      </c>
      <c r="M433" s="115">
        <f t="shared" si="105"/>
        <v>546.5</v>
      </c>
      <c r="N433" s="115">
        <f t="shared" si="106"/>
        <v>546.5</v>
      </c>
      <c r="O433" s="115">
        <f t="shared" si="107"/>
        <v>546.5</v>
      </c>
      <c r="P433" s="115">
        <f t="shared" si="108"/>
        <v>546.5</v>
      </c>
      <c r="Q433" s="125"/>
      <c r="R433" s="125"/>
      <c r="S433" s="125"/>
      <c r="T433" s="125">
        <v>546.5</v>
      </c>
      <c r="U433" s="125"/>
      <c r="V433" s="125"/>
      <c r="W433" s="125"/>
      <c r="X433" s="125"/>
      <c r="Y433" s="125"/>
      <c r="Z433" s="125"/>
      <c r="AA433" s="125"/>
      <c r="AB433" s="125"/>
      <c r="AC433" s="124"/>
      <c r="AD433" s="117"/>
      <c r="AE433" s="1"/>
      <c r="AF433" s="117"/>
      <c r="AG433" s="1"/>
      <c r="AH433" s="120"/>
    </row>
    <row r="434" spans="1:34">
      <c r="A434" s="150"/>
      <c r="B434" s="128"/>
      <c r="C434" s="128" t="s">
        <v>1461</v>
      </c>
      <c r="D434" s="128"/>
      <c r="E434" s="117"/>
      <c r="F434" s="117"/>
      <c r="G434" s="117"/>
      <c r="H434" s="115">
        <f t="shared" si="100"/>
        <v>973</v>
      </c>
      <c r="I434" s="115">
        <f t="shared" si="101"/>
        <v>973</v>
      </c>
      <c r="J434" s="115">
        <f t="shared" si="102"/>
        <v>973</v>
      </c>
      <c r="K434" s="115">
        <f t="shared" si="103"/>
        <v>973</v>
      </c>
      <c r="L434" s="115">
        <f t="shared" si="104"/>
        <v>973</v>
      </c>
      <c r="M434" s="115">
        <f t="shared" si="105"/>
        <v>973</v>
      </c>
      <c r="N434" s="115">
        <f t="shared" si="106"/>
        <v>973</v>
      </c>
      <c r="O434" s="115">
        <f t="shared" si="107"/>
        <v>973</v>
      </c>
      <c r="P434" s="115">
        <f t="shared" si="108"/>
        <v>973</v>
      </c>
      <c r="Q434" s="125"/>
      <c r="R434" s="125"/>
      <c r="S434" s="125"/>
      <c r="T434" s="125">
        <v>973</v>
      </c>
      <c r="U434" s="125"/>
      <c r="V434" s="125"/>
      <c r="W434" s="125"/>
      <c r="X434" s="125"/>
      <c r="Y434" s="125"/>
      <c r="Z434" s="125"/>
      <c r="AA434" s="125"/>
      <c r="AB434" s="125"/>
      <c r="AC434" s="124"/>
      <c r="AD434" s="117"/>
      <c r="AE434" s="1"/>
      <c r="AF434" s="120"/>
      <c r="AG434" s="1"/>
      <c r="AH434" s="120"/>
    </row>
    <row r="435" spans="1:34">
      <c r="A435" s="150"/>
      <c r="B435" s="128"/>
      <c r="C435" s="128" t="s">
        <v>1462</v>
      </c>
      <c r="D435" s="128"/>
      <c r="E435" s="117"/>
      <c r="F435" s="117"/>
      <c r="G435" s="117"/>
      <c r="H435" s="115">
        <f t="shared" si="100"/>
        <v>3000</v>
      </c>
      <c r="I435" s="115">
        <f t="shared" si="101"/>
        <v>3000</v>
      </c>
      <c r="J435" s="115">
        <f t="shared" si="102"/>
        <v>3000</v>
      </c>
      <c r="K435" s="115">
        <f t="shared" si="103"/>
        <v>3000</v>
      </c>
      <c r="L435" s="115">
        <f t="shared" si="104"/>
        <v>3000</v>
      </c>
      <c r="M435" s="115">
        <f t="shared" si="105"/>
        <v>3000</v>
      </c>
      <c r="N435" s="115">
        <f t="shared" si="106"/>
        <v>3000</v>
      </c>
      <c r="O435" s="115">
        <f t="shared" si="107"/>
        <v>3000</v>
      </c>
      <c r="P435" s="115">
        <f t="shared" si="108"/>
        <v>3000</v>
      </c>
      <c r="Q435" s="125"/>
      <c r="R435" s="125"/>
      <c r="S435" s="125"/>
      <c r="T435" s="125">
        <v>3000</v>
      </c>
      <c r="U435" s="125"/>
      <c r="V435" s="125"/>
      <c r="W435" s="125"/>
      <c r="X435" s="125"/>
      <c r="Y435" s="125"/>
      <c r="Z435" s="125"/>
      <c r="AA435" s="125"/>
      <c r="AB435" s="125"/>
      <c r="AC435" s="124"/>
      <c r="AD435" s="117"/>
      <c r="AE435" s="1"/>
      <c r="AF435" s="120"/>
      <c r="AG435" s="1"/>
      <c r="AH435" s="120"/>
    </row>
    <row r="436" spans="1:34">
      <c r="A436" s="150"/>
      <c r="B436" s="128"/>
      <c r="C436" s="128" t="s">
        <v>1463</v>
      </c>
      <c r="D436" s="128"/>
      <c r="E436" s="117"/>
      <c r="F436" s="117"/>
      <c r="G436" s="117"/>
      <c r="H436" s="115">
        <f t="shared" si="100"/>
        <v>1000</v>
      </c>
      <c r="I436" s="115">
        <f t="shared" si="101"/>
        <v>1000</v>
      </c>
      <c r="J436" s="115">
        <f t="shared" si="102"/>
        <v>1000</v>
      </c>
      <c r="K436" s="115">
        <f t="shared" si="103"/>
        <v>1000</v>
      </c>
      <c r="L436" s="115">
        <f t="shared" si="104"/>
        <v>1000</v>
      </c>
      <c r="M436" s="115">
        <f t="shared" si="105"/>
        <v>1000</v>
      </c>
      <c r="N436" s="115">
        <f t="shared" si="106"/>
        <v>1000</v>
      </c>
      <c r="O436" s="115">
        <f t="shared" si="107"/>
        <v>1000</v>
      </c>
      <c r="P436" s="115">
        <f t="shared" si="108"/>
        <v>1000</v>
      </c>
      <c r="Q436" s="125"/>
      <c r="R436" s="125"/>
      <c r="S436" s="125"/>
      <c r="T436" s="125">
        <v>1000</v>
      </c>
      <c r="U436" s="125"/>
      <c r="V436" s="125"/>
      <c r="W436" s="125"/>
      <c r="X436" s="125"/>
      <c r="Y436" s="125"/>
      <c r="Z436" s="125"/>
      <c r="AA436" s="125"/>
      <c r="AB436" s="125"/>
      <c r="AC436" s="124"/>
      <c r="AD436" s="117"/>
      <c r="AE436" s="1"/>
      <c r="AF436" s="120"/>
      <c r="AG436" s="1"/>
      <c r="AH436" s="120"/>
    </row>
    <row r="437" spans="1:34">
      <c r="A437" s="150"/>
      <c r="B437" s="128"/>
      <c r="C437" s="128" t="s">
        <v>1464</v>
      </c>
      <c r="D437" s="128"/>
      <c r="E437" s="117"/>
      <c r="F437" s="117"/>
      <c r="G437" s="117"/>
      <c r="H437" s="115">
        <f t="shared" si="100"/>
        <v>300</v>
      </c>
      <c r="I437" s="115">
        <f t="shared" si="101"/>
        <v>300</v>
      </c>
      <c r="J437" s="115">
        <f t="shared" si="102"/>
        <v>300</v>
      </c>
      <c r="K437" s="115">
        <f t="shared" si="103"/>
        <v>300</v>
      </c>
      <c r="L437" s="115">
        <f t="shared" si="104"/>
        <v>300</v>
      </c>
      <c r="M437" s="115">
        <f t="shared" si="105"/>
        <v>300</v>
      </c>
      <c r="N437" s="115">
        <f t="shared" si="106"/>
        <v>300</v>
      </c>
      <c r="O437" s="115">
        <f t="shared" si="107"/>
        <v>300</v>
      </c>
      <c r="P437" s="115">
        <f t="shared" si="108"/>
        <v>300</v>
      </c>
      <c r="Q437" s="125"/>
      <c r="R437" s="125"/>
      <c r="S437" s="125"/>
      <c r="T437" s="125">
        <v>300</v>
      </c>
      <c r="U437" s="125"/>
      <c r="V437" s="125"/>
      <c r="W437" s="125"/>
      <c r="X437" s="125"/>
      <c r="Y437" s="125"/>
      <c r="Z437" s="125"/>
      <c r="AA437" s="125"/>
      <c r="AB437" s="125"/>
      <c r="AC437" s="124"/>
      <c r="AD437" s="117"/>
      <c r="AE437" s="1"/>
      <c r="AF437" s="120"/>
      <c r="AG437" s="1"/>
      <c r="AH437" s="120"/>
    </row>
    <row r="438" spans="1:34">
      <c r="A438" s="150"/>
      <c r="B438" s="128"/>
      <c r="C438" s="128" t="s">
        <v>1465</v>
      </c>
      <c r="D438" s="128"/>
      <c r="E438" s="117"/>
      <c r="F438" s="117"/>
      <c r="G438" s="117"/>
      <c r="H438" s="115">
        <f t="shared" si="100"/>
        <v>1600</v>
      </c>
      <c r="I438" s="115">
        <f t="shared" si="101"/>
        <v>1600</v>
      </c>
      <c r="J438" s="115">
        <f t="shared" si="102"/>
        <v>1600</v>
      </c>
      <c r="K438" s="115">
        <f t="shared" si="103"/>
        <v>1600</v>
      </c>
      <c r="L438" s="115">
        <f t="shared" si="104"/>
        <v>1600</v>
      </c>
      <c r="M438" s="115">
        <f t="shared" si="105"/>
        <v>1600</v>
      </c>
      <c r="N438" s="115">
        <f t="shared" si="106"/>
        <v>1600</v>
      </c>
      <c r="O438" s="115">
        <f t="shared" si="107"/>
        <v>1600</v>
      </c>
      <c r="P438" s="115">
        <f t="shared" si="108"/>
        <v>1600</v>
      </c>
      <c r="Q438" s="125"/>
      <c r="R438" s="125"/>
      <c r="S438" s="125"/>
      <c r="T438" s="125">
        <v>1600</v>
      </c>
      <c r="U438" s="125"/>
      <c r="V438" s="125"/>
      <c r="W438" s="125"/>
      <c r="X438" s="125"/>
      <c r="Y438" s="125"/>
      <c r="Z438" s="125"/>
      <c r="AA438" s="125"/>
      <c r="AB438" s="125"/>
      <c r="AC438" s="124"/>
      <c r="AD438" s="117"/>
      <c r="AE438" s="1"/>
      <c r="AF438" s="120"/>
      <c r="AG438" s="1"/>
      <c r="AH438" s="120"/>
    </row>
    <row r="439" spans="1:34">
      <c r="A439" s="150"/>
      <c r="B439" s="128"/>
      <c r="C439" s="128" t="s">
        <v>1466</v>
      </c>
      <c r="D439" s="128"/>
      <c r="E439" s="117"/>
      <c r="F439" s="117"/>
      <c r="G439" s="117"/>
      <c r="H439" s="115">
        <f t="shared" si="100"/>
        <v>1107</v>
      </c>
      <c r="I439" s="115">
        <f t="shared" si="101"/>
        <v>1107</v>
      </c>
      <c r="J439" s="115">
        <f t="shared" si="102"/>
        <v>1107</v>
      </c>
      <c r="K439" s="115">
        <f t="shared" si="103"/>
        <v>1107</v>
      </c>
      <c r="L439" s="115">
        <f t="shared" si="104"/>
        <v>1107</v>
      </c>
      <c r="M439" s="115">
        <f t="shared" si="105"/>
        <v>1107</v>
      </c>
      <c r="N439" s="115">
        <f t="shared" si="106"/>
        <v>1107</v>
      </c>
      <c r="O439" s="115">
        <f t="shared" si="107"/>
        <v>1107</v>
      </c>
      <c r="P439" s="115">
        <f t="shared" si="108"/>
        <v>1107</v>
      </c>
      <c r="Q439" s="125"/>
      <c r="R439" s="125"/>
      <c r="S439" s="125"/>
      <c r="T439" s="125">
        <v>1107</v>
      </c>
      <c r="U439" s="125"/>
      <c r="V439" s="125"/>
      <c r="W439" s="125"/>
      <c r="X439" s="125"/>
      <c r="Y439" s="125"/>
      <c r="Z439" s="125"/>
      <c r="AA439" s="125"/>
      <c r="AB439" s="125"/>
      <c r="AC439" s="124"/>
      <c r="AD439" s="117"/>
      <c r="AE439" s="1"/>
      <c r="AF439" s="120"/>
      <c r="AG439" s="1"/>
      <c r="AH439" s="120"/>
    </row>
    <row r="440" spans="1:34" hidden="1">
      <c r="A440" s="150"/>
      <c r="B440" s="128"/>
      <c r="C440" s="123" t="s">
        <v>1467</v>
      </c>
      <c r="D440" s="128"/>
      <c r="E440" s="117"/>
      <c r="F440" s="117"/>
      <c r="G440" s="117"/>
      <c r="H440" s="115">
        <f t="shared" si="100"/>
        <v>0</v>
      </c>
      <c r="I440" s="115">
        <f t="shared" si="101"/>
        <v>0</v>
      </c>
      <c r="J440" s="115">
        <f t="shared" si="102"/>
        <v>0</v>
      </c>
      <c r="K440" s="115">
        <f t="shared" si="103"/>
        <v>0</v>
      </c>
      <c r="L440" s="115">
        <f t="shared" si="104"/>
        <v>0</v>
      </c>
      <c r="M440" s="115">
        <f t="shared" si="105"/>
        <v>0</v>
      </c>
      <c r="N440" s="115">
        <f t="shared" si="106"/>
        <v>0</v>
      </c>
      <c r="O440" s="115">
        <f t="shared" si="107"/>
        <v>0</v>
      </c>
      <c r="P440" s="115">
        <f t="shared" si="108"/>
        <v>0</v>
      </c>
      <c r="Q440" s="125"/>
      <c r="R440" s="125"/>
      <c r="S440" s="125"/>
      <c r="T440" s="125">
        <f>2000-2000</f>
        <v>0</v>
      </c>
      <c r="U440" s="125"/>
      <c r="V440" s="125"/>
      <c r="W440" s="125"/>
      <c r="X440" s="125"/>
      <c r="Y440" s="125"/>
      <c r="Z440" s="125"/>
      <c r="AA440" s="125"/>
      <c r="AB440" s="125"/>
      <c r="AC440" s="124"/>
      <c r="AD440" s="117"/>
      <c r="AE440" s="1"/>
      <c r="AF440" s="120"/>
      <c r="AG440" s="1"/>
      <c r="AH440" s="120"/>
    </row>
    <row r="441" spans="1:34">
      <c r="A441" s="150"/>
      <c r="B441" s="128"/>
      <c r="C441" s="128" t="s">
        <v>1468</v>
      </c>
      <c r="D441" s="128"/>
      <c r="E441" s="117"/>
      <c r="F441" s="117"/>
      <c r="G441" s="117"/>
      <c r="H441" s="115">
        <f t="shared" si="100"/>
        <v>1500</v>
      </c>
      <c r="I441" s="115">
        <f t="shared" si="101"/>
        <v>1500</v>
      </c>
      <c r="J441" s="115">
        <f t="shared" si="102"/>
        <v>1500</v>
      </c>
      <c r="K441" s="115">
        <f t="shared" si="103"/>
        <v>1500</v>
      </c>
      <c r="L441" s="115">
        <f t="shared" si="104"/>
        <v>1500</v>
      </c>
      <c r="M441" s="115">
        <f t="shared" si="105"/>
        <v>1500</v>
      </c>
      <c r="N441" s="115">
        <f t="shared" si="106"/>
        <v>1500</v>
      </c>
      <c r="O441" s="115">
        <f t="shared" si="107"/>
        <v>1500</v>
      </c>
      <c r="P441" s="115">
        <f t="shared" si="108"/>
        <v>1500</v>
      </c>
      <c r="Q441" s="125"/>
      <c r="R441" s="125"/>
      <c r="S441" s="125"/>
      <c r="T441" s="125">
        <v>1500</v>
      </c>
      <c r="U441" s="125"/>
      <c r="V441" s="125"/>
      <c r="W441" s="125"/>
      <c r="X441" s="125"/>
      <c r="Y441" s="125"/>
      <c r="Z441" s="125"/>
      <c r="AA441" s="125"/>
      <c r="AB441" s="125"/>
      <c r="AC441" s="124"/>
      <c r="AD441" s="117"/>
      <c r="AE441" s="1"/>
      <c r="AF441" s="120"/>
      <c r="AG441" s="1"/>
      <c r="AH441" s="120"/>
    </row>
    <row r="442" spans="1:34">
      <c r="A442" s="150"/>
      <c r="B442" s="128"/>
      <c r="C442" s="128" t="s">
        <v>1469</v>
      </c>
      <c r="D442" s="128"/>
      <c r="E442" s="117"/>
      <c r="F442" s="117"/>
      <c r="G442" s="117"/>
      <c r="H442" s="115">
        <f t="shared" si="100"/>
        <v>1491</v>
      </c>
      <c r="I442" s="115">
        <f t="shared" si="101"/>
        <v>1491</v>
      </c>
      <c r="J442" s="115">
        <f t="shared" si="102"/>
        <v>1491</v>
      </c>
      <c r="K442" s="115">
        <f t="shared" si="103"/>
        <v>1491</v>
      </c>
      <c r="L442" s="115">
        <f t="shared" si="104"/>
        <v>1491</v>
      </c>
      <c r="M442" s="115">
        <f t="shared" si="105"/>
        <v>1491</v>
      </c>
      <c r="N442" s="115">
        <f t="shared" si="106"/>
        <v>1491</v>
      </c>
      <c r="O442" s="115">
        <f t="shared" si="107"/>
        <v>1491</v>
      </c>
      <c r="P442" s="115">
        <f t="shared" si="108"/>
        <v>1491</v>
      </c>
      <c r="Q442" s="125"/>
      <c r="R442" s="125"/>
      <c r="S442" s="125"/>
      <c r="T442" s="125">
        <v>1491</v>
      </c>
      <c r="U442" s="125"/>
      <c r="V442" s="125"/>
      <c r="W442" s="125"/>
      <c r="X442" s="125"/>
      <c r="Y442" s="125"/>
      <c r="Z442" s="125"/>
      <c r="AA442" s="125"/>
      <c r="AB442" s="125"/>
      <c r="AC442" s="124"/>
      <c r="AD442" s="117"/>
      <c r="AE442" s="1"/>
      <c r="AF442" s="120"/>
      <c r="AG442" s="1"/>
      <c r="AH442" s="120"/>
    </row>
    <row r="443" spans="1:34">
      <c r="A443" s="150"/>
      <c r="B443" s="128"/>
      <c r="C443" s="128" t="s">
        <v>1470</v>
      </c>
      <c r="D443" s="128"/>
      <c r="E443" s="117"/>
      <c r="F443" s="117"/>
      <c r="G443" s="117"/>
      <c r="H443" s="115">
        <f t="shared" si="100"/>
        <v>1279</v>
      </c>
      <c r="I443" s="115">
        <f t="shared" si="101"/>
        <v>1279</v>
      </c>
      <c r="J443" s="115">
        <f t="shared" si="102"/>
        <v>1279</v>
      </c>
      <c r="K443" s="115">
        <f t="shared" si="103"/>
        <v>1279</v>
      </c>
      <c r="L443" s="115">
        <f t="shared" si="104"/>
        <v>1279</v>
      </c>
      <c r="M443" s="115">
        <f t="shared" si="105"/>
        <v>1279</v>
      </c>
      <c r="N443" s="115">
        <f t="shared" si="106"/>
        <v>1279</v>
      </c>
      <c r="O443" s="115">
        <f t="shared" si="107"/>
        <v>1279</v>
      </c>
      <c r="P443" s="115">
        <f t="shared" si="108"/>
        <v>1279</v>
      </c>
      <c r="Q443" s="125"/>
      <c r="R443" s="125"/>
      <c r="S443" s="125"/>
      <c r="T443" s="125">
        <v>1279</v>
      </c>
      <c r="U443" s="125"/>
      <c r="V443" s="125"/>
      <c r="W443" s="125"/>
      <c r="X443" s="125"/>
      <c r="Y443" s="125"/>
      <c r="Z443" s="125"/>
      <c r="AA443" s="125"/>
      <c r="AB443" s="125"/>
      <c r="AC443" s="124"/>
      <c r="AD443" s="117"/>
      <c r="AE443" s="1"/>
      <c r="AF443" s="120"/>
      <c r="AG443" s="1"/>
      <c r="AH443" s="120"/>
    </row>
    <row r="444" spans="1:34">
      <c r="A444" s="150"/>
      <c r="B444" s="128"/>
      <c r="C444" s="128" t="s">
        <v>1471</v>
      </c>
      <c r="D444" s="128"/>
      <c r="E444" s="117"/>
      <c r="F444" s="117"/>
      <c r="G444" s="117"/>
      <c r="H444" s="115">
        <f t="shared" si="100"/>
        <v>559</v>
      </c>
      <c r="I444" s="115">
        <f t="shared" si="101"/>
        <v>559</v>
      </c>
      <c r="J444" s="115">
        <f t="shared" si="102"/>
        <v>559</v>
      </c>
      <c r="K444" s="115">
        <f t="shared" si="103"/>
        <v>559</v>
      </c>
      <c r="L444" s="115">
        <f t="shared" si="104"/>
        <v>559</v>
      </c>
      <c r="M444" s="115">
        <f t="shared" si="105"/>
        <v>559</v>
      </c>
      <c r="N444" s="115">
        <f t="shared" si="106"/>
        <v>559</v>
      </c>
      <c r="O444" s="115">
        <f t="shared" si="107"/>
        <v>559</v>
      </c>
      <c r="P444" s="115">
        <f t="shared" si="108"/>
        <v>559</v>
      </c>
      <c r="Q444" s="125"/>
      <c r="R444" s="125"/>
      <c r="S444" s="125"/>
      <c r="T444" s="125">
        <v>559</v>
      </c>
      <c r="U444" s="125"/>
      <c r="V444" s="125"/>
      <c r="W444" s="125"/>
      <c r="X444" s="125"/>
      <c r="Y444" s="125"/>
      <c r="Z444" s="125"/>
      <c r="AA444" s="125"/>
      <c r="AB444" s="125"/>
      <c r="AC444" s="124"/>
      <c r="AD444" s="117"/>
      <c r="AE444" s="1"/>
      <c r="AF444" s="120"/>
      <c r="AG444" s="1"/>
      <c r="AH444" s="120"/>
    </row>
    <row r="445" spans="1:34">
      <c r="A445" s="150"/>
      <c r="B445" s="128"/>
      <c r="C445" s="128" t="s">
        <v>1472</v>
      </c>
      <c r="D445" s="128"/>
      <c r="E445" s="117"/>
      <c r="F445" s="117"/>
      <c r="G445" s="117"/>
      <c r="H445" s="115">
        <f t="shared" si="100"/>
        <v>2860</v>
      </c>
      <c r="I445" s="115">
        <f t="shared" si="101"/>
        <v>2860</v>
      </c>
      <c r="J445" s="115">
        <f t="shared" si="102"/>
        <v>2860</v>
      </c>
      <c r="K445" s="115">
        <f t="shared" si="103"/>
        <v>2860</v>
      </c>
      <c r="L445" s="115">
        <f t="shared" si="104"/>
        <v>2860</v>
      </c>
      <c r="M445" s="115">
        <f t="shared" si="105"/>
        <v>2860</v>
      </c>
      <c r="N445" s="115">
        <f t="shared" si="106"/>
        <v>2860</v>
      </c>
      <c r="O445" s="115">
        <f t="shared" si="107"/>
        <v>2860</v>
      </c>
      <c r="P445" s="115">
        <f t="shared" si="108"/>
        <v>2860</v>
      </c>
      <c r="Q445" s="125"/>
      <c r="R445" s="125"/>
      <c r="S445" s="125"/>
      <c r="T445" s="125">
        <v>2860</v>
      </c>
      <c r="U445" s="125"/>
      <c r="V445" s="125"/>
      <c r="W445" s="125"/>
      <c r="X445" s="125"/>
      <c r="Y445" s="125"/>
      <c r="Z445" s="125"/>
      <c r="AA445" s="125"/>
      <c r="AB445" s="125"/>
      <c r="AC445" s="124"/>
      <c r="AD445" s="117"/>
      <c r="AE445" s="1"/>
      <c r="AF445" s="120"/>
      <c r="AG445" s="1"/>
      <c r="AH445" s="120"/>
    </row>
    <row r="446" spans="1:34">
      <c r="A446" s="150"/>
      <c r="B446" s="128"/>
      <c r="C446" s="128" t="s">
        <v>1473</v>
      </c>
      <c r="D446" s="128"/>
      <c r="E446" s="117"/>
      <c r="F446" s="117"/>
      <c r="G446" s="117"/>
      <c r="H446" s="115">
        <f t="shared" si="100"/>
        <v>293.5</v>
      </c>
      <c r="I446" s="115">
        <f t="shared" si="101"/>
        <v>293.5</v>
      </c>
      <c r="J446" s="115">
        <f t="shared" si="102"/>
        <v>293.5</v>
      </c>
      <c r="K446" s="115">
        <f t="shared" si="103"/>
        <v>293.5</v>
      </c>
      <c r="L446" s="115">
        <f t="shared" si="104"/>
        <v>293.5</v>
      </c>
      <c r="M446" s="115">
        <f t="shared" si="105"/>
        <v>293.5</v>
      </c>
      <c r="N446" s="115">
        <f t="shared" si="106"/>
        <v>293.5</v>
      </c>
      <c r="O446" s="115">
        <f t="shared" si="107"/>
        <v>293.5</v>
      </c>
      <c r="P446" s="115">
        <f t="shared" si="108"/>
        <v>293.5</v>
      </c>
      <c r="Q446" s="125"/>
      <c r="R446" s="125"/>
      <c r="S446" s="125"/>
      <c r="T446" s="125">
        <v>293.5</v>
      </c>
      <c r="U446" s="125"/>
      <c r="V446" s="125"/>
      <c r="W446" s="125"/>
      <c r="X446" s="125"/>
      <c r="Y446" s="125"/>
      <c r="Z446" s="125"/>
      <c r="AA446" s="125"/>
      <c r="AB446" s="125"/>
      <c r="AC446" s="124"/>
      <c r="AD446" s="117"/>
      <c r="AE446" s="1"/>
      <c r="AF446" s="120"/>
      <c r="AG446" s="1"/>
      <c r="AH446" s="120"/>
    </row>
    <row r="447" spans="1:34">
      <c r="A447" s="150"/>
      <c r="B447" s="128"/>
      <c r="C447" s="128" t="s">
        <v>1474</v>
      </c>
      <c r="D447" s="128"/>
      <c r="E447" s="117"/>
      <c r="F447" s="117"/>
      <c r="G447" s="117"/>
      <c r="H447" s="115">
        <f t="shared" si="100"/>
        <v>2677.5</v>
      </c>
      <c r="I447" s="115">
        <f t="shared" si="101"/>
        <v>2677.5</v>
      </c>
      <c r="J447" s="115">
        <f t="shared" si="102"/>
        <v>2677.5</v>
      </c>
      <c r="K447" s="115">
        <f t="shared" si="103"/>
        <v>2677.5</v>
      </c>
      <c r="L447" s="115">
        <f t="shared" si="104"/>
        <v>2677.5</v>
      </c>
      <c r="M447" s="115">
        <f t="shared" si="105"/>
        <v>2677.5</v>
      </c>
      <c r="N447" s="115">
        <f t="shared" si="106"/>
        <v>2677.5</v>
      </c>
      <c r="O447" s="115">
        <f t="shared" si="107"/>
        <v>2677.5</v>
      </c>
      <c r="P447" s="115">
        <f t="shared" si="108"/>
        <v>2677.5</v>
      </c>
      <c r="Q447" s="125"/>
      <c r="R447" s="125"/>
      <c r="S447" s="125"/>
      <c r="T447" s="125">
        <v>2677.5</v>
      </c>
      <c r="U447" s="125"/>
      <c r="V447" s="125"/>
      <c r="W447" s="125"/>
      <c r="X447" s="125"/>
      <c r="Y447" s="125"/>
      <c r="Z447" s="125"/>
      <c r="AA447" s="125"/>
      <c r="AB447" s="125"/>
      <c r="AC447" s="124"/>
      <c r="AD447" s="117"/>
      <c r="AE447" s="1"/>
      <c r="AF447" s="120"/>
      <c r="AG447" s="1"/>
      <c r="AH447" s="120"/>
    </row>
    <row r="448" spans="1:34">
      <c r="A448" s="150"/>
      <c r="B448" s="128"/>
      <c r="C448" s="128" t="s">
        <v>1475</v>
      </c>
      <c r="D448" s="128"/>
      <c r="E448" s="117"/>
      <c r="F448" s="117"/>
      <c r="G448" s="117"/>
      <c r="H448" s="115">
        <f t="shared" si="100"/>
        <v>1000</v>
      </c>
      <c r="I448" s="115">
        <f t="shared" si="101"/>
        <v>1000</v>
      </c>
      <c r="J448" s="115">
        <f t="shared" si="102"/>
        <v>1000</v>
      </c>
      <c r="K448" s="115">
        <f t="shared" si="103"/>
        <v>1000</v>
      </c>
      <c r="L448" s="115">
        <f t="shared" si="104"/>
        <v>1000</v>
      </c>
      <c r="M448" s="115">
        <f t="shared" si="105"/>
        <v>1000</v>
      </c>
      <c r="N448" s="115">
        <f t="shared" si="106"/>
        <v>1000</v>
      </c>
      <c r="O448" s="115">
        <f t="shared" si="107"/>
        <v>1000</v>
      </c>
      <c r="P448" s="115">
        <f t="shared" si="108"/>
        <v>1000</v>
      </c>
      <c r="Q448" s="125"/>
      <c r="R448" s="125"/>
      <c r="S448" s="125"/>
      <c r="T448" s="125">
        <v>1000</v>
      </c>
      <c r="U448" s="125"/>
      <c r="V448" s="125"/>
      <c r="W448" s="125"/>
      <c r="X448" s="125"/>
      <c r="Y448" s="125"/>
      <c r="Z448" s="125"/>
      <c r="AA448" s="125"/>
      <c r="AB448" s="125"/>
      <c r="AC448" s="124"/>
      <c r="AD448" s="117"/>
      <c r="AE448" s="1"/>
      <c r="AF448" s="120"/>
      <c r="AG448" s="1"/>
      <c r="AH448" s="120"/>
    </row>
    <row r="449" spans="1:34">
      <c r="A449" s="150"/>
      <c r="B449" s="128"/>
      <c r="C449" s="128" t="s">
        <v>1476</v>
      </c>
      <c r="D449" s="128"/>
      <c r="E449" s="117"/>
      <c r="F449" s="117"/>
      <c r="G449" s="117"/>
      <c r="H449" s="115">
        <f t="shared" si="100"/>
        <v>956</v>
      </c>
      <c r="I449" s="115">
        <f t="shared" si="101"/>
        <v>956</v>
      </c>
      <c r="J449" s="115">
        <f t="shared" si="102"/>
        <v>956</v>
      </c>
      <c r="K449" s="115">
        <f t="shared" si="103"/>
        <v>956</v>
      </c>
      <c r="L449" s="115">
        <f t="shared" si="104"/>
        <v>956</v>
      </c>
      <c r="M449" s="115">
        <f t="shared" si="105"/>
        <v>956</v>
      </c>
      <c r="N449" s="115">
        <f t="shared" si="106"/>
        <v>956</v>
      </c>
      <c r="O449" s="115">
        <f t="shared" si="107"/>
        <v>956</v>
      </c>
      <c r="P449" s="115">
        <f t="shared" si="108"/>
        <v>956</v>
      </c>
      <c r="Q449" s="125"/>
      <c r="R449" s="125"/>
      <c r="S449" s="125"/>
      <c r="T449" s="125">
        <v>956</v>
      </c>
      <c r="U449" s="125"/>
      <c r="V449" s="125"/>
      <c r="W449" s="125"/>
      <c r="X449" s="125"/>
      <c r="Y449" s="125"/>
      <c r="Z449" s="125"/>
      <c r="AA449" s="125"/>
      <c r="AB449" s="125"/>
      <c r="AC449" s="124"/>
      <c r="AD449" s="117"/>
      <c r="AE449" s="1"/>
      <c r="AF449" s="120"/>
      <c r="AG449" s="1"/>
      <c r="AH449" s="120"/>
    </row>
    <row r="450" spans="1:34">
      <c r="A450" s="150"/>
      <c r="B450" s="128"/>
      <c r="C450" s="128" t="s">
        <v>1477</v>
      </c>
      <c r="D450" s="128"/>
      <c r="E450" s="117"/>
      <c r="F450" s="117"/>
      <c r="G450" s="117"/>
      <c r="H450" s="115">
        <f t="shared" si="100"/>
        <v>800</v>
      </c>
      <c r="I450" s="115">
        <f t="shared" si="101"/>
        <v>800</v>
      </c>
      <c r="J450" s="115">
        <f t="shared" si="102"/>
        <v>800</v>
      </c>
      <c r="K450" s="115">
        <f t="shared" si="103"/>
        <v>800</v>
      </c>
      <c r="L450" s="115">
        <f t="shared" si="104"/>
        <v>800</v>
      </c>
      <c r="M450" s="115">
        <f t="shared" si="105"/>
        <v>800</v>
      </c>
      <c r="N450" s="115">
        <f t="shared" si="106"/>
        <v>800</v>
      </c>
      <c r="O450" s="115">
        <f t="shared" si="107"/>
        <v>800</v>
      </c>
      <c r="P450" s="115">
        <f t="shared" si="108"/>
        <v>800</v>
      </c>
      <c r="Q450" s="125"/>
      <c r="R450" s="125"/>
      <c r="S450" s="125"/>
      <c r="T450" s="125">
        <v>800</v>
      </c>
      <c r="U450" s="125"/>
      <c r="V450" s="125"/>
      <c r="W450" s="125"/>
      <c r="X450" s="125"/>
      <c r="Y450" s="125"/>
      <c r="Z450" s="125"/>
      <c r="AA450" s="125"/>
      <c r="AB450" s="125"/>
      <c r="AC450" s="124"/>
      <c r="AD450" s="117"/>
      <c r="AE450" s="1"/>
      <c r="AF450" s="120"/>
      <c r="AG450" s="1"/>
      <c r="AH450" s="120"/>
    </row>
    <row r="451" spans="1:34">
      <c r="A451" s="150"/>
      <c r="B451" s="128"/>
      <c r="C451" s="128" t="s">
        <v>1478</v>
      </c>
      <c r="D451" s="128"/>
      <c r="E451" s="117"/>
      <c r="F451" s="117"/>
      <c r="G451" s="117"/>
      <c r="H451" s="115">
        <f t="shared" si="100"/>
        <v>1387</v>
      </c>
      <c r="I451" s="115">
        <f t="shared" si="101"/>
        <v>1387</v>
      </c>
      <c r="J451" s="115">
        <f t="shared" si="102"/>
        <v>1387</v>
      </c>
      <c r="K451" s="115">
        <f t="shared" si="103"/>
        <v>1387</v>
      </c>
      <c r="L451" s="115">
        <f t="shared" si="104"/>
        <v>1387</v>
      </c>
      <c r="M451" s="115">
        <f t="shared" si="105"/>
        <v>1387</v>
      </c>
      <c r="N451" s="115">
        <f t="shared" si="106"/>
        <v>1387</v>
      </c>
      <c r="O451" s="115">
        <f t="shared" si="107"/>
        <v>1387</v>
      </c>
      <c r="P451" s="115">
        <f t="shared" si="108"/>
        <v>1387</v>
      </c>
      <c r="Q451" s="125"/>
      <c r="R451" s="125"/>
      <c r="S451" s="125"/>
      <c r="T451" s="125">
        <v>1387</v>
      </c>
      <c r="U451" s="125"/>
      <c r="V451" s="125"/>
      <c r="W451" s="125"/>
      <c r="X451" s="125"/>
      <c r="Y451" s="125"/>
      <c r="Z451" s="125"/>
      <c r="AA451" s="125"/>
      <c r="AB451" s="125"/>
      <c r="AC451" s="124"/>
      <c r="AD451" s="117"/>
      <c r="AE451" s="1"/>
      <c r="AF451" s="117"/>
      <c r="AG451" s="1"/>
      <c r="AH451" s="120"/>
    </row>
    <row r="452" spans="1:34">
      <c r="A452" s="150"/>
      <c r="B452" s="128"/>
      <c r="C452" s="128" t="s">
        <v>1479</v>
      </c>
      <c r="D452" s="128"/>
      <c r="E452" s="117"/>
      <c r="F452" s="117"/>
      <c r="G452" s="117"/>
      <c r="H452" s="115">
        <f t="shared" si="100"/>
        <v>1300</v>
      </c>
      <c r="I452" s="115">
        <f t="shared" si="101"/>
        <v>1300</v>
      </c>
      <c r="J452" s="115">
        <f t="shared" si="102"/>
        <v>1300</v>
      </c>
      <c r="K452" s="115">
        <f t="shared" si="103"/>
        <v>1300</v>
      </c>
      <c r="L452" s="115">
        <f t="shared" si="104"/>
        <v>1300</v>
      </c>
      <c r="M452" s="115">
        <f t="shared" si="105"/>
        <v>1300</v>
      </c>
      <c r="N452" s="115">
        <f t="shared" si="106"/>
        <v>1300</v>
      </c>
      <c r="O452" s="115">
        <f t="shared" si="107"/>
        <v>1300</v>
      </c>
      <c r="P452" s="115">
        <f t="shared" si="108"/>
        <v>1300</v>
      </c>
      <c r="Q452" s="125"/>
      <c r="R452" s="125"/>
      <c r="S452" s="125"/>
      <c r="T452" s="125">
        <v>1300</v>
      </c>
      <c r="U452" s="125"/>
      <c r="V452" s="125"/>
      <c r="W452" s="125"/>
      <c r="X452" s="125"/>
      <c r="Y452" s="125"/>
      <c r="Z452" s="125"/>
      <c r="AA452" s="125"/>
      <c r="AB452" s="125"/>
      <c r="AC452" s="124"/>
      <c r="AD452" s="117"/>
      <c r="AE452" s="1"/>
      <c r="AF452" s="120"/>
      <c r="AG452" s="1"/>
      <c r="AH452" s="120"/>
    </row>
    <row r="453" spans="1:34">
      <c r="A453" s="150"/>
      <c r="B453" s="128"/>
      <c r="C453" s="128" t="s">
        <v>1480</v>
      </c>
      <c r="D453" s="128"/>
      <c r="E453" s="117"/>
      <c r="F453" s="117"/>
      <c r="G453" s="117"/>
      <c r="H453" s="115">
        <f t="shared" si="100"/>
        <v>690</v>
      </c>
      <c r="I453" s="115">
        <f t="shared" si="101"/>
        <v>690</v>
      </c>
      <c r="J453" s="115">
        <f t="shared" si="102"/>
        <v>690</v>
      </c>
      <c r="K453" s="115">
        <f t="shared" si="103"/>
        <v>690</v>
      </c>
      <c r="L453" s="115">
        <f t="shared" si="104"/>
        <v>690</v>
      </c>
      <c r="M453" s="115">
        <f t="shared" si="105"/>
        <v>690</v>
      </c>
      <c r="N453" s="115">
        <f t="shared" si="106"/>
        <v>690</v>
      </c>
      <c r="O453" s="115">
        <f t="shared" si="107"/>
        <v>690</v>
      </c>
      <c r="P453" s="115">
        <f t="shared" si="108"/>
        <v>690</v>
      </c>
      <c r="Q453" s="125"/>
      <c r="R453" s="125"/>
      <c r="S453" s="125"/>
      <c r="T453" s="125">
        <v>690</v>
      </c>
      <c r="U453" s="125"/>
      <c r="V453" s="125"/>
      <c r="W453" s="125"/>
      <c r="X453" s="125"/>
      <c r="Y453" s="125"/>
      <c r="Z453" s="125"/>
      <c r="AA453" s="125"/>
      <c r="AB453" s="125"/>
      <c r="AC453" s="124"/>
      <c r="AD453" s="117"/>
      <c r="AE453" s="1"/>
      <c r="AF453" s="120"/>
      <c r="AG453" s="1"/>
      <c r="AH453" s="120"/>
    </row>
    <row r="454" spans="1:34">
      <c r="A454" s="150"/>
      <c r="B454" s="128"/>
      <c r="C454" s="128" t="s">
        <v>1481</v>
      </c>
      <c r="D454" s="128"/>
      <c r="E454" s="117"/>
      <c r="F454" s="117"/>
      <c r="G454" s="117"/>
      <c r="H454" s="115">
        <f t="shared" si="100"/>
        <v>1107</v>
      </c>
      <c r="I454" s="115">
        <f t="shared" si="101"/>
        <v>1107</v>
      </c>
      <c r="J454" s="115">
        <f t="shared" si="102"/>
        <v>1107</v>
      </c>
      <c r="K454" s="115">
        <f t="shared" si="103"/>
        <v>1107</v>
      </c>
      <c r="L454" s="115">
        <f t="shared" si="104"/>
        <v>1107</v>
      </c>
      <c r="M454" s="115">
        <f t="shared" si="105"/>
        <v>1107</v>
      </c>
      <c r="N454" s="115">
        <f t="shared" si="106"/>
        <v>1107</v>
      </c>
      <c r="O454" s="115">
        <f t="shared" si="107"/>
        <v>1107</v>
      </c>
      <c r="P454" s="115">
        <f t="shared" si="108"/>
        <v>1107</v>
      </c>
      <c r="Q454" s="125"/>
      <c r="R454" s="125"/>
      <c r="S454" s="125"/>
      <c r="T454" s="125">
        <v>1107</v>
      </c>
      <c r="U454" s="125"/>
      <c r="V454" s="125"/>
      <c r="W454" s="125"/>
      <c r="X454" s="125"/>
      <c r="Y454" s="125"/>
      <c r="Z454" s="125"/>
      <c r="AA454" s="125"/>
      <c r="AB454" s="125"/>
      <c r="AC454" s="124"/>
      <c r="AD454" s="117"/>
      <c r="AE454" s="1"/>
      <c r="AF454" s="120"/>
      <c r="AG454" s="1"/>
      <c r="AH454" s="120"/>
    </row>
    <row r="455" spans="1:34">
      <c r="A455" s="150"/>
      <c r="B455" s="128"/>
      <c r="C455" s="128" t="s">
        <v>1482</v>
      </c>
      <c r="D455" s="128"/>
      <c r="E455" s="117"/>
      <c r="F455" s="117"/>
      <c r="G455" s="117"/>
      <c r="H455" s="115">
        <f t="shared" si="100"/>
        <v>695</v>
      </c>
      <c r="I455" s="115">
        <f t="shared" si="101"/>
        <v>695</v>
      </c>
      <c r="J455" s="115">
        <f t="shared" si="102"/>
        <v>695</v>
      </c>
      <c r="K455" s="115">
        <f t="shared" si="103"/>
        <v>695</v>
      </c>
      <c r="L455" s="115">
        <f t="shared" si="104"/>
        <v>695</v>
      </c>
      <c r="M455" s="115">
        <f t="shared" si="105"/>
        <v>695</v>
      </c>
      <c r="N455" s="115">
        <f t="shared" si="106"/>
        <v>695</v>
      </c>
      <c r="O455" s="115">
        <f t="shared" si="107"/>
        <v>695</v>
      </c>
      <c r="P455" s="115">
        <f t="shared" si="108"/>
        <v>695</v>
      </c>
      <c r="Q455" s="125"/>
      <c r="R455" s="125"/>
      <c r="S455" s="125"/>
      <c r="T455" s="125">
        <v>695</v>
      </c>
      <c r="U455" s="125"/>
      <c r="V455" s="125"/>
      <c r="W455" s="125"/>
      <c r="X455" s="125"/>
      <c r="Y455" s="125"/>
      <c r="Z455" s="125"/>
      <c r="AA455" s="125"/>
      <c r="AB455" s="125"/>
      <c r="AC455" s="124"/>
      <c r="AD455" s="117"/>
      <c r="AE455" s="1"/>
      <c r="AF455" s="120"/>
      <c r="AG455" s="1"/>
      <c r="AH455" s="120"/>
    </row>
    <row r="456" spans="1:34">
      <c r="A456" s="150"/>
      <c r="B456" s="128"/>
      <c r="C456" s="128" t="s">
        <v>1483</v>
      </c>
      <c r="D456" s="128"/>
      <c r="E456" s="117"/>
      <c r="F456" s="117"/>
      <c r="G456" s="117"/>
      <c r="H456" s="115">
        <f t="shared" si="100"/>
        <v>1316</v>
      </c>
      <c r="I456" s="115">
        <f t="shared" si="101"/>
        <v>1316</v>
      </c>
      <c r="J456" s="115">
        <f t="shared" si="102"/>
        <v>1316</v>
      </c>
      <c r="K456" s="115">
        <f t="shared" si="103"/>
        <v>1316</v>
      </c>
      <c r="L456" s="115">
        <f t="shared" si="104"/>
        <v>1316</v>
      </c>
      <c r="M456" s="115">
        <f t="shared" si="105"/>
        <v>1316</v>
      </c>
      <c r="N456" s="115">
        <f t="shared" si="106"/>
        <v>1316</v>
      </c>
      <c r="O456" s="115">
        <f t="shared" si="107"/>
        <v>1316</v>
      </c>
      <c r="P456" s="115">
        <f t="shared" si="108"/>
        <v>1316</v>
      </c>
      <c r="Q456" s="125"/>
      <c r="R456" s="125"/>
      <c r="S456" s="125"/>
      <c r="T456" s="125">
        <v>1316</v>
      </c>
      <c r="U456" s="125"/>
      <c r="V456" s="125"/>
      <c r="W456" s="125"/>
      <c r="X456" s="125"/>
      <c r="Y456" s="125"/>
      <c r="Z456" s="125"/>
      <c r="AA456" s="125"/>
      <c r="AB456" s="125"/>
      <c r="AC456" s="124"/>
      <c r="AD456" s="117"/>
      <c r="AE456" s="1"/>
      <c r="AF456" s="120"/>
      <c r="AG456" s="1"/>
      <c r="AH456" s="120"/>
    </row>
    <row r="457" spans="1:34">
      <c r="A457" s="150"/>
      <c r="B457" s="128"/>
      <c r="C457" s="128" t="s">
        <v>1484</v>
      </c>
      <c r="D457" s="128"/>
      <c r="E457" s="117"/>
      <c r="F457" s="117"/>
      <c r="G457" s="117"/>
      <c r="H457" s="115">
        <f t="shared" si="100"/>
        <v>1663</v>
      </c>
      <c r="I457" s="115">
        <f t="shared" si="101"/>
        <v>1663</v>
      </c>
      <c r="J457" s="115">
        <f t="shared" si="102"/>
        <v>1663</v>
      </c>
      <c r="K457" s="115">
        <f t="shared" si="103"/>
        <v>1663</v>
      </c>
      <c r="L457" s="115">
        <f t="shared" si="104"/>
        <v>1663</v>
      </c>
      <c r="M457" s="115">
        <f t="shared" si="105"/>
        <v>1663</v>
      </c>
      <c r="N457" s="115">
        <f t="shared" si="106"/>
        <v>1663</v>
      </c>
      <c r="O457" s="115">
        <f t="shared" si="107"/>
        <v>1663</v>
      </c>
      <c r="P457" s="115">
        <f t="shared" si="108"/>
        <v>1663</v>
      </c>
      <c r="Q457" s="125"/>
      <c r="R457" s="125"/>
      <c r="S457" s="125"/>
      <c r="T457" s="125">
        <v>1663</v>
      </c>
      <c r="U457" s="125"/>
      <c r="V457" s="125"/>
      <c r="W457" s="125"/>
      <c r="X457" s="125"/>
      <c r="Y457" s="125"/>
      <c r="Z457" s="125"/>
      <c r="AA457" s="125"/>
      <c r="AB457" s="125"/>
      <c r="AC457" s="124"/>
      <c r="AD457" s="117"/>
      <c r="AE457" s="1"/>
      <c r="AF457" s="120"/>
      <c r="AG457" s="1"/>
      <c r="AH457" s="120"/>
    </row>
    <row r="458" spans="1:34">
      <c r="A458" s="150"/>
      <c r="B458" s="128"/>
      <c r="C458" s="128" t="s">
        <v>1485</v>
      </c>
      <c r="D458" s="128"/>
      <c r="E458" s="117"/>
      <c r="F458" s="117"/>
      <c r="G458" s="117"/>
      <c r="H458" s="115">
        <f t="shared" si="100"/>
        <v>756</v>
      </c>
      <c r="I458" s="115">
        <f t="shared" si="101"/>
        <v>756</v>
      </c>
      <c r="J458" s="115">
        <f t="shared" si="102"/>
        <v>756</v>
      </c>
      <c r="K458" s="115">
        <f t="shared" si="103"/>
        <v>756</v>
      </c>
      <c r="L458" s="115">
        <f t="shared" si="104"/>
        <v>756</v>
      </c>
      <c r="M458" s="115">
        <f t="shared" si="105"/>
        <v>756</v>
      </c>
      <c r="N458" s="115">
        <f t="shared" si="106"/>
        <v>756</v>
      </c>
      <c r="O458" s="115">
        <f t="shared" si="107"/>
        <v>756</v>
      </c>
      <c r="P458" s="115">
        <f t="shared" si="108"/>
        <v>756</v>
      </c>
      <c r="Q458" s="125"/>
      <c r="R458" s="125"/>
      <c r="S458" s="125"/>
      <c r="T458" s="125">
        <v>756</v>
      </c>
      <c r="U458" s="125"/>
      <c r="V458" s="125"/>
      <c r="W458" s="125"/>
      <c r="X458" s="125"/>
      <c r="Y458" s="125"/>
      <c r="Z458" s="125"/>
      <c r="AA458" s="125"/>
      <c r="AB458" s="125"/>
      <c r="AC458" s="124"/>
      <c r="AD458" s="117"/>
      <c r="AE458" s="1"/>
      <c r="AF458" s="120"/>
      <c r="AG458" s="1"/>
      <c r="AH458" s="120"/>
    </row>
    <row r="459" spans="1:34">
      <c r="A459" s="150"/>
      <c r="B459" s="128"/>
      <c r="C459" s="128" t="s">
        <v>1486</v>
      </c>
      <c r="D459" s="128"/>
      <c r="E459" s="117"/>
      <c r="F459" s="117"/>
      <c r="G459" s="117"/>
      <c r="H459" s="115">
        <f t="shared" si="100"/>
        <v>3000</v>
      </c>
      <c r="I459" s="115">
        <f t="shared" si="101"/>
        <v>3000</v>
      </c>
      <c r="J459" s="115">
        <f t="shared" si="102"/>
        <v>3000</v>
      </c>
      <c r="K459" s="115">
        <f t="shared" si="103"/>
        <v>3000</v>
      </c>
      <c r="L459" s="115">
        <f t="shared" si="104"/>
        <v>3000</v>
      </c>
      <c r="M459" s="115">
        <f t="shared" si="105"/>
        <v>3000</v>
      </c>
      <c r="N459" s="115">
        <f t="shared" si="106"/>
        <v>3000</v>
      </c>
      <c r="O459" s="115">
        <f t="shared" si="107"/>
        <v>3000</v>
      </c>
      <c r="P459" s="115">
        <f t="shared" si="108"/>
        <v>3000</v>
      </c>
      <c r="Q459" s="125"/>
      <c r="R459" s="125"/>
      <c r="S459" s="125"/>
      <c r="T459" s="125">
        <v>3000</v>
      </c>
      <c r="U459" s="125"/>
      <c r="V459" s="125"/>
      <c r="W459" s="125"/>
      <c r="X459" s="125"/>
      <c r="Y459" s="125"/>
      <c r="Z459" s="125"/>
      <c r="AA459" s="125"/>
      <c r="AB459" s="125"/>
      <c r="AC459" s="124"/>
      <c r="AD459" s="117"/>
      <c r="AE459" s="1"/>
      <c r="AF459" s="120"/>
      <c r="AG459" s="1"/>
      <c r="AH459" s="120"/>
    </row>
    <row r="460" spans="1:34">
      <c r="A460" s="150"/>
      <c r="B460" s="128"/>
      <c r="C460" s="128" t="s">
        <v>1487</v>
      </c>
      <c r="D460" s="128"/>
      <c r="E460" s="117"/>
      <c r="F460" s="117"/>
      <c r="G460" s="117"/>
      <c r="H460" s="115">
        <f t="shared" si="100"/>
        <v>822</v>
      </c>
      <c r="I460" s="115">
        <f t="shared" si="101"/>
        <v>822</v>
      </c>
      <c r="J460" s="115">
        <f t="shared" si="102"/>
        <v>822</v>
      </c>
      <c r="K460" s="115">
        <f t="shared" si="103"/>
        <v>822</v>
      </c>
      <c r="L460" s="115">
        <f t="shared" si="104"/>
        <v>822</v>
      </c>
      <c r="M460" s="115">
        <f t="shared" si="105"/>
        <v>822</v>
      </c>
      <c r="N460" s="115">
        <f t="shared" si="106"/>
        <v>822</v>
      </c>
      <c r="O460" s="115">
        <f t="shared" si="107"/>
        <v>822</v>
      </c>
      <c r="P460" s="115">
        <f t="shared" si="108"/>
        <v>822</v>
      </c>
      <c r="Q460" s="125"/>
      <c r="R460" s="125"/>
      <c r="S460" s="125"/>
      <c r="T460" s="125">
        <v>822</v>
      </c>
      <c r="U460" s="125"/>
      <c r="V460" s="125"/>
      <c r="W460" s="125"/>
      <c r="X460" s="125"/>
      <c r="Y460" s="125"/>
      <c r="Z460" s="125"/>
      <c r="AA460" s="125"/>
      <c r="AB460" s="125"/>
      <c r="AC460" s="124"/>
      <c r="AD460" s="117"/>
      <c r="AE460" s="1"/>
      <c r="AF460" s="120"/>
      <c r="AG460" s="1"/>
      <c r="AH460" s="120"/>
    </row>
    <row r="461" spans="1:34">
      <c r="A461" s="150"/>
      <c r="B461" s="128"/>
      <c r="C461" s="128" t="s">
        <v>1488</v>
      </c>
      <c r="D461" s="128"/>
      <c r="E461" s="117"/>
      <c r="F461" s="117"/>
      <c r="G461" s="117"/>
      <c r="H461" s="115">
        <f t="shared" si="100"/>
        <v>1500</v>
      </c>
      <c r="I461" s="115">
        <f t="shared" si="101"/>
        <v>1500</v>
      </c>
      <c r="J461" s="115">
        <f t="shared" si="102"/>
        <v>1500</v>
      </c>
      <c r="K461" s="115">
        <f t="shared" si="103"/>
        <v>1500</v>
      </c>
      <c r="L461" s="115">
        <f t="shared" si="104"/>
        <v>1500</v>
      </c>
      <c r="M461" s="115">
        <f t="shared" si="105"/>
        <v>1500</v>
      </c>
      <c r="N461" s="115">
        <f t="shared" si="106"/>
        <v>1500</v>
      </c>
      <c r="O461" s="115">
        <f t="shared" si="107"/>
        <v>1500</v>
      </c>
      <c r="P461" s="115">
        <f t="shared" si="108"/>
        <v>1500</v>
      </c>
      <c r="Q461" s="125"/>
      <c r="R461" s="125"/>
      <c r="S461" s="125"/>
      <c r="T461" s="125">
        <v>1500</v>
      </c>
      <c r="U461" s="125"/>
      <c r="V461" s="125"/>
      <c r="W461" s="125"/>
      <c r="X461" s="125"/>
      <c r="Y461" s="125"/>
      <c r="Z461" s="125"/>
      <c r="AA461" s="125"/>
      <c r="AB461" s="125"/>
      <c r="AC461" s="124"/>
      <c r="AD461" s="117"/>
      <c r="AE461" s="1"/>
      <c r="AF461" s="120"/>
      <c r="AG461" s="1"/>
      <c r="AH461" s="120"/>
    </row>
    <row r="462" spans="1:34">
      <c r="A462" s="150"/>
      <c r="B462" s="128"/>
      <c r="C462" s="128" t="s">
        <v>1489</v>
      </c>
      <c r="D462" s="128"/>
      <c r="E462" s="117"/>
      <c r="F462" s="117"/>
      <c r="G462" s="117"/>
      <c r="H462" s="115">
        <f t="shared" si="100"/>
        <v>2692</v>
      </c>
      <c r="I462" s="115">
        <f t="shared" si="101"/>
        <v>2692</v>
      </c>
      <c r="J462" s="115">
        <f t="shared" si="102"/>
        <v>2692</v>
      </c>
      <c r="K462" s="115">
        <f t="shared" si="103"/>
        <v>2692</v>
      </c>
      <c r="L462" s="115">
        <f t="shared" si="104"/>
        <v>2692</v>
      </c>
      <c r="M462" s="115">
        <f t="shared" si="105"/>
        <v>2692</v>
      </c>
      <c r="N462" s="115">
        <f t="shared" si="106"/>
        <v>2692</v>
      </c>
      <c r="O462" s="115">
        <f t="shared" si="107"/>
        <v>2692</v>
      </c>
      <c r="P462" s="115">
        <f t="shared" si="108"/>
        <v>2692</v>
      </c>
      <c r="Q462" s="125"/>
      <c r="R462" s="125"/>
      <c r="S462" s="125"/>
      <c r="T462" s="125">
        <v>2692</v>
      </c>
      <c r="U462" s="125"/>
      <c r="V462" s="125"/>
      <c r="W462" s="125"/>
      <c r="X462" s="125"/>
      <c r="Y462" s="125"/>
      <c r="Z462" s="125"/>
      <c r="AA462" s="125"/>
      <c r="AB462" s="125"/>
      <c r="AC462" s="124"/>
      <c r="AD462" s="117"/>
      <c r="AE462" s="1"/>
      <c r="AF462" s="120"/>
      <c r="AG462" s="1"/>
      <c r="AH462" s="120"/>
    </row>
    <row r="463" spans="1:34">
      <c r="A463" s="150"/>
      <c r="B463" s="128"/>
      <c r="C463" s="128" t="s">
        <v>1490</v>
      </c>
      <c r="D463" s="128"/>
      <c r="E463" s="117"/>
      <c r="F463" s="117"/>
      <c r="G463" s="117"/>
      <c r="H463" s="115">
        <f t="shared" si="100"/>
        <v>1000</v>
      </c>
      <c r="I463" s="115">
        <f t="shared" si="101"/>
        <v>1000</v>
      </c>
      <c r="J463" s="115">
        <f t="shared" si="102"/>
        <v>1000</v>
      </c>
      <c r="K463" s="115">
        <f t="shared" si="103"/>
        <v>1000</v>
      </c>
      <c r="L463" s="115">
        <f t="shared" si="104"/>
        <v>1000</v>
      </c>
      <c r="M463" s="115">
        <f t="shared" si="105"/>
        <v>1000</v>
      </c>
      <c r="N463" s="115">
        <f t="shared" si="106"/>
        <v>1000</v>
      </c>
      <c r="O463" s="115">
        <f t="shared" si="107"/>
        <v>1000</v>
      </c>
      <c r="P463" s="115">
        <f t="shared" si="108"/>
        <v>1000</v>
      </c>
      <c r="Q463" s="125"/>
      <c r="R463" s="125"/>
      <c r="S463" s="125"/>
      <c r="T463" s="125">
        <v>1000</v>
      </c>
      <c r="U463" s="125"/>
      <c r="V463" s="125"/>
      <c r="W463" s="125"/>
      <c r="X463" s="125"/>
      <c r="Y463" s="125"/>
      <c r="Z463" s="125"/>
      <c r="AA463" s="125"/>
      <c r="AB463" s="125"/>
      <c r="AC463" s="124"/>
      <c r="AD463" s="117"/>
      <c r="AE463" s="1"/>
      <c r="AF463" s="120"/>
      <c r="AG463" s="1"/>
      <c r="AH463" s="120"/>
    </row>
    <row r="464" spans="1:34">
      <c r="A464" s="150"/>
      <c r="B464" s="128"/>
      <c r="C464" s="128" t="s">
        <v>1491</v>
      </c>
      <c r="D464" s="128"/>
      <c r="E464" s="117"/>
      <c r="F464" s="117"/>
      <c r="G464" s="117"/>
      <c r="H464" s="115">
        <f t="shared" si="100"/>
        <v>500</v>
      </c>
      <c r="I464" s="115">
        <f t="shared" si="101"/>
        <v>500</v>
      </c>
      <c r="J464" s="115">
        <f t="shared" si="102"/>
        <v>500</v>
      </c>
      <c r="K464" s="115">
        <f t="shared" si="103"/>
        <v>500</v>
      </c>
      <c r="L464" s="115">
        <f t="shared" si="104"/>
        <v>500</v>
      </c>
      <c r="M464" s="115">
        <f t="shared" si="105"/>
        <v>500</v>
      </c>
      <c r="N464" s="115">
        <f t="shared" si="106"/>
        <v>500</v>
      </c>
      <c r="O464" s="115">
        <f t="shared" si="107"/>
        <v>500</v>
      </c>
      <c r="P464" s="115">
        <f t="shared" si="108"/>
        <v>500</v>
      </c>
      <c r="Q464" s="125"/>
      <c r="R464" s="125"/>
      <c r="S464" s="125"/>
      <c r="T464" s="125">
        <v>500</v>
      </c>
      <c r="U464" s="125"/>
      <c r="V464" s="125"/>
      <c r="W464" s="125"/>
      <c r="X464" s="125"/>
      <c r="Y464" s="125"/>
      <c r="Z464" s="125"/>
      <c r="AA464" s="125"/>
      <c r="AB464" s="125"/>
      <c r="AC464" s="124"/>
      <c r="AD464" s="117"/>
      <c r="AE464" s="1"/>
      <c r="AF464" s="120"/>
      <c r="AG464" s="1"/>
      <c r="AH464" s="120"/>
    </row>
    <row r="465" spans="1:34">
      <c r="A465" s="150"/>
      <c r="B465" s="128"/>
      <c r="C465" s="128" t="s">
        <v>1492</v>
      </c>
      <c r="D465" s="128"/>
      <c r="E465" s="117"/>
      <c r="F465" s="117"/>
      <c r="G465" s="117"/>
      <c r="H465" s="115">
        <f t="shared" si="100"/>
        <v>1474</v>
      </c>
      <c r="I465" s="115">
        <f t="shared" si="101"/>
        <v>1474</v>
      </c>
      <c r="J465" s="115">
        <f t="shared" si="102"/>
        <v>1474</v>
      </c>
      <c r="K465" s="115">
        <f t="shared" si="103"/>
        <v>1474</v>
      </c>
      <c r="L465" s="115">
        <f t="shared" si="104"/>
        <v>1474</v>
      </c>
      <c r="M465" s="115">
        <f t="shared" si="105"/>
        <v>1474</v>
      </c>
      <c r="N465" s="115">
        <f t="shared" si="106"/>
        <v>1474</v>
      </c>
      <c r="O465" s="115">
        <f t="shared" si="107"/>
        <v>1474</v>
      </c>
      <c r="P465" s="115">
        <f t="shared" si="108"/>
        <v>1474</v>
      </c>
      <c r="Q465" s="125"/>
      <c r="R465" s="125"/>
      <c r="S465" s="125"/>
      <c r="T465" s="125">
        <v>1474</v>
      </c>
      <c r="U465" s="125"/>
      <c r="V465" s="125"/>
      <c r="W465" s="125"/>
      <c r="X465" s="125"/>
      <c r="Y465" s="125"/>
      <c r="Z465" s="125"/>
      <c r="AA465" s="125"/>
      <c r="AB465" s="125"/>
      <c r="AC465" s="124"/>
      <c r="AD465" s="117"/>
      <c r="AE465" s="1"/>
      <c r="AF465" s="117"/>
      <c r="AG465" s="1"/>
      <c r="AH465" s="120"/>
    </row>
    <row r="466" spans="1:34">
      <c r="A466" s="150"/>
      <c r="B466" s="128"/>
      <c r="C466" s="128" t="s">
        <v>1493</v>
      </c>
      <c r="D466" s="128"/>
      <c r="E466" s="117"/>
      <c r="F466" s="117"/>
      <c r="G466" s="117"/>
      <c r="H466" s="115">
        <f t="shared" si="100"/>
        <v>200</v>
      </c>
      <c r="I466" s="115">
        <f t="shared" si="101"/>
        <v>200</v>
      </c>
      <c r="J466" s="115">
        <f t="shared" si="102"/>
        <v>200</v>
      </c>
      <c r="K466" s="115">
        <f t="shared" si="103"/>
        <v>200</v>
      </c>
      <c r="L466" s="115">
        <f t="shared" si="104"/>
        <v>200</v>
      </c>
      <c r="M466" s="115">
        <f t="shared" si="105"/>
        <v>200</v>
      </c>
      <c r="N466" s="115">
        <f t="shared" si="106"/>
        <v>200</v>
      </c>
      <c r="O466" s="115">
        <f t="shared" si="107"/>
        <v>200</v>
      </c>
      <c r="P466" s="115">
        <f t="shared" si="108"/>
        <v>200</v>
      </c>
      <c r="Q466" s="125"/>
      <c r="R466" s="125"/>
      <c r="S466" s="125"/>
      <c r="T466" s="125">
        <v>200</v>
      </c>
      <c r="U466" s="125"/>
      <c r="V466" s="125"/>
      <c r="W466" s="125"/>
      <c r="X466" s="125"/>
      <c r="Y466" s="125"/>
      <c r="Z466" s="125"/>
      <c r="AA466" s="125"/>
      <c r="AB466" s="125"/>
      <c r="AC466" s="124"/>
      <c r="AD466" s="117"/>
      <c r="AE466" s="1"/>
      <c r="AF466" s="120"/>
      <c r="AG466" s="1"/>
      <c r="AH466" s="120"/>
    </row>
    <row r="467" spans="1:34">
      <c r="A467" s="150"/>
      <c r="B467" s="128"/>
      <c r="C467" s="128" t="s">
        <v>1494</v>
      </c>
      <c r="D467" s="128"/>
      <c r="E467" s="117"/>
      <c r="F467" s="117"/>
      <c r="G467" s="117"/>
      <c r="H467" s="115">
        <f t="shared" si="100"/>
        <v>1100</v>
      </c>
      <c r="I467" s="115">
        <f t="shared" si="101"/>
        <v>1100</v>
      </c>
      <c r="J467" s="115">
        <f t="shared" si="102"/>
        <v>1100</v>
      </c>
      <c r="K467" s="115">
        <f t="shared" si="103"/>
        <v>1100</v>
      </c>
      <c r="L467" s="115">
        <f t="shared" si="104"/>
        <v>1100</v>
      </c>
      <c r="M467" s="115">
        <f t="shared" si="105"/>
        <v>1100</v>
      </c>
      <c r="N467" s="115">
        <f t="shared" si="106"/>
        <v>1100</v>
      </c>
      <c r="O467" s="115">
        <f t="shared" si="107"/>
        <v>1100</v>
      </c>
      <c r="P467" s="115">
        <f t="shared" si="108"/>
        <v>1100</v>
      </c>
      <c r="Q467" s="125"/>
      <c r="R467" s="125"/>
      <c r="S467" s="125"/>
      <c r="T467" s="125">
        <v>1100</v>
      </c>
      <c r="U467" s="125"/>
      <c r="V467" s="125"/>
      <c r="W467" s="125"/>
      <c r="X467" s="125"/>
      <c r="Y467" s="125"/>
      <c r="Z467" s="125"/>
      <c r="AA467" s="125"/>
      <c r="AB467" s="125"/>
      <c r="AC467" s="124"/>
      <c r="AD467" s="117"/>
      <c r="AE467" s="1"/>
      <c r="AF467" s="120"/>
      <c r="AG467" s="1"/>
      <c r="AH467" s="120"/>
    </row>
    <row r="468" spans="1:34">
      <c r="A468" s="150"/>
      <c r="B468" s="128"/>
      <c r="C468" s="128" t="s">
        <v>1495</v>
      </c>
      <c r="D468" s="128"/>
      <c r="E468" s="117"/>
      <c r="F468" s="117"/>
      <c r="G468" s="117"/>
      <c r="H468" s="115">
        <f t="shared" si="100"/>
        <v>1288</v>
      </c>
      <c r="I468" s="115">
        <f t="shared" si="101"/>
        <v>1288</v>
      </c>
      <c r="J468" s="115">
        <f t="shared" si="102"/>
        <v>1288</v>
      </c>
      <c r="K468" s="115">
        <f t="shared" si="103"/>
        <v>1288</v>
      </c>
      <c r="L468" s="115">
        <f t="shared" si="104"/>
        <v>1288</v>
      </c>
      <c r="M468" s="115">
        <f t="shared" si="105"/>
        <v>1288</v>
      </c>
      <c r="N468" s="115">
        <f t="shared" si="106"/>
        <v>1288</v>
      </c>
      <c r="O468" s="115">
        <f t="shared" si="107"/>
        <v>1288</v>
      </c>
      <c r="P468" s="115">
        <f t="shared" si="108"/>
        <v>1288</v>
      </c>
      <c r="Q468" s="125"/>
      <c r="R468" s="125"/>
      <c r="S468" s="125"/>
      <c r="T468" s="125">
        <v>1288</v>
      </c>
      <c r="U468" s="125"/>
      <c r="V468" s="125"/>
      <c r="W468" s="125"/>
      <c r="X468" s="125"/>
      <c r="Y468" s="125"/>
      <c r="Z468" s="125"/>
      <c r="AA468" s="125"/>
      <c r="AB468" s="125"/>
      <c r="AC468" s="124"/>
      <c r="AD468" s="117"/>
      <c r="AE468" s="1"/>
      <c r="AF468" s="120"/>
      <c r="AG468" s="1"/>
      <c r="AH468" s="120"/>
    </row>
    <row r="469" spans="1:34">
      <c r="A469" s="150"/>
      <c r="B469" s="128"/>
      <c r="C469" s="128" t="s">
        <v>1496</v>
      </c>
      <c r="D469" s="128"/>
      <c r="E469" s="117"/>
      <c r="F469" s="117"/>
      <c r="G469" s="117"/>
      <c r="H469" s="115">
        <f t="shared" si="100"/>
        <v>2000</v>
      </c>
      <c r="I469" s="115">
        <f t="shared" si="101"/>
        <v>2000</v>
      </c>
      <c r="J469" s="115">
        <f t="shared" si="102"/>
        <v>2000</v>
      </c>
      <c r="K469" s="115">
        <f t="shared" si="103"/>
        <v>2000</v>
      </c>
      <c r="L469" s="115">
        <f t="shared" si="104"/>
        <v>2000</v>
      </c>
      <c r="M469" s="115">
        <f t="shared" si="105"/>
        <v>2000</v>
      </c>
      <c r="N469" s="115">
        <f t="shared" si="106"/>
        <v>2000</v>
      </c>
      <c r="O469" s="115">
        <f t="shared" si="107"/>
        <v>2000</v>
      </c>
      <c r="P469" s="115">
        <f t="shared" si="108"/>
        <v>2000</v>
      </c>
      <c r="Q469" s="125"/>
      <c r="R469" s="125"/>
      <c r="S469" s="125"/>
      <c r="T469" s="125">
        <v>2000</v>
      </c>
      <c r="U469" s="125"/>
      <c r="V469" s="125"/>
      <c r="W469" s="125"/>
      <c r="X469" s="125"/>
      <c r="Y469" s="125"/>
      <c r="Z469" s="125"/>
      <c r="AA469" s="125"/>
      <c r="AB469" s="125"/>
      <c r="AC469" s="124"/>
      <c r="AD469" s="117"/>
      <c r="AE469" s="1"/>
      <c r="AF469" s="120"/>
      <c r="AG469" s="1"/>
      <c r="AH469" s="120"/>
    </row>
    <row r="470" spans="1:34">
      <c r="A470" s="150"/>
      <c r="B470" s="128"/>
      <c r="C470" s="128" t="s">
        <v>1497</v>
      </c>
      <c r="D470" s="128"/>
      <c r="E470" s="117"/>
      <c r="F470" s="117"/>
      <c r="G470" s="117"/>
      <c r="H470" s="115">
        <f t="shared" si="100"/>
        <v>1000</v>
      </c>
      <c r="I470" s="115">
        <f t="shared" si="101"/>
        <v>1000</v>
      </c>
      <c r="J470" s="115">
        <f t="shared" si="102"/>
        <v>1000</v>
      </c>
      <c r="K470" s="115">
        <f t="shared" si="103"/>
        <v>1000</v>
      </c>
      <c r="L470" s="115">
        <f t="shared" si="104"/>
        <v>1000</v>
      </c>
      <c r="M470" s="115">
        <f t="shared" si="105"/>
        <v>1000</v>
      </c>
      <c r="N470" s="115">
        <f t="shared" si="106"/>
        <v>1000</v>
      </c>
      <c r="O470" s="115">
        <f t="shared" si="107"/>
        <v>1000</v>
      </c>
      <c r="P470" s="115">
        <f t="shared" si="108"/>
        <v>1000</v>
      </c>
      <c r="Q470" s="125"/>
      <c r="R470" s="125"/>
      <c r="S470" s="125"/>
      <c r="T470" s="125">
        <v>1000</v>
      </c>
      <c r="U470" s="125"/>
      <c r="V470" s="125"/>
      <c r="W470" s="125"/>
      <c r="X470" s="125"/>
      <c r="Y470" s="125"/>
      <c r="Z470" s="125"/>
      <c r="AA470" s="125"/>
      <c r="AB470" s="125"/>
      <c r="AC470" s="124"/>
      <c r="AD470" s="117"/>
      <c r="AE470" s="1"/>
      <c r="AF470" s="120"/>
      <c r="AG470" s="1"/>
      <c r="AH470" s="120"/>
    </row>
    <row r="471" spans="1:34">
      <c r="A471" s="150"/>
      <c r="B471" s="128"/>
      <c r="C471" s="128" t="s">
        <v>1498</v>
      </c>
      <c r="D471" s="128"/>
      <c r="E471" s="117"/>
      <c r="F471" s="117"/>
      <c r="G471" s="117"/>
      <c r="H471" s="115">
        <f t="shared" si="100"/>
        <v>655</v>
      </c>
      <c r="I471" s="115">
        <f t="shared" si="101"/>
        <v>655</v>
      </c>
      <c r="J471" s="115">
        <f t="shared" si="102"/>
        <v>655</v>
      </c>
      <c r="K471" s="115">
        <f t="shared" si="103"/>
        <v>655</v>
      </c>
      <c r="L471" s="115">
        <f t="shared" si="104"/>
        <v>655</v>
      </c>
      <c r="M471" s="115">
        <f t="shared" si="105"/>
        <v>655</v>
      </c>
      <c r="N471" s="115">
        <f t="shared" si="106"/>
        <v>655</v>
      </c>
      <c r="O471" s="115">
        <f t="shared" si="107"/>
        <v>655</v>
      </c>
      <c r="P471" s="115">
        <f t="shared" si="108"/>
        <v>655</v>
      </c>
      <c r="Q471" s="125"/>
      <c r="R471" s="125"/>
      <c r="S471" s="125"/>
      <c r="T471" s="125">
        <v>655</v>
      </c>
      <c r="U471" s="125"/>
      <c r="V471" s="125"/>
      <c r="W471" s="125"/>
      <c r="X471" s="125"/>
      <c r="Y471" s="125"/>
      <c r="Z471" s="125"/>
      <c r="AA471" s="125"/>
      <c r="AB471" s="125"/>
      <c r="AC471" s="124"/>
      <c r="AD471" s="117"/>
      <c r="AE471" s="1"/>
      <c r="AF471" s="120"/>
      <c r="AG471" s="1"/>
      <c r="AH471" s="120"/>
    </row>
    <row r="472" spans="1:34">
      <c r="A472" s="150"/>
      <c r="B472" s="128"/>
      <c r="C472" s="128" t="s">
        <v>1499</v>
      </c>
      <c r="D472" s="128"/>
      <c r="E472" s="117"/>
      <c r="F472" s="117"/>
      <c r="G472" s="117"/>
      <c r="H472" s="115">
        <f t="shared" si="100"/>
        <v>1000</v>
      </c>
      <c r="I472" s="115">
        <f t="shared" si="101"/>
        <v>1000</v>
      </c>
      <c r="J472" s="115">
        <f t="shared" si="102"/>
        <v>1000</v>
      </c>
      <c r="K472" s="115">
        <f t="shared" si="103"/>
        <v>1000</v>
      </c>
      <c r="L472" s="115">
        <f t="shared" si="104"/>
        <v>1000</v>
      </c>
      <c r="M472" s="115">
        <f t="shared" si="105"/>
        <v>1000</v>
      </c>
      <c r="N472" s="115">
        <f t="shared" si="106"/>
        <v>1000</v>
      </c>
      <c r="O472" s="115">
        <f t="shared" si="107"/>
        <v>1000</v>
      </c>
      <c r="P472" s="115">
        <f t="shared" si="108"/>
        <v>1000</v>
      </c>
      <c r="Q472" s="125"/>
      <c r="R472" s="125"/>
      <c r="S472" s="125"/>
      <c r="T472" s="125">
        <v>1000</v>
      </c>
      <c r="U472" s="125"/>
      <c r="V472" s="125"/>
      <c r="W472" s="125"/>
      <c r="X472" s="125"/>
      <c r="Y472" s="125"/>
      <c r="Z472" s="125"/>
      <c r="AA472" s="125"/>
      <c r="AB472" s="125"/>
      <c r="AC472" s="124"/>
      <c r="AD472" s="117"/>
      <c r="AE472" s="1"/>
      <c r="AF472" s="120"/>
      <c r="AG472" s="1"/>
      <c r="AH472" s="120"/>
    </row>
    <row r="473" spans="1:34">
      <c r="A473" s="150"/>
      <c r="B473" s="128"/>
      <c r="C473" s="128" t="s">
        <v>1500</v>
      </c>
      <c r="D473" s="128"/>
      <c r="E473" s="117"/>
      <c r="F473" s="117"/>
      <c r="G473" s="117"/>
      <c r="H473" s="115">
        <f t="shared" si="100"/>
        <v>766</v>
      </c>
      <c r="I473" s="115">
        <f t="shared" si="101"/>
        <v>766</v>
      </c>
      <c r="J473" s="115">
        <f t="shared" si="102"/>
        <v>766</v>
      </c>
      <c r="K473" s="115">
        <f t="shared" si="103"/>
        <v>766</v>
      </c>
      <c r="L473" s="115">
        <f t="shared" si="104"/>
        <v>766</v>
      </c>
      <c r="M473" s="115">
        <f t="shared" si="105"/>
        <v>766</v>
      </c>
      <c r="N473" s="115">
        <f t="shared" si="106"/>
        <v>766</v>
      </c>
      <c r="O473" s="115">
        <f t="shared" si="107"/>
        <v>766</v>
      </c>
      <c r="P473" s="115">
        <f t="shared" si="108"/>
        <v>766</v>
      </c>
      <c r="Q473" s="125"/>
      <c r="R473" s="125"/>
      <c r="S473" s="125"/>
      <c r="T473" s="125">
        <v>766</v>
      </c>
      <c r="U473" s="125"/>
      <c r="V473" s="125"/>
      <c r="W473" s="125"/>
      <c r="X473" s="125"/>
      <c r="Y473" s="125"/>
      <c r="Z473" s="125"/>
      <c r="AA473" s="125"/>
      <c r="AB473" s="125"/>
      <c r="AC473" s="124"/>
      <c r="AD473" s="117"/>
      <c r="AE473" s="1"/>
      <c r="AF473" s="120"/>
      <c r="AG473" s="1"/>
      <c r="AH473" s="120"/>
    </row>
    <row r="474" spans="1:34">
      <c r="A474" s="150"/>
      <c r="B474" s="128"/>
      <c r="C474" s="136" t="s">
        <v>1501</v>
      </c>
      <c r="D474" s="136"/>
      <c r="E474" s="160"/>
      <c r="F474" s="160"/>
      <c r="G474" s="160"/>
      <c r="H474" s="115">
        <f t="shared" si="100"/>
        <v>0.05</v>
      </c>
      <c r="I474" s="115">
        <f t="shared" si="101"/>
        <v>0.05</v>
      </c>
      <c r="J474" s="115">
        <f t="shared" si="102"/>
        <v>0.05</v>
      </c>
      <c r="K474" s="115">
        <f t="shared" si="103"/>
        <v>0.05</v>
      </c>
      <c r="L474" s="115">
        <f t="shared" si="104"/>
        <v>0.05</v>
      </c>
      <c r="M474" s="115">
        <f t="shared" si="105"/>
        <v>0.05</v>
      </c>
      <c r="N474" s="115">
        <f t="shared" si="106"/>
        <v>0.05</v>
      </c>
      <c r="O474" s="115">
        <f t="shared" si="107"/>
        <v>0.05</v>
      </c>
      <c r="P474" s="115">
        <f t="shared" si="108"/>
        <v>0.05</v>
      </c>
      <c r="Q474" s="161"/>
      <c r="R474" s="161"/>
      <c r="S474" s="161"/>
      <c r="T474" s="161">
        <v>0.05</v>
      </c>
      <c r="U474" s="161"/>
      <c r="V474" s="161"/>
      <c r="W474" s="161"/>
      <c r="X474" s="161"/>
      <c r="Y474" s="161"/>
      <c r="Z474" s="161"/>
      <c r="AA474" s="161"/>
      <c r="AB474" s="161"/>
      <c r="AC474" s="160"/>
      <c r="AD474" s="117"/>
      <c r="AE474" s="1"/>
      <c r="AF474" s="120"/>
      <c r="AG474" s="1"/>
      <c r="AH474" s="120"/>
    </row>
    <row r="475" spans="1:34">
      <c r="A475" s="150"/>
      <c r="B475" s="128"/>
      <c r="C475" s="128" t="s">
        <v>1502</v>
      </c>
      <c r="D475" s="128"/>
      <c r="E475" s="117"/>
      <c r="F475" s="117"/>
      <c r="G475" s="117"/>
      <c r="H475" s="115">
        <f t="shared" si="100"/>
        <v>978.5</v>
      </c>
      <c r="I475" s="115">
        <f t="shared" si="101"/>
        <v>978.5</v>
      </c>
      <c r="J475" s="115">
        <f t="shared" si="102"/>
        <v>978.5</v>
      </c>
      <c r="K475" s="115">
        <f t="shared" si="103"/>
        <v>978.5</v>
      </c>
      <c r="L475" s="115">
        <f t="shared" si="104"/>
        <v>978.5</v>
      </c>
      <c r="M475" s="115">
        <f t="shared" si="105"/>
        <v>978.5</v>
      </c>
      <c r="N475" s="115">
        <f t="shared" si="106"/>
        <v>978.5</v>
      </c>
      <c r="O475" s="115">
        <f t="shared" si="107"/>
        <v>978.5</v>
      </c>
      <c r="P475" s="115">
        <f t="shared" si="108"/>
        <v>978.5</v>
      </c>
      <c r="Q475" s="125"/>
      <c r="R475" s="125"/>
      <c r="S475" s="125"/>
      <c r="T475" s="125">
        <v>978.5</v>
      </c>
      <c r="U475" s="125"/>
      <c r="V475" s="125"/>
      <c r="W475" s="125"/>
      <c r="X475" s="125"/>
      <c r="Y475" s="125"/>
      <c r="Z475" s="125"/>
      <c r="AA475" s="125"/>
      <c r="AB475" s="125"/>
      <c r="AC475" s="124"/>
      <c r="AD475" s="117"/>
      <c r="AE475" s="1"/>
      <c r="AF475" s="120"/>
      <c r="AG475" s="1"/>
      <c r="AH475" s="120"/>
    </row>
    <row r="476" spans="1:34">
      <c r="A476" s="150"/>
      <c r="B476" s="128"/>
      <c r="C476" s="128" t="s">
        <v>1503</v>
      </c>
      <c r="D476" s="128"/>
      <c r="E476" s="117"/>
      <c r="F476" s="117"/>
      <c r="G476" s="117"/>
      <c r="H476" s="115">
        <f t="shared" si="100"/>
        <v>1900</v>
      </c>
      <c r="I476" s="115">
        <f t="shared" si="101"/>
        <v>1900</v>
      </c>
      <c r="J476" s="115">
        <f t="shared" si="102"/>
        <v>1900</v>
      </c>
      <c r="K476" s="115">
        <f t="shared" si="103"/>
        <v>1900</v>
      </c>
      <c r="L476" s="115">
        <f t="shared" si="104"/>
        <v>1900</v>
      </c>
      <c r="M476" s="115">
        <f t="shared" si="105"/>
        <v>1900</v>
      </c>
      <c r="N476" s="115">
        <f t="shared" si="106"/>
        <v>1900</v>
      </c>
      <c r="O476" s="115">
        <f t="shared" si="107"/>
        <v>1900</v>
      </c>
      <c r="P476" s="115">
        <f t="shared" si="108"/>
        <v>1900</v>
      </c>
      <c r="Q476" s="125"/>
      <c r="R476" s="125"/>
      <c r="S476" s="125"/>
      <c r="T476" s="125">
        <v>1900</v>
      </c>
      <c r="U476" s="125"/>
      <c r="V476" s="125"/>
      <c r="W476" s="125"/>
      <c r="X476" s="125"/>
      <c r="Y476" s="125"/>
      <c r="Z476" s="125"/>
      <c r="AA476" s="125"/>
      <c r="AB476" s="125"/>
      <c r="AC476" s="124"/>
      <c r="AD476" s="117"/>
      <c r="AE476" s="1"/>
      <c r="AF476" s="120"/>
      <c r="AG476" s="1"/>
      <c r="AH476" s="120"/>
    </row>
    <row r="477" spans="1:34">
      <c r="A477" s="150"/>
      <c r="B477" s="128"/>
      <c r="C477" s="128" t="s">
        <v>1504</v>
      </c>
      <c r="D477" s="128"/>
      <c r="E477" s="117"/>
      <c r="F477" s="117"/>
      <c r="G477" s="117"/>
      <c r="H477" s="115">
        <f t="shared" si="100"/>
        <v>546.5</v>
      </c>
      <c r="I477" s="115">
        <f t="shared" si="101"/>
        <v>546.5</v>
      </c>
      <c r="J477" s="115">
        <f t="shared" si="102"/>
        <v>546.5</v>
      </c>
      <c r="K477" s="115">
        <f t="shared" si="103"/>
        <v>546.5</v>
      </c>
      <c r="L477" s="115">
        <f t="shared" si="104"/>
        <v>546.5</v>
      </c>
      <c r="M477" s="115">
        <f t="shared" si="105"/>
        <v>546.5</v>
      </c>
      <c r="N477" s="115">
        <f t="shared" si="106"/>
        <v>546.5</v>
      </c>
      <c r="O477" s="115">
        <f t="shared" si="107"/>
        <v>546.5</v>
      </c>
      <c r="P477" s="115">
        <f t="shared" si="108"/>
        <v>546.5</v>
      </c>
      <c r="Q477" s="125"/>
      <c r="R477" s="125"/>
      <c r="S477" s="125"/>
      <c r="T477" s="125">
        <v>546.5</v>
      </c>
      <c r="U477" s="125"/>
      <c r="V477" s="125"/>
      <c r="W477" s="125"/>
      <c r="X477" s="125"/>
      <c r="Y477" s="125"/>
      <c r="Z477" s="125"/>
      <c r="AA477" s="125"/>
      <c r="AB477" s="125"/>
      <c r="AC477" s="124"/>
      <c r="AD477" s="117"/>
      <c r="AE477" s="1"/>
      <c r="AF477" s="120"/>
      <c r="AG477" s="1"/>
      <c r="AH477" s="120"/>
    </row>
    <row r="478" spans="1:34">
      <c r="A478" s="150"/>
      <c r="B478" s="128"/>
      <c r="C478" s="128" t="s">
        <v>1505</v>
      </c>
      <c r="D478" s="128"/>
      <c r="E478" s="117"/>
      <c r="F478" s="117"/>
      <c r="G478" s="117"/>
      <c r="H478" s="115">
        <f t="shared" si="100"/>
        <v>550.5</v>
      </c>
      <c r="I478" s="115">
        <f t="shared" si="101"/>
        <v>550.5</v>
      </c>
      <c r="J478" s="115">
        <f t="shared" si="102"/>
        <v>550.5</v>
      </c>
      <c r="K478" s="115">
        <f t="shared" si="103"/>
        <v>550.5</v>
      </c>
      <c r="L478" s="115">
        <f t="shared" si="104"/>
        <v>550.5</v>
      </c>
      <c r="M478" s="115">
        <f t="shared" si="105"/>
        <v>550.5</v>
      </c>
      <c r="N478" s="115">
        <f t="shared" si="106"/>
        <v>550.5</v>
      </c>
      <c r="O478" s="115">
        <f t="shared" si="107"/>
        <v>550.5</v>
      </c>
      <c r="P478" s="115">
        <f t="shared" si="108"/>
        <v>550.5</v>
      </c>
      <c r="Q478" s="125"/>
      <c r="R478" s="125"/>
      <c r="S478" s="125"/>
      <c r="T478" s="125">
        <v>550.5</v>
      </c>
      <c r="U478" s="125"/>
      <c r="V478" s="125"/>
      <c r="W478" s="125"/>
      <c r="X478" s="125"/>
      <c r="Y478" s="125"/>
      <c r="Z478" s="125"/>
      <c r="AA478" s="125"/>
      <c r="AB478" s="125"/>
      <c r="AC478" s="124"/>
      <c r="AD478" s="117"/>
      <c r="AE478" s="1"/>
      <c r="AF478" s="120"/>
      <c r="AG478" s="1"/>
      <c r="AH478" s="120"/>
    </row>
    <row r="479" spans="1:34">
      <c r="A479" s="150"/>
      <c r="B479" s="128"/>
      <c r="C479" s="128" t="s">
        <v>1506</v>
      </c>
      <c r="D479" s="128"/>
      <c r="E479" s="117"/>
      <c r="F479" s="117"/>
      <c r="G479" s="117"/>
      <c r="H479" s="115">
        <f t="shared" si="100"/>
        <v>1315.5</v>
      </c>
      <c r="I479" s="115">
        <f t="shared" si="101"/>
        <v>1315.5</v>
      </c>
      <c r="J479" s="115">
        <f t="shared" si="102"/>
        <v>1315.5</v>
      </c>
      <c r="K479" s="115">
        <f t="shared" si="103"/>
        <v>1315.5</v>
      </c>
      <c r="L479" s="115">
        <f t="shared" si="104"/>
        <v>1315.5</v>
      </c>
      <c r="M479" s="115">
        <f t="shared" si="105"/>
        <v>1315.5</v>
      </c>
      <c r="N479" s="115">
        <f t="shared" si="106"/>
        <v>1315.5</v>
      </c>
      <c r="O479" s="115">
        <f t="shared" si="107"/>
        <v>1315.5</v>
      </c>
      <c r="P479" s="115">
        <f t="shared" si="108"/>
        <v>1315.5</v>
      </c>
      <c r="Q479" s="125"/>
      <c r="R479" s="125"/>
      <c r="S479" s="125"/>
      <c r="T479" s="125">
        <v>1315.5</v>
      </c>
      <c r="U479" s="125"/>
      <c r="V479" s="125"/>
      <c r="W479" s="125"/>
      <c r="X479" s="125"/>
      <c r="Y479" s="125"/>
      <c r="Z479" s="125"/>
      <c r="AA479" s="125"/>
      <c r="AB479" s="125"/>
      <c r="AC479" s="124"/>
      <c r="AD479" s="117"/>
      <c r="AE479" s="1"/>
      <c r="AF479" s="120"/>
      <c r="AG479" s="1"/>
      <c r="AH479" s="120"/>
    </row>
    <row r="480" spans="1:34">
      <c r="A480" s="150"/>
      <c r="B480" s="128"/>
      <c r="C480" s="128" t="s">
        <v>1507</v>
      </c>
      <c r="D480" s="128"/>
      <c r="E480" s="117"/>
      <c r="F480" s="117"/>
      <c r="G480" s="117"/>
      <c r="H480" s="115">
        <f t="shared" si="100"/>
        <v>1000</v>
      </c>
      <c r="I480" s="115">
        <f t="shared" si="101"/>
        <v>1000</v>
      </c>
      <c r="J480" s="115">
        <f t="shared" si="102"/>
        <v>1000</v>
      </c>
      <c r="K480" s="115">
        <f t="shared" si="103"/>
        <v>1000</v>
      </c>
      <c r="L480" s="115">
        <f t="shared" si="104"/>
        <v>1000</v>
      </c>
      <c r="M480" s="115">
        <f t="shared" si="105"/>
        <v>1000</v>
      </c>
      <c r="N480" s="115">
        <f t="shared" si="106"/>
        <v>1000</v>
      </c>
      <c r="O480" s="115">
        <f t="shared" si="107"/>
        <v>1000</v>
      </c>
      <c r="P480" s="115">
        <f t="shared" si="108"/>
        <v>1000</v>
      </c>
      <c r="Q480" s="125"/>
      <c r="R480" s="125"/>
      <c r="S480" s="125"/>
      <c r="T480" s="125">
        <v>1000</v>
      </c>
      <c r="U480" s="125"/>
      <c r="V480" s="125"/>
      <c r="W480" s="125"/>
      <c r="X480" s="125"/>
      <c r="Y480" s="125"/>
      <c r="Z480" s="125"/>
      <c r="AA480" s="125"/>
      <c r="AB480" s="125"/>
      <c r="AC480" s="124"/>
      <c r="AD480" s="117"/>
      <c r="AE480" s="1"/>
      <c r="AF480" s="120"/>
      <c r="AG480" s="1"/>
      <c r="AH480" s="120"/>
    </row>
    <row r="481" spans="1:34">
      <c r="A481" s="150"/>
      <c r="B481" s="128"/>
      <c r="C481" s="128" t="s">
        <v>1508</v>
      </c>
      <c r="D481" s="128"/>
      <c r="E481" s="117"/>
      <c r="F481" s="117"/>
      <c r="G481" s="117"/>
      <c r="H481" s="115">
        <f t="shared" si="100"/>
        <v>2300</v>
      </c>
      <c r="I481" s="115">
        <f t="shared" si="101"/>
        <v>2300</v>
      </c>
      <c r="J481" s="115">
        <f t="shared" si="102"/>
        <v>2300</v>
      </c>
      <c r="K481" s="115">
        <f t="shared" si="103"/>
        <v>2300</v>
      </c>
      <c r="L481" s="115">
        <f t="shared" si="104"/>
        <v>2300</v>
      </c>
      <c r="M481" s="115">
        <f t="shared" si="105"/>
        <v>2300</v>
      </c>
      <c r="N481" s="115">
        <f t="shared" si="106"/>
        <v>2300</v>
      </c>
      <c r="O481" s="115">
        <f t="shared" si="107"/>
        <v>2300</v>
      </c>
      <c r="P481" s="115">
        <f t="shared" si="108"/>
        <v>2300</v>
      </c>
      <c r="Q481" s="125"/>
      <c r="R481" s="125"/>
      <c r="S481" s="125"/>
      <c r="T481" s="125">
        <v>2300</v>
      </c>
      <c r="U481" s="125"/>
      <c r="V481" s="125"/>
      <c r="W481" s="125"/>
      <c r="X481" s="125"/>
      <c r="Y481" s="125"/>
      <c r="Z481" s="125"/>
      <c r="AA481" s="125"/>
      <c r="AB481" s="125"/>
      <c r="AC481" s="124"/>
      <c r="AD481" s="117"/>
      <c r="AE481" s="1"/>
      <c r="AF481" s="120"/>
      <c r="AG481" s="1"/>
      <c r="AH481" s="120"/>
    </row>
    <row r="482" spans="1:34">
      <c r="A482" s="150"/>
      <c r="B482" s="128"/>
      <c r="C482" s="128" t="s">
        <v>1509</v>
      </c>
      <c r="D482" s="128"/>
      <c r="E482" s="117"/>
      <c r="F482" s="117"/>
      <c r="G482" s="117"/>
      <c r="H482" s="115">
        <f t="shared" si="100"/>
        <v>900</v>
      </c>
      <c r="I482" s="115">
        <f t="shared" si="101"/>
        <v>900</v>
      </c>
      <c r="J482" s="115">
        <f t="shared" si="102"/>
        <v>900</v>
      </c>
      <c r="K482" s="115">
        <f t="shared" si="103"/>
        <v>900</v>
      </c>
      <c r="L482" s="115">
        <f t="shared" si="104"/>
        <v>900</v>
      </c>
      <c r="M482" s="115">
        <f t="shared" si="105"/>
        <v>900</v>
      </c>
      <c r="N482" s="115">
        <f t="shared" si="106"/>
        <v>900</v>
      </c>
      <c r="O482" s="115">
        <f t="shared" si="107"/>
        <v>900</v>
      </c>
      <c r="P482" s="115">
        <f t="shared" si="108"/>
        <v>900</v>
      </c>
      <c r="Q482" s="125"/>
      <c r="R482" s="125"/>
      <c r="S482" s="125"/>
      <c r="T482" s="125">
        <v>900</v>
      </c>
      <c r="U482" s="125"/>
      <c r="V482" s="125"/>
      <c r="W482" s="125"/>
      <c r="X482" s="125"/>
      <c r="Y482" s="125"/>
      <c r="Z482" s="125"/>
      <c r="AA482" s="125"/>
      <c r="AB482" s="125"/>
      <c r="AC482" s="124"/>
      <c r="AD482" s="117"/>
      <c r="AE482" s="1"/>
      <c r="AF482" s="120"/>
      <c r="AG482" s="1"/>
      <c r="AH482" s="120"/>
    </row>
    <row r="483" spans="1:34">
      <c r="A483" s="150"/>
      <c r="B483" s="128"/>
      <c r="C483" s="128" t="s">
        <v>1510</v>
      </c>
      <c r="D483" s="128"/>
      <c r="E483" s="117"/>
      <c r="F483" s="117"/>
      <c r="G483" s="117"/>
      <c r="H483" s="115">
        <f t="shared" si="100"/>
        <v>500</v>
      </c>
      <c r="I483" s="115">
        <f t="shared" si="101"/>
        <v>500</v>
      </c>
      <c r="J483" s="115">
        <f t="shared" si="102"/>
        <v>500</v>
      </c>
      <c r="K483" s="115">
        <f t="shared" si="103"/>
        <v>500</v>
      </c>
      <c r="L483" s="115">
        <f t="shared" si="104"/>
        <v>500</v>
      </c>
      <c r="M483" s="115">
        <f t="shared" si="105"/>
        <v>500</v>
      </c>
      <c r="N483" s="115">
        <f t="shared" si="106"/>
        <v>500</v>
      </c>
      <c r="O483" s="115">
        <f t="shared" si="107"/>
        <v>500</v>
      </c>
      <c r="P483" s="115">
        <f t="shared" si="108"/>
        <v>500</v>
      </c>
      <c r="Q483" s="125"/>
      <c r="R483" s="125"/>
      <c r="S483" s="125"/>
      <c r="T483" s="125">
        <v>500</v>
      </c>
      <c r="U483" s="125"/>
      <c r="V483" s="125"/>
      <c r="W483" s="125"/>
      <c r="X483" s="125"/>
      <c r="Y483" s="125"/>
      <c r="Z483" s="125"/>
      <c r="AA483" s="125"/>
      <c r="AB483" s="125"/>
      <c r="AC483" s="124"/>
      <c r="AD483" s="117"/>
      <c r="AE483" s="1"/>
      <c r="AF483" s="120"/>
      <c r="AG483" s="1"/>
      <c r="AH483" s="120"/>
    </row>
    <row r="484" spans="1:34">
      <c r="A484" s="150"/>
      <c r="B484" s="128"/>
      <c r="C484" s="128" t="s">
        <v>1511</v>
      </c>
      <c r="D484" s="128"/>
      <c r="E484" s="117"/>
      <c r="F484" s="117"/>
      <c r="G484" s="117"/>
      <c r="H484" s="115">
        <f t="shared" si="100"/>
        <v>1090</v>
      </c>
      <c r="I484" s="115">
        <f t="shared" si="101"/>
        <v>1090</v>
      </c>
      <c r="J484" s="115">
        <f t="shared" si="102"/>
        <v>1090</v>
      </c>
      <c r="K484" s="115">
        <f t="shared" si="103"/>
        <v>1090</v>
      </c>
      <c r="L484" s="115">
        <f t="shared" si="104"/>
        <v>1090</v>
      </c>
      <c r="M484" s="115">
        <f t="shared" si="105"/>
        <v>1090</v>
      </c>
      <c r="N484" s="115">
        <f t="shared" si="106"/>
        <v>1090</v>
      </c>
      <c r="O484" s="115">
        <f t="shared" si="107"/>
        <v>1090</v>
      </c>
      <c r="P484" s="115">
        <f t="shared" si="108"/>
        <v>1090</v>
      </c>
      <c r="Q484" s="125"/>
      <c r="R484" s="125"/>
      <c r="S484" s="125"/>
      <c r="T484" s="125">
        <v>1090</v>
      </c>
      <c r="U484" s="125"/>
      <c r="V484" s="125"/>
      <c r="W484" s="125"/>
      <c r="X484" s="125"/>
      <c r="Y484" s="125"/>
      <c r="Z484" s="125"/>
      <c r="AA484" s="125"/>
      <c r="AB484" s="125"/>
      <c r="AC484" s="124"/>
      <c r="AD484" s="117"/>
      <c r="AE484" s="1"/>
      <c r="AF484" s="120"/>
      <c r="AG484" s="1"/>
      <c r="AH484" s="120"/>
    </row>
    <row r="485" spans="1:34">
      <c r="A485" s="150"/>
      <c r="B485" s="128"/>
      <c r="C485" s="128" t="s">
        <v>1512</v>
      </c>
      <c r="D485" s="128"/>
      <c r="E485" s="117"/>
      <c r="F485" s="117"/>
      <c r="G485" s="117"/>
      <c r="H485" s="115">
        <f t="shared" si="100"/>
        <v>700</v>
      </c>
      <c r="I485" s="115">
        <f t="shared" si="101"/>
        <v>700</v>
      </c>
      <c r="J485" s="115">
        <f t="shared" si="102"/>
        <v>700</v>
      </c>
      <c r="K485" s="115">
        <f t="shared" si="103"/>
        <v>700</v>
      </c>
      <c r="L485" s="115">
        <f t="shared" si="104"/>
        <v>700</v>
      </c>
      <c r="M485" s="115">
        <f t="shared" si="105"/>
        <v>700</v>
      </c>
      <c r="N485" s="115">
        <f t="shared" si="106"/>
        <v>700</v>
      </c>
      <c r="O485" s="115">
        <f t="shared" si="107"/>
        <v>700</v>
      </c>
      <c r="P485" s="115">
        <f t="shared" si="108"/>
        <v>700</v>
      </c>
      <c r="Q485" s="125"/>
      <c r="R485" s="125"/>
      <c r="S485" s="125"/>
      <c r="T485" s="125">
        <v>700</v>
      </c>
      <c r="U485" s="125"/>
      <c r="V485" s="125"/>
      <c r="W485" s="125"/>
      <c r="X485" s="125"/>
      <c r="Y485" s="125"/>
      <c r="Z485" s="125"/>
      <c r="AA485" s="125"/>
      <c r="AB485" s="125"/>
      <c r="AC485" s="124"/>
      <c r="AD485" s="117"/>
      <c r="AE485" s="1"/>
      <c r="AF485" s="120"/>
      <c r="AG485" s="1"/>
      <c r="AH485" s="120"/>
    </row>
    <row r="486" spans="1:34">
      <c r="A486" s="150"/>
      <c r="B486" s="128"/>
      <c r="C486" s="128" t="s">
        <v>1513</v>
      </c>
      <c r="D486" s="128"/>
      <c r="E486" s="117"/>
      <c r="F486" s="117"/>
      <c r="G486" s="117"/>
      <c r="H486" s="115">
        <f t="shared" si="100"/>
        <v>1107</v>
      </c>
      <c r="I486" s="115">
        <f t="shared" si="101"/>
        <v>1107</v>
      </c>
      <c r="J486" s="115">
        <f t="shared" si="102"/>
        <v>1107</v>
      </c>
      <c r="K486" s="115">
        <f t="shared" si="103"/>
        <v>1107</v>
      </c>
      <c r="L486" s="115">
        <f t="shared" si="104"/>
        <v>1107</v>
      </c>
      <c r="M486" s="115">
        <f t="shared" si="105"/>
        <v>1107</v>
      </c>
      <c r="N486" s="115">
        <f t="shared" si="106"/>
        <v>1107</v>
      </c>
      <c r="O486" s="115">
        <f t="shared" si="107"/>
        <v>1107</v>
      </c>
      <c r="P486" s="115">
        <f t="shared" si="108"/>
        <v>1107</v>
      </c>
      <c r="Q486" s="125"/>
      <c r="R486" s="125"/>
      <c r="S486" s="125"/>
      <c r="T486" s="125">
        <v>1107</v>
      </c>
      <c r="U486" s="125"/>
      <c r="V486" s="125"/>
      <c r="W486" s="125"/>
      <c r="X486" s="125"/>
      <c r="Y486" s="125"/>
      <c r="Z486" s="125"/>
      <c r="AA486" s="125"/>
      <c r="AB486" s="125"/>
      <c r="AC486" s="124"/>
      <c r="AD486" s="117"/>
      <c r="AE486" s="1"/>
      <c r="AF486" s="120"/>
      <c r="AG486" s="1"/>
      <c r="AH486" s="120"/>
    </row>
    <row r="487" spans="1:34">
      <c r="A487" s="150"/>
      <c r="B487" s="128"/>
      <c r="C487" s="128" t="s">
        <v>1514</v>
      </c>
      <c r="D487" s="128"/>
      <c r="E487" s="117"/>
      <c r="F487" s="117"/>
      <c r="G487" s="117"/>
      <c r="H487" s="115">
        <f t="shared" si="100"/>
        <v>2214</v>
      </c>
      <c r="I487" s="115">
        <f t="shared" si="101"/>
        <v>2214</v>
      </c>
      <c r="J487" s="115">
        <f t="shared" si="102"/>
        <v>2214</v>
      </c>
      <c r="K487" s="115">
        <f t="shared" si="103"/>
        <v>2214</v>
      </c>
      <c r="L487" s="115">
        <f t="shared" si="104"/>
        <v>2214</v>
      </c>
      <c r="M487" s="115">
        <f t="shared" si="105"/>
        <v>2214</v>
      </c>
      <c r="N487" s="115">
        <f t="shared" si="106"/>
        <v>2214</v>
      </c>
      <c r="O487" s="115">
        <f t="shared" si="107"/>
        <v>2214</v>
      </c>
      <c r="P487" s="115">
        <f t="shared" si="108"/>
        <v>2214</v>
      </c>
      <c r="Q487" s="125"/>
      <c r="R487" s="125"/>
      <c r="S487" s="125"/>
      <c r="T487" s="125">
        <v>2214</v>
      </c>
      <c r="U487" s="125"/>
      <c r="V487" s="125"/>
      <c r="W487" s="125"/>
      <c r="X487" s="125"/>
      <c r="Y487" s="125"/>
      <c r="Z487" s="125"/>
      <c r="AA487" s="125"/>
      <c r="AB487" s="125"/>
      <c r="AC487" s="124"/>
      <c r="AD487" s="117"/>
      <c r="AE487" s="1"/>
      <c r="AF487" s="120"/>
      <c r="AG487" s="1"/>
      <c r="AH487" s="120"/>
    </row>
    <row r="488" spans="1:34">
      <c r="A488" s="150"/>
      <c r="B488" s="128"/>
      <c r="C488" s="128" t="s">
        <v>1515</v>
      </c>
      <c r="D488" s="128"/>
      <c r="E488" s="117"/>
      <c r="F488" s="117"/>
      <c r="G488" s="117"/>
      <c r="H488" s="115">
        <f t="shared" si="100"/>
        <v>850</v>
      </c>
      <c r="I488" s="115">
        <f t="shared" si="101"/>
        <v>850</v>
      </c>
      <c r="J488" s="115">
        <f t="shared" si="102"/>
        <v>850</v>
      </c>
      <c r="K488" s="115">
        <f t="shared" si="103"/>
        <v>850</v>
      </c>
      <c r="L488" s="115">
        <f t="shared" si="104"/>
        <v>850</v>
      </c>
      <c r="M488" s="115">
        <f t="shared" si="105"/>
        <v>850</v>
      </c>
      <c r="N488" s="115">
        <f t="shared" si="106"/>
        <v>850</v>
      </c>
      <c r="O488" s="115">
        <f t="shared" si="107"/>
        <v>850</v>
      </c>
      <c r="P488" s="115">
        <f t="shared" si="108"/>
        <v>850</v>
      </c>
      <c r="Q488" s="125"/>
      <c r="R488" s="125"/>
      <c r="S488" s="125"/>
      <c r="T488" s="125">
        <v>850</v>
      </c>
      <c r="U488" s="125"/>
      <c r="V488" s="125"/>
      <c r="W488" s="125"/>
      <c r="X488" s="125"/>
      <c r="Y488" s="125"/>
      <c r="Z488" s="125"/>
      <c r="AA488" s="125"/>
      <c r="AB488" s="125"/>
      <c r="AC488" s="124"/>
      <c r="AD488" s="117"/>
      <c r="AE488" s="1"/>
      <c r="AF488" s="120"/>
      <c r="AG488" s="1"/>
      <c r="AH488" s="120"/>
    </row>
    <row r="489" spans="1:34">
      <c r="A489" s="150"/>
      <c r="B489" s="128"/>
      <c r="C489" s="128" t="s">
        <v>1516</v>
      </c>
      <c r="D489" s="128"/>
      <c r="E489" s="117"/>
      <c r="F489" s="117"/>
      <c r="G489" s="117"/>
      <c r="H489" s="115">
        <f t="shared" si="100"/>
        <v>671</v>
      </c>
      <c r="I489" s="115">
        <f t="shared" si="101"/>
        <v>671</v>
      </c>
      <c r="J489" s="115">
        <f t="shared" si="102"/>
        <v>671</v>
      </c>
      <c r="K489" s="115">
        <f t="shared" si="103"/>
        <v>671</v>
      </c>
      <c r="L489" s="115">
        <f t="shared" si="104"/>
        <v>671</v>
      </c>
      <c r="M489" s="115">
        <f t="shared" si="105"/>
        <v>671</v>
      </c>
      <c r="N489" s="115">
        <f t="shared" si="106"/>
        <v>671</v>
      </c>
      <c r="O489" s="115">
        <f t="shared" si="107"/>
        <v>671</v>
      </c>
      <c r="P489" s="115">
        <f t="shared" si="108"/>
        <v>671</v>
      </c>
      <c r="Q489" s="125"/>
      <c r="R489" s="125"/>
      <c r="S489" s="125"/>
      <c r="T489" s="125">
        <v>671</v>
      </c>
      <c r="U489" s="125"/>
      <c r="V489" s="125"/>
      <c r="W489" s="125"/>
      <c r="X489" s="125"/>
      <c r="Y489" s="125"/>
      <c r="Z489" s="125"/>
      <c r="AA489" s="125"/>
      <c r="AB489" s="125"/>
      <c r="AC489" s="124"/>
      <c r="AD489" s="117"/>
      <c r="AE489" s="1"/>
      <c r="AF489" s="120"/>
      <c r="AG489" s="1"/>
      <c r="AH489" s="120"/>
    </row>
    <row r="490" spans="1:34">
      <c r="A490" s="150"/>
      <c r="B490" s="128"/>
      <c r="C490" s="128" t="s">
        <v>1517</v>
      </c>
      <c r="D490" s="128"/>
      <c r="E490" s="117"/>
      <c r="F490" s="117"/>
      <c r="G490" s="117"/>
      <c r="H490" s="115">
        <f t="shared" si="100"/>
        <v>540</v>
      </c>
      <c r="I490" s="115">
        <f t="shared" si="101"/>
        <v>540</v>
      </c>
      <c r="J490" s="115">
        <f t="shared" si="102"/>
        <v>540</v>
      </c>
      <c r="K490" s="115">
        <f t="shared" si="103"/>
        <v>540</v>
      </c>
      <c r="L490" s="115">
        <f t="shared" si="104"/>
        <v>540</v>
      </c>
      <c r="M490" s="115">
        <f t="shared" si="105"/>
        <v>540</v>
      </c>
      <c r="N490" s="115">
        <f t="shared" si="106"/>
        <v>540</v>
      </c>
      <c r="O490" s="115">
        <f t="shared" si="107"/>
        <v>540</v>
      </c>
      <c r="P490" s="115">
        <f t="shared" si="108"/>
        <v>540</v>
      </c>
      <c r="Q490" s="125"/>
      <c r="R490" s="125"/>
      <c r="S490" s="125"/>
      <c r="T490" s="125">
        <v>540</v>
      </c>
      <c r="U490" s="125"/>
      <c r="V490" s="125"/>
      <c r="W490" s="125"/>
      <c r="X490" s="125"/>
      <c r="Y490" s="125"/>
      <c r="Z490" s="125"/>
      <c r="AA490" s="125"/>
      <c r="AB490" s="125"/>
      <c r="AC490" s="124"/>
      <c r="AD490" s="117"/>
      <c r="AE490" s="1"/>
      <c r="AF490" s="120"/>
      <c r="AG490" s="1"/>
      <c r="AH490" s="120"/>
    </row>
    <row r="491" spans="1:34">
      <c r="A491" s="150"/>
      <c r="B491" s="128"/>
      <c r="C491" s="128" t="s">
        <v>1518</v>
      </c>
      <c r="D491" s="128"/>
      <c r="E491" s="117"/>
      <c r="F491" s="117"/>
      <c r="G491" s="117"/>
      <c r="H491" s="115">
        <f t="shared" si="100"/>
        <v>1500</v>
      </c>
      <c r="I491" s="115">
        <f t="shared" si="101"/>
        <v>1500</v>
      </c>
      <c r="J491" s="115">
        <f t="shared" si="102"/>
        <v>1500</v>
      </c>
      <c r="K491" s="115">
        <f t="shared" si="103"/>
        <v>1500</v>
      </c>
      <c r="L491" s="115">
        <f t="shared" si="104"/>
        <v>1500</v>
      </c>
      <c r="M491" s="115">
        <f t="shared" si="105"/>
        <v>1500</v>
      </c>
      <c r="N491" s="115">
        <f t="shared" si="106"/>
        <v>1500</v>
      </c>
      <c r="O491" s="115">
        <f t="shared" si="107"/>
        <v>1500</v>
      </c>
      <c r="P491" s="115">
        <f t="shared" si="108"/>
        <v>1500</v>
      </c>
      <c r="Q491" s="125"/>
      <c r="R491" s="125"/>
      <c r="S491" s="125"/>
      <c r="T491" s="125">
        <v>1500</v>
      </c>
      <c r="U491" s="125"/>
      <c r="V491" s="125"/>
      <c r="W491" s="125"/>
      <c r="X491" s="125"/>
      <c r="Y491" s="125"/>
      <c r="Z491" s="125"/>
      <c r="AA491" s="125"/>
      <c r="AB491" s="125"/>
      <c r="AC491" s="124"/>
      <c r="AD491" s="117"/>
      <c r="AE491" s="1"/>
      <c r="AF491" s="120"/>
      <c r="AG491" s="1"/>
      <c r="AH491" s="120"/>
    </row>
    <row r="492" spans="1:34">
      <c r="A492" s="150"/>
      <c r="B492" s="128"/>
      <c r="C492" s="128" t="s">
        <v>1519</v>
      </c>
      <c r="D492" s="128"/>
      <c r="E492" s="117"/>
      <c r="F492" s="117"/>
      <c r="G492" s="117"/>
      <c r="H492" s="115">
        <f t="shared" si="100"/>
        <v>1500</v>
      </c>
      <c r="I492" s="115">
        <f t="shared" si="101"/>
        <v>1500</v>
      </c>
      <c r="J492" s="115">
        <f t="shared" si="102"/>
        <v>1500</v>
      </c>
      <c r="K492" s="115">
        <f t="shared" si="103"/>
        <v>1500</v>
      </c>
      <c r="L492" s="115">
        <f t="shared" si="104"/>
        <v>1500</v>
      </c>
      <c r="M492" s="115">
        <f t="shared" si="105"/>
        <v>1500</v>
      </c>
      <c r="N492" s="115">
        <f t="shared" si="106"/>
        <v>1500</v>
      </c>
      <c r="O492" s="115">
        <f t="shared" si="107"/>
        <v>1500</v>
      </c>
      <c r="P492" s="115">
        <f t="shared" si="108"/>
        <v>1500</v>
      </c>
      <c r="Q492" s="125"/>
      <c r="R492" s="125"/>
      <c r="S492" s="125"/>
      <c r="T492" s="125">
        <v>1500</v>
      </c>
      <c r="U492" s="125"/>
      <c r="V492" s="125"/>
      <c r="W492" s="125"/>
      <c r="X492" s="125"/>
      <c r="Y492" s="125"/>
      <c r="Z492" s="125"/>
      <c r="AA492" s="125"/>
      <c r="AB492" s="125"/>
      <c r="AC492" s="124"/>
      <c r="AD492" s="117"/>
      <c r="AE492" s="1"/>
      <c r="AF492" s="120"/>
      <c r="AG492" s="1"/>
      <c r="AH492" s="120"/>
    </row>
    <row r="493" spans="1:34">
      <c r="A493" s="150"/>
      <c r="B493" s="128"/>
      <c r="C493" s="128" t="s">
        <v>1520</v>
      </c>
      <c r="D493" s="128"/>
      <c r="E493" s="117"/>
      <c r="F493" s="117"/>
      <c r="G493" s="117"/>
      <c r="H493" s="115">
        <f t="shared" si="100"/>
        <v>2203</v>
      </c>
      <c r="I493" s="115">
        <f t="shared" si="101"/>
        <v>2203</v>
      </c>
      <c r="J493" s="115">
        <f t="shared" si="102"/>
        <v>2203</v>
      </c>
      <c r="K493" s="115">
        <f t="shared" si="103"/>
        <v>2203</v>
      </c>
      <c r="L493" s="115">
        <f t="shared" si="104"/>
        <v>2203</v>
      </c>
      <c r="M493" s="115">
        <f t="shared" si="105"/>
        <v>2203</v>
      </c>
      <c r="N493" s="115">
        <f t="shared" si="106"/>
        <v>2203</v>
      </c>
      <c r="O493" s="115">
        <f t="shared" si="107"/>
        <v>2203</v>
      </c>
      <c r="P493" s="115">
        <f t="shared" si="108"/>
        <v>2203</v>
      </c>
      <c r="Q493" s="125"/>
      <c r="R493" s="125"/>
      <c r="S493" s="125"/>
      <c r="T493" s="125">
        <v>2203</v>
      </c>
      <c r="U493" s="125"/>
      <c r="V493" s="125"/>
      <c r="W493" s="125"/>
      <c r="X493" s="125"/>
      <c r="Y493" s="125"/>
      <c r="Z493" s="125"/>
      <c r="AA493" s="125"/>
      <c r="AB493" s="125"/>
      <c r="AC493" s="124"/>
      <c r="AD493" s="117"/>
      <c r="AE493" s="1"/>
      <c r="AF493" s="120"/>
      <c r="AG493" s="1"/>
      <c r="AH493" s="120"/>
    </row>
    <row r="494" spans="1:34">
      <c r="A494" s="150"/>
      <c r="B494" s="128"/>
      <c r="C494" s="128" t="s">
        <v>1521</v>
      </c>
      <c r="D494" s="128"/>
      <c r="E494" s="117"/>
      <c r="F494" s="117"/>
      <c r="G494" s="117"/>
      <c r="H494" s="115">
        <f t="shared" si="100"/>
        <v>1128</v>
      </c>
      <c r="I494" s="115">
        <f t="shared" si="101"/>
        <v>1128</v>
      </c>
      <c r="J494" s="115">
        <f t="shared" si="102"/>
        <v>1128</v>
      </c>
      <c r="K494" s="115">
        <f t="shared" si="103"/>
        <v>1128</v>
      </c>
      <c r="L494" s="115">
        <f t="shared" si="104"/>
        <v>1128</v>
      </c>
      <c r="M494" s="115">
        <f t="shared" si="105"/>
        <v>1128</v>
      </c>
      <c r="N494" s="115">
        <f t="shared" si="106"/>
        <v>1128</v>
      </c>
      <c r="O494" s="115">
        <f t="shared" si="107"/>
        <v>1128</v>
      </c>
      <c r="P494" s="115">
        <f t="shared" si="108"/>
        <v>1128</v>
      </c>
      <c r="Q494" s="125"/>
      <c r="R494" s="125"/>
      <c r="S494" s="125"/>
      <c r="T494" s="125">
        <v>1128</v>
      </c>
      <c r="U494" s="125"/>
      <c r="V494" s="125"/>
      <c r="W494" s="125"/>
      <c r="X494" s="125"/>
      <c r="Y494" s="125"/>
      <c r="Z494" s="125"/>
      <c r="AA494" s="125"/>
      <c r="AB494" s="125"/>
      <c r="AC494" s="124"/>
      <c r="AD494" s="117"/>
      <c r="AE494" s="1"/>
      <c r="AF494" s="120"/>
      <c r="AG494" s="1"/>
      <c r="AH494" s="120"/>
    </row>
    <row r="495" spans="1:34">
      <c r="A495" s="150"/>
      <c r="B495" s="128"/>
      <c r="C495" s="128" t="s">
        <v>1522</v>
      </c>
      <c r="D495" s="128"/>
      <c r="E495" s="117"/>
      <c r="F495" s="117"/>
      <c r="G495" s="117"/>
      <c r="H495" s="115">
        <f t="shared" ref="H495:H559" si="109">Q495+R495+S495+T495</f>
        <v>978.5</v>
      </c>
      <c r="I495" s="115">
        <f t="shared" ref="I495:I559" si="110">Q495+R495+S495+T495+U495</f>
        <v>978.5</v>
      </c>
      <c r="J495" s="115">
        <f t="shared" ref="J495:J559" si="111">Q495+R495+S495+T495+U495+V495</f>
        <v>978.5</v>
      </c>
      <c r="K495" s="115">
        <f t="shared" ref="K495:K559" si="112">Q495+R495+S495+T495+U495+V495+W495</f>
        <v>978.5</v>
      </c>
      <c r="L495" s="115">
        <f t="shared" ref="L495:L559" si="113">Q495+R495+S495+T495+U495+V495+W495+X495</f>
        <v>978.5</v>
      </c>
      <c r="M495" s="115">
        <f t="shared" ref="M495:M559" si="114">Q495+R495+S495+T495+U495+V495+W495+X495+Y495</f>
        <v>978.5</v>
      </c>
      <c r="N495" s="115">
        <f t="shared" ref="N495:N559" si="115">Q495+R495+S495+T495+U495+V495+W495+X495+Y495+Z495</f>
        <v>978.5</v>
      </c>
      <c r="O495" s="115">
        <f t="shared" ref="O495:O559" si="116">Q495+R495+S495+T495+U495+V495+W495+X495+Y495+Z495+AA495</f>
        <v>978.5</v>
      </c>
      <c r="P495" s="115">
        <f t="shared" ref="P495:P559" si="117">Q495+R495+S495+T495+U495+V495+W495+X495+Y495+Z495+AA495+AB495</f>
        <v>978.5</v>
      </c>
      <c r="Q495" s="125"/>
      <c r="R495" s="125"/>
      <c r="S495" s="125"/>
      <c r="T495" s="125">
        <v>978.5</v>
      </c>
      <c r="U495" s="125"/>
      <c r="V495" s="125"/>
      <c r="W495" s="125"/>
      <c r="X495" s="125"/>
      <c r="Y495" s="125"/>
      <c r="Z495" s="125"/>
      <c r="AA495" s="125"/>
      <c r="AB495" s="125"/>
      <c r="AC495" s="124"/>
      <c r="AD495" s="117"/>
      <c r="AE495" s="1"/>
      <c r="AF495" s="120"/>
      <c r="AG495" s="1"/>
      <c r="AH495" s="120"/>
    </row>
    <row r="496" spans="1:34">
      <c r="A496" s="150"/>
      <c r="B496" s="128"/>
      <c r="C496" s="128" t="s">
        <v>1523</v>
      </c>
      <c r="D496" s="128"/>
      <c r="E496" s="117"/>
      <c r="F496" s="117"/>
      <c r="G496" s="117"/>
      <c r="H496" s="115">
        <f t="shared" si="109"/>
        <v>500</v>
      </c>
      <c r="I496" s="115">
        <f t="shared" si="110"/>
        <v>500</v>
      </c>
      <c r="J496" s="115">
        <f t="shared" si="111"/>
        <v>500</v>
      </c>
      <c r="K496" s="115">
        <f t="shared" si="112"/>
        <v>500</v>
      </c>
      <c r="L496" s="115">
        <f t="shared" si="113"/>
        <v>500</v>
      </c>
      <c r="M496" s="115">
        <f t="shared" si="114"/>
        <v>500</v>
      </c>
      <c r="N496" s="115">
        <f t="shared" si="115"/>
        <v>500</v>
      </c>
      <c r="O496" s="115">
        <f t="shared" si="116"/>
        <v>500</v>
      </c>
      <c r="P496" s="115">
        <f t="shared" si="117"/>
        <v>500</v>
      </c>
      <c r="Q496" s="125"/>
      <c r="R496" s="125"/>
      <c r="S496" s="125"/>
      <c r="T496" s="125">
        <v>500</v>
      </c>
      <c r="U496" s="125"/>
      <c r="V496" s="125"/>
      <c r="W496" s="125"/>
      <c r="X496" s="125"/>
      <c r="Y496" s="125"/>
      <c r="Z496" s="125"/>
      <c r="AA496" s="125"/>
      <c r="AB496" s="125"/>
      <c r="AC496" s="124"/>
      <c r="AD496" s="117"/>
      <c r="AE496" s="1"/>
      <c r="AF496" s="120"/>
      <c r="AG496" s="1"/>
      <c r="AH496" s="120"/>
    </row>
    <row r="497" spans="1:34">
      <c r="A497" s="150"/>
      <c r="B497" s="128"/>
      <c r="C497" s="128" t="s">
        <v>1524</v>
      </c>
      <c r="D497" s="128"/>
      <c r="E497" s="117"/>
      <c r="F497" s="117"/>
      <c r="G497" s="117"/>
      <c r="H497" s="115">
        <f t="shared" si="109"/>
        <v>200</v>
      </c>
      <c r="I497" s="115">
        <f t="shared" si="110"/>
        <v>200</v>
      </c>
      <c r="J497" s="115">
        <f t="shared" si="111"/>
        <v>200</v>
      </c>
      <c r="K497" s="115">
        <f t="shared" si="112"/>
        <v>200</v>
      </c>
      <c r="L497" s="115">
        <f t="shared" si="113"/>
        <v>200</v>
      </c>
      <c r="M497" s="115">
        <f t="shared" si="114"/>
        <v>200</v>
      </c>
      <c r="N497" s="115">
        <f t="shared" si="115"/>
        <v>200</v>
      </c>
      <c r="O497" s="115">
        <f t="shared" si="116"/>
        <v>200</v>
      </c>
      <c r="P497" s="115">
        <f t="shared" si="117"/>
        <v>200</v>
      </c>
      <c r="Q497" s="125"/>
      <c r="R497" s="125"/>
      <c r="S497" s="125"/>
      <c r="T497" s="125">
        <v>200</v>
      </c>
      <c r="U497" s="125"/>
      <c r="V497" s="125"/>
      <c r="W497" s="125"/>
      <c r="X497" s="125"/>
      <c r="Y497" s="125"/>
      <c r="Z497" s="125"/>
      <c r="AA497" s="125"/>
      <c r="AB497" s="125"/>
      <c r="AC497" s="124"/>
      <c r="AD497" s="117"/>
      <c r="AE497" s="1"/>
      <c r="AF497" s="120"/>
      <c r="AG497" s="1"/>
      <c r="AH497" s="120"/>
    </row>
    <row r="498" spans="1:34">
      <c r="A498" s="150"/>
      <c r="B498" s="128"/>
      <c r="C498" s="128" t="s">
        <v>1525</v>
      </c>
      <c r="D498" s="128"/>
      <c r="E498" s="117"/>
      <c r="F498" s="117"/>
      <c r="G498" s="117"/>
      <c r="H498" s="115">
        <f t="shared" si="109"/>
        <v>466</v>
      </c>
      <c r="I498" s="115">
        <f t="shared" si="110"/>
        <v>466</v>
      </c>
      <c r="J498" s="115">
        <f t="shared" si="111"/>
        <v>466</v>
      </c>
      <c r="K498" s="115">
        <f t="shared" si="112"/>
        <v>466</v>
      </c>
      <c r="L498" s="115">
        <f t="shared" si="113"/>
        <v>466</v>
      </c>
      <c r="M498" s="115">
        <f t="shared" si="114"/>
        <v>466</v>
      </c>
      <c r="N498" s="115">
        <f t="shared" si="115"/>
        <v>466</v>
      </c>
      <c r="O498" s="115">
        <f t="shared" si="116"/>
        <v>466</v>
      </c>
      <c r="P498" s="115">
        <f t="shared" si="117"/>
        <v>466</v>
      </c>
      <c r="Q498" s="125"/>
      <c r="R498" s="125"/>
      <c r="S498" s="125"/>
      <c r="T498" s="125">
        <v>466</v>
      </c>
      <c r="U498" s="125"/>
      <c r="V498" s="125"/>
      <c r="W498" s="125"/>
      <c r="X498" s="125"/>
      <c r="Y498" s="125"/>
      <c r="Z498" s="125"/>
      <c r="AA498" s="125"/>
      <c r="AB498" s="125"/>
      <c r="AC498" s="124"/>
      <c r="AD498" s="117"/>
      <c r="AE498" s="1"/>
      <c r="AF498" s="120"/>
      <c r="AG498" s="1"/>
      <c r="AH498" s="120"/>
    </row>
    <row r="499" spans="1:34">
      <c r="A499" s="150"/>
      <c r="B499" s="128"/>
      <c r="C499" s="128" t="s">
        <v>1526</v>
      </c>
      <c r="D499" s="128"/>
      <c r="E499" s="117"/>
      <c r="F499" s="117"/>
      <c r="G499" s="117"/>
      <c r="H499" s="115">
        <f t="shared" si="109"/>
        <v>760</v>
      </c>
      <c r="I499" s="115">
        <f t="shared" si="110"/>
        <v>760</v>
      </c>
      <c r="J499" s="115">
        <f t="shared" si="111"/>
        <v>760</v>
      </c>
      <c r="K499" s="115">
        <f t="shared" si="112"/>
        <v>760</v>
      </c>
      <c r="L499" s="115">
        <f t="shared" si="113"/>
        <v>760</v>
      </c>
      <c r="M499" s="115">
        <f t="shared" si="114"/>
        <v>760</v>
      </c>
      <c r="N499" s="115">
        <f t="shared" si="115"/>
        <v>760</v>
      </c>
      <c r="O499" s="115">
        <f t="shared" si="116"/>
        <v>760</v>
      </c>
      <c r="P499" s="115">
        <f t="shared" si="117"/>
        <v>760</v>
      </c>
      <c r="Q499" s="125"/>
      <c r="R499" s="125"/>
      <c r="S499" s="125"/>
      <c r="T499" s="125">
        <v>760</v>
      </c>
      <c r="U499" s="125"/>
      <c r="V499" s="125"/>
      <c r="W499" s="125"/>
      <c r="X499" s="125"/>
      <c r="Y499" s="125"/>
      <c r="Z499" s="125"/>
      <c r="AA499" s="125"/>
      <c r="AB499" s="125"/>
      <c r="AC499" s="124"/>
      <c r="AD499" s="117"/>
      <c r="AE499" s="1"/>
      <c r="AF499" s="120"/>
      <c r="AG499" s="1"/>
      <c r="AH499" s="120"/>
    </row>
    <row r="500" spans="1:34">
      <c r="A500" s="150"/>
      <c r="B500" s="128"/>
      <c r="C500" s="128" t="s">
        <v>1527</v>
      </c>
      <c r="D500" s="128"/>
      <c r="E500" s="117"/>
      <c r="F500" s="117"/>
      <c r="G500" s="117"/>
      <c r="H500" s="115">
        <f t="shared" si="109"/>
        <v>200</v>
      </c>
      <c r="I500" s="115">
        <f t="shared" si="110"/>
        <v>200</v>
      </c>
      <c r="J500" s="115">
        <f t="shared" si="111"/>
        <v>200</v>
      </c>
      <c r="K500" s="115">
        <f t="shared" si="112"/>
        <v>200</v>
      </c>
      <c r="L500" s="115">
        <f t="shared" si="113"/>
        <v>200</v>
      </c>
      <c r="M500" s="115">
        <f t="shared" si="114"/>
        <v>200</v>
      </c>
      <c r="N500" s="115">
        <f t="shared" si="115"/>
        <v>200</v>
      </c>
      <c r="O500" s="115">
        <f t="shared" si="116"/>
        <v>200</v>
      </c>
      <c r="P500" s="115">
        <f t="shared" si="117"/>
        <v>200</v>
      </c>
      <c r="Q500" s="125"/>
      <c r="R500" s="125"/>
      <c r="S500" s="125"/>
      <c r="T500" s="125">
        <v>200</v>
      </c>
      <c r="U500" s="125"/>
      <c r="V500" s="125"/>
      <c r="W500" s="125"/>
      <c r="X500" s="125"/>
      <c r="Y500" s="125"/>
      <c r="Z500" s="125"/>
      <c r="AA500" s="125"/>
      <c r="AB500" s="125"/>
      <c r="AC500" s="124"/>
      <c r="AD500" s="117"/>
      <c r="AE500" s="1"/>
      <c r="AF500" s="120"/>
      <c r="AG500" s="1"/>
      <c r="AH500" s="120"/>
    </row>
    <row r="501" spans="1:34">
      <c r="A501" s="150"/>
      <c r="B501" s="128"/>
      <c r="C501" s="128" t="s">
        <v>1528</v>
      </c>
      <c r="D501" s="128"/>
      <c r="E501" s="117"/>
      <c r="F501" s="117"/>
      <c r="G501" s="117"/>
      <c r="H501" s="115">
        <f t="shared" si="109"/>
        <v>1000</v>
      </c>
      <c r="I501" s="115">
        <f t="shared" si="110"/>
        <v>1000</v>
      </c>
      <c r="J501" s="115">
        <f t="shared" si="111"/>
        <v>1000</v>
      </c>
      <c r="K501" s="115">
        <f t="shared" si="112"/>
        <v>1000</v>
      </c>
      <c r="L501" s="115">
        <f t="shared" si="113"/>
        <v>1000</v>
      </c>
      <c r="M501" s="115">
        <f t="shared" si="114"/>
        <v>1000</v>
      </c>
      <c r="N501" s="115">
        <f t="shared" si="115"/>
        <v>1000</v>
      </c>
      <c r="O501" s="115">
        <f t="shared" si="116"/>
        <v>1000</v>
      </c>
      <c r="P501" s="115">
        <f t="shared" si="117"/>
        <v>1000</v>
      </c>
      <c r="Q501" s="125"/>
      <c r="R501" s="125"/>
      <c r="S501" s="125"/>
      <c r="T501" s="125">
        <v>1000</v>
      </c>
      <c r="U501" s="125"/>
      <c r="V501" s="125"/>
      <c r="W501" s="125"/>
      <c r="X501" s="125"/>
      <c r="Y501" s="125"/>
      <c r="Z501" s="125"/>
      <c r="AA501" s="125"/>
      <c r="AB501" s="125"/>
      <c r="AC501" s="124"/>
      <c r="AD501" s="117"/>
      <c r="AE501" s="1"/>
      <c r="AF501" s="120"/>
      <c r="AG501" s="1"/>
      <c r="AH501" s="120"/>
    </row>
    <row r="502" spans="1:34">
      <c r="A502" s="150"/>
      <c r="B502" s="128"/>
      <c r="C502" s="128" t="s">
        <v>1529</v>
      </c>
      <c r="D502" s="128"/>
      <c r="E502" s="117"/>
      <c r="F502" s="117"/>
      <c r="G502" s="117"/>
      <c r="H502" s="115">
        <f t="shared" si="109"/>
        <v>1000</v>
      </c>
      <c r="I502" s="115">
        <f t="shared" si="110"/>
        <v>1000</v>
      </c>
      <c r="J502" s="115">
        <f t="shared" si="111"/>
        <v>1000</v>
      </c>
      <c r="K502" s="115">
        <f t="shared" si="112"/>
        <v>1000</v>
      </c>
      <c r="L502" s="115">
        <f t="shared" si="113"/>
        <v>1000</v>
      </c>
      <c r="M502" s="115">
        <f t="shared" si="114"/>
        <v>1000</v>
      </c>
      <c r="N502" s="115">
        <f t="shared" si="115"/>
        <v>1000</v>
      </c>
      <c r="O502" s="115">
        <f t="shared" si="116"/>
        <v>1000</v>
      </c>
      <c r="P502" s="115">
        <f t="shared" si="117"/>
        <v>1000</v>
      </c>
      <c r="Q502" s="125"/>
      <c r="R502" s="125"/>
      <c r="S502" s="125"/>
      <c r="T502" s="125">
        <v>1000</v>
      </c>
      <c r="U502" s="125"/>
      <c r="V502" s="125"/>
      <c r="W502" s="125"/>
      <c r="X502" s="125"/>
      <c r="Y502" s="125"/>
      <c r="Z502" s="125"/>
      <c r="AA502" s="125"/>
      <c r="AB502" s="125"/>
      <c r="AC502" s="124"/>
      <c r="AD502" s="117"/>
      <c r="AE502" s="1"/>
      <c r="AF502" s="120"/>
      <c r="AG502" s="1"/>
      <c r="AH502" s="120"/>
    </row>
    <row r="503" spans="1:34">
      <c r="A503" s="150"/>
      <c r="B503" s="128"/>
      <c r="C503" s="128" t="s">
        <v>1530</v>
      </c>
      <c r="D503" s="128"/>
      <c r="E503" s="117"/>
      <c r="F503" s="117"/>
      <c r="G503" s="117"/>
      <c r="H503" s="115">
        <f t="shared" si="109"/>
        <v>1065</v>
      </c>
      <c r="I503" s="115">
        <f t="shared" si="110"/>
        <v>1065</v>
      </c>
      <c r="J503" s="115">
        <f t="shared" si="111"/>
        <v>1065</v>
      </c>
      <c r="K503" s="115">
        <f t="shared" si="112"/>
        <v>1065</v>
      </c>
      <c r="L503" s="115">
        <f t="shared" si="113"/>
        <v>1065</v>
      </c>
      <c r="M503" s="115">
        <f t="shared" si="114"/>
        <v>1065</v>
      </c>
      <c r="N503" s="115">
        <f t="shared" si="115"/>
        <v>1065</v>
      </c>
      <c r="O503" s="115">
        <f t="shared" si="116"/>
        <v>1065</v>
      </c>
      <c r="P503" s="115">
        <f t="shared" si="117"/>
        <v>1065</v>
      </c>
      <c r="Q503" s="125"/>
      <c r="R503" s="125"/>
      <c r="S503" s="125"/>
      <c r="T503" s="125">
        <v>1065</v>
      </c>
      <c r="U503" s="125"/>
      <c r="V503" s="125"/>
      <c r="W503" s="125"/>
      <c r="X503" s="125"/>
      <c r="Y503" s="125"/>
      <c r="Z503" s="125"/>
      <c r="AA503" s="125"/>
      <c r="AB503" s="125"/>
      <c r="AC503" s="124"/>
      <c r="AD503" s="117"/>
      <c r="AE503" s="1"/>
      <c r="AF503" s="120"/>
      <c r="AG503" s="1"/>
      <c r="AH503" s="120"/>
    </row>
    <row r="504" spans="1:34">
      <c r="A504" s="150"/>
      <c r="B504" s="128"/>
      <c r="C504" s="128" t="s">
        <v>1531</v>
      </c>
      <c r="D504" s="128"/>
      <c r="E504" s="117"/>
      <c r="F504" s="117"/>
      <c r="G504" s="117"/>
      <c r="H504" s="115">
        <f t="shared" si="109"/>
        <v>250</v>
      </c>
      <c r="I504" s="115">
        <f t="shared" si="110"/>
        <v>250</v>
      </c>
      <c r="J504" s="115">
        <f t="shared" si="111"/>
        <v>250</v>
      </c>
      <c r="K504" s="115">
        <f t="shared" si="112"/>
        <v>250</v>
      </c>
      <c r="L504" s="115">
        <f t="shared" si="113"/>
        <v>250</v>
      </c>
      <c r="M504" s="115">
        <f t="shared" si="114"/>
        <v>250</v>
      </c>
      <c r="N504" s="115">
        <f t="shared" si="115"/>
        <v>250</v>
      </c>
      <c r="O504" s="115">
        <f t="shared" si="116"/>
        <v>250</v>
      </c>
      <c r="P504" s="115">
        <f t="shared" si="117"/>
        <v>250</v>
      </c>
      <c r="Q504" s="125"/>
      <c r="R504" s="125"/>
      <c r="S504" s="125"/>
      <c r="T504" s="125">
        <v>250</v>
      </c>
      <c r="U504" s="125"/>
      <c r="V504" s="125"/>
      <c r="W504" s="125"/>
      <c r="X504" s="125"/>
      <c r="Y504" s="125"/>
      <c r="Z504" s="125"/>
      <c r="AA504" s="125"/>
      <c r="AB504" s="125"/>
      <c r="AC504" s="124"/>
      <c r="AD504" s="117"/>
      <c r="AE504" s="1"/>
      <c r="AF504" s="120"/>
      <c r="AG504" s="1"/>
      <c r="AH504" s="120"/>
    </row>
    <row r="505" spans="1:34">
      <c r="A505" s="150"/>
      <c r="B505" s="128"/>
      <c r="C505" s="128" t="s">
        <v>1532</v>
      </c>
      <c r="D505" s="128"/>
      <c r="E505" s="117"/>
      <c r="F505" s="117"/>
      <c r="G505" s="117"/>
      <c r="H505" s="115">
        <f t="shared" si="109"/>
        <v>3000</v>
      </c>
      <c r="I505" s="115">
        <f t="shared" si="110"/>
        <v>3000</v>
      </c>
      <c r="J505" s="115">
        <f t="shared" si="111"/>
        <v>3000</v>
      </c>
      <c r="K505" s="115">
        <f t="shared" si="112"/>
        <v>3000</v>
      </c>
      <c r="L505" s="115">
        <f t="shared" si="113"/>
        <v>3000</v>
      </c>
      <c r="M505" s="115">
        <f t="shared" si="114"/>
        <v>3000</v>
      </c>
      <c r="N505" s="115">
        <f t="shared" si="115"/>
        <v>3000</v>
      </c>
      <c r="O505" s="115">
        <f t="shared" si="116"/>
        <v>3000</v>
      </c>
      <c r="P505" s="115">
        <f t="shared" si="117"/>
        <v>3000</v>
      </c>
      <c r="Q505" s="125"/>
      <c r="R505" s="125"/>
      <c r="S505" s="125"/>
      <c r="T505" s="125">
        <v>3000</v>
      </c>
      <c r="U505" s="125"/>
      <c r="V505" s="125"/>
      <c r="W505" s="125"/>
      <c r="X505" s="125"/>
      <c r="Y505" s="125"/>
      <c r="Z505" s="125"/>
      <c r="AA505" s="125"/>
      <c r="AB505" s="125"/>
      <c r="AC505" s="124"/>
      <c r="AD505" s="117"/>
      <c r="AE505" s="1"/>
      <c r="AF505" s="120"/>
      <c r="AG505" s="1"/>
      <c r="AH505" s="120"/>
    </row>
    <row r="506" spans="1:34">
      <c r="A506" s="150"/>
      <c r="B506" s="128"/>
      <c r="C506" s="128" t="s">
        <v>1533</v>
      </c>
      <c r="D506" s="128"/>
      <c r="E506" s="117"/>
      <c r="F506" s="117"/>
      <c r="G506" s="117"/>
      <c r="H506" s="115">
        <f t="shared" si="109"/>
        <v>1107</v>
      </c>
      <c r="I506" s="115">
        <f t="shared" si="110"/>
        <v>1107</v>
      </c>
      <c r="J506" s="115">
        <f t="shared" si="111"/>
        <v>1107</v>
      </c>
      <c r="K506" s="115">
        <f t="shared" si="112"/>
        <v>1107</v>
      </c>
      <c r="L506" s="115">
        <f t="shared" si="113"/>
        <v>1107</v>
      </c>
      <c r="M506" s="115">
        <f t="shared" si="114"/>
        <v>1107</v>
      </c>
      <c r="N506" s="115">
        <f t="shared" si="115"/>
        <v>1107</v>
      </c>
      <c r="O506" s="115">
        <f t="shared" si="116"/>
        <v>1107</v>
      </c>
      <c r="P506" s="115">
        <f t="shared" si="117"/>
        <v>1107</v>
      </c>
      <c r="Q506" s="125"/>
      <c r="R506" s="125"/>
      <c r="S506" s="125"/>
      <c r="T506" s="125">
        <v>1107</v>
      </c>
      <c r="U506" s="125"/>
      <c r="V506" s="125"/>
      <c r="W506" s="125"/>
      <c r="X506" s="125"/>
      <c r="Y506" s="125"/>
      <c r="Z506" s="125"/>
      <c r="AA506" s="125"/>
      <c r="AB506" s="125"/>
      <c r="AC506" s="124"/>
      <c r="AD506" s="117"/>
      <c r="AE506" s="1"/>
      <c r="AF506" s="120"/>
      <c r="AG506" s="1"/>
      <c r="AH506" s="120"/>
    </row>
    <row r="507" spans="1:34">
      <c r="A507" s="150"/>
      <c r="B507" s="128"/>
      <c r="C507" s="128" t="s">
        <v>1534</v>
      </c>
      <c r="D507" s="128"/>
      <c r="E507" s="117"/>
      <c r="F507" s="117"/>
      <c r="G507" s="117"/>
      <c r="H507" s="115">
        <f t="shared" si="109"/>
        <v>3000</v>
      </c>
      <c r="I507" s="115">
        <f t="shared" si="110"/>
        <v>3000</v>
      </c>
      <c r="J507" s="115">
        <f t="shared" si="111"/>
        <v>3000</v>
      </c>
      <c r="K507" s="115">
        <f t="shared" si="112"/>
        <v>3000</v>
      </c>
      <c r="L507" s="115">
        <f t="shared" si="113"/>
        <v>3000</v>
      </c>
      <c r="M507" s="115">
        <f t="shared" si="114"/>
        <v>3000</v>
      </c>
      <c r="N507" s="115">
        <f t="shared" si="115"/>
        <v>3000</v>
      </c>
      <c r="O507" s="115">
        <f t="shared" si="116"/>
        <v>3000</v>
      </c>
      <c r="P507" s="115">
        <f t="shared" si="117"/>
        <v>3000</v>
      </c>
      <c r="Q507" s="125"/>
      <c r="R507" s="125"/>
      <c r="S507" s="125"/>
      <c r="T507" s="125">
        <v>3000</v>
      </c>
      <c r="U507" s="125"/>
      <c r="V507" s="125"/>
      <c r="W507" s="125"/>
      <c r="X507" s="125"/>
      <c r="Y507" s="125"/>
      <c r="Z507" s="125"/>
      <c r="AA507" s="125"/>
      <c r="AB507" s="125"/>
      <c r="AC507" s="124"/>
      <c r="AD507" s="117"/>
      <c r="AE507" s="1"/>
      <c r="AF507" s="120"/>
      <c r="AG507" s="1"/>
      <c r="AH507" s="120"/>
    </row>
    <row r="508" spans="1:34">
      <c r="A508" s="150"/>
      <c r="B508" s="128"/>
      <c r="C508" s="128" t="s">
        <v>1535</v>
      </c>
      <c r="D508" s="128"/>
      <c r="E508" s="117"/>
      <c r="F508" s="117"/>
      <c r="G508" s="117"/>
      <c r="H508" s="115">
        <f t="shared" si="109"/>
        <v>2760</v>
      </c>
      <c r="I508" s="115">
        <f t="shared" si="110"/>
        <v>2760</v>
      </c>
      <c r="J508" s="115">
        <f t="shared" si="111"/>
        <v>2760</v>
      </c>
      <c r="K508" s="115">
        <f t="shared" si="112"/>
        <v>2760</v>
      </c>
      <c r="L508" s="115">
        <f t="shared" si="113"/>
        <v>2760</v>
      </c>
      <c r="M508" s="115">
        <f t="shared" si="114"/>
        <v>2760</v>
      </c>
      <c r="N508" s="115">
        <f t="shared" si="115"/>
        <v>2760</v>
      </c>
      <c r="O508" s="115">
        <f t="shared" si="116"/>
        <v>2760</v>
      </c>
      <c r="P508" s="115">
        <f t="shared" si="117"/>
        <v>2760</v>
      </c>
      <c r="Q508" s="125"/>
      <c r="R508" s="125"/>
      <c r="S508" s="125"/>
      <c r="T508" s="125">
        <v>2760</v>
      </c>
      <c r="U508" s="125"/>
      <c r="V508" s="125"/>
      <c r="W508" s="125"/>
      <c r="X508" s="125"/>
      <c r="Y508" s="125"/>
      <c r="Z508" s="125"/>
      <c r="AA508" s="125"/>
      <c r="AB508" s="125"/>
      <c r="AC508" s="124"/>
      <c r="AD508" s="117"/>
      <c r="AE508" s="1"/>
      <c r="AF508" s="120"/>
      <c r="AG508" s="1"/>
      <c r="AH508" s="120"/>
    </row>
    <row r="509" spans="1:34">
      <c r="A509" s="150"/>
      <c r="B509" s="128"/>
      <c r="C509" s="128" t="s">
        <v>1536</v>
      </c>
      <c r="D509" s="128"/>
      <c r="E509" s="117"/>
      <c r="F509" s="117"/>
      <c r="G509" s="117"/>
      <c r="H509" s="115">
        <f t="shared" si="109"/>
        <v>3000</v>
      </c>
      <c r="I509" s="115">
        <f t="shared" si="110"/>
        <v>3000</v>
      </c>
      <c r="J509" s="115">
        <f t="shared" si="111"/>
        <v>3000</v>
      </c>
      <c r="K509" s="115">
        <f t="shared" si="112"/>
        <v>3000</v>
      </c>
      <c r="L509" s="115">
        <f t="shared" si="113"/>
        <v>3000</v>
      </c>
      <c r="M509" s="115">
        <f t="shared" si="114"/>
        <v>3000</v>
      </c>
      <c r="N509" s="115">
        <f t="shared" si="115"/>
        <v>3000</v>
      </c>
      <c r="O509" s="115">
        <f t="shared" si="116"/>
        <v>3000</v>
      </c>
      <c r="P509" s="115">
        <f t="shared" si="117"/>
        <v>3000</v>
      </c>
      <c r="Q509" s="125"/>
      <c r="R509" s="125"/>
      <c r="S509" s="125"/>
      <c r="T509" s="125">
        <v>3000</v>
      </c>
      <c r="U509" s="125"/>
      <c r="V509" s="125"/>
      <c r="W509" s="125"/>
      <c r="X509" s="125"/>
      <c r="Y509" s="125"/>
      <c r="Z509" s="125"/>
      <c r="AA509" s="125"/>
      <c r="AB509" s="125"/>
      <c r="AC509" s="124"/>
      <c r="AD509" s="117"/>
      <c r="AE509" s="1"/>
      <c r="AF509" s="120"/>
      <c r="AG509" s="1"/>
      <c r="AH509" s="120"/>
    </row>
    <row r="510" spans="1:34">
      <c r="A510" s="150"/>
      <c r="B510" s="128"/>
      <c r="C510" s="128" t="s">
        <v>1537</v>
      </c>
      <c r="D510" s="128"/>
      <c r="E510" s="117"/>
      <c r="F510" s="117"/>
      <c r="G510" s="117"/>
      <c r="H510" s="115">
        <f t="shared" si="109"/>
        <v>800</v>
      </c>
      <c r="I510" s="115">
        <f t="shared" si="110"/>
        <v>800</v>
      </c>
      <c r="J510" s="115">
        <f t="shared" si="111"/>
        <v>800</v>
      </c>
      <c r="K510" s="115">
        <f t="shared" si="112"/>
        <v>800</v>
      </c>
      <c r="L510" s="115">
        <f t="shared" si="113"/>
        <v>800</v>
      </c>
      <c r="M510" s="115">
        <f t="shared" si="114"/>
        <v>800</v>
      </c>
      <c r="N510" s="115">
        <f t="shared" si="115"/>
        <v>800</v>
      </c>
      <c r="O510" s="115">
        <f t="shared" si="116"/>
        <v>800</v>
      </c>
      <c r="P510" s="115">
        <f t="shared" si="117"/>
        <v>800</v>
      </c>
      <c r="Q510" s="125"/>
      <c r="R510" s="125"/>
      <c r="S510" s="125"/>
      <c r="T510" s="125">
        <v>800</v>
      </c>
      <c r="U510" s="125"/>
      <c r="V510" s="125"/>
      <c r="W510" s="125"/>
      <c r="X510" s="125"/>
      <c r="Y510" s="125"/>
      <c r="Z510" s="125"/>
      <c r="AA510" s="125"/>
      <c r="AB510" s="125"/>
      <c r="AC510" s="124"/>
      <c r="AD510" s="117"/>
      <c r="AE510" s="1"/>
      <c r="AF510" s="120"/>
      <c r="AG510" s="1"/>
      <c r="AH510" s="120"/>
    </row>
    <row r="511" spans="1:34">
      <c r="A511" s="150"/>
      <c r="B511" s="128"/>
      <c r="C511" s="128" t="s">
        <v>1538</v>
      </c>
      <c r="D511" s="128"/>
      <c r="E511" s="117"/>
      <c r="F511" s="117"/>
      <c r="G511" s="117"/>
      <c r="H511" s="115">
        <f t="shared" si="109"/>
        <v>737</v>
      </c>
      <c r="I511" s="115">
        <f t="shared" si="110"/>
        <v>737</v>
      </c>
      <c r="J511" s="115">
        <f t="shared" si="111"/>
        <v>737</v>
      </c>
      <c r="K511" s="115">
        <f t="shared" si="112"/>
        <v>737</v>
      </c>
      <c r="L511" s="115">
        <f t="shared" si="113"/>
        <v>737</v>
      </c>
      <c r="M511" s="115">
        <f t="shared" si="114"/>
        <v>737</v>
      </c>
      <c r="N511" s="115">
        <f t="shared" si="115"/>
        <v>737</v>
      </c>
      <c r="O511" s="115">
        <f t="shared" si="116"/>
        <v>737</v>
      </c>
      <c r="P511" s="115">
        <f t="shared" si="117"/>
        <v>737</v>
      </c>
      <c r="Q511" s="125"/>
      <c r="R511" s="125"/>
      <c r="S511" s="125"/>
      <c r="T511" s="125">
        <v>737</v>
      </c>
      <c r="U511" s="125"/>
      <c r="V511" s="125"/>
      <c r="W511" s="125"/>
      <c r="X511" s="125"/>
      <c r="Y511" s="125"/>
      <c r="Z511" s="125"/>
      <c r="AA511" s="125"/>
      <c r="AB511" s="125"/>
      <c r="AC511" s="124"/>
      <c r="AD511" s="117"/>
      <c r="AE511" s="1"/>
      <c r="AF511" s="120"/>
      <c r="AG511" s="1"/>
      <c r="AH511" s="120"/>
    </row>
    <row r="512" spans="1:34">
      <c r="A512" s="150"/>
      <c r="B512" s="128"/>
      <c r="C512" s="128" t="s">
        <v>1539</v>
      </c>
      <c r="D512" s="128"/>
      <c r="E512" s="117"/>
      <c r="F512" s="117"/>
      <c r="G512" s="117"/>
      <c r="H512" s="115">
        <f t="shared" si="109"/>
        <v>300</v>
      </c>
      <c r="I512" s="115">
        <f t="shared" si="110"/>
        <v>300</v>
      </c>
      <c r="J512" s="115">
        <f t="shared" si="111"/>
        <v>300</v>
      </c>
      <c r="K512" s="115">
        <f t="shared" si="112"/>
        <v>300</v>
      </c>
      <c r="L512" s="115">
        <f t="shared" si="113"/>
        <v>300</v>
      </c>
      <c r="M512" s="115">
        <f t="shared" si="114"/>
        <v>300</v>
      </c>
      <c r="N512" s="115">
        <f t="shared" si="115"/>
        <v>300</v>
      </c>
      <c r="O512" s="115">
        <f t="shared" si="116"/>
        <v>300</v>
      </c>
      <c r="P512" s="115">
        <f t="shared" si="117"/>
        <v>300</v>
      </c>
      <c r="Q512" s="125"/>
      <c r="R512" s="125"/>
      <c r="S512" s="125"/>
      <c r="T512" s="125">
        <v>300</v>
      </c>
      <c r="U512" s="125"/>
      <c r="V512" s="125"/>
      <c r="W512" s="125"/>
      <c r="X512" s="125"/>
      <c r="Y512" s="125"/>
      <c r="Z512" s="125"/>
      <c r="AA512" s="125"/>
      <c r="AB512" s="125"/>
      <c r="AC512" s="124"/>
      <c r="AD512" s="117"/>
      <c r="AE512" s="1"/>
      <c r="AF512" s="120"/>
      <c r="AG512" s="1"/>
      <c r="AH512" s="120"/>
    </row>
    <row r="513" spans="1:34">
      <c r="A513" s="150"/>
      <c r="B513" s="128"/>
      <c r="C513" s="128" t="s">
        <v>1540</v>
      </c>
      <c r="D513" s="128"/>
      <c r="E513" s="117"/>
      <c r="F513" s="117"/>
      <c r="G513" s="117"/>
      <c r="H513" s="115">
        <f t="shared" si="109"/>
        <v>707</v>
      </c>
      <c r="I513" s="115">
        <f t="shared" si="110"/>
        <v>707</v>
      </c>
      <c r="J513" s="115">
        <f t="shared" si="111"/>
        <v>707</v>
      </c>
      <c r="K513" s="115">
        <f t="shared" si="112"/>
        <v>707</v>
      </c>
      <c r="L513" s="115">
        <f t="shared" si="113"/>
        <v>707</v>
      </c>
      <c r="M513" s="115">
        <f t="shared" si="114"/>
        <v>707</v>
      </c>
      <c r="N513" s="115">
        <f t="shared" si="115"/>
        <v>707</v>
      </c>
      <c r="O513" s="115">
        <f t="shared" si="116"/>
        <v>707</v>
      </c>
      <c r="P513" s="115">
        <f t="shared" si="117"/>
        <v>707</v>
      </c>
      <c r="Q513" s="125"/>
      <c r="R513" s="125"/>
      <c r="S513" s="125"/>
      <c r="T513" s="125">
        <v>707</v>
      </c>
      <c r="U513" s="125"/>
      <c r="V513" s="125"/>
      <c r="W513" s="125"/>
      <c r="X513" s="125"/>
      <c r="Y513" s="125"/>
      <c r="Z513" s="125"/>
      <c r="AA513" s="125"/>
      <c r="AB513" s="125"/>
      <c r="AC513" s="124"/>
      <c r="AD513" s="117"/>
      <c r="AE513" s="1"/>
      <c r="AF513" s="120"/>
      <c r="AG513" s="1"/>
      <c r="AH513" s="120"/>
    </row>
    <row r="514" spans="1:34">
      <c r="A514" s="150"/>
      <c r="B514" s="128"/>
      <c r="C514" s="128" t="s">
        <v>1541</v>
      </c>
      <c r="D514" s="128"/>
      <c r="E514" s="117"/>
      <c r="F514" s="117"/>
      <c r="G514" s="117"/>
      <c r="H514" s="115">
        <f t="shared" si="109"/>
        <v>1107</v>
      </c>
      <c r="I514" s="115">
        <f t="shared" si="110"/>
        <v>1107</v>
      </c>
      <c r="J514" s="115">
        <f t="shared" si="111"/>
        <v>1107</v>
      </c>
      <c r="K514" s="115">
        <f t="shared" si="112"/>
        <v>1107</v>
      </c>
      <c r="L514" s="115">
        <f t="shared" si="113"/>
        <v>1107</v>
      </c>
      <c r="M514" s="115">
        <f t="shared" si="114"/>
        <v>1107</v>
      </c>
      <c r="N514" s="115">
        <f t="shared" si="115"/>
        <v>1107</v>
      </c>
      <c r="O514" s="115">
        <f t="shared" si="116"/>
        <v>1107</v>
      </c>
      <c r="P514" s="115">
        <f t="shared" si="117"/>
        <v>1107</v>
      </c>
      <c r="Q514" s="125"/>
      <c r="R514" s="125"/>
      <c r="S514" s="125"/>
      <c r="T514" s="125">
        <v>1107</v>
      </c>
      <c r="U514" s="125"/>
      <c r="V514" s="125"/>
      <c r="W514" s="125"/>
      <c r="X514" s="125"/>
      <c r="Y514" s="125"/>
      <c r="Z514" s="125"/>
      <c r="AA514" s="125"/>
      <c r="AB514" s="125"/>
      <c r="AC514" s="124"/>
      <c r="AD514" s="117"/>
      <c r="AE514" s="1"/>
      <c r="AF514" s="120"/>
      <c r="AG514" s="1"/>
      <c r="AH514" s="120"/>
    </row>
    <row r="515" spans="1:34">
      <c r="A515" s="150"/>
      <c r="B515" s="128"/>
      <c r="C515" s="128" t="s">
        <v>1542</v>
      </c>
      <c r="D515" s="128"/>
      <c r="E515" s="117"/>
      <c r="F515" s="117"/>
      <c r="G515" s="117"/>
      <c r="H515" s="115">
        <f t="shared" si="109"/>
        <v>2000</v>
      </c>
      <c r="I515" s="115">
        <f t="shared" si="110"/>
        <v>2000</v>
      </c>
      <c r="J515" s="115">
        <f t="shared" si="111"/>
        <v>2000</v>
      </c>
      <c r="K515" s="115">
        <f t="shared" si="112"/>
        <v>2000</v>
      </c>
      <c r="L515" s="115">
        <f t="shared" si="113"/>
        <v>2000</v>
      </c>
      <c r="M515" s="115">
        <f t="shared" si="114"/>
        <v>2000</v>
      </c>
      <c r="N515" s="115">
        <f t="shared" si="115"/>
        <v>2000</v>
      </c>
      <c r="O515" s="115">
        <f t="shared" si="116"/>
        <v>2000</v>
      </c>
      <c r="P515" s="115">
        <f t="shared" si="117"/>
        <v>2000</v>
      </c>
      <c r="Q515" s="125"/>
      <c r="R515" s="125"/>
      <c r="S515" s="125"/>
      <c r="T515" s="125">
        <v>2000</v>
      </c>
      <c r="U515" s="125"/>
      <c r="V515" s="125"/>
      <c r="W515" s="125"/>
      <c r="X515" s="125"/>
      <c r="Y515" s="125"/>
      <c r="Z515" s="125"/>
      <c r="AA515" s="125"/>
      <c r="AB515" s="125"/>
      <c r="AC515" s="124"/>
      <c r="AD515" s="117"/>
      <c r="AE515" s="1"/>
      <c r="AF515" s="120"/>
      <c r="AG515" s="1"/>
      <c r="AH515" s="120"/>
    </row>
    <row r="516" spans="1:34">
      <c r="A516" s="150"/>
      <c r="B516" s="128"/>
      <c r="C516" s="128" t="s">
        <v>1543</v>
      </c>
      <c r="D516" s="128"/>
      <c r="E516" s="117"/>
      <c r="F516" s="117"/>
      <c r="G516" s="117"/>
      <c r="H516" s="115">
        <f t="shared" si="109"/>
        <v>996</v>
      </c>
      <c r="I516" s="115">
        <f t="shared" si="110"/>
        <v>996</v>
      </c>
      <c r="J516" s="115">
        <f t="shared" si="111"/>
        <v>996</v>
      </c>
      <c r="K516" s="115">
        <f t="shared" si="112"/>
        <v>996</v>
      </c>
      <c r="L516" s="115">
        <f t="shared" si="113"/>
        <v>996</v>
      </c>
      <c r="M516" s="115">
        <f t="shared" si="114"/>
        <v>996</v>
      </c>
      <c r="N516" s="115">
        <f t="shared" si="115"/>
        <v>996</v>
      </c>
      <c r="O516" s="115">
        <f t="shared" si="116"/>
        <v>996</v>
      </c>
      <c r="P516" s="115">
        <f t="shared" si="117"/>
        <v>996</v>
      </c>
      <c r="Q516" s="125"/>
      <c r="R516" s="125"/>
      <c r="S516" s="125"/>
      <c r="T516" s="125">
        <v>996</v>
      </c>
      <c r="U516" s="125"/>
      <c r="V516" s="125"/>
      <c r="W516" s="125"/>
      <c r="X516" s="125"/>
      <c r="Y516" s="125"/>
      <c r="Z516" s="125"/>
      <c r="AA516" s="125"/>
      <c r="AB516" s="125"/>
      <c r="AC516" s="124"/>
      <c r="AD516" s="117"/>
      <c r="AE516" s="1"/>
      <c r="AF516" s="120"/>
      <c r="AG516" s="1"/>
      <c r="AH516" s="120"/>
    </row>
    <row r="517" spans="1:34">
      <c r="A517" s="150"/>
      <c r="B517" s="128"/>
      <c r="C517" s="128" t="s">
        <v>1544</v>
      </c>
      <c r="D517" s="128"/>
      <c r="E517" s="117"/>
      <c r="F517" s="117"/>
      <c r="G517" s="117"/>
      <c r="H517" s="115">
        <f t="shared" si="109"/>
        <v>2194</v>
      </c>
      <c r="I517" s="115">
        <f t="shared" si="110"/>
        <v>2194</v>
      </c>
      <c r="J517" s="115">
        <f t="shared" si="111"/>
        <v>2194</v>
      </c>
      <c r="K517" s="115">
        <f t="shared" si="112"/>
        <v>2194</v>
      </c>
      <c r="L517" s="115">
        <f t="shared" si="113"/>
        <v>2194</v>
      </c>
      <c r="M517" s="115">
        <f t="shared" si="114"/>
        <v>2194</v>
      </c>
      <c r="N517" s="115">
        <f t="shared" si="115"/>
        <v>2194</v>
      </c>
      <c r="O517" s="115">
        <f t="shared" si="116"/>
        <v>2194</v>
      </c>
      <c r="P517" s="115">
        <f t="shared" si="117"/>
        <v>2194</v>
      </c>
      <c r="Q517" s="125"/>
      <c r="R517" s="125"/>
      <c r="S517" s="125"/>
      <c r="T517" s="125">
        <v>2194</v>
      </c>
      <c r="U517" s="125"/>
      <c r="V517" s="125"/>
      <c r="W517" s="125"/>
      <c r="X517" s="125"/>
      <c r="Y517" s="125"/>
      <c r="Z517" s="125"/>
      <c r="AA517" s="125"/>
      <c r="AB517" s="125"/>
      <c r="AC517" s="124"/>
      <c r="AD517" s="117"/>
      <c r="AE517" s="1"/>
      <c r="AF517" s="120"/>
      <c r="AG517" s="1"/>
      <c r="AH517" s="120"/>
    </row>
    <row r="518" spans="1:34">
      <c r="A518" s="150"/>
      <c r="B518" s="128"/>
      <c r="C518" s="128" t="s">
        <v>1545</v>
      </c>
      <c r="D518" s="128"/>
      <c r="E518" s="117"/>
      <c r="F518" s="117"/>
      <c r="G518" s="117"/>
      <c r="H518" s="115">
        <f t="shared" si="109"/>
        <v>500</v>
      </c>
      <c r="I518" s="115">
        <f t="shared" si="110"/>
        <v>500</v>
      </c>
      <c r="J518" s="115">
        <f t="shared" si="111"/>
        <v>500</v>
      </c>
      <c r="K518" s="115">
        <f t="shared" si="112"/>
        <v>500</v>
      </c>
      <c r="L518" s="115">
        <f t="shared" si="113"/>
        <v>500</v>
      </c>
      <c r="M518" s="115">
        <f t="shared" si="114"/>
        <v>500</v>
      </c>
      <c r="N518" s="115">
        <f t="shared" si="115"/>
        <v>500</v>
      </c>
      <c r="O518" s="115">
        <f t="shared" si="116"/>
        <v>500</v>
      </c>
      <c r="P518" s="115">
        <f t="shared" si="117"/>
        <v>500</v>
      </c>
      <c r="Q518" s="125"/>
      <c r="R518" s="125"/>
      <c r="S518" s="125"/>
      <c r="T518" s="125">
        <v>500</v>
      </c>
      <c r="U518" s="125"/>
      <c r="V518" s="125"/>
      <c r="W518" s="125"/>
      <c r="X518" s="125"/>
      <c r="Y518" s="125"/>
      <c r="Z518" s="125"/>
      <c r="AA518" s="125"/>
      <c r="AB518" s="125"/>
      <c r="AC518" s="124"/>
      <c r="AD518" s="117"/>
      <c r="AE518" s="1"/>
      <c r="AF518" s="120"/>
      <c r="AG518" s="1"/>
      <c r="AH518" s="120"/>
    </row>
    <row r="519" spans="1:34">
      <c r="A519" s="150"/>
      <c r="B519" s="128"/>
      <c r="C519" s="128" t="s">
        <v>1546</v>
      </c>
      <c r="D519" s="128"/>
      <c r="E519" s="117"/>
      <c r="F519" s="117"/>
      <c r="G519" s="117"/>
      <c r="H519" s="115">
        <f t="shared" si="109"/>
        <v>800</v>
      </c>
      <c r="I519" s="115">
        <f t="shared" si="110"/>
        <v>800</v>
      </c>
      <c r="J519" s="115">
        <f t="shared" si="111"/>
        <v>800</v>
      </c>
      <c r="K519" s="115">
        <f t="shared" si="112"/>
        <v>800</v>
      </c>
      <c r="L519" s="115">
        <f t="shared" si="113"/>
        <v>800</v>
      </c>
      <c r="M519" s="115">
        <f t="shared" si="114"/>
        <v>800</v>
      </c>
      <c r="N519" s="115">
        <f t="shared" si="115"/>
        <v>800</v>
      </c>
      <c r="O519" s="115">
        <f t="shared" si="116"/>
        <v>800</v>
      </c>
      <c r="P519" s="115">
        <f t="shared" si="117"/>
        <v>800</v>
      </c>
      <c r="Q519" s="125"/>
      <c r="R519" s="125"/>
      <c r="S519" s="125"/>
      <c r="T519" s="125">
        <v>800</v>
      </c>
      <c r="U519" s="125"/>
      <c r="V519" s="125"/>
      <c r="W519" s="125"/>
      <c r="X519" s="125"/>
      <c r="Y519" s="125"/>
      <c r="Z519" s="125"/>
      <c r="AA519" s="125"/>
      <c r="AB519" s="125"/>
      <c r="AC519" s="124"/>
      <c r="AD519" s="117"/>
      <c r="AE519" s="1"/>
      <c r="AF519" s="120"/>
      <c r="AG519" s="1"/>
      <c r="AH519" s="120"/>
    </row>
    <row r="520" spans="1:34">
      <c r="A520" s="150"/>
      <c r="B520" s="128"/>
      <c r="C520" s="128" t="s">
        <v>1547</v>
      </c>
      <c r="D520" s="128"/>
      <c r="E520" s="117"/>
      <c r="F520" s="117"/>
      <c r="G520" s="117"/>
      <c r="H520" s="115">
        <f t="shared" si="109"/>
        <v>1820</v>
      </c>
      <c r="I520" s="115">
        <f t="shared" si="110"/>
        <v>1820</v>
      </c>
      <c r="J520" s="115">
        <f t="shared" si="111"/>
        <v>1820</v>
      </c>
      <c r="K520" s="115">
        <f t="shared" si="112"/>
        <v>1820</v>
      </c>
      <c r="L520" s="115">
        <f t="shared" si="113"/>
        <v>1820</v>
      </c>
      <c r="M520" s="115">
        <f t="shared" si="114"/>
        <v>1820</v>
      </c>
      <c r="N520" s="115">
        <f t="shared" si="115"/>
        <v>1820</v>
      </c>
      <c r="O520" s="115">
        <f t="shared" si="116"/>
        <v>1820</v>
      </c>
      <c r="P520" s="115">
        <f t="shared" si="117"/>
        <v>1820</v>
      </c>
      <c r="Q520" s="125"/>
      <c r="R520" s="125"/>
      <c r="S520" s="125"/>
      <c r="T520" s="125">
        <v>1820</v>
      </c>
      <c r="U520" s="125"/>
      <c r="V520" s="125"/>
      <c r="W520" s="125"/>
      <c r="X520" s="125"/>
      <c r="Y520" s="125"/>
      <c r="Z520" s="125"/>
      <c r="AA520" s="125"/>
      <c r="AB520" s="125"/>
      <c r="AC520" s="124"/>
      <c r="AD520" s="117"/>
      <c r="AE520" s="1"/>
      <c r="AF520" s="120"/>
      <c r="AG520" s="1"/>
      <c r="AH520" s="120"/>
    </row>
    <row r="521" spans="1:34">
      <c r="A521" s="150"/>
      <c r="B521" s="128"/>
      <c r="C521" s="128" t="s">
        <v>1548</v>
      </c>
      <c r="D521" s="128"/>
      <c r="E521" s="117"/>
      <c r="F521" s="117"/>
      <c r="G521" s="117"/>
      <c r="H521" s="115">
        <f t="shared" si="109"/>
        <v>1000</v>
      </c>
      <c r="I521" s="115">
        <f t="shared" si="110"/>
        <v>1000</v>
      </c>
      <c r="J521" s="115">
        <f t="shared" si="111"/>
        <v>1000</v>
      </c>
      <c r="K521" s="115">
        <f t="shared" si="112"/>
        <v>1000</v>
      </c>
      <c r="L521" s="115">
        <f t="shared" si="113"/>
        <v>1000</v>
      </c>
      <c r="M521" s="115">
        <f t="shared" si="114"/>
        <v>1000</v>
      </c>
      <c r="N521" s="115">
        <f t="shared" si="115"/>
        <v>1000</v>
      </c>
      <c r="O521" s="115">
        <f t="shared" si="116"/>
        <v>1000</v>
      </c>
      <c r="P521" s="115">
        <f t="shared" si="117"/>
        <v>1000</v>
      </c>
      <c r="Q521" s="125"/>
      <c r="R521" s="125"/>
      <c r="S521" s="125"/>
      <c r="T521" s="125">
        <v>1000</v>
      </c>
      <c r="U521" s="125"/>
      <c r="V521" s="125"/>
      <c r="W521" s="125"/>
      <c r="X521" s="125"/>
      <c r="Y521" s="125"/>
      <c r="Z521" s="125"/>
      <c r="AA521" s="125"/>
      <c r="AB521" s="125"/>
      <c r="AC521" s="124"/>
      <c r="AD521" s="117"/>
      <c r="AE521" s="1"/>
      <c r="AF521" s="120"/>
      <c r="AG521" s="1"/>
      <c r="AH521" s="120"/>
    </row>
    <row r="522" spans="1:34">
      <c r="A522" s="150"/>
      <c r="B522" s="128"/>
      <c r="C522" s="232" t="s">
        <v>2325</v>
      </c>
      <c r="D522" s="128"/>
      <c r="E522" s="117"/>
      <c r="F522" s="117"/>
      <c r="G522" s="117"/>
      <c r="H522" s="115"/>
      <c r="I522" s="115"/>
      <c r="J522" s="115">
        <f t="shared" si="111"/>
        <v>30000</v>
      </c>
      <c r="K522" s="115">
        <f t="shared" si="112"/>
        <v>30000</v>
      </c>
      <c r="L522" s="115">
        <f t="shared" si="113"/>
        <v>30000</v>
      </c>
      <c r="M522" s="115"/>
      <c r="N522" s="115"/>
      <c r="O522" s="115"/>
      <c r="P522" s="115"/>
      <c r="Q522" s="125"/>
      <c r="R522" s="125"/>
      <c r="S522" s="125"/>
      <c r="T522" s="125"/>
      <c r="U522" s="125"/>
      <c r="V522" s="125">
        <v>30000</v>
      </c>
      <c r="W522" s="125"/>
      <c r="X522" s="125"/>
      <c r="Y522" s="125"/>
      <c r="Z522" s="125"/>
      <c r="AA522" s="125"/>
      <c r="AB522" s="125"/>
      <c r="AC522" s="124"/>
      <c r="AD522" s="117"/>
      <c r="AE522" s="1"/>
      <c r="AF522" s="120"/>
      <c r="AG522" s="1"/>
      <c r="AH522" s="120"/>
    </row>
    <row r="523" spans="1:34">
      <c r="A523" s="150"/>
      <c r="B523" s="128"/>
      <c r="C523" s="128" t="s">
        <v>1549</v>
      </c>
      <c r="D523" s="128"/>
      <c r="E523" s="117"/>
      <c r="F523" s="117"/>
      <c r="G523" s="117"/>
      <c r="H523" s="115">
        <f t="shared" si="109"/>
        <v>1500</v>
      </c>
      <c r="I523" s="115">
        <f t="shared" si="110"/>
        <v>1500</v>
      </c>
      <c r="J523" s="115">
        <f t="shared" si="111"/>
        <v>1500</v>
      </c>
      <c r="K523" s="115">
        <f t="shared" si="112"/>
        <v>1500</v>
      </c>
      <c r="L523" s="115">
        <f t="shared" si="113"/>
        <v>1500</v>
      </c>
      <c r="M523" s="115">
        <f t="shared" si="114"/>
        <v>1500</v>
      </c>
      <c r="N523" s="115">
        <f t="shared" si="115"/>
        <v>1500</v>
      </c>
      <c r="O523" s="115">
        <f t="shared" si="116"/>
        <v>1500</v>
      </c>
      <c r="P523" s="115">
        <f t="shared" si="117"/>
        <v>1500</v>
      </c>
      <c r="Q523" s="125"/>
      <c r="R523" s="125"/>
      <c r="S523" s="125"/>
      <c r="T523" s="125">
        <v>1500</v>
      </c>
      <c r="U523" s="125"/>
      <c r="V523" s="125"/>
      <c r="W523" s="125"/>
      <c r="X523" s="125"/>
      <c r="Y523" s="125"/>
      <c r="Z523" s="125"/>
      <c r="AA523" s="125"/>
      <c r="AB523" s="125"/>
      <c r="AC523" s="124"/>
      <c r="AD523" s="117"/>
      <c r="AE523" s="1"/>
      <c r="AF523" s="120"/>
      <c r="AG523" s="1"/>
      <c r="AH523" s="120"/>
    </row>
    <row r="524" spans="1:34">
      <c r="A524" s="150"/>
      <c r="B524" s="128"/>
      <c r="C524" s="128" t="s">
        <v>1550</v>
      </c>
      <c r="D524" s="128"/>
      <c r="E524" s="117"/>
      <c r="F524" s="117"/>
      <c r="G524" s="117"/>
      <c r="H524" s="115">
        <f t="shared" si="109"/>
        <v>323</v>
      </c>
      <c r="I524" s="115">
        <f t="shared" si="110"/>
        <v>323</v>
      </c>
      <c r="J524" s="115">
        <f t="shared" si="111"/>
        <v>323</v>
      </c>
      <c r="K524" s="115">
        <f t="shared" si="112"/>
        <v>323</v>
      </c>
      <c r="L524" s="115">
        <f t="shared" si="113"/>
        <v>323</v>
      </c>
      <c r="M524" s="115">
        <f t="shared" si="114"/>
        <v>323</v>
      </c>
      <c r="N524" s="115">
        <f t="shared" si="115"/>
        <v>323</v>
      </c>
      <c r="O524" s="115">
        <f t="shared" si="116"/>
        <v>323</v>
      </c>
      <c r="P524" s="115">
        <f t="shared" si="117"/>
        <v>323</v>
      </c>
      <c r="Q524" s="125"/>
      <c r="R524" s="125"/>
      <c r="S524" s="125"/>
      <c r="T524" s="125">
        <v>323</v>
      </c>
      <c r="U524" s="125"/>
      <c r="V524" s="125"/>
      <c r="W524" s="125"/>
      <c r="X524" s="125"/>
      <c r="Y524" s="125"/>
      <c r="Z524" s="125"/>
      <c r="AA524" s="125"/>
      <c r="AB524" s="125"/>
      <c r="AC524" s="124"/>
      <c r="AD524" s="117"/>
      <c r="AE524" s="1"/>
      <c r="AF524" s="120"/>
      <c r="AG524" s="1"/>
      <c r="AH524" s="120"/>
    </row>
    <row r="525" spans="1:34">
      <c r="A525" s="150"/>
      <c r="B525" s="128"/>
      <c r="C525" s="128" t="s">
        <v>1551</v>
      </c>
      <c r="D525" s="128"/>
      <c r="E525" s="117"/>
      <c r="F525" s="117"/>
      <c r="G525" s="117"/>
      <c r="H525" s="115">
        <f t="shared" si="109"/>
        <v>1054</v>
      </c>
      <c r="I525" s="115">
        <f t="shared" si="110"/>
        <v>1054</v>
      </c>
      <c r="J525" s="115">
        <f t="shared" si="111"/>
        <v>1054</v>
      </c>
      <c r="K525" s="115">
        <f t="shared" si="112"/>
        <v>1054</v>
      </c>
      <c r="L525" s="115">
        <f t="shared" si="113"/>
        <v>1054</v>
      </c>
      <c r="M525" s="115">
        <f t="shared" si="114"/>
        <v>1054</v>
      </c>
      <c r="N525" s="115">
        <f t="shared" si="115"/>
        <v>1054</v>
      </c>
      <c r="O525" s="115">
        <f t="shared" si="116"/>
        <v>1054</v>
      </c>
      <c r="P525" s="115">
        <f t="shared" si="117"/>
        <v>1054</v>
      </c>
      <c r="Q525" s="125"/>
      <c r="R525" s="125"/>
      <c r="S525" s="125"/>
      <c r="T525" s="125">
        <v>1054</v>
      </c>
      <c r="U525" s="125"/>
      <c r="V525" s="125"/>
      <c r="W525" s="125"/>
      <c r="X525" s="125"/>
      <c r="Y525" s="125"/>
      <c r="Z525" s="125"/>
      <c r="AA525" s="125"/>
      <c r="AB525" s="125"/>
      <c r="AC525" s="124"/>
      <c r="AD525" s="117"/>
      <c r="AE525" s="1"/>
      <c r="AF525" s="120"/>
      <c r="AG525" s="1"/>
      <c r="AH525" s="120"/>
    </row>
    <row r="526" spans="1:34">
      <c r="A526" s="150"/>
      <c r="B526" s="128"/>
      <c r="C526" s="128" t="s">
        <v>1552</v>
      </c>
      <c r="D526" s="128"/>
      <c r="E526" s="117"/>
      <c r="F526" s="117"/>
      <c r="G526" s="117"/>
      <c r="H526" s="115">
        <f t="shared" si="109"/>
        <v>2677.5</v>
      </c>
      <c r="I526" s="115">
        <f t="shared" si="110"/>
        <v>2677.5</v>
      </c>
      <c r="J526" s="115">
        <f t="shared" si="111"/>
        <v>2677.5</v>
      </c>
      <c r="K526" s="115">
        <f t="shared" si="112"/>
        <v>2677.5</v>
      </c>
      <c r="L526" s="115">
        <f t="shared" si="113"/>
        <v>2677.5</v>
      </c>
      <c r="M526" s="115">
        <f t="shared" si="114"/>
        <v>2677.5</v>
      </c>
      <c r="N526" s="115">
        <f t="shared" si="115"/>
        <v>2677.5</v>
      </c>
      <c r="O526" s="115">
        <f t="shared" si="116"/>
        <v>2677.5</v>
      </c>
      <c r="P526" s="115">
        <f t="shared" si="117"/>
        <v>2677.5</v>
      </c>
      <c r="Q526" s="125"/>
      <c r="R526" s="125"/>
      <c r="S526" s="125"/>
      <c r="T526" s="125">
        <v>2677.5</v>
      </c>
      <c r="U526" s="125"/>
      <c r="V526" s="125"/>
      <c r="W526" s="125"/>
      <c r="X526" s="125"/>
      <c r="Y526" s="125"/>
      <c r="Z526" s="125"/>
      <c r="AA526" s="125"/>
      <c r="AB526" s="125"/>
      <c r="AC526" s="124"/>
      <c r="AD526" s="117"/>
      <c r="AE526" s="1"/>
      <c r="AF526" s="120"/>
      <c r="AG526" s="1"/>
      <c r="AH526" s="120"/>
    </row>
    <row r="527" spans="1:34">
      <c r="A527" s="150"/>
      <c r="B527" s="128"/>
      <c r="C527" s="128" t="s">
        <v>1553</v>
      </c>
      <c r="D527" s="128"/>
      <c r="E527" s="117"/>
      <c r="F527" s="117"/>
      <c r="G527" s="117"/>
      <c r="H527" s="115">
        <f t="shared" si="109"/>
        <v>1000</v>
      </c>
      <c r="I527" s="115">
        <f t="shared" si="110"/>
        <v>1000</v>
      </c>
      <c r="J527" s="115">
        <f t="shared" si="111"/>
        <v>1000</v>
      </c>
      <c r="K527" s="115">
        <f t="shared" si="112"/>
        <v>1000</v>
      </c>
      <c r="L527" s="115">
        <f t="shared" si="113"/>
        <v>1000</v>
      </c>
      <c r="M527" s="115">
        <f t="shared" si="114"/>
        <v>1000</v>
      </c>
      <c r="N527" s="115">
        <f t="shared" si="115"/>
        <v>1000</v>
      </c>
      <c r="O527" s="115">
        <f t="shared" si="116"/>
        <v>1000</v>
      </c>
      <c r="P527" s="115">
        <f t="shared" si="117"/>
        <v>1000</v>
      </c>
      <c r="Q527" s="125"/>
      <c r="R527" s="125"/>
      <c r="S527" s="125"/>
      <c r="T527" s="125">
        <v>1000</v>
      </c>
      <c r="U527" s="125"/>
      <c r="V527" s="125"/>
      <c r="W527" s="125"/>
      <c r="X527" s="125"/>
      <c r="Y527" s="125"/>
      <c r="Z527" s="125"/>
      <c r="AA527" s="125"/>
      <c r="AB527" s="125"/>
      <c r="AC527" s="124"/>
      <c r="AD527" s="117"/>
      <c r="AE527" s="1"/>
      <c r="AF527" s="120"/>
      <c r="AG527" s="1"/>
      <c r="AH527" s="120"/>
    </row>
    <row r="528" spans="1:34">
      <c r="A528" s="150"/>
      <c r="B528" s="128"/>
      <c r="C528" s="128" t="s">
        <v>1554</v>
      </c>
      <c r="D528" s="128"/>
      <c r="E528" s="117"/>
      <c r="F528" s="117"/>
      <c r="G528" s="117"/>
      <c r="H528" s="115">
        <f t="shared" si="109"/>
        <v>537</v>
      </c>
      <c r="I528" s="115">
        <f t="shared" si="110"/>
        <v>537</v>
      </c>
      <c r="J528" s="115">
        <f t="shared" si="111"/>
        <v>537</v>
      </c>
      <c r="K528" s="115">
        <f t="shared" si="112"/>
        <v>537</v>
      </c>
      <c r="L528" s="115">
        <f t="shared" si="113"/>
        <v>537</v>
      </c>
      <c r="M528" s="115">
        <f t="shared" si="114"/>
        <v>537</v>
      </c>
      <c r="N528" s="115">
        <f t="shared" si="115"/>
        <v>537</v>
      </c>
      <c r="O528" s="115">
        <f t="shared" si="116"/>
        <v>537</v>
      </c>
      <c r="P528" s="115">
        <f t="shared" si="117"/>
        <v>537</v>
      </c>
      <c r="Q528" s="125"/>
      <c r="R528" s="125"/>
      <c r="S528" s="125"/>
      <c r="T528" s="125">
        <v>537</v>
      </c>
      <c r="U528" s="125"/>
      <c r="V528" s="125"/>
      <c r="W528" s="125"/>
      <c r="X528" s="125"/>
      <c r="Y528" s="125"/>
      <c r="Z528" s="125"/>
      <c r="AA528" s="125"/>
      <c r="AB528" s="125"/>
      <c r="AC528" s="124"/>
      <c r="AD528" s="117"/>
      <c r="AE528" s="1"/>
      <c r="AF528" s="120"/>
      <c r="AG528" s="1"/>
      <c r="AH528" s="120"/>
    </row>
    <row r="529" spans="1:34">
      <c r="A529" s="150"/>
      <c r="B529" s="128"/>
      <c r="C529" s="128" t="s">
        <v>1555</v>
      </c>
      <c r="D529" s="128"/>
      <c r="E529" s="117"/>
      <c r="F529" s="117"/>
      <c r="G529" s="117"/>
      <c r="H529" s="115">
        <f t="shared" si="109"/>
        <v>1262.6500000000001</v>
      </c>
      <c r="I529" s="115">
        <f t="shared" si="110"/>
        <v>1262.6500000000001</v>
      </c>
      <c r="J529" s="115">
        <f t="shared" si="111"/>
        <v>1262.6500000000001</v>
      </c>
      <c r="K529" s="115">
        <f t="shared" si="112"/>
        <v>1262.6500000000001</v>
      </c>
      <c r="L529" s="115">
        <f t="shared" si="113"/>
        <v>1262.6500000000001</v>
      </c>
      <c r="M529" s="115">
        <f t="shared" si="114"/>
        <v>1262.6500000000001</v>
      </c>
      <c r="N529" s="115">
        <f t="shared" si="115"/>
        <v>1262.6500000000001</v>
      </c>
      <c r="O529" s="115">
        <f t="shared" si="116"/>
        <v>1262.6500000000001</v>
      </c>
      <c r="P529" s="115">
        <f t="shared" si="117"/>
        <v>1262.6500000000001</v>
      </c>
      <c r="Q529" s="125"/>
      <c r="R529" s="125"/>
      <c r="S529" s="125"/>
      <c r="T529" s="125">
        <v>1262.6500000000001</v>
      </c>
      <c r="U529" s="125"/>
      <c r="V529" s="125"/>
      <c r="W529" s="125"/>
      <c r="X529" s="125"/>
      <c r="Y529" s="125"/>
      <c r="Z529" s="125"/>
      <c r="AA529" s="125"/>
      <c r="AB529" s="125"/>
      <c r="AC529" s="124"/>
      <c r="AD529" s="117"/>
      <c r="AE529" s="1"/>
      <c r="AF529" s="120"/>
      <c r="AG529" s="1"/>
      <c r="AH529" s="120"/>
    </row>
    <row r="530" spans="1:34">
      <c r="A530" s="150"/>
      <c r="B530" s="128"/>
      <c r="C530" s="128" t="s">
        <v>1556</v>
      </c>
      <c r="D530" s="128"/>
      <c r="E530" s="117"/>
      <c r="F530" s="117"/>
      <c r="G530" s="117"/>
      <c r="H530" s="115">
        <f t="shared" si="109"/>
        <v>1029</v>
      </c>
      <c r="I530" s="115">
        <f t="shared" si="110"/>
        <v>1029</v>
      </c>
      <c r="J530" s="115">
        <f t="shared" si="111"/>
        <v>1029</v>
      </c>
      <c r="K530" s="115">
        <f t="shared" si="112"/>
        <v>1029</v>
      </c>
      <c r="L530" s="115">
        <f t="shared" si="113"/>
        <v>1029</v>
      </c>
      <c r="M530" s="115">
        <f t="shared" si="114"/>
        <v>1029</v>
      </c>
      <c r="N530" s="115">
        <f t="shared" si="115"/>
        <v>1029</v>
      </c>
      <c r="O530" s="115">
        <f t="shared" si="116"/>
        <v>1029</v>
      </c>
      <c r="P530" s="115">
        <f t="shared" si="117"/>
        <v>1029</v>
      </c>
      <c r="Q530" s="125"/>
      <c r="R530" s="125"/>
      <c r="S530" s="125"/>
      <c r="T530" s="125">
        <v>1029</v>
      </c>
      <c r="U530" s="125"/>
      <c r="V530" s="125"/>
      <c r="W530" s="125"/>
      <c r="X530" s="125"/>
      <c r="Y530" s="125"/>
      <c r="Z530" s="125"/>
      <c r="AA530" s="125"/>
      <c r="AB530" s="125"/>
      <c r="AC530" s="124"/>
      <c r="AD530" s="117"/>
      <c r="AE530" s="1"/>
      <c r="AF530" s="120"/>
      <c r="AG530" s="1"/>
      <c r="AH530" s="120"/>
    </row>
    <row r="531" spans="1:34">
      <c r="A531" s="150"/>
      <c r="B531" s="128"/>
      <c r="C531" s="128" t="s">
        <v>1557</v>
      </c>
      <c r="D531" s="128"/>
      <c r="E531" s="117"/>
      <c r="F531" s="117"/>
      <c r="G531" s="117"/>
      <c r="H531" s="115">
        <f t="shared" si="109"/>
        <v>633</v>
      </c>
      <c r="I531" s="115">
        <f t="shared" si="110"/>
        <v>633</v>
      </c>
      <c r="J531" s="115">
        <f t="shared" si="111"/>
        <v>633</v>
      </c>
      <c r="K531" s="115">
        <f t="shared" si="112"/>
        <v>633</v>
      </c>
      <c r="L531" s="115">
        <f t="shared" si="113"/>
        <v>633</v>
      </c>
      <c r="M531" s="115">
        <f t="shared" si="114"/>
        <v>633</v>
      </c>
      <c r="N531" s="115">
        <f t="shared" si="115"/>
        <v>633</v>
      </c>
      <c r="O531" s="115">
        <f t="shared" si="116"/>
        <v>633</v>
      </c>
      <c r="P531" s="115">
        <f t="shared" si="117"/>
        <v>633</v>
      </c>
      <c r="Q531" s="125"/>
      <c r="R531" s="125"/>
      <c r="S531" s="125"/>
      <c r="T531" s="125">
        <v>633</v>
      </c>
      <c r="U531" s="125"/>
      <c r="V531" s="125"/>
      <c r="W531" s="125"/>
      <c r="X531" s="125"/>
      <c r="Y531" s="125"/>
      <c r="Z531" s="125"/>
      <c r="AA531" s="125"/>
      <c r="AB531" s="125"/>
      <c r="AC531" s="124"/>
      <c r="AD531" s="117"/>
      <c r="AE531" s="1"/>
      <c r="AF531" s="120"/>
      <c r="AG531" s="1"/>
      <c r="AH531" s="120"/>
    </row>
    <row r="532" spans="1:34">
      <c r="A532" s="150"/>
      <c r="B532" s="128"/>
      <c r="C532" s="128" t="s">
        <v>1558</v>
      </c>
      <c r="D532" s="128"/>
      <c r="E532" s="117"/>
      <c r="F532" s="117"/>
      <c r="G532" s="117"/>
      <c r="H532" s="115">
        <f t="shared" si="109"/>
        <v>500</v>
      </c>
      <c r="I532" s="115">
        <f t="shared" si="110"/>
        <v>500</v>
      </c>
      <c r="J532" s="115">
        <f t="shared" si="111"/>
        <v>500</v>
      </c>
      <c r="K532" s="115">
        <f t="shared" si="112"/>
        <v>500</v>
      </c>
      <c r="L532" s="115">
        <f t="shared" si="113"/>
        <v>500</v>
      </c>
      <c r="M532" s="115">
        <f t="shared" si="114"/>
        <v>500</v>
      </c>
      <c r="N532" s="115">
        <f t="shared" si="115"/>
        <v>500</v>
      </c>
      <c r="O532" s="115">
        <f t="shared" si="116"/>
        <v>500</v>
      </c>
      <c r="P532" s="115">
        <f t="shared" si="117"/>
        <v>500</v>
      </c>
      <c r="Q532" s="125"/>
      <c r="R532" s="125"/>
      <c r="S532" s="125"/>
      <c r="T532" s="125">
        <v>500</v>
      </c>
      <c r="U532" s="125"/>
      <c r="V532" s="125"/>
      <c r="W532" s="125"/>
      <c r="X532" s="125"/>
      <c r="Y532" s="125"/>
      <c r="Z532" s="125"/>
      <c r="AA532" s="125"/>
      <c r="AB532" s="125"/>
      <c r="AC532" s="124"/>
      <c r="AD532" s="117"/>
      <c r="AE532" s="1"/>
      <c r="AF532" s="120"/>
      <c r="AG532" s="1"/>
      <c r="AH532" s="120"/>
    </row>
    <row r="533" spans="1:34">
      <c r="A533" s="150"/>
      <c r="B533" s="128"/>
      <c r="C533" s="128" t="s">
        <v>1559</v>
      </c>
      <c r="D533" s="128"/>
      <c r="E533" s="117"/>
      <c r="F533" s="117"/>
      <c r="G533" s="117"/>
      <c r="H533" s="115">
        <f t="shared" si="109"/>
        <v>1600</v>
      </c>
      <c r="I533" s="115">
        <f t="shared" si="110"/>
        <v>1600</v>
      </c>
      <c r="J533" s="115">
        <f t="shared" si="111"/>
        <v>1600</v>
      </c>
      <c r="K533" s="115">
        <f t="shared" si="112"/>
        <v>1600</v>
      </c>
      <c r="L533" s="115">
        <f t="shared" si="113"/>
        <v>1600</v>
      </c>
      <c r="M533" s="115">
        <f t="shared" si="114"/>
        <v>1600</v>
      </c>
      <c r="N533" s="115">
        <f t="shared" si="115"/>
        <v>1600</v>
      </c>
      <c r="O533" s="115">
        <f t="shared" si="116"/>
        <v>1600</v>
      </c>
      <c r="P533" s="115">
        <f t="shared" si="117"/>
        <v>1600</v>
      </c>
      <c r="Q533" s="125"/>
      <c r="R533" s="125"/>
      <c r="S533" s="125"/>
      <c r="T533" s="125">
        <v>1600</v>
      </c>
      <c r="U533" s="125"/>
      <c r="V533" s="125"/>
      <c r="W533" s="125"/>
      <c r="X533" s="125"/>
      <c r="Y533" s="125"/>
      <c r="Z533" s="125"/>
      <c r="AA533" s="125"/>
      <c r="AB533" s="125"/>
      <c r="AC533" s="124"/>
      <c r="AD533" s="117"/>
      <c r="AE533" s="1"/>
      <c r="AF533" s="120"/>
      <c r="AG533" s="1"/>
      <c r="AH533" s="120"/>
    </row>
    <row r="534" spans="1:34">
      <c r="A534" s="150"/>
      <c r="B534" s="128"/>
      <c r="C534" s="128" t="s">
        <v>1560</v>
      </c>
      <c r="D534" s="128"/>
      <c r="E534" s="117"/>
      <c r="F534" s="117"/>
      <c r="G534" s="117"/>
      <c r="H534" s="115">
        <f t="shared" si="109"/>
        <v>1315.5</v>
      </c>
      <c r="I534" s="115">
        <f t="shared" si="110"/>
        <v>1315.5</v>
      </c>
      <c r="J534" s="115">
        <f t="shared" si="111"/>
        <v>1315.5</v>
      </c>
      <c r="K534" s="115">
        <f t="shared" si="112"/>
        <v>1315.5</v>
      </c>
      <c r="L534" s="115">
        <f t="shared" si="113"/>
        <v>1315.5</v>
      </c>
      <c r="M534" s="115">
        <f t="shared" si="114"/>
        <v>1315.5</v>
      </c>
      <c r="N534" s="115">
        <f t="shared" si="115"/>
        <v>1315.5</v>
      </c>
      <c r="O534" s="115">
        <f t="shared" si="116"/>
        <v>1315.5</v>
      </c>
      <c r="P534" s="115">
        <f t="shared" si="117"/>
        <v>1315.5</v>
      </c>
      <c r="Q534" s="125"/>
      <c r="R534" s="125"/>
      <c r="S534" s="125"/>
      <c r="T534" s="125">
        <v>1315.5</v>
      </c>
      <c r="U534" s="125"/>
      <c r="V534" s="125"/>
      <c r="W534" s="125"/>
      <c r="X534" s="125"/>
      <c r="Y534" s="125"/>
      <c r="Z534" s="125"/>
      <c r="AA534" s="125"/>
      <c r="AB534" s="125"/>
      <c r="AC534" s="124"/>
      <c r="AD534" s="117"/>
      <c r="AE534" s="1"/>
      <c r="AF534" s="120"/>
      <c r="AG534" s="1"/>
      <c r="AH534" s="120"/>
    </row>
    <row r="535" spans="1:34">
      <c r="A535" s="150"/>
      <c r="B535" s="128"/>
      <c r="C535" s="128" t="s">
        <v>1561</v>
      </c>
      <c r="D535" s="128"/>
      <c r="E535" s="117"/>
      <c r="F535" s="117"/>
      <c r="G535" s="117"/>
      <c r="H535" s="115">
        <f t="shared" si="109"/>
        <v>200</v>
      </c>
      <c r="I535" s="115">
        <f t="shared" si="110"/>
        <v>200</v>
      </c>
      <c r="J535" s="115">
        <f t="shared" si="111"/>
        <v>200</v>
      </c>
      <c r="K535" s="115">
        <f t="shared" si="112"/>
        <v>200</v>
      </c>
      <c r="L535" s="115">
        <f t="shared" si="113"/>
        <v>200</v>
      </c>
      <c r="M535" s="115">
        <f t="shared" si="114"/>
        <v>200</v>
      </c>
      <c r="N535" s="115">
        <f t="shared" si="115"/>
        <v>200</v>
      </c>
      <c r="O535" s="115">
        <f t="shared" si="116"/>
        <v>200</v>
      </c>
      <c r="P535" s="115">
        <f t="shared" si="117"/>
        <v>200</v>
      </c>
      <c r="Q535" s="125"/>
      <c r="R535" s="125"/>
      <c r="S535" s="125"/>
      <c r="T535" s="125">
        <v>200</v>
      </c>
      <c r="U535" s="125"/>
      <c r="V535" s="125"/>
      <c r="W535" s="125"/>
      <c r="X535" s="125"/>
      <c r="Y535" s="125"/>
      <c r="Z535" s="125"/>
      <c r="AA535" s="125"/>
      <c r="AB535" s="125"/>
      <c r="AC535" s="124"/>
      <c r="AD535" s="117"/>
      <c r="AE535" s="1"/>
      <c r="AF535" s="120"/>
      <c r="AG535" s="1"/>
      <c r="AH535" s="120"/>
    </row>
    <row r="536" spans="1:34">
      <c r="A536" s="150"/>
      <c r="B536" s="128"/>
      <c r="C536" s="128" t="s">
        <v>1562</v>
      </c>
      <c r="D536" s="128"/>
      <c r="E536" s="117"/>
      <c r="F536" s="117"/>
      <c r="G536" s="117"/>
      <c r="H536" s="115">
        <f t="shared" si="109"/>
        <v>1800</v>
      </c>
      <c r="I536" s="115">
        <f t="shared" si="110"/>
        <v>1800</v>
      </c>
      <c r="J536" s="115">
        <f t="shared" si="111"/>
        <v>1800</v>
      </c>
      <c r="K536" s="115">
        <f t="shared" si="112"/>
        <v>1800</v>
      </c>
      <c r="L536" s="115">
        <f t="shared" si="113"/>
        <v>1800</v>
      </c>
      <c r="M536" s="115">
        <f t="shared" si="114"/>
        <v>1800</v>
      </c>
      <c r="N536" s="115">
        <f t="shared" si="115"/>
        <v>1800</v>
      </c>
      <c r="O536" s="115">
        <f t="shared" si="116"/>
        <v>1800</v>
      </c>
      <c r="P536" s="115">
        <f t="shared" si="117"/>
        <v>1800</v>
      </c>
      <c r="Q536" s="125"/>
      <c r="R536" s="125"/>
      <c r="S536" s="125"/>
      <c r="T536" s="125">
        <v>1800</v>
      </c>
      <c r="U536" s="125"/>
      <c r="V536" s="125"/>
      <c r="W536" s="125"/>
      <c r="X536" s="125"/>
      <c r="Y536" s="125"/>
      <c r="Z536" s="125"/>
      <c r="AA536" s="125"/>
      <c r="AB536" s="125"/>
      <c r="AC536" s="124"/>
      <c r="AD536" s="117"/>
      <c r="AE536" s="1"/>
      <c r="AF536" s="120"/>
      <c r="AG536" s="1"/>
      <c r="AH536" s="120"/>
    </row>
    <row r="537" spans="1:34">
      <c r="A537" s="150"/>
      <c r="B537" s="128"/>
      <c r="C537" s="128" t="s">
        <v>1563</v>
      </c>
      <c r="D537" s="128"/>
      <c r="E537" s="117"/>
      <c r="F537" s="117"/>
      <c r="G537" s="117"/>
      <c r="H537" s="115">
        <f t="shared" si="109"/>
        <v>1000</v>
      </c>
      <c r="I537" s="115">
        <f t="shared" si="110"/>
        <v>1000</v>
      </c>
      <c r="J537" s="115">
        <f t="shared" si="111"/>
        <v>1000</v>
      </c>
      <c r="K537" s="115">
        <f t="shared" si="112"/>
        <v>1000</v>
      </c>
      <c r="L537" s="115">
        <f t="shared" si="113"/>
        <v>1000</v>
      </c>
      <c r="M537" s="115">
        <f t="shared" si="114"/>
        <v>1000</v>
      </c>
      <c r="N537" s="115">
        <f t="shared" si="115"/>
        <v>1000</v>
      </c>
      <c r="O537" s="115">
        <f t="shared" si="116"/>
        <v>1000</v>
      </c>
      <c r="P537" s="115">
        <f t="shared" si="117"/>
        <v>1000</v>
      </c>
      <c r="Q537" s="125"/>
      <c r="R537" s="125"/>
      <c r="S537" s="125"/>
      <c r="T537" s="125">
        <v>1000</v>
      </c>
      <c r="U537" s="125"/>
      <c r="V537" s="125"/>
      <c r="W537" s="125"/>
      <c r="X537" s="125"/>
      <c r="Y537" s="125"/>
      <c r="Z537" s="125"/>
      <c r="AA537" s="125"/>
      <c r="AB537" s="125"/>
      <c r="AC537" s="124"/>
      <c r="AD537" s="117"/>
      <c r="AE537" s="1"/>
      <c r="AF537" s="120"/>
      <c r="AG537" s="1"/>
      <c r="AH537" s="120"/>
    </row>
    <row r="538" spans="1:34">
      <c r="A538" s="150"/>
      <c r="B538" s="128"/>
      <c r="C538" s="128" t="s">
        <v>1564</v>
      </c>
      <c r="D538" s="128"/>
      <c r="E538" s="117"/>
      <c r="F538" s="117"/>
      <c r="G538" s="117"/>
      <c r="H538" s="115">
        <f t="shared" si="109"/>
        <v>1219</v>
      </c>
      <c r="I538" s="115">
        <f t="shared" si="110"/>
        <v>1219</v>
      </c>
      <c r="J538" s="115">
        <f t="shared" si="111"/>
        <v>1219</v>
      </c>
      <c r="K538" s="115">
        <f t="shared" si="112"/>
        <v>1219</v>
      </c>
      <c r="L538" s="115">
        <f t="shared" si="113"/>
        <v>1219</v>
      </c>
      <c r="M538" s="115">
        <f t="shared" si="114"/>
        <v>1219</v>
      </c>
      <c r="N538" s="115">
        <f t="shared" si="115"/>
        <v>1219</v>
      </c>
      <c r="O538" s="115">
        <f t="shared" si="116"/>
        <v>1219</v>
      </c>
      <c r="P538" s="115">
        <f t="shared" si="117"/>
        <v>1219</v>
      </c>
      <c r="Q538" s="125"/>
      <c r="R538" s="125"/>
      <c r="S538" s="125"/>
      <c r="T538" s="125">
        <v>1219</v>
      </c>
      <c r="U538" s="125"/>
      <c r="V538" s="125"/>
      <c r="W538" s="125"/>
      <c r="X538" s="125"/>
      <c r="Y538" s="125"/>
      <c r="Z538" s="125"/>
      <c r="AA538" s="125"/>
      <c r="AB538" s="125"/>
      <c r="AC538" s="124"/>
      <c r="AD538" s="117"/>
      <c r="AE538" s="1"/>
      <c r="AF538" s="120"/>
      <c r="AG538" s="1"/>
      <c r="AH538" s="120"/>
    </row>
    <row r="539" spans="1:34">
      <c r="A539" s="150"/>
      <c r="B539" s="128"/>
      <c r="C539" s="128" t="s">
        <v>1565</v>
      </c>
      <c r="D539" s="128"/>
      <c r="E539" s="117"/>
      <c r="F539" s="117"/>
      <c r="G539" s="117"/>
      <c r="H539" s="115">
        <f t="shared" si="109"/>
        <v>2000</v>
      </c>
      <c r="I539" s="115">
        <f t="shared" si="110"/>
        <v>2000</v>
      </c>
      <c r="J539" s="115">
        <f t="shared" si="111"/>
        <v>2000</v>
      </c>
      <c r="K539" s="115">
        <f t="shared" si="112"/>
        <v>2000</v>
      </c>
      <c r="L539" s="115">
        <f t="shared" si="113"/>
        <v>2000</v>
      </c>
      <c r="M539" s="115">
        <f t="shared" si="114"/>
        <v>2000</v>
      </c>
      <c r="N539" s="115">
        <f t="shared" si="115"/>
        <v>2000</v>
      </c>
      <c r="O539" s="115">
        <f t="shared" si="116"/>
        <v>2000</v>
      </c>
      <c r="P539" s="115">
        <f t="shared" si="117"/>
        <v>2000</v>
      </c>
      <c r="Q539" s="125"/>
      <c r="R539" s="125"/>
      <c r="S539" s="125"/>
      <c r="T539" s="125">
        <v>2000</v>
      </c>
      <c r="U539" s="125"/>
      <c r="V539" s="125"/>
      <c r="W539" s="125"/>
      <c r="X539" s="125"/>
      <c r="Y539" s="125"/>
      <c r="Z539" s="125"/>
      <c r="AA539" s="125"/>
      <c r="AB539" s="125"/>
      <c r="AC539" s="124"/>
      <c r="AD539" s="117"/>
      <c r="AE539" s="1"/>
      <c r="AF539" s="120"/>
      <c r="AG539" s="1"/>
      <c r="AH539" s="120"/>
    </row>
    <row r="540" spans="1:34">
      <c r="A540" s="150"/>
      <c r="B540" s="128"/>
      <c r="C540" s="128" t="s">
        <v>1566</v>
      </c>
      <c r="D540" s="128"/>
      <c r="E540" s="117"/>
      <c r="F540" s="117"/>
      <c r="G540" s="117"/>
      <c r="H540" s="115">
        <f t="shared" si="109"/>
        <v>737</v>
      </c>
      <c r="I540" s="115">
        <f t="shared" si="110"/>
        <v>737</v>
      </c>
      <c r="J540" s="115">
        <f t="shared" si="111"/>
        <v>737</v>
      </c>
      <c r="K540" s="115">
        <f t="shared" si="112"/>
        <v>737</v>
      </c>
      <c r="L540" s="115">
        <f t="shared" si="113"/>
        <v>737</v>
      </c>
      <c r="M540" s="115">
        <f t="shared" si="114"/>
        <v>737</v>
      </c>
      <c r="N540" s="115">
        <f t="shared" si="115"/>
        <v>737</v>
      </c>
      <c r="O540" s="115">
        <f t="shared" si="116"/>
        <v>737</v>
      </c>
      <c r="P540" s="115">
        <f t="shared" si="117"/>
        <v>737</v>
      </c>
      <c r="Q540" s="125"/>
      <c r="R540" s="125"/>
      <c r="S540" s="125"/>
      <c r="T540" s="125">
        <v>737</v>
      </c>
      <c r="U540" s="125"/>
      <c r="V540" s="125"/>
      <c r="W540" s="125"/>
      <c r="X540" s="125"/>
      <c r="Y540" s="125"/>
      <c r="Z540" s="125"/>
      <c r="AA540" s="125"/>
      <c r="AB540" s="125"/>
      <c r="AC540" s="124"/>
      <c r="AD540" s="117"/>
      <c r="AE540" s="1"/>
      <c r="AF540" s="120"/>
      <c r="AG540" s="1"/>
      <c r="AH540" s="120"/>
    </row>
    <row r="541" spans="1:34">
      <c r="A541" s="150"/>
      <c r="B541" s="128"/>
      <c r="C541" s="128" t="s">
        <v>1567</v>
      </c>
      <c r="D541" s="128"/>
      <c r="E541" s="117"/>
      <c r="F541" s="117"/>
      <c r="G541" s="117"/>
      <c r="H541" s="115">
        <f t="shared" si="109"/>
        <v>3000</v>
      </c>
      <c r="I541" s="115">
        <f t="shared" si="110"/>
        <v>3000</v>
      </c>
      <c r="J541" s="115">
        <f t="shared" si="111"/>
        <v>3000</v>
      </c>
      <c r="K541" s="115">
        <f t="shared" si="112"/>
        <v>3000</v>
      </c>
      <c r="L541" s="115">
        <f t="shared" si="113"/>
        <v>3000</v>
      </c>
      <c r="M541" s="115">
        <f t="shared" si="114"/>
        <v>3000</v>
      </c>
      <c r="N541" s="115">
        <f t="shared" si="115"/>
        <v>3000</v>
      </c>
      <c r="O541" s="115">
        <f t="shared" si="116"/>
        <v>3000</v>
      </c>
      <c r="P541" s="115">
        <f t="shared" si="117"/>
        <v>3000</v>
      </c>
      <c r="Q541" s="125"/>
      <c r="R541" s="125"/>
      <c r="S541" s="125"/>
      <c r="T541" s="125">
        <v>3000</v>
      </c>
      <c r="U541" s="125"/>
      <c r="V541" s="125"/>
      <c r="W541" s="125"/>
      <c r="X541" s="125"/>
      <c r="Y541" s="125"/>
      <c r="Z541" s="125"/>
      <c r="AA541" s="125"/>
      <c r="AB541" s="125"/>
      <c r="AC541" s="124"/>
      <c r="AD541" s="117"/>
      <c r="AE541" s="1"/>
      <c r="AF541" s="117"/>
      <c r="AG541" s="1"/>
      <c r="AH541" s="120"/>
    </row>
    <row r="542" spans="1:34">
      <c r="A542" s="150"/>
      <c r="B542" s="128"/>
      <c r="C542" s="128" t="s">
        <v>1568</v>
      </c>
      <c r="D542" s="128"/>
      <c r="E542" s="117"/>
      <c r="F542" s="117"/>
      <c r="G542" s="117"/>
      <c r="H542" s="115">
        <f t="shared" si="109"/>
        <v>1600</v>
      </c>
      <c r="I542" s="115">
        <f t="shared" si="110"/>
        <v>1600</v>
      </c>
      <c r="J542" s="115">
        <f t="shared" si="111"/>
        <v>1600</v>
      </c>
      <c r="K542" s="115">
        <f t="shared" si="112"/>
        <v>1600</v>
      </c>
      <c r="L542" s="115">
        <f t="shared" si="113"/>
        <v>1600</v>
      </c>
      <c r="M542" s="115">
        <f t="shared" si="114"/>
        <v>1600</v>
      </c>
      <c r="N542" s="115">
        <f t="shared" si="115"/>
        <v>1600</v>
      </c>
      <c r="O542" s="115">
        <f t="shared" si="116"/>
        <v>1600</v>
      </c>
      <c r="P542" s="115">
        <f t="shared" si="117"/>
        <v>1600</v>
      </c>
      <c r="Q542" s="125"/>
      <c r="R542" s="125"/>
      <c r="S542" s="125"/>
      <c r="T542" s="125">
        <v>1600</v>
      </c>
      <c r="U542" s="125"/>
      <c r="V542" s="125"/>
      <c r="W542" s="125"/>
      <c r="X542" s="125"/>
      <c r="Y542" s="125"/>
      <c r="Z542" s="125"/>
      <c r="AA542" s="125"/>
      <c r="AB542" s="125"/>
      <c r="AC542" s="124"/>
      <c r="AD542" s="117"/>
      <c r="AE542" s="1"/>
      <c r="AF542" s="120"/>
      <c r="AG542" s="1"/>
      <c r="AH542" s="120"/>
    </row>
    <row r="543" spans="1:34">
      <c r="A543" s="150"/>
      <c r="B543" s="128"/>
      <c r="C543" s="128" t="s">
        <v>1569</v>
      </c>
      <c r="D543" s="128"/>
      <c r="E543" s="117"/>
      <c r="F543" s="117"/>
      <c r="G543" s="117"/>
      <c r="H543" s="115">
        <f t="shared" si="109"/>
        <v>1000</v>
      </c>
      <c r="I543" s="115">
        <f t="shared" si="110"/>
        <v>1000</v>
      </c>
      <c r="J543" s="115">
        <f t="shared" si="111"/>
        <v>1000</v>
      </c>
      <c r="K543" s="115">
        <f t="shared" si="112"/>
        <v>1000</v>
      </c>
      <c r="L543" s="115">
        <f t="shared" si="113"/>
        <v>1000</v>
      </c>
      <c r="M543" s="115">
        <f t="shared" si="114"/>
        <v>1000</v>
      </c>
      <c r="N543" s="115">
        <f t="shared" si="115"/>
        <v>1000</v>
      </c>
      <c r="O543" s="115">
        <f t="shared" si="116"/>
        <v>1000</v>
      </c>
      <c r="P543" s="115">
        <f t="shared" si="117"/>
        <v>1000</v>
      </c>
      <c r="Q543" s="125"/>
      <c r="R543" s="125"/>
      <c r="S543" s="125"/>
      <c r="T543" s="125">
        <v>1000</v>
      </c>
      <c r="U543" s="125"/>
      <c r="V543" s="125"/>
      <c r="W543" s="125"/>
      <c r="X543" s="125"/>
      <c r="Y543" s="125"/>
      <c r="Z543" s="125"/>
      <c r="AA543" s="125"/>
      <c r="AB543" s="125"/>
      <c r="AC543" s="124"/>
      <c r="AD543" s="117"/>
      <c r="AE543" s="1"/>
      <c r="AF543" s="120"/>
      <c r="AG543" s="1"/>
      <c r="AH543" s="120"/>
    </row>
    <row r="544" spans="1:34">
      <c r="A544" s="150"/>
      <c r="B544" s="128"/>
      <c r="C544" s="128" t="s">
        <v>1570</v>
      </c>
      <c r="D544" s="128"/>
      <c r="E544" s="117"/>
      <c r="F544" s="117"/>
      <c r="G544" s="117"/>
      <c r="H544" s="115">
        <f t="shared" si="109"/>
        <v>1262.6500000000001</v>
      </c>
      <c r="I544" s="115">
        <f t="shared" si="110"/>
        <v>1262.6500000000001</v>
      </c>
      <c r="J544" s="115">
        <f t="shared" si="111"/>
        <v>1262.6500000000001</v>
      </c>
      <c r="K544" s="115">
        <f t="shared" si="112"/>
        <v>1262.6500000000001</v>
      </c>
      <c r="L544" s="115">
        <f t="shared" si="113"/>
        <v>1262.6500000000001</v>
      </c>
      <c r="M544" s="115">
        <f t="shared" si="114"/>
        <v>1262.6500000000001</v>
      </c>
      <c r="N544" s="115">
        <f t="shared" si="115"/>
        <v>1262.6500000000001</v>
      </c>
      <c r="O544" s="115">
        <f t="shared" si="116"/>
        <v>1262.6500000000001</v>
      </c>
      <c r="P544" s="115">
        <f t="shared" si="117"/>
        <v>1262.6500000000001</v>
      </c>
      <c r="Q544" s="125"/>
      <c r="R544" s="125"/>
      <c r="S544" s="125"/>
      <c r="T544" s="125">
        <v>1262.6500000000001</v>
      </c>
      <c r="U544" s="125"/>
      <c r="V544" s="125"/>
      <c r="W544" s="125"/>
      <c r="X544" s="125"/>
      <c r="Y544" s="125"/>
      <c r="Z544" s="125"/>
      <c r="AA544" s="125"/>
      <c r="AB544" s="125"/>
      <c r="AC544" s="124"/>
      <c r="AD544" s="117"/>
      <c r="AE544" s="1"/>
      <c r="AF544" s="120"/>
      <c r="AG544" s="1"/>
      <c r="AH544" s="120"/>
    </row>
    <row r="545" spans="1:34">
      <c r="A545" s="150"/>
      <c r="B545" s="128"/>
      <c r="C545" s="128" t="s">
        <v>1571</v>
      </c>
      <c r="D545" s="128"/>
      <c r="E545" s="117"/>
      <c r="F545" s="117"/>
      <c r="G545" s="117"/>
      <c r="H545" s="115">
        <f t="shared" si="109"/>
        <v>1000</v>
      </c>
      <c r="I545" s="115">
        <f t="shared" si="110"/>
        <v>1000</v>
      </c>
      <c r="J545" s="115">
        <f t="shared" si="111"/>
        <v>1000</v>
      </c>
      <c r="K545" s="115">
        <f t="shared" si="112"/>
        <v>1000</v>
      </c>
      <c r="L545" s="115">
        <f t="shared" si="113"/>
        <v>1000</v>
      </c>
      <c r="M545" s="115">
        <f t="shared" si="114"/>
        <v>1000</v>
      </c>
      <c r="N545" s="115">
        <f t="shared" si="115"/>
        <v>1000</v>
      </c>
      <c r="O545" s="115">
        <f t="shared" si="116"/>
        <v>1000</v>
      </c>
      <c r="P545" s="115">
        <f t="shared" si="117"/>
        <v>1000</v>
      </c>
      <c r="Q545" s="125"/>
      <c r="R545" s="125"/>
      <c r="S545" s="125"/>
      <c r="T545" s="125">
        <v>1000</v>
      </c>
      <c r="U545" s="125"/>
      <c r="V545" s="125"/>
      <c r="W545" s="125"/>
      <c r="X545" s="125"/>
      <c r="Y545" s="125"/>
      <c r="Z545" s="125"/>
      <c r="AA545" s="125"/>
      <c r="AB545" s="125"/>
      <c r="AC545" s="124"/>
      <c r="AD545" s="117"/>
      <c r="AE545" s="1"/>
      <c r="AF545" s="120"/>
      <c r="AG545" s="1"/>
      <c r="AH545" s="120"/>
    </row>
    <row r="546" spans="1:34">
      <c r="A546" s="150"/>
      <c r="B546" s="128"/>
      <c r="C546" s="128" t="s">
        <v>1572</v>
      </c>
      <c r="D546" s="128"/>
      <c r="E546" s="117"/>
      <c r="F546" s="117"/>
      <c r="G546" s="117"/>
      <c r="H546" s="115">
        <f t="shared" si="109"/>
        <v>1500</v>
      </c>
      <c r="I546" s="115">
        <f t="shared" si="110"/>
        <v>1500</v>
      </c>
      <c r="J546" s="115">
        <f t="shared" si="111"/>
        <v>1500</v>
      </c>
      <c r="K546" s="115">
        <f t="shared" si="112"/>
        <v>1500</v>
      </c>
      <c r="L546" s="115">
        <f t="shared" si="113"/>
        <v>1500</v>
      </c>
      <c r="M546" s="115">
        <f t="shared" si="114"/>
        <v>1500</v>
      </c>
      <c r="N546" s="115">
        <f t="shared" si="115"/>
        <v>1500</v>
      </c>
      <c r="O546" s="115">
        <f t="shared" si="116"/>
        <v>1500</v>
      </c>
      <c r="P546" s="115">
        <f t="shared" si="117"/>
        <v>1500</v>
      </c>
      <c r="Q546" s="125"/>
      <c r="R546" s="125"/>
      <c r="S546" s="125"/>
      <c r="T546" s="125">
        <v>1500</v>
      </c>
      <c r="U546" s="125"/>
      <c r="V546" s="125"/>
      <c r="W546" s="125"/>
      <c r="X546" s="125"/>
      <c r="Y546" s="125"/>
      <c r="Z546" s="125"/>
      <c r="AA546" s="125"/>
      <c r="AB546" s="125"/>
      <c r="AC546" s="124"/>
      <c r="AD546" s="117"/>
      <c r="AE546" s="1"/>
      <c r="AF546" s="120"/>
      <c r="AG546" s="1"/>
      <c r="AH546" s="120"/>
    </row>
    <row r="547" spans="1:34">
      <c r="A547" s="150"/>
      <c r="B547" s="128"/>
      <c r="C547" s="128" t="s">
        <v>1573</v>
      </c>
      <c r="D547" s="128"/>
      <c r="E547" s="117"/>
      <c r="F547" s="117"/>
      <c r="G547" s="117"/>
      <c r="H547" s="115">
        <f t="shared" si="109"/>
        <v>1000</v>
      </c>
      <c r="I547" s="115">
        <f t="shared" si="110"/>
        <v>1000</v>
      </c>
      <c r="J547" s="115">
        <f t="shared" si="111"/>
        <v>1000</v>
      </c>
      <c r="K547" s="115">
        <f t="shared" si="112"/>
        <v>1000</v>
      </c>
      <c r="L547" s="115">
        <f t="shared" si="113"/>
        <v>1000</v>
      </c>
      <c r="M547" s="115">
        <f t="shared" si="114"/>
        <v>1000</v>
      </c>
      <c r="N547" s="115">
        <f t="shared" si="115"/>
        <v>1000</v>
      </c>
      <c r="O547" s="115">
        <f t="shared" si="116"/>
        <v>1000</v>
      </c>
      <c r="P547" s="115">
        <f t="shared" si="117"/>
        <v>1000</v>
      </c>
      <c r="Q547" s="125"/>
      <c r="R547" s="125"/>
      <c r="S547" s="125"/>
      <c r="T547" s="125">
        <v>1000</v>
      </c>
      <c r="U547" s="125"/>
      <c r="V547" s="125"/>
      <c r="W547" s="125"/>
      <c r="X547" s="125"/>
      <c r="Y547" s="125"/>
      <c r="Z547" s="125"/>
      <c r="AA547" s="125"/>
      <c r="AB547" s="125"/>
      <c r="AC547" s="124"/>
      <c r="AD547" s="117"/>
      <c r="AE547" s="1"/>
      <c r="AF547" s="120"/>
      <c r="AG547" s="1"/>
      <c r="AH547" s="120"/>
    </row>
    <row r="548" spans="1:34">
      <c r="A548" s="150"/>
      <c r="B548" s="128"/>
      <c r="C548" s="128" t="s">
        <v>1574</v>
      </c>
      <c r="D548" s="128"/>
      <c r="E548" s="117"/>
      <c r="F548" s="117"/>
      <c r="G548" s="117"/>
      <c r="H548" s="115">
        <f t="shared" si="109"/>
        <v>145</v>
      </c>
      <c r="I548" s="115">
        <f t="shared" si="110"/>
        <v>145</v>
      </c>
      <c r="J548" s="115">
        <f t="shared" si="111"/>
        <v>145</v>
      </c>
      <c r="K548" s="115">
        <f t="shared" si="112"/>
        <v>145</v>
      </c>
      <c r="L548" s="115">
        <f t="shared" si="113"/>
        <v>145</v>
      </c>
      <c r="M548" s="115">
        <f t="shared" si="114"/>
        <v>145</v>
      </c>
      <c r="N548" s="115">
        <f t="shared" si="115"/>
        <v>145</v>
      </c>
      <c r="O548" s="115">
        <f t="shared" si="116"/>
        <v>145</v>
      </c>
      <c r="P548" s="115">
        <f t="shared" si="117"/>
        <v>145</v>
      </c>
      <c r="Q548" s="125"/>
      <c r="R548" s="125"/>
      <c r="S548" s="125"/>
      <c r="T548" s="125">
        <v>145</v>
      </c>
      <c r="U548" s="125"/>
      <c r="V548" s="125"/>
      <c r="W548" s="125"/>
      <c r="X548" s="125"/>
      <c r="Y548" s="125"/>
      <c r="Z548" s="125"/>
      <c r="AA548" s="125"/>
      <c r="AB548" s="125"/>
      <c r="AC548" s="124"/>
      <c r="AD548" s="117"/>
      <c r="AE548" s="1"/>
      <c r="AF548" s="120"/>
      <c r="AG548" s="1"/>
      <c r="AH548" s="120"/>
    </row>
    <row r="549" spans="1:34">
      <c r="A549" s="150"/>
      <c r="B549" s="128"/>
      <c r="C549" s="128" t="s">
        <v>1575</v>
      </c>
      <c r="D549" s="128"/>
      <c r="E549" s="117"/>
      <c r="F549" s="117"/>
      <c r="G549" s="117"/>
      <c r="H549" s="115">
        <f t="shared" si="109"/>
        <v>1304</v>
      </c>
      <c r="I549" s="115">
        <f t="shared" si="110"/>
        <v>1304</v>
      </c>
      <c r="J549" s="115">
        <f t="shared" si="111"/>
        <v>1304</v>
      </c>
      <c r="K549" s="115">
        <f t="shared" si="112"/>
        <v>1304</v>
      </c>
      <c r="L549" s="115">
        <f t="shared" si="113"/>
        <v>1304</v>
      </c>
      <c r="M549" s="115">
        <f t="shared" si="114"/>
        <v>1304</v>
      </c>
      <c r="N549" s="115">
        <f t="shared" si="115"/>
        <v>1304</v>
      </c>
      <c r="O549" s="115">
        <f t="shared" si="116"/>
        <v>1304</v>
      </c>
      <c r="P549" s="115">
        <f t="shared" si="117"/>
        <v>1304</v>
      </c>
      <c r="Q549" s="125"/>
      <c r="R549" s="125"/>
      <c r="S549" s="125"/>
      <c r="T549" s="125">
        <v>1304</v>
      </c>
      <c r="U549" s="125"/>
      <c r="V549" s="125"/>
      <c r="W549" s="125"/>
      <c r="X549" s="125"/>
      <c r="Y549" s="125"/>
      <c r="Z549" s="125"/>
      <c r="AA549" s="125"/>
      <c r="AB549" s="125"/>
      <c r="AC549" s="124"/>
      <c r="AD549" s="117"/>
      <c r="AE549" s="1"/>
      <c r="AF549" s="120"/>
      <c r="AG549" s="1"/>
      <c r="AH549" s="120"/>
    </row>
    <row r="550" spans="1:34">
      <c r="A550" s="150"/>
      <c r="B550" s="128"/>
      <c r="C550" s="128" t="s">
        <v>1576</v>
      </c>
      <c r="D550" s="128"/>
      <c r="E550" s="117"/>
      <c r="F550" s="117"/>
      <c r="G550" s="117"/>
      <c r="H550" s="115">
        <f t="shared" si="109"/>
        <v>1000</v>
      </c>
      <c r="I550" s="115">
        <f t="shared" si="110"/>
        <v>1000</v>
      </c>
      <c r="J550" s="115">
        <f t="shared" si="111"/>
        <v>1000</v>
      </c>
      <c r="K550" s="115">
        <f t="shared" si="112"/>
        <v>1000</v>
      </c>
      <c r="L550" s="115">
        <f t="shared" si="113"/>
        <v>1000</v>
      </c>
      <c r="M550" s="115">
        <f t="shared" si="114"/>
        <v>1000</v>
      </c>
      <c r="N550" s="115">
        <f t="shared" si="115"/>
        <v>1000</v>
      </c>
      <c r="O550" s="115">
        <f t="shared" si="116"/>
        <v>1000</v>
      </c>
      <c r="P550" s="115">
        <f t="shared" si="117"/>
        <v>1000</v>
      </c>
      <c r="Q550" s="125"/>
      <c r="R550" s="125"/>
      <c r="S550" s="125"/>
      <c r="T550" s="125">
        <v>1000</v>
      </c>
      <c r="U550" s="125"/>
      <c r="V550" s="125"/>
      <c r="W550" s="125"/>
      <c r="X550" s="125"/>
      <c r="Y550" s="125"/>
      <c r="Z550" s="125"/>
      <c r="AA550" s="125"/>
      <c r="AB550" s="125"/>
      <c r="AC550" s="124"/>
      <c r="AD550" s="117"/>
      <c r="AE550" s="1"/>
      <c r="AF550" s="120"/>
      <c r="AG550" s="1"/>
      <c r="AH550" s="120"/>
    </row>
    <row r="551" spans="1:34">
      <c r="A551" s="150"/>
      <c r="B551" s="128"/>
      <c r="C551" s="128" t="s">
        <v>1577</v>
      </c>
      <c r="D551" s="128"/>
      <c r="E551" s="117"/>
      <c r="F551" s="117"/>
      <c r="G551" s="117"/>
      <c r="H551" s="115">
        <f t="shared" si="109"/>
        <v>200</v>
      </c>
      <c r="I551" s="115">
        <f t="shared" si="110"/>
        <v>200</v>
      </c>
      <c r="J551" s="115">
        <f t="shared" si="111"/>
        <v>200</v>
      </c>
      <c r="K551" s="115">
        <f t="shared" si="112"/>
        <v>200</v>
      </c>
      <c r="L551" s="115">
        <f t="shared" si="113"/>
        <v>200</v>
      </c>
      <c r="M551" s="115">
        <f t="shared" si="114"/>
        <v>200</v>
      </c>
      <c r="N551" s="115">
        <f t="shared" si="115"/>
        <v>200</v>
      </c>
      <c r="O551" s="115">
        <f t="shared" si="116"/>
        <v>200</v>
      </c>
      <c r="P551" s="115">
        <f t="shared" si="117"/>
        <v>200</v>
      </c>
      <c r="Q551" s="125"/>
      <c r="R551" s="125"/>
      <c r="S551" s="125"/>
      <c r="T551" s="125">
        <v>200</v>
      </c>
      <c r="U551" s="125"/>
      <c r="V551" s="125"/>
      <c r="W551" s="125"/>
      <c r="X551" s="125"/>
      <c r="Y551" s="125"/>
      <c r="Z551" s="125"/>
      <c r="AA551" s="125"/>
      <c r="AB551" s="125"/>
      <c r="AC551" s="124"/>
      <c r="AD551" s="117"/>
      <c r="AE551" s="1"/>
      <c r="AF551" s="120"/>
      <c r="AG551" s="1"/>
      <c r="AH551" s="120"/>
    </row>
    <row r="552" spans="1:34">
      <c r="A552" s="150"/>
      <c r="B552" s="128"/>
      <c r="C552" s="128" t="s">
        <v>1578</v>
      </c>
      <c r="D552" s="128"/>
      <c r="E552" s="117"/>
      <c r="F552" s="117"/>
      <c r="G552" s="117"/>
      <c r="H552" s="115">
        <f t="shared" si="109"/>
        <v>1500</v>
      </c>
      <c r="I552" s="115">
        <f t="shared" si="110"/>
        <v>1500</v>
      </c>
      <c r="J552" s="115">
        <f t="shared" si="111"/>
        <v>1500</v>
      </c>
      <c r="K552" s="115">
        <f t="shared" si="112"/>
        <v>1500</v>
      </c>
      <c r="L552" s="115">
        <f t="shared" si="113"/>
        <v>1500</v>
      </c>
      <c r="M552" s="115">
        <f t="shared" si="114"/>
        <v>1500</v>
      </c>
      <c r="N552" s="115">
        <f t="shared" si="115"/>
        <v>1500</v>
      </c>
      <c r="O552" s="115">
        <f t="shared" si="116"/>
        <v>1500</v>
      </c>
      <c r="P552" s="115">
        <f t="shared" si="117"/>
        <v>1500</v>
      </c>
      <c r="Q552" s="125"/>
      <c r="R552" s="125"/>
      <c r="S552" s="125"/>
      <c r="T552" s="125">
        <v>1500</v>
      </c>
      <c r="U552" s="125"/>
      <c r="V552" s="125"/>
      <c r="W552" s="125"/>
      <c r="X552" s="125"/>
      <c r="Y552" s="125"/>
      <c r="Z552" s="125"/>
      <c r="AA552" s="125"/>
      <c r="AB552" s="125"/>
      <c r="AC552" s="124"/>
      <c r="AD552" s="117"/>
      <c r="AE552" s="1"/>
      <c r="AF552" s="120"/>
      <c r="AG552" s="1"/>
      <c r="AH552" s="120"/>
    </row>
    <row r="553" spans="1:34">
      <c r="A553" s="150"/>
      <c r="B553" s="128"/>
      <c r="C553" s="128" t="s">
        <v>1579</v>
      </c>
      <c r="D553" s="128"/>
      <c r="E553" s="117"/>
      <c r="F553" s="117"/>
      <c r="G553" s="117"/>
      <c r="H553" s="115">
        <f t="shared" si="109"/>
        <v>1834</v>
      </c>
      <c r="I553" s="115">
        <f t="shared" si="110"/>
        <v>1834</v>
      </c>
      <c r="J553" s="115">
        <f t="shared" si="111"/>
        <v>1834</v>
      </c>
      <c r="K553" s="115">
        <f t="shared" si="112"/>
        <v>1834</v>
      </c>
      <c r="L553" s="115">
        <f t="shared" si="113"/>
        <v>1834</v>
      </c>
      <c r="M553" s="115">
        <f t="shared" si="114"/>
        <v>1834</v>
      </c>
      <c r="N553" s="115">
        <f t="shared" si="115"/>
        <v>1834</v>
      </c>
      <c r="O553" s="115">
        <f t="shared" si="116"/>
        <v>1834</v>
      </c>
      <c r="P553" s="115">
        <f t="shared" si="117"/>
        <v>1834</v>
      </c>
      <c r="Q553" s="125"/>
      <c r="R553" s="125"/>
      <c r="S553" s="125"/>
      <c r="T553" s="125">
        <v>1834</v>
      </c>
      <c r="U553" s="125"/>
      <c r="V553" s="125"/>
      <c r="W553" s="125"/>
      <c r="X553" s="125"/>
      <c r="Y553" s="125"/>
      <c r="Z553" s="125"/>
      <c r="AA553" s="125"/>
      <c r="AB553" s="125"/>
      <c r="AC553" s="124"/>
      <c r="AD553" s="117"/>
      <c r="AE553" s="1"/>
      <c r="AF553" s="120"/>
      <c r="AG553" s="1"/>
      <c r="AH553" s="120"/>
    </row>
    <row r="554" spans="1:34">
      <c r="A554" s="150"/>
      <c r="B554" s="128"/>
      <c r="C554" s="128" t="s">
        <v>1580</v>
      </c>
      <c r="D554" s="128"/>
      <c r="E554" s="117"/>
      <c r="F554" s="117"/>
      <c r="G554" s="117"/>
      <c r="H554" s="115">
        <f t="shared" si="109"/>
        <v>418</v>
      </c>
      <c r="I554" s="115">
        <f t="shared" si="110"/>
        <v>418</v>
      </c>
      <c r="J554" s="115">
        <f t="shared" si="111"/>
        <v>418</v>
      </c>
      <c r="K554" s="115">
        <f t="shared" si="112"/>
        <v>418</v>
      </c>
      <c r="L554" s="115">
        <f t="shared" si="113"/>
        <v>418</v>
      </c>
      <c r="M554" s="115">
        <f t="shared" si="114"/>
        <v>418</v>
      </c>
      <c r="N554" s="115">
        <f t="shared" si="115"/>
        <v>418</v>
      </c>
      <c r="O554" s="115">
        <f t="shared" si="116"/>
        <v>418</v>
      </c>
      <c r="P554" s="115">
        <f t="shared" si="117"/>
        <v>418</v>
      </c>
      <c r="Q554" s="125"/>
      <c r="R554" s="125"/>
      <c r="S554" s="125"/>
      <c r="T554" s="125">
        <v>418</v>
      </c>
      <c r="U554" s="125"/>
      <c r="V554" s="125"/>
      <c r="W554" s="125"/>
      <c r="X554" s="125"/>
      <c r="Y554" s="125"/>
      <c r="Z554" s="125"/>
      <c r="AA554" s="125"/>
      <c r="AB554" s="125"/>
      <c r="AC554" s="124"/>
      <c r="AD554" s="117"/>
      <c r="AE554" s="1"/>
      <c r="AF554" s="120"/>
      <c r="AG554" s="1"/>
      <c r="AH554" s="120"/>
    </row>
    <row r="555" spans="1:34">
      <c r="A555" s="150"/>
      <c r="B555" s="128"/>
      <c r="C555" s="128" t="s">
        <v>1581</v>
      </c>
      <c r="D555" s="128"/>
      <c r="E555" s="117"/>
      <c r="F555" s="117"/>
      <c r="G555" s="117"/>
      <c r="H555" s="115">
        <f t="shared" si="109"/>
        <v>1828</v>
      </c>
      <c r="I555" s="115">
        <f t="shared" si="110"/>
        <v>1828</v>
      </c>
      <c r="J555" s="115">
        <f t="shared" si="111"/>
        <v>1828</v>
      </c>
      <c r="K555" s="115">
        <f t="shared" si="112"/>
        <v>1828</v>
      </c>
      <c r="L555" s="115">
        <f t="shared" si="113"/>
        <v>1828</v>
      </c>
      <c r="M555" s="115">
        <f t="shared" si="114"/>
        <v>1828</v>
      </c>
      <c r="N555" s="115">
        <f t="shared" si="115"/>
        <v>1828</v>
      </c>
      <c r="O555" s="115">
        <f t="shared" si="116"/>
        <v>1828</v>
      </c>
      <c r="P555" s="115">
        <f t="shared" si="117"/>
        <v>1828</v>
      </c>
      <c r="Q555" s="125"/>
      <c r="R555" s="125"/>
      <c r="S555" s="125"/>
      <c r="T555" s="125">
        <v>1828</v>
      </c>
      <c r="U555" s="125"/>
      <c r="V555" s="125"/>
      <c r="W555" s="125"/>
      <c r="X555" s="125"/>
      <c r="Y555" s="125"/>
      <c r="Z555" s="125"/>
      <c r="AA555" s="125"/>
      <c r="AB555" s="125"/>
      <c r="AC555" s="124"/>
      <c r="AD555" s="117"/>
      <c r="AE555" s="1"/>
      <c r="AF555" s="120"/>
      <c r="AG555" s="1"/>
      <c r="AH555" s="120"/>
    </row>
    <row r="556" spans="1:34">
      <c r="A556" s="150"/>
      <c r="B556" s="128"/>
      <c r="C556" s="128" t="s">
        <v>1582</v>
      </c>
      <c r="D556" s="128"/>
      <c r="E556" s="117"/>
      <c r="F556" s="117"/>
      <c r="G556" s="117"/>
      <c r="H556" s="115">
        <f t="shared" si="109"/>
        <v>628</v>
      </c>
      <c r="I556" s="115">
        <f t="shared" si="110"/>
        <v>628</v>
      </c>
      <c r="J556" s="115">
        <f t="shared" si="111"/>
        <v>628</v>
      </c>
      <c r="K556" s="115">
        <f t="shared" si="112"/>
        <v>628</v>
      </c>
      <c r="L556" s="115">
        <f t="shared" si="113"/>
        <v>628</v>
      </c>
      <c r="M556" s="115">
        <f t="shared" si="114"/>
        <v>628</v>
      </c>
      <c r="N556" s="115">
        <f t="shared" si="115"/>
        <v>628</v>
      </c>
      <c r="O556" s="115">
        <f t="shared" si="116"/>
        <v>628</v>
      </c>
      <c r="P556" s="115">
        <f t="shared" si="117"/>
        <v>628</v>
      </c>
      <c r="Q556" s="125"/>
      <c r="R556" s="125"/>
      <c r="S556" s="125"/>
      <c r="T556" s="125">
        <v>628</v>
      </c>
      <c r="U556" s="125"/>
      <c r="V556" s="125"/>
      <c r="W556" s="125"/>
      <c r="X556" s="125"/>
      <c r="Y556" s="125"/>
      <c r="Z556" s="125"/>
      <c r="AA556" s="125"/>
      <c r="AB556" s="125"/>
      <c r="AC556" s="124"/>
      <c r="AD556" s="117"/>
      <c r="AE556" s="1"/>
      <c r="AF556" s="120"/>
      <c r="AG556" s="1"/>
      <c r="AH556" s="120"/>
    </row>
    <row r="557" spans="1:34">
      <c r="A557" s="150"/>
      <c r="B557" s="128"/>
      <c r="C557" s="128" t="s">
        <v>1583</v>
      </c>
      <c r="D557" s="128"/>
      <c r="E557" s="117"/>
      <c r="F557" s="117"/>
      <c r="G557" s="117"/>
      <c r="H557" s="115">
        <f t="shared" si="109"/>
        <v>3000</v>
      </c>
      <c r="I557" s="115">
        <f t="shared" si="110"/>
        <v>3000</v>
      </c>
      <c r="J557" s="115">
        <f t="shared" si="111"/>
        <v>3000</v>
      </c>
      <c r="K557" s="115">
        <f t="shared" si="112"/>
        <v>3000</v>
      </c>
      <c r="L557" s="115">
        <f t="shared" si="113"/>
        <v>3000</v>
      </c>
      <c r="M557" s="115">
        <f t="shared" si="114"/>
        <v>3000</v>
      </c>
      <c r="N557" s="115">
        <f t="shared" si="115"/>
        <v>3000</v>
      </c>
      <c r="O557" s="115">
        <f t="shared" si="116"/>
        <v>3000</v>
      </c>
      <c r="P557" s="115">
        <f t="shared" si="117"/>
        <v>3000</v>
      </c>
      <c r="Q557" s="125"/>
      <c r="R557" s="125"/>
      <c r="S557" s="125"/>
      <c r="T557" s="125">
        <v>3000</v>
      </c>
      <c r="U557" s="125"/>
      <c r="V557" s="125"/>
      <c r="W557" s="125"/>
      <c r="X557" s="125"/>
      <c r="Y557" s="125"/>
      <c r="Z557" s="125"/>
      <c r="AA557" s="125"/>
      <c r="AB557" s="125"/>
      <c r="AC557" s="124"/>
      <c r="AD557" s="117"/>
      <c r="AE557" s="1"/>
      <c r="AF557" s="120"/>
      <c r="AG557" s="1"/>
      <c r="AH557" s="120"/>
    </row>
    <row r="558" spans="1:34">
      <c r="A558" s="150"/>
      <c r="B558" s="128"/>
      <c r="C558" s="128" t="s">
        <v>1584</v>
      </c>
      <c r="D558" s="128"/>
      <c r="E558" s="117"/>
      <c r="F558" s="117"/>
      <c r="G558" s="117"/>
      <c r="H558" s="115">
        <f t="shared" si="109"/>
        <v>1000</v>
      </c>
      <c r="I558" s="115">
        <f t="shared" si="110"/>
        <v>1000</v>
      </c>
      <c r="J558" s="115">
        <f t="shared" si="111"/>
        <v>1000</v>
      </c>
      <c r="K558" s="115">
        <f t="shared" si="112"/>
        <v>1000</v>
      </c>
      <c r="L558" s="115">
        <f t="shared" si="113"/>
        <v>1000</v>
      </c>
      <c r="M558" s="115">
        <f t="shared" si="114"/>
        <v>1000</v>
      </c>
      <c r="N558" s="115">
        <f t="shared" si="115"/>
        <v>1000</v>
      </c>
      <c r="O558" s="115">
        <f t="shared" si="116"/>
        <v>1000</v>
      </c>
      <c r="P558" s="115">
        <f t="shared" si="117"/>
        <v>1000</v>
      </c>
      <c r="Q558" s="125"/>
      <c r="R558" s="125"/>
      <c r="S558" s="125"/>
      <c r="T558" s="125">
        <v>1000</v>
      </c>
      <c r="U558" s="125"/>
      <c r="V558" s="125"/>
      <c r="W558" s="125"/>
      <c r="X558" s="125"/>
      <c r="Y558" s="125"/>
      <c r="Z558" s="125"/>
      <c r="AA558" s="125"/>
      <c r="AB558" s="125"/>
      <c r="AC558" s="124"/>
      <c r="AD558" s="117"/>
      <c r="AE558" s="1"/>
      <c r="AF558" s="120"/>
      <c r="AG558" s="1"/>
      <c r="AH558" s="120"/>
    </row>
    <row r="559" spans="1:34">
      <c r="A559" s="150"/>
      <c r="B559" s="128"/>
      <c r="C559" s="128" t="s">
        <v>1585</v>
      </c>
      <c r="D559" s="128"/>
      <c r="E559" s="117"/>
      <c r="F559" s="117"/>
      <c r="G559" s="117"/>
      <c r="H559" s="115">
        <f t="shared" si="109"/>
        <v>1000</v>
      </c>
      <c r="I559" s="115">
        <f t="shared" si="110"/>
        <v>1000</v>
      </c>
      <c r="J559" s="115">
        <f t="shared" si="111"/>
        <v>1000</v>
      </c>
      <c r="K559" s="115">
        <f t="shared" si="112"/>
        <v>1000</v>
      </c>
      <c r="L559" s="115">
        <f t="shared" si="113"/>
        <v>1000</v>
      </c>
      <c r="M559" s="115">
        <f t="shared" si="114"/>
        <v>1000</v>
      </c>
      <c r="N559" s="115">
        <f t="shared" si="115"/>
        <v>1000</v>
      </c>
      <c r="O559" s="115">
        <f t="shared" si="116"/>
        <v>1000</v>
      </c>
      <c r="P559" s="115">
        <f t="shared" si="117"/>
        <v>1000</v>
      </c>
      <c r="Q559" s="125"/>
      <c r="R559" s="125"/>
      <c r="S559" s="125"/>
      <c r="T559" s="125">
        <v>1000</v>
      </c>
      <c r="U559" s="125"/>
      <c r="V559" s="125"/>
      <c r="W559" s="125"/>
      <c r="X559" s="125"/>
      <c r="Y559" s="125"/>
      <c r="Z559" s="125"/>
      <c r="AA559" s="125"/>
      <c r="AB559" s="125"/>
      <c r="AC559" s="124"/>
      <c r="AD559" s="117"/>
      <c r="AE559" s="1"/>
      <c r="AF559" s="120"/>
      <c r="AG559" s="1"/>
      <c r="AH559" s="120"/>
    </row>
    <row r="560" spans="1:34">
      <c r="A560" s="150"/>
      <c r="B560" s="128"/>
      <c r="C560" s="128" t="s">
        <v>1586</v>
      </c>
      <c r="D560" s="128"/>
      <c r="E560" s="117"/>
      <c r="F560" s="117"/>
      <c r="G560" s="117"/>
      <c r="H560" s="115">
        <f t="shared" ref="H560:H571" si="118">Q560+R560+S560+T560</f>
        <v>1000</v>
      </c>
      <c r="I560" s="115">
        <f t="shared" ref="I560:I571" si="119">Q560+R560+S560+T560+U560</f>
        <v>1000</v>
      </c>
      <c r="J560" s="115">
        <f t="shared" ref="J560:J571" si="120">Q560+R560+S560+T560+U560+V560</f>
        <v>1000</v>
      </c>
      <c r="K560" s="115">
        <f t="shared" ref="K560:K571" si="121">Q560+R560+S560+T560+U560+V560+W560</f>
        <v>1000</v>
      </c>
      <c r="L560" s="115">
        <f t="shared" ref="L560:L571" si="122">Q560+R560+S560+T560+U560+V560+W560+X560</f>
        <v>1000</v>
      </c>
      <c r="M560" s="115">
        <f t="shared" ref="M560:M571" si="123">Q560+R560+S560+T560+U560+V560+W560+X560+Y560</f>
        <v>1000</v>
      </c>
      <c r="N560" s="115">
        <f t="shared" ref="N560:N571" si="124">Q560+R560+S560+T560+U560+V560+W560+X560+Y560+Z560</f>
        <v>1000</v>
      </c>
      <c r="O560" s="115">
        <f t="shared" ref="O560:O571" si="125">Q560+R560+S560+T560+U560+V560+W560+X560+Y560+Z560+AA560</f>
        <v>1000</v>
      </c>
      <c r="P560" s="115">
        <f t="shared" ref="P560:P571" si="126">Q560+R560+S560+T560+U560+V560+W560+X560+Y560+Z560+AA560+AB560</f>
        <v>1000</v>
      </c>
      <c r="Q560" s="125"/>
      <c r="R560" s="125"/>
      <c r="S560" s="125"/>
      <c r="T560" s="125">
        <v>1000</v>
      </c>
      <c r="U560" s="125"/>
      <c r="V560" s="125"/>
      <c r="W560" s="125"/>
      <c r="X560" s="125"/>
      <c r="Y560" s="125"/>
      <c r="Z560" s="125"/>
      <c r="AA560" s="125"/>
      <c r="AB560" s="125"/>
      <c r="AC560" s="124"/>
      <c r="AD560" s="117"/>
      <c r="AE560" s="1"/>
      <c r="AF560" s="120"/>
      <c r="AG560" s="1"/>
      <c r="AH560" s="120"/>
    </row>
    <row r="561" spans="1:36">
      <c r="A561" s="150"/>
      <c r="B561" s="128"/>
      <c r="C561" s="128" t="s">
        <v>1587</v>
      </c>
      <c r="D561" s="128"/>
      <c r="E561" s="117"/>
      <c r="F561" s="117"/>
      <c r="G561" s="117"/>
      <c r="H561" s="115">
        <f t="shared" si="118"/>
        <v>2100</v>
      </c>
      <c r="I561" s="115">
        <f t="shared" si="119"/>
        <v>2100</v>
      </c>
      <c r="J561" s="115">
        <f t="shared" si="120"/>
        <v>2100</v>
      </c>
      <c r="K561" s="115">
        <f t="shared" si="121"/>
        <v>2100</v>
      </c>
      <c r="L561" s="115">
        <f t="shared" si="122"/>
        <v>2100</v>
      </c>
      <c r="M561" s="115">
        <f t="shared" si="123"/>
        <v>2100</v>
      </c>
      <c r="N561" s="115">
        <f t="shared" si="124"/>
        <v>2100</v>
      </c>
      <c r="O561" s="115">
        <f t="shared" si="125"/>
        <v>2100</v>
      </c>
      <c r="P561" s="115">
        <f t="shared" si="126"/>
        <v>2100</v>
      </c>
      <c r="Q561" s="125"/>
      <c r="R561" s="125"/>
      <c r="S561" s="125"/>
      <c r="T561" s="125">
        <v>2100</v>
      </c>
      <c r="U561" s="125"/>
      <c r="V561" s="125"/>
      <c r="W561" s="125"/>
      <c r="X561" s="125"/>
      <c r="Y561" s="125"/>
      <c r="Z561" s="125"/>
      <c r="AA561" s="125"/>
      <c r="AB561" s="125"/>
      <c r="AC561" s="124"/>
      <c r="AD561" s="117"/>
      <c r="AE561" s="1"/>
      <c r="AF561" s="120"/>
      <c r="AG561" s="1"/>
      <c r="AH561" s="120"/>
    </row>
    <row r="562" spans="1:36">
      <c r="A562" s="150"/>
      <c r="B562" s="128"/>
      <c r="C562" s="128" t="s">
        <v>1588</v>
      </c>
      <c r="D562" s="128"/>
      <c r="E562" s="117"/>
      <c r="F562" s="117"/>
      <c r="G562" s="117"/>
      <c r="H562" s="115">
        <f t="shared" si="118"/>
        <v>200</v>
      </c>
      <c r="I562" s="115">
        <f t="shared" si="119"/>
        <v>200</v>
      </c>
      <c r="J562" s="115">
        <f t="shared" si="120"/>
        <v>200</v>
      </c>
      <c r="K562" s="115">
        <f t="shared" si="121"/>
        <v>200</v>
      </c>
      <c r="L562" s="115">
        <f t="shared" si="122"/>
        <v>200</v>
      </c>
      <c r="M562" s="115">
        <f t="shared" si="123"/>
        <v>200</v>
      </c>
      <c r="N562" s="115">
        <f t="shared" si="124"/>
        <v>200</v>
      </c>
      <c r="O562" s="115">
        <f t="shared" si="125"/>
        <v>200</v>
      </c>
      <c r="P562" s="115">
        <f t="shared" si="126"/>
        <v>200</v>
      </c>
      <c r="Q562" s="125"/>
      <c r="R562" s="125"/>
      <c r="S562" s="125"/>
      <c r="T562" s="125">
        <v>200</v>
      </c>
      <c r="U562" s="125"/>
      <c r="V562" s="125"/>
      <c r="W562" s="125"/>
      <c r="X562" s="125"/>
      <c r="Y562" s="125"/>
      <c r="Z562" s="125"/>
      <c r="AA562" s="125"/>
      <c r="AB562" s="125"/>
      <c r="AC562" s="124"/>
      <c r="AD562" s="117"/>
      <c r="AE562" s="1"/>
      <c r="AF562" s="120"/>
      <c r="AG562" s="1"/>
      <c r="AH562" s="120"/>
    </row>
    <row r="563" spans="1:36">
      <c r="A563" s="150"/>
      <c r="B563" s="128"/>
      <c r="C563" s="128" t="s">
        <v>1589</v>
      </c>
      <c r="D563" s="128"/>
      <c r="E563" s="117"/>
      <c r="F563" s="117"/>
      <c r="G563" s="117"/>
      <c r="H563" s="115">
        <f t="shared" si="118"/>
        <v>873</v>
      </c>
      <c r="I563" s="115">
        <f t="shared" si="119"/>
        <v>873</v>
      </c>
      <c r="J563" s="115">
        <f t="shared" si="120"/>
        <v>873</v>
      </c>
      <c r="K563" s="115">
        <f t="shared" si="121"/>
        <v>873</v>
      </c>
      <c r="L563" s="115">
        <f t="shared" si="122"/>
        <v>873</v>
      </c>
      <c r="M563" s="115">
        <f t="shared" si="123"/>
        <v>873</v>
      </c>
      <c r="N563" s="115">
        <f t="shared" si="124"/>
        <v>873</v>
      </c>
      <c r="O563" s="115">
        <f t="shared" si="125"/>
        <v>873</v>
      </c>
      <c r="P563" s="115">
        <f t="shared" si="126"/>
        <v>873</v>
      </c>
      <c r="Q563" s="125"/>
      <c r="R563" s="125"/>
      <c r="S563" s="125"/>
      <c r="T563" s="125">
        <v>873</v>
      </c>
      <c r="U563" s="125"/>
      <c r="V563" s="125"/>
      <c r="W563" s="125"/>
      <c r="X563" s="125"/>
      <c r="Y563" s="125"/>
      <c r="Z563" s="125"/>
      <c r="AA563" s="125"/>
      <c r="AB563" s="125"/>
      <c r="AC563" s="124"/>
      <c r="AD563" s="117"/>
      <c r="AE563" s="162"/>
      <c r="AF563" s="120"/>
      <c r="AG563" s="1"/>
      <c r="AH563" s="120"/>
    </row>
    <row r="564" spans="1:36">
      <c r="A564" s="150"/>
      <c r="B564" s="128"/>
      <c r="C564" s="128" t="s">
        <v>1590</v>
      </c>
      <c r="D564" s="128"/>
      <c r="E564" s="117"/>
      <c r="F564" s="117"/>
      <c r="G564" s="117"/>
      <c r="H564" s="115">
        <f t="shared" si="118"/>
        <v>1000</v>
      </c>
      <c r="I564" s="115">
        <f t="shared" si="119"/>
        <v>1000</v>
      </c>
      <c r="J564" s="115">
        <f t="shared" si="120"/>
        <v>1000</v>
      </c>
      <c r="K564" s="115">
        <f t="shared" si="121"/>
        <v>1000</v>
      </c>
      <c r="L564" s="115">
        <f t="shared" si="122"/>
        <v>1000</v>
      </c>
      <c r="M564" s="115">
        <f t="shared" si="123"/>
        <v>1000</v>
      </c>
      <c r="N564" s="115">
        <f t="shared" si="124"/>
        <v>1000</v>
      </c>
      <c r="O564" s="115">
        <f t="shared" si="125"/>
        <v>1000</v>
      </c>
      <c r="P564" s="115">
        <f t="shared" si="126"/>
        <v>1000</v>
      </c>
      <c r="Q564" s="125"/>
      <c r="R564" s="125"/>
      <c r="S564" s="125"/>
      <c r="T564" s="125">
        <v>1000</v>
      </c>
      <c r="U564" s="125"/>
      <c r="V564" s="125"/>
      <c r="W564" s="125"/>
      <c r="X564" s="125"/>
      <c r="Y564" s="125"/>
      <c r="Z564" s="125"/>
      <c r="AA564" s="125"/>
      <c r="AB564" s="125"/>
      <c r="AC564" s="124"/>
      <c r="AD564" s="117"/>
      <c r="AE564" s="162"/>
      <c r="AF564" s="120"/>
      <c r="AG564" s="1"/>
      <c r="AH564" s="120"/>
    </row>
    <row r="565" spans="1:36">
      <c r="A565" s="150"/>
      <c r="B565" s="128"/>
      <c r="C565" s="128" t="s">
        <v>1591</v>
      </c>
      <c r="D565" s="128"/>
      <c r="E565" s="117"/>
      <c r="F565" s="117"/>
      <c r="G565" s="117"/>
      <c r="H565" s="115">
        <f t="shared" si="118"/>
        <v>2500</v>
      </c>
      <c r="I565" s="115">
        <f t="shared" si="119"/>
        <v>2500</v>
      </c>
      <c r="J565" s="115">
        <f t="shared" si="120"/>
        <v>2500</v>
      </c>
      <c r="K565" s="115">
        <f t="shared" si="121"/>
        <v>2500</v>
      </c>
      <c r="L565" s="115">
        <f t="shared" si="122"/>
        <v>2500</v>
      </c>
      <c r="M565" s="115">
        <f t="shared" si="123"/>
        <v>2500</v>
      </c>
      <c r="N565" s="115">
        <f t="shared" si="124"/>
        <v>2500</v>
      </c>
      <c r="O565" s="115">
        <f t="shared" si="125"/>
        <v>2500</v>
      </c>
      <c r="P565" s="115">
        <f t="shared" si="126"/>
        <v>2500</v>
      </c>
      <c r="Q565" s="125"/>
      <c r="R565" s="125"/>
      <c r="S565" s="125"/>
      <c r="T565" s="125">
        <v>2500</v>
      </c>
      <c r="U565" s="125"/>
      <c r="V565" s="125"/>
      <c r="W565" s="125"/>
      <c r="X565" s="125"/>
      <c r="Y565" s="125"/>
      <c r="Z565" s="125"/>
      <c r="AA565" s="125"/>
      <c r="AB565" s="125"/>
      <c r="AC565" s="124"/>
      <c r="AD565" s="117"/>
      <c r="AE565" s="162"/>
      <c r="AF565" s="115"/>
      <c r="AG565" s="1"/>
      <c r="AH565" s="120"/>
    </row>
    <row r="566" spans="1:36">
      <c r="A566" s="150"/>
      <c r="B566" s="128"/>
      <c r="C566" s="128" t="s">
        <v>1592</v>
      </c>
      <c r="D566" s="128"/>
      <c r="E566" s="117"/>
      <c r="F566" s="117"/>
      <c r="G566" s="117"/>
      <c r="H566" s="115">
        <f t="shared" si="118"/>
        <v>1392</v>
      </c>
      <c r="I566" s="115">
        <f t="shared" si="119"/>
        <v>1392</v>
      </c>
      <c r="J566" s="115">
        <f t="shared" si="120"/>
        <v>1392</v>
      </c>
      <c r="K566" s="115">
        <f t="shared" si="121"/>
        <v>1392</v>
      </c>
      <c r="L566" s="115">
        <f t="shared" si="122"/>
        <v>1392</v>
      </c>
      <c r="M566" s="115">
        <f t="shared" si="123"/>
        <v>1392</v>
      </c>
      <c r="N566" s="115">
        <f t="shared" si="124"/>
        <v>1392</v>
      </c>
      <c r="O566" s="115">
        <f t="shared" si="125"/>
        <v>1392</v>
      </c>
      <c r="P566" s="115">
        <f t="shared" si="126"/>
        <v>1392</v>
      </c>
      <c r="Q566" s="125"/>
      <c r="R566" s="125"/>
      <c r="S566" s="125"/>
      <c r="T566" s="125">
        <v>1392</v>
      </c>
      <c r="U566" s="125"/>
      <c r="V566" s="125"/>
      <c r="W566" s="125"/>
      <c r="X566" s="125"/>
      <c r="Y566" s="125"/>
      <c r="Z566" s="125"/>
      <c r="AA566" s="125"/>
      <c r="AB566" s="125"/>
      <c r="AC566" s="124"/>
      <c r="AD566" s="117"/>
      <c r="AE566" s="162"/>
      <c r="AF566" s="115"/>
      <c r="AG566" s="1"/>
      <c r="AH566" s="120"/>
    </row>
    <row r="567" spans="1:36">
      <c r="A567" s="150"/>
      <c r="B567" s="128"/>
      <c r="C567" s="128" t="s">
        <v>1593</v>
      </c>
      <c r="D567" s="128"/>
      <c r="E567" s="117"/>
      <c r="F567" s="117"/>
      <c r="G567" s="117"/>
      <c r="H567" s="115">
        <f t="shared" si="118"/>
        <v>1600</v>
      </c>
      <c r="I567" s="115">
        <f t="shared" si="119"/>
        <v>1600</v>
      </c>
      <c r="J567" s="115">
        <f t="shared" si="120"/>
        <v>1600</v>
      </c>
      <c r="K567" s="115">
        <f t="shared" si="121"/>
        <v>1600</v>
      </c>
      <c r="L567" s="115">
        <f t="shared" si="122"/>
        <v>1600</v>
      </c>
      <c r="M567" s="115">
        <f t="shared" si="123"/>
        <v>1600</v>
      </c>
      <c r="N567" s="115">
        <f t="shared" si="124"/>
        <v>1600</v>
      </c>
      <c r="O567" s="115">
        <f t="shared" si="125"/>
        <v>1600</v>
      </c>
      <c r="P567" s="115">
        <f t="shared" si="126"/>
        <v>1600</v>
      </c>
      <c r="Q567" s="125"/>
      <c r="R567" s="125"/>
      <c r="S567" s="125"/>
      <c r="T567" s="125">
        <v>1600</v>
      </c>
      <c r="U567" s="125"/>
      <c r="V567" s="125"/>
      <c r="W567" s="125"/>
      <c r="X567" s="125"/>
      <c r="Y567" s="125"/>
      <c r="Z567" s="125"/>
      <c r="AA567" s="125"/>
      <c r="AB567" s="125"/>
      <c r="AC567" s="124"/>
      <c r="AD567" s="117"/>
      <c r="AE567" s="162"/>
      <c r="AF567" s="115"/>
      <c r="AG567" s="1"/>
      <c r="AH567" s="115"/>
    </row>
    <row r="568" spans="1:36">
      <c r="A568" s="150"/>
      <c r="B568" s="128"/>
      <c r="C568" s="128" t="s">
        <v>1594</v>
      </c>
      <c r="D568" s="128"/>
      <c r="E568" s="117"/>
      <c r="F568" s="117"/>
      <c r="G568" s="117"/>
      <c r="H568" s="115">
        <f t="shared" si="118"/>
        <v>766</v>
      </c>
      <c r="I568" s="115">
        <f t="shared" si="119"/>
        <v>766</v>
      </c>
      <c r="J568" s="115">
        <f t="shared" si="120"/>
        <v>766</v>
      </c>
      <c r="K568" s="115">
        <f t="shared" si="121"/>
        <v>766</v>
      </c>
      <c r="L568" s="115">
        <f t="shared" si="122"/>
        <v>766</v>
      </c>
      <c r="M568" s="115">
        <f t="shared" si="123"/>
        <v>766</v>
      </c>
      <c r="N568" s="115">
        <f t="shared" si="124"/>
        <v>766</v>
      </c>
      <c r="O568" s="115">
        <f t="shared" si="125"/>
        <v>766</v>
      </c>
      <c r="P568" s="115">
        <f t="shared" si="126"/>
        <v>766</v>
      </c>
      <c r="Q568" s="125"/>
      <c r="R568" s="125"/>
      <c r="S568" s="125"/>
      <c r="T568" s="125">
        <v>766</v>
      </c>
      <c r="U568" s="125"/>
      <c r="V568" s="125"/>
      <c r="W568" s="125"/>
      <c r="X568" s="125"/>
      <c r="Y568" s="125"/>
      <c r="Z568" s="125"/>
      <c r="AA568" s="125"/>
      <c r="AB568" s="125"/>
      <c r="AC568" s="124"/>
      <c r="AD568" s="130"/>
      <c r="AE568" s="162"/>
      <c r="AF568" s="120"/>
      <c r="AG568" s="162"/>
      <c r="AH568" s="115"/>
    </row>
    <row r="569" spans="1:36">
      <c r="B569" s="154"/>
      <c r="C569" s="128" t="s">
        <v>1595</v>
      </c>
      <c r="D569" s="128"/>
      <c r="E569" s="117"/>
      <c r="F569" s="117"/>
      <c r="G569" s="117"/>
      <c r="H569" s="115">
        <f t="shared" si="118"/>
        <v>2214</v>
      </c>
      <c r="I569" s="115">
        <f t="shared" si="119"/>
        <v>2214</v>
      </c>
      <c r="J569" s="115">
        <f t="shared" si="120"/>
        <v>2214</v>
      </c>
      <c r="K569" s="115">
        <f t="shared" si="121"/>
        <v>2214</v>
      </c>
      <c r="L569" s="115">
        <f t="shared" si="122"/>
        <v>2214</v>
      </c>
      <c r="M569" s="115">
        <f t="shared" si="123"/>
        <v>2214</v>
      </c>
      <c r="N569" s="115">
        <f t="shared" si="124"/>
        <v>2214</v>
      </c>
      <c r="O569" s="115">
        <f t="shared" si="125"/>
        <v>2214</v>
      </c>
      <c r="P569" s="115">
        <f t="shared" si="126"/>
        <v>2214</v>
      </c>
      <c r="Q569" s="125"/>
      <c r="R569" s="125"/>
      <c r="S569" s="125"/>
      <c r="T569" s="125">
        <v>2214</v>
      </c>
      <c r="U569" s="125"/>
      <c r="V569" s="125"/>
      <c r="W569" s="125"/>
      <c r="X569" s="125"/>
      <c r="Y569" s="125"/>
      <c r="Z569" s="125"/>
      <c r="AA569" s="125"/>
      <c r="AB569" s="125"/>
      <c r="AC569" s="124"/>
      <c r="AE569" s="162"/>
      <c r="AF569" s="120"/>
      <c r="AG569" s="162"/>
      <c r="AH569" s="115"/>
    </row>
    <row r="570" spans="1:36">
      <c r="B570" s="154"/>
      <c r="C570" s="123" t="s">
        <v>1596</v>
      </c>
      <c r="D570" s="128"/>
      <c r="E570" s="130"/>
      <c r="F570" s="130"/>
      <c r="G570" s="130"/>
      <c r="H570" s="115">
        <f t="shared" si="118"/>
        <v>1000</v>
      </c>
      <c r="I570" s="115">
        <f t="shared" si="119"/>
        <v>1000</v>
      </c>
      <c r="J570" s="115">
        <f t="shared" si="120"/>
        <v>1000</v>
      </c>
      <c r="K570" s="115">
        <f t="shared" si="121"/>
        <v>1000</v>
      </c>
      <c r="L570" s="115">
        <f t="shared" si="122"/>
        <v>1000</v>
      </c>
      <c r="M570" s="115">
        <f t="shared" si="123"/>
        <v>1000</v>
      </c>
      <c r="N570" s="115">
        <f t="shared" si="124"/>
        <v>1000</v>
      </c>
      <c r="O570" s="115">
        <f t="shared" si="125"/>
        <v>1000</v>
      </c>
      <c r="P570" s="115">
        <f t="shared" si="126"/>
        <v>1000</v>
      </c>
      <c r="Q570" s="131"/>
      <c r="R570" s="131"/>
      <c r="S570" s="131"/>
      <c r="T570" s="131">
        <v>1000</v>
      </c>
      <c r="U570" s="131"/>
      <c r="V570" s="131"/>
      <c r="W570" s="131"/>
      <c r="X570" s="131"/>
      <c r="Y570" s="131"/>
      <c r="Z570" s="131"/>
      <c r="AA570" s="131"/>
      <c r="AB570" s="131"/>
      <c r="AC570" s="132"/>
      <c r="AE570" s="162"/>
      <c r="AF570" s="120"/>
      <c r="AG570" s="162"/>
      <c r="AH570" s="115"/>
    </row>
    <row r="571" spans="1:36">
      <c r="B571" s="154"/>
      <c r="C571" s="123" t="s">
        <v>1597</v>
      </c>
      <c r="D571" s="128"/>
      <c r="E571" s="130"/>
      <c r="F571" s="130"/>
      <c r="G571" s="130"/>
      <c r="H571" s="115">
        <f t="shared" si="118"/>
        <v>0.40999999999999992</v>
      </c>
      <c r="I571" s="115">
        <f t="shared" si="119"/>
        <v>0.40999999999999992</v>
      </c>
      <c r="J571" s="115">
        <f t="shared" si="120"/>
        <v>0.40999999999999992</v>
      </c>
      <c r="K571" s="115">
        <f t="shared" si="121"/>
        <v>0.40999999999999992</v>
      </c>
      <c r="L571" s="115">
        <f t="shared" si="122"/>
        <v>0.40999999999999992</v>
      </c>
      <c r="M571" s="115">
        <f t="shared" si="123"/>
        <v>0.40999999999999992</v>
      </c>
      <c r="N571" s="115">
        <f t="shared" si="124"/>
        <v>0.40999999999999992</v>
      </c>
      <c r="O571" s="115">
        <f t="shared" si="125"/>
        <v>0.40999999999999992</v>
      </c>
      <c r="P571" s="115">
        <f t="shared" si="126"/>
        <v>0.40999999999999992</v>
      </c>
      <c r="Q571" s="131"/>
      <c r="R571" s="131"/>
      <c r="S571" s="131"/>
      <c r="T571" s="131">
        <f>0.35+0.06+0.5-0.5</f>
        <v>0.40999999999999992</v>
      </c>
      <c r="U571" s="131"/>
      <c r="V571" s="131"/>
      <c r="W571" s="131"/>
      <c r="X571" s="131"/>
      <c r="Y571" s="131"/>
      <c r="Z571" s="131"/>
      <c r="AA571" s="131"/>
      <c r="AB571" s="131"/>
      <c r="AC571" s="132"/>
      <c r="AE571" s="162"/>
      <c r="AF571" s="120"/>
      <c r="AG571" s="162"/>
      <c r="AH571" s="115"/>
      <c r="AJ571" s="120"/>
    </row>
    <row r="572" spans="1:36" ht="15.75" thickBot="1">
      <c r="B572" s="154"/>
      <c r="C572" s="141" t="s">
        <v>1114</v>
      </c>
      <c r="D572" s="128"/>
      <c r="E572" s="163"/>
      <c r="F572" s="163"/>
      <c r="G572" s="163"/>
      <c r="H572" s="163">
        <f>SUM(H302:H571)</f>
        <v>312433.88999999996</v>
      </c>
      <c r="I572" s="163">
        <f>SUM(I302:I571)</f>
        <v>312433.88999999996</v>
      </c>
      <c r="J572" s="163">
        <f>SUM(J302:J571)</f>
        <v>342433.89</v>
      </c>
      <c r="K572" s="163">
        <f>SUM(K302:K571)</f>
        <v>342433.89</v>
      </c>
      <c r="L572" s="163">
        <f>SUM(L302:L571)</f>
        <v>377433.88999999996</v>
      </c>
      <c r="M572" s="163"/>
      <c r="N572" s="163"/>
      <c r="O572" s="163"/>
      <c r="P572" s="163"/>
      <c r="Q572" s="164"/>
      <c r="R572" s="164"/>
      <c r="S572" s="164"/>
      <c r="T572" s="164">
        <f>SUM(T302:T571)</f>
        <v>312433.88999999996</v>
      </c>
      <c r="U572" s="164"/>
      <c r="V572" s="164"/>
      <c r="W572" s="164"/>
      <c r="X572" s="164"/>
      <c r="Y572" s="164"/>
      <c r="Z572" s="164"/>
      <c r="AA572" s="164"/>
      <c r="AB572" s="164"/>
      <c r="AC572" s="165"/>
      <c r="AD572" s="165" t="e">
        <f>+#REF!-[1]TB!G42</f>
        <v>#REF!</v>
      </c>
      <c r="AE572" s="162"/>
      <c r="AF572" s="120"/>
      <c r="AG572" s="162"/>
      <c r="AH572" s="115"/>
      <c r="AJ572" s="120"/>
    </row>
    <row r="573" spans="1:36" ht="15.75" thickTop="1">
      <c r="B573" s="154"/>
      <c r="C573" s="128"/>
      <c r="D573" s="128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  <c r="AA573" s="125"/>
      <c r="AB573" s="125"/>
      <c r="AC573" s="124"/>
      <c r="AD573" s="165"/>
      <c r="AE573" s="162"/>
      <c r="AF573" s="120"/>
      <c r="AG573" s="162"/>
      <c r="AH573" s="115" t="s">
        <v>1598</v>
      </c>
      <c r="AJ573" s="120"/>
    </row>
    <row r="574" spans="1:36" ht="15" hidden="1">
      <c r="A574" s="126" t="s">
        <v>1599</v>
      </c>
      <c r="B574" s="154"/>
      <c r="C574" s="128"/>
      <c r="D574" s="128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  <c r="AA574" s="125"/>
      <c r="AB574" s="125"/>
      <c r="AC574" s="124"/>
      <c r="AD574" s="165"/>
      <c r="AE574" s="162"/>
      <c r="AF574" s="120"/>
      <c r="AG574" s="162"/>
      <c r="AH574" s="115"/>
      <c r="AJ574" s="120"/>
    </row>
    <row r="575" spans="1:36" ht="15" hidden="1">
      <c r="B575" s="154"/>
      <c r="C575" s="128"/>
      <c r="D575" s="128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  <c r="AA575" s="125"/>
      <c r="AB575" s="125"/>
      <c r="AC575" s="124"/>
      <c r="AD575" s="165"/>
      <c r="AE575" s="162"/>
      <c r="AF575" s="120"/>
      <c r="AG575" s="162"/>
      <c r="AH575" s="115"/>
      <c r="AJ575" s="120"/>
    </row>
    <row r="576" spans="1:36" ht="15" hidden="1">
      <c r="B576" s="154"/>
      <c r="C576" s="128" t="s">
        <v>1600</v>
      </c>
      <c r="D576" s="128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  <c r="AA576" s="125"/>
      <c r="AB576" s="125"/>
      <c r="AC576" s="124"/>
      <c r="AD576" s="165"/>
      <c r="AE576" s="162"/>
      <c r="AF576" s="120"/>
      <c r="AG576" s="162"/>
      <c r="AH576" s="115"/>
      <c r="AJ576" s="120"/>
    </row>
    <row r="577" spans="2:36" ht="15" hidden="1">
      <c r="B577" s="154"/>
      <c r="C577" s="128"/>
      <c r="D577" s="166" t="s">
        <v>1601</v>
      </c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125"/>
      <c r="AB577" s="125"/>
      <c r="AC577" s="124"/>
      <c r="AD577" s="165"/>
      <c r="AE577" s="162"/>
      <c r="AF577" s="120"/>
      <c r="AG577" s="162"/>
      <c r="AH577" s="115"/>
      <c r="AJ577" s="120"/>
    </row>
    <row r="578" spans="2:36" ht="15" hidden="1">
      <c r="B578" s="154"/>
      <c r="C578" s="128" t="s">
        <v>1602</v>
      </c>
      <c r="D578" s="128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  <c r="AA578" s="125"/>
      <c r="AB578" s="125"/>
      <c r="AC578" s="124"/>
      <c r="AD578" s="165"/>
      <c r="AE578" s="162"/>
      <c r="AF578" s="120"/>
      <c r="AG578" s="162"/>
      <c r="AH578" s="115"/>
      <c r="AJ578" s="120"/>
    </row>
    <row r="579" spans="2:36" ht="15" hidden="1">
      <c r="B579" s="154"/>
      <c r="C579" s="128"/>
      <c r="D579" s="166" t="s">
        <v>1603</v>
      </c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  <c r="AA579" s="125"/>
      <c r="AB579" s="125"/>
      <c r="AC579" s="124"/>
      <c r="AD579" s="165"/>
      <c r="AE579" s="162"/>
      <c r="AF579" s="120"/>
      <c r="AG579" s="162"/>
      <c r="AH579" s="115"/>
      <c r="AJ579" s="120"/>
    </row>
    <row r="580" spans="2:36" ht="15" hidden="1">
      <c r="B580" s="154"/>
      <c r="C580" s="128" t="s">
        <v>1604</v>
      </c>
      <c r="D580" s="128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  <c r="AA580" s="125"/>
      <c r="AB580" s="125"/>
      <c r="AC580" s="124"/>
      <c r="AD580" s="165"/>
      <c r="AE580" s="162"/>
      <c r="AF580" s="120"/>
      <c r="AG580" s="162"/>
      <c r="AH580" s="115"/>
      <c r="AJ580" s="120"/>
    </row>
    <row r="581" spans="2:36" ht="15" hidden="1">
      <c r="B581" s="154"/>
      <c r="C581" s="128"/>
      <c r="D581" s="166" t="s">
        <v>1605</v>
      </c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  <c r="AA581" s="125"/>
      <c r="AB581" s="125"/>
      <c r="AC581" s="124"/>
      <c r="AD581" s="165"/>
      <c r="AE581" s="162"/>
      <c r="AF581" s="120"/>
      <c r="AG581" s="162"/>
      <c r="AH581" s="115"/>
      <c r="AJ581" s="120"/>
    </row>
    <row r="582" spans="2:36" ht="15" hidden="1">
      <c r="B582" s="154"/>
      <c r="C582" s="128" t="s">
        <v>1606</v>
      </c>
      <c r="D582" s="128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  <c r="AA582" s="125"/>
      <c r="AB582" s="125"/>
      <c r="AC582" s="124"/>
      <c r="AD582" s="165"/>
      <c r="AE582" s="162"/>
      <c r="AF582" s="120"/>
      <c r="AG582" s="162"/>
      <c r="AH582" s="115"/>
      <c r="AJ582" s="120"/>
    </row>
    <row r="583" spans="2:36" ht="15" hidden="1">
      <c r="B583" s="154"/>
      <c r="C583" s="128"/>
      <c r="D583" s="166" t="s">
        <v>1607</v>
      </c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  <c r="AA583" s="125"/>
      <c r="AB583" s="125"/>
      <c r="AC583" s="124"/>
      <c r="AD583" s="165"/>
      <c r="AE583" s="162"/>
      <c r="AF583" s="120"/>
      <c r="AG583" s="162"/>
      <c r="AH583" s="115"/>
      <c r="AJ583" s="120"/>
    </row>
    <row r="584" spans="2:36" ht="15" hidden="1">
      <c r="B584" s="154"/>
      <c r="C584" s="128" t="s">
        <v>1608</v>
      </c>
      <c r="D584" s="128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  <c r="AA584" s="125"/>
      <c r="AB584" s="125"/>
      <c r="AC584" s="124"/>
      <c r="AD584" s="165"/>
      <c r="AE584" s="162"/>
      <c r="AF584" s="120"/>
      <c r="AG584" s="162"/>
      <c r="AH584" s="115"/>
      <c r="AJ584" s="120"/>
    </row>
    <row r="585" spans="2:36" ht="15" hidden="1">
      <c r="B585" s="154"/>
      <c r="C585" s="128"/>
      <c r="D585" s="166" t="s">
        <v>1609</v>
      </c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  <c r="AA585" s="125"/>
      <c r="AB585" s="125"/>
      <c r="AC585" s="124"/>
      <c r="AD585" s="165"/>
      <c r="AE585" s="162"/>
      <c r="AF585" s="120"/>
      <c r="AG585" s="162"/>
      <c r="AH585" s="115"/>
      <c r="AJ585" s="120"/>
    </row>
    <row r="586" spans="2:36" ht="15" hidden="1">
      <c r="B586" s="154"/>
      <c r="C586" s="128" t="s">
        <v>1610</v>
      </c>
      <c r="D586" s="128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  <c r="AA586" s="125"/>
      <c r="AB586" s="125"/>
      <c r="AC586" s="124"/>
      <c r="AD586" s="165"/>
      <c r="AE586" s="162"/>
      <c r="AF586" s="120"/>
      <c r="AG586" s="162"/>
      <c r="AH586" s="115"/>
      <c r="AJ586" s="120"/>
    </row>
    <row r="587" spans="2:36" ht="15" hidden="1">
      <c r="B587" s="154"/>
      <c r="C587" s="128"/>
      <c r="D587" s="166" t="s">
        <v>1611</v>
      </c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  <c r="AA587" s="125"/>
      <c r="AB587" s="125"/>
      <c r="AC587" s="124"/>
      <c r="AD587" s="165"/>
      <c r="AE587" s="162"/>
      <c r="AF587" s="120"/>
      <c r="AG587" s="162"/>
      <c r="AH587" s="115"/>
      <c r="AJ587" s="120"/>
    </row>
    <row r="588" spans="2:36" ht="15" hidden="1">
      <c r="B588" s="154"/>
      <c r="C588" s="128" t="s">
        <v>1612</v>
      </c>
      <c r="D588" s="128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  <c r="AA588" s="125"/>
      <c r="AB588" s="125"/>
      <c r="AC588" s="124"/>
      <c r="AD588" s="165"/>
      <c r="AE588" s="162"/>
      <c r="AF588" s="120"/>
      <c r="AG588" s="162"/>
      <c r="AH588" s="115"/>
      <c r="AJ588" s="120"/>
    </row>
    <row r="589" spans="2:36" ht="15" hidden="1">
      <c r="B589" s="154"/>
      <c r="C589" s="128"/>
      <c r="D589" s="166" t="s">
        <v>1613</v>
      </c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  <c r="AA589" s="125"/>
      <c r="AB589" s="125"/>
      <c r="AC589" s="124"/>
      <c r="AD589" s="165"/>
      <c r="AE589" s="162"/>
      <c r="AF589" s="120"/>
      <c r="AG589" s="162"/>
      <c r="AH589" s="115"/>
      <c r="AJ589" s="120"/>
    </row>
    <row r="590" spans="2:36" ht="15" hidden="1">
      <c r="B590" s="154"/>
      <c r="C590" s="128" t="s">
        <v>1614</v>
      </c>
      <c r="D590" s="128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  <c r="AA590" s="125"/>
      <c r="AB590" s="125"/>
      <c r="AC590" s="124"/>
      <c r="AD590" s="165"/>
      <c r="AE590" s="162"/>
      <c r="AF590" s="120"/>
      <c r="AG590" s="162"/>
      <c r="AH590" s="115"/>
      <c r="AJ590" s="120"/>
    </row>
    <row r="591" spans="2:36" ht="15" hidden="1">
      <c r="B591" s="154"/>
      <c r="C591" s="128"/>
      <c r="D591" s="166" t="s">
        <v>1615</v>
      </c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  <c r="AA591" s="125"/>
      <c r="AB591" s="125"/>
      <c r="AC591" s="124"/>
      <c r="AD591" s="165"/>
      <c r="AE591" s="162"/>
      <c r="AF591" s="120"/>
      <c r="AG591" s="162"/>
      <c r="AH591" s="115"/>
      <c r="AJ591" s="120"/>
    </row>
    <row r="592" spans="2:36" ht="15" hidden="1">
      <c r="B592" s="154"/>
      <c r="C592" s="128" t="s">
        <v>1616</v>
      </c>
      <c r="D592" s="166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125"/>
      <c r="AB592" s="125"/>
      <c r="AC592" s="124"/>
      <c r="AD592" s="165"/>
      <c r="AE592" s="162"/>
      <c r="AF592" s="120"/>
      <c r="AG592" s="162"/>
      <c r="AH592" s="115"/>
      <c r="AJ592" s="120"/>
    </row>
    <row r="593" spans="2:36" ht="15" hidden="1">
      <c r="B593" s="154"/>
      <c r="C593" s="128"/>
      <c r="D593" s="166" t="s">
        <v>1617</v>
      </c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  <c r="AA593" s="125"/>
      <c r="AB593" s="125"/>
      <c r="AC593" s="124"/>
      <c r="AD593" s="165"/>
      <c r="AE593" s="162"/>
      <c r="AF593" s="120"/>
      <c r="AG593" s="162"/>
      <c r="AH593" s="115"/>
      <c r="AJ593" s="120"/>
    </row>
    <row r="594" spans="2:36" ht="15" hidden="1">
      <c r="B594" s="154"/>
      <c r="C594" s="128" t="s">
        <v>1618</v>
      </c>
      <c r="D594" s="166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  <c r="AA594" s="125"/>
      <c r="AB594" s="125"/>
      <c r="AC594" s="124"/>
      <c r="AD594" s="165"/>
      <c r="AE594" s="162"/>
      <c r="AF594" s="120"/>
      <c r="AG594" s="162"/>
      <c r="AH594" s="115"/>
      <c r="AJ594" s="120"/>
    </row>
    <row r="595" spans="2:36" ht="15" hidden="1">
      <c r="B595" s="154"/>
      <c r="C595" s="128"/>
      <c r="D595" s="166" t="s">
        <v>1619</v>
      </c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  <c r="AA595" s="125"/>
      <c r="AB595" s="125"/>
      <c r="AC595" s="124"/>
      <c r="AD595" s="165"/>
      <c r="AE595" s="162"/>
      <c r="AF595" s="120"/>
      <c r="AG595" s="162"/>
      <c r="AH595" s="115"/>
      <c r="AJ595" s="120"/>
    </row>
    <row r="596" spans="2:36" ht="15" hidden="1">
      <c r="B596" s="154"/>
      <c r="C596" s="128" t="s">
        <v>1620</v>
      </c>
      <c r="D596" s="166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  <c r="AA596" s="125"/>
      <c r="AB596" s="125"/>
      <c r="AC596" s="124"/>
      <c r="AD596" s="165"/>
      <c r="AE596" s="162"/>
      <c r="AF596" s="120"/>
      <c r="AG596" s="162"/>
      <c r="AH596" s="115"/>
      <c r="AJ596" s="120"/>
    </row>
    <row r="597" spans="2:36" ht="15" hidden="1">
      <c r="B597" s="154"/>
      <c r="C597" s="128"/>
      <c r="D597" s="166" t="s">
        <v>1621</v>
      </c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125"/>
      <c r="AB597" s="125"/>
      <c r="AC597" s="124"/>
      <c r="AD597" s="165"/>
      <c r="AE597" s="162"/>
      <c r="AF597" s="120"/>
      <c r="AG597" s="162"/>
      <c r="AH597" s="115"/>
      <c r="AJ597" s="120"/>
    </row>
    <row r="598" spans="2:36" ht="15" hidden="1">
      <c r="B598" s="154"/>
      <c r="C598" s="128" t="s">
        <v>1622</v>
      </c>
      <c r="D598" s="166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  <c r="AA598" s="125"/>
      <c r="AB598" s="125"/>
      <c r="AC598" s="124"/>
      <c r="AD598" s="165"/>
      <c r="AE598" s="162"/>
      <c r="AF598" s="120"/>
      <c r="AG598" s="162"/>
      <c r="AH598" s="115"/>
      <c r="AJ598" s="120"/>
    </row>
    <row r="599" spans="2:36" ht="15" hidden="1">
      <c r="B599" s="154"/>
      <c r="C599" s="128"/>
      <c r="D599" s="166" t="s">
        <v>1623</v>
      </c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  <c r="AA599" s="125"/>
      <c r="AB599" s="125"/>
      <c r="AC599" s="124"/>
      <c r="AD599" s="165"/>
      <c r="AE599" s="162"/>
      <c r="AF599" s="120"/>
      <c r="AG599" s="162"/>
      <c r="AH599" s="115"/>
      <c r="AJ599" s="120"/>
    </row>
    <row r="600" spans="2:36" ht="15" hidden="1">
      <c r="B600" s="154"/>
      <c r="C600" s="128" t="s">
        <v>1624</v>
      </c>
      <c r="D600" s="166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  <c r="AA600" s="125"/>
      <c r="AB600" s="125"/>
      <c r="AC600" s="124"/>
      <c r="AD600" s="165"/>
      <c r="AE600" s="162"/>
      <c r="AF600" s="120"/>
      <c r="AG600" s="162"/>
      <c r="AH600" s="115"/>
      <c r="AJ600" s="120"/>
    </row>
    <row r="601" spans="2:36" ht="15" hidden="1">
      <c r="B601" s="154"/>
      <c r="C601" s="128"/>
      <c r="D601" s="166" t="s">
        <v>1625</v>
      </c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125"/>
      <c r="AB601" s="125"/>
      <c r="AC601" s="124"/>
      <c r="AD601" s="165"/>
      <c r="AE601" s="162"/>
      <c r="AF601" s="120"/>
      <c r="AG601" s="162"/>
      <c r="AH601" s="115"/>
      <c r="AJ601" s="120"/>
    </row>
    <row r="602" spans="2:36" ht="15" hidden="1">
      <c r="B602" s="154"/>
      <c r="C602" s="128" t="s">
        <v>1626</v>
      </c>
      <c r="D602" s="166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  <c r="AA602" s="125"/>
      <c r="AB602" s="125"/>
      <c r="AC602" s="124"/>
      <c r="AD602" s="165"/>
      <c r="AE602" s="162"/>
      <c r="AF602" s="120"/>
      <c r="AG602" s="162"/>
      <c r="AH602" s="115"/>
      <c r="AJ602" s="120"/>
    </row>
    <row r="603" spans="2:36" ht="15" hidden="1">
      <c r="B603" s="154"/>
      <c r="C603" s="128"/>
      <c r="D603" s="166" t="s">
        <v>1627</v>
      </c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  <c r="AA603" s="125"/>
      <c r="AB603" s="125"/>
      <c r="AC603" s="124"/>
      <c r="AD603" s="165"/>
      <c r="AE603" s="162"/>
      <c r="AF603" s="120"/>
      <c r="AG603" s="162"/>
      <c r="AH603" s="115"/>
      <c r="AJ603" s="120"/>
    </row>
    <row r="604" spans="2:36" ht="15" hidden="1">
      <c r="B604" s="154"/>
      <c r="C604" s="128" t="s">
        <v>1628</v>
      </c>
      <c r="D604" s="166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  <c r="AA604" s="125"/>
      <c r="AB604" s="125"/>
      <c r="AC604" s="124"/>
      <c r="AD604" s="165"/>
      <c r="AE604" s="162"/>
      <c r="AF604" s="120"/>
      <c r="AG604" s="162"/>
      <c r="AH604" s="115"/>
      <c r="AJ604" s="120"/>
    </row>
    <row r="605" spans="2:36" ht="15" hidden="1">
      <c r="B605" s="154"/>
      <c r="C605" s="128"/>
      <c r="D605" s="166" t="s">
        <v>1629</v>
      </c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25"/>
      <c r="AB605" s="125"/>
      <c r="AC605" s="124"/>
      <c r="AD605" s="165"/>
      <c r="AE605" s="162"/>
      <c r="AF605" s="120"/>
      <c r="AG605" s="162"/>
      <c r="AH605" s="115"/>
      <c r="AJ605" s="120"/>
    </row>
    <row r="606" spans="2:36" ht="15" hidden="1">
      <c r="B606" s="154"/>
      <c r="C606" s="128" t="s">
        <v>1630</v>
      </c>
      <c r="D606" s="166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125"/>
      <c r="AB606" s="125"/>
      <c r="AC606" s="124"/>
      <c r="AD606" s="165"/>
      <c r="AE606" s="162"/>
      <c r="AF606" s="120"/>
      <c r="AG606" s="162"/>
      <c r="AH606" s="115"/>
      <c r="AJ606" s="120"/>
    </row>
    <row r="607" spans="2:36" ht="15" hidden="1">
      <c r="B607" s="154"/>
      <c r="C607" s="128"/>
      <c r="D607" s="166" t="s">
        <v>1631</v>
      </c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  <c r="AA607" s="125"/>
      <c r="AB607" s="125"/>
      <c r="AC607" s="124"/>
      <c r="AD607" s="165"/>
      <c r="AE607" s="162"/>
      <c r="AF607" s="120"/>
      <c r="AG607" s="162"/>
      <c r="AH607" s="115"/>
      <c r="AJ607" s="120"/>
    </row>
    <row r="608" spans="2:36" ht="15" hidden="1">
      <c r="B608" s="154"/>
      <c r="C608" s="128" t="s">
        <v>1632</v>
      </c>
      <c r="D608" s="166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  <c r="AA608" s="125"/>
      <c r="AB608" s="125"/>
      <c r="AC608" s="124"/>
      <c r="AD608" s="165"/>
      <c r="AE608" s="162"/>
      <c r="AF608" s="120"/>
      <c r="AG608" s="162"/>
      <c r="AH608" s="115"/>
      <c r="AJ608" s="120"/>
    </row>
    <row r="609" spans="2:36" ht="15" hidden="1">
      <c r="B609" s="154"/>
      <c r="C609" s="128"/>
      <c r="D609" s="166" t="s">
        <v>1633</v>
      </c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  <c r="AA609" s="125"/>
      <c r="AB609" s="125"/>
      <c r="AC609" s="124"/>
      <c r="AD609" s="165"/>
      <c r="AE609" s="162"/>
      <c r="AF609" s="120"/>
      <c r="AG609" s="162"/>
      <c r="AH609" s="115"/>
      <c r="AJ609" s="120"/>
    </row>
    <row r="610" spans="2:36" ht="15" hidden="1">
      <c r="B610" s="154"/>
      <c r="C610" s="128" t="s">
        <v>1634</v>
      </c>
      <c r="D610" s="166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  <c r="AA610" s="125"/>
      <c r="AB610" s="125"/>
      <c r="AC610" s="124"/>
      <c r="AD610" s="165"/>
      <c r="AE610" s="162"/>
      <c r="AF610" s="120"/>
      <c r="AG610" s="162"/>
      <c r="AH610" s="115"/>
      <c r="AJ610" s="120"/>
    </row>
    <row r="611" spans="2:36" ht="15" hidden="1">
      <c r="B611" s="154"/>
      <c r="C611" s="128"/>
      <c r="D611" s="166" t="s">
        <v>1635</v>
      </c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  <c r="AA611" s="125"/>
      <c r="AB611" s="125"/>
      <c r="AC611" s="124"/>
      <c r="AD611" s="165"/>
      <c r="AE611" s="162"/>
      <c r="AF611" s="120"/>
      <c r="AG611" s="162"/>
      <c r="AH611" s="115"/>
      <c r="AJ611" s="120"/>
    </row>
    <row r="612" spans="2:36" ht="15" hidden="1">
      <c r="B612" s="154"/>
      <c r="C612" s="128" t="s">
        <v>1636</v>
      </c>
      <c r="D612" s="166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125"/>
      <c r="AB612" s="125"/>
      <c r="AC612" s="124"/>
      <c r="AD612" s="165"/>
      <c r="AE612" s="162"/>
      <c r="AF612" s="120"/>
      <c r="AG612" s="162"/>
      <c r="AH612" s="115"/>
      <c r="AJ612" s="120"/>
    </row>
    <row r="613" spans="2:36" ht="15" hidden="1">
      <c r="B613" s="154"/>
      <c r="C613" s="128"/>
      <c r="D613" s="166" t="s">
        <v>1637</v>
      </c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  <c r="AA613" s="125"/>
      <c r="AB613" s="125"/>
      <c r="AC613" s="124"/>
      <c r="AD613" s="165"/>
      <c r="AE613" s="162"/>
      <c r="AF613" s="120"/>
      <c r="AG613" s="162"/>
      <c r="AH613" s="115"/>
      <c r="AJ613" s="120"/>
    </row>
    <row r="614" spans="2:36" ht="15" hidden="1">
      <c r="B614" s="154"/>
      <c r="C614" s="128" t="s">
        <v>1638</v>
      </c>
      <c r="D614" s="166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25"/>
      <c r="AB614" s="125"/>
      <c r="AC614" s="124"/>
      <c r="AD614" s="165"/>
      <c r="AE614" s="162"/>
      <c r="AF614" s="120"/>
      <c r="AG614" s="162"/>
      <c r="AH614" s="115"/>
      <c r="AJ614" s="120"/>
    </row>
    <row r="615" spans="2:36" ht="15" hidden="1">
      <c r="B615" s="154"/>
      <c r="C615" s="128"/>
      <c r="D615" s="166" t="s">
        <v>1639</v>
      </c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125"/>
      <c r="AB615" s="125"/>
      <c r="AC615" s="124"/>
      <c r="AD615" s="165"/>
      <c r="AE615" s="162"/>
      <c r="AF615" s="120"/>
      <c r="AG615" s="162"/>
      <c r="AH615" s="115"/>
      <c r="AJ615" s="120"/>
    </row>
    <row r="616" spans="2:36" ht="15" hidden="1">
      <c r="B616" s="154"/>
      <c r="C616" s="128" t="s">
        <v>1640</v>
      </c>
      <c r="D616" s="166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25"/>
      <c r="AB616" s="125"/>
      <c r="AC616" s="124"/>
      <c r="AD616" s="165"/>
      <c r="AE616" s="162"/>
      <c r="AF616" s="120"/>
      <c r="AG616" s="162"/>
      <c r="AH616" s="115"/>
      <c r="AJ616" s="120"/>
    </row>
    <row r="617" spans="2:36" ht="15" hidden="1">
      <c r="B617" s="154"/>
      <c r="C617" s="128"/>
      <c r="D617" s="166" t="s">
        <v>1641</v>
      </c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  <c r="AB617" s="125"/>
      <c r="AC617" s="124"/>
      <c r="AD617" s="165"/>
      <c r="AE617" s="162"/>
      <c r="AF617" s="120"/>
      <c r="AG617" s="162"/>
      <c r="AH617" s="115"/>
      <c r="AJ617" s="120"/>
    </row>
    <row r="618" spans="2:36" ht="15" hidden="1">
      <c r="B618" s="154"/>
      <c r="C618" s="128" t="s">
        <v>1642</v>
      </c>
      <c r="D618" s="166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A618" s="125"/>
      <c r="AB618" s="125"/>
      <c r="AC618" s="124"/>
      <c r="AD618" s="165"/>
      <c r="AE618" s="162"/>
      <c r="AF618" s="120"/>
      <c r="AG618" s="162"/>
      <c r="AH618" s="115"/>
      <c r="AJ618" s="120"/>
    </row>
    <row r="619" spans="2:36" ht="15" hidden="1">
      <c r="B619" s="154"/>
      <c r="C619" s="128"/>
      <c r="D619" s="166" t="s">
        <v>1643</v>
      </c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A619" s="125"/>
      <c r="AB619" s="125"/>
      <c r="AC619" s="124"/>
      <c r="AD619" s="165"/>
      <c r="AE619" s="162"/>
      <c r="AF619" s="120"/>
      <c r="AG619" s="162"/>
      <c r="AH619" s="115"/>
      <c r="AJ619" s="120"/>
    </row>
    <row r="620" spans="2:36" ht="15" hidden="1">
      <c r="B620" s="154"/>
      <c r="C620" s="128" t="s">
        <v>1644</v>
      </c>
      <c r="D620" s="166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  <c r="AB620" s="125"/>
      <c r="AC620" s="124"/>
      <c r="AD620" s="165"/>
      <c r="AE620" s="162"/>
      <c r="AF620" s="120"/>
      <c r="AG620" s="162"/>
      <c r="AH620" s="115"/>
      <c r="AJ620" s="120"/>
    </row>
    <row r="621" spans="2:36" ht="15" hidden="1">
      <c r="B621" s="154"/>
      <c r="C621" s="128"/>
      <c r="D621" s="166" t="s">
        <v>1645</v>
      </c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  <c r="AB621" s="125"/>
      <c r="AC621" s="124"/>
      <c r="AD621" s="165"/>
      <c r="AE621" s="162"/>
      <c r="AF621" s="120"/>
      <c r="AG621" s="162"/>
      <c r="AH621" s="115"/>
      <c r="AJ621" s="120"/>
    </row>
    <row r="622" spans="2:36" ht="15" hidden="1">
      <c r="B622" s="154"/>
      <c r="C622" s="128" t="s">
        <v>1646</v>
      </c>
      <c r="D622" s="166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A622" s="125"/>
      <c r="AB622" s="125"/>
      <c r="AC622" s="124"/>
      <c r="AD622" s="165"/>
      <c r="AE622" s="162"/>
      <c r="AF622" s="120"/>
      <c r="AG622" s="162"/>
      <c r="AH622" s="115"/>
      <c r="AJ622" s="120"/>
    </row>
    <row r="623" spans="2:36" ht="15" hidden="1">
      <c r="B623" s="154"/>
      <c r="C623" s="128"/>
      <c r="D623" s="166" t="s">
        <v>1647</v>
      </c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A623" s="125"/>
      <c r="AB623" s="125"/>
      <c r="AC623" s="124"/>
      <c r="AD623" s="165"/>
      <c r="AE623" s="162"/>
      <c r="AF623" s="120"/>
      <c r="AG623" s="162"/>
      <c r="AH623" s="115"/>
      <c r="AJ623" s="120"/>
    </row>
    <row r="624" spans="2:36" ht="15" hidden="1">
      <c r="B624" s="154"/>
      <c r="C624" s="128" t="s">
        <v>1648</v>
      </c>
      <c r="D624" s="166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A624" s="125"/>
      <c r="AB624" s="125"/>
      <c r="AC624" s="124"/>
      <c r="AD624" s="165"/>
      <c r="AE624" s="162"/>
      <c r="AF624" s="120"/>
      <c r="AG624" s="162"/>
      <c r="AH624" s="115"/>
      <c r="AJ624" s="120"/>
    </row>
    <row r="625" spans="2:36" ht="15" hidden="1">
      <c r="B625" s="154"/>
      <c r="C625" s="128"/>
      <c r="D625" s="166" t="s">
        <v>1649</v>
      </c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  <c r="AB625" s="125"/>
      <c r="AC625" s="124"/>
      <c r="AD625" s="165"/>
      <c r="AE625" s="162"/>
      <c r="AF625" s="120"/>
      <c r="AG625" s="162"/>
      <c r="AH625" s="115"/>
      <c r="AJ625" s="120"/>
    </row>
    <row r="626" spans="2:36" ht="15" hidden="1">
      <c r="B626" s="154"/>
      <c r="C626" s="128" t="s">
        <v>1650</v>
      </c>
      <c r="D626" s="166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A626" s="125"/>
      <c r="AB626" s="125"/>
      <c r="AC626" s="124"/>
      <c r="AD626" s="165"/>
      <c r="AE626" s="162"/>
      <c r="AF626" s="120"/>
      <c r="AG626" s="162"/>
      <c r="AH626" s="115"/>
      <c r="AJ626" s="120"/>
    </row>
    <row r="627" spans="2:36" ht="15" hidden="1">
      <c r="B627" s="154"/>
      <c r="C627" s="128"/>
      <c r="D627" s="166" t="s">
        <v>1651</v>
      </c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A627" s="125"/>
      <c r="AB627" s="125"/>
      <c r="AC627" s="124"/>
      <c r="AD627" s="165"/>
      <c r="AE627" s="162"/>
      <c r="AF627" s="120"/>
      <c r="AG627" s="162"/>
      <c r="AH627" s="115"/>
      <c r="AJ627" s="120"/>
    </row>
    <row r="628" spans="2:36" ht="15" hidden="1">
      <c r="B628" s="154"/>
      <c r="C628" s="128" t="s">
        <v>1652</v>
      </c>
      <c r="D628" s="166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A628" s="125"/>
      <c r="AB628" s="125"/>
      <c r="AC628" s="124"/>
      <c r="AD628" s="165"/>
      <c r="AE628" s="162"/>
      <c r="AF628" s="120"/>
      <c r="AG628" s="162"/>
      <c r="AH628" s="115"/>
      <c r="AJ628" s="120"/>
    </row>
    <row r="629" spans="2:36" ht="15" hidden="1">
      <c r="B629" s="154"/>
      <c r="C629" s="128"/>
      <c r="D629" s="166" t="s">
        <v>1653</v>
      </c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A629" s="125"/>
      <c r="AB629" s="125"/>
      <c r="AC629" s="124"/>
      <c r="AD629" s="165"/>
      <c r="AE629" s="162"/>
      <c r="AF629" s="120"/>
      <c r="AG629" s="162"/>
      <c r="AH629" s="115"/>
      <c r="AJ629" s="120"/>
    </row>
    <row r="630" spans="2:36" ht="15" hidden="1">
      <c r="B630" s="154"/>
      <c r="C630" s="128" t="s">
        <v>1654</v>
      </c>
      <c r="D630" s="166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  <c r="AB630" s="125"/>
      <c r="AC630" s="124"/>
      <c r="AD630" s="165"/>
      <c r="AE630" s="162"/>
      <c r="AF630" s="120"/>
      <c r="AG630" s="162"/>
      <c r="AH630" s="115"/>
      <c r="AJ630" s="120"/>
    </row>
    <row r="631" spans="2:36" ht="15" hidden="1">
      <c r="B631" s="154"/>
      <c r="C631" s="128"/>
      <c r="D631" s="166" t="s">
        <v>1655</v>
      </c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  <c r="AB631" s="125"/>
      <c r="AC631" s="124"/>
      <c r="AD631" s="165"/>
      <c r="AE631" s="162"/>
      <c r="AF631" s="120"/>
      <c r="AG631" s="162"/>
      <c r="AH631" s="115"/>
      <c r="AJ631" s="120"/>
    </row>
    <row r="632" spans="2:36" ht="15" hidden="1">
      <c r="B632" s="154"/>
      <c r="C632" s="128" t="s">
        <v>1656</v>
      </c>
      <c r="D632" s="166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  <c r="AB632" s="125"/>
      <c r="AC632" s="124"/>
      <c r="AD632" s="165"/>
      <c r="AE632" s="162"/>
      <c r="AF632" s="120"/>
      <c r="AG632" s="162"/>
      <c r="AH632" s="115"/>
      <c r="AJ632" s="120"/>
    </row>
    <row r="633" spans="2:36" ht="15" hidden="1">
      <c r="B633" s="154"/>
      <c r="C633" s="128"/>
      <c r="D633" s="166" t="s">
        <v>1657</v>
      </c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A633" s="125"/>
      <c r="AB633" s="125"/>
      <c r="AC633" s="124"/>
      <c r="AD633" s="165"/>
      <c r="AE633" s="162"/>
      <c r="AF633" s="120"/>
      <c r="AG633" s="162"/>
      <c r="AH633" s="115"/>
      <c r="AJ633" s="120"/>
    </row>
    <row r="634" spans="2:36" ht="15" hidden="1">
      <c r="B634" s="154"/>
      <c r="C634" s="128" t="s">
        <v>1658</v>
      </c>
      <c r="D634" s="166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A634" s="125"/>
      <c r="AB634" s="125"/>
      <c r="AC634" s="124"/>
      <c r="AD634" s="165"/>
      <c r="AE634" s="162"/>
      <c r="AF634" s="120"/>
      <c r="AG634" s="162"/>
      <c r="AH634" s="115"/>
      <c r="AJ634" s="120"/>
    </row>
    <row r="635" spans="2:36" ht="15" hidden="1">
      <c r="B635" s="154"/>
      <c r="C635" s="128"/>
      <c r="D635" s="166" t="s">
        <v>1659</v>
      </c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A635" s="125"/>
      <c r="AB635" s="125"/>
      <c r="AC635" s="124"/>
      <c r="AD635" s="165"/>
      <c r="AE635" s="162"/>
      <c r="AF635" s="120"/>
      <c r="AG635" s="162"/>
      <c r="AH635" s="115"/>
      <c r="AJ635" s="120"/>
    </row>
    <row r="636" spans="2:36" ht="15" hidden="1">
      <c r="B636" s="154"/>
      <c r="C636" s="128" t="s">
        <v>1660</v>
      </c>
      <c r="D636" s="166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A636" s="125"/>
      <c r="AB636" s="125"/>
      <c r="AC636" s="124"/>
      <c r="AD636" s="165"/>
      <c r="AE636" s="162"/>
      <c r="AF636" s="120"/>
      <c r="AG636" s="162"/>
      <c r="AH636" s="115"/>
      <c r="AJ636" s="120"/>
    </row>
    <row r="637" spans="2:36" ht="15" hidden="1">
      <c r="B637" s="154"/>
      <c r="C637" s="128"/>
      <c r="D637" s="166" t="s">
        <v>1661</v>
      </c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A637" s="125"/>
      <c r="AB637" s="125"/>
      <c r="AC637" s="124"/>
      <c r="AD637" s="165"/>
      <c r="AE637" s="162"/>
      <c r="AF637" s="120"/>
      <c r="AG637" s="162"/>
      <c r="AH637" s="115"/>
      <c r="AJ637" s="120"/>
    </row>
    <row r="638" spans="2:36" ht="15" hidden="1">
      <c r="B638" s="154"/>
      <c r="C638" s="128" t="s">
        <v>1662</v>
      </c>
      <c r="D638" s="166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  <c r="AB638" s="125"/>
      <c r="AC638" s="124"/>
      <c r="AD638" s="165"/>
      <c r="AE638" s="162"/>
      <c r="AF638" s="120"/>
      <c r="AG638" s="162"/>
      <c r="AH638" s="115"/>
      <c r="AJ638" s="120"/>
    </row>
    <row r="639" spans="2:36" ht="15" hidden="1">
      <c r="B639" s="154"/>
      <c r="C639" s="128"/>
      <c r="D639" s="166" t="s">
        <v>1663</v>
      </c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  <c r="AB639" s="125"/>
      <c r="AC639" s="124"/>
      <c r="AD639" s="165"/>
      <c r="AE639" s="162"/>
      <c r="AF639" s="120"/>
      <c r="AG639" s="162"/>
      <c r="AH639" s="115"/>
      <c r="AJ639" s="120"/>
    </row>
    <row r="640" spans="2:36" ht="15" hidden="1">
      <c r="B640" s="154"/>
      <c r="C640" s="128" t="s">
        <v>1664</v>
      </c>
      <c r="D640" s="166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  <c r="AB640" s="125"/>
      <c r="AC640" s="124"/>
      <c r="AD640" s="165"/>
      <c r="AE640" s="162"/>
      <c r="AF640" s="120"/>
      <c r="AG640" s="162"/>
      <c r="AH640" s="115"/>
      <c r="AJ640" s="120"/>
    </row>
    <row r="641" spans="2:36" ht="15" hidden="1">
      <c r="B641" s="154"/>
      <c r="C641" s="128"/>
      <c r="D641" s="166" t="s">
        <v>1665</v>
      </c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  <c r="AB641" s="125"/>
      <c r="AC641" s="124"/>
      <c r="AD641" s="165"/>
      <c r="AE641" s="162"/>
      <c r="AF641" s="120"/>
      <c r="AG641" s="162"/>
      <c r="AH641" s="115"/>
      <c r="AJ641" s="120"/>
    </row>
    <row r="642" spans="2:36" ht="15" hidden="1">
      <c r="B642" s="154"/>
      <c r="C642" s="128" t="s">
        <v>1666</v>
      </c>
      <c r="D642" s="166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  <c r="AB642" s="125"/>
      <c r="AC642" s="124"/>
      <c r="AD642" s="165"/>
      <c r="AE642" s="162"/>
      <c r="AF642" s="120"/>
      <c r="AG642" s="162"/>
      <c r="AH642" s="115"/>
      <c r="AJ642" s="120"/>
    </row>
    <row r="643" spans="2:36" ht="15" hidden="1">
      <c r="B643" s="154"/>
      <c r="C643" s="128"/>
      <c r="D643" s="166" t="s">
        <v>1667</v>
      </c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  <c r="AB643" s="125"/>
      <c r="AC643" s="124"/>
      <c r="AD643" s="165"/>
      <c r="AE643" s="162"/>
      <c r="AF643" s="120"/>
      <c r="AG643" s="162"/>
      <c r="AH643" s="115"/>
      <c r="AJ643" s="120"/>
    </row>
    <row r="644" spans="2:36" ht="15" hidden="1">
      <c r="B644" s="154"/>
      <c r="C644" s="128" t="s">
        <v>1668</v>
      </c>
      <c r="D644" s="166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  <c r="AB644" s="125"/>
      <c r="AC644" s="124"/>
      <c r="AD644" s="165"/>
      <c r="AE644" s="162"/>
      <c r="AF644" s="120"/>
      <c r="AG644" s="162"/>
      <c r="AH644" s="115"/>
      <c r="AJ644" s="120"/>
    </row>
    <row r="645" spans="2:36" ht="15" hidden="1">
      <c r="B645" s="154"/>
      <c r="C645" s="128"/>
      <c r="D645" s="166" t="s">
        <v>1669</v>
      </c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  <c r="AB645" s="125"/>
      <c r="AC645" s="124"/>
      <c r="AD645" s="165"/>
      <c r="AE645" s="162"/>
      <c r="AF645" s="120"/>
      <c r="AG645" s="162"/>
      <c r="AH645" s="115"/>
      <c r="AJ645" s="120"/>
    </row>
    <row r="646" spans="2:36" ht="15" hidden="1">
      <c r="B646" s="154"/>
      <c r="C646" s="128" t="s">
        <v>1670</v>
      </c>
      <c r="D646" s="166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  <c r="AB646" s="125"/>
      <c r="AC646" s="124"/>
      <c r="AD646" s="165"/>
      <c r="AE646" s="162"/>
      <c r="AF646" s="120"/>
      <c r="AG646" s="162"/>
      <c r="AH646" s="115"/>
      <c r="AJ646" s="120"/>
    </row>
    <row r="647" spans="2:36" ht="15" hidden="1">
      <c r="B647" s="154"/>
      <c r="C647" s="128"/>
      <c r="D647" s="166" t="s">
        <v>1671</v>
      </c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  <c r="AB647" s="125"/>
      <c r="AC647" s="124"/>
      <c r="AD647" s="165"/>
      <c r="AE647" s="162"/>
      <c r="AF647" s="120"/>
      <c r="AG647" s="162"/>
      <c r="AH647" s="115"/>
      <c r="AJ647" s="120"/>
    </row>
    <row r="648" spans="2:36" ht="15" hidden="1">
      <c r="B648" s="154"/>
      <c r="C648" s="128" t="s">
        <v>1672</v>
      </c>
      <c r="D648" s="166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  <c r="AB648" s="125"/>
      <c r="AC648" s="124"/>
      <c r="AD648" s="165"/>
      <c r="AE648" s="162"/>
      <c r="AF648" s="120"/>
      <c r="AG648" s="162"/>
      <c r="AH648" s="115"/>
      <c r="AJ648" s="120"/>
    </row>
    <row r="649" spans="2:36" ht="15" hidden="1">
      <c r="B649" s="154"/>
      <c r="C649" s="128"/>
      <c r="D649" s="166" t="s">
        <v>1673</v>
      </c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  <c r="AB649" s="125"/>
      <c r="AC649" s="124"/>
      <c r="AD649" s="165"/>
      <c r="AE649" s="162"/>
      <c r="AF649" s="120"/>
      <c r="AG649" s="162"/>
      <c r="AH649" s="115"/>
      <c r="AJ649" s="120"/>
    </row>
    <row r="650" spans="2:36" ht="15" hidden="1">
      <c r="B650" s="154"/>
      <c r="C650" s="128" t="s">
        <v>1674</v>
      </c>
      <c r="D650" s="166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  <c r="AB650" s="125"/>
      <c r="AC650" s="124"/>
      <c r="AD650" s="165"/>
      <c r="AE650" s="162"/>
      <c r="AF650" s="120"/>
      <c r="AG650" s="162"/>
      <c r="AH650" s="115"/>
      <c r="AJ650" s="120"/>
    </row>
    <row r="651" spans="2:36" ht="15" hidden="1">
      <c r="B651" s="154"/>
      <c r="C651" s="128"/>
      <c r="D651" s="166" t="s">
        <v>1675</v>
      </c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  <c r="AB651" s="125"/>
      <c r="AC651" s="124"/>
      <c r="AD651" s="165"/>
      <c r="AE651" s="162"/>
      <c r="AF651" s="120"/>
      <c r="AG651" s="162"/>
      <c r="AH651" s="115"/>
      <c r="AJ651" s="120"/>
    </row>
    <row r="652" spans="2:36" ht="15" hidden="1">
      <c r="B652" s="154"/>
      <c r="C652" s="128" t="s">
        <v>1676</v>
      </c>
      <c r="D652" s="166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  <c r="AB652" s="125"/>
      <c r="AC652" s="124"/>
      <c r="AD652" s="165"/>
      <c r="AE652" s="162"/>
      <c r="AF652" s="120"/>
      <c r="AG652" s="162"/>
      <c r="AH652" s="115"/>
      <c r="AJ652" s="120"/>
    </row>
    <row r="653" spans="2:36" ht="15" hidden="1">
      <c r="B653" s="154"/>
      <c r="C653" s="128"/>
      <c r="D653" s="166" t="s">
        <v>1677</v>
      </c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  <c r="AB653" s="125"/>
      <c r="AC653" s="124"/>
      <c r="AD653" s="165"/>
      <c r="AE653" s="162"/>
      <c r="AF653" s="120"/>
      <c r="AG653" s="162"/>
      <c r="AH653" s="115"/>
      <c r="AJ653" s="120"/>
    </row>
    <row r="654" spans="2:36" ht="15" hidden="1">
      <c r="B654" s="154"/>
      <c r="C654" s="128" t="s">
        <v>1678</v>
      </c>
      <c r="D654" s="166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  <c r="AB654" s="125"/>
      <c r="AC654" s="124"/>
      <c r="AD654" s="165"/>
      <c r="AE654" s="162"/>
      <c r="AF654" s="120"/>
      <c r="AG654" s="162"/>
      <c r="AH654" s="115"/>
      <c r="AJ654" s="120"/>
    </row>
    <row r="655" spans="2:36" ht="15" hidden="1">
      <c r="B655" s="154"/>
      <c r="C655" s="128"/>
      <c r="D655" s="166" t="s">
        <v>1679</v>
      </c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  <c r="AB655" s="125"/>
      <c r="AC655" s="124"/>
      <c r="AD655" s="165"/>
      <c r="AE655" s="162"/>
      <c r="AF655" s="120"/>
      <c r="AG655" s="162"/>
      <c r="AH655" s="115"/>
      <c r="AJ655" s="120"/>
    </row>
    <row r="656" spans="2:36" ht="15" hidden="1">
      <c r="B656" s="154"/>
      <c r="C656" s="128" t="s">
        <v>1680</v>
      </c>
      <c r="D656" s="166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  <c r="AB656" s="125"/>
      <c r="AC656" s="124"/>
      <c r="AD656" s="165"/>
      <c r="AE656" s="162"/>
      <c r="AF656" s="120"/>
      <c r="AG656" s="162"/>
      <c r="AH656" s="115"/>
      <c r="AJ656" s="120"/>
    </row>
    <row r="657" spans="2:36" ht="15" hidden="1">
      <c r="B657" s="154"/>
      <c r="C657" s="128"/>
      <c r="D657" s="166" t="s">
        <v>1681</v>
      </c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  <c r="AB657" s="125"/>
      <c r="AC657" s="124"/>
      <c r="AD657" s="165"/>
      <c r="AE657" s="162"/>
      <c r="AF657" s="120"/>
      <c r="AG657" s="162"/>
      <c r="AH657" s="115"/>
      <c r="AJ657" s="120"/>
    </row>
    <row r="658" spans="2:36" ht="15" hidden="1">
      <c r="B658" s="154"/>
      <c r="C658" s="128" t="s">
        <v>1682</v>
      </c>
      <c r="D658" s="166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  <c r="AB658" s="125"/>
      <c r="AC658" s="124"/>
      <c r="AD658" s="165"/>
      <c r="AE658" s="162"/>
      <c r="AF658" s="120"/>
      <c r="AG658" s="162"/>
      <c r="AH658" s="115"/>
      <c r="AJ658" s="120"/>
    </row>
    <row r="659" spans="2:36" ht="15" hidden="1">
      <c r="B659" s="154"/>
      <c r="C659" s="128"/>
      <c r="D659" s="166" t="s">
        <v>1683</v>
      </c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  <c r="AB659" s="125"/>
      <c r="AC659" s="124"/>
      <c r="AD659" s="165"/>
      <c r="AE659" s="162"/>
      <c r="AF659" s="120"/>
      <c r="AG659" s="162"/>
      <c r="AH659" s="115"/>
      <c r="AJ659" s="120"/>
    </row>
    <row r="660" spans="2:36" ht="15" hidden="1">
      <c r="B660" s="154"/>
      <c r="C660" s="128" t="s">
        <v>1684</v>
      </c>
      <c r="D660" s="166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  <c r="AB660" s="125"/>
      <c r="AC660" s="124"/>
      <c r="AD660" s="165"/>
      <c r="AE660" s="162"/>
      <c r="AF660" s="120"/>
      <c r="AG660" s="162"/>
      <c r="AH660" s="115"/>
      <c r="AJ660" s="120"/>
    </row>
    <row r="661" spans="2:36" ht="15" hidden="1">
      <c r="B661" s="154"/>
      <c r="C661" s="128"/>
      <c r="D661" s="166" t="s">
        <v>1685</v>
      </c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  <c r="AB661" s="125"/>
      <c r="AC661" s="124"/>
      <c r="AD661" s="165"/>
      <c r="AE661" s="162"/>
      <c r="AF661" s="120"/>
      <c r="AG661" s="162"/>
      <c r="AH661" s="115"/>
      <c r="AJ661" s="120"/>
    </row>
    <row r="662" spans="2:36" ht="15" hidden="1">
      <c r="B662" s="154"/>
      <c r="C662" s="128" t="s">
        <v>1686</v>
      </c>
      <c r="D662" s="166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  <c r="AB662" s="125"/>
      <c r="AC662" s="124"/>
      <c r="AD662" s="165"/>
      <c r="AE662" s="162"/>
      <c r="AF662" s="120"/>
      <c r="AG662" s="162"/>
      <c r="AH662" s="115"/>
      <c r="AJ662" s="120"/>
    </row>
    <row r="663" spans="2:36" ht="15" hidden="1">
      <c r="B663" s="154"/>
      <c r="C663" s="128"/>
      <c r="D663" s="166" t="s">
        <v>1687</v>
      </c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  <c r="AB663" s="125"/>
      <c r="AC663" s="124"/>
      <c r="AD663" s="165"/>
      <c r="AE663" s="162"/>
      <c r="AF663" s="120"/>
      <c r="AG663" s="162"/>
      <c r="AH663" s="115"/>
      <c r="AJ663" s="120"/>
    </row>
    <row r="664" spans="2:36" ht="15" hidden="1">
      <c r="B664" s="154"/>
      <c r="C664" s="128" t="s">
        <v>1688</v>
      </c>
      <c r="D664" s="166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  <c r="AB664" s="125"/>
      <c r="AC664" s="124"/>
      <c r="AD664" s="165"/>
      <c r="AE664" s="162"/>
      <c r="AF664" s="120"/>
      <c r="AG664" s="162"/>
      <c r="AH664" s="115"/>
      <c r="AJ664" s="120"/>
    </row>
    <row r="665" spans="2:36" ht="15" hidden="1">
      <c r="B665" s="154"/>
      <c r="C665" s="128"/>
      <c r="D665" s="166" t="s">
        <v>1689</v>
      </c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  <c r="AB665" s="125"/>
      <c r="AC665" s="124"/>
      <c r="AD665" s="165"/>
      <c r="AE665" s="162"/>
      <c r="AF665" s="120"/>
      <c r="AG665" s="162"/>
      <c r="AH665" s="115"/>
      <c r="AJ665" s="120"/>
    </row>
    <row r="666" spans="2:36" ht="15" hidden="1">
      <c r="B666" s="154"/>
      <c r="C666" s="128" t="s">
        <v>1690</v>
      </c>
      <c r="D666" s="166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  <c r="AB666" s="125"/>
      <c r="AC666" s="124"/>
      <c r="AD666" s="165"/>
      <c r="AE666" s="162"/>
      <c r="AF666" s="120"/>
      <c r="AG666" s="162"/>
      <c r="AH666" s="115"/>
      <c r="AJ666" s="120"/>
    </row>
    <row r="667" spans="2:36" ht="15" hidden="1">
      <c r="B667" s="154"/>
      <c r="C667" s="128"/>
      <c r="D667" s="166" t="s">
        <v>1691</v>
      </c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  <c r="AB667" s="125"/>
      <c r="AC667" s="124"/>
      <c r="AD667" s="165"/>
      <c r="AE667" s="162"/>
      <c r="AF667" s="120"/>
      <c r="AG667" s="162"/>
      <c r="AH667" s="115"/>
      <c r="AJ667" s="120"/>
    </row>
    <row r="668" spans="2:36" ht="15" hidden="1">
      <c r="B668" s="154"/>
      <c r="C668" s="128" t="s">
        <v>1692</v>
      </c>
      <c r="D668" s="166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  <c r="AB668" s="125"/>
      <c r="AC668" s="124"/>
      <c r="AD668" s="165"/>
      <c r="AE668" s="162"/>
      <c r="AF668" s="120"/>
      <c r="AG668" s="162"/>
      <c r="AH668" s="115"/>
      <c r="AJ668" s="120"/>
    </row>
    <row r="669" spans="2:36" ht="15" hidden="1">
      <c r="B669" s="154"/>
      <c r="C669" s="128"/>
      <c r="D669" s="166" t="s">
        <v>1693</v>
      </c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  <c r="AB669" s="125"/>
      <c r="AC669" s="124"/>
      <c r="AD669" s="165"/>
      <c r="AE669" s="162"/>
      <c r="AF669" s="120"/>
      <c r="AG669" s="162"/>
      <c r="AH669" s="115"/>
      <c r="AJ669" s="120"/>
    </row>
    <row r="670" spans="2:36" ht="15" hidden="1">
      <c r="B670" s="154"/>
      <c r="C670" s="128" t="s">
        <v>1694</v>
      </c>
      <c r="D670" s="166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  <c r="AB670" s="125"/>
      <c r="AC670" s="124"/>
      <c r="AD670" s="165"/>
      <c r="AE670" s="162"/>
      <c r="AF670" s="120"/>
      <c r="AG670" s="162"/>
      <c r="AH670" s="115"/>
      <c r="AJ670" s="120"/>
    </row>
    <row r="671" spans="2:36" ht="15" hidden="1">
      <c r="B671" s="154"/>
      <c r="C671" s="128"/>
      <c r="D671" s="166" t="s">
        <v>1695</v>
      </c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  <c r="AB671" s="125"/>
      <c r="AC671" s="124"/>
      <c r="AD671" s="165"/>
      <c r="AE671" s="162"/>
      <c r="AF671" s="120"/>
      <c r="AG671" s="162"/>
      <c r="AH671" s="115"/>
      <c r="AJ671" s="120"/>
    </row>
    <row r="672" spans="2:36" ht="15" hidden="1">
      <c r="B672" s="154"/>
      <c r="C672" s="128" t="s">
        <v>1696</v>
      </c>
      <c r="D672" s="166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  <c r="AB672" s="125"/>
      <c r="AC672" s="124"/>
      <c r="AD672" s="165"/>
      <c r="AE672" s="162"/>
      <c r="AF672" s="120"/>
      <c r="AG672" s="162"/>
      <c r="AH672" s="115"/>
      <c r="AJ672" s="120"/>
    </row>
    <row r="673" spans="1:55" ht="15" hidden="1">
      <c r="B673" s="154"/>
      <c r="C673" s="128"/>
      <c r="D673" s="166" t="s">
        <v>1697</v>
      </c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  <c r="AB673" s="125"/>
      <c r="AC673" s="124"/>
      <c r="AD673" s="165"/>
      <c r="AE673" s="162"/>
      <c r="AF673" s="120"/>
      <c r="AG673" s="162"/>
      <c r="AH673" s="115"/>
      <c r="AJ673" s="120"/>
    </row>
    <row r="674" spans="1:55" ht="15" hidden="1">
      <c r="B674" s="154"/>
      <c r="C674" s="128" t="s">
        <v>1698</v>
      </c>
      <c r="D674" s="166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  <c r="AB674" s="125"/>
      <c r="AC674" s="124"/>
      <c r="AD674" s="165"/>
      <c r="AE674" s="162"/>
      <c r="AF674" s="120"/>
      <c r="AG674" s="162"/>
      <c r="AH674" s="115"/>
      <c r="AJ674" s="120"/>
    </row>
    <row r="675" spans="1:55" ht="15" hidden="1">
      <c r="B675" s="154"/>
      <c r="C675" s="128"/>
      <c r="D675" s="166" t="s">
        <v>1699</v>
      </c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  <c r="AB675" s="125"/>
      <c r="AC675" s="124"/>
      <c r="AD675" s="165"/>
      <c r="AE675" s="162"/>
      <c r="AF675" s="120"/>
      <c r="AG675" s="162"/>
      <c r="AH675" s="115"/>
      <c r="AJ675" s="120"/>
    </row>
    <row r="676" spans="1:55" ht="15" hidden="1">
      <c r="B676" s="154"/>
      <c r="C676" s="128" t="s">
        <v>1700</v>
      </c>
      <c r="D676" s="166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  <c r="AB676" s="125"/>
      <c r="AC676" s="124"/>
      <c r="AD676" s="165"/>
      <c r="AE676" s="162"/>
      <c r="AF676" s="120"/>
      <c r="AG676" s="162"/>
      <c r="AH676" s="115"/>
      <c r="AJ676" s="120"/>
    </row>
    <row r="677" spans="1:55" ht="15" hidden="1">
      <c r="B677" s="154"/>
      <c r="C677" s="128"/>
      <c r="D677" s="166" t="s">
        <v>1701</v>
      </c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  <c r="AB677" s="125"/>
      <c r="AC677" s="124"/>
      <c r="AD677" s="165"/>
      <c r="AE677" s="162"/>
      <c r="AF677" s="120"/>
      <c r="AG677" s="162"/>
      <c r="AH677" s="115"/>
      <c r="AJ677" s="120"/>
    </row>
    <row r="678" spans="1:55" ht="15" hidden="1">
      <c r="B678" s="154"/>
      <c r="C678" s="128"/>
      <c r="D678" s="166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  <c r="AB678" s="125"/>
      <c r="AC678" s="124"/>
      <c r="AD678" s="165"/>
      <c r="AE678" s="162"/>
      <c r="AF678" s="120"/>
      <c r="AG678" s="162"/>
      <c r="AH678" s="115"/>
      <c r="AJ678" s="120"/>
    </row>
    <row r="679" spans="1:55" ht="15.75" hidden="1" thickBot="1">
      <c r="B679" s="154"/>
      <c r="C679" s="128"/>
      <c r="D679" s="128"/>
      <c r="E679" s="234"/>
      <c r="F679" s="234"/>
      <c r="G679" s="234"/>
      <c r="H679" s="151">
        <f>SUM(H577:H678)</f>
        <v>0</v>
      </c>
      <c r="I679" s="234"/>
      <c r="J679" s="234"/>
      <c r="K679" s="234"/>
      <c r="L679" s="234"/>
      <c r="M679" s="234"/>
      <c r="N679" s="234"/>
      <c r="O679" s="234"/>
      <c r="P679" s="234"/>
      <c r="Q679" s="143"/>
      <c r="R679" s="143"/>
      <c r="S679" s="143"/>
      <c r="T679" s="143">
        <f>SUM(T577:T678)</f>
        <v>0</v>
      </c>
      <c r="U679" s="143"/>
      <c r="V679" s="143"/>
      <c r="W679" s="143"/>
      <c r="X679" s="143"/>
      <c r="Y679" s="143"/>
      <c r="Z679" s="143"/>
      <c r="AA679" s="143"/>
      <c r="AB679" s="143"/>
      <c r="AC679" s="234"/>
      <c r="AD679" s="165" t="e">
        <f>+#REF!-[1]TB!G51</f>
        <v>#REF!</v>
      </c>
      <c r="AE679" s="162"/>
      <c r="AF679" s="120"/>
      <c r="AG679" s="162"/>
      <c r="AH679" s="115"/>
      <c r="AJ679" s="120"/>
    </row>
    <row r="680" spans="1:55" ht="15">
      <c r="A680" s="113" t="s">
        <v>1702</v>
      </c>
      <c r="B680" s="154"/>
      <c r="C680" s="113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67"/>
      <c r="R680" s="167"/>
      <c r="S680" s="167"/>
      <c r="T680" s="167"/>
      <c r="U680" s="167"/>
      <c r="V680" s="167"/>
      <c r="W680" s="167"/>
      <c r="X680" s="167"/>
      <c r="Y680" s="167"/>
      <c r="Z680" s="167"/>
      <c r="AA680" s="167"/>
      <c r="AB680" s="167"/>
      <c r="AC680" s="149"/>
      <c r="AD680" s="165"/>
      <c r="AE680" s="162"/>
      <c r="AF680" s="120"/>
      <c r="AG680" s="162"/>
      <c r="AH680" s="115"/>
      <c r="AJ680" s="120"/>
    </row>
    <row r="681" spans="1:55" ht="15">
      <c r="A681" s="113"/>
      <c r="B681" s="154"/>
      <c r="C681" s="154" t="s">
        <v>1703</v>
      </c>
      <c r="E681" s="117"/>
      <c r="F681" s="117"/>
      <c r="G681" s="117"/>
      <c r="H681" s="115">
        <f t="shared" ref="H681:H746" si="127">Q681+R681+S681+T681</f>
        <v>237672.72000000003</v>
      </c>
      <c r="I681" s="115">
        <f t="shared" ref="I681:I746" si="128">Q681+R681+S681+T681+U681</f>
        <v>237672.72000000003</v>
      </c>
      <c r="J681" s="115">
        <f t="shared" ref="J681:J746" si="129">Q681+R681+S681+T681+U681+V681</f>
        <v>237672.72000000003</v>
      </c>
      <c r="K681" s="115">
        <f t="shared" ref="K681:K746" si="130">Q681+R681+S681+T681+U681+V681+W681</f>
        <v>237672.72000000003</v>
      </c>
      <c r="L681" s="115">
        <f t="shared" ref="L681:L746" si="131">Q681+R681+S681+T681+U681+V681+W681+X681</f>
        <v>237672.72000000003</v>
      </c>
      <c r="M681" s="115">
        <f t="shared" ref="M681:M746" si="132">Q681+R681+S681+T681+U681+V681+W681+X681+Y681</f>
        <v>237672.72000000003</v>
      </c>
      <c r="N681" s="115">
        <f t="shared" ref="N681:N746" si="133">Q681+R681+S681+T681+U681+V681+W681+X681+Y681+Z681</f>
        <v>237672.72000000003</v>
      </c>
      <c r="O681" s="115">
        <f t="shared" ref="O681:O746" si="134">Q681+R681+S681+T681+U681+V681+W681+X681+Y681+Z681+AA681</f>
        <v>237672.72000000003</v>
      </c>
      <c r="P681" s="115">
        <f t="shared" ref="P681:P746" si="135">Q681+R681+S681+T681+U681+V681+W681+X681+Y681+Z681+AA681+AB681</f>
        <v>237672.72000000003</v>
      </c>
      <c r="Q681" s="125"/>
      <c r="R681" s="125"/>
      <c r="S681" s="125"/>
      <c r="T681" s="125">
        <f>186425+308000-77175+1046400-350000-664000-50000-14063.99-15000+50000-9500-4330-34083.29-1040-29800-104160</f>
        <v>237672.72000000003</v>
      </c>
      <c r="U681" s="125"/>
      <c r="V681" s="125"/>
      <c r="W681" s="125"/>
      <c r="X681" s="125"/>
      <c r="Y681" s="125"/>
      <c r="Z681" s="125"/>
      <c r="AA681" s="125"/>
      <c r="AB681" s="125"/>
      <c r="AC681" s="124"/>
      <c r="AD681" s="165">
        <v>50000</v>
      </c>
      <c r="AE681" s="162" t="s">
        <v>1704</v>
      </c>
      <c r="AF681" s="120"/>
      <c r="AG681" s="162"/>
      <c r="AH681" s="115"/>
      <c r="AJ681" s="120"/>
      <c r="AM681" s="120"/>
      <c r="AQ681" s="120"/>
      <c r="AR681" s="168"/>
    </row>
    <row r="682" spans="1:55" ht="15">
      <c r="A682" s="113"/>
      <c r="B682" s="154"/>
      <c r="C682" s="154" t="s">
        <v>1705</v>
      </c>
      <c r="E682" s="117"/>
      <c r="F682" s="117"/>
      <c r="G682" s="117"/>
      <c r="H682" s="115">
        <f t="shared" si="127"/>
        <v>140</v>
      </c>
      <c r="I682" s="115">
        <f t="shared" si="128"/>
        <v>140</v>
      </c>
      <c r="J682" s="115">
        <f t="shared" si="129"/>
        <v>140</v>
      </c>
      <c r="K682" s="115">
        <f t="shared" si="130"/>
        <v>140</v>
      </c>
      <c r="L682" s="115">
        <f t="shared" si="131"/>
        <v>140</v>
      </c>
      <c r="M682" s="115">
        <f t="shared" si="132"/>
        <v>140</v>
      </c>
      <c r="N682" s="115">
        <f t="shared" si="133"/>
        <v>140</v>
      </c>
      <c r="O682" s="115">
        <f t="shared" si="134"/>
        <v>140</v>
      </c>
      <c r="P682" s="115">
        <f t="shared" si="135"/>
        <v>140</v>
      </c>
      <c r="Q682" s="125"/>
      <c r="R682" s="125"/>
      <c r="S682" s="125"/>
      <c r="T682" s="125">
        <f>572760-161760+63640-411000-63500</f>
        <v>140</v>
      </c>
      <c r="U682" s="125"/>
      <c r="V682" s="125"/>
      <c r="W682" s="125"/>
      <c r="X682" s="125"/>
      <c r="Y682" s="125"/>
      <c r="Z682" s="125"/>
      <c r="AA682" s="125"/>
      <c r="AB682" s="125"/>
      <c r="AC682" s="124"/>
      <c r="AD682" s="165"/>
      <c r="AE682" s="162"/>
      <c r="AF682" s="120"/>
      <c r="AG682" s="162"/>
      <c r="AH682" s="115"/>
      <c r="AJ682" s="120"/>
      <c r="AM682" s="120"/>
      <c r="AQ682" s="120"/>
      <c r="AR682" s="168"/>
    </row>
    <row r="683" spans="1:55" ht="15">
      <c r="A683" s="113"/>
      <c r="B683" s="154"/>
      <c r="C683" s="154" t="s">
        <v>1706</v>
      </c>
      <c r="E683" s="117"/>
      <c r="F683" s="117"/>
      <c r="G683" s="117"/>
      <c r="H683" s="115">
        <f t="shared" si="127"/>
        <v>20000</v>
      </c>
      <c r="I683" s="115">
        <f t="shared" si="128"/>
        <v>20000</v>
      </c>
      <c r="J683" s="115">
        <f t="shared" si="129"/>
        <v>20000</v>
      </c>
      <c r="K683" s="115">
        <f t="shared" si="130"/>
        <v>20000</v>
      </c>
      <c r="L683" s="115">
        <f t="shared" si="131"/>
        <v>20000</v>
      </c>
      <c r="M683" s="115">
        <f t="shared" si="132"/>
        <v>20000</v>
      </c>
      <c r="N683" s="115">
        <f t="shared" si="133"/>
        <v>20000</v>
      </c>
      <c r="O683" s="115">
        <f t="shared" si="134"/>
        <v>20000</v>
      </c>
      <c r="P683" s="115">
        <f t="shared" si="135"/>
        <v>20000</v>
      </c>
      <c r="Q683" s="125"/>
      <c r="R683" s="125"/>
      <c r="S683" s="125"/>
      <c r="T683" s="125">
        <f>180000-180000+20000</f>
        <v>20000</v>
      </c>
      <c r="U683" s="125"/>
      <c r="V683" s="125"/>
      <c r="W683" s="125"/>
      <c r="X683" s="125"/>
      <c r="Y683" s="125"/>
      <c r="Z683" s="125"/>
      <c r="AA683" s="125"/>
      <c r="AB683" s="125"/>
      <c r="AC683" s="124"/>
      <c r="AD683" s="165"/>
      <c r="AE683" s="162"/>
      <c r="AF683" s="120"/>
      <c r="AG683" s="162"/>
      <c r="AH683" s="115"/>
      <c r="AJ683" s="120"/>
      <c r="AM683" s="120"/>
      <c r="AQ683" s="120"/>
      <c r="AR683" s="168"/>
    </row>
    <row r="684" spans="1:55" ht="15">
      <c r="A684" s="113"/>
      <c r="B684" s="154"/>
      <c r="C684" s="154" t="s">
        <v>1707</v>
      </c>
      <c r="E684" s="117"/>
      <c r="F684" s="117"/>
      <c r="G684" s="117"/>
      <c r="H684" s="115">
        <f t="shared" si="127"/>
        <v>3</v>
      </c>
      <c r="I684" s="115">
        <f t="shared" si="128"/>
        <v>3</v>
      </c>
      <c r="J684" s="115">
        <f t="shared" si="129"/>
        <v>3</v>
      </c>
      <c r="K684" s="115">
        <f t="shared" si="130"/>
        <v>3</v>
      </c>
      <c r="L684" s="115">
        <f t="shared" si="131"/>
        <v>3</v>
      </c>
      <c r="M684" s="115">
        <f t="shared" si="132"/>
        <v>3</v>
      </c>
      <c r="N684" s="115">
        <f t="shared" si="133"/>
        <v>3</v>
      </c>
      <c r="O684" s="115">
        <f t="shared" si="134"/>
        <v>3</v>
      </c>
      <c r="P684" s="115">
        <f t="shared" si="135"/>
        <v>3</v>
      </c>
      <c r="Q684" s="125"/>
      <c r="R684" s="125"/>
      <c r="S684" s="125"/>
      <c r="T684" s="125">
        <f>154200-154197</f>
        <v>3</v>
      </c>
      <c r="U684" s="125"/>
      <c r="V684" s="125"/>
      <c r="W684" s="125"/>
      <c r="X684" s="125"/>
      <c r="Y684" s="125"/>
      <c r="Z684" s="125"/>
      <c r="AA684" s="125"/>
      <c r="AB684" s="125"/>
      <c r="AC684" s="124"/>
      <c r="AD684" s="165"/>
      <c r="AE684" s="162"/>
      <c r="AF684" s="120"/>
      <c r="AG684" s="162"/>
      <c r="AH684" s="115"/>
      <c r="AJ684" s="120"/>
      <c r="AM684" s="120"/>
      <c r="AQ684" s="120"/>
      <c r="AR684" s="168"/>
    </row>
    <row r="685" spans="1:55" ht="15">
      <c r="A685" s="128"/>
      <c r="B685" s="154"/>
      <c r="C685" s="128" t="s">
        <v>1708</v>
      </c>
      <c r="D685" s="128"/>
      <c r="E685" s="117"/>
      <c r="F685" s="117"/>
      <c r="G685" s="117"/>
      <c r="H685" s="115">
        <f t="shared" si="127"/>
        <v>1785.73</v>
      </c>
      <c r="I685" s="115">
        <f t="shared" si="128"/>
        <v>1785.73</v>
      </c>
      <c r="J685" s="115">
        <f t="shared" si="129"/>
        <v>1785.73</v>
      </c>
      <c r="K685" s="115">
        <f t="shared" si="130"/>
        <v>1785.73</v>
      </c>
      <c r="L685" s="115">
        <f t="shared" si="131"/>
        <v>1785.73</v>
      </c>
      <c r="M685" s="115">
        <f t="shared" si="132"/>
        <v>1785.73</v>
      </c>
      <c r="N685" s="115">
        <f t="shared" si="133"/>
        <v>1785.73</v>
      </c>
      <c r="O685" s="115">
        <f t="shared" si="134"/>
        <v>1785.73</v>
      </c>
      <c r="P685" s="115">
        <f t="shared" si="135"/>
        <v>1785.73</v>
      </c>
      <c r="Q685" s="125"/>
      <c r="R685" s="125"/>
      <c r="S685" s="125"/>
      <c r="T685" s="125">
        <v>1785.73</v>
      </c>
      <c r="U685" s="125"/>
      <c r="V685" s="125"/>
      <c r="W685" s="125"/>
      <c r="X685" s="125"/>
      <c r="Y685" s="125"/>
      <c r="Z685" s="125"/>
      <c r="AA685" s="125"/>
      <c r="AB685" s="125"/>
      <c r="AC685" s="124"/>
      <c r="AD685" s="120"/>
      <c r="AE685" s="162"/>
      <c r="AF685" s="169"/>
      <c r="AG685" s="162"/>
      <c r="AH685" s="115"/>
      <c r="AI685" s="127"/>
      <c r="AJ685" s="115"/>
      <c r="AQ685" s="120"/>
    </row>
    <row r="686" spans="1:55" ht="15">
      <c r="A686" s="128"/>
      <c r="B686" s="154"/>
      <c r="C686" s="154" t="s">
        <v>1709</v>
      </c>
      <c r="E686" s="120"/>
      <c r="F686" s="120"/>
      <c r="G686" s="120"/>
      <c r="H686" s="115">
        <f t="shared" si="127"/>
        <v>91065</v>
      </c>
      <c r="I686" s="115">
        <f t="shared" si="128"/>
        <v>91065</v>
      </c>
      <c r="J686" s="115">
        <f t="shared" si="129"/>
        <v>91065</v>
      </c>
      <c r="K686" s="115">
        <f t="shared" si="130"/>
        <v>91065</v>
      </c>
      <c r="L686" s="115">
        <f t="shared" si="131"/>
        <v>91065</v>
      </c>
      <c r="M686" s="115">
        <f t="shared" si="132"/>
        <v>91065</v>
      </c>
      <c r="N686" s="115">
        <f t="shared" si="133"/>
        <v>91065</v>
      </c>
      <c r="O686" s="115">
        <f t="shared" si="134"/>
        <v>91065</v>
      </c>
      <c r="P686" s="115">
        <f t="shared" si="135"/>
        <v>91065</v>
      </c>
      <c r="Q686" s="116"/>
      <c r="R686" s="116"/>
      <c r="S686" s="116"/>
      <c r="T686" s="116">
        <v>91065</v>
      </c>
      <c r="U686" s="116"/>
      <c r="V686" s="116"/>
      <c r="W686" s="116"/>
      <c r="X686" s="116"/>
      <c r="Y686" s="116"/>
      <c r="Z686" s="116"/>
      <c r="AA686" s="116"/>
      <c r="AB686" s="116"/>
      <c r="AC686" s="115"/>
      <c r="AD686" s="120"/>
      <c r="AE686" s="162"/>
      <c r="AF686" s="169"/>
      <c r="AG686" s="162"/>
      <c r="AH686" s="115"/>
      <c r="AI686" s="127"/>
      <c r="AJ686" s="115"/>
      <c r="AQ686" s="120"/>
    </row>
    <row r="687" spans="1:55">
      <c r="A687" s="128"/>
      <c r="B687" s="154"/>
      <c r="C687" s="128" t="s">
        <v>1710</v>
      </c>
      <c r="D687" s="128"/>
      <c r="E687" s="117"/>
      <c r="F687" s="117"/>
      <c r="G687" s="117"/>
      <c r="H687" s="115">
        <f t="shared" si="127"/>
        <v>7857</v>
      </c>
      <c r="I687" s="115">
        <f t="shared" si="128"/>
        <v>7857</v>
      </c>
      <c r="J687" s="115">
        <f t="shared" si="129"/>
        <v>7857</v>
      </c>
      <c r="K687" s="115">
        <f t="shared" si="130"/>
        <v>7857</v>
      </c>
      <c r="L687" s="115">
        <f t="shared" si="131"/>
        <v>7857</v>
      </c>
      <c r="M687" s="115">
        <f t="shared" si="132"/>
        <v>7857</v>
      </c>
      <c r="N687" s="115">
        <f t="shared" si="133"/>
        <v>7857</v>
      </c>
      <c r="O687" s="115">
        <f t="shared" si="134"/>
        <v>7857</v>
      </c>
      <c r="P687" s="115">
        <f t="shared" si="135"/>
        <v>7857</v>
      </c>
      <c r="Q687" s="125"/>
      <c r="R687" s="125"/>
      <c r="S687" s="125"/>
      <c r="T687" s="125">
        <v>7857</v>
      </c>
      <c r="U687" s="125"/>
      <c r="V687" s="125"/>
      <c r="W687" s="125"/>
      <c r="X687" s="125"/>
      <c r="Y687" s="125"/>
      <c r="Z687" s="125"/>
      <c r="AA687" s="125"/>
      <c r="AB687" s="125"/>
      <c r="AC687" s="124"/>
      <c r="AD687" s="128"/>
      <c r="AE687" s="162"/>
      <c r="AF687" s="120"/>
      <c r="AG687" s="162"/>
      <c r="AH687" s="115"/>
      <c r="AI687" s="127"/>
      <c r="AJ687" s="115"/>
      <c r="AQ687" s="170"/>
      <c r="AR687" s="133"/>
      <c r="BA687" s="108" t="s">
        <v>1711</v>
      </c>
      <c r="BC687" s="120">
        <v>3800000</v>
      </c>
    </row>
    <row r="688" spans="1:55" ht="15">
      <c r="A688" s="128"/>
      <c r="B688" s="154"/>
      <c r="C688" s="128" t="s">
        <v>1712</v>
      </c>
      <c r="D688" s="128"/>
      <c r="E688" s="117"/>
      <c r="F688" s="117"/>
      <c r="G688" s="117"/>
      <c r="H688" s="115">
        <f t="shared" si="127"/>
        <v>500</v>
      </c>
      <c r="I688" s="115">
        <f t="shared" si="128"/>
        <v>500</v>
      </c>
      <c r="J688" s="115">
        <f t="shared" si="129"/>
        <v>500</v>
      </c>
      <c r="K688" s="115">
        <f t="shared" si="130"/>
        <v>500</v>
      </c>
      <c r="L688" s="115">
        <f t="shared" si="131"/>
        <v>500</v>
      </c>
      <c r="M688" s="115">
        <f t="shared" si="132"/>
        <v>500</v>
      </c>
      <c r="N688" s="115">
        <f t="shared" si="133"/>
        <v>500</v>
      </c>
      <c r="O688" s="115">
        <f t="shared" si="134"/>
        <v>500</v>
      </c>
      <c r="P688" s="115">
        <f t="shared" si="135"/>
        <v>500</v>
      </c>
      <c r="Q688" s="125"/>
      <c r="R688" s="125"/>
      <c r="S688" s="125"/>
      <c r="T688" s="125">
        <f>260000-109500-150000</f>
        <v>500</v>
      </c>
      <c r="U688" s="125"/>
      <c r="V688" s="125"/>
      <c r="W688" s="125"/>
      <c r="X688" s="125"/>
      <c r="Y688" s="125"/>
      <c r="Z688" s="125"/>
      <c r="AA688" s="125"/>
      <c r="AB688" s="125"/>
      <c r="AC688" s="124"/>
      <c r="AD688" s="117"/>
      <c r="AE688" s="162"/>
      <c r="AF688" s="120"/>
      <c r="AG688" s="162"/>
      <c r="AH688" s="115"/>
      <c r="AI688" s="115"/>
      <c r="AJ688" s="160"/>
      <c r="AK688" s="126"/>
      <c r="AL688" s="171"/>
    </row>
    <row r="689" spans="1:55" ht="15">
      <c r="A689" s="128"/>
      <c r="B689" s="154"/>
      <c r="C689" s="128" t="s">
        <v>1713</v>
      </c>
      <c r="D689" s="128"/>
      <c r="E689" s="117"/>
      <c r="F689" s="117"/>
      <c r="G689" s="117"/>
      <c r="H689" s="115">
        <f t="shared" si="127"/>
        <v>4547.58</v>
      </c>
      <c r="I689" s="115">
        <f t="shared" si="128"/>
        <v>4547.58</v>
      </c>
      <c r="J689" s="115">
        <f t="shared" si="129"/>
        <v>4547.58</v>
      </c>
      <c r="K689" s="115">
        <f t="shared" si="130"/>
        <v>4547.58</v>
      </c>
      <c r="L689" s="115">
        <f t="shared" si="131"/>
        <v>4547.58</v>
      </c>
      <c r="M689" s="115">
        <f t="shared" si="132"/>
        <v>4547.58</v>
      </c>
      <c r="N689" s="115">
        <f t="shared" si="133"/>
        <v>4547.58</v>
      </c>
      <c r="O689" s="115">
        <f t="shared" si="134"/>
        <v>4547.58</v>
      </c>
      <c r="P689" s="115">
        <f t="shared" si="135"/>
        <v>4547.58</v>
      </c>
      <c r="Q689" s="125"/>
      <c r="R689" s="125"/>
      <c r="S689" s="125"/>
      <c r="T689" s="125">
        <v>4547.58</v>
      </c>
      <c r="U689" s="125"/>
      <c r="V689" s="125"/>
      <c r="W689" s="125"/>
      <c r="X689" s="125"/>
      <c r="Y689" s="125"/>
      <c r="Z689" s="125"/>
      <c r="AA689" s="125"/>
      <c r="AB689" s="125"/>
      <c r="AC689" s="124"/>
      <c r="AD689" s="117"/>
      <c r="AE689" s="162"/>
      <c r="AF689" s="120"/>
      <c r="AG689" s="162"/>
      <c r="AH689" s="115"/>
      <c r="AI689" s="115"/>
      <c r="AJ689" s="160"/>
      <c r="AK689" s="126"/>
      <c r="AL689" s="172"/>
    </row>
    <row r="690" spans="1:55" ht="15">
      <c r="A690" s="128"/>
      <c r="B690" s="154"/>
      <c r="C690" s="154" t="s">
        <v>1714</v>
      </c>
      <c r="E690" s="115"/>
      <c r="F690" s="115"/>
      <c r="G690" s="115"/>
      <c r="H690" s="115">
        <f t="shared" si="127"/>
        <v>629.21999999984155</v>
      </c>
      <c r="I690" s="115">
        <f t="shared" si="128"/>
        <v>629.21999999984155</v>
      </c>
      <c r="J690" s="115">
        <f t="shared" si="129"/>
        <v>629.21999999984155</v>
      </c>
      <c r="K690" s="115">
        <f t="shared" si="130"/>
        <v>629.21999999984155</v>
      </c>
      <c r="L690" s="115">
        <f t="shared" si="131"/>
        <v>629.21999999984155</v>
      </c>
      <c r="M690" s="115">
        <f t="shared" si="132"/>
        <v>629.21999999984155</v>
      </c>
      <c r="N690" s="115">
        <f t="shared" si="133"/>
        <v>629.21999999984155</v>
      </c>
      <c r="O690" s="115">
        <f t="shared" si="134"/>
        <v>629.21999999984155</v>
      </c>
      <c r="P690" s="115">
        <f t="shared" si="135"/>
        <v>629.21999999984155</v>
      </c>
      <c r="Q690" s="116"/>
      <c r="R690" s="116"/>
      <c r="S690" s="116"/>
      <c r="T690" s="116">
        <f>874430.4+1000000-500000-369701.64-116660+1000000-5700-3800-1870746.68-2280+1870746.68-1870746.68-1050-3862.86</f>
        <v>629.21999999984155</v>
      </c>
      <c r="U690" s="116"/>
      <c r="V690" s="116"/>
      <c r="W690" s="116"/>
      <c r="X690" s="116"/>
      <c r="Y690" s="116"/>
      <c r="Z690" s="116"/>
      <c r="AA690" s="116"/>
      <c r="AB690" s="116"/>
      <c r="AC690" s="115"/>
      <c r="AD690" s="117"/>
      <c r="AE690" s="162"/>
      <c r="AF690" s="120"/>
      <c r="AG690" s="162"/>
      <c r="AH690" s="115"/>
      <c r="AI690" s="115"/>
      <c r="AJ690" s="160"/>
      <c r="AL690" s="173"/>
      <c r="BA690" s="108" t="s">
        <v>1715</v>
      </c>
      <c r="BB690" s="135" t="e">
        <f>#REF!+#REF!+#REF!+#REF!</f>
        <v>#REF!</v>
      </c>
    </row>
    <row r="691" spans="1:55" ht="15">
      <c r="A691" s="128"/>
      <c r="B691" s="154"/>
      <c r="C691" s="154" t="s">
        <v>1716</v>
      </c>
      <c r="E691" s="115"/>
      <c r="F691" s="115"/>
      <c r="G691" s="115"/>
      <c r="H691" s="115">
        <f t="shared" si="127"/>
        <v>86989.25</v>
      </c>
      <c r="I691" s="115">
        <f t="shared" si="128"/>
        <v>86989.25</v>
      </c>
      <c r="J691" s="115">
        <f t="shared" si="129"/>
        <v>86989.25</v>
      </c>
      <c r="K691" s="115">
        <f t="shared" si="130"/>
        <v>86989.25</v>
      </c>
      <c r="L691" s="115">
        <f t="shared" si="131"/>
        <v>86989.25</v>
      </c>
      <c r="M691" s="115">
        <f t="shared" si="132"/>
        <v>86989.25</v>
      </c>
      <c r="N691" s="115">
        <f t="shared" si="133"/>
        <v>86989.25</v>
      </c>
      <c r="O691" s="115">
        <f t="shared" si="134"/>
        <v>86989.25</v>
      </c>
      <c r="P691" s="115">
        <f t="shared" si="135"/>
        <v>86989.25</v>
      </c>
      <c r="Q691" s="116"/>
      <c r="R691" s="116"/>
      <c r="S691" s="116"/>
      <c r="T691" s="116">
        <f>300000-25000-95037-40000-15000-24961.9-13011.85</f>
        <v>86989.25</v>
      </c>
      <c r="U691" s="116"/>
      <c r="V691" s="116"/>
      <c r="W691" s="116"/>
      <c r="X691" s="116"/>
      <c r="Y691" s="116"/>
      <c r="Z691" s="116"/>
      <c r="AA691" s="116"/>
      <c r="AB691" s="116"/>
      <c r="AC691" s="115"/>
      <c r="AD691" s="117"/>
      <c r="AE691" s="162"/>
      <c r="AF691" s="120"/>
      <c r="AG691" s="162"/>
      <c r="AH691" s="115"/>
      <c r="AI691" s="115"/>
      <c r="AJ691" s="160"/>
      <c r="AL691" s="173"/>
      <c r="BB691" s="135"/>
    </row>
    <row r="692" spans="1:55" ht="15">
      <c r="A692" s="128"/>
      <c r="B692" s="154"/>
      <c r="C692" s="128" t="s">
        <v>1717</v>
      </c>
      <c r="D692" s="128"/>
      <c r="E692" s="117"/>
      <c r="F692" s="117"/>
      <c r="G692" s="117"/>
      <c r="H692" s="115">
        <f t="shared" si="127"/>
        <v>40</v>
      </c>
      <c r="I692" s="115">
        <f t="shared" si="128"/>
        <v>40</v>
      </c>
      <c r="J692" s="115">
        <f t="shared" si="129"/>
        <v>40</v>
      </c>
      <c r="K692" s="115">
        <f t="shared" si="130"/>
        <v>40</v>
      </c>
      <c r="L692" s="115">
        <f t="shared" si="131"/>
        <v>40</v>
      </c>
      <c r="M692" s="115">
        <f t="shared" si="132"/>
        <v>40</v>
      </c>
      <c r="N692" s="115">
        <f t="shared" si="133"/>
        <v>40</v>
      </c>
      <c r="O692" s="115">
        <f t="shared" si="134"/>
        <v>40</v>
      </c>
      <c r="P692" s="115">
        <f t="shared" si="135"/>
        <v>40</v>
      </c>
      <c r="Q692" s="125"/>
      <c r="R692" s="125"/>
      <c r="S692" s="125"/>
      <c r="T692" s="125">
        <v>40</v>
      </c>
      <c r="U692" s="125"/>
      <c r="V692" s="125"/>
      <c r="W692" s="125"/>
      <c r="X692" s="125"/>
      <c r="Y692" s="125"/>
      <c r="Z692" s="125"/>
      <c r="AA692" s="125"/>
      <c r="AB692" s="125"/>
      <c r="AC692" s="124"/>
      <c r="AD692" s="117"/>
      <c r="AE692" s="162"/>
      <c r="AF692" s="120"/>
      <c r="AG692" s="162"/>
      <c r="AH692" s="115"/>
      <c r="AI692" s="115"/>
      <c r="AJ692" s="160"/>
      <c r="AL692" s="126"/>
      <c r="AV692" s="120"/>
      <c r="BA692" s="136" t="s">
        <v>1718</v>
      </c>
      <c r="BB692" s="135">
        <f>AI711</f>
        <v>0</v>
      </c>
    </row>
    <row r="693" spans="1:55" ht="15">
      <c r="A693" s="128"/>
      <c r="B693" s="154"/>
      <c r="C693" s="154" t="s">
        <v>1719</v>
      </c>
      <c r="E693" s="120"/>
      <c r="F693" s="120"/>
      <c r="G693" s="120"/>
      <c r="H693" s="115">
        <f t="shared" si="127"/>
        <v>6793.75</v>
      </c>
      <c r="I693" s="115">
        <f t="shared" si="128"/>
        <v>6793.75</v>
      </c>
      <c r="J693" s="115">
        <f t="shared" si="129"/>
        <v>6793.75</v>
      </c>
      <c r="K693" s="115">
        <f t="shared" si="130"/>
        <v>6793.75</v>
      </c>
      <c r="L693" s="115">
        <f t="shared" si="131"/>
        <v>6793.75</v>
      </c>
      <c r="M693" s="115">
        <f t="shared" si="132"/>
        <v>6793.75</v>
      </c>
      <c r="N693" s="115">
        <f t="shared" si="133"/>
        <v>6793.75</v>
      </c>
      <c r="O693" s="115">
        <f t="shared" si="134"/>
        <v>6793.75</v>
      </c>
      <c r="P693" s="115">
        <f t="shared" si="135"/>
        <v>6793.75</v>
      </c>
      <c r="Q693" s="116"/>
      <c r="R693" s="116"/>
      <c r="S693" s="116"/>
      <c r="T693" s="116">
        <f>432307-40020-374993.25-3000-7500</f>
        <v>6793.75</v>
      </c>
      <c r="U693" s="116"/>
      <c r="V693" s="116"/>
      <c r="W693" s="116"/>
      <c r="X693" s="116"/>
      <c r="Y693" s="116"/>
      <c r="Z693" s="116"/>
      <c r="AA693" s="116"/>
      <c r="AB693" s="116"/>
      <c r="AC693" s="115"/>
      <c r="AD693" s="117"/>
      <c r="AE693" s="162"/>
      <c r="AF693" s="120"/>
      <c r="AG693" s="120"/>
      <c r="AH693" s="115"/>
      <c r="AI693" s="115"/>
      <c r="AJ693" s="160"/>
      <c r="AL693" s="174"/>
      <c r="AV693" s="120"/>
      <c r="AY693" s="108" t="s">
        <v>1720</v>
      </c>
      <c r="BA693" s="108" t="s">
        <v>1721</v>
      </c>
      <c r="BB693" s="135">
        <v>1810619.74</v>
      </c>
    </row>
    <row r="694" spans="1:55" ht="15">
      <c r="A694" s="128"/>
      <c r="B694" s="154"/>
      <c r="C694" s="128" t="s">
        <v>1722</v>
      </c>
      <c r="D694" s="128"/>
      <c r="E694" s="117"/>
      <c r="F694" s="117"/>
      <c r="G694" s="117"/>
      <c r="H694" s="115">
        <f t="shared" si="127"/>
        <v>95550</v>
      </c>
      <c r="I694" s="115">
        <f t="shared" si="128"/>
        <v>95550</v>
      </c>
      <c r="J694" s="115">
        <f t="shared" si="129"/>
        <v>95550</v>
      </c>
      <c r="K694" s="115">
        <f t="shared" si="130"/>
        <v>95550</v>
      </c>
      <c r="L694" s="115">
        <f t="shared" si="131"/>
        <v>95550</v>
      </c>
      <c r="M694" s="115">
        <f t="shared" si="132"/>
        <v>95550</v>
      </c>
      <c r="N694" s="115">
        <f t="shared" si="133"/>
        <v>95550</v>
      </c>
      <c r="O694" s="115">
        <f t="shared" si="134"/>
        <v>95550</v>
      </c>
      <c r="P694" s="115">
        <f t="shared" si="135"/>
        <v>95550</v>
      </c>
      <c r="Q694" s="125"/>
      <c r="R694" s="125"/>
      <c r="S694" s="125"/>
      <c r="T694" s="125">
        <v>95550</v>
      </c>
      <c r="U694" s="125"/>
      <c r="V694" s="125"/>
      <c r="W694" s="125"/>
      <c r="X694" s="125"/>
      <c r="Y694" s="125"/>
      <c r="Z694" s="125"/>
      <c r="AA694" s="125"/>
      <c r="AB694" s="125"/>
      <c r="AC694" s="124"/>
      <c r="AD694" s="117"/>
      <c r="AE694" s="162"/>
      <c r="AF694" s="120"/>
      <c r="AG694" s="120"/>
      <c r="AH694" s="115"/>
      <c r="AI694" s="115"/>
      <c r="AJ694" s="160"/>
      <c r="AK694" s="126"/>
      <c r="AL694" s="120"/>
      <c r="AV694" s="120"/>
      <c r="BA694" s="108" t="s">
        <v>880</v>
      </c>
      <c r="BC694" s="175" t="e">
        <f>SUM(BB690:BB693)</f>
        <v>#REF!</v>
      </c>
    </row>
    <row r="695" spans="1:55" ht="15">
      <c r="C695" s="108" t="s">
        <v>1723</v>
      </c>
      <c r="E695" s="120"/>
      <c r="F695" s="120"/>
      <c r="G695" s="120"/>
      <c r="H695" s="115">
        <f t="shared" si="127"/>
        <v>50000000</v>
      </c>
      <c r="I695" s="115">
        <f t="shared" si="128"/>
        <v>50000000</v>
      </c>
      <c r="J695" s="115">
        <f t="shared" si="129"/>
        <v>50000000</v>
      </c>
      <c r="K695" s="115">
        <f t="shared" si="130"/>
        <v>50000000</v>
      </c>
      <c r="L695" s="115">
        <f t="shared" si="131"/>
        <v>50000000</v>
      </c>
      <c r="M695" s="115">
        <f t="shared" si="132"/>
        <v>50000000</v>
      </c>
      <c r="N695" s="115">
        <f t="shared" si="133"/>
        <v>50000000</v>
      </c>
      <c r="O695" s="115">
        <f t="shared" si="134"/>
        <v>50000000</v>
      </c>
      <c r="P695" s="115">
        <f t="shared" si="135"/>
        <v>50000000</v>
      </c>
      <c r="Q695" s="116"/>
      <c r="R695" s="116"/>
      <c r="S695" s="116"/>
      <c r="T695" s="116">
        <f>50000000-32000000+32000000</f>
        <v>50000000</v>
      </c>
      <c r="U695" s="116"/>
      <c r="V695" s="116"/>
      <c r="W695" s="116"/>
      <c r="X695" s="116"/>
      <c r="Y695" s="116"/>
      <c r="Z695" s="116"/>
      <c r="AA695" s="116"/>
      <c r="AB695" s="116"/>
      <c r="AC695" s="115"/>
      <c r="AD695" s="176" t="s">
        <v>287</v>
      </c>
      <c r="AE695" s="169"/>
      <c r="AF695" s="120"/>
      <c r="AG695" s="120"/>
      <c r="AH695" s="115"/>
      <c r="AI695" s="127"/>
      <c r="AJ695" s="127"/>
    </row>
    <row r="696" spans="1:55" ht="15">
      <c r="C696" s="108" t="s">
        <v>1724</v>
      </c>
      <c r="E696" s="120"/>
      <c r="F696" s="120"/>
      <c r="G696" s="120"/>
      <c r="H696" s="115">
        <f t="shared" si="127"/>
        <v>44735301.079999998</v>
      </c>
      <c r="I696" s="115">
        <f t="shared" si="128"/>
        <v>44735301.079999998</v>
      </c>
      <c r="J696" s="115">
        <f t="shared" si="129"/>
        <v>44735301.079999998</v>
      </c>
      <c r="K696" s="115">
        <f t="shared" si="130"/>
        <v>44735301.079999998</v>
      </c>
      <c r="L696" s="115">
        <f t="shared" si="131"/>
        <v>44735301.079999998</v>
      </c>
      <c r="M696" s="115">
        <f t="shared" si="132"/>
        <v>44735301.079999998</v>
      </c>
      <c r="N696" s="115">
        <f t="shared" si="133"/>
        <v>44735301.079999998</v>
      </c>
      <c r="O696" s="115">
        <f t="shared" si="134"/>
        <v>44735301.079999998</v>
      </c>
      <c r="P696" s="115">
        <f t="shared" si="135"/>
        <v>44735301.079999998</v>
      </c>
      <c r="Q696" s="116"/>
      <c r="R696" s="116"/>
      <c r="S696" s="116"/>
      <c r="T696" s="116">
        <f>32708392.14+11807817.17-10900+148958.05-52990+134023.72</f>
        <v>44735301.079999998</v>
      </c>
      <c r="U696" s="116"/>
      <c r="V696" s="116"/>
      <c r="W696" s="116"/>
      <c r="X696" s="116"/>
      <c r="Y696" s="116"/>
      <c r="Z696" s="116"/>
      <c r="AA696" s="116"/>
      <c r="AB696" s="116"/>
      <c r="AC696" s="115"/>
      <c r="AD696" s="176"/>
      <c r="AE696" s="169"/>
      <c r="AF696" s="120"/>
      <c r="AG696" s="120"/>
      <c r="AH696" s="115"/>
      <c r="AI696" s="127"/>
      <c r="AJ696" s="127"/>
    </row>
    <row r="697" spans="1:55">
      <c r="A697" s="128"/>
      <c r="B697" s="154"/>
      <c r="C697" s="154" t="s">
        <v>1725</v>
      </c>
      <c r="E697" s="120"/>
      <c r="F697" s="120"/>
      <c r="G697" s="120"/>
      <c r="H697" s="115">
        <f t="shared" si="127"/>
        <v>2092540.7999999998</v>
      </c>
      <c r="I697" s="115">
        <f t="shared" si="128"/>
        <v>2092540.7999999998</v>
      </c>
      <c r="J697" s="115">
        <f t="shared" si="129"/>
        <v>2092540.7999999998</v>
      </c>
      <c r="K697" s="115">
        <f t="shared" si="130"/>
        <v>2092540.7999999998</v>
      </c>
      <c r="L697" s="115">
        <f t="shared" si="131"/>
        <v>2092540.7999999998</v>
      </c>
      <c r="M697" s="115">
        <f t="shared" si="132"/>
        <v>2092540.7999999998</v>
      </c>
      <c r="N697" s="115">
        <f t="shared" si="133"/>
        <v>2092540.7999999998</v>
      </c>
      <c r="O697" s="115">
        <f t="shared" si="134"/>
        <v>2092540.7999999998</v>
      </c>
      <c r="P697" s="115">
        <f t="shared" si="135"/>
        <v>2092540.7999999998</v>
      </c>
      <c r="Q697" s="116"/>
      <c r="R697" s="116"/>
      <c r="S697" s="116"/>
      <c r="T697" s="116">
        <f>2082818.94-118482.19-96336.77-8750-147342.11-250000-117000-191161.58-20000-130789.91-66030.91+1500000-707.64-150000-327754.3-18184.03-14400-320000-30000-5371.53-20000-468240+1500000-511447.48-42464-4000-12000-88459.25-30000-117994.6-174000+90000-203283.68-238000-337780.65+71237.9+2000000-495976.81-45000-159978.19-205000-626530.8-49796.21-555000-9000+8788.7-2050+4300000-191517.74-3175609.06-210800-270000-125680.35-179640.67-167400-327929.2-50000-2000-42900+51000-39590-81720.05-180000+3800000-87000-116125-209000-17633.18-30760-478812.6-2974.25-324400+87000-102500-135000-441000</f>
        <v>2092540.7999999998</v>
      </c>
      <c r="U697" s="116"/>
      <c r="V697" s="116"/>
      <c r="W697" s="116"/>
      <c r="X697" s="116"/>
      <c r="Y697" s="116"/>
      <c r="Z697" s="116"/>
      <c r="AA697" s="116"/>
      <c r="AB697" s="116"/>
      <c r="AC697" s="115"/>
      <c r="AD697" s="117" t="s">
        <v>1726</v>
      </c>
      <c r="AE697" s="162"/>
      <c r="AF697" s="120"/>
      <c r="AG697" s="117">
        <v>2974.25</v>
      </c>
      <c r="AH697" s="115" t="s">
        <v>1727</v>
      </c>
      <c r="AI697" s="115"/>
      <c r="AJ697" s="160"/>
      <c r="AL697" s="120"/>
      <c r="AV697" s="120"/>
      <c r="BC697" s="135" t="e">
        <f>BC687-BC694</f>
        <v>#REF!</v>
      </c>
    </row>
    <row r="698" spans="1:55" ht="15">
      <c r="A698" s="128"/>
      <c r="B698" s="154"/>
      <c r="C698" s="154" t="s">
        <v>1728</v>
      </c>
      <c r="E698" s="120"/>
      <c r="F698" s="120"/>
      <c r="G698" s="120"/>
      <c r="H698" s="115">
        <f t="shared" si="127"/>
        <v>200448</v>
      </c>
      <c r="I698" s="115">
        <f t="shared" si="128"/>
        <v>200448</v>
      </c>
      <c r="J698" s="115">
        <f t="shared" si="129"/>
        <v>200448</v>
      </c>
      <c r="K698" s="115">
        <f t="shared" si="130"/>
        <v>200448</v>
      </c>
      <c r="L698" s="115">
        <f t="shared" si="131"/>
        <v>200448</v>
      </c>
      <c r="M698" s="115">
        <f t="shared" si="132"/>
        <v>200448</v>
      </c>
      <c r="N698" s="115">
        <f t="shared" si="133"/>
        <v>200448</v>
      </c>
      <c r="O698" s="115">
        <f t="shared" si="134"/>
        <v>200448</v>
      </c>
      <c r="P698" s="115">
        <f t="shared" si="135"/>
        <v>200448</v>
      </c>
      <c r="Q698" s="116"/>
      <c r="R698" s="116"/>
      <c r="S698" s="116"/>
      <c r="T698" s="116">
        <f>310448-110000</f>
        <v>200448</v>
      </c>
      <c r="U698" s="116"/>
      <c r="V698" s="116"/>
      <c r="W698" s="116"/>
      <c r="X698" s="116"/>
      <c r="Y698" s="116"/>
      <c r="Z698" s="116"/>
      <c r="AA698" s="116"/>
      <c r="AB698" s="116"/>
      <c r="AC698" s="115"/>
      <c r="AD698" s="117"/>
      <c r="AE698" s="162"/>
      <c r="AF698" s="120"/>
      <c r="AG698" s="120"/>
      <c r="AH698" s="115"/>
      <c r="AI698" s="115"/>
      <c r="AJ698" s="160"/>
      <c r="AL698" s="177"/>
      <c r="AP698" s="126"/>
      <c r="AQ698" s="171"/>
      <c r="AS698" s="120"/>
      <c r="AV698" s="120"/>
    </row>
    <row r="699" spans="1:55" ht="15">
      <c r="A699" s="128"/>
      <c r="B699" s="154"/>
      <c r="C699" s="154" t="s">
        <v>1729</v>
      </c>
      <c r="E699" s="120"/>
      <c r="F699" s="120"/>
      <c r="G699" s="120"/>
      <c r="H699" s="115">
        <f t="shared" si="127"/>
        <v>100</v>
      </c>
      <c r="I699" s="115">
        <f t="shared" si="128"/>
        <v>100</v>
      </c>
      <c r="J699" s="115">
        <f t="shared" si="129"/>
        <v>100</v>
      </c>
      <c r="K699" s="115">
        <f t="shared" si="130"/>
        <v>100</v>
      </c>
      <c r="L699" s="115">
        <f t="shared" si="131"/>
        <v>100</v>
      </c>
      <c r="M699" s="115">
        <f t="shared" si="132"/>
        <v>100</v>
      </c>
      <c r="N699" s="115">
        <f t="shared" si="133"/>
        <v>100</v>
      </c>
      <c r="O699" s="115">
        <f t="shared" si="134"/>
        <v>100</v>
      </c>
      <c r="P699" s="115">
        <f t="shared" si="135"/>
        <v>100</v>
      </c>
      <c r="Q699" s="116"/>
      <c r="R699" s="116"/>
      <c r="S699" s="116"/>
      <c r="T699" s="116">
        <f>203400-199000+474600-4400-13000-146500-155000-160000</f>
        <v>100</v>
      </c>
      <c r="U699" s="116"/>
      <c r="V699" s="116"/>
      <c r="W699" s="116"/>
      <c r="X699" s="116"/>
      <c r="Y699" s="116"/>
      <c r="Z699" s="116"/>
      <c r="AA699" s="116"/>
      <c r="AB699" s="116"/>
      <c r="AC699" s="115"/>
      <c r="AD699" s="117"/>
      <c r="AE699" s="162"/>
      <c r="AF699" s="120"/>
      <c r="AG699" s="120"/>
      <c r="AH699" s="115"/>
      <c r="AI699" s="115"/>
      <c r="AJ699" s="160"/>
      <c r="AL699" s="135"/>
      <c r="AQ699" s="173"/>
      <c r="AS699" s="120"/>
      <c r="AV699" s="120"/>
    </row>
    <row r="700" spans="1:55" ht="15">
      <c r="A700" s="128"/>
      <c r="B700" s="154"/>
      <c r="C700" s="154" t="s">
        <v>1730</v>
      </c>
      <c r="E700" s="120"/>
      <c r="F700" s="120"/>
      <c r="G700" s="120"/>
      <c r="H700" s="115">
        <f t="shared" si="127"/>
        <v>557.9100000000326</v>
      </c>
      <c r="I700" s="115">
        <f t="shared" si="128"/>
        <v>557.9100000000326</v>
      </c>
      <c r="J700" s="115">
        <f t="shared" si="129"/>
        <v>557.9100000000326</v>
      </c>
      <c r="K700" s="115">
        <f t="shared" si="130"/>
        <v>557.9100000000326</v>
      </c>
      <c r="L700" s="115">
        <f t="shared" si="131"/>
        <v>557.9100000000326</v>
      </c>
      <c r="M700" s="115">
        <f t="shared" si="132"/>
        <v>557.9100000000326</v>
      </c>
      <c r="N700" s="115">
        <f t="shared" si="133"/>
        <v>557.9100000000326</v>
      </c>
      <c r="O700" s="115">
        <f t="shared" si="134"/>
        <v>557.9100000000326</v>
      </c>
      <c r="P700" s="115">
        <f t="shared" si="135"/>
        <v>557.9100000000326</v>
      </c>
      <c r="Q700" s="116"/>
      <c r="R700" s="116"/>
      <c r="S700" s="116"/>
      <c r="T700" s="116">
        <f>1500000-500000-13440-973402.09-8400-4200</f>
        <v>557.9100000000326</v>
      </c>
      <c r="U700" s="116"/>
      <c r="V700" s="116"/>
      <c r="W700" s="116"/>
      <c r="X700" s="116"/>
      <c r="Y700" s="116"/>
      <c r="Z700" s="116"/>
      <c r="AA700" s="116"/>
      <c r="AB700" s="116"/>
      <c r="AC700" s="115"/>
      <c r="AD700" s="117" t="s">
        <v>1731</v>
      </c>
      <c r="AE700" s="162">
        <f>11950.64+3530</f>
        <v>15480.64</v>
      </c>
      <c r="AF700" s="120"/>
      <c r="AG700" s="120"/>
      <c r="AH700" s="115"/>
      <c r="AI700" s="127"/>
      <c r="AJ700" s="160"/>
      <c r="AL700" s="170"/>
      <c r="AQ700" s="174"/>
      <c r="AR700" s="108" t="s">
        <v>1732</v>
      </c>
      <c r="AS700" s="120"/>
      <c r="AV700" s="120"/>
    </row>
    <row r="701" spans="1:55" ht="15">
      <c r="A701" s="128"/>
      <c r="B701" s="154"/>
      <c r="C701" s="154" t="s">
        <v>1733</v>
      </c>
      <c r="E701" s="120"/>
      <c r="F701" s="120"/>
      <c r="G701" s="120"/>
      <c r="H701" s="115">
        <f t="shared" si="127"/>
        <v>45658.910000000011</v>
      </c>
      <c r="I701" s="115">
        <f t="shared" si="128"/>
        <v>45658.910000000011</v>
      </c>
      <c r="J701" s="115">
        <f t="shared" si="129"/>
        <v>45658.910000000011</v>
      </c>
      <c r="K701" s="115">
        <f t="shared" si="130"/>
        <v>45658.910000000011</v>
      </c>
      <c r="L701" s="115">
        <f t="shared" si="131"/>
        <v>45658.910000000011</v>
      </c>
      <c r="M701" s="115">
        <f t="shared" si="132"/>
        <v>45658.910000000011</v>
      </c>
      <c r="N701" s="115">
        <f t="shared" si="133"/>
        <v>45658.910000000011</v>
      </c>
      <c r="O701" s="115">
        <f t="shared" si="134"/>
        <v>45658.910000000011</v>
      </c>
      <c r="P701" s="115">
        <f t="shared" si="135"/>
        <v>45658.910000000011</v>
      </c>
      <c r="Q701" s="116"/>
      <c r="R701" s="116"/>
      <c r="S701" s="116"/>
      <c r="T701" s="116">
        <f>1040000-984793.74-4600-4947.35</f>
        <v>45658.910000000011</v>
      </c>
      <c r="U701" s="116"/>
      <c r="V701" s="116"/>
      <c r="W701" s="116"/>
      <c r="X701" s="116"/>
      <c r="Y701" s="116"/>
      <c r="Z701" s="116"/>
      <c r="AA701" s="116"/>
      <c r="AB701" s="116"/>
      <c r="AC701" s="115"/>
      <c r="AE701" s="162"/>
      <c r="AF701" s="120"/>
      <c r="AG701" s="120"/>
      <c r="AH701" s="115"/>
      <c r="AI701" s="115"/>
      <c r="AJ701" s="160"/>
      <c r="AL701" s="120"/>
      <c r="AQ701" s="178"/>
      <c r="AS701" s="120"/>
      <c r="AV701" s="120"/>
    </row>
    <row r="702" spans="1:55" ht="15" hidden="1">
      <c r="A702" s="128"/>
      <c r="B702" s="154"/>
      <c r="C702" s="154" t="s">
        <v>1734</v>
      </c>
      <c r="E702" s="120"/>
      <c r="F702" s="120"/>
      <c r="G702" s="120"/>
      <c r="H702" s="115">
        <f t="shared" si="127"/>
        <v>78023.290000000037</v>
      </c>
      <c r="I702" s="115">
        <f t="shared" si="128"/>
        <v>78023.290000000037</v>
      </c>
      <c r="J702" s="115">
        <f t="shared" si="129"/>
        <v>0</v>
      </c>
      <c r="K702" s="115">
        <f t="shared" si="130"/>
        <v>4.3655745685100555E-11</v>
      </c>
      <c r="L702" s="115">
        <f t="shared" si="131"/>
        <v>4.3655745685100555E-11</v>
      </c>
      <c r="M702" s="115">
        <f t="shared" si="132"/>
        <v>4.3655745685100555E-11</v>
      </c>
      <c r="N702" s="115">
        <f t="shared" si="133"/>
        <v>4.3655745685100555E-11</v>
      </c>
      <c r="O702" s="115">
        <f t="shared" si="134"/>
        <v>4.3655745685100555E-11</v>
      </c>
      <c r="P702" s="115">
        <f t="shared" si="135"/>
        <v>4.3655745685100555E-11</v>
      </c>
      <c r="Q702" s="116"/>
      <c r="R702" s="116"/>
      <c r="S702" s="116"/>
      <c r="T702" s="116">
        <f>970000-970000+970000-891976.71</f>
        <v>78023.290000000037</v>
      </c>
      <c r="U702" s="116"/>
      <c r="V702" s="116">
        <v>-78023.289999999994</v>
      </c>
      <c r="W702" s="116"/>
      <c r="X702" s="116"/>
      <c r="Y702" s="116"/>
      <c r="Z702" s="116"/>
      <c r="AA702" s="116"/>
      <c r="AB702" s="116"/>
      <c r="AC702" s="115"/>
      <c r="AE702" s="162"/>
      <c r="AF702" s="120"/>
      <c r="AG702" s="120"/>
      <c r="AH702" s="115"/>
      <c r="AI702" s="115"/>
      <c r="AJ702" s="160"/>
      <c r="AL702" s="120"/>
      <c r="AQ702" s="178"/>
      <c r="AS702" s="120"/>
      <c r="AV702" s="120"/>
    </row>
    <row r="703" spans="1:55" ht="15">
      <c r="A703" s="128"/>
      <c r="B703" s="154"/>
      <c r="C703" s="154" t="s">
        <v>1735</v>
      </c>
      <c r="E703" s="120"/>
      <c r="F703" s="120"/>
      <c r="G703" s="120"/>
      <c r="H703" s="115">
        <f t="shared" si="127"/>
        <v>339581.32999999996</v>
      </c>
      <c r="I703" s="115">
        <f t="shared" si="128"/>
        <v>339581.32999999996</v>
      </c>
      <c r="J703" s="115">
        <f t="shared" si="129"/>
        <v>339581.32999999996</v>
      </c>
      <c r="K703" s="115">
        <f t="shared" si="130"/>
        <v>339581.32999999996</v>
      </c>
      <c r="L703" s="115">
        <f t="shared" si="131"/>
        <v>339581.32999999996</v>
      </c>
      <c r="M703" s="115">
        <f t="shared" si="132"/>
        <v>339581.32999999996</v>
      </c>
      <c r="N703" s="115">
        <f t="shared" si="133"/>
        <v>339581.32999999996</v>
      </c>
      <c r="O703" s="115">
        <f t="shared" si="134"/>
        <v>339581.32999999996</v>
      </c>
      <c r="P703" s="115">
        <f t="shared" si="135"/>
        <v>339581.32999999996</v>
      </c>
      <c r="Q703" s="116"/>
      <c r="R703" s="116"/>
      <c r="S703" s="116"/>
      <c r="T703" s="116">
        <f>1400000-1400000+1600000-1600000+1000000-634208.67-26210</f>
        <v>339581.32999999996</v>
      </c>
      <c r="U703" s="116"/>
      <c r="V703" s="116"/>
      <c r="W703" s="116"/>
      <c r="X703" s="116"/>
      <c r="Y703" s="116"/>
      <c r="Z703" s="116"/>
      <c r="AA703" s="116"/>
      <c r="AB703" s="116"/>
      <c r="AC703" s="115"/>
      <c r="AD703" s="117"/>
      <c r="AE703" s="162"/>
      <c r="AF703" s="120"/>
      <c r="AG703" s="120"/>
      <c r="AH703" s="115"/>
      <c r="AI703" s="115"/>
      <c r="AJ703" s="160"/>
      <c r="AL703" s="120"/>
      <c r="AQ703" s="178"/>
      <c r="AS703" s="120"/>
      <c r="AV703" s="120"/>
    </row>
    <row r="704" spans="1:55" ht="15">
      <c r="A704" s="128"/>
      <c r="B704" s="154"/>
      <c r="C704" s="154" t="s">
        <v>1736</v>
      </c>
      <c r="E704" s="120"/>
      <c r="F704" s="120"/>
      <c r="G704" s="120"/>
      <c r="H704" s="115">
        <f t="shared" si="127"/>
        <v>8634.5900000000038</v>
      </c>
      <c r="I704" s="115">
        <f t="shared" si="128"/>
        <v>8634.5900000000038</v>
      </c>
      <c r="J704" s="115">
        <f t="shared" si="129"/>
        <v>8634.5900000000038</v>
      </c>
      <c r="K704" s="115">
        <f t="shared" si="130"/>
        <v>8634.5900000000038</v>
      </c>
      <c r="L704" s="115">
        <f t="shared" si="131"/>
        <v>8634.5900000000038</v>
      </c>
      <c r="M704" s="115">
        <f t="shared" si="132"/>
        <v>8634.5900000000038</v>
      </c>
      <c r="N704" s="115">
        <f t="shared" si="133"/>
        <v>8634.5900000000038</v>
      </c>
      <c r="O704" s="115">
        <f t="shared" si="134"/>
        <v>8634.5900000000038</v>
      </c>
      <c r="P704" s="115">
        <f t="shared" si="135"/>
        <v>8634.5900000000038</v>
      </c>
      <c r="Q704" s="116"/>
      <c r="R704" s="116"/>
      <c r="S704" s="116"/>
      <c r="T704" s="116">
        <f>280000-280000+520000-480330.87-5060-25974.54</f>
        <v>8634.5900000000038</v>
      </c>
      <c r="U704" s="116"/>
      <c r="V704" s="116"/>
      <c r="W704" s="116"/>
      <c r="X704" s="116"/>
      <c r="Y704" s="116"/>
      <c r="Z704" s="116"/>
      <c r="AA704" s="116"/>
      <c r="AB704" s="116"/>
      <c r="AC704" s="115"/>
      <c r="AD704" s="117"/>
      <c r="AE704" s="162"/>
      <c r="AF704" s="120"/>
      <c r="AG704" s="120"/>
      <c r="AH704" s="115"/>
      <c r="AI704" s="115"/>
      <c r="AJ704" s="160"/>
      <c r="AL704" s="120"/>
      <c r="AQ704" s="178"/>
      <c r="AS704" s="120"/>
      <c r="AV704" s="120"/>
    </row>
    <row r="705" spans="1:48" ht="15">
      <c r="A705" s="128"/>
      <c r="B705" s="154"/>
      <c r="C705" s="154" t="s">
        <v>1737</v>
      </c>
      <c r="E705" s="120"/>
      <c r="F705" s="120"/>
      <c r="G705" s="120"/>
      <c r="H705" s="115">
        <f t="shared" si="127"/>
        <v>840000</v>
      </c>
      <c r="I705" s="115">
        <f t="shared" si="128"/>
        <v>840000</v>
      </c>
      <c r="J705" s="115">
        <f t="shared" si="129"/>
        <v>1106277.58</v>
      </c>
      <c r="K705" s="115">
        <f t="shared" si="130"/>
        <v>841699.76</v>
      </c>
      <c r="L705" s="115">
        <f t="shared" si="131"/>
        <v>841699.76</v>
      </c>
      <c r="M705" s="115">
        <f t="shared" si="132"/>
        <v>841699.76</v>
      </c>
      <c r="N705" s="115">
        <f t="shared" si="133"/>
        <v>841699.76</v>
      </c>
      <c r="O705" s="115">
        <f t="shared" si="134"/>
        <v>841699.76</v>
      </c>
      <c r="P705" s="115">
        <f t="shared" si="135"/>
        <v>841699.76</v>
      </c>
      <c r="Q705" s="116"/>
      <c r="R705" s="116"/>
      <c r="S705" s="116"/>
      <c r="T705" s="116">
        <v>840000</v>
      </c>
      <c r="U705" s="116"/>
      <c r="V705" s="116">
        <f>1560000-1293722.42</f>
        <v>266277.58000000007</v>
      </c>
      <c r="W705" s="116">
        <v>-264577.82</v>
      </c>
      <c r="X705" s="116"/>
      <c r="Y705" s="116"/>
      <c r="Z705" s="116"/>
      <c r="AA705" s="116"/>
      <c r="AB705" s="116"/>
      <c r="AC705" s="115"/>
      <c r="AD705" s="117"/>
      <c r="AE705" s="162"/>
      <c r="AF705" s="120"/>
      <c r="AG705" s="120"/>
      <c r="AH705" s="115"/>
      <c r="AI705" s="115"/>
      <c r="AJ705" s="160"/>
      <c r="AL705" s="120"/>
      <c r="AQ705" s="178"/>
      <c r="AS705" s="120"/>
      <c r="AV705" s="120"/>
    </row>
    <row r="706" spans="1:48" ht="15">
      <c r="A706" s="128"/>
      <c r="B706" s="154"/>
      <c r="C706" s="154" t="s">
        <v>1738</v>
      </c>
      <c r="E706" s="120"/>
      <c r="F706" s="120"/>
      <c r="G706" s="120"/>
      <c r="H706" s="115">
        <f t="shared" si="127"/>
        <v>17626.999999999971</v>
      </c>
      <c r="I706" s="115">
        <f t="shared" si="128"/>
        <v>17626.999999999971</v>
      </c>
      <c r="J706" s="115">
        <f t="shared" si="129"/>
        <v>17626.999999999971</v>
      </c>
      <c r="K706" s="115">
        <f t="shared" si="130"/>
        <v>17626.999999999971</v>
      </c>
      <c r="L706" s="115">
        <f t="shared" si="131"/>
        <v>17626.999999999971</v>
      </c>
      <c r="M706" s="115">
        <f t="shared" si="132"/>
        <v>17626.999999999971</v>
      </c>
      <c r="N706" s="115">
        <f t="shared" si="133"/>
        <v>17626.999999999971</v>
      </c>
      <c r="O706" s="115">
        <f t="shared" si="134"/>
        <v>17626.999999999971</v>
      </c>
      <c r="P706" s="115">
        <f t="shared" si="135"/>
        <v>17626.999999999971</v>
      </c>
      <c r="Q706" s="116"/>
      <c r="R706" s="116"/>
      <c r="S706" s="116"/>
      <c r="T706" s="116">
        <f>840000-117381.42-11270-361051.87-32803-92366.73-207499.98</f>
        <v>17626.999999999971</v>
      </c>
      <c r="U706" s="116"/>
      <c r="V706" s="116"/>
      <c r="W706" s="116"/>
      <c r="X706" s="116"/>
      <c r="Y706" s="116"/>
      <c r="Z706" s="116"/>
      <c r="AA706" s="116"/>
      <c r="AB706" s="116"/>
      <c r="AC706" s="115"/>
      <c r="AD706" s="117"/>
      <c r="AE706" s="162"/>
      <c r="AF706" s="120"/>
      <c r="AG706" s="120"/>
      <c r="AH706" s="115"/>
      <c r="AI706" s="115"/>
      <c r="AJ706" s="160"/>
      <c r="AL706" s="120"/>
      <c r="AQ706" s="178"/>
      <c r="AS706" s="120"/>
      <c r="AV706" s="120"/>
    </row>
    <row r="707" spans="1:48" ht="15">
      <c r="A707" s="128"/>
      <c r="B707" s="154"/>
      <c r="C707" s="154" t="s">
        <v>2318</v>
      </c>
      <c r="E707" s="120"/>
      <c r="F707" s="120"/>
      <c r="G707" s="120"/>
      <c r="H707" s="115"/>
      <c r="I707" s="115">
        <f t="shared" si="128"/>
        <v>495789.16000000003</v>
      </c>
      <c r="J707" s="115">
        <f>Q707+R707+S707+T707+U707+V707</f>
        <v>235186.16000000003</v>
      </c>
      <c r="K707" s="115">
        <f t="shared" si="130"/>
        <v>235186.16000000003</v>
      </c>
      <c r="L707" s="115">
        <f t="shared" si="131"/>
        <v>235186.16000000003</v>
      </c>
      <c r="M707" s="115"/>
      <c r="N707" s="115"/>
      <c r="O707" s="115"/>
      <c r="P707" s="115"/>
      <c r="Q707" s="116"/>
      <c r="R707" s="116"/>
      <c r="S707" s="116"/>
      <c r="T707" s="116"/>
      <c r="U707" s="116">
        <f>1040000-544210.84</f>
        <v>495789.16000000003</v>
      </c>
      <c r="V707" s="116">
        <v>-260603</v>
      </c>
      <c r="W707" s="116"/>
      <c r="X707" s="116"/>
      <c r="Y707" s="116"/>
      <c r="Z707" s="116"/>
      <c r="AA707" s="116"/>
      <c r="AB707" s="116"/>
      <c r="AC707" s="115"/>
      <c r="AD707" s="117"/>
      <c r="AE707" s="162"/>
      <c r="AF707" s="120"/>
      <c r="AG707" s="120"/>
      <c r="AH707" s="115"/>
      <c r="AI707" s="115"/>
      <c r="AJ707" s="160"/>
      <c r="AL707" s="120"/>
      <c r="AQ707" s="178"/>
      <c r="AS707" s="120"/>
      <c r="AV707" s="120"/>
    </row>
    <row r="708" spans="1:48" ht="15">
      <c r="A708" s="128"/>
      <c r="B708" s="154"/>
      <c r="C708" s="128" t="s">
        <v>1739</v>
      </c>
      <c r="D708" s="128"/>
      <c r="E708" s="117"/>
      <c r="F708" s="117"/>
      <c r="G708" s="117"/>
      <c r="H708" s="115">
        <f t="shared" si="127"/>
        <v>500</v>
      </c>
      <c r="I708" s="115">
        <f t="shared" si="128"/>
        <v>500</v>
      </c>
      <c r="J708" s="115">
        <f t="shared" si="129"/>
        <v>500</v>
      </c>
      <c r="K708" s="115">
        <f t="shared" si="130"/>
        <v>500</v>
      </c>
      <c r="L708" s="115">
        <f t="shared" si="131"/>
        <v>500</v>
      </c>
      <c r="M708" s="115">
        <f t="shared" si="132"/>
        <v>500</v>
      </c>
      <c r="N708" s="115">
        <f t="shared" si="133"/>
        <v>500</v>
      </c>
      <c r="O708" s="115">
        <f t="shared" si="134"/>
        <v>500</v>
      </c>
      <c r="P708" s="115">
        <f t="shared" si="135"/>
        <v>500</v>
      </c>
      <c r="Q708" s="125"/>
      <c r="R708" s="125"/>
      <c r="S708" s="125"/>
      <c r="T708" s="125">
        <f>500-45000+45000</f>
        <v>500</v>
      </c>
      <c r="U708" s="125"/>
      <c r="V708" s="125"/>
      <c r="W708" s="125"/>
      <c r="X708" s="125"/>
      <c r="Y708" s="125"/>
      <c r="Z708" s="125"/>
      <c r="AA708" s="125"/>
      <c r="AB708" s="125"/>
      <c r="AC708" s="124"/>
      <c r="AD708" s="117" t="s">
        <v>1740</v>
      </c>
      <c r="AE708" s="179">
        <v>6364.8</v>
      </c>
      <c r="AF708" s="115"/>
      <c r="AG708" s="127"/>
      <c r="AH708" s="127"/>
      <c r="AI708" s="115"/>
      <c r="AJ708" s="160"/>
      <c r="AL708" s="120"/>
      <c r="AP708" s="126"/>
      <c r="AQ708" s="120"/>
      <c r="AS708" s="129">
        <f>SUM(AS681:AS701)</f>
        <v>0</v>
      </c>
      <c r="AV708" s="120"/>
    </row>
    <row r="709" spans="1:48" ht="15.75" thickBot="1">
      <c r="A709" s="128"/>
      <c r="B709" s="154"/>
      <c r="C709" s="128" t="s">
        <v>1741</v>
      </c>
      <c r="D709" s="128"/>
      <c r="E709" s="117"/>
      <c r="F709" s="117"/>
      <c r="G709" s="117"/>
      <c r="H709" s="115">
        <f t="shared" si="127"/>
        <v>214951.74</v>
      </c>
      <c r="I709" s="115">
        <f t="shared" si="128"/>
        <v>214951.74</v>
      </c>
      <c r="J709" s="115">
        <f t="shared" si="129"/>
        <v>214951.74</v>
      </c>
      <c r="K709" s="115">
        <f t="shared" si="130"/>
        <v>214951.74</v>
      </c>
      <c r="L709" s="115">
        <f t="shared" si="131"/>
        <v>214951.74</v>
      </c>
      <c r="M709" s="115">
        <f t="shared" si="132"/>
        <v>214951.74</v>
      </c>
      <c r="N709" s="115">
        <f t="shared" si="133"/>
        <v>214951.74</v>
      </c>
      <c r="O709" s="115">
        <f t="shared" si="134"/>
        <v>214951.74</v>
      </c>
      <c r="P709" s="115">
        <f t="shared" si="135"/>
        <v>214951.74</v>
      </c>
      <c r="Q709" s="125"/>
      <c r="R709" s="125"/>
      <c r="S709" s="125"/>
      <c r="T709" s="125">
        <v>214951.74</v>
      </c>
      <c r="U709" s="125"/>
      <c r="V709" s="125"/>
      <c r="W709" s="125"/>
      <c r="X709" s="125"/>
      <c r="Y709" s="125"/>
      <c r="Z709" s="125"/>
      <c r="AA709" s="125"/>
      <c r="AB709" s="125"/>
      <c r="AC709" s="124"/>
      <c r="AD709" s="117"/>
      <c r="AE709" s="162"/>
      <c r="AF709" s="115"/>
      <c r="AG709" s="153"/>
      <c r="AH709" s="172"/>
      <c r="AI709" s="115"/>
      <c r="AJ709" s="160"/>
      <c r="AL709" s="180"/>
      <c r="AQ709" s="120"/>
      <c r="AS709" s="120"/>
      <c r="AV709" s="120"/>
    </row>
    <row r="710" spans="1:48" ht="15">
      <c r="A710" s="128"/>
      <c r="B710" s="154"/>
      <c r="C710" s="128" t="s">
        <v>1742</v>
      </c>
      <c r="D710" s="128"/>
      <c r="E710" s="117"/>
      <c r="F710" s="117"/>
      <c r="G710" s="117"/>
      <c r="H710" s="115">
        <f t="shared" si="127"/>
        <v>192958</v>
      </c>
      <c r="I710" s="115">
        <f t="shared" si="128"/>
        <v>192958</v>
      </c>
      <c r="J710" s="115">
        <f t="shared" si="129"/>
        <v>192958</v>
      </c>
      <c r="K710" s="115">
        <f t="shared" si="130"/>
        <v>192958</v>
      </c>
      <c r="L710" s="115">
        <f t="shared" si="131"/>
        <v>192958</v>
      </c>
      <c r="M710" s="115">
        <f t="shared" si="132"/>
        <v>192958</v>
      </c>
      <c r="N710" s="115">
        <f t="shared" si="133"/>
        <v>192958</v>
      </c>
      <c r="O710" s="115">
        <f t="shared" si="134"/>
        <v>192958</v>
      </c>
      <c r="P710" s="115">
        <f t="shared" si="135"/>
        <v>192958</v>
      </c>
      <c r="Q710" s="125"/>
      <c r="R710" s="125"/>
      <c r="S710" s="125"/>
      <c r="T710" s="125">
        <v>192958</v>
      </c>
      <c r="U710" s="125"/>
      <c r="V710" s="125"/>
      <c r="W710" s="125"/>
      <c r="X710" s="125"/>
      <c r="Y710" s="125"/>
      <c r="Z710" s="125"/>
      <c r="AA710" s="125"/>
      <c r="AB710" s="125"/>
      <c r="AC710" s="124"/>
      <c r="AD710" s="117"/>
      <c r="AE710" s="162"/>
      <c r="AF710" s="115"/>
      <c r="AG710" s="127"/>
      <c r="AH710" s="172"/>
      <c r="AI710" s="115"/>
      <c r="AJ710" s="160"/>
      <c r="AQ710" s="177"/>
      <c r="AS710" s="129">
        <f>SUM(AS687:AS709)</f>
        <v>0</v>
      </c>
      <c r="AV710" s="120"/>
    </row>
    <row r="711" spans="1:48" ht="15">
      <c r="A711" s="128"/>
      <c r="B711" s="154"/>
      <c r="C711" s="154" t="s">
        <v>1743</v>
      </c>
      <c r="E711" s="115"/>
      <c r="F711" s="115"/>
      <c r="G711" s="115"/>
      <c r="H711" s="115">
        <f t="shared" si="127"/>
        <v>1000</v>
      </c>
      <c r="I711" s="115">
        <f t="shared" si="128"/>
        <v>1000</v>
      </c>
      <c r="J711" s="115">
        <f t="shared" si="129"/>
        <v>1000</v>
      </c>
      <c r="K711" s="115">
        <f t="shared" si="130"/>
        <v>1000</v>
      </c>
      <c r="L711" s="115">
        <f t="shared" si="131"/>
        <v>1000</v>
      </c>
      <c r="M711" s="115">
        <f t="shared" si="132"/>
        <v>1000</v>
      </c>
      <c r="N711" s="115">
        <f t="shared" si="133"/>
        <v>1000</v>
      </c>
      <c r="O711" s="115">
        <f t="shared" si="134"/>
        <v>1000</v>
      </c>
      <c r="P711" s="115">
        <f t="shared" si="135"/>
        <v>1000</v>
      </c>
      <c r="Q711" s="116"/>
      <c r="R711" s="116"/>
      <c r="S711" s="116"/>
      <c r="T711" s="116">
        <f>3250000-3249000+6750000-6750000</f>
        <v>1000</v>
      </c>
      <c r="U711" s="116"/>
      <c r="V711" s="116"/>
      <c r="W711" s="116"/>
      <c r="X711" s="116"/>
      <c r="Y711" s="116"/>
      <c r="Z711" s="116"/>
      <c r="AA711" s="116"/>
      <c r="AB711" s="116"/>
      <c r="AC711" s="115"/>
      <c r="AD711" s="117"/>
      <c r="AE711" s="162"/>
      <c r="AF711" s="127"/>
      <c r="AG711" s="127"/>
      <c r="AH711" s="153"/>
      <c r="AI711" s="129"/>
      <c r="AJ711" s="115"/>
      <c r="AQ711" s="135"/>
      <c r="AS711" s="120"/>
      <c r="AV711" s="120"/>
    </row>
    <row r="712" spans="1:48" ht="15">
      <c r="A712" s="128"/>
      <c r="B712" s="154"/>
      <c r="C712" s="128" t="s">
        <v>1744</v>
      </c>
      <c r="D712" s="128"/>
      <c r="E712" s="117"/>
      <c r="F712" s="117"/>
      <c r="G712" s="117"/>
      <c r="H712" s="115">
        <f t="shared" si="127"/>
        <v>44006.799999999988</v>
      </c>
      <c r="I712" s="115">
        <f t="shared" si="128"/>
        <v>44006.799999999988</v>
      </c>
      <c r="J712" s="115">
        <f t="shared" si="129"/>
        <v>44006.799999999988</v>
      </c>
      <c r="K712" s="115">
        <f t="shared" si="130"/>
        <v>44006.799999999988</v>
      </c>
      <c r="L712" s="115">
        <f t="shared" si="131"/>
        <v>44006.799999999988</v>
      </c>
      <c r="M712" s="115">
        <f t="shared" si="132"/>
        <v>44006.799999999988</v>
      </c>
      <c r="N712" s="115">
        <f t="shared" si="133"/>
        <v>44006.799999999988</v>
      </c>
      <c r="O712" s="115">
        <f t="shared" si="134"/>
        <v>44006.799999999988</v>
      </c>
      <c r="P712" s="115">
        <f t="shared" si="135"/>
        <v>44006.799999999988</v>
      </c>
      <c r="Q712" s="125"/>
      <c r="R712" s="125"/>
      <c r="S712" s="125"/>
      <c r="T712" s="125">
        <f>100000-9500-30145.5-17905-31308-1800-1500-1600-410-2831.5+500000-160263.2-133910-4400-5836-113199-5850-8035-27500</f>
        <v>44006.799999999988</v>
      </c>
      <c r="U712" s="125"/>
      <c r="V712" s="125"/>
      <c r="W712" s="125"/>
      <c r="X712" s="125"/>
      <c r="Y712" s="125"/>
      <c r="Z712" s="125"/>
      <c r="AA712" s="125"/>
      <c r="AB712" s="125"/>
      <c r="AC712" s="124"/>
      <c r="AD712" s="181">
        <v>43000</v>
      </c>
      <c r="AE712" s="182" t="s">
        <v>1745</v>
      </c>
      <c r="AF712" s="127"/>
      <c r="AG712" s="127"/>
      <c r="AH712" s="178"/>
      <c r="AI712" s="127"/>
      <c r="AJ712" s="115"/>
      <c r="AQ712" s="140"/>
      <c r="AR712" s="108" t="s">
        <v>1746</v>
      </c>
      <c r="AS712" s="133"/>
      <c r="AV712" s="120"/>
    </row>
    <row r="713" spans="1:48" ht="15">
      <c r="A713" s="128"/>
      <c r="B713" s="154"/>
      <c r="C713" s="128" t="s">
        <v>1747</v>
      </c>
      <c r="D713" s="128"/>
      <c r="E713" s="117"/>
      <c r="F713" s="117"/>
      <c r="G713" s="117"/>
      <c r="H713" s="115">
        <f t="shared" si="127"/>
        <v>342</v>
      </c>
      <c r="I713" s="115">
        <f t="shared" si="128"/>
        <v>342</v>
      </c>
      <c r="J713" s="115">
        <f t="shared" si="129"/>
        <v>342</v>
      </c>
      <c r="K713" s="115">
        <f t="shared" si="130"/>
        <v>342</v>
      </c>
      <c r="L713" s="115">
        <f t="shared" si="131"/>
        <v>342</v>
      </c>
      <c r="M713" s="115">
        <f t="shared" si="132"/>
        <v>342</v>
      </c>
      <c r="N713" s="115">
        <f t="shared" si="133"/>
        <v>342</v>
      </c>
      <c r="O713" s="115">
        <f t="shared" si="134"/>
        <v>342</v>
      </c>
      <c r="P713" s="115">
        <f t="shared" si="135"/>
        <v>342</v>
      </c>
      <c r="Q713" s="125"/>
      <c r="R713" s="125"/>
      <c r="S713" s="125"/>
      <c r="T713" s="125">
        <v>342</v>
      </c>
      <c r="U713" s="125"/>
      <c r="V713" s="125"/>
      <c r="W713" s="125"/>
      <c r="X713" s="125"/>
      <c r="Y713" s="125"/>
      <c r="Z713" s="125"/>
      <c r="AA713" s="125"/>
      <c r="AB713" s="125"/>
      <c r="AC713" s="124"/>
      <c r="AD713" s="117"/>
      <c r="AE713" s="162">
        <v>88656.97</v>
      </c>
      <c r="AF713" s="183"/>
      <c r="AG713" s="153"/>
      <c r="AH713" s="172"/>
      <c r="AI713" s="127"/>
      <c r="AJ713" s="120"/>
      <c r="AQ713" s="170"/>
      <c r="AS713" s="120"/>
      <c r="AV713" s="120"/>
    </row>
    <row r="714" spans="1:48" ht="15">
      <c r="A714" s="128"/>
      <c r="B714" s="154"/>
      <c r="C714" s="128" t="s">
        <v>2335</v>
      </c>
      <c r="D714" s="128"/>
      <c r="E714" s="117"/>
      <c r="F714" s="117"/>
      <c r="G714" s="117"/>
      <c r="H714" s="115"/>
      <c r="I714" s="115"/>
      <c r="J714" s="115">
        <f t="shared" si="129"/>
        <v>0</v>
      </c>
      <c r="K714" s="115">
        <f t="shared" si="130"/>
        <v>1000000</v>
      </c>
      <c r="L714" s="115">
        <f t="shared" si="131"/>
        <v>1000000</v>
      </c>
      <c r="M714" s="115"/>
      <c r="N714" s="115"/>
      <c r="O714" s="115"/>
      <c r="P714" s="115"/>
      <c r="Q714" s="125"/>
      <c r="R714" s="125"/>
      <c r="S714" s="125"/>
      <c r="T714" s="125"/>
      <c r="U714" s="125"/>
      <c r="V714" s="125"/>
      <c r="W714" s="125">
        <v>1000000</v>
      </c>
      <c r="X714" s="125"/>
      <c r="Y714" s="125"/>
      <c r="Z714" s="125"/>
      <c r="AA714" s="125"/>
      <c r="AB714" s="125"/>
      <c r="AC714" s="124"/>
      <c r="AD714" s="117"/>
      <c r="AE714" s="162"/>
      <c r="AF714" s="183"/>
      <c r="AG714" s="153"/>
      <c r="AH714" s="172"/>
      <c r="AI714" s="127"/>
      <c r="AJ714" s="120"/>
      <c r="AQ714" s="170"/>
      <c r="AS714" s="120"/>
      <c r="AV714" s="120"/>
    </row>
    <row r="715" spans="1:48">
      <c r="A715" s="128"/>
      <c r="B715" s="154"/>
      <c r="C715" s="128" t="s">
        <v>1748</v>
      </c>
      <c r="D715" s="128"/>
      <c r="E715" s="117"/>
      <c r="F715" s="117"/>
      <c r="G715" s="117"/>
      <c r="H715" s="115">
        <f t="shared" si="127"/>
        <v>7910.070000000007</v>
      </c>
      <c r="I715" s="115">
        <f t="shared" si="128"/>
        <v>7910.070000000007</v>
      </c>
      <c r="J715" s="115">
        <f t="shared" si="129"/>
        <v>7910.070000000007</v>
      </c>
      <c r="K715" s="115">
        <f t="shared" si="130"/>
        <v>7910.070000000007</v>
      </c>
      <c r="L715" s="115">
        <f t="shared" si="131"/>
        <v>7910.070000000007</v>
      </c>
      <c r="M715" s="115">
        <f t="shared" si="132"/>
        <v>7910.070000000007</v>
      </c>
      <c r="N715" s="115">
        <f t="shared" si="133"/>
        <v>7910.070000000007</v>
      </c>
      <c r="O715" s="115">
        <f t="shared" si="134"/>
        <v>7910.070000000007</v>
      </c>
      <c r="P715" s="115">
        <f t="shared" si="135"/>
        <v>7910.070000000007</v>
      </c>
      <c r="Q715" s="125"/>
      <c r="R715" s="125"/>
      <c r="S715" s="125"/>
      <c r="T715" s="125">
        <f>5000000-4538730-18592.88-57012.89-45400-10024.36-5744-103450-2672-175688.8-965-33810</f>
        <v>7910.070000000007</v>
      </c>
      <c r="U715" s="125"/>
      <c r="V715" s="125"/>
      <c r="W715" s="125"/>
      <c r="X715" s="125"/>
      <c r="Y715" s="125"/>
      <c r="Z715" s="125"/>
      <c r="AA715" s="125"/>
      <c r="AB715" s="125"/>
      <c r="AC715" s="124"/>
      <c r="AD715" s="117"/>
      <c r="AE715" s="162">
        <v>131723.46</v>
      </c>
      <c r="AF715" s="127"/>
      <c r="AG715" s="184"/>
      <c r="AH715" s="115"/>
      <c r="AI715" s="127"/>
      <c r="AJ715" s="120"/>
      <c r="AQ715" s="120"/>
      <c r="AS715" s="120"/>
      <c r="AV715" s="120"/>
    </row>
    <row r="716" spans="1:48">
      <c r="A716" s="128"/>
      <c r="B716" s="154"/>
      <c r="C716" s="128" t="s">
        <v>1749</v>
      </c>
      <c r="D716" s="128"/>
      <c r="E716" s="117"/>
      <c r="F716" s="117"/>
      <c r="G716" s="117"/>
      <c r="H716" s="115">
        <f t="shared" si="127"/>
        <v>1012.1299999998113</v>
      </c>
      <c r="I716" s="115">
        <f t="shared" si="128"/>
        <v>1012.1299999998113</v>
      </c>
      <c r="J716" s="115">
        <f t="shared" si="129"/>
        <v>1012.1299999998113</v>
      </c>
      <c r="K716" s="115">
        <f t="shared" si="130"/>
        <v>1012.1299999998113</v>
      </c>
      <c r="L716" s="115">
        <f t="shared" si="131"/>
        <v>1012.1299999998113</v>
      </c>
      <c r="M716" s="115">
        <f t="shared" si="132"/>
        <v>1012.1299999998113</v>
      </c>
      <c r="N716" s="115">
        <f t="shared" si="133"/>
        <v>1012.1299999998113</v>
      </c>
      <c r="O716" s="115">
        <f t="shared" si="134"/>
        <v>1012.1299999998113</v>
      </c>
      <c r="P716" s="115">
        <f t="shared" si="135"/>
        <v>1012.1299999998113</v>
      </c>
      <c r="Q716" s="125"/>
      <c r="R716" s="125"/>
      <c r="S716" s="125"/>
      <c r="T716" s="125">
        <f>5000000-1926800.54-2812080.89-90850-13230-3440.48-55000-147629.7+33810+44520-28116.12-170.14</f>
        <v>1012.1299999998113</v>
      </c>
      <c r="U716" s="125"/>
      <c r="V716" s="125"/>
      <c r="W716" s="125"/>
      <c r="X716" s="125"/>
      <c r="Y716" s="125"/>
      <c r="Z716" s="125"/>
      <c r="AA716" s="125"/>
      <c r="AB716" s="125"/>
      <c r="AC716" s="124"/>
      <c r="AD716" s="117"/>
      <c r="AE716" s="162">
        <v>65909.69</v>
      </c>
      <c r="AF716" s="127"/>
      <c r="AG716" s="127"/>
      <c r="AH716" s="129"/>
      <c r="AI716" s="127"/>
      <c r="AJ716" s="120"/>
      <c r="AQ716" s="120"/>
      <c r="AS716" s="120"/>
      <c r="AV716" s="120"/>
    </row>
    <row r="717" spans="1:48">
      <c r="A717" s="128"/>
      <c r="B717" s="154"/>
      <c r="C717" s="128" t="s">
        <v>1750</v>
      </c>
      <c r="D717" s="128"/>
      <c r="E717" s="117"/>
      <c r="F717" s="117"/>
      <c r="G717" s="117"/>
      <c r="H717" s="115">
        <f t="shared" si="127"/>
        <v>1420.3499999999767</v>
      </c>
      <c r="I717" s="115">
        <f t="shared" si="128"/>
        <v>1420.3499999999767</v>
      </c>
      <c r="J717" s="115">
        <f t="shared" si="129"/>
        <v>1420.3499999999767</v>
      </c>
      <c r="K717" s="115">
        <f t="shared" si="130"/>
        <v>1420.3499999999767</v>
      </c>
      <c r="L717" s="115">
        <f t="shared" si="131"/>
        <v>1420.3499999999767</v>
      </c>
      <c r="M717" s="115">
        <f t="shared" si="132"/>
        <v>1420.3499999999767</v>
      </c>
      <c r="N717" s="115">
        <f t="shared" si="133"/>
        <v>1420.3499999999767</v>
      </c>
      <c r="O717" s="115">
        <f t="shared" si="134"/>
        <v>1420.3499999999767</v>
      </c>
      <c r="P717" s="115">
        <f t="shared" si="135"/>
        <v>1420.3499999999767</v>
      </c>
      <c r="Q717" s="125"/>
      <c r="R717" s="125"/>
      <c r="S717" s="125"/>
      <c r="T717" s="125">
        <f>577500+50000+660000-1287500+412500-411079.65</f>
        <v>1420.3499999999767</v>
      </c>
      <c r="U717" s="125"/>
      <c r="V717" s="125"/>
      <c r="W717" s="125"/>
      <c r="X717" s="125"/>
      <c r="Y717" s="125"/>
      <c r="Z717" s="125"/>
      <c r="AA717" s="125"/>
      <c r="AB717" s="125"/>
      <c r="AC717" s="124"/>
      <c r="AD717" s="117"/>
      <c r="AE717" s="162">
        <v>38924.239999999998</v>
      </c>
      <c r="AF717" s="127"/>
      <c r="AG717" s="127"/>
      <c r="AH717" s="115"/>
      <c r="AI717" s="127"/>
      <c r="AJ717" s="120"/>
      <c r="AQ717" s="133"/>
      <c r="AS717" s="120"/>
      <c r="AV717" s="135"/>
    </row>
    <row r="718" spans="1:48" ht="15">
      <c r="A718" s="128"/>
      <c r="B718" s="154"/>
      <c r="C718" s="154" t="s">
        <v>1751</v>
      </c>
      <c r="E718" s="115"/>
      <c r="F718" s="115"/>
      <c r="G718" s="115"/>
      <c r="H718" s="115">
        <f t="shared" si="127"/>
        <v>-2947.3500000000117</v>
      </c>
      <c r="I718" s="115">
        <f t="shared" si="128"/>
        <v>-2947.3500000000117</v>
      </c>
      <c r="J718" s="115">
        <f t="shared" si="129"/>
        <v>-2947.3500000000117</v>
      </c>
      <c r="K718" s="115">
        <f t="shared" si="130"/>
        <v>-2947.3500000000117</v>
      </c>
      <c r="L718" s="115">
        <f t="shared" si="131"/>
        <v>-2947.3500000000117</v>
      </c>
      <c r="M718" s="115">
        <f t="shared" si="132"/>
        <v>-2947.3500000000117</v>
      </c>
      <c r="N718" s="115">
        <f t="shared" si="133"/>
        <v>-2947.3500000000117</v>
      </c>
      <c r="O718" s="115">
        <f t="shared" si="134"/>
        <v>-2947.3500000000117</v>
      </c>
      <c r="P718" s="115">
        <f t="shared" si="135"/>
        <v>-2947.3500000000117</v>
      </c>
      <c r="Q718" s="116"/>
      <c r="R718" s="116"/>
      <c r="S718" s="116"/>
      <c r="T718" s="116">
        <f>16648.92-1210.48-5412-6416.54-1442.8+36000-945.61-4200-4920-360-674.4-1527.15-4920-684.44-2767.35-5631.7-6018-1378.8-2559.69+36000-4920-960-8400-9310-4466.19-4152+36000-8384-7800-7800-6428.24-3523.03-6638.13-3212.76+2414.39+36000-15600+171100-7800-2240-5823.2-2521.46-7800-1935-998.98+90000-20556-7920-16500-9360-16500-5510-25780-12762.06-26460-350-350-23460-19369-32500-5579.85-30037.15-1515-819.65</f>
        <v>-2947.3500000000117</v>
      </c>
      <c r="U718" s="116"/>
      <c r="V718" s="116"/>
      <c r="W718" s="116"/>
      <c r="X718" s="116"/>
      <c r="Y718" s="116"/>
      <c r="Z718" s="116"/>
      <c r="AA718" s="116"/>
      <c r="AB718" s="116"/>
      <c r="AC718" s="115"/>
      <c r="AD718" s="117"/>
      <c r="AE718" s="162">
        <v>373741.23</v>
      </c>
      <c r="AF718" s="127"/>
      <c r="AG718" s="127"/>
      <c r="AH718" s="185"/>
      <c r="AI718" s="127"/>
      <c r="AJ718" s="120"/>
      <c r="AP718" s="136"/>
      <c r="AQ718" s="120"/>
      <c r="AS718" s="120"/>
      <c r="AV718" s="173"/>
    </row>
    <row r="719" spans="1:48" ht="15">
      <c r="A719" s="128"/>
      <c r="B719" s="154"/>
      <c r="C719" s="154" t="s">
        <v>1752</v>
      </c>
      <c r="E719" s="115"/>
      <c r="F719" s="115"/>
      <c r="G719" s="115"/>
      <c r="H719" s="115">
        <f t="shared" si="127"/>
        <v>57.809999999992215</v>
      </c>
      <c r="I719" s="115">
        <f t="shared" si="128"/>
        <v>57.809999999992215</v>
      </c>
      <c r="J719" s="115">
        <f t="shared" si="129"/>
        <v>57.809999999992215</v>
      </c>
      <c r="K719" s="115">
        <f t="shared" si="130"/>
        <v>57.809999999992215</v>
      </c>
      <c r="L719" s="115">
        <f t="shared" si="131"/>
        <v>57.809999999992215</v>
      </c>
      <c r="M719" s="115">
        <f t="shared" si="132"/>
        <v>57.809999999992215</v>
      </c>
      <c r="N719" s="115">
        <f t="shared" si="133"/>
        <v>57.809999999992215</v>
      </c>
      <c r="O719" s="115">
        <f t="shared" si="134"/>
        <v>57.809999999992215</v>
      </c>
      <c r="P719" s="115">
        <f t="shared" si="135"/>
        <v>57.809999999992215</v>
      </c>
      <c r="Q719" s="116"/>
      <c r="R719" s="116"/>
      <c r="S719" s="116"/>
      <c r="T719" s="116">
        <f>24973.37-1814.85-8118-9625.82-2164.2+54000-1418.42-6300-540-7380-1011.6-2290.72-7380-1026.67-4151.01-8447.55-12022.34-2068.2-3213.99+54000-7380-4025.75-1440-12600-13220-12927.28+0.01+54000-12500-11700-11700-4452.35-9595.09-5846.64-4819.15+4206.25+54000-23400-11700-3360-3782.19-11700</f>
        <v>57.809999999992215</v>
      </c>
      <c r="U719" s="116"/>
      <c r="V719" s="116"/>
      <c r="W719" s="116"/>
      <c r="X719" s="116"/>
      <c r="Y719" s="116"/>
      <c r="Z719" s="116"/>
      <c r="AA719" s="116"/>
      <c r="AB719" s="116"/>
      <c r="AC719" s="115"/>
      <c r="AD719" s="117"/>
      <c r="AE719" s="162">
        <v>67750.259999999995</v>
      </c>
      <c r="AF719" s="127"/>
      <c r="AG719" s="127"/>
      <c r="AH719" s="115"/>
      <c r="AI719" s="127"/>
      <c r="AJ719" s="120"/>
      <c r="AP719" s="136"/>
      <c r="AQ719" s="120"/>
      <c r="AS719" s="120"/>
      <c r="AV719" s="173"/>
    </row>
    <row r="720" spans="1:48" ht="15">
      <c r="A720" s="128"/>
      <c r="B720" s="154"/>
      <c r="C720" s="154" t="s">
        <v>1753</v>
      </c>
      <c r="E720" s="115"/>
      <c r="F720" s="115"/>
      <c r="G720" s="115"/>
      <c r="H720" s="115">
        <f t="shared" si="127"/>
        <v>1.3499999999767169</v>
      </c>
      <c r="I720" s="115">
        <f t="shared" si="128"/>
        <v>1.3499999999767169</v>
      </c>
      <c r="J720" s="115">
        <f t="shared" si="129"/>
        <v>1.3499999999767169</v>
      </c>
      <c r="K720" s="115">
        <f t="shared" si="130"/>
        <v>1.3499999999767169</v>
      </c>
      <c r="L720" s="115">
        <f t="shared" si="131"/>
        <v>1.3499999999767169</v>
      </c>
      <c r="M720" s="115">
        <f t="shared" si="132"/>
        <v>1.3499999999767169</v>
      </c>
      <c r="N720" s="115">
        <f t="shared" si="133"/>
        <v>1.3499999999767169</v>
      </c>
      <c r="O720" s="115">
        <f t="shared" si="134"/>
        <v>1.3499999999767169</v>
      </c>
      <c r="P720" s="115">
        <f t="shared" si="135"/>
        <v>1.3499999999767169</v>
      </c>
      <c r="Q720" s="116"/>
      <c r="R720" s="116"/>
      <c r="S720" s="116"/>
      <c r="T720" s="116">
        <f>622782-192925.2-146398-72272.45-211185</f>
        <v>1.3499999999767169</v>
      </c>
      <c r="U720" s="116"/>
      <c r="V720" s="116"/>
      <c r="W720" s="116"/>
      <c r="X720" s="116"/>
      <c r="Y720" s="116"/>
      <c r="Z720" s="116"/>
      <c r="AA720" s="116"/>
      <c r="AB720" s="116"/>
      <c r="AC720" s="115"/>
      <c r="AD720" s="117"/>
      <c r="AE720" s="162">
        <v>90588.21</v>
      </c>
      <c r="AF720" s="127"/>
      <c r="AG720" s="127"/>
      <c r="AH720" s="115"/>
      <c r="AI720" s="127"/>
      <c r="AJ720" s="120"/>
      <c r="AP720" s="136"/>
      <c r="AQ720" s="120"/>
      <c r="AS720" s="120"/>
      <c r="AV720" s="173"/>
    </row>
    <row r="721" spans="1:48" ht="15">
      <c r="A721" s="128"/>
      <c r="B721" s="154"/>
      <c r="C721" s="128" t="s">
        <v>1754</v>
      </c>
      <c r="D721" s="128"/>
      <c r="E721" s="117"/>
      <c r="F721" s="117"/>
      <c r="G721" s="117"/>
      <c r="H721" s="115">
        <f t="shared" si="127"/>
        <v>58478.800000000243</v>
      </c>
      <c r="I721" s="115">
        <f t="shared" si="128"/>
        <v>58478.800000000243</v>
      </c>
      <c r="J721" s="115">
        <f t="shared" si="129"/>
        <v>58478.800000000243</v>
      </c>
      <c r="K721" s="115">
        <f t="shared" si="130"/>
        <v>58478.800000000243</v>
      </c>
      <c r="L721" s="115">
        <f t="shared" si="131"/>
        <v>58478.800000000243</v>
      </c>
      <c r="M721" s="115">
        <f t="shared" si="132"/>
        <v>58478.800000000243</v>
      </c>
      <c r="N721" s="115">
        <f t="shared" si="133"/>
        <v>58478.800000000243</v>
      </c>
      <c r="O721" s="115">
        <f t="shared" si="134"/>
        <v>58478.800000000243</v>
      </c>
      <c r="P721" s="115">
        <f t="shared" si="135"/>
        <v>58478.800000000243</v>
      </c>
      <c r="Q721" s="125"/>
      <c r="R721" s="125"/>
      <c r="S721" s="125"/>
      <c r="T721" s="125">
        <f>5250000-6734-141384.1-4914.18-4331746.62-148076.34-594624.76-36388.44-16157.45+6000000-6000000+3750000-3375634.6-12880-115200.78-99364-21201.64-30414.29-6800</f>
        <v>58478.800000000243</v>
      </c>
      <c r="U721" s="125"/>
      <c r="V721" s="125"/>
      <c r="W721" s="125"/>
      <c r="X721" s="125"/>
      <c r="Y721" s="125"/>
      <c r="Z721" s="125"/>
      <c r="AA721" s="125"/>
      <c r="AB721" s="125"/>
      <c r="AC721" s="124"/>
      <c r="AD721" s="117"/>
      <c r="AE721" s="162"/>
      <c r="AF721" s="186"/>
      <c r="AG721" s="187"/>
      <c r="AH721" s="115"/>
      <c r="AI721" s="127"/>
      <c r="AJ721" s="120"/>
      <c r="AP721" s="136"/>
      <c r="AQ721" s="120"/>
      <c r="AS721" s="120"/>
      <c r="AV721" s="173"/>
    </row>
    <row r="722" spans="1:48" ht="15">
      <c r="A722" s="128"/>
      <c r="B722" s="154"/>
      <c r="C722" s="128" t="s">
        <v>1755</v>
      </c>
      <c r="D722" s="128"/>
      <c r="E722" s="117"/>
      <c r="F722" s="117"/>
      <c r="G722" s="117"/>
      <c r="H722" s="115">
        <f t="shared" si="127"/>
        <v>25851.07000000004</v>
      </c>
      <c r="I722" s="115">
        <f t="shared" si="128"/>
        <v>25851.07000000004</v>
      </c>
      <c r="J722" s="115">
        <f t="shared" si="129"/>
        <v>19162.07000000004</v>
      </c>
      <c r="K722" s="115">
        <f t="shared" si="130"/>
        <v>19162.07000000004</v>
      </c>
      <c r="L722" s="115">
        <f t="shared" si="131"/>
        <v>19162.07000000004</v>
      </c>
      <c r="M722" s="115">
        <f t="shared" si="132"/>
        <v>19162.07000000004</v>
      </c>
      <c r="N722" s="115">
        <f t="shared" si="133"/>
        <v>19162.07000000004</v>
      </c>
      <c r="O722" s="115">
        <f t="shared" si="134"/>
        <v>19162.07000000004</v>
      </c>
      <c r="P722" s="115">
        <f t="shared" si="135"/>
        <v>19162.07000000004</v>
      </c>
      <c r="Q722" s="125"/>
      <c r="R722" s="125"/>
      <c r="S722" s="125"/>
      <c r="T722" s="125">
        <f>3500000-115690-23328-3212973.69-129970.31+4370532.59-4065261.64+2129467.41-2185792.82-51060-60708.28-105043.25-2354-21966.94</f>
        <v>25851.07000000004</v>
      </c>
      <c r="U722" s="125"/>
      <c r="V722" s="125">
        <v>-6689</v>
      </c>
      <c r="W722" s="125"/>
      <c r="X722" s="125"/>
      <c r="Y722" s="125"/>
      <c r="Z722" s="125"/>
      <c r="AA722" s="125"/>
      <c r="AB722" s="125"/>
      <c r="AC722" s="124"/>
      <c r="AD722" s="117"/>
      <c r="AE722" s="162"/>
      <c r="AF722" s="127"/>
      <c r="AG722" s="127"/>
      <c r="AH722" s="115"/>
      <c r="AI722" s="127"/>
      <c r="AJ722" s="120"/>
      <c r="AP722" s="136"/>
      <c r="AQ722" s="120"/>
      <c r="AS722" s="120"/>
      <c r="AV722" s="173"/>
    </row>
    <row r="723" spans="1:48" ht="15">
      <c r="A723" s="128"/>
      <c r="B723" s="154"/>
      <c r="C723" s="128" t="s">
        <v>1756</v>
      </c>
      <c r="D723" s="128"/>
      <c r="E723" s="117"/>
      <c r="F723" s="117"/>
      <c r="G723" s="117"/>
      <c r="H723" s="115">
        <f t="shared" si="127"/>
        <v>2.0000000018626451E-2</v>
      </c>
      <c r="I723" s="115">
        <f t="shared" si="128"/>
        <v>2.0000000018626451E-2</v>
      </c>
      <c r="J723" s="115">
        <f t="shared" si="129"/>
        <v>2.0000000018626451E-2</v>
      </c>
      <c r="K723" s="115">
        <f t="shared" si="130"/>
        <v>2.0000000018626451E-2</v>
      </c>
      <c r="L723" s="115">
        <f t="shared" si="131"/>
        <v>2.0000000018626451E-2</v>
      </c>
      <c r="M723" s="115">
        <f t="shared" si="132"/>
        <v>2.0000000018626451E-2</v>
      </c>
      <c r="N723" s="115">
        <f t="shared" si="133"/>
        <v>2.0000000018626451E-2</v>
      </c>
      <c r="O723" s="115">
        <f t="shared" si="134"/>
        <v>2.0000000018626451E-2</v>
      </c>
      <c r="P723" s="115">
        <f t="shared" si="135"/>
        <v>2.0000000018626451E-2</v>
      </c>
      <c r="Q723" s="125"/>
      <c r="R723" s="125"/>
      <c r="S723" s="125"/>
      <c r="T723" s="125">
        <f>1940000+1940000-3879999.98</f>
        <v>2.0000000018626451E-2</v>
      </c>
      <c r="U723" s="125"/>
      <c r="V723" s="125"/>
      <c r="W723" s="125"/>
      <c r="X723" s="125"/>
      <c r="Y723" s="125"/>
      <c r="Z723" s="125"/>
      <c r="AA723" s="125"/>
      <c r="AB723" s="125"/>
      <c r="AC723" s="124"/>
      <c r="AD723" s="188" t="s">
        <v>277</v>
      </c>
      <c r="AE723" s="162"/>
      <c r="AF723" s="127"/>
      <c r="AG723" s="127"/>
      <c r="AH723" s="115"/>
      <c r="AI723" s="127"/>
      <c r="AJ723" s="120"/>
      <c r="AQ723" s="120"/>
      <c r="AS723" s="133"/>
    </row>
    <row r="724" spans="1:48">
      <c r="A724" s="128"/>
      <c r="B724" s="154"/>
      <c r="C724" s="128" t="s">
        <v>1757</v>
      </c>
      <c r="D724" s="128"/>
      <c r="E724" s="117"/>
      <c r="F724" s="117"/>
      <c r="G724" s="117"/>
      <c r="H724" s="115">
        <f t="shared" si="127"/>
        <v>33074.030000000464</v>
      </c>
      <c r="I724" s="115">
        <f t="shared" si="128"/>
        <v>33074.030000000464</v>
      </c>
      <c r="J724" s="115">
        <f t="shared" si="129"/>
        <v>33074.030000000464</v>
      </c>
      <c r="K724" s="115">
        <f t="shared" si="130"/>
        <v>33074.030000000464</v>
      </c>
      <c r="L724" s="115">
        <f t="shared" si="131"/>
        <v>33074.030000000464</v>
      </c>
      <c r="M724" s="115">
        <f t="shared" si="132"/>
        <v>33074.030000000464</v>
      </c>
      <c r="N724" s="115">
        <f t="shared" si="133"/>
        <v>33074.030000000464</v>
      </c>
      <c r="O724" s="115">
        <f t="shared" si="134"/>
        <v>33074.030000000464</v>
      </c>
      <c r="P724" s="115">
        <f t="shared" si="135"/>
        <v>33074.030000000464</v>
      </c>
      <c r="Q724" s="125"/>
      <c r="R724" s="125"/>
      <c r="S724" s="125"/>
      <c r="T724" s="125">
        <f>8900000-25000-28600-6922881.56-113640.36-24380.39-124960-87403-46952-19886-84290.94-27720-1200000-20248.22-16351.5-28600-96012</f>
        <v>33074.030000000464</v>
      </c>
      <c r="U724" s="125"/>
      <c r="V724" s="125"/>
      <c r="W724" s="125"/>
      <c r="X724" s="125"/>
      <c r="Y724" s="125"/>
      <c r="Z724" s="125"/>
      <c r="AA724" s="125"/>
      <c r="AB724" s="125"/>
      <c r="AC724" s="124"/>
      <c r="AD724" s="117"/>
      <c r="AE724" s="162">
        <v>230399.89</v>
      </c>
      <c r="AF724" s="127"/>
      <c r="AG724" s="127"/>
      <c r="AH724" s="115"/>
      <c r="AI724" s="127"/>
      <c r="AJ724" s="120"/>
      <c r="AQ724" s="129"/>
      <c r="AS724" s="120"/>
    </row>
    <row r="725" spans="1:48">
      <c r="A725" s="128"/>
      <c r="B725" s="154"/>
      <c r="C725" s="154" t="s">
        <v>1758</v>
      </c>
      <c r="E725" s="115"/>
      <c r="F725" s="115"/>
      <c r="G725" s="115"/>
      <c r="H725" s="115">
        <f t="shared" si="127"/>
        <v>10016.700000000026</v>
      </c>
      <c r="I725" s="115">
        <f t="shared" si="128"/>
        <v>10016.700000000026</v>
      </c>
      <c r="J725" s="115">
        <f t="shared" si="129"/>
        <v>10016.700000000026</v>
      </c>
      <c r="K725" s="115">
        <f t="shared" si="130"/>
        <v>10016.700000000026</v>
      </c>
      <c r="L725" s="115">
        <f t="shared" si="131"/>
        <v>10016.700000000026</v>
      </c>
      <c r="M725" s="115">
        <f t="shared" si="132"/>
        <v>10016.700000000026</v>
      </c>
      <c r="N725" s="115">
        <f t="shared" si="133"/>
        <v>10016.700000000026</v>
      </c>
      <c r="O725" s="115">
        <f t="shared" si="134"/>
        <v>10016.700000000026</v>
      </c>
      <c r="P725" s="115">
        <f t="shared" si="135"/>
        <v>10016.700000000026</v>
      </c>
      <c r="Q725" s="116"/>
      <c r="R725" s="116"/>
      <c r="S725" s="116"/>
      <c r="T725" s="116">
        <f>1000000-843194.1-67897.5-3846.7-1820-320-3960-13260-34785-20900</f>
        <v>10016.700000000026</v>
      </c>
      <c r="U725" s="116"/>
      <c r="V725" s="116"/>
      <c r="W725" s="116"/>
      <c r="X725" s="116"/>
      <c r="Y725" s="116"/>
      <c r="Z725" s="116"/>
      <c r="AA725" s="116"/>
      <c r="AB725" s="116"/>
      <c r="AC725" s="115"/>
      <c r="AD725" s="117"/>
      <c r="AE725" s="162">
        <v>56787.67</v>
      </c>
      <c r="AF725" s="127"/>
      <c r="AG725" s="127"/>
      <c r="AH725" s="115"/>
      <c r="AI725" s="127"/>
      <c r="AJ725" s="120"/>
    </row>
    <row r="726" spans="1:48">
      <c r="A726" s="128"/>
      <c r="B726" s="154"/>
      <c r="C726" s="154" t="s">
        <v>1759</v>
      </c>
      <c r="E726" s="120"/>
      <c r="F726" s="120"/>
      <c r="G726" s="120"/>
      <c r="H726" s="115">
        <f t="shared" si="127"/>
        <v>552</v>
      </c>
      <c r="I726" s="115">
        <f t="shared" si="128"/>
        <v>552</v>
      </c>
      <c r="J726" s="115">
        <f t="shared" si="129"/>
        <v>552</v>
      </c>
      <c r="K726" s="115">
        <f t="shared" si="130"/>
        <v>552</v>
      </c>
      <c r="L726" s="115">
        <f t="shared" si="131"/>
        <v>552</v>
      </c>
      <c r="M726" s="115">
        <f t="shared" si="132"/>
        <v>552</v>
      </c>
      <c r="N726" s="115">
        <f t="shared" si="133"/>
        <v>552</v>
      </c>
      <c r="O726" s="115">
        <f t="shared" si="134"/>
        <v>552</v>
      </c>
      <c r="P726" s="115">
        <f t="shared" si="135"/>
        <v>552</v>
      </c>
      <c r="Q726" s="116"/>
      <c r="R726" s="116"/>
      <c r="S726" s="116"/>
      <c r="T726" s="116">
        <f>89552-89000</f>
        <v>552</v>
      </c>
      <c r="U726" s="116"/>
      <c r="V726" s="116"/>
      <c r="W726" s="116"/>
      <c r="X726" s="116"/>
      <c r="Y726" s="116"/>
      <c r="Z726" s="116"/>
      <c r="AA726" s="116"/>
      <c r="AB726" s="116"/>
      <c r="AC726" s="115"/>
      <c r="AD726" s="117"/>
      <c r="AE726" s="162">
        <v>80520.22</v>
      </c>
      <c r="AF726" s="127"/>
      <c r="AG726" s="127"/>
      <c r="AH726" s="115"/>
      <c r="AI726" s="127"/>
      <c r="AJ726" s="120"/>
    </row>
    <row r="727" spans="1:48">
      <c r="A727" s="128"/>
      <c r="B727" s="154"/>
      <c r="C727" s="128" t="s">
        <v>1760</v>
      </c>
      <c r="D727" s="128"/>
      <c r="E727" s="117"/>
      <c r="F727" s="117"/>
      <c r="G727" s="117"/>
      <c r="H727" s="115">
        <f t="shared" si="127"/>
        <v>362.44</v>
      </c>
      <c r="I727" s="115">
        <f t="shared" si="128"/>
        <v>362.44</v>
      </c>
      <c r="J727" s="115">
        <f t="shared" si="129"/>
        <v>362.44</v>
      </c>
      <c r="K727" s="115">
        <f t="shared" si="130"/>
        <v>362.44</v>
      </c>
      <c r="L727" s="115">
        <f t="shared" si="131"/>
        <v>362.44</v>
      </c>
      <c r="M727" s="115">
        <f t="shared" si="132"/>
        <v>362.44</v>
      </c>
      <c r="N727" s="115">
        <f t="shared" si="133"/>
        <v>362.44</v>
      </c>
      <c r="O727" s="115">
        <f t="shared" si="134"/>
        <v>362.44</v>
      </c>
      <c r="P727" s="115">
        <f t="shared" si="135"/>
        <v>362.44</v>
      </c>
      <c r="Q727" s="125"/>
      <c r="R727" s="125"/>
      <c r="S727" s="125"/>
      <c r="T727" s="125">
        <f>362.45-0.01</f>
        <v>362.44</v>
      </c>
      <c r="U727" s="125"/>
      <c r="V727" s="125"/>
      <c r="W727" s="125"/>
      <c r="X727" s="125"/>
      <c r="Y727" s="125"/>
      <c r="Z727" s="125"/>
      <c r="AA727" s="125"/>
      <c r="AB727" s="125"/>
      <c r="AC727" s="124"/>
      <c r="AD727" s="117"/>
      <c r="AE727" s="162">
        <v>130874.06</v>
      </c>
      <c r="AF727" s="127"/>
      <c r="AG727" s="127"/>
      <c r="AH727" s="129"/>
      <c r="AI727" s="127"/>
      <c r="AJ727" s="120"/>
    </row>
    <row r="728" spans="1:48">
      <c r="A728" s="128"/>
      <c r="B728" s="154"/>
      <c r="C728" s="128" t="s">
        <v>1761</v>
      </c>
      <c r="D728" s="128"/>
      <c r="E728" s="117"/>
      <c r="F728" s="117"/>
      <c r="G728" s="117"/>
      <c r="H728" s="115">
        <f t="shared" si="127"/>
        <v>9314.0499999999884</v>
      </c>
      <c r="I728" s="115">
        <f t="shared" si="128"/>
        <v>9314.0499999999884</v>
      </c>
      <c r="J728" s="115">
        <f t="shared" si="129"/>
        <v>9314.0499999999884</v>
      </c>
      <c r="K728" s="115">
        <f t="shared" si="130"/>
        <v>9314.0499999999884</v>
      </c>
      <c r="L728" s="115">
        <f t="shared" si="131"/>
        <v>9314.0499999999884</v>
      </c>
      <c r="M728" s="115">
        <f t="shared" si="132"/>
        <v>9314.0499999999884</v>
      </c>
      <c r="N728" s="115">
        <f t="shared" si="133"/>
        <v>9314.0499999999884</v>
      </c>
      <c r="O728" s="115">
        <f t="shared" si="134"/>
        <v>9314.0499999999884</v>
      </c>
      <c r="P728" s="115">
        <f t="shared" si="135"/>
        <v>9314.0499999999884</v>
      </c>
      <c r="Q728" s="125"/>
      <c r="R728" s="125"/>
      <c r="S728" s="125"/>
      <c r="T728" s="125">
        <f>258366.05-249052</f>
        <v>9314.0499999999884</v>
      </c>
      <c r="U728" s="125"/>
      <c r="V728" s="125"/>
      <c r="W728" s="125"/>
      <c r="X728" s="125"/>
      <c r="Y728" s="125"/>
      <c r="Z728" s="125"/>
      <c r="AA728" s="125"/>
      <c r="AB728" s="125"/>
      <c r="AC728" s="124"/>
      <c r="AD728" s="117"/>
      <c r="AE728" s="162">
        <f>SUM(AE712:AE727)</f>
        <v>1355875.9</v>
      </c>
      <c r="AF728" s="127"/>
      <c r="AG728" s="127"/>
      <c r="AH728" s="129"/>
      <c r="AI728" s="127"/>
      <c r="AJ728" s="120"/>
    </row>
    <row r="729" spans="1:48">
      <c r="A729" s="128"/>
      <c r="B729" s="154"/>
      <c r="C729" s="128" t="s">
        <v>1762</v>
      </c>
      <c r="D729" s="128"/>
      <c r="E729" s="117"/>
      <c r="F729" s="117"/>
      <c r="G729" s="117"/>
      <c r="H729" s="115">
        <f t="shared" si="127"/>
        <v>115435.34</v>
      </c>
      <c r="I729" s="115">
        <f t="shared" si="128"/>
        <v>115435.34</v>
      </c>
      <c r="J729" s="115">
        <f t="shared" si="129"/>
        <v>115435.34</v>
      </c>
      <c r="K729" s="115">
        <f t="shared" si="130"/>
        <v>115435.34</v>
      </c>
      <c r="L729" s="115">
        <f t="shared" si="131"/>
        <v>115435.34</v>
      </c>
      <c r="M729" s="115">
        <f t="shared" si="132"/>
        <v>115435.34</v>
      </c>
      <c r="N729" s="115">
        <f t="shared" si="133"/>
        <v>115435.34</v>
      </c>
      <c r="O729" s="115">
        <f t="shared" si="134"/>
        <v>115435.34</v>
      </c>
      <c r="P729" s="115">
        <f t="shared" si="135"/>
        <v>115435.34</v>
      </c>
      <c r="Q729" s="125"/>
      <c r="R729" s="125"/>
      <c r="S729" s="125"/>
      <c r="T729" s="125">
        <v>115435.34</v>
      </c>
      <c r="U729" s="125"/>
      <c r="V729" s="125"/>
      <c r="W729" s="125"/>
      <c r="X729" s="125"/>
      <c r="Y729" s="125"/>
      <c r="Z729" s="125"/>
      <c r="AA729" s="125"/>
      <c r="AB729" s="125"/>
      <c r="AC729" s="124"/>
      <c r="AD729" s="117"/>
      <c r="AE729" s="162">
        <v>47713</v>
      </c>
      <c r="AF729" s="127"/>
      <c r="AG729" s="127"/>
      <c r="AH729" s="127"/>
      <c r="AI729" s="127"/>
      <c r="AJ729" s="120"/>
    </row>
    <row r="730" spans="1:48">
      <c r="A730" s="128"/>
      <c r="B730" s="154"/>
      <c r="C730" s="128" t="s">
        <v>1763</v>
      </c>
      <c r="D730" s="128"/>
      <c r="E730" s="117"/>
      <c r="F730" s="117"/>
      <c r="G730" s="117"/>
      <c r="H730" s="115">
        <f t="shared" si="127"/>
        <v>5164.42</v>
      </c>
      <c r="I730" s="115">
        <f t="shared" si="128"/>
        <v>5164.42</v>
      </c>
      <c r="J730" s="115">
        <f t="shared" si="129"/>
        <v>5164.42</v>
      </c>
      <c r="K730" s="115">
        <f t="shared" si="130"/>
        <v>5164.42</v>
      </c>
      <c r="L730" s="115">
        <f t="shared" si="131"/>
        <v>5164.42</v>
      </c>
      <c r="M730" s="115">
        <f t="shared" si="132"/>
        <v>5164.42</v>
      </c>
      <c r="N730" s="115">
        <f t="shared" si="133"/>
        <v>5164.42</v>
      </c>
      <c r="O730" s="115">
        <f t="shared" si="134"/>
        <v>5164.42</v>
      </c>
      <c r="P730" s="115">
        <f t="shared" si="135"/>
        <v>5164.42</v>
      </c>
      <c r="Q730" s="125"/>
      <c r="R730" s="125"/>
      <c r="S730" s="125"/>
      <c r="T730" s="125">
        <v>5164.42</v>
      </c>
      <c r="U730" s="125"/>
      <c r="V730" s="125"/>
      <c r="W730" s="125"/>
      <c r="X730" s="125"/>
      <c r="Y730" s="125"/>
      <c r="Z730" s="125"/>
      <c r="AA730" s="125"/>
      <c r="AB730" s="125"/>
      <c r="AC730" s="124"/>
      <c r="AD730" s="117" t="s">
        <v>1764</v>
      </c>
      <c r="AE730" s="162">
        <v>3000</v>
      </c>
      <c r="AF730" s="127"/>
      <c r="AG730" s="127"/>
      <c r="AH730" s="127"/>
      <c r="AI730" s="127"/>
      <c r="AJ730" s="120"/>
    </row>
    <row r="731" spans="1:48">
      <c r="A731" s="128"/>
      <c r="B731" s="154"/>
      <c r="C731" s="154" t="s">
        <v>1765</v>
      </c>
      <c r="E731" s="120"/>
      <c r="F731" s="120"/>
      <c r="G731" s="120"/>
      <c r="H731" s="115">
        <f t="shared" si="127"/>
        <v>238</v>
      </c>
      <c r="I731" s="115">
        <f t="shared" si="128"/>
        <v>238</v>
      </c>
      <c r="J731" s="115">
        <f t="shared" si="129"/>
        <v>238</v>
      </c>
      <c r="K731" s="115">
        <f t="shared" si="130"/>
        <v>238</v>
      </c>
      <c r="L731" s="115">
        <f t="shared" si="131"/>
        <v>238</v>
      </c>
      <c r="M731" s="115">
        <f t="shared" si="132"/>
        <v>238</v>
      </c>
      <c r="N731" s="115">
        <f t="shared" si="133"/>
        <v>238</v>
      </c>
      <c r="O731" s="115">
        <f t="shared" si="134"/>
        <v>238</v>
      </c>
      <c r="P731" s="115">
        <f t="shared" si="135"/>
        <v>238</v>
      </c>
      <c r="Q731" s="116"/>
      <c r="R731" s="116"/>
      <c r="S731" s="116"/>
      <c r="T731" s="116">
        <f>150000-30000-5200-1200-1600-30000-4000-2892-1952-6386-10520-1182-50625-2305-1900</f>
        <v>238</v>
      </c>
      <c r="U731" s="116"/>
      <c r="V731" s="116"/>
      <c r="W731" s="116"/>
      <c r="X731" s="116"/>
      <c r="Y731" s="116"/>
      <c r="Z731" s="116"/>
      <c r="AA731" s="116"/>
      <c r="AB731" s="116"/>
      <c r="AC731" s="115"/>
      <c r="AD731" s="117"/>
      <c r="AE731" s="162">
        <v>268</v>
      </c>
      <c r="AF731" s="127"/>
      <c r="AG731" s="127"/>
      <c r="AH731" s="127"/>
      <c r="AI731" s="127"/>
      <c r="AJ731" s="120"/>
    </row>
    <row r="732" spans="1:48">
      <c r="A732" s="128"/>
      <c r="B732" s="154"/>
      <c r="C732" s="128" t="s">
        <v>1766</v>
      </c>
      <c r="D732" s="128"/>
      <c r="E732" s="117"/>
      <c r="F732" s="117"/>
      <c r="G732" s="117"/>
      <c r="H732" s="115">
        <f t="shared" si="127"/>
        <v>57271.38</v>
      </c>
      <c r="I732" s="115">
        <f t="shared" si="128"/>
        <v>57271.38</v>
      </c>
      <c r="J732" s="115">
        <f t="shared" si="129"/>
        <v>57271.38</v>
      </c>
      <c r="K732" s="115">
        <f t="shared" si="130"/>
        <v>57271.38</v>
      </c>
      <c r="L732" s="115">
        <f t="shared" si="131"/>
        <v>57271.38</v>
      </c>
      <c r="M732" s="115">
        <f t="shared" si="132"/>
        <v>57271.38</v>
      </c>
      <c r="N732" s="115">
        <f t="shared" si="133"/>
        <v>57271.38</v>
      </c>
      <c r="O732" s="115">
        <f t="shared" si="134"/>
        <v>57271.38</v>
      </c>
      <c r="P732" s="115">
        <f t="shared" si="135"/>
        <v>57271.38</v>
      </c>
      <c r="Q732" s="125"/>
      <c r="R732" s="125"/>
      <c r="S732" s="125"/>
      <c r="T732" s="125">
        <v>57271.38</v>
      </c>
      <c r="U732" s="125"/>
      <c r="V732" s="125"/>
      <c r="W732" s="125"/>
      <c r="X732" s="125"/>
      <c r="Y732" s="125"/>
      <c r="Z732" s="125"/>
      <c r="AA732" s="125"/>
      <c r="AB732" s="125"/>
      <c r="AC732" s="124"/>
      <c r="AD732" s="117"/>
      <c r="AE732" s="162">
        <v>10000</v>
      </c>
      <c r="AF732" s="127"/>
      <c r="AG732" s="127"/>
      <c r="AH732" s="127"/>
      <c r="AI732" s="127"/>
      <c r="AJ732" s="120"/>
    </row>
    <row r="733" spans="1:48" ht="15" thickBot="1">
      <c r="A733" s="128"/>
      <c r="B733" s="154"/>
      <c r="C733" s="128" t="s">
        <v>1767</v>
      </c>
      <c r="D733" s="128"/>
      <c r="E733" s="117"/>
      <c r="F733" s="117"/>
      <c r="G733" s="117"/>
      <c r="H733" s="115">
        <f t="shared" si="127"/>
        <v>118376.40000000002</v>
      </c>
      <c r="I733" s="115">
        <f t="shared" si="128"/>
        <v>118376.40000000002</v>
      </c>
      <c r="J733" s="115">
        <f t="shared" si="129"/>
        <v>118376.40000000002</v>
      </c>
      <c r="K733" s="115">
        <f t="shared" si="130"/>
        <v>118376.40000000002</v>
      </c>
      <c r="L733" s="115">
        <f t="shared" si="131"/>
        <v>118376.40000000002</v>
      </c>
      <c r="M733" s="115">
        <f t="shared" si="132"/>
        <v>118376.40000000002</v>
      </c>
      <c r="N733" s="115">
        <f t="shared" si="133"/>
        <v>118376.40000000002</v>
      </c>
      <c r="O733" s="115">
        <f t="shared" si="134"/>
        <v>118376.40000000002</v>
      </c>
      <c r="P733" s="115">
        <f t="shared" si="135"/>
        <v>118376.40000000002</v>
      </c>
      <c r="Q733" s="125"/>
      <c r="R733" s="125"/>
      <c r="S733" s="125"/>
      <c r="T733" s="125">
        <f>2072.4+286461-286461+160000-18696-25000</f>
        <v>118376.40000000002</v>
      </c>
      <c r="U733" s="125"/>
      <c r="V733" s="125"/>
      <c r="W733" s="125"/>
      <c r="X733" s="125"/>
      <c r="Y733" s="125"/>
      <c r="Z733" s="125"/>
      <c r="AA733" s="125"/>
      <c r="AB733" s="125"/>
      <c r="AC733" s="124"/>
      <c r="AD733" s="117"/>
      <c r="AE733" s="162">
        <f>SUM(AE728:AE732)</f>
        <v>1416856.9</v>
      </c>
      <c r="AF733" s="127"/>
      <c r="AG733" s="127"/>
      <c r="AH733" s="127"/>
      <c r="AI733" s="127"/>
      <c r="AJ733" s="120"/>
      <c r="AN733" s="189"/>
    </row>
    <row r="734" spans="1:48">
      <c r="A734" s="128"/>
      <c r="B734" s="154"/>
      <c r="C734" s="128" t="s">
        <v>1768</v>
      </c>
      <c r="D734" s="128"/>
      <c r="E734" s="117"/>
      <c r="F734" s="117"/>
      <c r="G734" s="117"/>
      <c r="H734" s="115">
        <f t="shared" si="127"/>
        <v>25.97</v>
      </c>
      <c r="I734" s="115">
        <f t="shared" si="128"/>
        <v>25.97</v>
      </c>
      <c r="J734" s="115">
        <f t="shared" si="129"/>
        <v>25.97</v>
      </c>
      <c r="K734" s="115">
        <f t="shared" si="130"/>
        <v>25.97</v>
      </c>
      <c r="L734" s="115">
        <f t="shared" si="131"/>
        <v>25.97</v>
      </c>
      <c r="M734" s="115">
        <f t="shared" si="132"/>
        <v>25.97</v>
      </c>
      <c r="N734" s="115">
        <f t="shared" si="133"/>
        <v>25.97</v>
      </c>
      <c r="O734" s="115">
        <f t="shared" si="134"/>
        <v>25.97</v>
      </c>
      <c r="P734" s="115">
        <f t="shared" si="135"/>
        <v>25.97</v>
      </c>
      <c r="Q734" s="125"/>
      <c r="R734" s="125"/>
      <c r="S734" s="125"/>
      <c r="T734" s="125">
        <v>25.97</v>
      </c>
      <c r="U734" s="125"/>
      <c r="V734" s="125"/>
      <c r="W734" s="125"/>
      <c r="X734" s="125"/>
      <c r="Y734" s="125"/>
      <c r="Z734" s="125"/>
      <c r="AA734" s="125"/>
      <c r="AB734" s="125"/>
      <c r="AC734" s="124"/>
      <c r="AD734" s="117"/>
      <c r="AE734" s="162"/>
      <c r="AF734" s="127"/>
      <c r="AG734" s="127"/>
      <c r="AH734" s="127"/>
      <c r="AI734" s="127"/>
      <c r="AJ734" s="120"/>
      <c r="AM734" s="120">
        <v>20000</v>
      </c>
      <c r="AN734" s="133"/>
      <c r="AO734" s="108" t="s">
        <v>1769</v>
      </c>
    </row>
    <row r="735" spans="1:48">
      <c r="A735" s="128"/>
      <c r="B735" s="154"/>
      <c r="C735" s="128" t="s">
        <v>1770</v>
      </c>
      <c r="D735" s="128"/>
      <c r="E735" s="117"/>
      <c r="F735" s="117"/>
      <c r="G735" s="117"/>
      <c r="H735" s="115">
        <f t="shared" si="127"/>
        <v>44.600000000002183</v>
      </c>
      <c r="I735" s="115">
        <f t="shared" si="128"/>
        <v>44.600000000002183</v>
      </c>
      <c r="J735" s="115">
        <f t="shared" si="129"/>
        <v>44.600000000002183</v>
      </c>
      <c r="K735" s="115">
        <f t="shared" si="130"/>
        <v>44.600000000002183</v>
      </c>
      <c r="L735" s="115">
        <f t="shared" si="131"/>
        <v>44.600000000002183</v>
      </c>
      <c r="M735" s="115">
        <f t="shared" si="132"/>
        <v>44.600000000002183</v>
      </c>
      <c r="N735" s="115">
        <f t="shared" si="133"/>
        <v>44.600000000002183</v>
      </c>
      <c r="O735" s="115">
        <f t="shared" si="134"/>
        <v>44.600000000002183</v>
      </c>
      <c r="P735" s="115">
        <f t="shared" si="135"/>
        <v>44.600000000002183</v>
      </c>
      <c r="Q735" s="125"/>
      <c r="R735" s="125"/>
      <c r="S735" s="125"/>
      <c r="T735" s="125">
        <f>25000.72-24956.12</f>
        <v>44.600000000002183</v>
      </c>
      <c r="U735" s="125"/>
      <c r="V735" s="125"/>
      <c r="W735" s="125"/>
      <c r="X735" s="125"/>
      <c r="Y735" s="125"/>
      <c r="Z735" s="125"/>
      <c r="AA735" s="125"/>
      <c r="AB735" s="125"/>
      <c r="AC735" s="124"/>
      <c r="AD735" s="117"/>
      <c r="AE735" s="162"/>
      <c r="AF735" s="127"/>
      <c r="AG735" s="127"/>
      <c r="AH735" s="127"/>
      <c r="AI735" s="127"/>
      <c r="AJ735" s="190"/>
      <c r="AN735" s="120"/>
    </row>
    <row r="736" spans="1:48">
      <c r="A736" s="128"/>
      <c r="B736" s="154"/>
      <c r="C736" s="154" t="s">
        <v>1771</v>
      </c>
      <c r="E736" s="120"/>
      <c r="F736" s="120"/>
      <c r="G736" s="120"/>
      <c r="H736" s="115">
        <f t="shared" si="127"/>
        <v>884.58000000000175</v>
      </c>
      <c r="I736" s="115">
        <f t="shared" si="128"/>
        <v>884.58000000000175</v>
      </c>
      <c r="J736" s="115">
        <f t="shared" si="129"/>
        <v>884.58000000000175</v>
      </c>
      <c r="K736" s="115">
        <f t="shared" si="130"/>
        <v>884.58000000000175</v>
      </c>
      <c r="L736" s="115">
        <f t="shared" si="131"/>
        <v>884.58000000000175</v>
      </c>
      <c r="M736" s="115">
        <f t="shared" si="132"/>
        <v>884.58000000000175</v>
      </c>
      <c r="N736" s="115">
        <f t="shared" si="133"/>
        <v>884.58000000000175</v>
      </c>
      <c r="O736" s="115">
        <f t="shared" si="134"/>
        <v>884.58000000000175</v>
      </c>
      <c r="P736" s="115">
        <f t="shared" si="135"/>
        <v>884.58000000000175</v>
      </c>
      <c r="Q736" s="116"/>
      <c r="R736" s="116"/>
      <c r="S736" s="116"/>
      <c r="T736" s="116">
        <f>100000-99115.42</f>
        <v>884.58000000000175</v>
      </c>
      <c r="U736" s="116"/>
      <c r="V736" s="116"/>
      <c r="W736" s="116"/>
      <c r="X736" s="116"/>
      <c r="Y736" s="116"/>
      <c r="Z736" s="116"/>
      <c r="AA736" s="116"/>
      <c r="AB736" s="116"/>
      <c r="AC736" s="115"/>
      <c r="AD736" s="117"/>
      <c r="AE736" s="162"/>
      <c r="AF736" s="127"/>
      <c r="AG736" s="127"/>
      <c r="AH736" s="127"/>
      <c r="AI736" s="127"/>
      <c r="AJ736" s="190"/>
      <c r="AN736" s="120"/>
    </row>
    <row r="737" spans="1:41">
      <c r="A737" s="128"/>
      <c r="B737" s="154"/>
      <c r="C737" s="154" t="s">
        <v>1772</v>
      </c>
      <c r="E737" s="120"/>
      <c r="F737" s="120"/>
      <c r="G737" s="120"/>
      <c r="H737" s="115">
        <f t="shared" si="127"/>
        <v>15001.95</v>
      </c>
      <c r="I737" s="115">
        <f t="shared" si="128"/>
        <v>15001.95</v>
      </c>
      <c r="J737" s="115">
        <f t="shared" si="129"/>
        <v>15001.95</v>
      </c>
      <c r="K737" s="115">
        <f t="shared" si="130"/>
        <v>15001.95</v>
      </c>
      <c r="L737" s="115">
        <f t="shared" si="131"/>
        <v>15001.95</v>
      </c>
      <c r="M737" s="115">
        <f t="shared" si="132"/>
        <v>15001.95</v>
      </c>
      <c r="N737" s="115">
        <f t="shared" si="133"/>
        <v>15001.95</v>
      </c>
      <c r="O737" s="115">
        <f t="shared" si="134"/>
        <v>15001.95</v>
      </c>
      <c r="P737" s="115">
        <f t="shared" si="135"/>
        <v>15001.95</v>
      </c>
      <c r="Q737" s="116"/>
      <c r="R737" s="116"/>
      <c r="S737" s="116"/>
      <c r="T737" s="116">
        <f>50000-10000-24998.05</f>
        <v>15001.95</v>
      </c>
      <c r="U737" s="116"/>
      <c r="V737" s="116"/>
      <c r="W737" s="116"/>
      <c r="X737" s="116"/>
      <c r="Y737" s="116"/>
      <c r="Z737" s="116"/>
      <c r="AA737" s="116"/>
      <c r="AB737" s="116"/>
      <c r="AC737" s="115"/>
      <c r="AD737" s="117"/>
      <c r="AE737" s="162"/>
      <c r="AF737" s="127"/>
      <c r="AG737" s="127"/>
      <c r="AH737" s="127"/>
      <c r="AI737" s="127"/>
      <c r="AJ737" s="190"/>
      <c r="AN737" s="120"/>
    </row>
    <row r="738" spans="1:41">
      <c r="A738" s="128"/>
      <c r="B738" s="154"/>
      <c r="C738" s="108" t="s">
        <v>1773</v>
      </c>
      <c r="E738" s="115"/>
      <c r="F738" s="115"/>
      <c r="G738" s="115"/>
      <c r="H738" s="115">
        <f t="shared" si="127"/>
        <v>22648.25</v>
      </c>
      <c r="I738" s="115">
        <f t="shared" si="128"/>
        <v>22648.25</v>
      </c>
      <c r="J738" s="115">
        <f t="shared" si="129"/>
        <v>22648.25</v>
      </c>
      <c r="K738" s="115">
        <f t="shared" si="130"/>
        <v>22648.25</v>
      </c>
      <c r="L738" s="115">
        <f t="shared" si="131"/>
        <v>22648.25</v>
      </c>
      <c r="M738" s="115">
        <f t="shared" si="132"/>
        <v>22648.25</v>
      </c>
      <c r="N738" s="115">
        <f t="shared" si="133"/>
        <v>22648.25</v>
      </c>
      <c r="O738" s="115">
        <f t="shared" si="134"/>
        <v>22648.25</v>
      </c>
      <c r="P738" s="115">
        <f t="shared" si="135"/>
        <v>22648.25</v>
      </c>
      <c r="Q738" s="116"/>
      <c r="R738" s="116"/>
      <c r="S738" s="116"/>
      <c r="T738" s="116">
        <v>22648.25</v>
      </c>
      <c r="U738" s="116"/>
      <c r="V738" s="116"/>
      <c r="W738" s="116"/>
      <c r="X738" s="116"/>
      <c r="Y738" s="116"/>
      <c r="Z738" s="116"/>
      <c r="AA738" s="116"/>
      <c r="AB738" s="116"/>
      <c r="AC738" s="115"/>
      <c r="AD738" s="117"/>
      <c r="AE738" s="162"/>
      <c r="AF738" s="127"/>
      <c r="AG738" s="127"/>
      <c r="AH738" s="127"/>
      <c r="AI738" s="191"/>
      <c r="AJ738" s="120"/>
      <c r="AN738" s="120"/>
    </row>
    <row r="739" spans="1:41">
      <c r="A739" s="128"/>
      <c r="B739" s="154"/>
      <c r="C739" s="154" t="s">
        <v>1774</v>
      </c>
      <c r="E739" s="120"/>
      <c r="F739" s="120"/>
      <c r="G739" s="120"/>
      <c r="H739" s="115">
        <f t="shared" si="127"/>
        <v>83773.75</v>
      </c>
      <c r="I739" s="115">
        <f t="shared" si="128"/>
        <v>83773.75</v>
      </c>
      <c r="J739" s="115">
        <f t="shared" si="129"/>
        <v>83773.75</v>
      </c>
      <c r="K739" s="115">
        <f t="shared" si="130"/>
        <v>83773.75</v>
      </c>
      <c r="L739" s="115">
        <f t="shared" si="131"/>
        <v>83773.75</v>
      </c>
      <c r="M739" s="115">
        <f t="shared" si="132"/>
        <v>83773.75</v>
      </c>
      <c r="N739" s="115">
        <f t="shared" si="133"/>
        <v>83773.75</v>
      </c>
      <c r="O739" s="115">
        <f t="shared" si="134"/>
        <v>83773.75</v>
      </c>
      <c r="P739" s="115">
        <f t="shared" si="135"/>
        <v>83773.75</v>
      </c>
      <c r="Q739" s="116"/>
      <c r="R739" s="116"/>
      <c r="S739" s="116"/>
      <c r="T739" s="116">
        <f>1965000-365364.25-150000-68423-2803-151542-20025-150930+10593-54024-832238-22312-160-9747-5250-16751-9620-18665-14000+35</f>
        <v>83773.75</v>
      </c>
      <c r="U739" s="116"/>
      <c r="V739" s="116"/>
      <c r="W739" s="116"/>
      <c r="X739" s="116"/>
      <c r="Y739" s="116"/>
      <c r="Z739" s="116"/>
      <c r="AA739" s="116"/>
      <c r="AB739" s="116"/>
      <c r="AC739" s="115"/>
      <c r="AD739" s="117"/>
      <c r="AE739" s="162"/>
      <c r="AF739" s="192"/>
      <c r="AG739" s="127"/>
      <c r="AH739" s="127"/>
      <c r="AI739" s="184"/>
      <c r="AJ739" s="120"/>
      <c r="AN739" s="133"/>
      <c r="AO739" s="108" t="s">
        <v>1775</v>
      </c>
    </row>
    <row r="740" spans="1:41">
      <c r="A740" s="128"/>
      <c r="B740" s="154"/>
      <c r="C740" s="154" t="s">
        <v>1776</v>
      </c>
      <c r="E740" s="120"/>
      <c r="F740" s="120"/>
      <c r="G740" s="120"/>
      <c r="H740" s="115">
        <f t="shared" si="127"/>
        <v>511.94999999999709</v>
      </c>
      <c r="I740" s="115">
        <f t="shared" si="128"/>
        <v>511.94999999999709</v>
      </c>
      <c r="J740" s="115">
        <f t="shared" si="129"/>
        <v>511.94999999999709</v>
      </c>
      <c r="K740" s="115">
        <f t="shared" si="130"/>
        <v>511.94999999999709</v>
      </c>
      <c r="L740" s="115">
        <f t="shared" si="131"/>
        <v>511.94999999999709</v>
      </c>
      <c r="M740" s="115">
        <f t="shared" si="132"/>
        <v>511.94999999999709</v>
      </c>
      <c r="N740" s="115">
        <f t="shared" si="133"/>
        <v>511.94999999999709</v>
      </c>
      <c r="O740" s="115">
        <f t="shared" si="134"/>
        <v>511.94999999999709</v>
      </c>
      <c r="P740" s="115">
        <f t="shared" si="135"/>
        <v>511.94999999999709</v>
      </c>
      <c r="Q740" s="116"/>
      <c r="R740" s="116"/>
      <c r="S740" s="116"/>
      <c r="T740" s="116">
        <f>34446.95-33935</f>
        <v>511.94999999999709</v>
      </c>
      <c r="U740" s="116"/>
      <c r="V740" s="116"/>
      <c r="W740" s="116"/>
      <c r="X740" s="116"/>
      <c r="Y740" s="116"/>
      <c r="Z740" s="116"/>
      <c r="AA740" s="116"/>
      <c r="AB740" s="116"/>
      <c r="AC740" s="115"/>
      <c r="AD740" s="117"/>
      <c r="AE740" s="162"/>
      <c r="AF740" s="127"/>
      <c r="AG740" s="127"/>
      <c r="AH740" s="127"/>
      <c r="AI740" s="127"/>
      <c r="AJ740" s="190"/>
      <c r="AN740" s="133"/>
    </row>
    <row r="741" spans="1:41">
      <c r="A741" s="128"/>
      <c r="B741" s="154"/>
      <c r="C741" s="154" t="s">
        <v>1777</v>
      </c>
      <c r="E741" s="115"/>
      <c r="F741" s="115"/>
      <c r="G741" s="115"/>
      <c r="H741" s="115">
        <f t="shared" si="127"/>
        <v>314751.80000000005</v>
      </c>
      <c r="I741" s="115">
        <f t="shared" si="128"/>
        <v>314751.80000000005</v>
      </c>
      <c r="J741" s="115">
        <f t="shared" si="129"/>
        <v>314751.80000000005</v>
      </c>
      <c r="K741" s="115">
        <f t="shared" si="130"/>
        <v>314751.80000000005</v>
      </c>
      <c r="L741" s="115">
        <f t="shared" si="131"/>
        <v>314751.80000000005</v>
      </c>
      <c r="M741" s="115">
        <f t="shared" si="132"/>
        <v>314751.80000000005</v>
      </c>
      <c r="N741" s="115">
        <f t="shared" si="133"/>
        <v>314751.80000000005</v>
      </c>
      <c r="O741" s="115">
        <f t="shared" si="134"/>
        <v>314751.80000000005</v>
      </c>
      <c r="P741" s="115">
        <f t="shared" si="135"/>
        <v>314751.80000000005</v>
      </c>
      <c r="Q741" s="116"/>
      <c r="R741" s="116"/>
      <c r="S741" s="116"/>
      <c r="T741" s="116">
        <f>2163738-999509.2-252538-250490-182482-56500-8100-25000-34527-39840</f>
        <v>314751.80000000005</v>
      </c>
      <c r="U741" s="116"/>
      <c r="V741" s="116"/>
      <c r="W741" s="116"/>
      <c r="X741" s="116"/>
      <c r="Y741" s="116"/>
      <c r="Z741" s="116"/>
      <c r="AA741" s="116"/>
      <c r="AB741" s="116"/>
      <c r="AC741" s="115"/>
      <c r="AD741" s="117"/>
      <c r="AE741" s="193"/>
      <c r="AF741" s="115"/>
      <c r="AG741" s="129"/>
      <c r="AH741" s="127"/>
      <c r="AI741" s="184"/>
      <c r="AJ741" s="190"/>
      <c r="AN741" s="133"/>
    </row>
    <row r="742" spans="1:41" ht="15">
      <c r="A742" s="128"/>
      <c r="B742" s="154"/>
      <c r="C742" s="154" t="s">
        <v>1777</v>
      </c>
      <c r="E742" s="120"/>
      <c r="F742" s="120"/>
      <c r="G742" s="120"/>
      <c r="H742" s="115">
        <f t="shared" si="127"/>
        <v>16141.730000000214</v>
      </c>
      <c r="I742" s="115">
        <f t="shared" si="128"/>
        <v>16141.730000000214</v>
      </c>
      <c r="J742" s="115">
        <f t="shared" si="129"/>
        <v>16141.730000000214</v>
      </c>
      <c r="K742" s="115">
        <f t="shared" si="130"/>
        <v>16141.730000000214</v>
      </c>
      <c r="L742" s="115">
        <f t="shared" si="131"/>
        <v>16141.730000000214</v>
      </c>
      <c r="M742" s="115">
        <f t="shared" si="132"/>
        <v>16141.730000000214</v>
      </c>
      <c r="N742" s="115">
        <f t="shared" si="133"/>
        <v>16141.730000000214</v>
      </c>
      <c r="O742" s="115">
        <f t="shared" si="134"/>
        <v>16141.730000000214</v>
      </c>
      <c r="P742" s="115">
        <f t="shared" si="135"/>
        <v>16141.730000000214</v>
      </c>
      <c r="Q742" s="116"/>
      <c r="R742" s="116"/>
      <c r="S742" s="116"/>
      <c r="T742" s="116">
        <f>3250000-3900-389336-226375.2-269263-24790-493298.4-26870-78188.98-11780+0.5-13975.64-49009.25-275000-120680.15-10305-6420-12919.4-136250-395933.75-2204-355984-9321-25001-10593-286461</f>
        <v>16141.730000000214</v>
      </c>
      <c r="U742" s="116"/>
      <c r="V742" s="116"/>
      <c r="W742" s="116"/>
      <c r="X742" s="116"/>
      <c r="Y742" s="116"/>
      <c r="Z742" s="116"/>
      <c r="AA742" s="116"/>
      <c r="AB742" s="116"/>
      <c r="AC742" s="115"/>
      <c r="AD742" s="117">
        <v>5911</v>
      </c>
      <c r="AE742" s="162"/>
      <c r="AF742" s="178"/>
      <c r="AG742" s="127"/>
      <c r="AH742" s="127"/>
      <c r="AI742" s="127"/>
      <c r="AJ742" s="120"/>
      <c r="AN742" s="177"/>
    </row>
    <row r="743" spans="1:41">
      <c r="A743" s="128"/>
      <c r="B743" s="154"/>
      <c r="C743" s="154" t="s">
        <v>1778</v>
      </c>
      <c r="E743" s="120"/>
      <c r="F743" s="120"/>
      <c r="G743" s="120"/>
      <c r="H743" s="115">
        <f t="shared" si="127"/>
        <v>33809.709999999992</v>
      </c>
      <c r="I743" s="115">
        <f t="shared" si="128"/>
        <v>33809.709999999992</v>
      </c>
      <c r="J743" s="115">
        <f t="shared" si="129"/>
        <v>33809.709999999992</v>
      </c>
      <c r="K743" s="115">
        <f t="shared" si="130"/>
        <v>33809.709999999992</v>
      </c>
      <c r="L743" s="115">
        <f t="shared" si="131"/>
        <v>33809.709999999992</v>
      </c>
      <c r="M743" s="115">
        <f t="shared" si="132"/>
        <v>33809.709999999992</v>
      </c>
      <c r="N743" s="115">
        <f t="shared" si="133"/>
        <v>33809.709999999992</v>
      </c>
      <c r="O743" s="115">
        <f t="shared" si="134"/>
        <v>33809.709999999992</v>
      </c>
      <c r="P743" s="115">
        <f t="shared" si="135"/>
        <v>33809.709999999992</v>
      </c>
      <c r="Q743" s="116"/>
      <c r="R743" s="116"/>
      <c r="S743" s="116"/>
      <c r="T743" s="116">
        <f>400000-184300.88-32200-1305-17891.91-20000-74590-29991.5-5911</f>
        <v>33809.709999999992</v>
      </c>
      <c r="U743" s="116"/>
      <c r="V743" s="116"/>
      <c r="W743" s="116"/>
      <c r="X743" s="116"/>
      <c r="Y743" s="116"/>
      <c r="Z743" s="116"/>
      <c r="AA743" s="116"/>
      <c r="AB743" s="116"/>
      <c r="AC743" s="115"/>
      <c r="AD743" s="117"/>
      <c r="AE743" s="127"/>
      <c r="AF743" s="127"/>
      <c r="AG743" s="127"/>
      <c r="AH743" s="115"/>
      <c r="AI743" s="127"/>
      <c r="AJ743" s="120"/>
      <c r="AN743" s="177"/>
    </row>
    <row r="744" spans="1:41">
      <c r="A744" s="128"/>
      <c r="B744" s="154"/>
      <c r="C744" s="154" t="s">
        <v>1779</v>
      </c>
      <c r="E744" s="120"/>
      <c r="F744" s="120"/>
      <c r="G744" s="120"/>
      <c r="H744" s="115">
        <f t="shared" si="127"/>
        <v>29000</v>
      </c>
      <c r="I744" s="115">
        <f t="shared" si="128"/>
        <v>29000</v>
      </c>
      <c r="J744" s="115">
        <f t="shared" si="129"/>
        <v>29000</v>
      </c>
      <c r="K744" s="115">
        <f t="shared" si="130"/>
        <v>29000</v>
      </c>
      <c r="L744" s="115">
        <f t="shared" si="131"/>
        <v>29000</v>
      </c>
      <c r="M744" s="115">
        <f t="shared" si="132"/>
        <v>29000</v>
      </c>
      <c r="N744" s="115">
        <f t="shared" si="133"/>
        <v>29000</v>
      </c>
      <c r="O744" s="115">
        <f t="shared" si="134"/>
        <v>29000</v>
      </c>
      <c r="P744" s="115">
        <f t="shared" si="135"/>
        <v>29000</v>
      </c>
      <c r="Q744" s="116"/>
      <c r="R744" s="116"/>
      <c r="S744" s="116"/>
      <c r="T744" s="116">
        <f>50000-21000</f>
        <v>29000</v>
      </c>
      <c r="U744" s="116"/>
      <c r="V744" s="116"/>
      <c r="W744" s="116"/>
      <c r="X744" s="116"/>
      <c r="Y744" s="116"/>
      <c r="Z744" s="116"/>
      <c r="AA744" s="116"/>
      <c r="AB744" s="116"/>
      <c r="AC744" s="115"/>
      <c r="AD744" s="117"/>
      <c r="AE744" s="127"/>
      <c r="AF744" s="185"/>
      <c r="AG744" s="127"/>
      <c r="AH744" s="115"/>
      <c r="AI744" s="127"/>
      <c r="AJ744" s="120"/>
      <c r="AN744" s="120"/>
    </row>
    <row r="745" spans="1:41">
      <c r="A745" s="128"/>
      <c r="B745" s="154"/>
      <c r="C745" s="108" t="s">
        <v>1780</v>
      </c>
      <c r="E745" s="120"/>
      <c r="F745" s="120"/>
      <c r="G745" s="120"/>
      <c r="H745" s="115">
        <f t="shared" si="127"/>
        <v>42256</v>
      </c>
      <c r="I745" s="115">
        <f t="shared" si="128"/>
        <v>42256</v>
      </c>
      <c r="J745" s="115">
        <f t="shared" si="129"/>
        <v>42256</v>
      </c>
      <c r="K745" s="115">
        <f t="shared" si="130"/>
        <v>42256</v>
      </c>
      <c r="L745" s="115">
        <f t="shared" si="131"/>
        <v>42256</v>
      </c>
      <c r="M745" s="115">
        <f t="shared" si="132"/>
        <v>42256</v>
      </c>
      <c r="N745" s="115">
        <f t="shared" si="133"/>
        <v>42256</v>
      </c>
      <c r="O745" s="115">
        <f t="shared" si="134"/>
        <v>42256</v>
      </c>
      <c r="P745" s="115">
        <f t="shared" si="135"/>
        <v>42256</v>
      </c>
      <c r="Q745" s="116"/>
      <c r="R745" s="116"/>
      <c r="S745" s="116"/>
      <c r="T745" s="116">
        <v>42256</v>
      </c>
      <c r="U745" s="116"/>
      <c r="V745" s="116"/>
      <c r="W745" s="116"/>
      <c r="X745" s="116"/>
      <c r="Y745" s="116"/>
      <c r="Z745" s="116"/>
      <c r="AA745" s="116"/>
      <c r="AB745" s="116"/>
      <c r="AC745" s="115"/>
      <c r="AD745" s="120"/>
      <c r="AE745" s="162"/>
      <c r="AG745" s="194"/>
      <c r="AH745" s="120"/>
      <c r="AJ745" s="120"/>
      <c r="AN745" s="120"/>
    </row>
    <row r="746" spans="1:41">
      <c r="A746" s="128"/>
      <c r="B746" s="154"/>
      <c r="C746" s="154" t="s">
        <v>1781</v>
      </c>
      <c r="E746" s="120"/>
      <c r="F746" s="120"/>
      <c r="G746" s="120"/>
      <c r="H746" s="115">
        <f t="shared" si="127"/>
        <v>89010.5</v>
      </c>
      <c r="I746" s="115">
        <f t="shared" si="128"/>
        <v>89010.5</v>
      </c>
      <c r="J746" s="115">
        <f t="shared" si="129"/>
        <v>89010.5</v>
      </c>
      <c r="K746" s="115">
        <f t="shared" si="130"/>
        <v>89010.5</v>
      </c>
      <c r="L746" s="115">
        <f t="shared" si="131"/>
        <v>89010.5</v>
      </c>
      <c r="M746" s="115">
        <f t="shared" si="132"/>
        <v>89010.5</v>
      </c>
      <c r="N746" s="115">
        <f t="shared" si="133"/>
        <v>89010.5</v>
      </c>
      <c r="O746" s="115">
        <f t="shared" si="134"/>
        <v>89010.5</v>
      </c>
      <c r="P746" s="115">
        <f t="shared" si="135"/>
        <v>89010.5</v>
      </c>
      <c r="Q746" s="116"/>
      <c r="R746" s="116"/>
      <c r="S746" s="116"/>
      <c r="T746" s="116">
        <f>320000-230989.5</f>
        <v>89010.5</v>
      </c>
      <c r="U746" s="116"/>
      <c r="V746" s="116"/>
      <c r="W746" s="116"/>
      <c r="X746" s="116"/>
      <c r="Y746" s="116"/>
      <c r="Z746" s="116"/>
      <c r="AA746" s="116"/>
      <c r="AB746" s="116"/>
      <c r="AC746" s="115"/>
      <c r="AD746" s="120"/>
      <c r="AE746" s="162"/>
      <c r="AF746" s="135"/>
      <c r="AH746" s="133"/>
      <c r="AJ746" s="120"/>
      <c r="AN746" s="120"/>
    </row>
    <row r="747" spans="1:41">
      <c r="A747" s="128"/>
      <c r="B747" s="154"/>
      <c r="C747" s="154" t="s">
        <v>1782</v>
      </c>
      <c r="E747" s="120"/>
      <c r="F747" s="120"/>
      <c r="G747" s="120"/>
      <c r="H747" s="115">
        <f t="shared" ref="H747:H808" si="136">Q747+R747+S747+T747</f>
        <v>4291</v>
      </c>
      <c r="I747" s="115">
        <f t="shared" ref="I747:I808" si="137">Q747+R747+S747+T747+U747</f>
        <v>4291</v>
      </c>
      <c r="J747" s="115">
        <f t="shared" ref="J747:J808" si="138">Q747+R747+S747+T747+U747+V747</f>
        <v>4291</v>
      </c>
      <c r="K747" s="115">
        <f t="shared" ref="K747:K808" si="139">Q747+R747+S747+T747+U747+V747+W747</f>
        <v>4291</v>
      </c>
      <c r="L747" s="115">
        <f t="shared" ref="L747:L808" si="140">Q747+R747+S747+T747+U747+V747+W747+X747</f>
        <v>4291</v>
      </c>
      <c r="M747" s="115">
        <f t="shared" ref="M747:M808" si="141">Q747+R747+S747+T747+U747+V747+W747+X747+Y747</f>
        <v>4291</v>
      </c>
      <c r="N747" s="115">
        <f t="shared" ref="N747:N808" si="142">Q747+R747+S747+T747+U747+V747+W747+X747+Y747+Z747</f>
        <v>4291</v>
      </c>
      <c r="O747" s="115">
        <f t="shared" ref="O747:O808" si="143">Q747+R747+S747+T747+U747+V747+W747+X747+Y747+Z747+AA747</f>
        <v>4291</v>
      </c>
      <c r="P747" s="115">
        <f t="shared" ref="P747:P808" si="144">Q747+R747+S747+T747+U747+V747+W747+X747+Y747+Z747+AA747+AB747</f>
        <v>4291</v>
      </c>
      <c r="Q747" s="116"/>
      <c r="R747" s="116"/>
      <c r="S747" s="116"/>
      <c r="T747" s="116">
        <f>8000000-7995709</f>
        <v>4291</v>
      </c>
      <c r="U747" s="116"/>
      <c r="V747" s="116"/>
      <c r="W747" s="116"/>
      <c r="X747" s="116"/>
      <c r="Y747" s="116"/>
      <c r="Z747" s="116"/>
      <c r="AA747" s="116"/>
      <c r="AB747" s="116"/>
      <c r="AC747" s="115"/>
      <c r="AD747" s="120"/>
      <c r="AE747" s="162"/>
      <c r="AF747" s="135"/>
      <c r="AH747" s="133"/>
      <c r="AJ747" s="120"/>
      <c r="AN747" s="120"/>
    </row>
    <row r="748" spans="1:41">
      <c r="A748" s="128"/>
      <c r="B748" s="154"/>
      <c r="C748" s="154" t="s">
        <v>2343</v>
      </c>
      <c r="E748" s="120"/>
      <c r="F748" s="120"/>
      <c r="G748" s="120"/>
      <c r="H748" s="115"/>
      <c r="I748" s="115"/>
      <c r="J748" s="115"/>
      <c r="K748" s="115"/>
      <c r="L748" s="115">
        <f t="shared" si="140"/>
        <v>977400</v>
      </c>
      <c r="M748" s="115"/>
      <c r="N748" s="115"/>
      <c r="O748" s="115"/>
      <c r="P748" s="115"/>
      <c r="Q748" s="116"/>
      <c r="R748" s="116"/>
      <c r="S748" s="116"/>
      <c r="T748" s="116"/>
      <c r="U748" s="116"/>
      <c r="V748" s="116"/>
      <c r="W748" s="116"/>
      <c r="X748" s="116">
        <v>977400</v>
      </c>
      <c r="Y748" s="116"/>
      <c r="Z748" s="116"/>
      <c r="AA748" s="116"/>
      <c r="AB748" s="116"/>
      <c r="AC748" s="115"/>
      <c r="AD748" s="120"/>
      <c r="AE748" s="162"/>
      <c r="AF748" s="135"/>
      <c r="AH748" s="133"/>
      <c r="AJ748" s="120"/>
      <c r="AN748" s="120"/>
    </row>
    <row r="749" spans="1:41">
      <c r="A749" s="128"/>
      <c r="B749" s="154"/>
      <c r="C749" s="154" t="s">
        <v>1783</v>
      </c>
      <c r="E749" s="120"/>
      <c r="F749" s="120"/>
      <c r="G749" s="120"/>
      <c r="H749" s="115">
        <f t="shared" si="136"/>
        <v>17178.32</v>
      </c>
      <c r="I749" s="115">
        <f t="shared" si="137"/>
        <v>17178.32</v>
      </c>
      <c r="J749" s="115">
        <f t="shared" si="138"/>
        <v>17178.32</v>
      </c>
      <c r="K749" s="115">
        <f t="shared" si="139"/>
        <v>17178.32</v>
      </c>
      <c r="L749" s="115">
        <f t="shared" si="140"/>
        <v>17178.32</v>
      </c>
      <c r="M749" s="115">
        <f t="shared" si="141"/>
        <v>17178.32</v>
      </c>
      <c r="N749" s="115">
        <f t="shared" si="142"/>
        <v>17178.32</v>
      </c>
      <c r="O749" s="115">
        <f t="shared" si="143"/>
        <v>17178.32</v>
      </c>
      <c r="P749" s="115">
        <f t="shared" si="144"/>
        <v>17178.32</v>
      </c>
      <c r="Q749" s="116"/>
      <c r="R749" s="116"/>
      <c r="S749" s="116"/>
      <c r="T749" s="116">
        <v>17178.32</v>
      </c>
      <c r="U749" s="116"/>
      <c r="V749" s="116"/>
      <c r="W749" s="116"/>
      <c r="X749" s="116"/>
      <c r="Y749" s="116"/>
      <c r="Z749" s="116"/>
      <c r="AA749" s="116"/>
      <c r="AB749" s="116"/>
      <c r="AC749" s="115"/>
      <c r="AD749" s="120"/>
      <c r="AE749" s="162"/>
      <c r="AF749" s="135"/>
      <c r="AH749" s="133"/>
      <c r="AJ749" s="120"/>
      <c r="AN749" s="120"/>
    </row>
    <row r="750" spans="1:41">
      <c r="A750" s="128"/>
      <c r="B750" s="154"/>
      <c r="C750" s="154" t="s">
        <v>1784</v>
      </c>
      <c r="E750" s="120"/>
      <c r="F750" s="120"/>
      <c r="G750" s="120"/>
      <c r="H750" s="115">
        <f t="shared" si="136"/>
        <v>1043</v>
      </c>
      <c r="I750" s="115">
        <f t="shared" si="137"/>
        <v>1043</v>
      </c>
      <c r="J750" s="115">
        <f t="shared" si="138"/>
        <v>1043</v>
      </c>
      <c r="K750" s="115">
        <f t="shared" si="139"/>
        <v>1043</v>
      </c>
      <c r="L750" s="115">
        <f t="shared" si="140"/>
        <v>1043</v>
      </c>
      <c r="M750" s="115">
        <f t="shared" si="141"/>
        <v>1043</v>
      </c>
      <c r="N750" s="115">
        <f t="shared" si="142"/>
        <v>1043</v>
      </c>
      <c r="O750" s="115">
        <f t="shared" si="143"/>
        <v>1043</v>
      </c>
      <c r="P750" s="115">
        <f t="shared" si="144"/>
        <v>1043</v>
      </c>
      <c r="Q750" s="116"/>
      <c r="R750" s="116"/>
      <c r="S750" s="116"/>
      <c r="T750" s="116">
        <f>2000000-1998957</f>
        <v>1043</v>
      </c>
      <c r="U750" s="116"/>
      <c r="V750" s="116"/>
      <c r="W750" s="116"/>
      <c r="X750" s="116"/>
      <c r="Y750" s="116"/>
      <c r="Z750" s="116"/>
      <c r="AA750" s="116"/>
      <c r="AB750" s="116"/>
      <c r="AC750" s="115"/>
      <c r="AD750" s="120"/>
      <c r="AE750" s="162"/>
      <c r="AF750" s="135"/>
      <c r="AH750" s="133"/>
      <c r="AJ750" s="120"/>
      <c r="AN750" s="120"/>
    </row>
    <row r="751" spans="1:41">
      <c r="A751" s="128"/>
      <c r="B751" s="154"/>
      <c r="C751" s="128" t="s">
        <v>1785</v>
      </c>
      <c r="D751" s="128"/>
      <c r="E751" s="117"/>
      <c r="F751" s="117"/>
      <c r="G751" s="117"/>
      <c r="H751" s="115">
        <f t="shared" si="136"/>
        <v>10000</v>
      </c>
      <c r="I751" s="115">
        <f t="shared" si="137"/>
        <v>10000</v>
      </c>
      <c r="J751" s="115">
        <f t="shared" si="138"/>
        <v>10000</v>
      </c>
      <c r="K751" s="115">
        <f t="shared" si="139"/>
        <v>10000</v>
      </c>
      <c r="L751" s="115">
        <f t="shared" si="140"/>
        <v>10000</v>
      </c>
      <c r="M751" s="115">
        <f t="shared" si="141"/>
        <v>10000</v>
      </c>
      <c r="N751" s="115">
        <f t="shared" si="142"/>
        <v>10000</v>
      </c>
      <c r="O751" s="115">
        <f t="shared" si="143"/>
        <v>10000</v>
      </c>
      <c r="P751" s="115">
        <f t="shared" si="144"/>
        <v>10000</v>
      </c>
      <c r="Q751" s="125"/>
      <c r="R751" s="125"/>
      <c r="S751" s="125"/>
      <c r="T751" s="125">
        <f>10000+300000-300000+656100-656100</f>
        <v>10000</v>
      </c>
      <c r="U751" s="125"/>
      <c r="V751" s="125"/>
      <c r="W751" s="125"/>
      <c r="X751" s="125"/>
      <c r="Y751" s="125"/>
      <c r="Z751" s="125"/>
      <c r="AA751" s="125"/>
      <c r="AB751" s="125"/>
      <c r="AC751" s="124"/>
      <c r="AD751" s="120"/>
      <c r="AJ751" s="120"/>
      <c r="AN751" s="120"/>
    </row>
    <row r="752" spans="1:41">
      <c r="A752" s="128"/>
      <c r="B752" s="154"/>
      <c r="C752" s="154" t="s">
        <v>1786</v>
      </c>
      <c r="E752" s="120"/>
      <c r="F752" s="120"/>
      <c r="G752" s="120"/>
      <c r="H752" s="115">
        <f t="shared" si="136"/>
        <v>126461</v>
      </c>
      <c r="I752" s="115">
        <f t="shared" si="137"/>
        <v>126461</v>
      </c>
      <c r="J752" s="115">
        <f t="shared" si="138"/>
        <v>126461</v>
      </c>
      <c r="K752" s="115">
        <f t="shared" si="139"/>
        <v>126461</v>
      </c>
      <c r="L752" s="115">
        <f t="shared" si="140"/>
        <v>126461</v>
      </c>
      <c r="M752" s="115">
        <f t="shared" si="141"/>
        <v>126461</v>
      </c>
      <c r="N752" s="115">
        <f t="shared" si="142"/>
        <v>126461</v>
      </c>
      <c r="O752" s="115">
        <f t="shared" si="143"/>
        <v>126461</v>
      </c>
      <c r="P752" s="115">
        <f t="shared" si="144"/>
        <v>126461</v>
      </c>
      <c r="Q752" s="116"/>
      <c r="R752" s="116"/>
      <c r="S752" s="116"/>
      <c r="T752" s="116">
        <v>126461</v>
      </c>
      <c r="U752" s="116"/>
      <c r="V752" s="116"/>
      <c r="W752" s="116"/>
      <c r="X752" s="116"/>
      <c r="Y752" s="116"/>
      <c r="Z752" s="116"/>
      <c r="AA752" s="116"/>
      <c r="AB752" s="116"/>
      <c r="AC752" s="115"/>
      <c r="AD752" s="120"/>
      <c r="AE752" s="162"/>
      <c r="AH752" s="135"/>
      <c r="AJ752" s="120"/>
      <c r="AN752" s="120"/>
    </row>
    <row r="753" spans="1:40">
      <c r="A753" s="128"/>
      <c r="B753" s="154"/>
      <c r="C753" s="154" t="s">
        <v>1787</v>
      </c>
      <c r="E753" s="120"/>
      <c r="F753" s="120"/>
      <c r="G753" s="120"/>
      <c r="H753" s="115">
        <f t="shared" si="136"/>
        <v>28456</v>
      </c>
      <c r="I753" s="115">
        <f t="shared" si="137"/>
        <v>28456</v>
      </c>
      <c r="J753" s="115">
        <f t="shared" si="138"/>
        <v>28456</v>
      </c>
      <c r="K753" s="115">
        <f t="shared" si="139"/>
        <v>28456</v>
      </c>
      <c r="L753" s="115">
        <f t="shared" si="140"/>
        <v>28456</v>
      </c>
      <c r="M753" s="115">
        <f t="shared" si="141"/>
        <v>28456</v>
      </c>
      <c r="N753" s="115">
        <f t="shared" si="142"/>
        <v>28456</v>
      </c>
      <c r="O753" s="115">
        <f t="shared" si="143"/>
        <v>28456</v>
      </c>
      <c r="P753" s="115">
        <f t="shared" si="144"/>
        <v>28456</v>
      </c>
      <c r="Q753" s="116"/>
      <c r="R753" s="116"/>
      <c r="S753" s="116"/>
      <c r="T753" s="116">
        <f>259000-199349-6195-25000</f>
        <v>28456</v>
      </c>
      <c r="U753" s="116"/>
      <c r="V753" s="116"/>
      <c r="W753" s="116"/>
      <c r="X753" s="116"/>
      <c r="Y753" s="116"/>
      <c r="Z753" s="116"/>
      <c r="AA753" s="116"/>
      <c r="AB753" s="116"/>
      <c r="AC753" s="115"/>
      <c r="AD753" s="120"/>
      <c r="AE753" s="162"/>
      <c r="AH753" s="120"/>
      <c r="AJ753" s="120"/>
      <c r="AN753" s="120"/>
    </row>
    <row r="754" spans="1:40">
      <c r="A754" s="128"/>
      <c r="B754" s="154"/>
      <c r="C754" s="154" t="s">
        <v>1788</v>
      </c>
      <c r="E754" s="120"/>
      <c r="F754" s="120"/>
      <c r="G754" s="120"/>
      <c r="H754" s="115">
        <f t="shared" si="136"/>
        <v>12629.61000000003</v>
      </c>
      <c r="I754" s="115">
        <f t="shared" si="137"/>
        <v>12629.61000000003</v>
      </c>
      <c r="J754" s="115">
        <f t="shared" si="138"/>
        <v>12629.61000000003</v>
      </c>
      <c r="K754" s="115">
        <f t="shared" si="139"/>
        <v>12629.61000000003</v>
      </c>
      <c r="L754" s="115">
        <f t="shared" si="140"/>
        <v>12629.61000000003</v>
      </c>
      <c r="M754" s="115">
        <f t="shared" si="141"/>
        <v>12629.61000000003</v>
      </c>
      <c r="N754" s="115">
        <f t="shared" si="142"/>
        <v>12629.61000000003</v>
      </c>
      <c r="O754" s="115">
        <f t="shared" si="143"/>
        <v>12629.61000000003</v>
      </c>
      <c r="P754" s="115">
        <f t="shared" si="144"/>
        <v>12629.61000000003</v>
      </c>
      <c r="Q754" s="116"/>
      <c r="R754" s="116"/>
      <c r="S754" s="116"/>
      <c r="T754" s="116">
        <f>523109.71-270000-19157.93-141200-7200-38640-34282.17</f>
        <v>12629.61000000003</v>
      </c>
      <c r="U754" s="116"/>
      <c r="V754" s="116"/>
      <c r="W754" s="116"/>
      <c r="X754" s="116"/>
      <c r="Y754" s="116"/>
      <c r="Z754" s="116"/>
      <c r="AA754" s="116"/>
      <c r="AB754" s="116"/>
      <c r="AC754" s="115"/>
      <c r="AD754" s="120"/>
      <c r="AE754" s="162"/>
      <c r="AH754" s="120"/>
      <c r="AJ754" s="120"/>
      <c r="AN754" s="120"/>
    </row>
    <row r="755" spans="1:40">
      <c r="A755" s="128"/>
      <c r="B755" s="154"/>
      <c r="C755" s="154" t="s">
        <v>1789</v>
      </c>
      <c r="E755" s="120"/>
      <c r="F755" s="120"/>
      <c r="G755" s="120"/>
      <c r="H755" s="115">
        <f t="shared" si="136"/>
        <v>400.22000000008848</v>
      </c>
      <c r="I755" s="115">
        <f t="shared" si="137"/>
        <v>400.22000000008848</v>
      </c>
      <c r="J755" s="115">
        <f t="shared" si="138"/>
        <v>400.22000000008848</v>
      </c>
      <c r="K755" s="115">
        <f t="shared" si="139"/>
        <v>400.22000000008848</v>
      </c>
      <c r="L755" s="115">
        <f t="shared" si="140"/>
        <v>400.22000000008848</v>
      </c>
      <c r="M755" s="115">
        <f t="shared" si="141"/>
        <v>400.22000000008848</v>
      </c>
      <c r="N755" s="115">
        <f t="shared" si="142"/>
        <v>400.22000000008848</v>
      </c>
      <c r="O755" s="115">
        <f t="shared" si="143"/>
        <v>400.22000000008848</v>
      </c>
      <c r="P755" s="115">
        <f t="shared" si="144"/>
        <v>400.22000000008848</v>
      </c>
      <c r="Q755" s="116"/>
      <c r="R755" s="116"/>
      <c r="S755" s="116"/>
      <c r="T755" s="116">
        <f>523109.71+407977.85-2700-33323.95-105091.77-32980.51-61398.61-425100-113640-143412.5-3260-9780</f>
        <v>400.22000000008848</v>
      </c>
      <c r="U755" s="116"/>
      <c r="V755" s="116"/>
      <c r="W755" s="116"/>
      <c r="X755" s="116"/>
      <c r="Y755" s="116"/>
      <c r="Z755" s="116"/>
      <c r="AA755" s="116"/>
      <c r="AB755" s="116"/>
      <c r="AC755" s="115"/>
      <c r="AD755" s="120"/>
      <c r="AE755" s="162"/>
      <c r="AH755" s="120"/>
      <c r="AJ755" s="120"/>
      <c r="AN755" s="120"/>
    </row>
    <row r="756" spans="1:40">
      <c r="A756" s="128"/>
      <c r="B756" s="154"/>
      <c r="C756" s="154" t="s">
        <v>1790</v>
      </c>
      <c r="E756" s="120"/>
      <c r="F756" s="120"/>
      <c r="G756" s="120"/>
      <c r="H756" s="115">
        <f t="shared" si="136"/>
        <v>568145.30999999982</v>
      </c>
      <c r="I756" s="115">
        <f t="shared" si="137"/>
        <v>568145.30999999982</v>
      </c>
      <c r="J756" s="115">
        <f t="shared" si="138"/>
        <v>568145.30999999982</v>
      </c>
      <c r="K756" s="115">
        <f t="shared" si="139"/>
        <v>568145.30999999982</v>
      </c>
      <c r="L756" s="115">
        <f t="shared" si="140"/>
        <v>568145.30999999982</v>
      </c>
      <c r="M756" s="115">
        <f t="shared" si="141"/>
        <v>568145.30999999982</v>
      </c>
      <c r="N756" s="115">
        <f t="shared" si="142"/>
        <v>568145.30999999982</v>
      </c>
      <c r="O756" s="115">
        <f t="shared" si="143"/>
        <v>568145.30999999982</v>
      </c>
      <c r="P756" s="115">
        <f t="shared" si="144"/>
        <v>568145.30999999982</v>
      </c>
      <c r="Q756" s="116"/>
      <c r="R756" s="116"/>
      <c r="S756" s="116"/>
      <c r="T756" s="116">
        <f>2500000-57608-511830.14-16880-263912-783773.52-123144.04-28812-53013.76-1500-18833.23-3500-48561-4300-16187</f>
        <v>568145.30999999982</v>
      </c>
      <c r="U756" s="116"/>
      <c r="V756" s="116"/>
      <c r="W756" s="116"/>
      <c r="X756" s="116"/>
      <c r="Y756" s="116"/>
      <c r="Z756" s="116"/>
      <c r="AA756" s="116"/>
      <c r="AB756" s="116"/>
      <c r="AC756" s="115"/>
      <c r="AD756" s="120"/>
      <c r="AE756" s="162"/>
      <c r="AH756" s="120"/>
      <c r="AJ756" s="120"/>
      <c r="AN756" s="120"/>
    </row>
    <row r="757" spans="1:40">
      <c r="A757" s="128"/>
      <c r="B757" s="154"/>
      <c r="C757" s="154" t="s">
        <v>1791</v>
      </c>
      <c r="E757" s="120"/>
      <c r="F757" s="120"/>
      <c r="G757" s="120"/>
      <c r="H757" s="115">
        <f t="shared" si="136"/>
        <v>14628.689999999944</v>
      </c>
      <c r="I757" s="115">
        <f t="shared" si="137"/>
        <v>14628.689999999944</v>
      </c>
      <c r="J757" s="115">
        <f t="shared" si="138"/>
        <v>14628.689999999944</v>
      </c>
      <c r="K757" s="115">
        <f t="shared" si="139"/>
        <v>14628.689999999944</v>
      </c>
      <c r="L757" s="115">
        <f t="shared" si="140"/>
        <v>14628.689999999944</v>
      </c>
      <c r="M757" s="115">
        <f t="shared" si="141"/>
        <v>14628.689999999944</v>
      </c>
      <c r="N757" s="115">
        <f t="shared" si="142"/>
        <v>14628.689999999944</v>
      </c>
      <c r="O757" s="115">
        <f t="shared" si="143"/>
        <v>14628.689999999944</v>
      </c>
      <c r="P757" s="115">
        <f t="shared" si="144"/>
        <v>14628.689999999944</v>
      </c>
      <c r="Q757" s="116"/>
      <c r="R757" s="116"/>
      <c r="S757" s="116"/>
      <c r="T757" s="116">
        <f>1065936-498760.84-1800-197500-20822.97-332423.5</f>
        <v>14628.689999999944</v>
      </c>
      <c r="U757" s="116"/>
      <c r="V757" s="116"/>
      <c r="W757" s="116"/>
      <c r="X757" s="116"/>
      <c r="Y757" s="116"/>
      <c r="Z757" s="116"/>
      <c r="AA757" s="116"/>
      <c r="AB757" s="116"/>
      <c r="AC757" s="115"/>
      <c r="AD757" s="120"/>
      <c r="AE757" s="162"/>
      <c r="AH757" s="120"/>
      <c r="AJ757" s="120"/>
      <c r="AN757" s="120"/>
    </row>
    <row r="758" spans="1:40">
      <c r="A758" s="128"/>
      <c r="B758" s="154"/>
      <c r="C758" s="154" t="s">
        <v>1792</v>
      </c>
      <c r="E758" s="120"/>
      <c r="F758" s="120"/>
      <c r="G758" s="120"/>
      <c r="H758" s="115">
        <f t="shared" si="136"/>
        <v>26535.620000000024</v>
      </c>
      <c r="I758" s="115">
        <f t="shared" si="137"/>
        <v>26535.620000000024</v>
      </c>
      <c r="J758" s="115">
        <f t="shared" si="138"/>
        <v>26535.620000000024</v>
      </c>
      <c r="K758" s="115">
        <f t="shared" si="139"/>
        <v>26535.620000000024</v>
      </c>
      <c r="L758" s="115">
        <f t="shared" si="140"/>
        <v>26535.620000000024</v>
      </c>
      <c r="M758" s="115">
        <f t="shared" si="141"/>
        <v>26535.620000000024</v>
      </c>
      <c r="N758" s="115">
        <f t="shared" si="142"/>
        <v>26535.620000000024</v>
      </c>
      <c r="O758" s="115">
        <f t="shared" si="143"/>
        <v>26535.620000000024</v>
      </c>
      <c r="P758" s="115">
        <f t="shared" si="144"/>
        <v>26535.620000000024</v>
      </c>
      <c r="Q758" s="116"/>
      <c r="R758" s="116"/>
      <c r="S758" s="116"/>
      <c r="T758" s="116">
        <f>407977.84-229200-32002.22-100000-20240</f>
        <v>26535.620000000024</v>
      </c>
      <c r="U758" s="116"/>
      <c r="V758" s="116"/>
      <c r="W758" s="116"/>
      <c r="X758" s="116"/>
      <c r="Y758" s="116"/>
      <c r="Z758" s="116"/>
      <c r="AA758" s="116"/>
      <c r="AB758" s="116"/>
      <c r="AC758" s="115"/>
      <c r="AD758" s="120"/>
      <c r="AE758" s="162"/>
      <c r="AH758" s="120"/>
      <c r="AJ758" s="120"/>
      <c r="AN758" s="120"/>
    </row>
    <row r="759" spans="1:40">
      <c r="A759" s="128"/>
      <c r="B759" s="154"/>
      <c r="C759" s="154" t="s">
        <v>1793</v>
      </c>
      <c r="E759" s="120"/>
      <c r="F759" s="120"/>
      <c r="G759" s="120"/>
      <c r="H759" s="115">
        <f t="shared" si="136"/>
        <v>150479.12999999957</v>
      </c>
      <c r="I759" s="115">
        <f t="shared" si="137"/>
        <v>150479.12999999957</v>
      </c>
      <c r="J759" s="115">
        <f t="shared" si="138"/>
        <v>150479.12999999957</v>
      </c>
      <c r="K759" s="115">
        <f t="shared" si="139"/>
        <v>150479.12999999957</v>
      </c>
      <c r="L759" s="115">
        <f t="shared" si="140"/>
        <v>150479.12999999957</v>
      </c>
      <c r="M759" s="115">
        <f t="shared" si="141"/>
        <v>150479.12999999957</v>
      </c>
      <c r="N759" s="115">
        <f t="shared" si="142"/>
        <v>150479.12999999957</v>
      </c>
      <c r="O759" s="115">
        <f t="shared" si="143"/>
        <v>150479.12999999957</v>
      </c>
      <c r="P759" s="115">
        <f t="shared" si="144"/>
        <v>150479.12999999957</v>
      </c>
      <c r="Q759" s="116"/>
      <c r="R759" s="116"/>
      <c r="S759" s="116"/>
      <c r="T759" s="116">
        <f>1003578.39-14842-104250-14863.59-18261.17+1003578.39-686780-7361.22-181311.5-14535.04-118200-107501.4-110990-15330-306868-23000-33810-44520-9966.94-19700+959421.49-13783.85-16300-3725.25-45239.19-221288.24+2500000-278000-111073.63-682311-139426.14-730680-221500+326494.69+165310.36+303890.44+163726-2400-500000-32550-49749.6-200000-250000-8238.3-50059.48-30172.1-596-407750-10000-13750-4000-15000-46020-223179.09-126200-2128.6-3600-71.4-4637.9</f>
        <v>150479.12999999957</v>
      </c>
      <c r="U759" s="116"/>
      <c r="V759" s="116"/>
      <c r="W759" s="116"/>
      <c r="X759" s="116"/>
      <c r="Y759" s="116"/>
      <c r="Z759" s="116"/>
      <c r="AA759" s="116"/>
      <c r="AB759" s="116"/>
      <c r="AC759" s="115"/>
      <c r="AD759" s="120"/>
      <c r="AE759" s="162"/>
      <c r="AH759" s="170"/>
      <c r="AJ759" s="120"/>
      <c r="AN759" s="120"/>
    </row>
    <row r="760" spans="1:40">
      <c r="A760" s="128"/>
      <c r="B760" s="154"/>
      <c r="C760" s="154" t="s">
        <v>1794</v>
      </c>
      <c r="E760" s="120"/>
      <c r="F760" s="120"/>
      <c r="G760" s="120"/>
      <c r="H760" s="115">
        <f t="shared" si="136"/>
        <v>90649.490000000253</v>
      </c>
      <c r="I760" s="115">
        <f t="shared" si="137"/>
        <v>90649.490000000253</v>
      </c>
      <c r="J760" s="115">
        <f t="shared" si="138"/>
        <v>90649.490000000253</v>
      </c>
      <c r="K760" s="115">
        <f t="shared" si="139"/>
        <v>90649.490000000253</v>
      </c>
      <c r="L760" s="115">
        <f t="shared" si="140"/>
        <v>90649.490000000253</v>
      </c>
      <c r="M760" s="115">
        <f t="shared" si="141"/>
        <v>90649.490000000253</v>
      </c>
      <c r="N760" s="115">
        <f t="shared" si="142"/>
        <v>90649.490000000253</v>
      </c>
      <c r="O760" s="115">
        <f t="shared" si="143"/>
        <v>90649.490000000253</v>
      </c>
      <c r="P760" s="115">
        <f t="shared" si="144"/>
        <v>90649.490000000253</v>
      </c>
      <c r="Q760" s="116"/>
      <c r="R760" s="116"/>
      <c r="S760" s="116"/>
      <c r="T760" s="116">
        <f>370824.65-370309.25+2012870.61-1967312.5-14442.04-3600-8904.5-4200-1400-2559-8820+88501.52</f>
        <v>90649.490000000253</v>
      </c>
      <c r="U760" s="116"/>
      <c r="V760" s="116"/>
      <c r="W760" s="116"/>
      <c r="X760" s="116"/>
      <c r="Y760" s="116"/>
      <c r="Z760" s="116"/>
      <c r="AA760" s="116"/>
      <c r="AB760" s="116"/>
      <c r="AC760" s="115"/>
      <c r="AD760" s="120"/>
      <c r="AE760" s="162"/>
      <c r="AJ760" s="120"/>
      <c r="AN760" s="120"/>
    </row>
    <row r="761" spans="1:40">
      <c r="A761" s="128"/>
      <c r="B761" s="154"/>
      <c r="C761" s="108" t="s">
        <v>1795</v>
      </c>
      <c r="E761" s="120"/>
      <c r="F761" s="120"/>
      <c r="G761" s="120"/>
      <c r="H761" s="115">
        <f t="shared" si="136"/>
        <v>2507.320000000007</v>
      </c>
      <c r="I761" s="115">
        <f t="shared" si="137"/>
        <v>2507.320000000007</v>
      </c>
      <c r="J761" s="115">
        <f t="shared" si="138"/>
        <v>2507.320000000007</v>
      </c>
      <c r="K761" s="115">
        <f t="shared" si="139"/>
        <v>2507.320000000007</v>
      </c>
      <c r="L761" s="115">
        <f t="shared" si="140"/>
        <v>2507.320000000007</v>
      </c>
      <c r="M761" s="115">
        <f t="shared" si="141"/>
        <v>2507.320000000007</v>
      </c>
      <c r="N761" s="115">
        <f t="shared" si="142"/>
        <v>2507.320000000007</v>
      </c>
      <c r="O761" s="115">
        <f t="shared" si="143"/>
        <v>2507.320000000007</v>
      </c>
      <c r="P761" s="115">
        <f t="shared" si="144"/>
        <v>2507.320000000007</v>
      </c>
      <c r="Q761" s="116"/>
      <c r="R761" s="116"/>
      <c r="S761" s="116"/>
      <c r="T761" s="116">
        <f>2507.32+51000+50000-50000-51000</f>
        <v>2507.320000000007</v>
      </c>
      <c r="U761" s="116"/>
      <c r="V761" s="116"/>
      <c r="W761" s="116"/>
      <c r="X761" s="116"/>
      <c r="Y761" s="116"/>
      <c r="Z761" s="116"/>
      <c r="AA761" s="116"/>
      <c r="AB761" s="116"/>
      <c r="AC761" s="115"/>
      <c r="AD761" s="120"/>
      <c r="AE761" s="162"/>
      <c r="AF761" s="120">
        <v>1650000</v>
      </c>
      <c r="AJ761" s="120"/>
      <c r="AN761" s="120"/>
    </row>
    <row r="762" spans="1:40">
      <c r="A762" s="128"/>
      <c r="B762" s="154"/>
      <c r="C762" s="128" t="s">
        <v>1796</v>
      </c>
      <c r="D762" s="128"/>
      <c r="E762" s="117"/>
      <c r="F762" s="117"/>
      <c r="G762" s="117"/>
      <c r="H762" s="115">
        <f t="shared" si="136"/>
        <v>1185.5200000000004</v>
      </c>
      <c r="I762" s="115">
        <f t="shared" si="137"/>
        <v>1185.5200000000004</v>
      </c>
      <c r="J762" s="115">
        <f t="shared" si="138"/>
        <v>1185.5200000000004</v>
      </c>
      <c r="K762" s="115">
        <f t="shared" si="139"/>
        <v>1185.5200000000004</v>
      </c>
      <c r="L762" s="115">
        <f t="shared" si="140"/>
        <v>1185.5200000000004</v>
      </c>
      <c r="M762" s="115">
        <f t="shared" si="141"/>
        <v>1185.5200000000004</v>
      </c>
      <c r="N762" s="115">
        <f t="shared" si="142"/>
        <v>1185.5200000000004</v>
      </c>
      <c r="O762" s="115">
        <f t="shared" si="143"/>
        <v>1185.5200000000004</v>
      </c>
      <c r="P762" s="115">
        <f t="shared" si="144"/>
        <v>1185.5200000000004</v>
      </c>
      <c r="Q762" s="125"/>
      <c r="R762" s="125"/>
      <c r="S762" s="125"/>
      <c r="T762" s="125">
        <f>1180.52+5-20043.48+20043.48</f>
        <v>1185.5200000000004</v>
      </c>
      <c r="U762" s="125"/>
      <c r="V762" s="125"/>
      <c r="W762" s="125"/>
      <c r="X762" s="125"/>
      <c r="Y762" s="125"/>
      <c r="Z762" s="125"/>
      <c r="AA762" s="125"/>
      <c r="AB762" s="125"/>
      <c r="AC762" s="124"/>
      <c r="AD762" s="120"/>
      <c r="AE762" s="162"/>
      <c r="AF762" s="120">
        <v>49749.599999999999</v>
      </c>
      <c r="AJ762" s="120"/>
      <c r="AN762" s="120"/>
    </row>
    <row r="763" spans="1:40">
      <c r="A763" s="128"/>
      <c r="B763" s="154"/>
      <c r="C763" s="128" t="s">
        <v>1797</v>
      </c>
      <c r="D763" s="128"/>
      <c r="E763" s="117"/>
      <c r="F763" s="117"/>
      <c r="G763" s="117"/>
      <c r="H763" s="115">
        <f t="shared" si="136"/>
        <v>157403.29999999999</v>
      </c>
      <c r="I763" s="115">
        <f t="shared" si="137"/>
        <v>157403.29999999999</v>
      </c>
      <c r="J763" s="115">
        <f t="shared" si="138"/>
        <v>157403.29999999999</v>
      </c>
      <c r="K763" s="115">
        <f t="shared" si="139"/>
        <v>157403.29999999999</v>
      </c>
      <c r="L763" s="115">
        <f t="shared" si="140"/>
        <v>157403.29999999999</v>
      </c>
      <c r="M763" s="115">
        <f t="shared" si="141"/>
        <v>157403.29999999999</v>
      </c>
      <c r="N763" s="115">
        <f t="shared" si="142"/>
        <v>157403.29999999999</v>
      </c>
      <c r="O763" s="115">
        <f t="shared" si="143"/>
        <v>157403.29999999999</v>
      </c>
      <c r="P763" s="115">
        <f t="shared" si="144"/>
        <v>157403.29999999999</v>
      </c>
      <c r="Q763" s="125"/>
      <c r="R763" s="125"/>
      <c r="S763" s="125"/>
      <c r="T763" s="125">
        <v>157403.29999999999</v>
      </c>
      <c r="U763" s="125"/>
      <c r="V763" s="125"/>
      <c r="W763" s="125"/>
      <c r="X763" s="125"/>
      <c r="Y763" s="125"/>
      <c r="Z763" s="125"/>
      <c r="AA763" s="125"/>
      <c r="AB763" s="125"/>
      <c r="AC763" s="124"/>
      <c r="AD763" s="129"/>
      <c r="AE763" s="162"/>
      <c r="AF763" s="120">
        <v>34083.29</v>
      </c>
      <c r="AJ763" s="120"/>
      <c r="AN763" s="129"/>
    </row>
    <row r="764" spans="1:40">
      <c r="A764" s="128"/>
      <c r="B764" s="154"/>
      <c r="C764" s="128" t="s">
        <v>2320</v>
      </c>
      <c r="D764" s="128"/>
      <c r="E764" s="117"/>
      <c r="F764" s="117"/>
      <c r="G764" s="117"/>
      <c r="H764" s="115"/>
      <c r="I764" s="115">
        <f t="shared" si="137"/>
        <v>400000</v>
      </c>
      <c r="J764" s="115">
        <f>Q764+R764+S764+T764+U764+V764</f>
        <v>400000</v>
      </c>
      <c r="K764" s="115">
        <f t="shared" si="139"/>
        <v>400000</v>
      </c>
      <c r="L764" s="115">
        <f t="shared" si="140"/>
        <v>400000</v>
      </c>
      <c r="M764" s="115"/>
      <c r="N764" s="115"/>
      <c r="O764" s="115"/>
      <c r="P764" s="115"/>
      <c r="Q764" s="125"/>
      <c r="R764" s="125"/>
      <c r="S764" s="125"/>
      <c r="T764" s="125"/>
      <c r="U764" s="125">
        <v>400000</v>
      </c>
      <c r="V764" s="125"/>
      <c r="W764" s="125"/>
      <c r="X764" s="125"/>
      <c r="Y764" s="125"/>
      <c r="Z764" s="125"/>
      <c r="AA764" s="125"/>
      <c r="AB764" s="125"/>
      <c r="AC764" s="124"/>
      <c r="AD764" s="129"/>
      <c r="AE764" s="162"/>
      <c r="AF764" s="120"/>
      <c r="AJ764" s="120"/>
      <c r="AN764" s="129"/>
    </row>
    <row r="765" spans="1:40">
      <c r="A765" s="128"/>
      <c r="B765" s="154"/>
      <c r="C765" s="128" t="s">
        <v>1798</v>
      </c>
      <c r="D765" s="128"/>
      <c r="E765" s="117"/>
      <c r="F765" s="117"/>
      <c r="G765" s="117"/>
      <c r="H765" s="115">
        <f t="shared" si="136"/>
        <v>60151.18</v>
      </c>
      <c r="I765" s="115">
        <f t="shared" si="137"/>
        <v>60151.18</v>
      </c>
      <c r="J765" s="115">
        <f t="shared" si="138"/>
        <v>60151.18</v>
      </c>
      <c r="K765" s="115">
        <f t="shared" si="139"/>
        <v>60151.18</v>
      </c>
      <c r="L765" s="115">
        <f t="shared" si="140"/>
        <v>60151.18</v>
      </c>
      <c r="M765" s="115">
        <f t="shared" si="141"/>
        <v>60151.18</v>
      </c>
      <c r="N765" s="115">
        <f t="shared" si="142"/>
        <v>60151.18</v>
      </c>
      <c r="O765" s="115">
        <f t="shared" si="143"/>
        <v>60151.18</v>
      </c>
      <c r="P765" s="115">
        <f t="shared" si="144"/>
        <v>60151.18</v>
      </c>
      <c r="Q765" s="125"/>
      <c r="R765" s="125"/>
      <c r="S765" s="125"/>
      <c r="T765" s="125">
        <v>60151.18</v>
      </c>
      <c r="U765" s="125"/>
      <c r="V765" s="125"/>
      <c r="W765" s="125"/>
      <c r="X765" s="125"/>
      <c r="Y765" s="125"/>
      <c r="Z765" s="125"/>
      <c r="AA765" s="125"/>
      <c r="AB765" s="125"/>
      <c r="AC765" s="124"/>
      <c r="AD765" s="129"/>
      <c r="AE765" s="162"/>
      <c r="AF765" s="120">
        <v>39590</v>
      </c>
      <c r="AJ765" s="120"/>
      <c r="AK765" s="195"/>
      <c r="AM765" s="135"/>
      <c r="AN765" s="129"/>
    </row>
    <row r="766" spans="1:40">
      <c r="A766" s="128"/>
      <c r="B766" s="154"/>
      <c r="C766" s="128" t="s">
        <v>1799</v>
      </c>
      <c r="D766" s="128"/>
      <c r="E766" s="117"/>
      <c r="F766" s="117"/>
      <c r="G766" s="117"/>
      <c r="H766" s="115">
        <f t="shared" si="136"/>
        <v>1846035.94</v>
      </c>
      <c r="I766" s="115">
        <f t="shared" si="137"/>
        <v>1846035.94</v>
      </c>
      <c r="J766" s="115">
        <f t="shared" si="138"/>
        <v>1846035.94</v>
      </c>
      <c r="K766" s="115">
        <f t="shared" si="139"/>
        <v>1846035.94</v>
      </c>
      <c r="L766" s="115">
        <f t="shared" si="140"/>
        <v>1846035.94</v>
      </c>
      <c r="M766" s="115">
        <f t="shared" si="141"/>
        <v>1846035.94</v>
      </c>
      <c r="N766" s="115">
        <f t="shared" si="142"/>
        <v>1846035.94</v>
      </c>
      <c r="O766" s="115">
        <f t="shared" si="143"/>
        <v>1846035.94</v>
      </c>
      <c r="P766" s="115">
        <f t="shared" si="144"/>
        <v>1846035.94</v>
      </c>
      <c r="Q766" s="125"/>
      <c r="R766" s="125"/>
      <c r="S766" s="125"/>
      <c r="T766" s="125">
        <v>1846035.94</v>
      </c>
      <c r="U766" s="125"/>
      <c r="V766" s="125"/>
      <c r="W766" s="125"/>
      <c r="X766" s="125"/>
      <c r="Y766" s="125"/>
      <c r="Z766" s="125"/>
      <c r="AA766" s="125"/>
      <c r="AB766" s="125"/>
      <c r="AC766" s="124"/>
      <c r="AD766" s="129" t="s">
        <v>1800</v>
      </c>
      <c r="AE766" s="162"/>
      <c r="AF766" s="120">
        <v>17633</v>
      </c>
      <c r="AJ766" s="120"/>
      <c r="AN766" s="120"/>
    </row>
    <row r="767" spans="1:40">
      <c r="A767" s="128"/>
      <c r="B767" s="154"/>
      <c r="C767" s="128" t="s">
        <v>1801</v>
      </c>
      <c r="D767" s="128"/>
      <c r="E767" s="117"/>
      <c r="F767" s="117"/>
      <c r="G767" s="117"/>
      <c r="H767" s="115">
        <f t="shared" si="136"/>
        <v>4612.4400000000005</v>
      </c>
      <c r="I767" s="115">
        <f t="shared" si="137"/>
        <v>4612.4400000000005</v>
      </c>
      <c r="J767" s="115">
        <f t="shared" si="138"/>
        <v>4612.4400000000005</v>
      </c>
      <c r="K767" s="115">
        <f t="shared" si="139"/>
        <v>4612.4400000000005</v>
      </c>
      <c r="L767" s="115">
        <f t="shared" si="140"/>
        <v>4612.4400000000005</v>
      </c>
      <c r="M767" s="115">
        <f t="shared" si="141"/>
        <v>4612.4400000000005</v>
      </c>
      <c r="N767" s="115">
        <f t="shared" si="142"/>
        <v>4612.4400000000005</v>
      </c>
      <c r="O767" s="115">
        <f t="shared" si="143"/>
        <v>4612.4400000000005</v>
      </c>
      <c r="P767" s="115">
        <f t="shared" si="144"/>
        <v>4612.4400000000005</v>
      </c>
      <c r="Q767" s="125"/>
      <c r="R767" s="125"/>
      <c r="S767" s="125"/>
      <c r="T767" s="125">
        <f>10154.51+30-5542.07-30</f>
        <v>4612.4400000000005</v>
      </c>
      <c r="U767" s="125"/>
      <c r="V767" s="125"/>
      <c r="W767" s="125"/>
      <c r="X767" s="125"/>
      <c r="Y767" s="125"/>
      <c r="Z767" s="125"/>
      <c r="AA767" s="125"/>
      <c r="AB767" s="125"/>
      <c r="AC767" s="124"/>
      <c r="AD767" s="129"/>
      <c r="AE767" s="162"/>
      <c r="AF767" s="120">
        <v>1600</v>
      </c>
      <c r="AJ767" s="120"/>
      <c r="AN767" s="177"/>
    </row>
    <row r="768" spans="1:40">
      <c r="A768" s="128"/>
      <c r="B768" s="154"/>
      <c r="C768" s="128" t="s">
        <v>2317</v>
      </c>
      <c r="D768" s="128"/>
      <c r="E768" s="117"/>
      <c r="F768" s="117"/>
      <c r="G768" s="117"/>
      <c r="H768" s="115"/>
      <c r="I768" s="115">
        <f t="shared" si="137"/>
        <v>496100</v>
      </c>
      <c r="J768" s="115">
        <f>Q768+R768+S768+T768+U768+V768</f>
        <v>496100</v>
      </c>
      <c r="K768" s="115">
        <f t="shared" si="139"/>
        <v>496100</v>
      </c>
      <c r="L768" s="115">
        <f t="shared" si="140"/>
        <v>496100</v>
      </c>
      <c r="M768" s="115"/>
      <c r="N768" s="115"/>
      <c r="O768" s="115"/>
      <c r="P768" s="115"/>
      <c r="Q768" s="125"/>
      <c r="R768" s="125"/>
      <c r="S768" s="125"/>
      <c r="T768" s="125"/>
      <c r="U768" s="125">
        <v>496100</v>
      </c>
      <c r="V768" s="125"/>
      <c r="W768" s="125"/>
      <c r="X768" s="125"/>
      <c r="Y768" s="125"/>
      <c r="Z768" s="125"/>
      <c r="AA768" s="125"/>
      <c r="AB768" s="125"/>
      <c r="AC768" s="124"/>
      <c r="AD768" s="129"/>
      <c r="AE768" s="162"/>
      <c r="AF768" s="120"/>
      <c r="AJ768" s="120"/>
      <c r="AN768" s="228"/>
    </row>
    <row r="769" spans="1:40" ht="15" thickBot="1">
      <c r="A769" s="128"/>
      <c r="B769" s="154"/>
      <c r="C769" s="108" t="s">
        <v>1802</v>
      </c>
      <c r="E769" s="120"/>
      <c r="F769" s="120"/>
      <c r="G769" s="120"/>
      <c r="H769" s="115">
        <f t="shared" si="136"/>
        <v>2631.45</v>
      </c>
      <c r="I769" s="115">
        <f t="shared" si="137"/>
        <v>2631.45</v>
      </c>
      <c r="J769" s="115">
        <f t="shared" si="138"/>
        <v>2631.45</v>
      </c>
      <c r="K769" s="115">
        <f t="shared" si="139"/>
        <v>2631.45</v>
      </c>
      <c r="L769" s="115">
        <f t="shared" si="140"/>
        <v>2631.45</v>
      </c>
      <c r="M769" s="115">
        <f t="shared" si="141"/>
        <v>2631.45</v>
      </c>
      <c r="N769" s="115">
        <f t="shared" si="142"/>
        <v>2631.45</v>
      </c>
      <c r="O769" s="115">
        <f t="shared" si="143"/>
        <v>2631.45</v>
      </c>
      <c r="P769" s="115">
        <f t="shared" si="144"/>
        <v>2631.45</v>
      </c>
      <c r="Q769" s="116"/>
      <c r="R769" s="116"/>
      <c r="S769" s="116"/>
      <c r="T769" s="116">
        <v>2631.45</v>
      </c>
      <c r="U769" s="116"/>
      <c r="V769" s="116"/>
      <c r="W769" s="116"/>
      <c r="X769" s="116"/>
      <c r="Y769" s="116"/>
      <c r="Z769" s="116"/>
      <c r="AA769" s="116"/>
      <c r="AB769" s="116"/>
      <c r="AC769" s="115"/>
      <c r="AD769" s="129"/>
      <c r="AE769" s="162"/>
      <c r="AF769" s="120">
        <v>29000</v>
      </c>
      <c r="AJ769" s="120"/>
      <c r="AN769" s="196"/>
    </row>
    <row r="770" spans="1:40">
      <c r="A770" s="128"/>
      <c r="B770" s="154"/>
      <c r="C770" s="128" t="s">
        <v>1803</v>
      </c>
      <c r="D770" s="128"/>
      <c r="E770" s="117"/>
      <c r="F770" s="117"/>
      <c r="G770" s="117"/>
      <c r="H770" s="115">
        <f t="shared" si="136"/>
        <v>35997.850000000028</v>
      </c>
      <c r="I770" s="115">
        <f t="shared" si="137"/>
        <v>35997.850000000028</v>
      </c>
      <c r="J770" s="115">
        <f t="shared" si="138"/>
        <v>35997.850000000028</v>
      </c>
      <c r="K770" s="115">
        <f t="shared" si="139"/>
        <v>35997.850000000028</v>
      </c>
      <c r="L770" s="115">
        <f t="shared" si="140"/>
        <v>35997.850000000028</v>
      </c>
      <c r="M770" s="115">
        <f t="shared" si="141"/>
        <v>35997.850000000028</v>
      </c>
      <c r="N770" s="115">
        <f t="shared" si="142"/>
        <v>35997.850000000028</v>
      </c>
      <c r="O770" s="115">
        <f t="shared" si="143"/>
        <v>35997.850000000028</v>
      </c>
      <c r="P770" s="115">
        <f t="shared" si="144"/>
        <v>35997.850000000028</v>
      </c>
      <c r="Q770" s="125"/>
      <c r="R770" s="125"/>
      <c r="S770" s="125"/>
      <c r="T770" s="125">
        <f>801500-33346.86-22046.88-2680-58660.35-495000-117257.49-28010.57-8500</f>
        <v>35997.850000000028</v>
      </c>
      <c r="U770" s="125"/>
      <c r="V770" s="125"/>
      <c r="W770" s="125"/>
      <c r="X770" s="125"/>
      <c r="Y770" s="125"/>
      <c r="Z770" s="125"/>
      <c r="AA770" s="125"/>
      <c r="AB770" s="125"/>
      <c r="AC770" s="124"/>
      <c r="AD770" s="129"/>
      <c r="AE770" s="162"/>
      <c r="AF770" s="120"/>
      <c r="AJ770" s="120"/>
    </row>
    <row r="771" spans="1:40">
      <c r="A771" s="128"/>
      <c r="B771" s="154"/>
      <c r="C771" s="154" t="s">
        <v>1804</v>
      </c>
      <c r="E771" s="120"/>
      <c r="F771" s="120"/>
      <c r="G771" s="120"/>
      <c r="H771" s="115">
        <f t="shared" si="136"/>
        <v>1265566.1800000023</v>
      </c>
      <c r="I771" s="115">
        <f t="shared" si="137"/>
        <v>1265566.1800000023</v>
      </c>
      <c r="J771" s="115">
        <f t="shared" si="138"/>
        <v>1265566.1800000023</v>
      </c>
      <c r="K771" s="115">
        <f t="shared" si="139"/>
        <v>1265566.1800000023</v>
      </c>
      <c r="L771" s="115">
        <f t="shared" si="140"/>
        <v>1265566.1800000023</v>
      </c>
      <c r="M771" s="115">
        <f t="shared" si="141"/>
        <v>1265566.1800000023</v>
      </c>
      <c r="N771" s="115">
        <f t="shared" si="142"/>
        <v>1265566.1800000023</v>
      </c>
      <c r="O771" s="115">
        <f t="shared" si="143"/>
        <v>1265566.1800000023</v>
      </c>
      <c r="P771" s="115">
        <f t="shared" si="144"/>
        <v>1265566.1800000023</v>
      </c>
      <c r="Q771" s="116"/>
      <c r="R771" s="116"/>
      <c r="S771" s="116"/>
      <c r="T771" s="116">
        <f>20839632.56+7125036+8282950-31065674.32+187294.01-162156.55+614835.08+299000+989121.75-4692182.26+46985.21-44000-39272.73-991.23-206830-6420+1115893.08-526406.85-756320-44351-378660+35603.85-1000-378160-285610-378160+834335.54-29500-38980-31000-62000-7550-37000+45785.41+13549.99+7768.64</f>
        <v>1265566.1800000023</v>
      </c>
      <c r="U771" s="116"/>
      <c r="V771" s="116"/>
      <c r="W771" s="116"/>
      <c r="X771" s="116"/>
      <c r="Y771" s="116"/>
      <c r="Z771" s="116"/>
      <c r="AA771" s="116"/>
      <c r="AB771" s="116"/>
      <c r="AC771" s="115"/>
      <c r="AD771" s="129"/>
      <c r="AE771" s="162"/>
      <c r="AF771" s="120">
        <v>3020</v>
      </c>
      <c r="AJ771" s="120"/>
      <c r="AN771" s="197"/>
    </row>
    <row r="772" spans="1:40">
      <c r="A772" s="128"/>
      <c r="B772" s="154"/>
      <c r="C772" s="128" t="s">
        <v>1805</v>
      </c>
      <c r="D772" s="128"/>
      <c r="E772" s="117"/>
      <c r="F772" s="117"/>
      <c r="G772" s="117"/>
      <c r="H772" s="115">
        <f t="shared" si="136"/>
        <v>251230.1</v>
      </c>
      <c r="I772" s="115">
        <f t="shared" si="137"/>
        <v>251230.1</v>
      </c>
      <c r="J772" s="115">
        <f t="shared" si="138"/>
        <v>251230.1</v>
      </c>
      <c r="K772" s="115">
        <f t="shared" si="139"/>
        <v>251230.1</v>
      </c>
      <c r="L772" s="115">
        <f t="shared" si="140"/>
        <v>251230.1</v>
      </c>
      <c r="M772" s="115">
        <f t="shared" si="141"/>
        <v>251230.1</v>
      </c>
      <c r="N772" s="115">
        <f t="shared" si="142"/>
        <v>251230.1</v>
      </c>
      <c r="O772" s="115">
        <f t="shared" si="143"/>
        <v>251230.1</v>
      </c>
      <c r="P772" s="115">
        <f t="shared" si="144"/>
        <v>251230.1</v>
      </c>
      <c r="Q772" s="125"/>
      <c r="R772" s="125"/>
      <c r="S772" s="125"/>
      <c r="T772" s="125">
        <v>251230.1</v>
      </c>
      <c r="U772" s="125"/>
      <c r="V772" s="125"/>
      <c r="W772" s="125"/>
      <c r="X772" s="125"/>
      <c r="Y772" s="125"/>
      <c r="Z772" s="125"/>
      <c r="AA772" s="125"/>
      <c r="AB772" s="125"/>
      <c r="AC772" s="124"/>
      <c r="AD772" s="129"/>
      <c r="AE772" s="120"/>
      <c r="AF772" s="120">
        <v>578536.52</v>
      </c>
      <c r="AJ772" s="120"/>
      <c r="AN772" s="135"/>
    </row>
    <row r="773" spans="1:40">
      <c r="A773" s="128"/>
      <c r="B773" s="154"/>
      <c r="C773" s="128" t="s">
        <v>1806</v>
      </c>
      <c r="D773" s="128"/>
      <c r="E773" s="117"/>
      <c r="F773" s="117"/>
      <c r="G773" s="117"/>
      <c r="H773" s="115">
        <f t="shared" si="136"/>
        <v>11505672.739999996</v>
      </c>
      <c r="I773" s="115">
        <f t="shared" si="137"/>
        <v>11814463.929999996</v>
      </c>
      <c r="J773" s="115">
        <f t="shared" si="138"/>
        <v>12342928.119999995</v>
      </c>
      <c r="K773" s="115">
        <f t="shared" si="139"/>
        <v>12336928.119999995</v>
      </c>
      <c r="L773" s="115">
        <f t="shared" si="140"/>
        <v>12364824.009999996</v>
      </c>
      <c r="M773" s="115">
        <f t="shared" si="141"/>
        <v>12364824.009999996</v>
      </c>
      <c r="N773" s="115">
        <f t="shared" si="142"/>
        <v>12364824.009999996</v>
      </c>
      <c r="O773" s="115">
        <f t="shared" si="143"/>
        <v>12364824.009999996</v>
      </c>
      <c r="P773" s="115">
        <f t="shared" si="144"/>
        <v>12364824.009999996</v>
      </c>
      <c r="Q773" s="125"/>
      <c r="R773" s="125"/>
      <c r="S773" s="125"/>
      <c r="T773" s="125">
        <f>11043044.63-191358.82-134708.63+6619248.78-5961142.53-810761.47-709897.47+638303.97+1461707.7+428693.35-1374252.23-436397.3+2856231.09-2044163.12-142989.26+1280942.17-570094.3-254671.87-71741-120320.95</f>
        <v>11505672.739999996</v>
      </c>
      <c r="U773" s="125">
        <f>476211.19-167420</f>
        <v>308791.19</v>
      </c>
      <c r="V773" s="125">
        <f>1035127.85-506663.66</f>
        <v>528464.18999999994</v>
      </c>
      <c r="W773" s="125">
        <v>-6000</v>
      </c>
      <c r="X773" s="125">
        <f>-59900-58400+146195.89</f>
        <v>27895.890000000014</v>
      </c>
      <c r="Y773" s="125"/>
      <c r="Z773" s="125"/>
      <c r="AA773" s="125"/>
      <c r="AB773" s="125"/>
      <c r="AC773" s="124"/>
      <c r="AD773" s="129" t="s">
        <v>2341</v>
      </c>
      <c r="AF773" s="120" t="e">
        <f>+#REF!-AE782</f>
        <v>#REF!</v>
      </c>
      <c r="AI773" s="198"/>
      <c r="AJ773" s="133"/>
      <c r="AN773" s="115"/>
    </row>
    <row r="774" spans="1:40">
      <c r="A774" s="128"/>
      <c r="B774" s="154"/>
      <c r="C774" s="128" t="s">
        <v>1807</v>
      </c>
      <c r="D774" s="128"/>
      <c r="E774" s="117"/>
      <c r="F774" s="117"/>
      <c r="G774" s="117"/>
      <c r="H774" s="115">
        <f t="shared" si="136"/>
        <v>18500</v>
      </c>
      <c r="I774" s="115">
        <f t="shared" si="137"/>
        <v>18500</v>
      </c>
      <c r="J774" s="115">
        <f t="shared" si="138"/>
        <v>18500</v>
      </c>
      <c r="K774" s="115">
        <f t="shared" si="139"/>
        <v>18500</v>
      </c>
      <c r="L774" s="115">
        <f t="shared" si="140"/>
        <v>18500</v>
      </c>
      <c r="M774" s="115">
        <f t="shared" si="141"/>
        <v>18500</v>
      </c>
      <c r="N774" s="115">
        <f t="shared" si="142"/>
        <v>18500</v>
      </c>
      <c r="O774" s="115">
        <f t="shared" si="143"/>
        <v>18500</v>
      </c>
      <c r="P774" s="115">
        <f t="shared" si="144"/>
        <v>18500</v>
      </c>
      <c r="Q774" s="125"/>
      <c r="R774" s="125"/>
      <c r="S774" s="125"/>
      <c r="T774" s="125">
        <v>18500</v>
      </c>
      <c r="U774" s="125"/>
      <c r="V774" s="125"/>
      <c r="W774" s="125"/>
      <c r="X774" s="125"/>
      <c r="Y774" s="125"/>
      <c r="Z774" s="125"/>
      <c r="AA774" s="125"/>
      <c r="AB774" s="125"/>
      <c r="AC774" s="124"/>
      <c r="AD774" s="129"/>
      <c r="AF774" s="120">
        <v>800030.22</v>
      </c>
      <c r="AJ774" s="120"/>
      <c r="AN774" s="129"/>
    </row>
    <row r="775" spans="1:40" ht="15" thickBot="1">
      <c r="A775" s="128"/>
      <c r="B775" s="154"/>
      <c r="C775" s="108" t="s">
        <v>1808</v>
      </c>
      <c r="E775" s="120"/>
      <c r="F775" s="120"/>
      <c r="G775" s="120"/>
      <c r="H775" s="115">
        <f t="shared" si="136"/>
        <v>223</v>
      </c>
      <c r="I775" s="115">
        <f t="shared" si="137"/>
        <v>223</v>
      </c>
      <c r="J775" s="115">
        <f t="shared" si="138"/>
        <v>223</v>
      </c>
      <c r="K775" s="115">
        <f t="shared" si="139"/>
        <v>223</v>
      </c>
      <c r="L775" s="115">
        <f t="shared" si="140"/>
        <v>223</v>
      </c>
      <c r="M775" s="115">
        <f t="shared" si="141"/>
        <v>223</v>
      </c>
      <c r="N775" s="115">
        <f t="shared" si="142"/>
        <v>223</v>
      </c>
      <c r="O775" s="115">
        <f t="shared" si="143"/>
        <v>223</v>
      </c>
      <c r="P775" s="115">
        <f t="shared" si="144"/>
        <v>223</v>
      </c>
      <c r="Q775" s="116"/>
      <c r="R775" s="116"/>
      <c r="S775" s="116"/>
      <c r="T775" s="116">
        <v>223</v>
      </c>
      <c r="U775" s="116"/>
      <c r="V775" s="116"/>
      <c r="W775" s="116"/>
      <c r="X775" s="116"/>
      <c r="Y775" s="116"/>
      <c r="Z775" s="116"/>
      <c r="AA775" s="116"/>
      <c r="AB775" s="116"/>
      <c r="AC775" s="115"/>
      <c r="AD775" s="129"/>
      <c r="AE775" s="162"/>
      <c r="AF775" s="120">
        <v>496874.08</v>
      </c>
      <c r="AI775" s="136"/>
      <c r="AJ775" s="120"/>
      <c r="AN775" s="196"/>
    </row>
    <row r="776" spans="1:40">
      <c r="A776" s="128"/>
      <c r="B776" s="154"/>
      <c r="C776" s="154" t="s">
        <v>1809</v>
      </c>
      <c r="E776" s="120"/>
      <c r="F776" s="120"/>
      <c r="G776" s="120"/>
      <c r="H776" s="115">
        <f t="shared" si="136"/>
        <v>462946.35</v>
      </c>
      <c r="I776" s="115">
        <f t="shared" si="137"/>
        <v>462946.35</v>
      </c>
      <c r="J776" s="115">
        <f t="shared" si="138"/>
        <v>462946.35</v>
      </c>
      <c r="K776" s="115">
        <f t="shared" si="139"/>
        <v>462946.35</v>
      </c>
      <c r="L776" s="115">
        <f t="shared" si="140"/>
        <v>462946.35</v>
      </c>
      <c r="M776" s="115">
        <f t="shared" si="141"/>
        <v>462946.35</v>
      </c>
      <c r="N776" s="115">
        <f t="shared" si="142"/>
        <v>462946.35</v>
      </c>
      <c r="O776" s="115">
        <f t="shared" si="143"/>
        <v>462946.35</v>
      </c>
      <c r="P776" s="115">
        <f t="shared" si="144"/>
        <v>462946.35</v>
      </c>
      <c r="Q776" s="116"/>
      <c r="R776" s="116"/>
      <c r="S776" s="116"/>
      <c r="T776" s="116">
        <f>462946.35</f>
        <v>462946.35</v>
      </c>
      <c r="U776" s="116"/>
      <c r="V776" s="116"/>
      <c r="W776" s="116"/>
      <c r="X776" s="116"/>
      <c r="Y776" s="116"/>
      <c r="Z776" s="116"/>
      <c r="AA776" s="116"/>
      <c r="AB776" s="116"/>
      <c r="AC776" s="115"/>
      <c r="AD776" s="129"/>
      <c r="AE776" s="162"/>
      <c r="AF776" s="133">
        <v>1269649.67</v>
      </c>
      <c r="AJ776" s="120"/>
      <c r="AN776" s="129"/>
    </row>
    <row r="777" spans="1:40">
      <c r="A777" s="128"/>
      <c r="B777" s="154"/>
      <c r="C777" s="154" t="s">
        <v>1810</v>
      </c>
      <c r="E777" s="120"/>
      <c r="F777" s="120"/>
      <c r="G777" s="120"/>
      <c r="H777" s="115">
        <f t="shared" si="136"/>
        <v>24.829999999987194</v>
      </c>
      <c r="I777" s="115">
        <f t="shared" si="137"/>
        <v>24.829999999987194</v>
      </c>
      <c r="J777" s="115">
        <f t="shared" si="138"/>
        <v>24.829999999987194</v>
      </c>
      <c r="K777" s="115">
        <f t="shared" si="139"/>
        <v>24.829999999987194</v>
      </c>
      <c r="L777" s="115">
        <f t="shared" si="140"/>
        <v>24.829999999987194</v>
      </c>
      <c r="M777" s="115">
        <f t="shared" si="141"/>
        <v>24.829999999987194</v>
      </c>
      <c r="N777" s="115">
        <f t="shared" si="142"/>
        <v>24.829999999987194</v>
      </c>
      <c r="O777" s="115">
        <f t="shared" si="143"/>
        <v>24.829999999987194</v>
      </c>
      <c r="P777" s="115">
        <f t="shared" si="144"/>
        <v>24.829999999987194</v>
      </c>
      <c r="Q777" s="116"/>
      <c r="R777" s="116"/>
      <c r="S777" s="116"/>
      <c r="T777" s="116">
        <f>137715.83-75000-58470-4221</f>
        <v>24.829999999987194</v>
      </c>
      <c r="U777" s="116"/>
      <c r="V777" s="116"/>
      <c r="W777" s="116"/>
      <c r="X777" s="116"/>
      <c r="Y777" s="116"/>
      <c r="Z777" s="116"/>
      <c r="AA777" s="116"/>
      <c r="AB777" s="116"/>
      <c r="AC777" s="115"/>
      <c r="AD777" s="129"/>
      <c r="AE777" s="162"/>
      <c r="AF777" s="199">
        <v>369846.74</v>
      </c>
      <c r="AG777" s="198"/>
      <c r="AH777" s="198"/>
      <c r="AJ777" s="190"/>
      <c r="AN777" s="120"/>
    </row>
    <row r="778" spans="1:40">
      <c r="A778" s="128"/>
      <c r="B778" s="154"/>
      <c r="C778" s="154" t="s">
        <v>1811</v>
      </c>
      <c r="E778" s="120"/>
      <c r="F778" s="120"/>
      <c r="G778" s="120"/>
      <c r="H778" s="115">
        <f t="shared" si="136"/>
        <v>827.14000000005763</v>
      </c>
      <c r="I778" s="115">
        <f t="shared" si="137"/>
        <v>827.14000000005763</v>
      </c>
      <c r="J778" s="115">
        <f t="shared" si="138"/>
        <v>827.14000000005763</v>
      </c>
      <c r="K778" s="115">
        <f t="shared" si="139"/>
        <v>827.14000000005763</v>
      </c>
      <c r="L778" s="115">
        <f t="shared" si="140"/>
        <v>827.14000000005763</v>
      </c>
      <c r="M778" s="115">
        <f t="shared" si="141"/>
        <v>827.14000000005763</v>
      </c>
      <c r="N778" s="115">
        <f t="shared" si="142"/>
        <v>827.14000000005763</v>
      </c>
      <c r="O778" s="115">
        <f t="shared" si="143"/>
        <v>827.14000000005763</v>
      </c>
      <c r="P778" s="115">
        <f t="shared" si="144"/>
        <v>827.14000000005763</v>
      </c>
      <c r="Q778" s="116"/>
      <c r="R778" s="116"/>
      <c r="S778" s="116"/>
      <c r="T778" s="116">
        <f>1000000-131923.7-23700-604173-162823.3-1462.86-71300-3790</f>
        <v>827.14000000005763</v>
      </c>
      <c r="U778" s="116"/>
      <c r="V778" s="116"/>
      <c r="W778" s="116"/>
      <c r="X778" s="116"/>
      <c r="Y778" s="116"/>
      <c r="Z778" s="116"/>
      <c r="AA778" s="116"/>
      <c r="AB778" s="116"/>
      <c r="AC778" s="115"/>
      <c r="AD778" s="129"/>
      <c r="AE778" s="162"/>
      <c r="AF778" s="120">
        <v>3000</v>
      </c>
      <c r="AJ778" s="120"/>
      <c r="AN778" s="120"/>
    </row>
    <row r="779" spans="1:40">
      <c r="A779" s="128"/>
      <c r="B779" s="154"/>
      <c r="C779" s="128" t="s">
        <v>1812</v>
      </c>
      <c r="D779" s="128"/>
      <c r="E779" s="117"/>
      <c r="F779" s="117"/>
      <c r="G779" s="117"/>
      <c r="H779" s="115">
        <f t="shared" si="136"/>
        <v>1654.54</v>
      </c>
      <c r="I779" s="115">
        <f t="shared" si="137"/>
        <v>1654.54</v>
      </c>
      <c r="J779" s="115">
        <f t="shared" si="138"/>
        <v>1654.54</v>
      </c>
      <c r="K779" s="115">
        <f t="shared" si="139"/>
        <v>1654.54</v>
      </c>
      <c r="L779" s="115">
        <f t="shared" si="140"/>
        <v>1654.54</v>
      </c>
      <c r="M779" s="115">
        <f t="shared" si="141"/>
        <v>1654.54</v>
      </c>
      <c r="N779" s="115">
        <f t="shared" si="142"/>
        <v>1654.54</v>
      </c>
      <c r="O779" s="115">
        <f t="shared" si="143"/>
        <v>1654.54</v>
      </c>
      <c r="P779" s="115">
        <f t="shared" si="144"/>
        <v>1654.54</v>
      </c>
      <c r="Q779" s="125"/>
      <c r="R779" s="125"/>
      <c r="S779" s="125"/>
      <c r="T779" s="125">
        <v>1654.54</v>
      </c>
      <c r="U779" s="125"/>
      <c r="V779" s="125"/>
      <c r="W779" s="125"/>
      <c r="X779" s="125"/>
      <c r="Y779" s="125"/>
      <c r="Z779" s="125"/>
      <c r="AA779" s="125"/>
      <c r="AB779" s="125"/>
      <c r="AC779" s="124"/>
      <c r="AD779" s="129"/>
      <c r="AE779" s="162"/>
      <c r="AF779" s="120">
        <v>315122</v>
      </c>
      <c r="AJ779" s="120"/>
    </row>
    <row r="780" spans="1:40">
      <c r="A780" s="128"/>
      <c r="B780" s="154"/>
      <c r="C780" s="128" t="s">
        <v>2342</v>
      </c>
      <c r="D780" s="128"/>
      <c r="E780" s="117"/>
      <c r="F780" s="117"/>
      <c r="G780" s="117"/>
      <c r="H780" s="115"/>
      <c r="I780" s="115"/>
      <c r="J780" s="115"/>
      <c r="K780" s="115">
        <f t="shared" ref="K780" si="145">Q780+R780+S780+T780+U780+V780+W780</f>
        <v>0</v>
      </c>
      <c r="L780" s="115">
        <f t="shared" ref="L780" si="146">Q780+R780+S780+T780+U780+V780+W780+X780</f>
        <v>14216000</v>
      </c>
      <c r="M780" s="115"/>
      <c r="N780" s="115"/>
      <c r="O780" s="115"/>
      <c r="P780" s="115"/>
      <c r="Q780" s="125"/>
      <c r="R780" s="125"/>
      <c r="S780" s="125"/>
      <c r="T780" s="125"/>
      <c r="U780" s="125"/>
      <c r="V780" s="125"/>
      <c r="W780" s="125"/>
      <c r="X780" s="125">
        <v>14216000</v>
      </c>
      <c r="Y780" s="125"/>
      <c r="Z780" s="125"/>
      <c r="AA780" s="125"/>
      <c r="AB780" s="125"/>
      <c r="AC780" s="124"/>
      <c r="AD780" s="129"/>
      <c r="AE780" s="162"/>
      <c r="AF780" s="120"/>
      <c r="AJ780" s="120"/>
    </row>
    <row r="781" spans="1:40">
      <c r="A781" s="128"/>
      <c r="B781" s="154"/>
      <c r="C781" s="128" t="s">
        <v>2334</v>
      </c>
      <c r="D781" s="128"/>
      <c r="E781" s="117"/>
      <c r="F781" s="117"/>
      <c r="G781" s="117"/>
      <c r="H781" s="115">
        <f t="shared" si="136"/>
        <v>2511000</v>
      </c>
      <c r="I781" s="115">
        <f t="shared" si="137"/>
        <v>2399473.3199999998</v>
      </c>
      <c r="J781" s="115">
        <f t="shared" si="138"/>
        <v>2337218.1999999997</v>
      </c>
      <c r="K781" s="115">
        <f t="shared" si="139"/>
        <v>203748.35999999987</v>
      </c>
      <c r="L781" s="115">
        <f t="shared" si="140"/>
        <v>4892998.4000000004</v>
      </c>
      <c r="M781" s="115">
        <f t="shared" si="141"/>
        <v>4892998.4000000004</v>
      </c>
      <c r="N781" s="115">
        <f t="shared" si="142"/>
        <v>4892998.4000000004</v>
      </c>
      <c r="O781" s="115">
        <f t="shared" si="143"/>
        <v>4892998.4000000004</v>
      </c>
      <c r="P781" s="115">
        <f t="shared" si="144"/>
        <v>4892998.4000000004</v>
      </c>
      <c r="Q781" s="125"/>
      <c r="R781" s="125"/>
      <c r="S781" s="125"/>
      <c r="T781" s="125">
        <v>2511000</v>
      </c>
      <c r="U781" s="125">
        <v>-111526.68</v>
      </c>
      <c r="V781" s="125">
        <v>-62255.12</v>
      </c>
      <c r="W781" s="125">
        <f>-2100000-33469.84</f>
        <v>-2133469.84</v>
      </c>
      <c r="X781" s="125">
        <f>-60749.96+4750000</f>
        <v>4689250.04</v>
      </c>
      <c r="Y781" s="125"/>
      <c r="Z781" s="125"/>
      <c r="AA781" s="125"/>
      <c r="AB781" s="125"/>
      <c r="AC781" s="124"/>
      <c r="AD781" s="129"/>
      <c r="AE781" s="162"/>
      <c r="AF781" s="120"/>
      <c r="AJ781" s="120"/>
    </row>
    <row r="782" spans="1:40">
      <c r="A782" s="128"/>
      <c r="B782" s="154"/>
      <c r="C782" s="128" t="s">
        <v>1813</v>
      </c>
      <c r="D782" s="128"/>
      <c r="E782" s="117"/>
      <c r="F782" s="117"/>
      <c r="G782" s="117"/>
      <c r="H782" s="115">
        <f t="shared" si="136"/>
        <v>200</v>
      </c>
      <c r="I782" s="115">
        <f t="shared" si="137"/>
        <v>200</v>
      </c>
      <c r="J782" s="115">
        <f t="shared" si="138"/>
        <v>200</v>
      </c>
      <c r="K782" s="115">
        <f t="shared" si="139"/>
        <v>200</v>
      </c>
      <c r="L782" s="115">
        <f t="shared" si="140"/>
        <v>200</v>
      </c>
      <c r="M782" s="115">
        <f t="shared" si="141"/>
        <v>200</v>
      </c>
      <c r="N782" s="115">
        <f t="shared" si="142"/>
        <v>200</v>
      </c>
      <c r="O782" s="115">
        <f t="shared" si="143"/>
        <v>200</v>
      </c>
      <c r="P782" s="115">
        <f t="shared" si="144"/>
        <v>200</v>
      </c>
      <c r="Q782" s="125"/>
      <c r="R782" s="125"/>
      <c r="S782" s="125"/>
      <c r="T782" s="125">
        <f>350000-874-1500-44340+100000-34850-141895-24750-4150-11196-1720-24750-15000-24750-7711-7860-1100-24750-2779-21150-24750-920-6550-22455</f>
        <v>200</v>
      </c>
      <c r="U782" s="125"/>
      <c r="V782" s="125"/>
      <c r="W782" s="125"/>
      <c r="X782" s="125"/>
      <c r="Y782" s="125"/>
      <c r="Z782" s="125"/>
      <c r="AA782" s="125"/>
      <c r="AB782" s="125"/>
      <c r="AC782" s="124"/>
      <c r="AD782" s="129"/>
      <c r="AE782" s="162">
        <v>11043044.630000001</v>
      </c>
      <c r="AF782" s="120">
        <v>2100</v>
      </c>
      <c r="AJ782" s="120"/>
    </row>
    <row r="783" spans="1:40">
      <c r="A783" s="128"/>
      <c r="B783" s="154"/>
      <c r="C783" s="128" t="s">
        <v>1814</v>
      </c>
      <c r="D783" s="128"/>
      <c r="E783" s="117"/>
      <c r="F783" s="117"/>
      <c r="G783" s="117"/>
      <c r="H783" s="115">
        <f t="shared" si="136"/>
        <v>77959.779999999912</v>
      </c>
      <c r="I783" s="115">
        <f t="shared" si="137"/>
        <v>212392.55999999991</v>
      </c>
      <c r="J783" s="115">
        <f t="shared" si="138"/>
        <v>212392.55999999991</v>
      </c>
      <c r="K783" s="115">
        <f t="shared" si="139"/>
        <v>212392.55999999991</v>
      </c>
      <c r="L783" s="115">
        <f t="shared" si="140"/>
        <v>212392.55999999991</v>
      </c>
      <c r="M783" s="115">
        <f t="shared" si="141"/>
        <v>212392.55999999991</v>
      </c>
      <c r="N783" s="115">
        <f t="shared" si="142"/>
        <v>212392.55999999991</v>
      </c>
      <c r="O783" s="115">
        <f t="shared" si="143"/>
        <v>212392.55999999991</v>
      </c>
      <c r="P783" s="115">
        <f t="shared" si="144"/>
        <v>212392.55999999991</v>
      </c>
      <c r="Q783" s="125"/>
      <c r="R783" s="125"/>
      <c r="S783" s="125"/>
      <c r="T783" s="125">
        <f>6576.09+5+69360.39+79455.31+80276.93+82161.37+73030.24+94687.99+84953.37+77453.09-50000-450000-70000</f>
        <v>77959.779999999912</v>
      </c>
      <c r="U783" s="125">
        <v>134432.78</v>
      </c>
      <c r="V783" s="125"/>
      <c r="W783" s="125"/>
      <c r="X783" s="125"/>
      <c r="Y783" s="125"/>
      <c r="Z783" s="125"/>
      <c r="AA783" s="125"/>
      <c r="AB783" s="125"/>
      <c r="AC783" s="124"/>
      <c r="AD783" s="129"/>
      <c r="AE783" s="162"/>
      <c r="AF783" s="120">
        <v>400</v>
      </c>
      <c r="AJ783" s="120"/>
    </row>
    <row r="784" spans="1:40" ht="15">
      <c r="A784" s="128"/>
      <c r="B784" s="154"/>
      <c r="C784" s="128" t="s">
        <v>1815</v>
      </c>
      <c r="D784" s="128"/>
      <c r="E784" s="117"/>
      <c r="F784" s="117"/>
      <c r="G784" s="117"/>
      <c r="H784" s="115">
        <f t="shared" si="136"/>
        <v>61250</v>
      </c>
      <c r="I784" s="115">
        <f t="shared" si="137"/>
        <v>61250</v>
      </c>
      <c r="J784" s="115">
        <f t="shared" si="138"/>
        <v>61250</v>
      </c>
      <c r="K784" s="115">
        <f t="shared" si="139"/>
        <v>59250</v>
      </c>
      <c r="L784" s="115">
        <f t="shared" si="140"/>
        <v>8827750</v>
      </c>
      <c r="M784" s="115">
        <f t="shared" si="141"/>
        <v>8827750</v>
      </c>
      <c r="N784" s="115">
        <f t="shared" si="142"/>
        <v>8827750</v>
      </c>
      <c r="O784" s="115">
        <f t="shared" si="143"/>
        <v>8827750</v>
      </c>
      <c r="P784" s="115">
        <f t="shared" si="144"/>
        <v>8827750</v>
      </c>
      <c r="Q784" s="125"/>
      <c r="R784" s="125"/>
      <c r="S784" s="125"/>
      <c r="T784" s="125">
        <f>6500000-6081000-282250-75500</f>
        <v>61250</v>
      </c>
      <c r="U784" s="125"/>
      <c r="V784" s="125"/>
      <c r="W784" s="125">
        <v>-2000</v>
      </c>
      <c r="X784" s="125">
        <f>-231500+9000000</f>
        <v>8768500</v>
      </c>
      <c r="Y784" s="125"/>
      <c r="Z784" s="125"/>
      <c r="AA784" s="125"/>
      <c r="AB784" s="125"/>
      <c r="AC784" s="124"/>
      <c r="AD784" s="172">
        <v>50000</v>
      </c>
      <c r="AE784" s="274" t="s">
        <v>1816</v>
      </c>
      <c r="AF784" s="274"/>
      <c r="AJ784" s="120"/>
    </row>
    <row r="785" spans="1:41">
      <c r="A785" s="128"/>
      <c r="B785" s="154"/>
      <c r="C785" s="128" t="s">
        <v>1817</v>
      </c>
      <c r="D785" s="128"/>
      <c r="E785" s="117"/>
      <c r="F785" s="117"/>
      <c r="G785" s="117"/>
      <c r="H785" s="115">
        <f t="shared" si="136"/>
        <v>4601827</v>
      </c>
      <c r="I785" s="115">
        <f t="shared" si="137"/>
        <v>4473281</v>
      </c>
      <c r="J785" s="115">
        <f t="shared" si="138"/>
        <v>4311881</v>
      </c>
      <c r="K785" s="115">
        <f t="shared" si="139"/>
        <v>4171831</v>
      </c>
      <c r="L785" s="115">
        <f t="shared" si="140"/>
        <v>9602831</v>
      </c>
      <c r="M785" s="115">
        <f t="shared" si="141"/>
        <v>9602831</v>
      </c>
      <c r="N785" s="115">
        <f t="shared" si="142"/>
        <v>9602831</v>
      </c>
      <c r="O785" s="115">
        <f t="shared" si="143"/>
        <v>9602831</v>
      </c>
      <c r="P785" s="115">
        <f t="shared" si="144"/>
        <v>9602831</v>
      </c>
      <c r="Q785" s="125"/>
      <c r="R785" s="125"/>
      <c r="S785" s="125"/>
      <c r="T785" s="125">
        <f>2000000+6000000-608450-1499744.8-999978.2-85000-200000-5000</f>
        <v>4601827</v>
      </c>
      <c r="U785" s="125">
        <v>-128546</v>
      </c>
      <c r="V785" s="125">
        <f>-11400-150000</f>
        <v>-161400</v>
      </c>
      <c r="W785" s="125">
        <v>-140050</v>
      </c>
      <c r="X785" s="125">
        <f>-51000-18000+5500000</f>
        <v>5431000</v>
      </c>
      <c r="Y785" s="125"/>
      <c r="Z785" s="125"/>
      <c r="AA785" s="125"/>
      <c r="AB785" s="125"/>
      <c r="AC785" s="124"/>
      <c r="AJ785" s="120"/>
    </row>
    <row r="786" spans="1:41">
      <c r="A786" s="128"/>
      <c r="B786" s="154"/>
      <c r="C786" s="128" t="s">
        <v>1818</v>
      </c>
      <c r="D786" s="128"/>
      <c r="E786" s="117"/>
      <c r="F786" s="117"/>
      <c r="G786" s="117"/>
      <c r="H786" s="115">
        <f t="shared" si="136"/>
        <v>3841.5</v>
      </c>
      <c r="I786" s="115">
        <f t="shared" si="137"/>
        <v>3841.5</v>
      </c>
      <c r="J786" s="115">
        <f t="shared" si="138"/>
        <v>3841.5</v>
      </c>
      <c r="K786" s="115">
        <f t="shared" si="139"/>
        <v>3841.5</v>
      </c>
      <c r="L786" s="115">
        <f t="shared" si="140"/>
        <v>3841.5</v>
      </c>
      <c r="M786" s="115">
        <f t="shared" si="141"/>
        <v>3841.5</v>
      </c>
      <c r="N786" s="115">
        <f t="shared" si="142"/>
        <v>3841.5</v>
      </c>
      <c r="O786" s="115">
        <f t="shared" si="143"/>
        <v>3841.5</v>
      </c>
      <c r="P786" s="115">
        <f t="shared" si="144"/>
        <v>3841.5</v>
      </c>
      <c r="Q786" s="125"/>
      <c r="R786" s="125"/>
      <c r="S786" s="125"/>
      <c r="T786" s="125">
        <v>3841.5</v>
      </c>
      <c r="U786" s="125"/>
      <c r="V786" s="125"/>
      <c r="W786" s="125"/>
      <c r="X786" s="125"/>
      <c r="Y786" s="125"/>
      <c r="Z786" s="125"/>
      <c r="AA786" s="125"/>
      <c r="AB786" s="125"/>
      <c r="AC786" s="124"/>
      <c r="AD786" s="129"/>
      <c r="AE786" s="162"/>
      <c r="AF786" s="120">
        <v>104000</v>
      </c>
      <c r="AJ786" s="120"/>
    </row>
    <row r="787" spans="1:41">
      <c r="A787" s="128"/>
      <c r="B787" s="154"/>
      <c r="C787" s="128" t="s">
        <v>1819</v>
      </c>
      <c r="D787" s="128"/>
      <c r="E787" s="117"/>
      <c r="F787" s="117"/>
      <c r="G787" s="117"/>
      <c r="H787" s="115">
        <f t="shared" si="136"/>
        <v>6953.52</v>
      </c>
      <c r="I787" s="115">
        <f t="shared" si="137"/>
        <v>6953.52</v>
      </c>
      <c r="J787" s="115">
        <f t="shared" si="138"/>
        <v>6953.52</v>
      </c>
      <c r="K787" s="115">
        <f t="shared" si="139"/>
        <v>6953.52</v>
      </c>
      <c r="L787" s="115">
        <f t="shared" si="140"/>
        <v>6953.52</v>
      </c>
      <c r="M787" s="115">
        <f t="shared" si="141"/>
        <v>6953.52</v>
      </c>
      <c r="N787" s="115">
        <f t="shared" si="142"/>
        <v>6953.52</v>
      </c>
      <c r="O787" s="115">
        <f t="shared" si="143"/>
        <v>6953.52</v>
      </c>
      <c r="P787" s="115">
        <f t="shared" si="144"/>
        <v>6953.52</v>
      </c>
      <c r="Q787" s="125"/>
      <c r="R787" s="125"/>
      <c r="S787" s="125"/>
      <c r="T787" s="125">
        <f>13119.82+7500-6166.3-7500</f>
        <v>6953.52</v>
      </c>
      <c r="U787" s="125"/>
      <c r="V787" s="125"/>
      <c r="W787" s="125"/>
      <c r="X787" s="125"/>
      <c r="Y787" s="125"/>
      <c r="Z787" s="125"/>
      <c r="AA787" s="125"/>
      <c r="AB787" s="125"/>
      <c r="AC787" s="124"/>
      <c r="AD787" s="129"/>
      <c r="AE787" s="162"/>
      <c r="AF787" s="120">
        <v>773882.22</v>
      </c>
      <c r="AJ787" s="120"/>
    </row>
    <row r="788" spans="1:41">
      <c r="A788" s="128"/>
      <c r="B788" s="154"/>
      <c r="C788" s="128" t="s">
        <v>1820</v>
      </c>
      <c r="D788" s="128"/>
      <c r="E788" s="117"/>
      <c r="F788" s="117"/>
      <c r="G788" s="117"/>
      <c r="H788" s="115">
        <f t="shared" si="136"/>
        <v>1248.3800000000001</v>
      </c>
      <c r="I788" s="115">
        <f t="shared" si="137"/>
        <v>1248.3800000000001</v>
      </c>
      <c r="J788" s="115">
        <f t="shared" si="138"/>
        <v>1248.3800000000001</v>
      </c>
      <c r="K788" s="115">
        <f t="shared" si="139"/>
        <v>1248.3800000000001</v>
      </c>
      <c r="L788" s="115">
        <f t="shared" si="140"/>
        <v>1248.3800000000001</v>
      </c>
      <c r="M788" s="115">
        <f t="shared" si="141"/>
        <v>1248.3800000000001</v>
      </c>
      <c r="N788" s="115">
        <f t="shared" si="142"/>
        <v>1248.3800000000001</v>
      </c>
      <c r="O788" s="115">
        <f t="shared" si="143"/>
        <v>1248.3800000000001</v>
      </c>
      <c r="P788" s="115">
        <f t="shared" si="144"/>
        <v>1248.3800000000001</v>
      </c>
      <c r="Q788" s="125"/>
      <c r="R788" s="125"/>
      <c r="S788" s="125"/>
      <c r="T788" s="125">
        <v>1248.3800000000001</v>
      </c>
      <c r="U788" s="125"/>
      <c r="V788" s="125"/>
      <c r="W788" s="125"/>
      <c r="X788" s="125"/>
      <c r="Y788" s="125"/>
      <c r="Z788" s="125"/>
      <c r="AA788" s="125"/>
      <c r="AB788" s="125"/>
      <c r="AC788" s="124"/>
      <c r="AD788" s="129"/>
      <c r="AF788" s="120">
        <v>2200</v>
      </c>
      <c r="AJ788" s="120"/>
    </row>
    <row r="789" spans="1:41">
      <c r="A789" s="128"/>
      <c r="B789" s="154"/>
      <c r="C789" s="128" t="s">
        <v>1821</v>
      </c>
      <c r="D789" s="128"/>
      <c r="E789" s="117"/>
      <c r="F789" s="117"/>
      <c r="G789" s="117"/>
      <c r="H789" s="115">
        <f t="shared" si="136"/>
        <v>220.89</v>
      </c>
      <c r="I789" s="115">
        <f t="shared" si="137"/>
        <v>220.89</v>
      </c>
      <c r="J789" s="115">
        <f t="shared" si="138"/>
        <v>220.89</v>
      </c>
      <c r="K789" s="115">
        <f t="shared" si="139"/>
        <v>220.89</v>
      </c>
      <c r="L789" s="115">
        <f t="shared" si="140"/>
        <v>220.89</v>
      </c>
      <c r="M789" s="115">
        <f t="shared" si="141"/>
        <v>220.89</v>
      </c>
      <c r="N789" s="115">
        <f t="shared" si="142"/>
        <v>220.89</v>
      </c>
      <c r="O789" s="115">
        <f t="shared" si="143"/>
        <v>220.89</v>
      </c>
      <c r="P789" s="115">
        <f t="shared" si="144"/>
        <v>220.89</v>
      </c>
      <c r="Q789" s="125"/>
      <c r="R789" s="125"/>
      <c r="S789" s="125"/>
      <c r="T789" s="125">
        <f>190.89+30</f>
        <v>220.89</v>
      </c>
      <c r="U789" s="125"/>
      <c r="V789" s="125"/>
      <c r="W789" s="125"/>
      <c r="X789" s="125"/>
      <c r="Y789" s="125"/>
      <c r="Z789" s="125"/>
      <c r="AA789" s="125"/>
      <c r="AB789" s="125"/>
      <c r="AC789" s="124"/>
      <c r="AD789" s="129"/>
      <c r="AE789" s="162"/>
      <c r="AF789" s="120">
        <v>8100</v>
      </c>
      <c r="AJ789" s="120"/>
    </row>
    <row r="790" spans="1:41">
      <c r="A790" s="128"/>
      <c r="B790" s="154"/>
      <c r="C790" s="128" t="s">
        <v>1822</v>
      </c>
      <c r="D790" s="128"/>
      <c r="E790" s="117"/>
      <c r="F790" s="117"/>
      <c r="G790" s="117"/>
      <c r="H790" s="115">
        <f t="shared" si="136"/>
        <v>1021345</v>
      </c>
      <c r="I790" s="115">
        <f t="shared" si="137"/>
        <v>1021345</v>
      </c>
      <c r="J790" s="115">
        <f t="shared" si="138"/>
        <v>271345</v>
      </c>
      <c r="K790" s="115">
        <f t="shared" si="139"/>
        <v>271345</v>
      </c>
      <c r="L790" s="115">
        <f t="shared" si="140"/>
        <v>271345</v>
      </c>
      <c r="M790" s="115">
        <f t="shared" si="141"/>
        <v>271345</v>
      </c>
      <c r="N790" s="115">
        <f t="shared" si="142"/>
        <v>271345</v>
      </c>
      <c r="O790" s="115">
        <f t="shared" si="143"/>
        <v>271345</v>
      </c>
      <c r="P790" s="115">
        <f t="shared" si="144"/>
        <v>271345</v>
      </c>
      <c r="Q790" s="125"/>
      <c r="R790" s="125"/>
      <c r="S790" s="125"/>
      <c r="T790" s="125">
        <v>1021345</v>
      </c>
      <c r="U790" s="125"/>
      <c r="V790" s="125">
        <v>-750000</v>
      </c>
      <c r="W790" s="125"/>
      <c r="X790" s="125"/>
      <c r="Y790" s="125"/>
      <c r="Z790" s="125"/>
      <c r="AA790" s="125"/>
      <c r="AB790" s="125"/>
      <c r="AC790" s="124"/>
      <c r="AD790" s="129"/>
      <c r="AE790" s="200"/>
      <c r="AF790" s="120">
        <v>24000</v>
      </c>
      <c r="AJ790" s="120"/>
    </row>
    <row r="791" spans="1:41">
      <c r="A791" s="128"/>
      <c r="B791" s="154"/>
      <c r="C791" s="128" t="s">
        <v>1823</v>
      </c>
      <c r="D791" s="128"/>
      <c r="E791" s="117"/>
      <c r="F791" s="117"/>
      <c r="G791" s="117"/>
      <c r="H791" s="115">
        <f t="shared" si="136"/>
        <v>700.55</v>
      </c>
      <c r="I791" s="115">
        <f t="shared" si="137"/>
        <v>700.55</v>
      </c>
      <c r="J791" s="115">
        <f t="shared" si="138"/>
        <v>700.55</v>
      </c>
      <c r="K791" s="115">
        <f t="shared" si="139"/>
        <v>700.55</v>
      </c>
      <c r="L791" s="115">
        <f t="shared" si="140"/>
        <v>700.55</v>
      </c>
      <c r="M791" s="115">
        <f t="shared" si="141"/>
        <v>700.55</v>
      </c>
      <c r="N791" s="115">
        <f t="shared" si="142"/>
        <v>700.55</v>
      </c>
      <c r="O791" s="115">
        <f t="shared" si="143"/>
        <v>700.55</v>
      </c>
      <c r="P791" s="115">
        <f t="shared" si="144"/>
        <v>700.55</v>
      </c>
      <c r="Q791" s="125"/>
      <c r="R791" s="125"/>
      <c r="S791" s="125"/>
      <c r="T791" s="125">
        <v>700.55</v>
      </c>
      <c r="U791" s="125"/>
      <c r="V791" s="125"/>
      <c r="W791" s="125"/>
      <c r="X791" s="125"/>
      <c r="Y791" s="125"/>
      <c r="Z791" s="125"/>
      <c r="AA791" s="125"/>
      <c r="AB791" s="125"/>
      <c r="AC791" s="124"/>
      <c r="AD791" s="129"/>
      <c r="AE791" s="200"/>
      <c r="AF791" s="120"/>
      <c r="AJ791" s="120"/>
    </row>
    <row r="792" spans="1:41">
      <c r="A792" s="128"/>
      <c r="B792" s="154"/>
      <c r="C792" s="154" t="s">
        <v>1824</v>
      </c>
      <c r="E792" s="115"/>
      <c r="F792" s="115"/>
      <c r="G792" s="115"/>
      <c r="H792" s="115">
        <f t="shared" si="136"/>
        <v>8453960.870000001</v>
      </c>
      <c r="I792" s="115">
        <f t="shared" si="137"/>
        <v>6022259.120000001</v>
      </c>
      <c r="J792" s="115">
        <f t="shared" si="138"/>
        <v>5981817.4700000007</v>
      </c>
      <c r="K792" s="115">
        <f t="shared" si="139"/>
        <v>4821890.1300000008</v>
      </c>
      <c r="L792" s="115">
        <f t="shared" si="140"/>
        <v>4691773.6600000011</v>
      </c>
      <c r="M792" s="115">
        <f t="shared" si="141"/>
        <v>4691773.6600000011</v>
      </c>
      <c r="N792" s="115">
        <f t="shared" si="142"/>
        <v>4691773.6600000011</v>
      </c>
      <c r="O792" s="115">
        <f t="shared" si="143"/>
        <v>4691773.6600000011</v>
      </c>
      <c r="P792" s="115">
        <f t="shared" si="144"/>
        <v>4691773.6600000011</v>
      </c>
      <c r="Q792" s="116"/>
      <c r="R792" s="116"/>
      <c r="S792" s="116"/>
      <c r="T792" s="116">
        <f>6419570.08-125000-81039.98-180376.6-91274.55-370000-50000-280000-240358.49+737245.34-120454.55+45555.1-45139-18240-99800-1070175.62-253500-53188.75-939000-8100+10000000-517000-38500-1850000-76242.11-2150000-36020-55000</f>
        <v>8453960.870000001</v>
      </c>
      <c r="U792" s="116">
        <f>-2372820.1-58881.65</f>
        <v>-2431701.75</v>
      </c>
      <c r="V792" s="116">
        <v>-40441.65</v>
      </c>
      <c r="W792" s="116">
        <f>-1138364.98-21562.36</f>
        <v>-1159927.3400000001</v>
      </c>
      <c r="X792" s="116">
        <v>-130116.47</v>
      </c>
      <c r="Y792" s="116"/>
      <c r="Z792" s="116"/>
      <c r="AA792" s="116"/>
      <c r="AB792" s="116"/>
      <c r="AC792" s="115" t="s">
        <v>2319</v>
      </c>
      <c r="AD792" s="201" t="s">
        <v>1825</v>
      </c>
      <c r="AE792" s="162">
        <f>2262675.62+517000+38500+76242.11</f>
        <v>2894417.73</v>
      </c>
      <c r="AF792" s="120">
        <v>166990</v>
      </c>
      <c r="AJ792" s="120"/>
    </row>
    <row r="793" spans="1:41">
      <c r="A793" s="128"/>
      <c r="B793" s="154"/>
      <c r="C793" s="154" t="s">
        <v>1826</v>
      </c>
      <c r="E793" s="120"/>
      <c r="F793" s="120"/>
      <c r="G793" s="120"/>
      <c r="H793" s="115">
        <f t="shared" si="136"/>
        <v>3137610.8099999996</v>
      </c>
      <c r="I793" s="115">
        <f t="shared" si="137"/>
        <v>3137610.8099999996</v>
      </c>
      <c r="J793" s="115">
        <f t="shared" si="138"/>
        <v>3137610.8099999996</v>
      </c>
      <c r="K793" s="115">
        <f t="shared" si="139"/>
        <v>3137610.8099999996</v>
      </c>
      <c r="L793" s="115">
        <f t="shared" si="140"/>
        <v>3137610.8099999996</v>
      </c>
      <c r="M793" s="115">
        <f t="shared" si="141"/>
        <v>3137610.8099999996</v>
      </c>
      <c r="N793" s="115">
        <f t="shared" si="142"/>
        <v>3137610.8099999996</v>
      </c>
      <c r="O793" s="115">
        <f t="shared" si="143"/>
        <v>3137610.8099999996</v>
      </c>
      <c r="P793" s="115">
        <f t="shared" si="144"/>
        <v>3137610.8099999996</v>
      </c>
      <c r="Q793" s="116"/>
      <c r="R793" s="116"/>
      <c r="S793" s="116"/>
      <c r="T793" s="116">
        <f>10000000-882050-87000-1497847-44762.5-199861-747000-666795.05-685994.15-99280.4+250000-400000-125000-45675-344960-39000-26000-500000-96728.59-330-229053-52.5-20000-375000</f>
        <v>3137610.8099999996</v>
      </c>
      <c r="U793" s="116"/>
      <c r="V793" s="116"/>
      <c r="W793" s="116"/>
      <c r="X793" s="116"/>
      <c r="Y793" s="116"/>
      <c r="Z793" s="116"/>
      <c r="AA793" s="116"/>
      <c r="AB793" s="116"/>
      <c r="AC793" s="115"/>
      <c r="AD793" s="129"/>
      <c r="AE793" s="162"/>
      <c r="AF793" s="120">
        <v>47713</v>
      </c>
      <c r="AJ793" s="135"/>
    </row>
    <row r="794" spans="1:41" ht="15" hidden="1">
      <c r="A794" s="128"/>
      <c r="B794" s="154"/>
      <c r="C794" s="154" t="s">
        <v>1827</v>
      </c>
      <c r="E794" s="120"/>
      <c r="F794" s="120"/>
      <c r="G794" s="120"/>
      <c r="H794" s="115">
        <f t="shared" si="136"/>
        <v>5.2386894822120667E-10</v>
      </c>
      <c r="I794" s="115">
        <f t="shared" si="137"/>
        <v>5.2386894822120667E-10</v>
      </c>
      <c r="J794" s="115">
        <f t="shared" si="138"/>
        <v>5.2386894822120667E-10</v>
      </c>
      <c r="K794" s="115">
        <f t="shared" si="139"/>
        <v>5.2386894822120667E-10</v>
      </c>
      <c r="L794" s="115">
        <f t="shared" si="140"/>
        <v>5.2386894822120667E-10</v>
      </c>
      <c r="M794" s="115">
        <f t="shared" si="141"/>
        <v>5.2386894822120667E-10</v>
      </c>
      <c r="N794" s="115">
        <f t="shared" si="142"/>
        <v>5.2386894822120667E-10</v>
      </c>
      <c r="O794" s="115">
        <f t="shared" si="143"/>
        <v>5.2386894822120667E-10</v>
      </c>
      <c r="P794" s="115">
        <f t="shared" si="144"/>
        <v>5.2386894822120667E-10</v>
      </c>
      <c r="Q794" s="116"/>
      <c r="R794" s="116"/>
      <c r="S794" s="116"/>
      <c r="T794" s="116">
        <f>10801741.39-6605559.6+29761.27-67977.12-120-70413.87+10624.25-60797-17100+1789418.64-268236.04-93961.47-476-40500-835756.44-21156.1-64805-171750.57-1410096.72-114019.65-80506.26+590-243568.38-41090.41-248613.4-16150-8100-12540-220999+7500-267642.2-230833.35-775364.2-49849.5-20000-576.83+75000-1384-13373-1700-1700-101701-2800-1500-26300+8980.14-1000-6500-1920-11145-13200-2500-1500-16000-56161.33-7200-120000-660-46992-660-145000-84160.25</f>
        <v>5.2386894822120667E-10</v>
      </c>
      <c r="U794" s="116"/>
      <c r="V794" s="116"/>
      <c r="W794" s="116"/>
      <c r="X794" s="116"/>
      <c r="Y794" s="116"/>
      <c r="Z794" s="116"/>
      <c r="AA794" s="116"/>
      <c r="AB794" s="116"/>
      <c r="AC794" s="115"/>
      <c r="AD794" s="172"/>
      <c r="AE794" s="162"/>
      <c r="AF794" s="120">
        <v>16407</v>
      </c>
      <c r="AJ794" s="135"/>
      <c r="AM794" s="162"/>
      <c r="AN794" s="120"/>
      <c r="AO794" s="120"/>
    </row>
    <row r="795" spans="1:41" ht="15" hidden="1">
      <c r="A795" s="128"/>
      <c r="B795" s="154"/>
      <c r="C795" s="154" t="s">
        <v>1828</v>
      </c>
      <c r="E795" s="120"/>
      <c r="F795" s="120"/>
      <c r="G795" s="120"/>
      <c r="H795" s="115">
        <f t="shared" si="136"/>
        <v>0</v>
      </c>
      <c r="I795" s="115">
        <f t="shared" si="137"/>
        <v>0</v>
      </c>
      <c r="J795" s="115">
        <f t="shared" si="138"/>
        <v>0</v>
      </c>
      <c r="K795" s="115">
        <f t="shared" si="139"/>
        <v>0</v>
      </c>
      <c r="L795" s="115">
        <f t="shared" si="140"/>
        <v>0</v>
      </c>
      <c r="M795" s="115">
        <f t="shared" si="141"/>
        <v>0</v>
      </c>
      <c r="N795" s="115">
        <f t="shared" si="142"/>
        <v>0</v>
      </c>
      <c r="O795" s="115">
        <f t="shared" si="143"/>
        <v>0</v>
      </c>
      <c r="P795" s="115">
        <f t="shared" si="144"/>
        <v>0</v>
      </c>
      <c r="Q795" s="116"/>
      <c r="R795" s="116"/>
      <c r="S795" s="116"/>
      <c r="T795" s="116">
        <f>576.83-576.83</f>
        <v>0</v>
      </c>
      <c r="U795" s="116"/>
      <c r="V795" s="116"/>
      <c r="W795" s="116"/>
      <c r="X795" s="116"/>
      <c r="Y795" s="116"/>
      <c r="Z795" s="116"/>
      <c r="AA795" s="116"/>
      <c r="AB795" s="116"/>
      <c r="AC795" s="115"/>
      <c r="AD795" s="172"/>
      <c r="AE795" s="162"/>
      <c r="AF795" s="120">
        <v>3425</v>
      </c>
      <c r="AJ795" s="120"/>
    </row>
    <row r="796" spans="1:41" ht="15">
      <c r="A796" s="128"/>
      <c r="B796" s="154"/>
      <c r="C796" s="128" t="s">
        <v>1829</v>
      </c>
      <c r="D796" s="128"/>
      <c r="E796" s="117"/>
      <c r="F796" s="117"/>
      <c r="G796" s="117"/>
      <c r="H796" s="115">
        <f t="shared" si="136"/>
        <v>131759.84</v>
      </c>
      <c r="I796" s="115">
        <f t="shared" si="137"/>
        <v>131759.84</v>
      </c>
      <c r="J796" s="115">
        <f t="shared" si="138"/>
        <v>131759.84</v>
      </c>
      <c r="K796" s="115">
        <f t="shared" si="139"/>
        <v>131759.84</v>
      </c>
      <c r="L796" s="115">
        <f t="shared" si="140"/>
        <v>131759.84</v>
      </c>
      <c r="M796" s="115">
        <f t="shared" si="141"/>
        <v>131759.84</v>
      </c>
      <c r="N796" s="115">
        <f t="shared" si="142"/>
        <v>131759.84</v>
      </c>
      <c r="O796" s="115">
        <f t="shared" si="143"/>
        <v>131759.84</v>
      </c>
      <c r="P796" s="115">
        <f t="shared" si="144"/>
        <v>131759.84</v>
      </c>
      <c r="Q796" s="125"/>
      <c r="R796" s="125"/>
      <c r="S796" s="125"/>
      <c r="T796" s="125">
        <v>131759.84</v>
      </c>
      <c r="U796" s="125"/>
      <c r="V796" s="125"/>
      <c r="W796" s="125"/>
      <c r="X796" s="125"/>
      <c r="Y796" s="125"/>
      <c r="Z796" s="125"/>
      <c r="AA796" s="125"/>
      <c r="AB796" s="125"/>
      <c r="AC796" s="124"/>
      <c r="AD796" s="176"/>
      <c r="AE796" s="162"/>
      <c r="AF796" s="120">
        <v>40000</v>
      </c>
    </row>
    <row r="797" spans="1:41" ht="15">
      <c r="A797" s="128"/>
      <c r="B797" s="154"/>
      <c r="C797" s="128" t="s">
        <v>1830</v>
      </c>
      <c r="D797" s="128"/>
      <c r="E797" s="117"/>
      <c r="F797" s="117"/>
      <c r="G797" s="117"/>
      <c r="H797" s="115">
        <f t="shared" si="136"/>
        <v>68059.009999999878</v>
      </c>
      <c r="I797" s="115">
        <f t="shared" si="137"/>
        <v>68059.009999999878</v>
      </c>
      <c r="J797" s="115">
        <f t="shared" si="138"/>
        <v>68059.009999999878</v>
      </c>
      <c r="K797" s="115">
        <f t="shared" si="139"/>
        <v>68059.009999999878</v>
      </c>
      <c r="L797" s="115">
        <f t="shared" si="140"/>
        <v>68059.009999999878</v>
      </c>
      <c r="M797" s="115">
        <f t="shared" si="141"/>
        <v>68059.009999999878</v>
      </c>
      <c r="N797" s="115">
        <f t="shared" si="142"/>
        <v>68059.009999999878</v>
      </c>
      <c r="O797" s="115">
        <f t="shared" si="143"/>
        <v>68059.009999999878</v>
      </c>
      <c r="P797" s="115">
        <f t="shared" si="144"/>
        <v>68059.009999999878</v>
      </c>
      <c r="Q797" s="125"/>
      <c r="R797" s="125"/>
      <c r="S797" s="125"/>
      <c r="T797" s="125">
        <f>900000-7638.8-13144.35-7456.98-9720-90809.77-8185.18-7730.17-7821.08-4793.67-670000-4640.99</f>
        <v>68059.009999999878</v>
      </c>
      <c r="U797" s="125"/>
      <c r="V797" s="125"/>
      <c r="W797" s="125"/>
      <c r="X797" s="125"/>
      <c r="Y797" s="125"/>
      <c r="Z797" s="125"/>
      <c r="AA797" s="125"/>
      <c r="AB797" s="125"/>
      <c r="AC797" s="124"/>
      <c r="AD797" s="172"/>
      <c r="AE797" s="162"/>
      <c r="AJ797" s="120"/>
    </row>
    <row r="798" spans="1:41" ht="15">
      <c r="A798" s="128"/>
      <c r="B798" s="154"/>
      <c r="C798" s="128" t="s">
        <v>1831</v>
      </c>
      <c r="D798" s="128"/>
      <c r="E798" s="117"/>
      <c r="F798" s="117"/>
      <c r="G798" s="117"/>
      <c r="H798" s="115">
        <f t="shared" si="136"/>
        <v>69646</v>
      </c>
      <c r="I798" s="115">
        <f t="shared" si="137"/>
        <v>69646</v>
      </c>
      <c r="J798" s="115">
        <f t="shared" si="138"/>
        <v>69646</v>
      </c>
      <c r="K798" s="115">
        <f t="shared" si="139"/>
        <v>69646</v>
      </c>
      <c r="L798" s="115">
        <f t="shared" si="140"/>
        <v>69646</v>
      </c>
      <c r="M798" s="115">
        <f t="shared" si="141"/>
        <v>69646</v>
      </c>
      <c r="N798" s="115">
        <f t="shared" si="142"/>
        <v>69646</v>
      </c>
      <c r="O798" s="115">
        <f t="shared" si="143"/>
        <v>69646</v>
      </c>
      <c r="P798" s="115">
        <f t="shared" si="144"/>
        <v>69646</v>
      </c>
      <c r="Q798" s="125"/>
      <c r="R798" s="125"/>
      <c r="S798" s="125"/>
      <c r="T798" s="125">
        <f>900000-189520-321570-252000-30657-6200-2015-23312-1000-4080</f>
        <v>69646</v>
      </c>
      <c r="U798" s="125"/>
      <c r="V798" s="125"/>
      <c r="W798" s="125"/>
      <c r="X798" s="125"/>
      <c r="Y798" s="125"/>
      <c r="Z798" s="125"/>
      <c r="AA798" s="125"/>
      <c r="AB798" s="125"/>
      <c r="AC798" s="124"/>
      <c r="AD798" s="172"/>
      <c r="AE798" s="202"/>
      <c r="AF798" s="127"/>
      <c r="AJ798" s="120"/>
    </row>
    <row r="799" spans="1:41" ht="15">
      <c r="A799" s="128"/>
      <c r="B799" s="154"/>
      <c r="C799" s="128" t="s">
        <v>1832</v>
      </c>
      <c r="D799" s="128"/>
      <c r="E799" s="117"/>
      <c r="F799" s="117"/>
      <c r="G799" s="117"/>
      <c r="H799" s="115">
        <f t="shared" si="136"/>
        <v>7.1000000000349246</v>
      </c>
      <c r="I799" s="115">
        <f t="shared" si="137"/>
        <v>7.1000000000349246</v>
      </c>
      <c r="J799" s="115">
        <f t="shared" si="138"/>
        <v>7.1000000000349246</v>
      </c>
      <c r="K799" s="115">
        <f t="shared" si="139"/>
        <v>7.1000000000349246</v>
      </c>
      <c r="L799" s="115">
        <f t="shared" si="140"/>
        <v>7.1000000000349246</v>
      </c>
      <c r="M799" s="115">
        <f t="shared" si="141"/>
        <v>7.1000000000349246</v>
      </c>
      <c r="N799" s="115">
        <f t="shared" si="142"/>
        <v>7.1000000000349246</v>
      </c>
      <c r="O799" s="115">
        <f t="shared" si="143"/>
        <v>7.1000000000349246</v>
      </c>
      <c r="P799" s="115">
        <f t="shared" si="144"/>
        <v>7.1000000000349246</v>
      </c>
      <c r="Q799" s="125"/>
      <c r="R799" s="125"/>
      <c r="S799" s="125"/>
      <c r="T799" s="125">
        <f>450000-34872.79-35148-155246-7500-19740-1533-5410-49970-32676-126789.9+34872.79+19740+35148+155246+7500+1533+5410-149422-91135</f>
        <v>7.1000000000349246</v>
      </c>
      <c r="U799" s="125"/>
      <c r="V799" s="125"/>
      <c r="W799" s="125"/>
      <c r="X799" s="125"/>
      <c r="Y799" s="125"/>
      <c r="Z799" s="125"/>
      <c r="AA799" s="125"/>
      <c r="AB799" s="125"/>
      <c r="AC799" s="124"/>
      <c r="AD799" s="172"/>
      <c r="AE799" s="162"/>
      <c r="AF799" s="127"/>
      <c r="AJ799" s="120"/>
    </row>
    <row r="800" spans="1:41" ht="15">
      <c r="A800" s="128"/>
      <c r="B800" s="154"/>
      <c r="C800" s="128" t="s">
        <v>1833</v>
      </c>
      <c r="D800" s="128"/>
      <c r="E800" s="117"/>
      <c r="F800" s="117"/>
      <c r="G800" s="117"/>
      <c r="H800" s="115">
        <f t="shared" si="136"/>
        <v>4029.309999999984</v>
      </c>
      <c r="I800" s="115">
        <f t="shared" si="137"/>
        <v>4029.309999999984</v>
      </c>
      <c r="J800" s="115">
        <f t="shared" si="138"/>
        <v>4029.309999999984</v>
      </c>
      <c r="K800" s="115">
        <f t="shared" si="139"/>
        <v>4029.309999999984</v>
      </c>
      <c r="L800" s="115">
        <f t="shared" si="140"/>
        <v>4029.309999999984</v>
      </c>
      <c r="M800" s="115">
        <f t="shared" si="141"/>
        <v>4029.309999999984</v>
      </c>
      <c r="N800" s="115">
        <f t="shared" si="142"/>
        <v>4029.309999999984</v>
      </c>
      <c r="O800" s="115">
        <f t="shared" si="143"/>
        <v>4029.309999999984</v>
      </c>
      <c r="P800" s="115">
        <f t="shared" si="144"/>
        <v>4029.309999999984</v>
      </c>
      <c r="Q800" s="125"/>
      <c r="R800" s="125"/>
      <c r="S800" s="125"/>
      <c r="T800" s="125">
        <f>466075.67-5000-5040-430000-8400-1652+149422-155246-6130.36</f>
        <v>4029.309999999984</v>
      </c>
      <c r="U800" s="125"/>
      <c r="V800" s="125"/>
      <c r="W800" s="125"/>
      <c r="X800" s="125"/>
      <c r="Y800" s="125"/>
      <c r="Z800" s="125"/>
      <c r="AA800" s="125"/>
      <c r="AB800" s="125"/>
      <c r="AC800" s="124"/>
      <c r="AD800" s="172"/>
      <c r="AE800" s="162"/>
      <c r="AF800" s="108">
        <v>6869752.3399999999</v>
      </c>
      <c r="AJ800" s="120"/>
    </row>
    <row r="801" spans="1:36" ht="15">
      <c r="A801" s="128"/>
      <c r="B801" s="154"/>
      <c r="C801" s="128" t="s">
        <v>1834</v>
      </c>
      <c r="D801" s="128"/>
      <c r="E801" s="117"/>
      <c r="F801" s="117"/>
      <c r="G801" s="117"/>
      <c r="H801" s="115">
        <f t="shared" si="136"/>
        <v>5700</v>
      </c>
      <c r="I801" s="115">
        <f t="shared" si="137"/>
        <v>5700</v>
      </c>
      <c r="J801" s="115">
        <f t="shared" si="138"/>
        <v>5700</v>
      </c>
      <c r="K801" s="115">
        <f t="shared" si="139"/>
        <v>5700</v>
      </c>
      <c r="L801" s="115">
        <f t="shared" si="140"/>
        <v>5700</v>
      </c>
      <c r="M801" s="115">
        <f t="shared" si="141"/>
        <v>5700</v>
      </c>
      <c r="N801" s="115">
        <f t="shared" si="142"/>
        <v>5700</v>
      </c>
      <c r="O801" s="115">
        <f t="shared" si="143"/>
        <v>5700</v>
      </c>
      <c r="P801" s="115">
        <f t="shared" si="144"/>
        <v>5700</v>
      </c>
      <c r="Q801" s="125"/>
      <c r="R801" s="125"/>
      <c r="S801" s="125"/>
      <c r="T801" s="125">
        <f>1620000-1578623-13550-4820-7980-2360-6967</f>
        <v>5700</v>
      </c>
      <c r="U801" s="125"/>
      <c r="V801" s="125"/>
      <c r="W801" s="125"/>
      <c r="X801" s="125"/>
      <c r="Y801" s="125"/>
      <c r="Z801" s="125"/>
      <c r="AA801" s="125"/>
      <c r="AB801" s="125"/>
      <c r="AC801" s="124"/>
      <c r="AD801" s="172"/>
      <c r="AE801" s="162"/>
      <c r="AJ801" s="120"/>
    </row>
    <row r="802" spans="1:36" ht="15">
      <c r="A802" s="128"/>
      <c r="B802" s="154"/>
      <c r="C802" s="128" t="s">
        <v>1835</v>
      </c>
      <c r="D802" s="128"/>
      <c r="E802" s="117"/>
      <c r="F802" s="117"/>
      <c r="G802" s="117"/>
      <c r="H802" s="115">
        <f t="shared" si="136"/>
        <v>733.03</v>
      </c>
      <c r="I802" s="115">
        <f t="shared" si="137"/>
        <v>733.03</v>
      </c>
      <c r="J802" s="115">
        <f t="shared" si="138"/>
        <v>733.03</v>
      </c>
      <c r="K802" s="115">
        <f t="shared" si="139"/>
        <v>733.03</v>
      </c>
      <c r="L802" s="115">
        <f t="shared" si="140"/>
        <v>733.03</v>
      </c>
      <c r="M802" s="115">
        <f t="shared" si="141"/>
        <v>733.03</v>
      </c>
      <c r="N802" s="115">
        <f t="shared" si="142"/>
        <v>733.03</v>
      </c>
      <c r="O802" s="115">
        <f t="shared" si="143"/>
        <v>733.03</v>
      </c>
      <c r="P802" s="115">
        <f t="shared" si="144"/>
        <v>733.03</v>
      </c>
      <c r="Q802" s="125"/>
      <c r="R802" s="125"/>
      <c r="S802" s="125"/>
      <c r="T802" s="125">
        <v>733.03</v>
      </c>
      <c r="U802" s="125"/>
      <c r="V802" s="125"/>
      <c r="W802" s="125"/>
      <c r="X802" s="125"/>
      <c r="Y802" s="125"/>
      <c r="Z802" s="125"/>
      <c r="AA802" s="125"/>
      <c r="AB802" s="125"/>
      <c r="AC802" s="124"/>
      <c r="AD802" s="172"/>
      <c r="AE802" s="162"/>
    </row>
    <row r="803" spans="1:36" ht="15">
      <c r="A803" s="128"/>
      <c r="B803" s="154"/>
      <c r="C803" s="128" t="s">
        <v>1836</v>
      </c>
      <c r="D803" s="128"/>
      <c r="E803" s="117"/>
      <c r="F803" s="117"/>
      <c r="G803" s="117"/>
      <c r="H803" s="115">
        <f t="shared" si="136"/>
        <v>58060.770000000019</v>
      </c>
      <c r="I803" s="115">
        <f t="shared" si="137"/>
        <v>58060.770000000019</v>
      </c>
      <c r="J803" s="115">
        <f t="shared" si="138"/>
        <v>662302.77</v>
      </c>
      <c r="K803" s="115">
        <f t="shared" si="139"/>
        <v>385571.77</v>
      </c>
      <c r="L803" s="115">
        <f t="shared" si="140"/>
        <v>832890.77</v>
      </c>
      <c r="M803" s="115">
        <f t="shared" si="141"/>
        <v>832890.77</v>
      </c>
      <c r="N803" s="115">
        <f t="shared" si="142"/>
        <v>832890.77</v>
      </c>
      <c r="O803" s="115">
        <f t="shared" si="143"/>
        <v>832890.77</v>
      </c>
      <c r="P803" s="115">
        <f t="shared" si="144"/>
        <v>832890.77</v>
      </c>
      <c r="Q803" s="125"/>
      <c r="R803" s="125"/>
      <c r="S803" s="125"/>
      <c r="T803" s="125">
        <f>124881-124881+38324-38324.43+7294-100337+93043+107114-107114+0.2+111138-111138-47713+47713+78869-78869+34060-34060+49963-49963+530331-485523+728055-520535-252328+607375-458642+58061+231208-379941+665420-665420+151075-151075+190118-190118-278339+278339+78209-78209</f>
        <v>58060.770000000019</v>
      </c>
      <c r="U803" s="125">
        <f>-237778+237778</f>
        <v>0</v>
      </c>
      <c r="V803" s="125">
        <f>-1333986+1938228</f>
        <v>604242</v>
      </c>
      <c r="W803" s="125">
        <f>-477055+200324</f>
        <v>-276731</v>
      </c>
      <c r="X803" s="125">
        <f>-1560487+2007806</f>
        <v>447319</v>
      </c>
      <c r="Y803" s="125"/>
      <c r="Z803" s="125"/>
      <c r="AA803" s="125"/>
      <c r="AB803" s="125"/>
      <c r="AC803" s="124"/>
      <c r="AD803" s="172"/>
      <c r="AE803" s="162">
        <f>1937.22+450</f>
        <v>2387.2200000000003</v>
      </c>
      <c r="AJ803" s="135"/>
    </row>
    <row r="804" spans="1:36" ht="15">
      <c r="A804" s="128"/>
      <c r="B804" s="154"/>
      <c r="C804" s="128" t="s">
        <v>1837</v>
      </c>
      <c r="D804" s="128"/>
      <c r="E804" s="117"/>
      <c r="F804" s="117"/>
      <c r="G804" s="117"/>
      <c r="H804" s="115">
        <f t="shared" si="136"/>
        <v>148029.81999999989</v>
      </c>
      <c r="I804" s="115">
        <f t="shared" si="137"/>
        <v>148029.81999999989</v>
      </c>
      <c r="J804" s="115">
        <f t="shared" si="138"/>
        <v>148029.81999999989</v>
      </c>
      <c r="K804" s="115">
        <f t="shared" si="139"/>
        <v>148029.81999999989</v>
      </c>
      <c r="L804" s="115">
        <f t="shared" si="140"/>
        <v>148029.81999999989</v>
      </c>
      <c r="M804" s="115">
        <f t="shared" si="141"/>
        <v>148029.81999999989</v>
      </c>
      <c r="N804" s="115">
        <f t="shared" si="142"/>
        <v>148029.81999999989</v>
      </c>
      <c r="O804" s="115">
        <f t="shared" si="143"/>
        <v>148029.81999999989</v>
      </c>
      <c r="P804" s="115">
        <f t="shared" si="144"/>
        <v>148029.81999999989</v>
      </c>
      <c r="Q804" s="125"/>
      <c r="R804" s="125"/>
      <c r="S804" s="125"/>
      <c r="T804" s="125">
        <f>2000000-400000-414927.5-22626.98-419727.5-15786.76-44037-16150.4-27095.16-243582.5-20376.78-43641-10308.4-56920-6250.2-58720-3615-15750-24900-7555</f>
        <v>148029.81999999989</v>
      </c>
      <c r="U804" s="125"/>
      <c r="V804" s="125"/>
      <c r="W804" s="125"/>
      <c r="X804" s="125"/>
      <c r="Y804" s="125"/>
      <c r="Z804" s="125"/>
      <c r="AA804" s="125"/>
      <c r="AB804" s="125"/>
      <c r="AC804" s="124"/>
      <c r="AD804" s="172"/>
      <c r="AE804" s="162">
        <f>3491-450</f>
        <v>3041</v>
      </c>
      <c r="AJ804" s="135"/>
    </row>
    <row r="805" spans="1:36" ht="15">
      <c r="A805" s="128"/>
      <c r="B805" s="154"/>
      <c r="C805" s="128" t="s">
        <v>1838</v>
      </c>
      <c r="D805" s="128"/>
      <c r="E805" s="117"/>
      <c r="F805" s="117"/>
      <c r="G805" s="117"/>
      <c r="H805" s="115">
        <f t="shared" si="136"/>
        <v>693942.52</v>
      </c>
      <c r="I805" s="115">
        <f t="shared" si="137"/>
        <v>957134.02</v>
      </c>
      <c r="J805" s="115">
        <f t="shared" si="138"/>
        <v>957134.02</v>
      </c>
      <c r="K805" s="115">
        <f t="shared" si="139"/>
        <v>957134.02</v>
      </c>
      <c r="L805" s="115">
        <f t="shared" si="140"/>
        <v>957134.02</v>
      </c>
      <c r="M805" s="115">
        <f t="shared" si="141"/>
        <v>957134.02</v>
      </c>
      <c r="N805" s="115">
        <f t="shared" si="142"/>
        <v>957134.02</v>
      </c>
      <c r="O805" s="115">
        <f t="shared" si="143"/>
        <v>957134.02</v>
      </c>
      <c r="P805" s="115">
        <f t="shared" si="144"/>
        <v>957134.02</v>
      </c>
      <c r="Q805" s="125"/>
      <c r="R805" s="125"/>
      <c r="S805" s="125"/>
      <c r="T805" s="125">
        <f>1400000-12250-13000-126750-2860-29040-28768-22500-87200-220233.5-15000-27958-16597.98-2400-78700-22800</f>
        <v>693942.52</v>
      </c>
      <c r="U805" s="125">
        <v>263191.5</v>
      </c>
      <c r="V805" s="125"/>
      <c r="W805" s="125"/>
      <c r="X805" s="125"/>
      <c r="Y805" s="125"/>
      <c r="Z805" s="125"/>
      <c r="AA805" s="125"/>
      <c r="AB805" s="125"/>
      <c r="AC805" s="124"/>
      <c r="AD805" s="172"/>
      <c r="AE805" s="162"/>
      <c r="AJ805" s="135"/>
    </row>
    <row r="806" spans="1:36" ht="15">
      <c r="A806" s="128"/>
      <c r="B806" s="154"/>
      <c r="C806" s="154" t="s">
        <v>1839</v>
      </c>
      <c r="E806" s="120"/>
      <c r="F806" s="120"/>
      <c r="G806" s="120"/>
      <c r="H806" s="115">
        <f t="shared" si="136"/>
        <v>978094.38999999966</v>
      </c>
      <c r="I806" s="115">
        <f t="shared" si="137"/>
        <v>714902.88999999966</v>
      </c>
      <c r="J806" s="115">
        <f t="shared" si="138"/>
        <v>714902.88999999966</v>
      </c>
      <c r="K806" s="115">
        <f t="shared" si="139"/>
        <v>714902.88999999966</v>
      </c>
      <c r="L806" s="115">
        <f t="shared" si="140"/>
        <v>714902.88999999966</v>
      </c>
      <c r="M806" s="115">
        <f t="shared" si="141"/>
        <v>714902.88999999966</v>
      </c>
      <c r="N806" s="115">
        <f t="shared" si="142"/>
        <v>714902.88999999966</v>
      </c>
      <c r="O806" s="115">
        <f t="shared" si="143"/>
        <v>714902.88999999966</v>
      </c>
      <c r="P806" s="115">
        <f t="shared" si="144"/>
        <v>714902.88999999966</v>
      </c>
      <c r="Q806" s="116"/>
      <c r="R806" s="116"/>
      <c r="S806" s="116"/>
      <c r="T806" s="116">
        <f>1637172.18-17200-15300-44000-541965.42-13900-131000-71862+539600-16407-3425-40000+13268-100000-81000-338248.5-134161+767093-34400-177148.08-113100-104762.76-14700-198-279087.78+3090-47692-42700-2622-9108+667600-5339-22130-26850+1723420-10175-61351.25-30000+663690-90150-9250-283127-1000-5400-127900-467800-8200-9470-800-362100-32100-0.5-165860-334100-368920-48210+150000-26300-80000-32110-9750-11402-67556.5-113500-2000</f>
        <v>978094.38999999966</v>
      </c>
      <c r="U806" s="116">
        <v>-263191.5</v>
      </c>
      <c r="V806" s="116"/>
      <c r="W806" s="116"/>
      <c r="X806" s="116"/>
      <c r="Y806" s="116"/>
      <c r="Z806" s="116"/>
      <c r="AA806" s="116"/>
      <c r="AB806" s="116"/>
      <c r="AC806" s="115"/>
      <c r="AD806" s="172"/>
      <c r="AE806" s="203"/>
      <c r="AJ806" s="120"/>
    </row>
    <row r="807" spans="1:36" ht="15" hidden="1">
      <c r="A807" s="128"/>
      <c r="B807" s="154"/>
      <c r="C807" s="154" t="s">
        <v>1840</v>
      </c>
      <c r="E807" s="120"/>
      <c r="F807" s="120"/>
      <c r="G807" s="120"/>
      <c r="H807" s="115">
        <f t="shared" si="136"/>
        <v>3378</v>
      </c>
      <c r="I807" s="115">
        <f t="shared" si="137"/>
        <v>3378</v>
      </c>
      <c r="J807" s="115">
        <f t="shared" si="138"/>
        <v>3378</v>
      </c>
      <c r="K807" s="115">
        <f t="shared" si="139"/>
        <v>0</v>
      </c>
      <c r="L807" s="115">
        <f t="shared" si="140"/>
        <v>0</v>
      </c>
      <c r="M807" s="115">
        <f t="shared" si="141"/>
        <v>0</v>
      </c>
      <c r="N807" s="115">
        <f t="shared" si="142"/>
        <v>0</v>
      </c>
      <c r="O807" s="115">
        <f t="shared" si="143"/>
        <v>0</v>
      </c>
      <c r="P807" s="115">
        <f t="shared" si="144"/>
        <v>0</v>
      </c>
      <c r="Q807" s="116"/>
      <c r="R807" s="116"/>
      <c r="S807" s="116"/>
      <c r="T807" s="116">
        <f>498400-5700-32200-4790-24400-194824-24510-34075-8600-14400-14212-56566-1400-79345</f>
        <v>3378</v>
      </c>
      <c r="U807" s="116"/>
      <c r="V807" s="116"/>
      <c r="W807" s="116">
        <v>-3378</v>
      </c>
      <c r="X807" s="116"/>
      <c r="Y807" s="116"/>
      <c r="Z807" s="116"/>
      <c r="AA807" s="116"/>
      <c r="AB807" s="116"/>
      <c r="AC807" s="115"/>
      <c r="AD807" s="172"/>
      <c r="AE807" s="203"/>
      <c r="AJ807" s="120"/>
    </row>
    <row r="808" spans="1:36" ht="15" hidden="1">
      <c r="A808" s="128"/>
      <c r="B808" s="154"/>
      <c r="C808" s="154" t="s">
        <v>1841</v>
      </c>
      <c r="E808" s="120"/>
      <c r="F808" s="120"/>
      <c r="G808" s="120"/>
      <c r="H808" s="115">
        <f t="shared" si="136"/>
        <v>561800.1</v>
      </c>
      <c r="I808" s="115">
        <f t="shared" si="137"/>
        <v>561800.1</v>
      </c>
      <c r="J808" s="115">
        <f t="shared" si="138"/>
        <v>350730.5</v>
      </c>
      <c r="K808" s="115">
        <f t="shared" si="139"/>
        <v>0</v>
      </c>
      <c r="L808" s="115">
        <f t="shared" si="140"/>
        <v>0</v>
      </c>
      <c r="M808" s="115">
        <f t="shared" si="141"/>
        <v>0</v>
      </c>
      <c r="N808" s="115">
        <f t="shared" si="142"/>
        <v>0</v>
      </c>
      <c r="O808" s="115">
        <f t="shared" si="143"/>
        <v>0</v>
      </c>
      <c r="P808" s="115">
        <f t="shared" si="144"/>
        <v>0</v>
      </c>
      <c r="Q808" s="116"/>
      <c r="R808" s="116"/>
      <c r="S808" s="116"/>
      <c r="T808" s="116">
        <f>852900-47226-227873.9-16000</f>
        <v>561800.1</v>
      </c>
      <c r="U808" s="116"/>
      <c r="V808" s="116">
        <f>-24920-186149.6</f>
        <v>-211069.6</v>
      </c>
      <c r="W808" s="116">
        <v>-350730.5</v>
      </c>
      <c r="X808" s="116"/>
      <c r="Y808" s="116"/>
      <c r="Z808" s="116"/>
      <c r="AA808" s="116"/>
      <c r="AB808" s="116"/>
      <c r="AC808" s="115"/>
      <c r="AD808" s="172"/>
      <c r="AE808" s="203"/>
      <c r="AJ808" s="120"/>
    </row>
    <row r="809" spans="1:36" ht="15" hidden="1">
      <c r="A809" s="128"/>
      <c r="B809" s="154"/>
      <c r="C809" s="108" t="s">
        <v>1842</v>
      </c>
      <c r="D809" s="128"/>
      <c r="E809" s="117"/>
      <c r="F809" s="117"/>
      <c r="G809" s="117"/>
      <c r="H809" s="117">
        <f>40690-40690</f>
        <v>0</v>
      </c>
      <c r="I809" s="117"/>
      <c r="J809" s="117"/>
      <c r="K809" s="117"/>
      <c r="L809" s="117"/>
      <c r="M809" s="117"/>
      <c r="N809" s="117"/>
      <c r="O809" s="117"/>
      <c r="P809" s="117"/>
      <c r="Q809" s="125"/>
      <c r="R809" s="125"/>
      <c r="S809" s="125"/>
      <c r="T809" s="125">
        <f>40690-40690</f>
        <v>0</v>
      </c>
      <c r="U809" s="125"/>
      <c r="V809" s="125"/>
      <c r="W809" s="125"/>
      <c r="X809" s="125"/>
      <c r="Y809" s="125"/>
      <c r="Z809" s="125"/>
      <c r="AA809" s="125"/>
      <c r="AB809" s="125"/>
      <c r="AC809" s="124"/>
      <c r="AD809" s="172"/>
      <c r="AE809" s="162"/>
      <c r="AJ809" s="133"/>
    </row>
    <row r="810" spans="1:36" ht="15.75" thickBot="1">
      <c r="A810" s="128"/>
      <c r="B810" s="154"/>
      <c r="C810" s="126" t="s">
        <v>1114</v>
      </c>
      <c r="E810" s="204"/>
      <c r="F810" s="204"/>
      <c r="G810" s="204"/>
      <c r="H810" s="204">
        <f>SUM(H680:H809)</f>
        <v>139724679.95999989</v>
      </c>
      <c r="I810" s="204">
        <f>SUM(I680:I809)</f>
        <v>138888018.65999988</v>
      </c>
      <c r="J810" s="204">
        <f>SUM(J680:J809)</f>
        <v>138716520.76999989</v>
      </c>
      <c r="K810" s="204">
        <f>SUM(K680:K809)</f>
        <v>135379656.26999989</v>
      </c>
      <c r="L810" s="204">
        <f>SUM(L680:L809)</f>
        <v>169806904.7299999</v>
      </c>
      <c r="M810" s="204"/>
      <c r="N810" s="204"/>
      <c r="O810" s="204"/>
      <c r="P810" s="204"/>
      <c r="Q810" s="119"/>
      <c r="R810" s="119"/>
      <c r="S810" s="119"/>
      <c r="T810" s="119">
        <f>SUM(T680:T809)</f>
        <v>139724679.95999989</v>
      </c>
      <c r="U810" s="119">
        <f>SUM(U680:U809)</f>
        <v>-836661.29999999981</v>
      </c>
      <c r="V810" s="119"/>
      <c r="W810" s="119"/>
      <c r="X810" s="119"/>
      <c r="Y810" s="119"/>
      <c r="Z810" s="119"/>
      <c r="AA810" s="119"/>
      <c r="AB810" s="119"/>
      <c r="AC810" s="172"/>
      <c r="AD810" s="205" t="e">
        <f>+#REF!-[1]TB!J181</f>
        <v>#REF!</v>
      </c>
      <c r="AE810" s="162" t="e">
        <f>+AD810/2</f>
        <v>#REF!</v>
      </c>
      <c r="AJ810" s="135"/>
    </row>
    <row r="811" spans="1:36" ht="15.75" thickTop="1">
      <c r="A811" s="128"/>
      <c r="B811" s="154"/>
      <c r="E811" s="172"/>
      <c r="F811" s="172"/>
      <c r="G811" s="172"/>
      <c r="H811" s="172"/>
      <c r="I811" s="172"/>
      <c r="J811" s="120"/>
      <c r="L811" s="172"/>
      <c r="M811" s="172"/>
      <c r="N811" s="172"/>
      <c r="O811" s="172"/>
      <c r="P811" s="172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  <c r="AA811" s="119"/>
      <c r="AB811" s="119"/>
      <c r="AC811" s="172"/>
      <c r="AD811" s="172"/>
      <c r="AE811" s="162"/>
      <c r="AJ811" s="120"/>
    </row>
    <row r="812" spans="1:36" ht="15">
      <c r="A812" s="128"/>
      <c r="B812" s="154"/>
      <c r="E812" s="172"/>
      <c r="F812" s="172"/>
      <c r="G812" s="172"/>
      <c r="H812" s="172"/>
      <c r="I812" s="172"/>
      <c r="J812" s="172"/>
      <c r="K812" s="172"/>
      <c r="L812" s="172"/>
      <c r="M812" s="172"/>
      <c r="N812" s="172"/>
      <c r="O812" s="172"/>
      <c r="P812" s="172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  <c r="AA812" s="119"/>
      <c r="AB812" s="119"/>
      <c r="AC812" s="172"/>
      <c r="AD812" s="172"/>
      <c r="AE812" s="162"/>
      <c r="AJ812" s="120"/>
    </row>
    <row r="813" spans="1:36" ht="15">
      <c r="A813" s="113" t="s">
        <v>1843</v>
      </c>
      <c r="B813" s="154"/>
      <c r="C813" s="113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7"/>
      <c r="AD813" s="124"/>
      <c r="AE813" s="120"/>
      <c r="AF813" s="197"/>
    </row>
    <row r="814" spans="1:36" ht="15">
      <c r="A814" s="128"/>
      <c r="B814" s="154"/>
      <c r="C814" s="128" t="s">
        <v>1120</v>
      </c>
      <c r="D814" s="128"/>
      <c r="E814" s="117"/>
      <c r="F814" s="117"/>
      <c r="G814" s="117"/>
      <c r="H814" s="115">
        <f t="shared" ref="H814:H831" si="147">Q814+R814+S814+T814</f>
        <v>74104.33</v>
      </c>
      <c r="I814" s="115">
        <f t="shared" ref="I814:I831" si="148">Q814+R814+S814+T814+U814</f>
        <v>74104.33</v>
      </c>
      <c r="J814" s="115">
        <f>Q814+R814+S814+T814+U814+V814</f>
        <v>74104.33</v>
      </c>
      <c r="K814" s="115">
        <f t="shared" ref="K814:K831" si="149">Q814+R814+S814+T814+U814+V814+W814</f>
        <v>74104.33</v>
      </c>
      <c r="L814" s="115">
        <f t="shared" ref="L814:L831" si="150">Q814+R814+S814+T814+U814+V814+W814+X814</f>
        <v>74104.33</v>
      </c>
      <c r="M814" s="117"/>
      <c r="N814" s="117"/>
      <c r="O814" s="117"/>
      <c r="P814" s="117"/>
      <c r="Q814" s="125"/>
      <c r="R814" s="125"/>
      <c r="S814" s="125"/>
      <c r="T814" s="125">
        <f>73829.33+275</f>
        <v>74104.33</v>
      </c>
      <c r="U814" s="125"/>
      <c r="V814" s="125"/>
      <c r="W814" s="125"/>
      <c r="X814" s="125"/>
      <c r="Y814" s="125"/>
      <c r="Z814" s="125"/>
      <c r="AA814" s="125"/>
      <c r="AB814" s="125"/>
      <c r="AC814" s="124"/>
      <c r="AD814" s="120"/>
      <c r="AE814" s="172"/>
    </row>
    <row r="815" spans="1:36" ht="15">
      <c r="A815" s="128"/>
      <c r="B815" s="154"/>
      <c r="C815" s="154" t="s">
        <v>1844</v>
      </c>
      <c r="E815" s="120"/>
      <c r="F815" s="120"/>
      <c r="G815" s="120"/>
      <c r="H815" s="115">
        <f t="shared" si="147"/>
        <v>18029.699999999997</v>
      </c>
      <c r="I815" s="115">
        <f t="shared" si="148"/>
        <v>18029.699999999997</v>
      </c>
      <c r="J815" s="115">
        <f>Q815+R815+S815+T815+U815+V815</f>
        <v>18029.699999999997</v>
      </c>
      <c r="K815" s="115">
        <f t="shared" si="149"/>
        <v>18029.699999999997</v>
      </c>
      <c r="L815" s="115">
        <f t="shared" si="150"/>
        <v>18029.699999999997</v>
      </c>
      <c r="M815" s="120"/>
      <c r="N815" s="120"/>
      <c r="O815" s="120"/>
      <c r="P815" s="120"/>
      <c r="Q815" s="116"/>
      <c r="R815" s="116"/>
      <c r="S815" s="116"/>
      <c r="T815" s="116">
        <f>50000+25000-15659-17460.3-9978+50000-42582-12540-8751</f>
        <v>18029.699999999997</v>
      </c>
      <c r="U815" s="116"/>
      <c r="V815" s="116"/>
      <c r="W815" s="116"/>
      <c r="X815" s="116"/>
      <c r="Y815" s="116"/>
      <c r="Z815" s="116"/>
      <c r="AA815" s="116"/>
      <c r="AB815" s="116"/>
      <c r="AC815" s="115"/>
      <c r="AD815" s="115"/>
      <c r="AE815" s="172"/>
      <c r="AF815" s="135"/>
    </row>
    <row r="816" spans="1:36" ht="15">
      <c r="A816" s="128"/>
      <c r="B816" s="154"/>
      <c r="C816" s="154" t="s">
        <v>1845</v>
      </c>
      <c r="E816" s="115"/>
      <c r="F816" s="115"/>
      <c r="G816" s="115"/>
      <c r="H816" s="115">
        <f t="shared" si="147"/>
        <v>90000</v>
      </c>
      <c r="I816" s="115">
        <f t="shared" si="148"/>
        <v>90000</v>
      </c>
      <c r="J816" s="115">
        <f t="shared" ref="J816:J831" si="151">Q816+R816+S816+T816+U816+V816</f>
        <v>90000</v>
      </c>
      <c r="K816" s="115">
        <f t="shared" si="149"/>
        <v>90000</v>
      </c>
      <c r="L816" s="115">
        <f t="shared" si="150"/>
        <v>90000</v>
      </c>
      <c r="M816" s="115"/>
      <c r="N816" s="115"/>
      <c r="O816" s="115"/>
      <c r="P816" s="115"/>
      <c r="Q816" s="116"/>
      <c r="R816" s="116"/>
      <c r="S816" s="116"/>
      <c r="T816" s="116">
        <v>90000</v>
      </c>
      <c r="U816" s="116"/>
      <c r="V816" s="116"/>
      <c r="W816" s="116"/>
      <c r="X816" s="116"/>
      <c r="Y816" s="116"/>
      <c r="Z816" s="116"/>
      <c r="AA816" s="116"/>
      <c r="AB816" s="116"/>
      <c r="AC816" s="115"/>
      <c r="AD816" s="115"/>
      <c r="AE816" s="172" t="e">
        <f>+#REF!-AE818-AE819-AE820-#REF!</f>
        <v>#REF!</v>
      </c>
      <c r="AF816" s="120" t="s">
        <v>1846</v>
      </c>
      <c r="AG816" s="136"/>
    </row>
    <row r="817" spans="1:53">
      <c r="A817" s="128"/>
      <c r="B817" s="154"/>
      <c r="C817" s="154" t="s">
        <v>1847</v>
      </c>
      <c r="E817" s="115"/>
      <c r="F817" s="115"/>
      <c r="G817" s="115"/>
      <c r="H817" s="115">
        <f t="shared" si="147"/>
        <v>101527.05</v>
      </c>
      <c r="I817" s="115">
        <f t="shared" si="148"/>
        <v>101527.05</v>
      </c>
      <c r="J817" s="115">
        <f t="shared" si="151"/>
        <v>101527.05</v>
      </c>
      <c r="K817" s="115">
        <f t="shared" si="149"/>
        <v>101527.05</v>
      </c>
      <c r="L817" s="115">
        <f t="shared" si="150"/>
        <v>101527.05</v>
      </c>
      <c r="M817" s="115"/>
      <c r="N817" s="115"/>
      <c r="O817" s="115"/>
      <c r="P817" s="115"/>
      <c r="Q817" s="116"/>
      <c r="R817" s="116"/>
      <c r="S817" s="116"/>
      <c r="T817" s="116">
        <f>100000+24000-6800+100000-217200+200000-98472.95</f>
        <v>101527.05</v>
      </c>
      <c r="U817" s="116"/>
      <c r="V817" s="116"/>
      <c r="W817" s="116"/>
      <c r="X817" s="116"/>
      <c r="Y817" s="116"/>
      <c r="Z817" s="116"/>
      <c r="AA817" s="116"/>
      <c r="AB817" s="116"/>
      <c r="AC817" s="115"/>
      <c r="AD817" s="115"/>
      <c r="AG817" s="136"/>
    </row>
    <row r="818" spans="1:53" ht="15">
      <c r="A818" s="128"/>
      <c r="B818" s="154"/>
      <c r="C818" s="154" t="s">
        <v>1848</v>
      </c>
      <c r="E818" s="115"/>
      <c r="F818" s="115"/>
      <c r="G818" s="115"/>
      <c r="H818" s="115">
        <f t="shared" si="147"/>
        <v>21</v>
      </c>
      <c r="I818" s="115">
        <f t="shared" si="148"/>
        <v>21</v>
      </c>
      <c r="J818" s="115">
        <f t="shared" si="151"/>
        <v>21</v>
      </c>
      <c r="K818" s="115">
        <f t="shared" si="149"/>
        <v>21</v>
      </c>
      <c r="L818" s="115">
        <f t="shared" si="150"/>
        <v>21</v>
      </c>
      <c r="M818" s="115"/>
      <c r="N818" s="115"/>
      <c r="O818" s="115"/>
      <c r="P818" s="115"/>
      <c r="Q818" s="116"/>
      <c r="R818" s="116"/>
      <c r="S818" s="116"/>
      <c r="T818" s="116">
        <f>500000-490139-1000-7560-1280</f>
        <v>21</v>
      </c>
      <c r="U818" s="116"/>
      <c r="V818" s="116"/>
      <c r="W818" s="116"/>
      <c r="X818" s="116"/>
      <c r="Y818" s="116"/>
      <c r="Z818" s="116"/>
      <c r="AA818" s="116"/>
      <c r="AB818" s="116"/>
      <c r="AC818" s="115"/>
      <c r="AD818" s="206">
        <v>40155</v>
      </c>
      <c r="AE818" s="120"/>
      <c r="AF818" s="172"/>
      <c r="AG818" s="136"/>
    </row>
    <row r="819" spans="1:53" ht="15">
      <c r="A819" s="128"/>
      <c r="B819" s="154"/>
      <c r="C819" s="154" t="s">
        <v>1849</v>
      </c>
      <c r="E819" s="120"/>
      <c r="F819" s="120"/>
      <c r="G819" s="120"/>
      <c r="H819" s="115">
        <f t="shared" si="147"/>
        <v>1352861.45</v>
      </c>
      <c r="I819" s="115">
        <f t="shared" si="148"/>
        <v>1352861.45</v>
      </c>
      <c r="J819" s="115">
        <f t="shared" si="151"/>
        <v>1352861.45</v>
      </c>
      <c r="K819" s="115">
        <f t="shared" si="149"/>
        <v>1312972</v>
      </c>
      <c r="L819" s="115">
        <f t="shared" si="150"/>
        <v>1312972</v>
      </c>
      <c r="M819" s="120"/>
      <c r="N819" s="120"/>
      <c r="O819" s="120"/>
      <c r="P819" s="120"/>
      <c r="Q819" s="116"/>
      <c r="R819" s="116"/>
      <c r="S819" s="116"/>
      <c r="T819" s="116">
        <f>804061+460720-700+234000+3534888-2590516-604960-533730-414334.29-4320-5000+886293-6550+6550-377186-7500-41261+89207.94-116690.65+39889.45</f>
        <v>1352861.45</v>
      </c>
      <c r="U819" s="116"/>
      <c r="V819" s="116"/>
      <c r="W819" s="116">
        <v>-39889.449999999997</v>
      </c>
      <c r="X819" s="116"/>
      <c r="Y819" s="116"/>
      <c r="Z819" s="116"/>
      <c r="AA819" s="116"/>
      <c r="AB819" s="116"/>
      <c r="AC819" s="115"/>
      <c r="AD819" s="115"/>
      <c r="AE819" s="115"/>
      <c r="AF819" s="172"/>
      <c r="AG819" s="136"/>
    </row>
    <row r="820" spans="1:53" ht="15">
      <c r="A820" s="128"/>
      <c r="B820" s="154"/>
      <c r="C820" s="154" t="s">
        <v>1850</v>
      </c>
      <c r="E820" s="115"/>
      <c r="F820" s="115"/>
      <c r="G820" s="115"/>
      <c r="H820" s="115">
        <f t="shared" si="147"/>
        <v>2097.210000000021</v>
      </c>
      <c r="I820" s="115">
        <f t="shared" si="148"/>
        <v>2097.210000000021</v>
      </c>
      <c r="J820" s="115">
        <f t="shared" si="151"/>
        <v>2097.210000000021</v>
      </c>
      <c r="K820" s="115">
        <f t="shared" si="149"/>
        <v>2097.210000000021</v>
      </c>
      <c r="L820" s="115">
        <f t="shared" si="150"/>
        <v>2097.210000000021</v>
      </c>
      <c r="M820" s="115"/>
      <c r="N820" s="115"/>
      <c r="O820" s="115"/>
      <c r="P820" s="115"/>
      <c r="Q820" s="116"/>
      <c r="R820" s="116"/>
      <c r="S820" s="116"/>
      <c r="T820" s="116">
        <f>1866065.71+50000-714886.46-2355-61958-3500-8320+150000-45600-20326.99-6095-11394-23126-640-37103-90998+50000-2700-1004150-4338-10484+97000-1500-6609-1000-7894-27618-1055+100000-875-14296-6025-55233+1055-1055.8-7070-1911-4600-23912.75-25500-1400-2247-1800-7400-25407.5-7200-5460-26980</f>
        <v>2097.210000000021</v>
      </c>
      <c r="U820" s="116"/>
      <c r="V820" s="116"/>
      <c r="W820" s="116"/>
      <c r="X820" s="116"/>
      <c r="Y820" s="116"/>
      <c r="Z820" s="116"/>
      <c r="AA820" s="116"/>
      <c r="AB820" s="116"/>
      <c r="AC820" s="115"/>
      <c r="AD820" s="115"/>
      <c r="AE820" s="115"/>
      <c r="AF820" s="172"/>
    </row>
    <row r="821" spans="1:53" ht="15">
      <c r="A821" s="128"/>
      <c r="B821" s="154"/>
      <c r="C821" s="154" t="s">
        <v>1851</v>
      </c>
      <c r="E821" s="115"/>
      <c r="F821" s="115"/>
      <c r="G821" s="115"/>
      <c r="H821" s="115">
        <f t="shared" si="147"/>
        <v>1000000</v>
      </c>
      <c r="I821" s="115">
        <f t="shared" si="148"/>
        <v>1000000</v>
      </c>
      <c r="J821" s="115">
        <f t="shared" si="151"/>
        <v>1000000</v>
      </c>
      <c r="K821" s="115">
        <f t="shared" si="149"/>
        <v>1000000</v>
      </c>
      <c r="L821" s="115">
        <f t="shared" si="150"/>
        <v>1000000</v>
      </c>
      <c r="M821" s="115"/>
      <c r="N821" s="115"/>
      <c r="O821" s="115"/>
      <c r="P821" s="115"/>
      <c r="Q821" s="116"/>
      <c r="R821" s="116"/>
      <c r="S821" s="116"/>
      <c r="T821" s="116">
        <f>1000000</f>
        <v>1000000</v>
      </c>
      <c r="U821" s="116"/>
      <c r="V821" s="116"/>
      <c r="W821" s="116"/>
      <c r="X821" s="116"/>
      <c r="Y821" s="116"/>
      <c r="Z821" s="116"/>
      <c r="AA821" s="116"/>
      <c r="AB821" s="116"/>
      <c r="AC821" s="115"/>
      <c r="AD821" s="115" t="s">
        <v>1852</v>
      </c>
      <c r="AE821" s="172"/>
    </row>
    <row r="822" spans="1:53" ht="15">
      <c r="A822" s="128"/>
      <c r="B822" s="154"/>
      <c r="C822" s="154" t="s">
        <v>1853</v>
      </c>
      <c r="E822" s="115"/>
      <c r="F822" s="115"/>
      <c r="G822" s="115"/>
      <c r="H822" s="115">
        <f t="shared" si="147"/>
        <v>55221.77999999997</v>
      </c>
      <c r="I822" s="115">
        <f t="shared" si="148"/>
        <v>55221.77999999997</v>
      </c>
      <c r="J822" s="115">
        <f t="shared" si="151"/>
        <v>55221.77999999997</v>
      </c>
      <c r="K822" s="115">
        <f t="shared" si="149"/>
        <v>55221.77999999997</v>
      </c>
      <c r="L822" s="115">
        <f t="shared" si="150"/>
        <v>55221.77999999997</v>
      </c>
      <c r="M822" s="115"/>
      <c r="N822" s="115"/>
      <c r="O822" s="115"/>
      <c r="P822" s="115"/>
      <c r="Q822" s="116"/>
      <c r="R822" s="116"/>
      <c r="S822" s="116"/>
      <c r="T822" s="116">
        <f>500000-997494.9+1000000-344892.56-14850-61190.82-13860-3990-2310-6189.94</f>
        <v>55221.77999999997</v>
      </c>
      <c r="U822" s="116"/>
      <c r="V822" s="116"/>
      <c r="W822" s="116"/>
      <c r="X822" s="116"/>
      <c r="Y822" s="116"/>
      <c r="Z822" s="116"/>
      <c r="AA822" s="116"/>
      <c r="AB822" s="116"/>
      <c r="AC822" s="115"/>
      <c r="AD822" s="115" t="s">
        <v>1854</v>
      </c>
      <c r="AE822" s="172"/>
    </row>
    <row r="823" spans="1:53" ht="15">
      <c r="A823" s="154"/>
      <c r="B823" s="113"/>
      <c r="C823" s="128" t="s">
        <v>1855</v>
      </c>
      <c r="D823" s="128"/>
      <c r="E823" s="117"/>
      <c r="F823" s="117"/>
      <c r="G823" s="117"/>
      <c r="H823" s="115">
        <f t="shared" si="147"/>
        <v>250000</v>
      </c>
      <c r="I823" s="115">
        <f t="shared" si="148"/>
        <v>250000</v>
      </c>
      <c r="J823" s="115">
        <f t="shared" si="151"/>
        <v>250000</v>
      </c>
      <c r="K823" s="115">
        <f t="shared" si="149"/>
        <v>250000</v>
      </c>
      <c r="L823" s="115">
        <f t="shared" si="150"/>
        <v>250000</v>
      </c>
      <c r="M823" s="117"/>
      <c r="N823" s="117"/>
      <c r="O823" s="117"/>
      <c r="P823" s="117"/>
      <c r="Q823" s="125"/>
      <c r="R823" s="125"/>
      <c r="S823" s="125"/>
      <c r="T823" s="125">
        <v>250000</v>
      </c>
      <c r="U823" s="125"/>
      <c r="V823" s="125"/>
      <c r="W823" s="125">
        <f>-250000+250000</f>
        <v>0</v>
      </c>
      <c r="X823" s="125"/>
      <c r="Y823" s="125"/>
      <c r="Z823" s="125"/>
      <c r="AA823" s="125"/>
      <c r="AB823" s="125"/>
      <c r="AC823" s="124"/>
      <c r="AD823" s="117"/>
      <c r="AE823" s="115"/>
      <c r="AJ823" s="120"/>
      <c r="AR823" s="207"/>
      <c r="BA823" s="135"/>
    </row>
    <row r="824" spans="1:53" ht="15">
      <c r="A824" s="128"/>
      <c r="B824" s="154"/>
      <c r="C824" s="154" t="s">
        <v>1856</v>
      </c>
      <c r="E824" s="115"/>
      <c r="F824" s="115"/>
      <c r="G824" s="115"/>
      <c r="H824" s="115">
        <f t="shared" si="147"/>
        <v>1000000</v>
      </c>
      <c r="I824" s="115">
        <f t="shared" si="148"/>
        <v>1000000</v>
      </c>
      <c r="J824" s="115">
        <f t="shared" si="151"/>
        <v>1000000</v>
      </c>
      <c r="K824" s="115">
        <f t="shared" si="149"/>
        <v>1000000</v>
      </c>
      <c r="L824" s="115">
        <f t="shared" si="150"/>
        <v>1000000</v>
      </c>
      <c r="M824" s="115"/>
      <c r="N824" s="115"/>
      <c r="O824" s="115"/>
      <c r="P824" s="115"/>
      <c r="Q824" s="116"/>
      <c r="R824" s="116"/>
      <c r="S824" s="116"/>
      <c r="T824" s="116">
        <v>1000000</v>
      </c>
      <c r="U824" s="116"/>
      <c r="V824" s="116"/>
      <c r="W824" s="116"/>
      <c r="X824" s="116"/>
      <c r="Y824" s="116"/>
      <c r="Z824" s="116"/>
      <c r="AA824" s="116"/>
      <c r="AB824" s="116"/>
      <c r="AC824" s="115"/>
      <c r="AD824" s="115"/>
      <c r="AE824" s="172"/>
    </row>
    <row r="825" spans="1:53" ht="15">
      <c r="A825" s="128"/>
      <c r="B825" s="154"/>
      <c r="C825" s="154" t="s">
        <v>1857</v>
      </c>
      <c r="E825" s="115"/>
      <c r="F825" s="115"/>
      <c r="G825" s="115"/>
      <c r="H825" s="115">
        <f t="shared" si="147"/>
        <v>150000</v>
      </c>
      <c r="I825" s="115">
        <f t="shared" si="148"/>
        <v>150000</v>
      </c>
      <c r="J825" s="115">
        <f t="shared" si="151"/>
        <v>150000</v>
      </c>
      <c r="K825" s="115">
        <f t="shared" si="149"/>
        <v>150000</v>
      </c>
      <c r="L825" s="115">
        <f t="shared" si="150"/>
        <v>150000</v>
      </c>
      <c r="M825" s="115"/>
      <c r="N825" s="115"/>
      <c r="O825" s="115"/>
      <c r="P825" s="115"/>
      <c r="Q825" s="116"/>
      <c r="R825" s="116"/>
      <c r="S825" s="116"/>
      <c r="T825" s="116">
        <f>50000+100000-98472.95+98472.95</f>
        <v>150000</v>
      </c>
      <c r="U825" s="116"/>
      <c r="V825" s="116"/>
      <c r="W825" s="116"/>
      <c r="X825" s="116"/>
      <c r="Y825" s="116"/>
      <c r="Z825" s="116"/>
      <c r="AA825" s="116"/>
      <c r="AB825" s="116"/>
      <c r="AC825" s="115"/>
      <c r="AD825" s="115"/>
      <c r="AE825" s="172"/>
    </row>
    <row r="826" spans="1:53" ht="15">
      <c r="A826" s="128"/>
      <c r="B826" s="154"/>
      <c r="C826" s="154" t="s">
        <v>1858</v>
      </c>
      <c r="E826" s="115"/>
      <c r="F826" s="115"/>
      <c r="G826" s="115"/>
      <c r="H826" s="115">
        <f t="shared" si="147"/>
        <v>1200</v>
      </c>
      <c r="I826" s="115">
        <f t="shared" si="148"/>
        <v>1200</v>
      </c>
      <c r="J826" s="115">
        <f t="shared" si="151"/>
        <v>1200</v>
      </c>
      <c r="K826" s="115">
        <f t="shared" si="149"/>
        <v>1200</v>
      </c>
      <c r="L826" s="115">
        <f t="shared" si="150"/>
        <v>1200</v>
      </c>
      <c r="M826" s="115"/>
      <c r="N826" s="115"/>
      <c r="O826" s="115"/>
      <c r="P826" s="115"/>
      <c r="Q826" s="116"/>
      <c r="R826" s="116"/>
      <c r="S826" s="116"/>
      <c r="T826" s="116">
        <f>2200-1000</f>
        <v>1200</v>
      </c>
      <c r="U826" s="116"/>
      <c r="V826" s="116"/>
      <c r="W826" s="116"/>
      <c r="X826" s="116"/>
      <c r="Y826" s="116"/>
      <c r="Z826" s="116"/>
      <c r="AA826" s="116"/>
      <c r="AB826" s="116"/>
      <c r="AC826" s="115"/>
      <c r="AD826" s="115"/>
      <c r="AE826" s="172"/>
    </row>
    <row r="827" spans="1:53" ht="15">
      <c r="A827" s="128"/>
      <c r="B827" s="154"/>
      <c r="C827" s="154" t="s">
        <v>1859</v>
      </c>
      <c r="E827" s="115"/>
      <c r="F827" s="115"/>
      <c r="G827" s="115"/>
      <c r="H827" s="115">
        <f t="shared" si="147"/>
        <v>16092.730000000001</v>
      </c>
      <c r="I827" s="115">
        <f t="shared" si="148"/>
        <v>16092.730000000001</v>
      </c>
      <c r="J827" s="115">
        <f t="shared" si="151"/>
        <v>16092.730000000001</v>
      </c>
      <c r="K827" s="115">
        <f t="shared" si="149"/>
        <v>16092.730000000001</v>
      </c>
      <c r="L827" s="115">
        <f t="shared" si="150"/>
        <v>16092.730000000001</v>
      </c>
      <c r="M827" s="115"/>
      <c r="N827" s="115"/>
      <c r="O827" s="115"/>
      <c r="P827" s="115"/>
      <c r="Q827" s="116"/>
      <c r="R827" s="116"/>
      <c r="S827" s="116"/>
      <c r="T827" s="116">
        <f>60000-9550-5120-13892.6-20600-1000-48520+85000-9280-15500-5444.67</f>
        <v>16092.730000000001</v>
      </c>
      <c r="U827" s="116"/>
      <c r="V827" s="116"/>
      <c r="W827" s="116"/>
      <c r="X827" s="116"/>
      <c r="Y827" s="116"/>
      <c r="Z827" s="116"/>
      <c r="AA827" s="116"/>
      <c r="AB827" s="116"/>
      <c r="AC827" s="115"/>
      <c r="AD827" s="115"/>
      <c r="AE827" s="172"/>
    </row>
    <row r="828" spans="1:53">
      <c r="A828" s="156"/>
      <c r="B828" s="154"/>
      <c r="C828" s="154" t="s">
        <v>1860</v>
      </c>
      <c r="E828" s="115"/>
      <c r="F828" s="115"/>
      <c r="G828" s="115"/>
      <c r="H828" s="115">
        <f t="shared" si="147"/>
        <v>50000</v>
      </c>
      <c r="I828" s="115">
        <f t="shared" si="148"/>
        <v>50000</v>
      </c>
      <c r="J828" s="115">
        <f t="shared" si="151"/>
        <v>50000</v>
      </c>
      <c r="K828" s="115">
        <f t="shared" si="149"/>
        <v>50000</v>
      </c>
      <c r="L828" s="115">
        <f t="shared" si="150"/>
        <v>50000</v>
      </c>
      <c r="M828" s="115"/>
      <c r="N828" s="115"/>
      <c r="O828" s="115"/>
      <c r="P828" s="115"/>
      <c r="Q828" s="116"/>
      <c r="R828" s="116"/>
      <c r="S828" s="116"/>
      <c r="T828" s="116">
        <v>50000</v>
      </c>
      <c r="U828" s="116"/>
      <c r="V828" s="116"/>
      <c r="W828" s="116"/>
      <c r="X828" s="116"/>
      <c r="Y828" s="116"/>
      <c r="Z828" s="116"/>
      <c r="AA828" s="116"/>
      <c r="AB828" s="116"/>
      <c r="AC828" s="115"/>
      <c r="AD828" s="108" t="s">
        <v>1861</v>
      </c>
      <c r="AE828" s="162"/>
    </row>
    <row r="829" spans="1:53" hidden="1">
      <c r="A829" s="156"/>
      <c r="B829" s="154"/>
      <c r="C829" s="154" t="s">
        <v>1862</v>
      </c>
      <c r="E829" s="115"/>
      <c r="F829" s="115"/>
      <c r="G829" s="115"/>
      <c r="H829" s="115">
        <f t="shared" si="147"/>
        <v>200000</v>
      </c>
      <c r="I829" s="115">
        <f t="shared" si="148"/>
        <v>0</v>
      </c>
      <c r="J829" s="115">
        <f t="shared" si="151"/>
        <v>0</v>
      </c>
      <c r="K829" s="115">
        <f t="shared" si="149"/>
        <v>0</v>
      </c>
      <c r="L829" s="115">
        <f t="shared" si="150"/>
        <v>0</v>
      </c>
      <c r="M829" s="115"/>
      <c r="N829" s="115"/>
      <c r="O829" s="115"/>
      <c r="P829" s="115"/>
      <c r="Q829" s="116"/>
      <c r="R829" s="116"/>
      <c r="S829" s="116"/>
      <c r="T829" s="116">
        <f>50000+50000+50000+50000</f>
        <v>200000</v>
      </c>
      <c r="U829" s="116">
        <v>-200000</v>
      </c>
      <c r="V829" s="116"/>
      <c r="W829" s="116"/>
      <c r="X829" s="116"/>
      <c r="Y829" s="116"/>
      <c r="Z829" s="116"/>
      <c r="AA829" s="116"/>
      <c r="AB829" s="116"/>
      <c r="AC829" s="115"/>
      <c r="AE829" s="162"/>
    </row>
    <row r="830" spans="1:53">
      <c r="A830" s="150"/>
      <c r="B830" s="128"/>
      <c r="C830" s="128" t="s">
        <v>1126</v>
      </c>
      <c r="D830" s="128"/>
      <c r="E830" s="208"/>
      <c r="F830" s="208"/>
      <c r="G830" s="208"/>
      <c r="H830" s="115">
        <f t="shared" si="147"/>
        <v>32467.9</v>
      </c>
      <c r="I830" s="115">
        <f t="shared" si="148"/>
        <v>32467.9</v>
      </c>
      <c r="J830" s="115">
        <f t="shared" si="151"/>
        <v>32467.9</v>
      </c>
      <c r="K830" s="115">
        <f t="shared" si="149"/>
        <v>32467.9</v>
      </c>
      <c r="L830" s="115">
        <f t="shared" si="150"/>
        <v>32467.9</v>
      </c>
      <c r="M830" s="208"/>
      <c r="N830" s="208"/>
      <c r="O830" s="208"/>
      <c r="P830" s="208"/>
      <c r="Q830" s="209"/>
      <c r="R830" s="209"/>
      <c r="S830" s="209"/>
      <c r="T830" s="209">
        <v>32467.9</v>
      </c>
      <c r="U830" s="209"/>
      <c r="V830" s="209"/>
      <c r="W830" s="209"/>
      <c r="X830" s="209"/>
      <c r="Y830" s="209"/>
      <c r="Z830" s="209"/>
      <c r="AA830" s="209"/>
      <c r="AB830" s="209"/>
      <c r="AC830" s="208"/>
      <c r="AE830" s="162"/>
    </row>
    <row r="831" spans="1:53" ht="15">
      <c r="A831" s="150"/>
      <c r="B831" s="128"/>
      <c r="C831" s="108" t="s">
        <v>1129</v>
      </c>
      <c r="E831" s="115"/>
      <c r="F831" s="115"/>
      <c r="G831" s="115"/>
      <c r="H831" s="115">
        <f t="shared" si="147"/>
        <v>95424.79</v>
      </c>
      <c r="I831" s="115">
        <f t="shared" si="148"/>
        <v>95424.79</v>
      </c>
      <c r="J831" s="115">
        <f t="shared" si="151"/>
        <v>95424.79</v>
      </c>
      <c r="K831" s="115">
        <f t="shared" si="149"/>
        <v>95424.79</v>
      </c>
      <c r="L831" s="115">
        <f t="shared" si="150"/>
        <v>95424.79</v>
      </c>
      <c r="M831" s="115"/>
      <c r="N831" s="115"/>
      <c r="O831" s="115"/>
      <c r="P831" s="115"/>
      <c r="Q831" s="116"/>
      <c r="R831" s="116"/>
      <c r="S831" s="116"/>
      <c r="T831" s="116">
        <v>95424.79</v>
      </c>
      <c r="U831" s="116"/>
      <c r="V831" s="116"/>
      <c r="W831" s="116"/>
      <c r="X831" s="116"/>
      <c r="Y831" s="116"/>
      <c r="Z831" s="116"/>
      <c r="AA831" s="116"/>
      <c r="AB831" s="116"/>
      <c r="AC831" s="115"/>
      <c r="AD831" s="173"/>
      <c r="AE831" s="162"/>
    </row>
    <row r="832" spans="1:53" ht="15.75" thickBot="1">
      <c r="A832" s="156"/>
      <c r="B832" s="154"/>
      <c r="C832" s="126" t="s">
        <v>1114</v>
      </c>
      <c r="E832" s="204"/>
      <c r="F832" s="204"/>
      <c r="G832" s="204"/>
      <c r="H832" s="204">
        <f>SUM(H813:H831)</f>
        <v>4489047.9400000004</v>
      </c>
      <c r="I832" s="204">
        <f>SUM(I813:I831)</f>
        <v>4289047.9399999995</v>
      </c>
      <c r="J832" s="204">
        <f>SUM(J814:J831)</f>
        <v>4289047.9399999995</v>
      </c>
      <c r="K832" s="204">
        <f>SUM(K814:K831)</f>
        <v>4249158.4899999993</v>
      </c>
      <c r="L832" s="204">
        <f>SUM(L814:L831)</f>
        <v>4249158.4899999993</v>
      </c>
      <c r="M832" s="204"/>
      <c r="N832" s="204"/>
      <c r="O832" s="204"/>
      <c r="P832" s="204"/>
      <c r="Q832" s="119"/>
      <c r="R832" s="119"/>
      <c r="S832" s="119"/>
      <c r="T832" s="119">
        <f>SUM(T813:T831)</f>
        <v>4489047.9400000004</v>
      </c>
      <c r="U832" s="119">
        <f>SUM(U813:U831)</f>
        <v>-200000</v>
      </c>
      <c r="V832" s="119"/>
      <c r="W832" s="119"/>
      <c r="X832" s="119"/>
      <c r="Y832" s="119"/>
      <c r="Z832" s="119"/>
      <c r="AA832" s="119"/>
      <c r="AB832" s="119"/>
      <c r="AC832" s="172"/>
      <c r="AD832" s="135" t="e">
        <f>+#REF!-[1]TB!J183</f>
        <v>#REF!</v>
      </c>
      <c r="AE832" s="162"/>
    </row>
    <row r="833" spans="1:34" ht="15" thickTop="1"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16"/>
      <c r="R833" s="116"/>
      <c r="S833" s="116"/>
      <c r="T833" s="116"/>
      <c r="U833" s="116"/>
      <c r="V833" s="116"/>
      <c r="W833" s="116"/>
      <c r="X833" s="116"/>
      <c r="Y833" s="116"/>
      <c r="Z833" s="116"/>
      <c r="AA833" s="116"/>
      <c r="AB833" s="116"/>
      <c r="AC833" s="115"/>
      <c r="AD833" s="129"/>
      <c r="AE833" s="162"/>
      <c r="AF833" s="120"/>
      <c r="AG833" s="120"/>
      <c r="AH833" s="120"/>
    </row>
    <row r="834" spans="1:34"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16"/>
      <c r="R834" s="116"/>
      <c r="S834" s="116"/>
      <c r="T834" s="116"/>
      <c r="U834" s="116"/>
      <c r="V834" s="116"/>
      <c r="W834" s="116"/>
      <c r="X834" s="116"/>
      <c r="Y834" s="116"/>
      <c r="Z834" s="116"/>
      <c r="AA834" s="116"/>
      <c r="AB834" s="116"/>
      <c r="AC834" s="115"/>
      <c r="AD834" s="129"/>
      <c r="AE834" s="162"/>
      <c r="AF834" s="120"/>
      <c r="AG834" s="120"/>
      <c r="AH834" s="120"/>
    </row>
    <row r="835" spans="1:34" ht="15">
      <c r="A835" s="126" t="s">
        <v>1863</v>
      </c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16"/>
      <c r="R835" s="116"/>
      <c r="S835" s="116"/>
      <c r="T835" s="116"/>
      <c r="U835" s="116"/>
      <c r="V835" s="116"/>
      <c r="W835" s="116"/>
      <c r="X835" s="116"/>
      <c r="Y835" s="116"/>
      <c r="Z835" s="116"/>
      <c r="AA835" s="116"/>
      <c r="AB835" s="116"/>
      <c r="AC835" s="115"/>
      <c r="AD835" s="129"/>
      <c r="AE835" s="162"/>
      <c r="AF835" s="120"/>
      <c r="AG835" s="120"/>
      <c r="AH835" s="120"/>
    </row>
    <row r="836" spans="1:34" ht="15">
      <c r="C836" s="108" t="s">
        <v>1864</v>
      </c>
      <c r="E836" s="120"/>
      <c r="F836" s="120"/>
      <c r="G836" s="120"/>
      <c r="H836" s="115">
        <f t="shared" ref="H836:H864" si="152">Q836+R836+S836+T836</f>
        <v>1394051.05</v>
      </c>
      <c r="I836" s="115">
        <f t="shared" ref="I836:I864" si="153">Q836+R836+S836+T836+U836</f>
        <v>1394051.05</v>
      </c>
      <c r="J836" s="115">
        <f>Q836+R836+S836+T836+U836+V836</f>
        <v>1394051.05</v>
      </c>
      <c r="K836" s="115">
        <f t="shared" ref="K836:K864" si="154">Q836+R836+S836+T836+U836+V836+W836</f>
        <v>1394051.05</v>
      </c>
      <c r="L836" s="115">
        <f t="shared" ref="L836:L864" si="155">Q836+R836+S836+T836+U836+V836+W836+X836</f>
        <v>1394051.05</v>
      </c>
      <c r="M836" s="120"/>
      <c r="N836" s="120"/>
      <c r="O836" s="120"/>
      <c r="P836" s="120"/>
      <c r="Q836" s="116"/>
      <c r="R836" s="116"/>
      <c r="S836" s="116"/>
      <c r="T836" s="116">
        <f>160623.44+2000+1384300-4300+16000-18113+290885.98-296945.98-1380000-1918842.98-5000-6550+1918842.98+5000+6550+13498+400-13498-3539.47+120+9332-60+400+660000-660000-3835.88-9332+7660000+8477.28-7660000+3835.88+8988.26-95037+22547.32+608415.71-6720+95037-41695.71+6020.76+2700-6020.76+23480+72-29102.08+3419.47+4550.08-1350-6500+33744.58+5000-31414.58+5520+1300+360000-1300-360000-5000+7776.89-7776.89+8200-8200+50943.88-50943.88+368150.87-363965.87+139987.85-136887.85+36952.8-36952.8+831577.99-201715.24+80400-80400+10383.02-10383.02</f>
        <v>1394051.05</v>
      </c>
      <c r="U836" s="116"/>
      <c r="V836" s="116">
        <f>68160-68160</f>
        <v>0</v>
      </c>
      <c r="W836" s="116"/>
      <c r="X836" s="116"/>
      <c r="Y836" s="116"/>
      <c r="Z836" s="116"/>
      <c r="AA836" s="116"/>
      <c r="AB836" s="116"/>
      <c r="AC836" s="115"/>
      <c r="AD836" s="129"/>
      <c r="AE836" s="169" t="s">
        <v>1865</v>
      </c>
      <c r="AF836" s="120"/>
      <c r="AG836" s="120"/>
      <c r="AH836" s="120"/>
    </row>
    <row r="837" spans="1:34" ht="15">
      <c r="C837" s="108" t="s">
        <v>1866</v>
      </c>
      <c r="E837" s="120"/>
      <c r="F837" s="120"/>
      <c r="G837" s="120"/>
      <c r="H837" s="115">
        <f t="shared" si="152"/>
        <v>435868</v>
      </c>
      <c r="I837" s="115">
        <f t="shared" si="153"/>
        <v>435868</v>
      </c>
      <c r="J837" s="115">
        <f t="shared" ref="J837:J864" si="156">Q837+R837+S837+T837+U837+V837</f>
        <v>435868</v>
      </c>
      <c r="K837" s="115">
        <f t="shared" si="154"/>
        <v>435868</v>
      </c>
      <c r="L837" s="115">
        <f t="shared" si="155"/>
        <v>435868</v>
      </c>
      <c r="M837" s="120"/>
      <c r="N837" s="120"/>
      <c r="O837" s="120"/>
      <c r="P837" s="120"/>
      <c r="Q837" s="116"/>
      <c r="R837" s="116"/>
      <c r="S837" s="116"/>
      <c r="T837" s="116">
        <f>495436-9000-7188-6048-3723-2400-31209</f>
        <v>435868</v>
      </c>
      <c r="U837" s="116"/>
      <c r="V837" s="116"/>
      <c r="W837" s="116"/>
      <c r="X837" s="116"/>
      <c r="Y837" s="116"/>
      <c r="Z837" s="116"/>
      <c r="AA837" s="116"/>
      <c r="AB837" s="116"/>
      <c r="AC837" s="115"/>
      <c r="AD837" s="129"/>
      <c r="AE837" s="169"/>
      <c r="AF837" s="120"/>
      <c r="AG837" s="120"/>
      <c r="AH837" s="120"/>
    </row>
    <row r="838" spans="1:34">
      <c r="C838" s="108" t="s">
        <v>1867</v>
      </c>
      <c r="E838" s="120"/>
      <c r="F838" s="120"/>
      <c r="G838" s="120"/>
      <c r="H838" s="115">
        <f t="shared" si="152"/>
        <v>2610.1600000000071</v>
      </c>
      <c r="I838" s="115">
        <f t="shared" si="153"/>
        <v>2610.1600000000071</v>
      </c>
      <c r="J838" s="115">
        <f t="shared" si="156"/>
        <v>2610.1600000000071</v>
      </c>
      <c r="K838" s="115">
        <f t="shared" si="154"/>
        <v>2610.1600000000071</v>
      </c>
      <c r="L838" s="115">
        <f t="shared" si="155"/>
        <v>2610.1600000000071</v>
      </c>
      <c r="M838" s="120"/>
      <c r="N838" s="120"/>
      <c r="O838" s="120"/>
      <c r="P838" s="120"/>
      <c r="Q838" s="116"/>
      <c r="R838" s="116"/>
      <c r="S838" s="116"/>
      <c r="T838" s="116">
        <f>600000-126612.46-41934.66-29000-254397.56-115000-30445.16</f>
        <v>2610.1600000000071</v>
      </c>
      <c r="U838" s="116"/>
      <c r="V838" s="116"/>
      <c r="W838" s="116"/>
      <c r="X838" s="116"/>
      <c r="Y838" s="116"/>
      <c r="Z838" s="116"/>
      <c r="AA838" s="116"/>
      <c r="AB838" s="116"/>
      <c r="AC838" s="115"/>
      <c r="AD838" s="129"/>
      <c r="AH838" s="120"/>
    </row>
    <row r="839" spans="1:34">
      <c r="C839" s="108" t="s">
        <v>1868</v>
      </c>
      <c r="E839" s="120"/>
      <c r="F839" s="120"/>
      <c r="G839" s="120"/>
      <c r="H839" s="115">
        <f t="shared" si="152"/>
        <v>175722.3</v>
      </c>
      <c r="I839" s="115">
        <f t="shared" si="153"/>
        <v>175722.3</v>
      </c>
      <c r="J839" s="115">
        <f t="shared" si="156"/>
        <v>175722.3</v>
      </c>
      <c r="K839" s="115">
        <f t="shared" si="154"/>
        <v>175722.3</v>
      </c>
      <c r="L839" s="115">
        <f t="shared" si="155"/>
        <v>175722.3</v>
      </c>
      <c r="M839" s="120"/>
      <c r="N839" s="120"/>
      <c r="O839" s="120"/>
      <c r="P839" s="120"/>
      <c r="Q839" s="116"/>
      <c r="R839" s="116"/>
      <c r="S839" s="116"/>
      <c r="T839" s="116">
        <f>240000-4812.5-59465.2</f>
        <v>175722.3</v>
      </c>
      <c r="U839" s="116"/>
      <c r="V839" s="116"/>
      <c r="W839" s="116"/>
      <c r="X839" s="116"/>
      <c r="Y839" s="116"/>
      <c r="Z839" s="116"/>
      <c r="AA839" s="116"/>
      <c r="AB839" s="116"/>
      <c r="AC839" s="115"/>
      <c r="AD839" s="129"/>
      <c r="AH839" s="120"/>
    </row>
    <row r="840" spans="1:34">
      <c r="C840" s="108" t="s">
        <v>1869</v>
      </c>
      <c r="E840" s="120"/>
      <c r="F840" s="120"/>
      <c r="G840" s="120"/>
      <c r="H840" s="115">
        <f t="shared" si="152"/>
        <v>285406.90000000002</v>
      </c>
      <c r="I840" s="115">
        <f t="shared" si="153"/>
        <v>285406.90000000002</v>
      </c>
      <c r="J840" s="115">
        <f t="shared" si="156"/>
        <v>285406.90000000002</v>
      </c>
      <c r="K840" s="115">
        <f t="shared" si="154"/>
        <v>285406.90000000002</v>
      </c>
      <c r="L840" s="115">
        <f t="shared" si="155"/>
        <v>285406.90000000002</v>
      </c>
      <c r="M840" s="120"/>
      <c r="N840" s="120"/>
      <c r="O840" s="120"/>
      <c r="P840" s="120"/>
      <c r="Q840" s="116"/>
      <c r="R840" s="116"/>
      <c r="S840" s="116"/>
      <c r="T840" s="116">
        <f>360000-74593.1</f>
        <v>285406.90000000002</v>
      </c>
      <c r="U840" s="116"/>
      <c r="V840" s="116"/>
      <c r="W840" s="116"/>
      <c r="X840" s="116"/>
      <c r="Y840" s="116"/>
      <c r="Z840" s="116"/>
      <c r="AA840" s="116"/>
      <c r="AB840" s="116"/>
      <c r="AC840" s="115"/>
      <c r="AD840" s="129"/>
      <c r="AH840" s="120"/>
    </row>
    <row r="841" spans="1:34">
      <c r="C841" s="108" t="s">
        <v>1870</v>
      </c>
      <c r="E841" s="120"/>
      <c r="F841" s="120"/>
      <c r="G841" s="120"/>
      <c r="H841" s="115">
        <f t="shared" si="152"/>
        <v>225.3800000000233</v>
      </c>
      <c r="I841" s="115">
        <f t="shared" si="153"/>
        <v>225.3800000000233</v>
      </c>
      <c r="J841" s="115">
        <f t="shared" si="156"/>
        <v>225.3800000000233</v>
      </c>
      <c r="K841" s="115">
        <f t="shared" si="154"/>
        <v>225.3800000000233</v>
      </c>
      <c r="L841" s="115">
        <f t="shared" si="155"/>
        <v>225.3800000000233</v>
      </c>
      <c r="M841" s="120"/>
      <c r="N841" s="120"/>
      <c r="O841" s="120"/>
      <c r="P841" s="120"/>
      <c r="Q841" s="116"/>
      <c r="R841" s="116"/>
      <c r="S841" s="116"/>
      <c r="T841" s="116">
        <f>360000-357274.6-2500.02</f>
        <v>225.3800000000233</v>
      </c>
      <c r="U841" s="116"/>
      <c r="V841" s="116"/>
      <c r="W841" s="116"/>
      <c r="X841" s="116"/>
      <c r="Y841" s="116"/>
      <c r="Z841" s="116"/>
      <c r="AA841" s="116"/>
      <c r="AB841" s="116"/>
      <c r="AC841" s="115"/>
      <c r="AD841" s="129"/>
      <c r="AH841" s="120"/>
    </row>
    <row r="842" spans="1:34" ht="15">
      <c r="C842" s="108" t="s">
        <v>1871</v>
      </c>
      <c r="E842" s="120"/>
      <c r="F842" s="120"/>
      <c r="G842" s="120"/>
      <c r="H842" s="115">
        <f t="shared" si="152"/>
        <v>1000</v>
      </c>
      <c r="I842" s="115">
        <f t="shared" si="153"/>
        <v>1000</v>
      </c>
      <c r="J842" s="115">
        <f t="shared" si="156"/>
        <v>1000</v>
      </c>
      <c r="K842" s="115">
        <f t="shared" si="154"/>
        <v>1000</v>
      </c>
      <c r="L842" s="115">
        <f t="shared" si="155"/>
        <v>1000</v>
      </c>
      <c r="M842" s="120"/>
      <c r="N842" s="120"/>
      <c r="O842" s="120"/>
      <c r="P842" s="120"/>
      <c r="Q842" s="116"/>
      <c r="R842" s="116"/>
      <c r="S842" s="116"/>
      <c r="T842" s="116">
        <f>1000+2096-2096</f>
        <v>1000</v>
      </c>
      <c r="U842" s="116"/>
      <c r="V842" s="116"/>
      <c r="W842" s="116"/>
      <c r="X842" s="116"/>
      <c r="Y842" s="116"/>
      <c r="Z842" s="116"/>
      <c r="AA842" s="116"/>
      <c r="AB842" s="116"/>
      <c r="AC842" s="115"/>
      <c r="AD842" s="172" t="s">
        <v>1872</v>
      </c>
      <c r="AE842" s="210" t="s">
        <v>329</v>
      </c>
      <c r="AF842" s="120"/>
      <c r="AG842" s="169"/>
      <c r="AH842" s="120"/>
    </row>
    <row r="843" spans="1:34" ht="15">
      <c r="C843" s="108" t="s">
        <v>1873</v>
      </c>
      <c r="E843" s="120"/>
      <c r="F843" s="120"/>
      <c r="G843" s="120"/>
      <c r="H843" s="115">
        <f t="shared" si="152"/>
        <v>485236</v>
      </c>
      <c r="I843" s="115">
        <f t="shared" si="153"/>
        <v>485236</v>
      </c>
      <c r="J843" s="115">
        <f t="shared" si="156"/>
        <v>485236</v>
      </c>
      <c r="K843" s="115">
        <f t="shared" si="154"/>
        <v>485236</v>
      </c>
      <c r="L843" s="115">
        <f t="shared" si="155"/>
        <v>485236</v>
      </c>
      <c r="M843" s="120"/>
      <c r="N843" s="120"/>
      <c r="O843" s="120"/>
      <c r="P843" s="120"/>
      <c r="Q843" s="116"/>
      <c r="R843" s="116"/>
      <c r="S843" s="116"/>
      <c r="T843" s="116">
        <v>485236</v>
      </c>
      <c r="U843" s="116"/>
      <c r="V843" s="116"/>
      <c r="W843" s="116"/>
      <c r="X843" s="116"/>
      <c r="Y843" s="116"/>
      <c r="Z843" s="116"/>
      <c r="AA843" s="116"/>
      <c r="AB843" s="116"/>
      <c r="AC843" s="115"/>
      <c r="AD843" s="172"/>
      <c r="AE843" s="210"/>
      <c r="AF843" s="120"/>
      <c r="AG843" s="120"/>
      <c r="AH843" s="120"/>
    </row>
    <row r="844" spans="1:34" ht="15">
      <c r="C844" s="108" t="s">
        <v>1874</v>
      </c>
      <c r="E844" s="120"/>
      <c r="F844" s="120"/>
      <c r="G844" s="120"/>
      <c r="H844" s="115">
        <f t="shared" si="152"/>
        <v>200142.56999999937</v>
      </c>
      <c r="I844" s="115">
        <f t="shared" si="153"/>
        <v>200142.56999999937</v>
      </c>
      <c r="J844" s="115">
        <f t="shared" si="156"/>
        <v>200142.56999999937</v>
      </c>
      <c r="K844" s="115">
        <f t="shared" si="154"/>
        <v>200142.56999999937</v>
      </c>
      <c r="L844" s="115">
        <f t="shared" si="155"/>
        <v>200142.56999999937</v>
      </c>
      <c r="M844" s="120"/>
      <c r="N844" s="120"/>
      <c r="O844" s="120"/>
      <c r="P844" s="120"/>
      <c r="Q844" s="116"/>
      <c r="R844" s="116"/>
      <c r="S844" s="116"/>
      <c r="T844" s="116">
        <f>1684441.94+6000000-5089008.38-2207790.99-15858.31+15858.31-187500</f>
        <v>200142.56999999937</v>
      </c>
      <c r="U844" s="116"/>
      <c r="V844" s="116"/>
      <c r="W844" s="116"/>
      <c r="X844" s="116"/>
      <c r="Y844" s="116"/>
      <c r="Z844" s="116"/>
      <c r="AA844" s="116"/>
      <c r="AB844" s="116"/>
      <c r="AC844" s="115"/>
      <c r="AD844" s="172"/>
      <c r="AE844" s="210"/>
      <c r="AF844" s="120"/>
      <c r="AG844" s="120"/>
      <c r="AH844" s="120"/>
    </row>
    <row r="845" spans="1:34" ht="15">
      <c r="C845" s="108" t="s">
        <v>1875</v>
      </c>
      <c r="E845" s="120"/>
      <c r="F845" s="120"/>
      <c r="G845" s="120"/>
      <c r="H845" s="115">
        <f t="shared" si="152"/>
        <v>2984340.7699999996</v>
      </c>
      <c r="I845" s="115">
        <f t="shared" si="153"/>
        <v>2984340.7699999996</v>
      </c>
      <c r="J845" s="115">
        <f t="shared" si="156"/>
        <v>2984340.7699999996</v>
      </c>
      <c r="K845" s="115">
        <f t="shared" si="154"/>
        <v>2984340.7699999996</v>
      </c>
      <c r="L845" s="115">
        <f t="shared" si="155"/>
        <v>2984340.7699999996</v>
      </c>
      <c r="M845" s="120"/>
      <c r="N845" s="120"/>
      <c r="O845" s="120"/>
      <c r="P845" s="120"/>
      <c r="Q845" s="116"/>
      <c r="R845" s="116"/>
      <c r="S845" s="116"/>
      <c r="T845" s="116">
        <f>10000+3000000-1500-39257.08+8580.03+6517.82</f>
        <v>2984340.7699999996</v>
      </c>
      <c r="U845" s="116"/>
      <c r="V845" s="116"/>
      <c r="W845" s="116"/>
      <c r="X845" s="116"/>
      <c r="Y845" s="116"/>
      <c r="Z845" s="116"/>
      <c r="AA845" s="116"/>
      <c r="AB845" s="116"/>
      <c r="AC845" s="115"/>
      <c r="AD845" s="172"/>
      <c r="AE845" s="210"/>
      <c r="AF845" s="120"/>
      <c r="AG845" s="120"/>
      <c r="AH845" s="120"/>
    </row>
    <row r="846" spans="1:34" ht="15">
      <c r="C846" s="108" t="s">
        <v>1876</v>
      </c>
      <c r="E846" s="120"/>
      <c r="F846" s="120"/>
      <c r="G846" s="120"/>
      <c r="H846" s="115">
        <f t="shared" si="152"/>
        <v>8500.39</v>
      </c>
      <c r="I846" s="115">
        <f t="shared" si="153"/>
        <v>8500.39</v>
      </c>
      <c r="J846" s="115">
        <f t="shared" si="156"/>
        <v>8500.39</v>
      </c>
      <c r="K846" s="115">
        <f t="shared" si="154"/>
        <v>8500.39</v>
      </c>
      <c r="L846" s="115">
        <f t="shared" si="155"/>
        <v>8500.39</v>
      </c>
      <c r="M846" s="120"/>
      <c r="N846" s="120"/>
      <c r="O846" s="120"/>
      <c r="P846" s="120"/>
      <c r="Q846" s="116"/>
      <c r="R846" s="116"/>
      <c r="S846" s="116"/>
      <c r="T846" s="116">
        <f>10000+3000000-3000000-1500+0.39</f>
        <v>8500.39</v>
      </c>
      <c r="U846" s="116"/>
      <c r="V846" s="116"/>
      <c r="W846" s="116"/>
      <c r="X846" s="116"/>
      <c r="Y846" s="116"/>
      <c r="Z846" s="116"/>
      <c r="AA846" s="116"/>
      <c r="AB846" s="116"/>
      <c r="AC846" s="115"/>
      <c r="AD846" s="172"/>
      <c r="AE846" s="210"/>
      <c r="AF846" s="120"/>
      <c r="AG846" s="120"/>
      <c r="AH846" s="120"/>
    </row>
    <row r="847" spans="1:34" ht="15">
      <c r="C847" s="108" t="s">
        <v>1877</v>
      </c>
      <c r="E847" s="120"/>
      <c r="F847" s="120"/>
      <c r="G847" s="120"/>
      <c r="H847" s="115">
        <f t="shared" si="152"/>
        <v>5280000</v>
      </c>
      <c r="I847" s="115">
        <f t="shared" si="153"/>
        <v>5280000</v>
      </c>
      <c r="J847" s="115">
        <f t="shared" si="156"/>
        <v>5270000</v>
      </c>
      <c r="K847" s="115">
        <f t="shared" si="154"/>
        <v>5270000</v>
      </c>
      <c r="L847" s="115">
        <f t="shared" si="155"/>
        <v>5270000</v>
      </c>
      <c r="M847" s="120"/>
      <c r="N847" s="120"/>
      <c r="O847" s="120"/>
      <c r="P847" s="120"/>
      <c r="Q847" s="116"/>
      <c r="R847" s="116"/>
      <c r="S847" s="116"/>
      <c r="T847" s="116">
        <v>5280000</v>
      </c>
      <c r="U847" s="116"/>
      <c r="V847" s="116">
        <v>-10000</v>
      </c>
      <c r="W847" s="116"/>
      <c r="X847" s="116"/>
      <c r="Y847" s="116"/>
      <c r="Z847" s="116"/>
      <c r="AA847" s="116"/>
      <c r="AB847" s="116"/>
      <c r="AC847" s="115"/>
      <c r="AD847" s="172" t="s">
        <v>1878</v>
      </c>
      <c r="AE847" s="169" t="s">
        <v>1879</v>
      </c>
      <c r="AF847" s="120"/>
      <c r="AG847" s="120"/>
      <c r="AH847" s="120"/>
    </row>
    <row r="848" spans="1:34" ht="15">
      <c r="C848" s="128" t="s">
        <v>1880</v>
      </c>
      <c r="E848" s="120"/>
      <c r="F848" s="120"/>
      <c r="G848" s="120"/>
      <c r="H848" s="115">
        <f t="shared" si="152"/>
        <v>1740.9700000000012</v>
      </c>
      <c r="I848" s="115">
        <f t="shared" si="153"/>
        <v>1740.9700000000012</v>
      </c>
      <c r="J848" s="115">
        <f t="shared" si="156"/>
        <v>1740.9700000000012</v>
      </c>
      <c r="K848" s="115">
        <f t="shared" si="154"/>
        <v>1740.9700000000012</v>
      </c>
      <c r="L848" s="115">
        <f t="shared" si="155"/>
        <v>1740.9700000000012</v>
      </c>
      <c r="M848" s="120"/>
      <c r="N848" s="120"/>
      <c r="O848" s="120"/>
      <c r="P848" s="120"/>
      <c r="Q848" s="116"/>
      <c r="R848" s="116"/>
      <c r="S848" s="116"/>
      <c r="T848" s="116">
        <f>60000-39301.45-1600-1540+100000-10000-7500-8623.41-56620-2000-7730.17-23120-224</f>
        <v>1740.9700000000012</v>
      </c>
      <c r="U848" s="116"/>
      <c r="V848" s="116"/>
      <c r="W848" s="116"/>
      <c r="X848" s="116"/>
      <c r="Y848" s="116"/>
      <c r="Z848" s="116"/>
      <c r="AA848" s="116"/>
      <c r="AB848" s="116"/>
      <c r="AC848" s="115"/>
      <c r="AD848" s="129"/>
      <c r="AE848" s="169"/>
      <c r="AF848" s="120"/>
      <c r="AG848" s="120"/>
      <c r="AH848" s="120"/>
    </row>
    <row r="849" spans="3:34" ht="15">
      <c r="C849" s="128" t="s">
        <v>1881</v>
      </c>
      <c r="E849" s="120"/>
      <c r="F849" s="120"/>
      <c r="G849" s="120"/>
      <c r="H849" s="115">
        <f t="shared" si="152"/>
        <v>34101.5</v>
      </c>
      <c r="I849" s="115">
        <f t="shared" si="153"/>
        <v>34101.5</v>
      </c>
      <c r="J849" s="115">
        <f t="shared" si="156"/>
        <v>34101.5</v>
      </c>
      <c r="K849" s="115">
        <f t="shared" si="154"/>
        <v>34101.5</v>
      </c>
      <c r="L849" s="115">
        <f t="shared" si="155"/>
        <v>34101.5</v>
      </c>
      <c r="M849" s="120"/>
      <c r="N849" s="120"/>
      <c r="O849" s="120"/>
      <c r="P849" s="120"/>
      <c r="Q849" s="116"/>
      <c r="R849" s="116"/>
      <c r="S849" s="116"/>
      <c r="T849" s="116">
        <f>100000+71973-2428-55129-17886-18426-5685.5-1636-35148-1533</f>
        <v>34101.5</v>
      </c>
      <c r="U849" s="116"/>
      <c r="V849" s="116"/>
      <c r="W849" s="116"/>
      <c r="X849" s="116"/>
      <c r="Y849" s="116"/>
      <c r="Z849" s="116"/>
      <c r="AA849" s="116"/>
      <c r="AB849" s="116"/>
      <c r="AC849" s="115"/>
      <c r="AD849" s="129"/>
      <c r="AE849" s="169" t="s">
        <v>1882</v>
      </c>
      <c r="AF849" s="120"/>
      <c r="AG849" s="120"/>
      <c r="AH849" s="120"/>
    </row>
    <row r="850" spans="3:34" ht="15">
      <c r="C850" s="128" t="s">
        <v>1883</v>
      </c>
      <c r="E850" s="120"/>
      <c r="F850" s="120"/>
      <c r="G850" s="120"/>
      <c r="H850" s="115">
        <f t="shared" si="152"/>
        <v>55147.120000000024</v>
      </c>
      <c r="I850" s="115">
        <f t="shared" si="153"/>
        <v>55147.120000000024</v>
      </c>
      <c r="J850" s="115">
        <f t="shared" si="156"/>
        <v>55147.120000000024</v>
      </c>
      <c r="K850" s="115">
        <f t="shared" si="154"/>
        <v>55147.120000000024</v>
      </c>
      <c r="L850" s="115">
        <f t="shared" si="155"/>
        <v>55147.120000000024</v>
      </c>
      <c r="M850" s="120"/>
      <c r="N850" s="120"/>
      <c r="O850" s="120"/>
      <c r="P850" s="120"/>
      <c r="Q850" s="116"/>
      <c r="R850" s="116"/>
      <c r="S850" s="116"/>
      <c r="T850" s="116">
        <f>504000-32354.94-373370.72-13860-19740-7140-2387.22</f>
        <v>55147.120000000024</v>
      </c>
      <c r="U850" s="116"/>
      <c r="V850" s="116"/>
      <c r="W850" s="116"/>
      <c r="X850" s="116"/>
      <c r="Y850" s="116"/>
      <c r="Z850" s="116"/>
      <c r="AA850" s="116"/>
      <c r="AB850" s="116"/>
      <c r="AC850" s="115"/>
      <c r="AD850" s="129"/>
      <c r="AE850" s="169"/>
      <c r="AF850" s="120"/>
      <c r="AG850" s="120"/>
      <c r="AH850" s="120"/>
    </row>
    <row r="851" spans="3:34" ht="15">
      <c r="C851" s="128" t="s">
        <v>1884</v>
      </c>
      <c r="E851" s="120"/>
      <c r="F851" s="120"/>
      <c r="G851" s="120"/>
      <c r="H851" s="115">
        <f t="shared" si="152"/>
        <v>48030</v>
      </c>
      <c r="I851" s="115">
        <f t="shared" si="153"/>
        <v>48030</v>
      </c>
      <c r="J851" s="115">
        <f t="shared" si="156"/>
        <v>48030</v>
      </c>
      <c r="K851" s="115">
        <f t="shared" si="154"/>
        <v>48030</v>
      </c>
      <c r="L851" s="115">
        <f t="shared" si="155"/>
        <v>48030</v>
      </c>
      <c r="M851" s="120"/>
      <c r="N851" s="120"/>
      <c r="O851" s="120"/>
      <c r="P851" s="120"/>
      <c r="Q851" s="116"/>
      <c r="R851" s="116"/>
      <c r="S851" s="116"/>
      <c r="T851" s="116">
        <f>50000-26560+120000-5410-90000</f>
        <v>48030</v>
      </c>
      <c r="U851" s="116"/>
      <c r="V851" s="116"/>
      <c r="W851" s="116"/>
      <c r="X851" s="116"/>
      <c r="Y851" s="116"/>
      <c r="Z851" s="116"/>
      <c r="AA851" s="116"/>
      <c r="AB851" s="116"/>
      <c r="AC851" s="115"/>
      <c r="AD851" s="129"/>
      <c r="AE851" s="169"/>
      <c r="AF851" s="120"/>
      <c r="AG851" s="120"/>
      <c r="AH851" s="120"/>
    </row>
    <row r="852" spans="3:34" ht="15">
      <c r="C852" s="128" t="s">
        <v>1885</v>
      </c>
      <c r="E852" s="120"/>
      <c r="F852" s="120"/>
      <c r="G852" s="120"/>
      <c r="H852" s="115">
        <f t="shared" si="152"/>
        <v>71283.44</v>
      </c>
      <c r="I852" s="115">
        <f t="shared" si="153"/>
        <v>71283.44</v>
      </c>
      <c r="J852" s="115">
        <f t="shared" si="156"/>
        <v>71283.44</v>
      </c>
      <c r="K852" s="115">
        <f t="shared" si="154"/>
        <v>71283.44</v>
      </c>
      <c r="L852" s="115">
        <f t="shared" si="155"/>
        <v>71283.44</v>
      </c>
      <c r="M852" s="120"/>
      <c r="N852" s="120"/>
      <c r="O852" s="120"/>
      <c r="P852" s="120"/>
      <c r="Q852" s="116"/>
      <c r="R852" s="116"/>
      <c r="S852" s="116"/>
      <c r="T852" s="116">
        <f>265555.14-10710-8195.7-4620-14490-40266-25000-14490-76500</f>
        <v>71283.44</v>
      </c>
      <c r="U852" s="116"/>
      <c r="V852" s="116"/>
      <c r="W852" s="116"/>
      <c r="X852" s="116"/>
      <c r="Y852" s="116"/>
      <c r="Z852" s="116"/>
      <c r="AA852" s="116"/>
      <c r="AB852" s="116"/>
      <c r="AC852" s="115"/>
      <c r="AD852" s="129">
        <v>495436</v>
      </c>
      <c r="AF852" s="169">
        <f>+[3]tb!O7</f>
        <v>497736</v>
      </c>
      <c r="AG852" s="120"/>
      <c r="AH852" s="120"/>
    </row>
    <row r="853" spans="3:34" ht="15">
      <c r="C853" s="128" t="s">
        <v>1886</v>
      </c>
      <c r="E853" s="120"/>
      <c r="F853" s="120"/>
      <c r="G853" s="120"/>
      <c r="H853" s="115">
        <f t="shared" si="152"/>
        <v>5896.1800000000221</v>
      </c>
      <c r="I853" s="115">
        <f t="shared" si="153"/>
        <v>5896.1800000000221</v>
      </c>
      <c r="J853" s="115">
        <f t="shared" si="156"/>
        <v>5896.1800000000221</v>
      </c>
      <c r="K853" s="115">
        <f t="shared" si="154"/>
        <v>5896.1800000000221</v>
      </c>
      <c r="L853" s="115">
        <f t="shared" si="155"/>
        <v>5896.1800000000221</v>
      </c>
      <c r="M853" s="120"/>
      <c r="N853" s="120"/>
      <c r="O853" s="120"/>
      <c r="P853" s="120"/>
      <c r="Q853" s="116"/>
      <c r="R853" s="116"/>
      <c r="S853" s="116"/>
      <c r="T853" s="116">
        <f>70000-10520-9054.96+8151.76-8151.76-34872.79-19928.43+150000-437.86-13900-5813.8-12280.25-7821.08-8845.09-5278.28-3140-9853.28-72358</f>
        <v>5896.1800000000221</v>
      </c>
      <c r="U853" s="116"/>
      <c r="V853" s="116"/>
      <c r="W853" s="116"/>
      <c r="X853" s="116"/>
      <c r="Y853" s="116"/>
      <c r="Z853" s="116"/>
      <c r="AA853" s="116"/>
      <c r="AB853" s="116"/>
      <c r="AC853" s="115"/>
      <c r="AD853" s="129"/>
      <c r="AE853" s="169">
        <f>7140</f>
        <v>7140</v>
      </c>
      <c r="AF853" s="169">
        <v>7350</v>
      </c>
      <c r="AG853" s="120"/>
      <c r="AH853" s="120"/>
    </row>
    <row r="854" spans="3:34" ht="15">
      <c r="C854" s="128" t="s">
        <v>1832</v>
      </c>
      <c r="E854" s="120"/>
      <c r="F854" s="120"/>
      <c r="G854" s="120"/>
      <c r="H854" s="115">
        <f t="shared" si="152"/>
        <v>33.80000000000291</v>
      </c>
      <c r="I854" s="115">
        <f t="shared" si="153"/>
        <v>33.80000000000291</v>
      </c>
      <c r="J854" s="115">
        <f t="shared" si="156"/>
        <v>33.80000000000291</v>
      </c>
      <c r="K854" s="115">
        <f t="shared" si="154"/>
        <v>33.80000000000291</v>
      </c>
      <c r="L854" s="115">
        <f t="shared" si="155"/>
        <v>33.80000000000291</v>
      </c>
      <c r="M854" s="120"/>
      <c r="N854" s="120"/>
      <c r="O854" s="120"/>
      <c r="P854" s="120"/>
      <c r="Q854" s="116"/>
      <c r="R854" s="116"/>
      <c r="S854" s="116"/>
      <c r="T854" s="116">
        <f>50000-49966.2</f>
        <v>33.80000000000291</v>
      </c>
      <c r="U854" s="116"/>
      <c r="V854" s="116"/>
      <c r="W854" s="116"/>
      <c r="X854" s="116"/>
      <c r="Y854" s="116"/>
      <c r="Z854" s="116"/>
      <c r="AA854" s="116"/>
      <c r="AB854" s="116"/>
      <c r="AC854" s="115"/>
      <c r="AD854" s="129"/>
      <c r="AE854" s="169"/>
      <c r="AF854" s="169"/>
      <c r="AG854" s="120"/>
      <c r="AH854" s="120"/>
    </row>
    <row r="855" spans="3:34" ht="15.75" thickBot="1">
      <c r="C855" s="128" t="s">
        <v>1887</v>
      </c>
      <c r="E855" s="120"/>
      <c r="F855" s="120"/>
      <c r="G855" s="120"/>
      <c r="H855" s="115">
        <f t="shared" si="152"/>
        <v>1800</v>
      </c>
      <c r="I855" s="115">
        <f t="shared" si="153"/>
        <v>1800</v>
      </c>
      <c r="J855" s="115">
        <f t="shared" si="156"/>
        <v>1800</v>
      </c>
      <c r="K855" s="115">
        <f t="shared" si="154"/>
        <v>1800</v>
      </c>
      <c r="L855" s="115">
        <f t="shared" si="155"/>
        <v>1800</v>
      </c>
      <c r="M855" s="120"/>
      <c r="N855" s="120"/>
      <c r="O855" s="120"/>
      <c r="P855" s="120"/>
      <c r="Q855" s="116"/>
      <c r="R855" s="116"/>
      <c r="S855" s="116"/>
      <c r="T855" s="116">
        <f>1800</f>
        <v>1800</v>
      </c>
      <c r="U855" s="116"/>
      <c r="V855" s="116"/>
      <c r="W855" s="116"/>
      <c r="X855" s="116"/>
      <c r="Y855" s="116"/>
      <c r="Z855" s="116"/>
      <c r="AA855" s="116"/>
      <c r="AB855" s="116"/>
      <c r="AC855" s="115"/>
      <c r="AD855" s="129"/>
      <c r="AE855" s="169"/>
      <c r="AF855" s="169"/>
      <c r="AG855" s="169"/>
      <c r="AH855" s="211">
        <f>SUM(AH853:AH854)</f>
        <v>0</v>
      </c>
    </row>
    <row r="856" spans="3:34" ht="15.75" thickTop="1">
      <c r="C856" s="128" t="s">
        <v>1888</v>
      </c>
      <c r="E856" s="120"/>
      <c r="F856" s="120"/>
      <c r="G856" s="120"/>
      <c r="H856" s="115">
        <f t="shared" si="152"/>
        <v>13020</v>
      </c>
      <c r="I856" s="115">
        <f t="shared" si="153"/>
        <v>13020</v>
      </c>
      <c r="J856" s="115">
        <f t="shared" si="156"/>
        <v>13020</v>
      </c>
      <c r="K856" s="115">
        <f t="shared" si="154"/>
        <v>13020</v>
      </c>
      <c r="L856" s="115">
        <f t="shared" si="155"/>
        <v>13020</v>
      </c>
      <c r="M856" s="120"/>
      <c r="N856" s="120"/>
      <c r="O856" s="120"/>
      <c r="P856" s="120"/>
      <c r="Q856" s="116"/>
      <c r="R856" s="116"/>
      <c r="S856" s="116"/>
      <c r="T856" s="116">
        <v>13020</v>
      </c>
      <c r="U856" s="116"/>
      <c r="V856" s="116"/>
      <c r="W856" s="116"/>
      <c r="X856" s="116"/>
      <c r="Y856" s="116"/>
      <c r="Z856" s="116"/>
      <c r="AA856" s="116"/>
      <c r="AB856" s="116"/>
      <c r="AC856" s="115"/>
      <c r="AD856" s="129"/>
      <c r="AE856" s="169">
        <v>480000</v>
      </c>
    </row>
    <row r="857" spans="3:34" ht="15">
      <c r="C857" s="128" t="s">
        <v>1889</v>
      </c>
      <c r="E857" s="120"/>
      <c r="F857" s="120"/>
      <c r="G857" s="120"/>
      <c r="H857" s="115">
        <f t="shared" si="152"/>
        <v>2770.7400000000052</v>
      </c>
      <c r="I857" s="115">
        <f t="shared" si="153"/>
        <v>2770.7400000000052</v>
      </c>
      <c r="J857" s="115">
        <f t="shared" si="156"/>
        <v>2770.7400000000052</v>
      </c>
      <c r="K857" s="115">
        <f t="shared" si="154"/>
        <v>2770.7400000000052</v>
      </c>
      <c r="L857" s="115">
        <f t="shared" si="155"/>
        <v>2770.7400000000052</v>
      </c>
      <c r="M857" s="120"/>
      <c r="N857" s="120"/>
      <c r="O857" s="120"/>
      <c r="P857" s="120"/>
      <c r="Q857" s="116"/>
      <c r="R857" s="116"/>
      <c r="S857" s="116"/>
      <c r="T857" s="116">
        <f>100000-20997.6+20997.6-91429.26-1600-4200</f>
        <v>2770.7400000000052</v>
      </c>
      <c r="U857" s="116"/>
      <c r="V857" s="116"/>
      <c r="W857" s="116"/>
      <c r="X857" s="116"/>
      <c r="Y857" s="116"/>
      <c r="Z857" s="116"/>
      <c r="AA857" s="116"/>
      <c r="AB857" s="116"/>
      <c r="AC857" s="115"/>
      <c r="AD857" s="129"/>
      <c r="AE857" s="168">
        <v>250000</v>
      </c>
      <c r="AF857" s="169"/>
      <c r="AG857" s="169"/>
      <c r="AH857" s="120"/>
    </row>
    <row r="858" spans="3:34" ht="15">
      <c r="C858" s="128" t="s">
        <v>1890</v>
      </c>
      <c r="E858" s="120"/>
      <c r="F858" s="120"/>
      <c r="G858" s="120"/>
      <c r="H858" s="115">
        <f t="shared" si="152"/>
        <v>100000</v>
      </c>
      <c r="I858" s="115">
        <f t="shared" si="153"/>
        <v>100000</v>
      </c>
      <c r="J858" s="115">
        <f t="shared" si="156"/>
        <v>100000</v>
      </c>
      <c r="K858" s="115">
        <f t="shared" si="154"/>
        <v>100000</v>
      </c>
      <c r="L858" s="115">
        <f t="shared" si="155"/>
        <v>100000</v>
      </c>
      <c r="M858" s="120"/>
      <c r="N858" s="120"/>
      <c r="O858" s="120"/>
      <c r="P858" s="120"/>
      <c r="Q858" s="116"/>
      <c r="R858" s="116"/>
      <c r="S858" s="116"/>
      <c r="T858" s="116">
        <v>100000</v>
      </c>
      <c r="U858" s="116"/>
      <c r="V858" s="116"/>
      <c r="W858" s="116"/>
      <c r="X858" s="116"/>
      <c r="Y858" s="116"/>
      <c r="Z858" s="116"/>
      <c r="AA858" s="116"/>
      <c r="AB858" s="116"/>
      <c r="AC858" s="115"/>
      <c r="AD858" s="129"/>
      <c r="AE858" s="169">
        <v>380000</v>
      </c>
      <c r="AF858" s="169"/>
      <c r="AG858" s="169"/>
      <c r="AH858" s="120"/>
    </row>
    <row r="859" spans="3:34" ht="15">
      <c r="C859" s="128" t="s">
        <v>1891</v>
      </c>
      <c r="E859" s="120"/>
      <c r="F859" s="120"/>
      <c r="G859" s="120"/>
      <c r="H859" s="115">
        <f t="shared" si="152"/>
        <v>31560</v>
      </c>
      <c r="I859" s="115">
        <f t="shared" si="153"/>
        <v>31560</v>
      </c>
      <c r="J859" s="115">
        <f t="shared" si="156"/>
        <v>31560</v>
      </c>
      <c r="K859" s="115">
        <f t="shared" si="154"/>
        <v>31560</v>
      </c>
      <c r="L859" s="115">
        <f t="shared" si="155"/>
        <v>31560</v>
      </c>
      <c r="M859" s="120"/>
      <c r="N859" s="120"/>
      <c r="O859" s="120"/>
      <c r="P859" s="120"/>
      <c r="Q859" s="116"/>
      <c r="R859" s="116"/>
      <c r="S859" s="116"/>
      <c r="T859" s="116">
        <f>50000-18440</f>
        <v>31560</v>
      </c>
      <c r="U859" s="116"/>
      <c r="V859" s="116"/>
      <c r="W859" s="116"/>
      <c r="X859" s="116"/>
      <c r="Y859" s="116"/>
      <c r="Z859" s="116"/>
      <c r="AA859" s="116"/>
      <c r="AB859" s="116"/>
      <c r="AC859" s="115"/>
      <c r="AD859" s="129"/>
      <c r="AE859" s="169">
        <v>270000</v>
      </c>
      <c r="AF859" s="169"/>
      <c r="AG859" s="169"/>
      <c r="AH859" s="120">
        <v>1200000</v>
      </c>
    </row>
    <row r="860" spans="3:34" ht="15">
      <c r="C860" s="128" t="s">
        <v>1892</v>
      </c>
      <c r="E860" s="120"/>
      <c r="F860" s="120"/>
      <c r="G860" s="120"/>
      <c r="H860" s="115">
        <f t="shared" si="152"/>
        <v>60000</v>
      </c>
      <c r="I860" s="115">
        <f t="shared" si="153"/>
        <v>60000</v>
      </c>
      <c r="J860" s="115">
        <f t="shared" si="156"/>
        <v>60000</v>
      </c>
      <c r="K860" s="115">
        <f t="shared" si="154"/>
        <v>60000</v>
      </c>
      <c r="L860" s="115">
        <f t="shared" si="155"/>
        <v>60000</v>
      </c>
      <c r="M860" s="120"/>
      <c r="N860" s="120"/>
      <c r="O860" s="120"/>
      <c r="P860" s="120"/>
      <c r="Q860" s="116"/>
      <c r="R860" s="116"/>
      <c r="S860" s="116"/>
      <c r="T860" s="116">
        <f>180000-105000-15000</f>
        <v>60000</v>
      </c>
      <c r="U860" s="116"/>
      <c r="V860" s="116"/>
      <c r="W860" s="116"/>
      <c r="X860" s="116"/>
      <c r="Y860" s="116"/>
      <c r="Z860" s="116"/>
      <c r="AA860" s="116"/>
      <c r="AB860" s="116"/>
      <c r="AC860" s="115"/>
      <c r="AD860" s="129"/>
      <c r="AE860" s="169"/>
      <c r="AF860" s="169"/>
      <c r="AG860" s="169"/>
      <c r="AH860" s="120"/>
    </row>
    <row r="861" spans="3:34" ht="15">
      <c r="C861" s="128" t="s">
        <v>1893</v>
      </c>
      <c r="E861" s="120"/>
      <c r="F861" s="120"/>
      <c r="G861" s="120"/>
      <c r="H861" s="115">
        <f t="shared" si="152"/>
        <v>3659.0799999999927</v>
      </c>
      <c r="I861" s="115">
        <f t="shared" si="153"/>
        <v>3659.0799999999927</v>
      </c>
      <c r="J861" s="115">
        <f t="shared" si="156"/>
        <v>3659.0799999999927</v>
      </c>
      <c r="K861" s="115">
        <f t="shared" si="154"/>
        <v>3659.0799999999927</v>
      </c>
      <c r="L861" s="115">
        <f t="shared" si="155"/>
        <v>3659.0799999999927</v>
      </c>
      <c r="M861" s="120"/>
      <c r="N861" s="120"/>
      <c r="O861" s="120"/>
      <c r="P861" s="120"/>
      <c r="Q861" s="116"/>
      <c r="R861" s="116"/>
      <c r="S861" s="116"/>
      <c r="T861" s="116">
        <f>150000-41300-12542.8-1650-15144.35-8344-7456.98-3280-8094.27-8185.18-17987-7730.17-7821.08-1800-5005.09</f>
        <v>3659.0799999999927</v>
      </c>
      <c r="U861" s="116"/>
      <c r="V861" s="116"/>
      <c r="W861" s="116"/>
      <c r="X861" s="116"/>
      <c r="Y861" s="116"/>
      <c r="Z861" s="116"/>
      <c r="AA861" s="116"/>
      <c r="AB861" s="116"/>
      <c r="AC861" s="115"/>
      <c r="AD861" s="129"/>
      <c r="AE861" s="169">
        <f>SUM(AE856:AE859)</f>
        <v>1380000</v>
      </c>
      <c r="AF861" s="169"/>
      <c r="AG861" s="169"/>
      <c r="AH861" s="120"/>
    </row>
    <row r="862" spans="3:34" ht="15">
      <c r="C862" s="128" t="s">
        <v>1894</v>
      </c>
      <c r="E862" s="120"/>
      <c r="F862" s="120"/>
      <c r="G862" s="120"/>
      <c r="H862" s="115">
        <f t="shared" si="152"/>
        <v>10580</v>
      </c>
      <c r="I862" s="115">
        <f t="shared" si="153"/>
        <v>10580</v>
      </c>
      <c r="J862" s="115">
        <f t="shared" si="156"/>
        <v>10580</v>
      </c>
      <c r="K862" s="115">
        <f t="shared" si="154"/>
        <v>10580</v>
      </c>
      <c r="L862" s="115">
        <f t="shared" si="155"/>
        <v>10580</v>
      </c>
      <c r="M862" s="120"/>
      <c r="N862" s="120"/>
      <c r="O862" s="120"/>
      <c r="P862" s="120"/>
      <c r="Q862" s="116"/>
      <c r="R862" s="116"/>
      <c r="S862" s="116"/>
      <c r="T862" s="116">
        <f>18580-8000</f>
        <v>10580</v>
      </c>
      <c r="U862" s="116"/>
      <c r="V862" s="116"/>
      <c r="W862" s="116"/>
      <c r="X862" s="116"/>
      <c r="Y862" s="116"/>
      <c r="Z862" s="116"/>
      <c r="AA862" s="116"/>
      <c r="AB862" s="116"/>
      <c r="AC862" s="115"/>
      <c r="AD862" s="129"/>
      <c r="AE862" s="169"/>
      <c r="AF862" s="169"/>
      <c r="AG862" s="169"/>
      <c r="AH862" s="120"/>
    </row>
    <row r="863" spans="3:34" ht="15">
      <c r="C863" s="128" t="s">
        <v>1895</v>
      </c>
      <c r="E863" s="120"/>
      <c r="F863" s="120"/>
      <c r="G863" s="120"/>
      <c r="H863" s="115">
        <f t="shared" si="152"/>
        <v>100000</v>
      </c>
      <c r="I863" s="115">
        <f t="shared" si="153"/>
        <v>100000</v>
      </c>
      <c r="J863" s="115">
        <f t="shared" si="156"/>
        <v>100000</v>
      </c>
      <c r="K863" s="115">
        <f t="shared" si="154"/>
        <v>100000</v>
      </c>
      <c r="L863" s="115">
        <f t="shared" si="155"/>
        <v>100000</v>
      </c>
      <c r="M863" s="120"/>
      <c r="N863" s="120"/>
      <c r="O863" s="120"/>
      <c r="P863" s="120"/>
      <c r="Q863" s="116"/>
      <c r="R863" s="116"/>
      <c r="S863" s="116"/>
      <c r="T863" s="116">
        <f>100000</f>
        <v>100000</v>
      </c>
      <c r="U863" s="116"/>
      <c r="V863" s="116"/>
      <c r="W863" s="116"/>
      <c r="X863" s="116"/>
      <c r="Y863" s="116"/>
      <c r="Z863" s="116"/>
      <c r="AA863" s="116"/>
      <c r="AB863" s="116"/>
      <c r="AC863" s="115"/>
      <c r="AD863" s="129"/>
      <c r="AE863" s="169"/>
      <c r="AF863" s="169"/>
      <c r="AG863" s="169"/>
      <c r="AH863" s="120"/>
    </row>
    <row r="864" spans="3:34" ht="15">
      <c r="C864" s="108" t="s">
        <v>1896</v>
      </c>
      <c r="E864" s="120"/>
      <c r="F864" s="120"/>
      <c r="G864" s="120"/>
      <c r="H864" s="115">
        <f t="shared" si="152"/>
        <v>4892.2899999999936</v>
      </c>
      <c r="I864" s="115">
        <f t="shared" si="153"/>
        <v>4892.2899999999936</v>
      </c>
      <c r="J864" s="115">
        <f t="shared" si="156"/>
        <v>4892.2899999999936</v>
      </c>
      <c r="K864" s="115">
        <f t="shared" si="154"/>
        <v>4892.2899999999936</v>
      </c>
      <c r="L864" s="115">
        <f t="shared" si="155"/>
        <v>4892.2899999999936</v>
      </c>
      <c r="M864" s="120"/>
      <c r="N864" s="120"/>
      <c r="O864" s="120"/>
      <c r="P864" s="120"/>
      <c r="Q864" s="116"/>
      <c r="R864" s="116"/>
      <c r="S864" s="116"/>
      <c r="T864" s="116">
        <f>2500000-431499-907615-920642-23217.63-26910-5200-36950-82340-3000-57734.08</f>
        <v>4892.2899999999936</v>
      </c>
      <c r="U864" s="116"/>
      <c r="V864" s="116"/>
      <c r="W864" s="116"/>
      <c r="X864" s="116"/>
      <c r="Y864" s="116"/>
      <c r="Z864" s="116"/>
      <c r="AA864" s="116"/>
      <c r="AB864" s="116"/>
      <c r="AC864" s="115"/>
      <c r="AD864" s="129"/>
      <c r="AE864" s="169"/>
      <c r="AF864" s="169"/>
      <c r="AG864" s="169"/>
      <c r="AH864" s="120"/>
    </row>
    <row r="865" spans="1:34" ht="15.75" thickBot="1">
      <c r="C865" s="141" t="s">
        <v>1114</v>
      </c>
      <c r="E865" s="212"/>
      <c r="F865" s="212"/>
      <c r="G865" s="212"/>
      <c r="H865" s="212">
        <f>SUM(H836:H864)</f>
        <v>11797618.639999999</v>
      </c>
      <c r="I865" s="212">
        <f>SUM(I836:I864)</f>
        <v>11797618.639999999</v>
      </c>
      <c r="J865" s="212">
        <f>SUM(J836:J864)</f>
        <v>11787618.639999999</v>
      </c>
      <c r="K865" s="212">
        <f>SUM(K836:K864)</f>
        <v>11787618.639999999</v>
      </c>
      <c r="L865" s="212">
        <f>SUM(L836:L864)</f>
        <v>11787618.639999999</v>
      </c>
      <c r="M865" s="212"/>
      <c r="N865" s="212"/>
      <c r="O865" s="212"/>
      <c r="P865" s="212"/>
      <c r="Q865" s="158"/>
      <c r="R865" s="158"/>
      <c r="S865" s="158"/>
      <c r="T865" s="158">
        <f>SUM(T836:T864)</f>
        <v>11797618.639999999</v>
      </c>
      <c r="U865" s="158"/>
      <c r="V865" s="158"/>
      <c r="W865" s="158"/>
      <c r="X865" s="158"/>
      <c r="Y865" s="158"/>
      <c r="Z865" s="158"/>
      <c r="AA865" s="158"/>
      <c r="AB865" s="158"/>
      <c r="AC865" s="178"/>
      <c r="AD865" s="129" t="e">
        <f>+#REF!-[1]TB!J184</f>
        <v>#REF!</v>
      </c>
      <c r="AE865" s="169"/>
      <c r="AF865" s="169"/>
      <c r="AG865" s="169"/>
      <c r="AH865" s="120"/>
    </row>
    <row r="866" spans="1:34" ht="15.75" thickTop="1"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16"/>
      <c r="R866" s="116"/>
      <c r="S866" s="116"/>
      <c r="T866" s="116"/>
      <c r="U866" s="116"/>
      <c r="V866" s="116"/>
      <c r="W866" s="116"/>
      <c r="X866" s="116"/>
      <c r="Y866" s="116"/>
      <c r="Z866" s="116"/>
      <c r="AA866" s="116"/>
      <c r="AB866" s="116"/>
      <c r="AC866" s="115"/>
      <c r="AD866" s="129"/>
      <c r="AE866" s="169"/>
      <c r="AF866" s="169"/>
      <c r="AG866" s="169"/>
      <c r="AH866" s="120"/>
    </row>
    <row r="867" spans="1:34" ht="15">
      <c r="A867" s="126" t="s">
        <v>1897</v>
      </c>
      <c r="B867" s="126"/>
      <c r="C867" s="126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16"/>
      <c r="R867" s="116"/>
      <c r="S867" s="116"/>
      <c r="T867" s="116"/>
      <c r="U867" s="116"/>
      <c r="V867" s="116"/>
      <c r="W867" s="116"/>
      <c r="X867" s="116"/>
      <c r="Y867" s="116"/>
      <c r="Z867" s="116"/>
      <c r="AA867" s="116"/>
      <c r="AB867" s="116"/>
      <c r="AC867" s="115"/>
      <c r="AD867" s="129"/>
      <c r="AE867" s="169"/>
      <c r="AF867" s="169"/>
      <c r="AG867" s="169"/>
      <c r="AH867" s="120"/>
    </row>
    <row r="868" spans="1:34" ht="15">
      <c r="C868" s="108" t="s">
        <v>1898</v>
      </c>
      <c r="E868" s="120"/>
      <c r="F868" s="120"/>
      <c r="G868" s="120"/>
      <c r="H868" s="115">
        <f t="shared" ref="H868:H884" si="157">Q868+R868+S868+T868</f>
        <v>160748.15</v>
      </c>
      <c r="I868" s="115">
        <f t="shared" ref="I868:I884" si="158">Q868+R868+S868+T868+U868</f>
        <v>160748.15</v>
      </c>
      <c r="J868" s="115">
        <f>Q868+R868+S868+T868+U868+V868</f>
        <v>160748.15</v>
      </c>
      <c r="K868" s="115">
        <f t="shared" ref="K868:K884" si="159">Q868+R868+S868+T868+U868+V868+W868</f>
        <v>160748.15</v>
      </c>
      <c r="L868" s="115">
        <f t="shared" ref="L868:L884" si="160">Q868+R868+S868+T868+U868+V868+W868+X868</f>
        <v>160748.15</v>
      </c>
      <c r="M868" s="120"/>
      <c r="N868" s="120"/>
      <c r="O868" s="120"/>
      <c r="P868" s="120"/>
      <c r="Q868" s="116"/>
      <c r="R868" s="116"/>
      <c r="S868" s="116"/>
      <c r="T868" s="116">
        <v>160748.15</v>
      </c>
      <c r="U868" s="116"/>
      <c r="V868" s="116"/>
      <c r="W868" s="116"/>
      <c r="X868" s="116"/>
      <c r="Y868" s="116"/>
      <c r="Z868" s="116"/>
      <c r="AA868" s="116"/>
      <c r="AB868" s="116"/>
      <c r="AC868" s="115"/>
      <c r="AD868" s="129"/>
      <c r="AE868" s="169"/>
      <c r="AF868" s="169"/>
      <c r="AG868" s="169"/>
      <c r="AH868" s="120"/>
    </row>
    <row r="869" spans="1:34" ht="15">
      <c r="C869" s="108" t="s">
        <v>1899</v>
      </c>
      <c r="E869" s="129"/>
      <c r="F869" s="129"/>
      <c r="G869" s="129"/>
      <c r="H869" s="115">
        <f t="shared" si="157"/>
        <v>3000</v>
      </c>
      <c r="I869" s="115">
        <f t="shared" si="158"/>
        <v>3000</v>
      </c>
      <c r="J869" s="115">
        <f t="shared" ref="J869:J884" si="161">Q869+R869+S869+T869+U869+V869</f>
        <v>3000</v>
      </c>
      <c r="K869" s="115">
        <f t="shared" si="159"/>
        <v>3000</v>
      </c>
      <c r="L869" s="115">
        <f t="shared" si="160"/>
        <v>3000</v>
      </c>
      <c r="M869" s="129"/>
      <c r="N869" s="129"/>
      <c r="O869" s="129"/>
      <c r="P869" s="129"/>
      <c r="Q869" s="147"/>
      <c r="R869" s="147"/>
      <c r="S869" s="147"/>
      <c r="T869" s="147">
        <v>3000</v>
      </c>
      <c r="U869" s="147"/>
      <c r="V869" s="147"/>
      <c r="W869" s="147"/>
      <c r="X869" s="147"/>
      <c r="Y869" s="147"/>
      <c r="Z869" s="147"/>
      <c r="AA869" s="147"/>
      <c r="AB869" s="147"/>
      <c r="AC869" s="129"/>
      <c r="AD869" s="172"/>
      <c r="AE869" s="169"/>
      <c r="AF869" s="169"/>
      <c r="AG869" s="169"/>
      <c r="AH869" s="120"/>
    </row>
    <row r="870" spans="1:34" ht="15">
      <c r="C870" s="108" t="s">
        <v>1900</v>
      </c>
      <c r="E870" s="129"/>
      <c r="F870" s="129"/>
      <c r="G870" s="129"/>
      <c r="H870" s="115">
        <f t="shared" si="157"/>
        <v>71832.649999999994</v>
      </c>
      <c r="I870" s="115">
        <f t="shared" si="158"/>
        <v>71832.649999999994</v>
      </c>
      <c r="J870" s="115">
        <f t="shared" si="161"/>
        <v>71832.649999999994</v>
      </c>
      <c r="K870" s="115">
        <f t="shared" si="159"/>
        <v>461837.22</v>
      </c>
      <c r="L870" s="115">
        <f t="shared" si="160"/>
        <v>461837.22</v>
      </c>
      <c r="M870" s="129"/>
      <c r="N870" s="129"/>
      <c r="O870" s="129"/>
      <c r="P870" s="129"/>
      <c r="Q870" s="147"/>
      <c r="R870" s="147"/>
      <c r="S870" s="147"/>
      <c r="T870" s="147">
        <f>35727.46+36105.19</f>
        <v>71832.649999999994</v>
      </c>
      <c r="U870" s="147"/>
      <c r="V870" s="147"/>
      <c r="W870" s="147">
        <v>390004.57</v>
      </c>
      <c r="X870" s="147"/>
      <c r="Y870" s="147"/>
      <c r="Z870" s="147"/>
      <c r="AA870" s="147"/>
      <c r="AB870" s="147"/>
      <c r="AC870" s="129"/>
      <c r="AD870" s="172" t="s">
        <v>1901</v>
      </c>
      <c r="AE870" s="169"/>
      <c r="AF870" s="169"/>
      <c r="AG870" s="169"/>
      <c r="AH870" s="120"/>
    </row>
    <row r="871" spans="1:34" ht="15">
      <c r="C871" s="108" t="s">
        <v>1902</v>
      </c>
      <c r="E871" s="129"/>
      <c r="F871" s="129"/>
      <c r="G871" s="129"/>
      <c r="H871" s="115">
        <f t="shared" si="157"/>
        <v>175179.31</v>
      </c>
      <c r="I871" s="115">
        <f t="shared" si="158"/>
        <v>175179.31</v>
      </c>
      <c r="J871" s="115">
        <f t="shared" si="161"/>
        <v>175179.31</v>
      </c>
      <c r="K871" s="115">
        <f t="shared" si="159"/>
        <v>175179.31</v>
      </c>
      <c r="L871" s="115">
        <f t="shared" si="160"/>
        <v>175179.31</v>
      </c>
      <c r="M871" s="129"/>
      <c r="N871" s="129"/>
      <c r="O871" s="129"/>
      <c r="P871" s="129"/>
      <c r="Q871" s="147"/>
      <c r="R871" s="147"/>
      <c r="S871" s="147"/>
      <c r="T871" s="147">
        <v>175179.31</v>
      </c>
      <c r="U871" s="147"/>
      <c r="V871" s="147"/>
      <c r="W871" s="147"/>
      <c r="X871" s="147"/>
      <c r="Y871" s="147"/>
      <c r="Z871" s="147"/>
      <c r="AA871" s="147"/>
      <c r="AB871" s="147"/>
      <c r="AC871" s="129"/>
      <c r="AD871" s="172" t="s">
        <v>1903</v>
      </c>
      <c r="AE871" s="169"/>
      <c r="AF871" s="169"/>
      <c r="AG871" s="169"/>
      <c r="AH871" s="120"/>
    </row>
    <row r="872" spans="1:34" ht="15">
      <c r="C872" s="108" t="s">
        <v>1904</v>
      </c>
      <c r="E872" s="129"/>
      <c r="F872" s="129"/>
      <c r="G872" s="129"/>
      <c r="H872" s="115">
        <f t="shared" si="157"/>
        <v>1158646.3600000001</v>
      </c>
      <c r="I872" s="115">
        <f t="shared" si="158"/>
        <v>1158646.3600000001</v>
      </c>
      <c r="J872" s="115">
        <f t="shared" si="161"/>
        <v>1158646.3600000001</v>
      </c>
      <c r="K872" s="115">
        <f t="shared" si="159"/>
        <v>1158646.3600000001</v>
      </c>
      <c r="L872" s="115">
        <f t="shared" si="160"/>
        <v>1158646.3600000001</v>
      </c>
      <c r="M872" s="129"/>
      <c r="N872" s="129"/>
      <c r="O872" s="129"/>
      <c r="P872" s="129"/>
      <c r="Q872" s="147"/>
      <c r="R872" s="147"/>
      <c r="S872" s="147"/>
      <c r="T872" s="147">
        <v>1158646.3600000001</v>
      </c>
      <c r="U872" s="147"/>
      <c r="V872" s="147"/>
      <c r="W872" s="147"/>
      <c r="X872" s="147"/>
      <c r="Y872" s="147"/>
      <c r="Z872" s="147"/>
      <c r="AA872" s="147"/>
      <c r="AB872" s="147"/>
      <c r="AC872" s="129"/>
      <c r="AD872" s="172" t="s">
        <v>1901</v>
      </c>
      <c r="AE872" s="169"/>
      <c r="AF872" s="169"/>
      <c r="AG872" s="169"/>
      <c r="AH872" s="120"/>
    </row>
    <row r="873" spans="1:34" ht="15" hidden="1">
      <c r="C873" s="108" t="s">
        <v>1905</v>
      </c>
      <c r="E873" s="129"/>
      <c r="F873" s="129"/>
      <c r="G873" s="129"/>
      <c r="H873" s="115">
        <f t="shared" si="157"/>
        <v>372978.37</v>
      </c>
      <c r="I873" s="115">
        <f t="shared" si="158"/>
        <v>372978.37</v>
      </c>
      <c r="J873" s="115">
        <f t="shared" si="161"/>
        <v>0</v>
      </c>
      <c r="K873" s="115">
        <f t="shared" si="159"/>
        <v>0</v>
      </c>
      <c r="L873" s="115">
        <f t="shared" si="160"/>
        <v>0</v>
      </c>
      <c r="M873" s="129"/>
      <c r="N873" s="129"/>
      <c r="O873" s="129"/>
      <c r="P873" s="129"/>
      <c r="Q873" s="147"/>
      <c r="R873" s="147"/>
      <c r="S873" s="147"/>
      <c r="T873" s="147">
        <v>372978.37</v>
      </c>
      <c r="U873" s="147"/>
      <c r="V873" s="147">
        <v>-372978.37</v>
      </c>
      <c r="W873" s="147"/>
      <c r="X873" s="147"/>
      <c r="Y873" s="147"/>
      <c r="Z873" s="147"/>
      <c r="AA873" s="147"/>
      <c r="AB873" s="147"/>
      <c r="AC873" s="129"/>
      <c r="AD873" s="172" t="s">
        <v>1901</v>
      </c>
      <c r="AE873" s="169" t="s">
        <v>1906</v>
      </c>
      <c r="AF873" s="169"/>
      <c r="AG873" s="169"/>
      <c r="AH873" s="120"/>
    </row>
    <row r="874" spans="1:34" ht="15">
      <c r="C874" s="108" t="s">
        <v>1907</v>
      </c>
      <c r="D874" s="120"/>
      <c r="E874" s="120"/>
      <c r="F874" s="120"/>
      <c r="G874" s="120"/>
      <c r="H874" s="115">
        <f t="shared" si="157"/>
        <v>798441.75</v>
      </c>
      <c r="I874" s="115">
        <f t="shared" si="158"/>
        <v>798441.75</v>
      </c>
      <c r="J874" s="115">
        <f t="shared" si="161"/>
        <v>798441.75</v>
      </c>
      <c r="K874" s="115">
        <f t="shared" si="159"/>
        <v>798441.75</v>
      </c>
      <c r="L874" s="115">
        <f t="shared" si="160"/>
        <v>798441.75</v>
      </c>
      <c r="M874" s="120"/>
      <c r="N874" s="120"/>
      <c r="O874" s="120"/>
      <c r="P874" s="120"/>
      <c r="Q874" s="116"/>
      <c r="R874" s="116"/>
      <c r="S874" s="116"/>
      <c r="T874" s="116">
        <v>798441.75</v>
      </c>
      <c r="U874" s="116"/>
      <c r="V874" s="116"/>
      <c r="W874" s="116"/>
      <c r="X874" s="116"/>
      <c r="Y874" s="116"/>
      <c r="Z874" s="116"/>
      <c r="AA874" s="116"/>
      <c r="AB874" s="116"/>
      <c r="AC874" s="115"/>
      <c r="AD874" s="172" t="s">
        <v>1901</v>
      </c>
      <c r="AE874" s="169"/>
      <c r="AF874" s="169"/>
      <c r="AG874" s="169"/>
      <c r="AH874" s="120"/>
    </row>
    <row r="875" spans="1:34" ht="15">
      <c r="C875" s="108" t="s">
        <v>1908</v>
      </c>
      <c r="D875" s="120"/>
      <c r="E875" s="120"/>
      <c r="F875" s="120"/>
      <c r="G875" s="120"/>
      <c r="H875" s="115">
        <f t="shared" si="157"/>
        <v>132465.54999999999</v>
      </c>
      <c r="I875" s="115">
        <f t="shared" si="158"/>
        <v>132465.54999999999</v>
      </c>
      <c r="J875" s="115">
        <f t="shared" si="161"/>
        <v>132465.54999999999</v>
      </c>
      <c r="K875" s="115">
        <f t="shared" si="159"/>
        <v>132465.54999999999</v>
      </c>
      <c r="L875" s="115">
        <f t="shared" si="160"/>
        <v>132465.54999999999</v>
      </c>
      <c r="M875" s="120"/>
      <c r="N875" s="120"/>
      <c r="O875" s="120"/>
      <c r="P875" s="120"/>
      <c r="Q875" s="116"/>
      <c r="R875" s="116"/>
      <c r="S875" s="116"/>
      <c r="T875" s="116">
        <v>132465.54999999999</v>
      </c>
      <c r="U875" s="116"/>
      <c r="V875" s="116"/>
      <c r="W875" s="116"/>
      <c r="X875" s="116"/>
      <c r="Y875" s="116"/>
      <c r="Z875" s="116"/>
      <c r="AA875" s="116"/>
      <c r="AB875" s="116"/>
      <c r="AC875" s="115"/>
      <c r="AD875" s="172" t="s">
        <v>1901</v>
      </c>
      <c r="AE875" s="169"/>
      <c r="AF875" s="169"/>
      <c r="AG875" s="169"/>
      <c r="AH875" s="120"/>
    </row>
    <row r="876" spans="1:34" ht="15">
      <c r="C876" s="108" t="s">
        <v>1909</v>
      </c>
      <c r="D876" s="120"/>
      <c r="E876" s="120"/>
      <c r="F876" s="120"/>
      <c r="G876" s="120"/>
      <c r="H876" s="115">
        <f t="shared" si="157"/>
        <v>-2</v>
      </c>
      <c r="I876" s="115">
        <f t="shared" si="158"/>
        <v>237280.01</v>
      </c>
      <c r="J876" s="115">
        <f t="shared" si="161"/>
        <v>237280.01</v>
      </c>
      <c r="K876" s="115">
        <f t="shared" si="159"/>
        <v>237280.01</v>
      </c>
      <c r="L876" s="115">
        <f t="shared" si="160"/>
        <v>237280.01</v>
      </c>
      <c r="M876" s="120"/>
      <c r="N876" s="120"/>
      <c r="O876" s="120"/>
      <c r="P876" s="120"/>
      <c r="Q876" s="116"/>
      <c r="R876" s="116"/>
      <c r="S876" s="116"/>
      <c r="T876" s="116">
        <f>173646.54+41542.95-215191.49</f>
        <v>-2</v>
      </c>
      <c r="U876" s="116">
        <v>237282.01</v>
      </c>
      <c r="V876" s="116"/>
      <c r="W876" s="116"/>
      <c r="X876" s="116"/>
      <c r="Y876" s="116"/>
      <c r="Z876" s="116"/>
      <c r="AA876" s="116"/>
      <c r="AB876" s="116"/>
      <c r="AC876" s="115"/>
      <c r="AE876" s="169"/>
      <c r="AF876" s="169"/>
      <c r="AG876" s="169"/>
      <c r="AH876" s="120"/>
    </row>
    <row r="877" spans="1:34" ht="15">
      <c r="C877" s="108" t="s">
        <v>1910</v>
      </c>
      <c r="D877" s="120"/>
      <c r="E877" s="120"/>
      <c r="F877" s="120"/>
      <c r="G877" s="120"/>
      <c r="H877" s="115">
        <f t="shared" si="157"/>
        <v>1430533.68</v>
      </c>
      <c r="I877" s="115">
        <f t="shared" si="158"/>
        <v>1430533.68</v>
      </c>
      <c r="J877" s="115">
        <f t="shared" si="161"/>
        <v>1430533.68</v>
      </c>
      <c r="K877" s="115">
        <f t="shared" si="159"/>
        <v>1430533.68</v>
      </c>
      <c r="L877" s="115">
        <f t="shared" si="160"/>
        <v>1430533.68</v>
      </c>
      <c r="M877" s="120"/>
      <c r="N877" s="120"/>
      <c r="O877" s="120"/>
      <c r="P877" s="120"/>
      <c r="Q877" s="116"/>
      <c r="R877" s="116"/>
      <c r="S877" s="116"/>
      <c r="T877" s="116">
        <v>1430533.68</v>
      </c>
      <c r="U877" s="116"/>
      <c r="V877" s="116"/>
      <c r="W877" s="116"/>
      <c r="X877" s="116"/>
      <c r="Y877" s="116"/>
      <c r="Z877" s="116"/>
      <c r="AA877" s="116"/>
      <c r="AB877" s="116"/>
      <c r="AC877" s="115"/>
      <c r="AD877" s="172" t="s">
        <v>1901</v>
      </c>
      <c r="AE877" s="169"/>
      <c r="AF877" s="169"/>
      <c r="AG877" s="169"/>
      <c r="AH877" s="120"/>
    </row>
    <row r="878" spans="1:34" ht="15" hidden="1">
      <c r="C878" s="108" t="s">
        <v>1911</v>
      </c>
      <c r="D878" s="120"/>
      <c r="E878" s="120"/>
      <c r="F878" s="120"/>
      <c r="G878" s="120"/>
      <c r="H878" s="115">
        <f t="shared" si="157"/>
        <v>565695.80000000005</v>
      </c>
      <c r="I878" s="115">
        <f t="shared" si="158"/>
        <v>565695.80000000005</v>
      </c>
      <c r="J878" s="115">
        <f t="shared" si="161"/>
        <v>0</v>
      </c>
      <c r="K878" s="115">
        <f t="shared" si="159"/>
        <v>0</v>
      </c>
      <c r="L878" s="115">
        <f t="shared" si="160"/>
        <v>0</v>
      </c>
      <c r="M878" s="120"/>
      <c r="N878" s="120"/>
      <c r="O878" s="120"/>
      <c r="P878" s="120"/>
      <c r="Q878" s="116"/>
      <c r="R878" s="116"/>
      <c r="S878" s="116"/>
      <c r="T878" s="116">
        <v>565695.80000000005</v>
      </c>
      <c r="U878" s="116"/>
      <c r="V878" s="116">
        <v>-565695.80000000005</v>
      </c>
      <c r="W878" s="116"/>
      <c r="X878" s="116"/>
      <c r="Y878" s="116"/>
      <c r="Z878" s="116"/>
      <c r="AA878" s="116"/>
      <c r="AB878" s="116"/>
      <c r="AC878" s="115"/>
      <c r="AD878" s="172" t="s">
        <v>1901</v>
      </c>
      <c r="AE878" s="169" t="s">
        <v>1912</v>
      </c>
      <c r="AF878" s="169"/>
      <c r="AG878" s="169"/>
      <c r="AH878" s="120"/>
    </row>
    <row r="879" spans="1:34" ht="15" hidden="1">
      <c r="C879" s="108" t="s">
        <v>1913</v>
      </c>
      <c r="D879" s="120"/>
      <c r="E879" s="120"/>
      <c r="F879" s="120"/>
      <c r="G879" s="120"/>
      <c r="H879" s="115">
        <f t="shared" si="157"/>
        <v>376417.56</v>
      </c>
      <c r="I879" s="115">
        <f t="shared" si="158"/>
        <v>376417.56</v>
      </c>
      <c r="J879" s="115">
        <f t="shared" si="161"/>
        <v>376417.56</v>
      </c>
      <c r="K879" s="115">
        <f t="shared" si="159"/>
        <v>0</v>
      </c>
      <c r="L879" s="115">
        <f t="shared" si="160"/>
        <v>0</v>
      </c>
      <c r="M879" s="120"/>
      <c r="N879" s="120"/>
      <c r="O879" s="120"/>
      <c r="P879" s="120"/>
      <c r="Q879" s="116"/>
      <c r="R879" s="116"/>
      <c r="S879" s="116"/>
      <c r="T879" s="116">
        <v>376417.56</v>
      </c>
      <c r="U879" s="116"/>
      <c r="V879" s="116"/>
      <c r="W879" s="116">
        <v>-376417.56</v>
      </c>
      <c r="X879" s="116"/>
      <c r="Y879" s="116"/>
      <c r="Z879" s="116"/>
      <c r="AA879" s="116"/>
      <c r="AB879" s="116"/>
      <c r="AC879" s="115"/>
      <c r="AD879" s="172" t="s">
        <v>1901</v>
      </c>
      <c r="AE879" s="169" t="s">
        <v>1912</v>
      </c>
      <c r="AF879" s="169"/>
      <c r="AG879" s="169"/>
      <c r="AH879" s="120"/>
    </row>
    <row r="880" spans="1:34" ht="15">
      <c r="C880" s="108" t="s">
        <v>1914</v>
      </c>
      <c r="D880" s="120"/>
      <c r="E880" s="120"/>
      <c r="F880" s="120"/>
      <c r="G880" s="120"/>
      <c r="H880" s="115">
        <f t="shared" si="157"/>
        <v>34740.550000000003</v>
      </c>
      <c r="I880" s="115">
        <f t="shared" si="158"/>
        <v>34740.550000000003</v>
      </c>
      <c r="J880" s="115">
        <f t="shared" si="161"/>
        <v>34740.550000000003</v>
      </c>
      <c r="K880" s="115">
        <f t="shared" si="159"/>
        <v>34740.550000000003</v>
      </c>
      <c r="L880" s="115">
        <f t="shared" si="160"/>
        <v>34740.550000000003</v>
      </c>
      <c r="M880" s="120"/>
      <c r="N880" s="120"/>
      <c r="O880" s="120"/>
      <c r="P880" s="120"/>
      <c r="Q880" s="116"/>
      <c r="R880" s="116"/>
      <c r="S880" s="116"/>
      <c r="T880" s="116">
        <v>34740.550000000003</v>
      </c>
      <c r="U880" s="116"/>
      <c r="V880" s="116"/>
      <c r="W880" s="116"/>
      <c r="X880" s="116"/>
      <c r="Y880" s="116"/>
      <c r="Z880" s="116"/>
      <c r="AA880" s="116"/>
      <c r="AB880" s="116"/>
      <c r="AC880" s="115"/>
      <c r="AD880" s="172" t="s">
        <v>1901</v>
      </c>
      <c r="AE880" s="169"/>
      <c r="AF880" s="169"/>
      <c r="AG880" s="169"/>
      <c r="AH880" s="120"/>
    </row>
    <row r="881" spans="1:34" ht="15">
      <c r="C881" s="108" t="s">
        <v>1915</v>
      </c>
      <c r="D881" s="120"/>
      <c r="E881" s="120"/>
      <c r="F881" s="120"/>
      <c r="G881" s="120"/>
      <c r="H881" s="115">
        <f t="shared" si="157"/>
        <v>82925.070000000007</v>
      </c>
      <c r="I881" s="115">
        <f t="shared" si="158"/>
        <v>82925.070000000007</v>
      </c>
      <c r="J881" s="115">
        <f t="shared" si="161"/>
        <v>82925.070000000007</v>
      </c>
      <c r="K881" s="115">
        <f t="shared" si="159"/>
        <v>82925.070000000007</v>
      </c>
      <c r="L881" s="115">
        <f t="shared" si="160"/>
        <v>82925.070000000007</v>
      </c>
      <c r="M881" s="120"/>
      <c r="N881" s="120"/>
      <c r="O881" s="120"/>
      <c r="P881" s="120"/>
      <c r="Q881" s="116"/>
      <c r="R881" s="116"/>
      <c r="S881" s="116"/>
      <c r="T881" s="116">
        <v>82925.070000000007</v>
      </c>
      <c r="U881" s="116"/>
      <c r="V881" s="116"/>
      <c r="W881" s="116"/>
      <c r="X881" s="116"/>
      <c r="Y881" s="116"/>
      <c r="Z881" s="116"/>
      <c r="AA881" s="116"/>
      <c r="AB881" s="116"/>
      <c r="AC881" s="115"/>
      <c r="AD881" s="172" t="s">
        <v>1901</v>
      </c>
      <c r="AE881" s="169"/>
      <c r="AF881" s="169"/>
      <c r="AG881" s="169"/>
      <c r="AH881" s="120"/>
    </row>
    <row r="882" spans="1:34" ht="15" hidden="1">
      <c r="C882" s="108" t="s">
        <v>1916</v>
      </c>
      <c r="D882" s="120"/>
      <c r="E882" s="120"/>
      <c r="F882" s="120"/>
      <c r="G882" s="120"/>
      <c r="H882" s="115">
        <f t="shared" si="157"/>
        <v>0</v>
      </c>
      <c r="I882" s="115">
        <f t="shared" si="158"/>
        <v>0</v>
      </c>
      <c r="J882" s="115">
        <f t="shared" si="161"/>
        <v>0</v>
      </c>
      <c r="K882" s="115">
        <f t="shared" si="159"/>
        <v>0</v>
      </c>
      <c r="L882" s="115">
        <f t="shared" si="160"/>
        <v>0</v>
      </c>
      <c r="M882" s="120"/>
      <c r="N882" s="120"/>
      <c r="O882" s="120"/>
      <c r="P882" s="120"/>
      <c r="Q882" s="116"/>
      <c r="R882" s="116"/>
      <c r="S882" s="116"/>
      <c r="T882" s="116">
        <f>91227.35-91227.35</f>
        <v>0</v>
      </c>
      <c r="U882" s="116"/>
      <c r="V882" s="116"/>
      <c r="W882" s="116"/>
      <c r="X882" s="116"/>
      <c r="Y882" s="116"/>
      <c r="Z882" s="116"/>
      <c r="AA882" s="116"/>
      <c r="AB882" s="116"/>
      <c r="AC882" s="115"/>
      <c r="AD882" s="172" t="s">
        <v>1917</v>
      </c>
      <c r="AE882" s="169" t="s">
        <v>1918</v>
      </c>
      <c r="AF882" s="169"/>
      <c r="AG882" s="169"/>
      <c r="AH882" s="120"/>
    </row>
    <row r="883" spans="1:34" ht="15">
      <c r="C883" s="108" t="s">
        <v>1919</v>
      </c>
      <c r="D883" s="120"/>
      <c r="E883" s="120"/>
      <c r="F883" s="120"/>
      <c r="G883" s="120"/>
      <c r="H883" s="115">
        <f t="shared" si="157"/>
        <v>8.999999999650754E-2</v>
      </c>
      <c r="I883" s="115">
        <f t="shared" si="158"/>
        <v>8.999999999650754E-2</v>
      </c>
      <c r="J883" s="115">
        <f t="shared" si="161"/>
        <v>8.999999999650754E-2</v>
      </c>
      <c r="K883" s="115">
        <f t="shared" si="159"/>
        <v>8.999999999650754E-2</v>
      </c>
      <c r="L883" s="115">
        <f t="shared" si="160"/>
        <v>8.999999999650754E-2</v>
      </c>
      <c r="M883" s="120"/>
      <c r="N883" s="120"/>
      <c r="O883" s="120"/>
      <c r="P883" s="120"/>
      <c r="Q883" s="116"/>
      <c r="R883" s="116"/>
      <c r="S883" s="116"/>
      <c r="T883" s="116">
        <f>153799.59-153799.5</f>
        <v>8.999999999650754E-2</v>
      </c>
      <c r="U883" s="116"/>
      <c r="V883" s="116"/>
      <c r="W883" s="116"/>
      <c r="X883" s="116"/>
      <c r="Y883" s="116"/>
      <c r="Z883" s="116"/>
      <c r="AA883" s="116"/>
      <c r="AB883" s="116"/>
      <c r="AC883" s="115"/>
      <c r="AD883" s="172" t="s">
        <v>1901</v>
      </c>
      <c r="AE883" s="169"/>
      <c r="AF883" s="169"/>
      <c r="AG883" s="169"/>
      <c r="AH883" s="120"/>
    </row>
    <row r="884" spans="1:34" ht="15">
      <c r="C884" s="108" t="s">
        <v>1920</v>
      </c>
      <c r="D884" s="120"/>
      <c r="E884" s="120"/>
      <c r="F884" s="120"/>
      <c r="G884" s="120"/>
      <c r="H884" s="115">
        <f t="shared" si="157"/>
        <v>48500</v>
      </c>
      <c r="I884" s="115">
        <f t="shared" si="158"/>
        <v>48500</v>
      </c>
      <c r="J884" s="115">
        <f t="shared" si="161"/>
        <v>48500</v>
      </c>
      <c r="K884" s="115">
        <f t="shared" si="159"/>
        <v>48500</v>
      </c>
      <c r="L884" s="115">
        <f t="shared" si="160"/>
        <v>48500</v>
      </c>
      <c r="M884" s="120"/>
      <c r="N884" s="120"/>
      <c r="O884" s="120"/>
      <c r="P884" s="120"/>
      <c r="Q884" s="116"/>
      <c r="R884" s="116"/>
      <c r="S884" s="116"/>
      <c r="T884" s="116">
        <v>48500</v>
      </c>
      <c r="U884" s="116"/>
      <c r="V884" s="116"/>
      <c r="W884" s="116"/>
      <c r="X884" s="116"/>
      <c r="Y884" s="116"/>
      <c r="Z884" s="116"/>
      <c r="AA884" s="116"/>
      <c r="AB884" s="116"/>
      <c r="AC884" s="115"/>
      <c r="AD884" s="172" t="s">
        <v>1901</v>
      </c>
      <c r="AE884" s="169"/>
      <c r="AF884" s="169"/>
      <c r="AG884" s="169"/>
      <c r="AH884" s="120"/>
    </row>
    <row r="885" spans="1:34" s="126" customFormat="1" ht="15.75" thickBot="1">
      <c r="C885" s="126" t="s">
        <v>1114</v>
      </c>
      <c r="D885" s="169"/>
      <c r="E885" s="213"/>
      <c r="F885" s="213"/>
      <c r="G885" s="213"/>
      <c r="H885" s="213">
        <f>SUM(H868:H884)</f>
        <v>5412102.8899999997</v>
      </c>
      <c r="I885" s="212">
        <f>SUM(I868:I884)</f>
        <v>5649384.8999999994</v>
      </c>
      <c r="J885" s="212">
        <f>SUM(J868:J884)</f>
        <v>4710710.7299999995</v>
      </c>
      <c r="K885" s="212">
        <f>SUM(K868:K884)</f>
        <v>4724297.7399999993</v>
      </c>
      <c r="L885" s="212">
        <f>SUM(L868:L884)</f>
        <v>4724297.7399999993</v>
      </c>
      <c r="M885" s="213"/>
      <c r="N885" s="213"/>
      <c r="O885" s="213"/>
      <c r="P885" s="213"/>
      <c r="Q885" s="158"/>
      <c r="R885" s="158"/>
      <c r="S885" s="158"/>
      <c r="T885" s="158">
        <f>SUM(T868:T884)</f>
        <v>5412102.8899999997</v>
      </c>
      <c r="U885" s="158"/>
      <c r="V885" s="158"/>
      <c r="W885" s="158"/>
      <c r="X885" s="158"/>
      <c r="Y885" s="158"/>
      <c r="Z885" s="158"/>
      <c r="AA885" s="158"/>
      <c r="AB885" s="158"/>
      <c r="AC885" s="178"/>
      <c r="AD885" s="173" t="e">
        <f>+#REF!-[1]TB!J185</f>
        <v>#REF!</v>
      </c>
      <c r="AE885" s="169"/>
      <c r="AF885" s="169"/>
      <c r="AG885" s="169"/>
      <c r="AH885" s="169"/>
    </row>
    <row r="886" spans="1:34" ht="15"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16"/>
      <c r="R886" s="116"/>
      <c r="S886" s="116"/>
      <c r="T886" s="116"/>
      <c r="U886" s="116"/>
      <c r="V886" s="116"/>
      <c r="W886" s="116"/>
      <c r="X886" s="116"/>
      <c r="Y886" s="116"/>
      <c r="Z886" s="116"/>
      <c r="AA886" s="116"/>
      <c r="AB886" s="116"/>
      <c r="AC886" s="115"/>
      <c r="AE886" s="169"/>
      <c r="AF886" s="169"/>
      <c r="AG886" s="169"/>
      <c r="AH886" s="120"/>
    </row>
    <row r="887" spans="1:34" ht="15">
      <c r="A887" s="126" t="s">
        <v>1921</v>
      </c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16"/>
      <c r="R887" s="116"/>
      <c r="S887" s="116"/>
      <c r="T887" s="116"/>
      <c r="U887" s="116"/>
      <c r="V887" s="116"/>
      <c r="W887" s="116"/>
      <c r="X887" s="116"/>
      <c r="Y887" s="116"/>
      <c r="Z887" s="116"/>
      <c r="AA887" s="116"/>
      <c r="AB887" s="116"/>
      <c r="AC887" s="115"/>
      <c r="AE887" s="169"/>
      <c r="AF887" s="169"/>
      <c r="AG887" s="169"/>
      <c r="AH887" s="120"/>
    </row>
    <row r="888" spans="1:34" ht="15">
      <c r="A888" s="126"/>
      <c r="C888" s="108" t="s">
        <v>2330</v>
      </c>
      <c r="D888" s="120"/>
      <c r="E888" s="120"/>
      <c r="F888" s="120"/>
      <c r="G888" s="120"/>
      <c r="H888" s="120"/>
      <c r="I888" s="115">
        <f t="shared" ref="I888:I955" si="162">Q888+R888+S888+T888+U888</f>
        <v>0</v>
      </c>
      <c r="J888" s="115">
        <f t="shared" ref="J888:J955" si="163">Q888+R888+S888+T888+U888+V888</f>
        <v>3270</v>
      </c>
      <c r="K888" s="115">
        <f t="shared" ref="K888:K955" si="164">Q888+R888+S888+T888+U888+V888+W888</f>
        <v>3270</v>
      </c>
      <c r="L888" s="115">
        <f t="shared" ref="L888:L955" si="165">Q888+R888+S888+T888+U888+V888+W888+X888</f>
        <v>3270</v>
      </c>
      <c r="M888" s="120"/>
      <c r="N888" s="120"/>
      <c r="O888" s="120"/>
      <c r="P888" s="120"/>
      <c r="Q888" s="116"/>
      <c r="R888" s="116"/>
      <c r="S888" s="116"/>
      <c r="T888" s="116"/>
      <c r="U888" s="116"/>
      <c r="V888" s="116">
        <v>3270</v>
      </c>
      <c r="W888" s="116"/>
      <c r="X888" s="116"/>
      <c r="Y888" s="116"/>
      <c r="Z888" s="116"/>
      <c r="AA888" s="116"/>
      <c r="AB888" s="116"/>
      <c r="AC888" s="115"/>
      <c r="AE888" s="169"/>
      <c r="AF888" s="169"/>
      <c r="AG888" s="169"/>
      <c r="AH888" s="120"/>
    </row>
    <row r="889" spans="1:34" ht="15">
      <c r="A889" s="150"/>
      <c r="B889" s="128"/>
      <c r="C889" s="128" t="s">
        <v>1922</v>
      </c>
      <c r="D889" s="128"/>
      <c r="E889" s="139"/>
      <c r="F889" s="139"/>
      <c r="G889" s="139"/>
      <c r="H889" s="115">
        <f t="shared" ref="H889:H960" si="166">Q889+R889+S889+T889</f>
        <v>100</v>
      </c>
      <c r="I889" s="115">
        <f t="shared" si="162"/>
        <v>100</v>
      </c>
      <c r="J889" s="115">
        <f t="shared" si="163"/>
        <v>100</v>
      </c>
      <c r="K889" s="115">
        <f t="shared" si="164"/>
        <v>100</v>
      </c>
      <c r="L889" s="115">
        <f t="shared" si="165"/>
        <v>100</v>
      </c>
      <c r="M889" s="139"/>
      <c r="N889" s="139"/>
      <c r="O889" s="139"/>
      <c r="P889" s="139"/>
      <c r="Q889" s="214"/>
      <c r="R889" s="214"/>
      <c r="S889" s="214"/>
      <c r="T889" s="214">
        <v>100</v>
      </c>
      <c r="U889" s="214"/>
      <c r="V889" s="214"/>
      <c r="W889" s="214"/>
      <c r="X889" s="214"/>
      <c r="Y889" s="214"/>
      <c r="Z889" s="214"/>
      <c r="AA889" s="214"/>
      <c r="AB889" s="214"/>
      <c r="AC889" s="200"/>
      <c r="AD889" s="139"/>
      <c r="AE889" s="169"/>
      <c r="AF889" s="169"/>
      <c r="AG889" s="169"/>
      <c r="AH889" s="120"/>
    </row>
    <row r="890" spans="1:34" ht="15">
      <c r="A890" s="150"/>
      <c r="B890" s="128"/>
      <c r="C890" s="128" t="s">
        <v>1923</v>
      </c>
      <c r="D890" s="128"/>
      <c r="E890" s="139"/>
      <c r="F890" s="139"/>
      <c r="G890" s="139"/>
      <c r="H890" s="115">
        <f t="shared" si="166"/>
        <v>20168</v>
      </c>
      <c r="I890" s="115">
        <f t="shared" si="162"/>
        <v>20168</v>
      </c>
      <c r="J890" s="115">
        <f t="shared" si="163"/>
        <v>20168</v>
      </c>
      <c r="K890" s="115">
        <f t="shared" si="164"/>
        <v>20168</v>
      </c>
      <c r="L890" s="115">
        <f t="shared" si="165"/>
        <v>20168</v>
      </c>
      <c r="M890" s="139"/>
      <c r="N890" s="139"/>
      <c r="O890" s="139"/>
      <c r="P890" s="139"/>
      <c r="Q890" s="214"/>
      <c r="R890" s="214"/>
      <c r="S890" s="214"/>
      <c r="T890" s="214">
        <v>20168</v>
      </c>
      <c r="U890" s="214"/>
      <c r="V890" s="214"/>
      <c r="W890" s="214"/>
      <c r="X890" s="214"/>
      <c r="Y890" s="214"/>
      <c r="Z890" s="214"/>
      <c r="AA890" s="214"/>
      <c r="AB890" s="214"/>
      <c r="AC890" s="200"/>
      <c r="AD890" s="139"/>
      <c r="AE890" s="169"/>
      <c r="AF890" s="169"/>
      <c r="AG890" s="169"/>
      <c r="AH890" s="120"/>
    </row>
    <row r="891" spans="1:34" ht="15">
      <c r="A891" s="150"/>
      <c r="B891" s="128"/>
      <c r="C891" s="128" t="s">
        <v>1924</v>
      </c>
      <c r="D891" s="128"/>
      <c r="E891" s="139"/>
      <c r="F891" s="139"/>
      <c r="G891" s="139"/>
      <c r="H891" s="115">
        <f t="shared" si="166"/>
        <v>1000</v>
      </c>
      <c r="I891" s="115">
        <f t="shared" si="162"/>
        <v>1000</v>
      </c>
      <c r="J891" s="115">
        <f t="shared" si="163"/>
        <v>1000</v>
      </c>
      <c r="K891" s="115">
        <f t="shared" si="164"/>
        <v>1000</v>
      </c>
      <c r="L891" s="115">
        <f t="shared" si="165"/>
        <v>1000</v>
      </c>
      <c r="M891" s="139"/>
      <c r="N891" s="139"/>
      <c r="O891" s="139"/>
      <c r="P891" s="139"/>
      <c r="Q891" s="214"/>
      <c r="R891" s="214"/>
      <c r="S891" s="214"/>
      <c r="T891" s="214">
        <v>1000</v>
      </c>
      <c r="U891" s="214"/>
      <c r="V891" s="214"/>
      <c r="W891" s="214"/>
      <c r="X891" s="214"/>
      <c r="Y891" s="214"/>
      <c r="Z891" s="214"/>
      <c r="AA891" s="214"/>
      <c r="AB891" s="214"/>
      <c r="AC891" s="200"/>
      <c r="AD891" s="139"/>
      <c r="AE891" s="169"/>
      <c r="AF891" s="169"/>
      <c r="AG891" s="169"/>
      <c r="AH891" s="120"/>
    </row>
    <row r="892" spans="1:34" ht="15">
      <c r="A892" s="150"/>
      <c r="B892" s="128"/>
      <c r="C892" s="128" t="s">
        <v>1925</v>
      </c>
      <c r="E892" s="115"/>
      <c r="F892" s="115"/>
      <c r="G892" s="115"/>
      <c r="H892" s="115">
        <f t="shared" si="166"/>
        <v>625</v>
      </c>
      <c r="I892" s="115">
        <f t="shared" si="162"/>
        <v>625</v>
      </c>
      <c r="J892" s="115">
        <f t="shared" si="163"/>
        <v>625</v>
      </c>
      <c r="K892" s="115">
        <f t="shared" si="164"/>
        <v>625</v>
      </c>
      <c r="L892" s="115">
        <f t="shared" si="165"/>
        <v>625</v>
      </c>
      <c r="M892" s="115"/>
      <c r="N892" s="115"/>
      <c r="O892" s="115"/>
      <c r="P892" s="115"/>
      <c r="Q892" s="116"/>
      <c r="R892" s="116"/>
      <c r="S892" s="116"/>
      <c r="T892" s="116">
        <f>1520-895+500+1050+1680+450-3230-450</f>
        <v>625</v>
      </c>
      <c r="U892" s="116"/>
      <c r="V892" s="116"/>
      <c r="W892" s="116"/>
      <c r="X892" s="116"/>
      <c r="Y892" s="116"/>
      <c r="Z892" s="116"/>
      <c r="AA892" s="116"/>
      <c r="AB892" s="116"/>
      <c r="AC892" s="115"/>
      <c r="AD892" s="139"/>
      <c r="AE892" s="169"/>
      <c r="AF892" s="169"/>
      <c r="AG892" s="169"/>
      <c r="AH892" s="120"/>
    </row>
    <row r="893" spans="1:34" ht="15">
      <c r="A893" s="150"/>
      <c r="B893" s="128"/>
      <c r="C893" s="128" t="s">
        <v>1926</v>
      </c>
      <c r="D893" s="128"/>
      <c r="E893" s="139"/>
      <c r="F893" s="139"/>
      <c r="G893" s="139"/>
      <c r="H893" s="115">
        <f t="shared" si="166"/>
        <v>505.95</v>
      </c>
      <c r="I893" s="115">
        <f t="shared" si="162"/>
        <v>505.95</v>
      </c>
      <c r="J893" s="115">
        <f t="shared" si="163"/>
        <v>505.95</v>
      </c>
      <c r="K893" s="115">
        <f t="shared" si="164"/>
        <v>505.95</v>
      </c>
      <c r="L893" s="115">
        <f t="shared" si="165"/>
        <v>505.95</v>
      </c>
      <c r="M893" s="139"/>
      <c r="N893" s="139"/>
      <c r="O893" s="139"/>
      <c r="P893" s="139"/>
      <c r="Q893" s="214"/>
      <c r="R893" s="214"/>
      <c r="S893" s="214"/>
      <c r="T893" s="214">
        <v>505.95</v>
      </c>
      <c r="U893" s="214"/>
      <c r="V893" s="214"/>
      <c r="W893" s="214"/>
      <c r="X893" s="214"/>
      <c r="Y893" s="214"/>
      <c r="Z893" s="214"/>
      <c r="AA893" s="214"/>
      <c r="AB893" s="214"/>
      <c r="AC893" s="200"/>
      <c r="AD893" s="139"/>
      <c r="AE893" s="169"/>
      <c r="AF893" s="169"/>
      <c r="AG893" s="169"/>
      <c r="AH893" s="120"/>
    </row>
    <row r="894" spans="1:34" ht="15">
      <c r="A894" s="150"/>
      <c r="B894" s="128"/>
      <c r="C894" s="128" t="s">
        <v>1927</v>
      </c>
      <c r="D894" s="128"/>
      <c r="E894" s="139"/>
      <c r="F894" s="139"/>
      <c r="G894" s="139"/>
      <c r="H894" s="115">
        <f t="shared" si="166"/>
        <v>4000</v>
      </c>
      <c r="I894" s="115">
        <f t="shared" si="162"/>
        <v>4000</v>
      </c>
      <c r="J894" s="115">
        <f t="shared" si="163"/>
        <v>4000</v>
      </c>
      <c r="K894" s="115">
        <f t="shared" si="164"/>
        <v>4000</v>
      </c>
      <c r="L894" s="115">
        <f t="shared" si="165"/>
        <v>4000</v>
      </c>
      <c r="M894" s="139"/>
      <c r="N894" s="139"/>
      <c r="O894" s="139"/>
      <c r="P894" s="139"/>
      <c r="Q894" s="214"/>
      <c r="R894" s="214"/>
      <c r="S894" s="214"/>
      <c r="T894" s="214">
        <v>4000</v>
      </c>
      <c r="U894" s="214"/>
      <c r="V894" s="214"/>
      <c r="W894" s="214"/>
      <c r="X894" s="214"/>
      <c r="Y894" s="214"/>
      <c r="Z894" s="214"/>
      <c r="AA894" s="214"/>
      <c r="AB894" s="214"/>
      <c r="AC894" s="200"/>
      <c r="AD894" s="139"/>
      <c r="AE894" s="169"/>
      <c r="AF894" s="169"/>
      <c r="AG894" s="169"/>
      <c r="AH894" s="120"/>
    </row>
    <row r="895" spans="1:34" ht="15">
      <c r="A895" s="150"/>
      <c r="B895" s="128"/>
      <c r="C895" s="128" t="s">
        <v>1928</v>
      </c>
      <c r="D895" s="128"/>
      <c r="E895" s="139"/>
      <c r="F895" s="139"/>
      <c r="G895" s="139"/>
      <c r="H895" s="115">
        <f t="shared" si="166"/>
        <v>3000</v>
      </c>
      <c r="I895" s="115">
        <f t="shared" si="162"/>
        <v>3000</v>
      </c>
      <c r="J895" s="115">
        <f t="shared" si="163"/>
        <v>3000</v>
      </c>
      <c r="K895" s="115">
        <f t="shared" si="164"/>
        <v>3000</v>
      </c>
      <c r="L895" s="115">
        <f t="shared" si="165"/>
        <v>3000</v>
      </c>
      <c r="M895" s="139"/>
      <c r="N895" s="139"/>
      <c r="O895" s="139"/>
      <c r="P895" s="139"/>
      <c r="Q895" s="214"/>
      <c r="R895" s="214"/>
      <c r="S895" s="214"/>
      <c r="T895" s="214">
        <v>3000</v>
      </c>
      <c r="U895" s="214"/>
      <c r="V895" s="214"/>
      <c r="W895" s="214"/>
      <c r="X895" s="214"/>
      <c r="Y895" s="214"/>
      <c r="Z895" s="214"/>
      <c r="AA895" s="214"/>
      <c r="AB895" s="214"/>
      <c r="AC895" s="200"/>
      <c r="AD895" s="139"/>
      <c r="AE895" s="169"/>
      <c r="AF895" s="169"/>
      <c r="AG895" s="169"/>
      <c r="AH895" s="120"/>
    </row>
    <row r="896" spans="1:34" ht="15">
      <c r="A896" s="150"/>
      <c r="B896" s="128"/>
      <c r="C896" s="128" t="s">
        <v>1929</v>
      </c>
      <c r="D896" s="128"/>
      <c r="E896" s="139"/>
      <c r="F896" s="139"/>
      <c r="G896" s="139"/>
      <c r="H896" s="115">
        <f t="shared" si="166"/>
        <v>3000</v>
      </c>
      <c r="I896" s="115">
        <f t="shared" si="162"/>
        <v>3000</v>
      </c>
      <c r="J896" s="115">
        <f t="shared" si="163"/>
        <v>3000</v>
      </c>
      <c r="K896" s="115">
        <f t="shared" si="164"/>
        <v>3000</v>
      </c>
      <c r="L896" s="115">
        <f t="shared" si="165"/>
        <v>3000</v>
      </c>
      <c r="M896" s="139"/>
      <c r="N896" s="139"/>
      <c r="O896" s="139"/>
      <c r="P896" s="139"/>
      <c r="Q896" s="214"/>
      <c r="R896" s="214"/>
      <c r="S896" s="214"/>
      <c r="T896" s="214">
        <v>3000</v>
      </c>
      <c r="U896" s="214"/>
      <c r="V896" s="214"/>
      <c r="W896" s="214"/>
      <c r="X896" s="214"/>
      <c r="Y896" s="214"/>
      <c r="Z896" s="214"/>
      <c r="AA896" s="214"/>
      <c r="AB896" s="214"/>
      <c r="AC896" s="200"/>
      <c r="AD896" s="139"/>
      <c r="AE896" s="169"/>
      <c r="AF896" s="169"/>
      <c r="AG896" s="169"/>
      <c r="AH896" s="120"/>
    </row>
    <row r="897" spans="1:34" ht="15">
      <c r="A897" s="150"/>
      <c r="B897" s="128"/>
      <c r="C897" s="128" t="s">
        <v>1930</v>
      </c>
      <c r="D897" s="128"/>
      <c r="E897" s="139"/>
      <c r="F897" s="139"/>
      <c r="G897" s="139"/>
      <c r="H897" s="115">
        <f t="shared" si="166"/>
        <v>300</v>
      </c>
      <c r="I897" s="115">
        <f t="shared" si="162"/>
        <v>300</v>
      </c>
      <c r="J897" s="115">
        <f t="shared" si="163"/>
        <v>300</v>
      </c>
      <c r="K897" s="115">
        <f t="shared" si="164"/>
        <v>300</v>
      </c>
      <c r="L897" s="115">
        <f t="shared" si="165"/>
        <v>300</v>
      </c>
      <c r="M897" s="139"/>
      <c r="N897" s="139"/>
      <c r="O897" s="139"/>
      <c r="P897" s="139"/>
      <c r="Q897" s="214"/>
      <c r="R897" s="214"/>
      <c r="S897" s="214"/>
      <c r="T897" s="214">
        <v>300</v>
      </c>
      <c r="U897" s="214"/>
      <c r="V897" s="214"/>
      <c r="W897" s="214"/>
      <c r="X897" s="214"/>
      <c r="Y897" s="214"/>
      <c r="Z897" s="214"/>
      <c r="AA897" s="214"/>
      <c r="AB897" s="214"/>
      <c r="AC897" s="200"/>
      <c r="AD897" s="139"/>
      <c r="AE897" s="169"/>
      <c r="AF897" s="169"/>
      <c r="AG897" s="169"/>
      <c r="AH897" s="120"/>
    </row>
    <row r="898" spans="1:34" ht="15">
      <c r="A898" s="150"/>
      <c r="B898" s="128"/>
      <c r="C898" s="128" t="s">
        <v>1931</v>
      </c>
      <c r="D898" s="120"/>
      <c r="E898" s="215"/>
      <c r="F898" s="215"/>
      <c r="G898" s="215"/>
      <c r="H898" s="115">
        <f t="shared" si="166"/>
        <v>700</v>
      </c>
      <c r="I898" s="115">
        <f t="shared" si="162"/>
        <v>700</v>
      </c>
      <c r="J898" s="115">
        <f t="shared" si="163"/>
        <v>700</v>
      </c>
      <c r="K898" s="115">
        <f t="shared" si="164"/>
        <v>700</v>
      </c>
      <c r="L898" s="115">
        <f t="shared" si="165"/>
        <v>700</v>
      </c>
      <c r="M898" s="215"/>
      <c r="N898" s="215"/>
      <c r="O898" s="215"/>
      <c r="P898" s="215"/>
      <c r="Q898" s="216"/>
      <c r="R898" s="216"/>
      <c r="S898" s="216"/>
      <c r="T898" s="216">
        <v>700</v>
      </c>
      <c r="U898" s="216"/>
      <c r="V898" s="216"/>
      <c r="W898" s="216"/>
      <c r="X898" s="216"/>
      <c r="Y898" s="216"/>
      <c r="Z898" s="216"/>
      <c r="AA898" s="216"/>
      <c r="AB898" s="216"/>
      <c r="AC898" s="229"/>
      <c r="AD898" s="139"/>
      <c r="AE898" s="169"/>
      <c r="AF898" s="169"/>
      <c r="AG898" s="169"/>
      <c r="AH898" s="120"/>
    </row>
    <row r="899" spans="1:34" ht="15">
      <c r="A899" s="150"/>
      <c r="B899" s="128"/>
      <c r="C899" s="128" t="s">
        <v>1932</v>
      </c>
      <c r="D899" s="128"/>
      <c r="E899" s="139"/>
      <c r="F899" s="139"/>
      <c r="G899" s="139"/>
      <c r="H899" s="115">
        <f t="shared" si="166"/>
        <v>1000</v>
      </c>
      <c r="I899" s="115">
        <f t="shared" si="162"/>
        <v>1000</v>
      </c>
      <c r="J899" s="115">
        <f t="shared" si="163"/>
        <v>1000</v>
      </c>
      <c r="K899" s="115">
        <f t="shared" si="164"/>
        <v>1000</v>
      </c>
      <c r="L899" s="115">
        <f t="shared" si="165"/>
        <v>1000</v>
      </c>
      <c r="M899" s="139"/>
      <c r="N899" s="139"/>
      <c r="O899" s="139"/>
      <c r="P899" s="139"/>
      <c r="Q899" s="214"/>
      <c r="R899" s="214"/>
      <c r="S899" s="214"/>
      <c r="T899" s="214">
        <v>1000</v>
      </c>
      <c r="U899" s="214"/>
      <c r="V899" s="214"/>
      <c r="W899" s="214"/>
      <c r="X899" s="214"/>
      <c r="Y899" s="214"/>
      <c r="Z899" s="214"/>
      <c r="AA899" s="214"/>
      <c r="AB899" s="214"/>
      <c r="AC899" s="200"/>
      <c r="AD899" s="139"/>
      <c r="AE899" s="169"/>
      <c r="AF899" s="169"/>
      <c r="AG899" s="169"/>
      <c r="AH899" s="120"/>
    </row>
    <row r="900" spans="1:34" ht="15">
      <c r="A900" s="150"/>
      <c r="B900" s="128"/>
      <c r="C900" s="128" t="s">
        <v>1933</v>
      </c>
      <c r="E900" s="115"/>
      <c r="F900" s="115"/>
      <c r="G900" s="115"/>
      <c r="H900" s="115">
        <f t="shared" si="166"/>
        <v>608</v>
      </c>
      <c r="I900" s="115">
        <f t="shared" si="162"/>
        <v>608</v>
      </c>
      <c r="J900" s="115">
        <f t="shared" si="163"/>
        <v>608</v>
      </c>
      <c r="K900" s="115">
        <f t="shared" si="164"/>
        <v>608</v>
      </c>
      <c r="L900" s="115">
        <f t="shared" si="165"/>
        <v>608</v>
      </c>
      <c r="M900" s="115"/>
      <c r="N900" s="115"/>
      <c r="O900" s="115"/>
      <c r="P900" s="115"/>
      <c r="Q900" s="116"/>
      <c r="R900" s="116"/>
      <c r="S900" s="116"/>
      <c r="T900" s="116">
        <v>608</v>
      </c>
      <c r="U900" s="116"/>
      <c r="V900" s="116"/>
      <c r="W900" s="116"/>
      <c r="X900" s="116"/>
      <c r="Y900" s="116"/>
      <c r="Z900" s="116"/>
      <c r="AA900" s="116"/>
      <c r="AB900" s="116"/>
      <c r="AC900" s="115"/>
      <c r="AD900" s="139"/>
      <c r="AE900" s="169"/>
      <c r="AF900" s="169"/>
      <c r="AG900" s="169"/>
      <c r="AH900" s="120"/>
    </row>
    <row r="901" spans="1:34" ht="15">
      <c r="A901" s="150"/>
      <c r="B901" s="128"/>
      <c r="C901" s="128" t="s">
        <v>1934</v>
      </c>
      <c r="E901" s="115"/>
      <c r="F901" s="115"/>
      <c r="G901" s="115"/>
      <c r="H901" s="115">
        <f t="shared" si="166"/>
        <v>5060</v>
      </c>
      <c r="I901" s="115">
        <f t="shared" si="162"/>
        <v>6610</v>
      </c>
      <c r="J901" s="115">
        <f t="shared" si="163"/>
        <v>20580</v>
      </c>
      <c r="K901" s="115">
        <f t="shared" si="164"/>
        <v>28580</v>
      </c>
      <c r="L901" s="115">
        <f t="shared" si="165"/>
        <v>28580</v>
      </c>
      <c r="M901" s="115"/>
      <c r="N901" s="115"/>
      <c r="O901" s="115"/>
      <c r="P901" s="115"/>
      <c r="Q901" s="116"/>
      <c r="R901" s="116"/>
      <c r="S901" s="116"/>
      <c r="T901" s="116">
        <v>5060</v>
      </c>
      <c r="U901" s="116">
        <v>1550</v>
      </c>
      <c r="V901" s="116">
        <v>13970</v>
      </c>
      <c r="W901" s="116">
        <v>8000</v>
      </c>
      <c r="X901" s="116"/>
      <c r="Y901" s="116"/>
      <c r="Z901" s="116"/>
      <c r="AA901" s="116"/>
      <c r="AB901" s="116"/>
      <c r="AC901" s="115"/>
      <c r="AD901" s="139"/>
      <c r="AE901" s="169"/>
      <c r="AF901" s="169"/>
      <c r="AG901" s="169"/>
      <c r="AH901" s="120"/>
    </row>
    <row r="902" spans="1:34" ht="15">
      <c r="A902" s="150"/>
      <c r="B902" s="128"/>
      <c r="C902" s="128" t="s">
        <v>1934</v>
      </c>
      <c r="E902" s="115"/>
      <c r="F902" s="115"/>
      <c r="G902" s="115"/>
      <c r="H902" s="115"/>
      <c r="I902" s="115"/>
      <c r="J902" s="115"/>
      <c r="K902" s="115"/>
      <c r="L902" s="115">
        <f t="shared" si="165"/>
        <v>2800</v>
      </c>
      <c r="M902" s="115"/>
      <c r="N902" s="115"/>
      <c r="O902" s="115"/>
      <c r="P902" s="115"/>
      <c r="Q902" s="116"/>
      <c r="R902" s="116"/>
      <c r="S902" s="116"/>
      <c r="T902" s="116"/>
      <c r="U902" s="116"/>
      <c r="V902" s="116"/>
      <c r="W902" s="116"/>
      <c r="X902" s="116">
        <v>2800</v>
      </c>
      <c r="Y902" s="116"/>
      <c r="Z902" s="116"/>
      <c r="AA902" s="116"/>
      <c r="AB902" s="116"/>
      <c r="AC902" s="115"/>
      <c r="AD902" s="139"/>
      <c r="AE902" s="169"/>
      <c r="AF902" s="169"/>
      <c r="AG902" s="169"/>
      <c r="AH902" s="120"/>
    </row>
    <row r="903" spans="1:34" ht="15">
      <c r="A903" s="150"/>
      <c r="B903" s="128"/>
      <c r="C903" s="128" t="s">
        <v>1934</v>
      </c>
      <c r="E903" s="115"/>
      <c r="F903" s="115"/>
      <c r="G903" s="115"/>
      <c r="H903" s="115"/>
      <c r="I903" s="115"/>
      <c r="J903" s="115"/>
      <c r="K903" s="115"/>
      <c r="L903" s="115">
        <f t="shared" si="165"/>
        <v>1500</v>
      </c>
      <c r="M903" s="115"/>
      <c r="N903" s="115"/>
      <c r="O903" s="115"/>
      <c r="P903" s="115"/>
      <c r="Q903" s="116"/>
      <c r="R903" s="116"/>
      <c r="S903" s="116"/>
      <c r="T903" s="116"/>
      <c r="U903" s="116"/>
      <c r="V903" s="116"/>
      <c r="W903" s="116"/>
      <c r="X903" s="116">
        <v>1500</v>
      </c>
      <c r="Y903" s="116"/>
      <c r="Z903" s="116"/>
      <c r="AA903" s="116"/>
      <c r="AB903" s="116"/>
      <c r="AC903" s="115"/>
      <c r="AD903" s="139"/>
      <c r="AE903" s="169"/>
      <c r="AF903" s="169"/>
      <c r="AG903" s="169"/>
      <c r="AH903" s="120"/>
    </row>
    <row r="904" spans="1:34" ht="15">
      <c r="A904" s="150"/>
      <c r="B904" s="128"/>
      <c r="C904" s="128" t="s">
        <v>1935</v>
      </c>
      <c r="E904" s="115"/>
      <c r="F904" s="115"/>
      <c r="G904" s="115"/>
      <c r="H904" s="115">
        <f t="shared" si="166"/>
        <v>100</v>
      </c>
      <c r="I904" s="115">
        <f t="shared" si="162"/>
        <v>100</v>
      </c>
      <c r="J904" s="115">
        <f t="shared" si="163"/>
        <v>100</v>
      </c>
      <c r="K904" s="115">
        <f t="shared" si="164"/>
        <v>100</v>
      </c>
      <c r="L904" s="115">
        <f t="shared" si="165"/>
        <v>100</v>
      </c>
      <c r="M904" s="115"/>
      <c r="N904" s="115"/>
      <c r="O904" s="115"/>
      <c r="P904" s="115"/>
      <c r="Q904" s="116"/>
      <c r="R904" s="116"/>
      <c r="S904" s="116"/>
      <c r="T904" s="116">
        <v>100</v>
      </c>
      <c r="U904" s="116"/>
      <c r="V904" s="116"/>
      <c r="W904" s="116"/>
      <c r="X904" s="116"/>
      <c r="Y904" s="116"/>
      <c r="Z904" s="116"/>
      <c r="AA904" s="116"/>
      <c r="AB904" s="116"/>
      <c r="AC904" s="115"/>
      <c r="AD904" s="139"/>
      <c r="AE904" s="169"/>
      <c r="AF904" s="169"/>
      <c r="AG904" s="169"/>
      <c r="AH904" s="120"/>
    </row>
    <row r="905" spans="1:34" ht="15">
      <c r="A905" s="150"/>
      <c r="B905" s="128"/>
      <c r="C905" s="128" t="s">
        <v>1936</v>
      </c>
      <c r="E905" s="115"/>
      <c r="F905" s="115"/>
      <c r="G905" s="115"/>
      <c r="H905" s="115">
        <f t="shared" si="166"/>
        <v>238320.41</v>
      </c>
      <c r="I905" s="115">
        <f t="shared" si="162"/>
        <v>238320.41</v>
      </c>
      <c r="J905" s="115">
        <f t="shared" si="163"/>
        <v>238320.41</v>
      </c>
      <c r="K905" s="115">
        <f t="shared" si="164"/>
        <v>238320.41</v>
      </c>
      <c r="L905" s="115">
        <f t="shared" si="165"/>
        <v>238320.41</v>
      </c>
      <c r="M905" s="115"/>
      <c r="N905" s="115"/>
      <c r="O905" s="115"/>
      <c r="P905" s="115"/>
      <c r="Q905" s="116"/>
      <c r="R905" s="116"/>
      <c r="S905" s="116"/>
      <c r="T905" s="116">
        <v>238320.41</v>
      </c>
      <c r="U905" s="116"/>
      <c r="V905" s="116"/>
      <c r="W905" s="116"/>
      <c r="X905" s="116"/>
      <c r="Y905" s="116"/>
      <c r="Z905" s="116"/>
      <c r="AA905" s="116"/>
      <c r="AB905" s="116"/>
      <c r="AC905" s="115"/>
      <c r="AD905" s="139"/>
      <c r="AE905" s="169"/>
      <c r="AF905" s="169"/>
      <c r="AG905" s="169"/>
      <c r="AH905" s="120"/>
    </row>
    <row r="906" spans="1:34" ht="15">
      <c r="A906" s="150"/>
      <c r="B906" s="128"/>
      <c r="C906" s="128" t="s">
        <v>1937</v>
      </c>
      <c r="D906" s="120"/>
      <c r="E906" s="215"/>
      <c r="F906" s="215"/>
      <c r="G906" s="215"/>
      <c r="H906" s="115">
        <f t="shared" si="166"/>
        <v>3200</v>
      </c>
      <c r="I906" s="115">
        <f t="shared" si="162"/>
        <v>3200</v>
      </c>
      <c r="J906" s="115">
        <f t="shared" si="163"/>
        <v>3200</v>
      </c>
      <c r="K906" s="115">
        <f t="shared" si="164"/>
        <v>3200</v>
      </c>
      <c r="L906" s="115">
        <f t="shared" si="165"/>
        <v>3200</v>
      </c>
      <c r="M906" s="215"/>
      <c r="N906" s="215"/>
      <c r="O906" s="215"/>
      <c r="P906" s="215"/>
      <c r="Q906" s="216"/>
      <c r="R906" s="216"/>
      <c r="S906" s="216"/>
      <c r="T906" s="216">
        <v>3200</v>
      </c>
      <c r="U906" s="216"/>
      <c r="V906" s="216"/>
      <c r="W906" s="216"/>
      <c r="X906" s="216"/>
      <c r="Y906" s="216"/>
      <c r="Z906" s="216"/>
      <c r="AA906" s="216"/>
      <c r="AB906" s="216"/>
      <c r="AC906" s="229"/>
      <c r="AD906" s="139"/>
      <c r="AE906" s="169"/>
      <c r="AF906" s="169"/>
      <c r="AG906" s="169"/>
      <c r="AH906" s="120"/>
    </row>
    <row r="907" spans="1:34" ht="15">
      <c r="A907" s="150"/>
      <c r="B907" s="128"/>
      <c r="C907" s="128" t="s">
        <v>1938</v>
      </c>
      <c r="D907" s="120"/>
      <c r="E907" s="215"/>
      <c r="F907" s="215"/>
      <c r="G907" s="215"/>
      <c r="H907" s="115">
        <f t="shared" si="166"/>
        <v>1000</v>
      </c>
      <c r="I907" s="115">
        <f t="shared" si="162"/>
        <v>1000</v>
      </c>
      <c r="J907" s="115">
        <f t="shared" si="163"/>
        <v>1000</v>
      </c>
      <c r="K907" s="115">
        <f t="shared" si="164"/>
        <v>1000</v>
      </c>
      <c r="L907" s="115">
        <f t="shared" si="165"/>
        <v>1000</v>
      </c>
      <c r="M907" s="215"/>
      <c r="N907" s="215"/>
      <c r="O907" s="215"/>
      <c r="P907" s="215"/>
      <c r="Q907" s="216"/>
      <c r="R907" s="216"/>
      <c r="S907" s="216"/>
      <c r="T907" s="216">
        <v>1000</v>
      </c>
      <c r="U907" s="216"/>
      <c r="V907" s="216"/>
      <c r="W907" s="216"/>
      <c r="X907" s="216"/>
      <c r="Y907" s="216"/>
      <c r="Z907" s="216"/>
      <c r="AA907" s="216"/>
      <c r="AB907" s="216"/>
      <c r="AC907" s="229"/>
      <c r="AD907" s="139"/>
      <c r="AE907" s="169"/>
      <c r="AF907" s="169"/>
      <c r="AG907" s="169"/>
      <c r="AH907" s="120"/>
    </row>
    <row r="908" spans="1:34" ht="15">
      <c r="A908" s="150"/>
      <c r="B908" s="128"/>
      <c r="C908" s="128" t="s">
        <v>1939</v>
      </c>
      <c r="D908" s="120"/>
      <c r="E908" s="215"/>
      <c r="F908" s="215"/>
      <c r="G908" s="215"/>
      <c r="H908" s="115">
        <f t="shared" si="166"/>
        <v>4500</v>
      </c>
      <c r="I908" s="115">
        <f t="shared" si="162"/>
        <v>18140</v>
      </c>
      <c r="J908" s="115">
        <f t="shared" si="163"/>
        <v>18140</v>
      </c>
      <c r="K908" s="115">
        <f t="shared" si="164"/>
        <v>31780</v>
      </c>
      <c r="L908" s="115">
        <f t="shared" si="165"/>
        <v>31780</v>
      </c>
      <c r="M908" s="215"/>
      <c r="N908" s="215"/>
      <c r="O908" s="215"/>
      <c r="P908" s="215"/>
      <c r="Q908" s="216"/>
      <c r="R908" s="216"/>
      <c r="S908" s="216"/>
      <c r="T908" s="216">
        <f>4500</f>
        <v>4500</v>
      </c>
      <c r="U908" s="216">
        <v>13640</v>
      </c>
      <c r="V908" s="216"/>
      <c r="W908" s="216">
        <v>13640</v>
      </c>
      <c r="X908" s="216"/>
      <c r="Y908" s="216"/>
      <c r="Z908" s="216"/>
      <c r="AA908" s="216"/>
      <c r="AB908" s="216"/>
      <c r="AC908" s="229"/>
      <c r="AD908" s="139"/>
      <c r="AE908" s="169"/>
      <c r="AF908" s="169"/>
      <c r="AG908" s="169"/>
      <c r="AH908" s="120"/>
    </row>
    <row r="909" spans="1:34" ht="15">
      <c r="A909" s="150"/>
      <c r="B909" s="128"/>
      <c r="C909" s="128" t="s">
        <v>1940</v>
      </c>
      <c r="D909" s="120"/>
      <c r="E909" s="215"/>
      <c r="F909" s="215"/>
      <c r="G909" s="215"/>
      <c r="H909" s="115">
        <f t="shared" si="166"/>
        <v>460</v>
      </c>
      <c r="I909" s="115">
        <f t="shared" si="162"/>
        <v>460</v>
      </c>
      <c r="J909" s="115">
        <f t="shared" si="163"/>
        <v>460</v>
      </c>
      <c r="K909" s="115">
        <f t="shared" si="164"/>
        <v>460</v>
      </c>
      <c r="L909" s="115">
        <f t="shared" si="165"/>
        <v>460</v>
      </c>
      <c r="M909" s="215"/>
      <c r="N909" s="215"/>
      <c r="O909" s="215"/>
      <c r="P909" s="215"/>
      <c r="Q909" s="216"/>
      <c r="R909" s="216"/>
      <c r="S909" s="216"/>
      <c r="T909" s="216">
        <v>460</v>
      </c>
      <c r="U909" s="216"/>
      <c r="V909" s="216"/>
      <c r="W909" s="216"/>
      <c r="X909" s="216"/>
      <c r="Y909" s="216"/>
      <c r="Z909" s="216"/>
      <c r="AA909" s="216"/>
      <c r="AB909" s="216"/>
      <c r="AC909" s="229"/>
      <c r="AD909" s="139"/>
      <c r="AE909" s="169"/>
      <c r="AF909" s="169"/>
      <c r="AG909" s="169"/>
      <c r="AH909" s="120"/>
    </row>
    <row r="910" spans="1:34" ht="15">
      <c r="A910" s="150"/>
      <c r="B910" s="128"/>
      <c r="C910" s="128" t="s">
        <v>1941</v>
      </c>
      <c r="D910" s="128"/>
      <c r="E910" s="139"/>
      <c r="F910" s="139"/>
      <c r="G910" s="139"/>
      <c r="H910" s="115">
        <f t="shared" si="166"/>
        <v>500</v>
      </c>
      <c r="I910" s="115">
        <f t="shared" si="162"/>
        <v>500</v>
      </c>
      <c r="J910" s="115">
        <f t="shared" si="163"/>
        <v>500</v>
      </c>
      <c r="K910" s="115">
        <f t="shared" si="164"/>
        <v>500</v>
      </c>
      <c r="L910" s="115">
        <f t="shared" si="165"/>
        <v>500</v>
      </c>
      <c r="M910" s="139"/>
      <c r="N910" s="139"/>
      <c r="O910" s="139"/>
      <c r="P910" s="139"/>
      <c r="Q910" s="214"/>
      <c r="R910" s="214"/>
      <c r="S910" s="214"/>
      <c r="T910" s="214">
        <v>500</v>
      </c>
      <c r="U910" s="214"/>
      <c r="V910" s="214"/>
      <c r="W910" s="214"/>
      <c r="X910" s="214"/>
      <c r="Y910" s="214"/>
      <c r="Z910" s="214"/>
      <c r="AA910" s="214"/>
      <c r="AB910" s="214"/>
      <c r="AC910" s="200"/>
      <c r="AD910" s="139"/>
      <c r="AE910" s="169"/>
      <c r="AF910" s="169"/>
      <c r="AG910" s="169"/>
      <c r="AH910" s="120"/>
    </row>
    <row r="911" spans="1:34" ht="15">
      <c r="A911" s="150"/>
      <c r="B911" s="128"/>
      <c r="C911" s="128" t="s">
        <v>1942</v>
      </c>
      <c r="E911" s="215"/>
      <c r="F911" s="215"/>
      <c r="G911" s="215"/>
      <c r="H911" s="115">
        <f t="shared" si="166"/>
        <v>300</v>
      </c>
      <c r="I911" s="115">
        <f t="shared" si="162"/>
        <v>300</v>
      </c>
      <c r="J911" s="115">
        <f t="shared" si="163"/>
        <v>300</v>
      </c>
      <c r="K911" s="115">
        <f t="shared" si="164"/>
        <v>300</v>
      </c>
      <c r="L911" s="115">
        <f t="shared" si="165"/>
        <v>300</v>
      </c>
      <c r="M911" s="215"/>
      <c r="N911" s="215"/>
      <c r="O911" s="215"/>
      <c r="P911" s="215"/>
      <c r="Q911" s="216"/>
      <c r="R911" s="216"/>
      <c r="S911" s="216"/>
      <c r="T911" s="216">
        <v>300</v>
      </c>
      <c r="U911" s="216"/>
      <c r="V911" s="216"/>
      <c r="W911" s="216"/>
      <c r="X911" s="216"/>
      <c r="Y911" s="216"/>
      <c r="Z911" s="216"/>
      <c r="AA911" s="216"/>
      <c r="AB911" s="216"/>
      <c r="AC911" s="229"/>
      <c r="AD911" s="139"/>
      <c r="AE911" s="169"/>
      <c r="AF911" s="169"/>
      <c r="AG911" s="169"/>
      <c r="AH911" s="120"/>
    </row>
    <row r="912" spans="1:34" ht="15">
      <c r="A912" s="150"/>
      <c r="B912" s="128"/>
      <c r="C912" s="128" t="s">
        <v>1943</v>
      </c>
      <c r="D912" s="128"/>
      <c r="E912" s="139"/>
      <c r="F912" s="139"/>
      <c r="G912" s="139"/>
      <c r="H912" s="115">
        <f t="shared" si="166"/>
        <v>208</v>
      </c>
      <c r="I912" s="115">
        <f t="shared" si="162"/>
        <v>208</v>
      </c>
      <c r="J912" s="115">
        <f t="shared" si="163"/>
        <v>208</v>
      </c>
      <c r="K912" s="115">
        <f t="shared" si="164"/>
        <v>208</v>
      </c>
      <c r="L912" s="115">
        <f t="shared" si="165"/>
        <v>208</v>
      </c>
      <c r="M912" s="139"/>
      <c r="N912" s="139"/>
      <c r="O912" s="139"/>
      <c r="P912" s="139"/>
      <c r="Q912" s="214"/>
      <c r="R912" s="214"/>
      <c r="S912" s="214"/>
      <c r="T912" s="214">
        <v>208</v>
      </c>
      <c r="U912" s="214"/>
      <c r="V912" s="214"/>
      <c r="W912" s="214"/>
      <c r="X912" s="214"/>
      <c r="Y912" s="214"/>
      <c r="Z912" s="214"/>
      <c r="AA912" s="214"/>
      <c r="AB912" s="214"/>
      <c r="AC912" s="200"/>
      <c r="AD912" s="139"/>
      <c r="AE912" s="169"/>
      <c r="AF912" s="169"/>
      <c r="AG912" s="169"/>
      <c r="AH912" s="120"/>
    </row>
    <row r="913" spans="1:34" ht="15">
      <c r="A913" s="150"/>
      <c r="B913" s="128"/>
      <c r="C913" s="128" t="s">
        <v>1944</v>
      </c>
      <c r="D913" s="128"/>
      <c r="E913" s="139"/>
      <c r="F913" s="139"/>
      <c r="G913" s="139"/>
      <c r="H913" s="115">
        <f t="shared" si="166"/>
        <v>500</v>
      </c>
      <c r="I913" s="115">
        <f t="shared" si="162"/>
        <v>500</v>
      </c>
      <c r="J913" s="115">
        <f t="shared" si="163"/>
        <v>500</v>
      </c>
      <c r="K913" s="115">
        <f t="shared" si="164"/>
        <v>500</v>
      </c>
      <c r="L913" s="115">
        <f t="shared" si="165"/>
        <v>500</v>
      </c>
      <c r="M913" s="139"/>
      <c r="N913" s="139"/>
      <c r="O913" s="139"/>
      <c r="P913" s="139"/>
      <c r="Q913" s="214"/>
      <c r="R913" s="214"/>
      <c r="S913" s="214"/>
      <c r="T913" s="214">
        <v>500</v>
      </c>
      <c r="U913" s="214"/>
      <c r="V913" s="214"/>
      <c r="W913" s="214"/>
      <c r="X913" s="214"/>
      <c r="Y913" s="214"/>
      <c r="Z913" s="214"/>
      <c r="AA913" s="214"/>
      <c r="AB913" s="214"/>
      <c r="AC913" s="200"/>
      <c r="AD913" s="139"/>
      <c r="AE913" s="169"/>
      <c r="AF913" s="169"/>
      <c r="AG913" s="169"/>
      <c r="AH913" s="120"/>
    </row>
    <row r="914" spans="1:34" ht="15">
      <c r="A914" s="150"/>
      <c r="B914" s="128"/>
      <c r="C914" s="128" t="s">
        <v>1945</v>
      </c>
      <c r="E914" s="115"/>
      <c r="F914" s="115"/>
      <c r="G914" s="115"/>
      <c r="H914" s="115">
        <f t="shared" si="166"/>
        <v>588</v>
      </c>
      <c r="I914" s="115">
        <f t="shared" si="162"/>
        <v>588</v>
      </c>
      <c r="J914" s="115">
        <f t="shared" si="163"/>
        <v>588</v>
      </c>
      <c r="K914" s="115">
        <f t="shared" si="164"/>
        <v>588</v>
      </c>
      <c r="L914" s="115">
        <f t="shared" si="165"/>
        <v>588</v>
      </c>
      <c r="M914" s="115"/>
      <c r="N914" s="115"/>
      <c r="O914" s="115"/>
      <c r="P914" s="115"/>
      <c r="Q914" s="116"/>
      <c r="R914" s="116"/>
      <c r="S914" s="116"/>
      <c r="T914" s="116">
        <f>4400+588-4400</f>
        <v>588</v>
      </c>
      <c r="U914" s="116"/>
      <c r="V914" s="116"/>
      <c r="W914" s="116"/>
      <c r="X914" s="116"/>
      <c r="Y914" s="116"/>
      <c r="Z914" s="116"/>
      <c r="AA914" s="116"/>
      <c r="AB914" s="116"/>
      <c r="AC914" s="115"/>
      <c r="AD914" s="139"/>
      <c r="AE914" s="169"/>
      <c r="AF914" s="169"/>
      <c r="AG914" s="169"/>
      <c r="AH914" s="120"/>
    </row>
    <row r="915" spans="1:34" ht="15">
      <c r="A915" s="150"/>
      <c r="B915" s="128"/>
      <c r="C915" s="128" t="s">
        <v>1946</v>
      </c>
      <c r="D915" s="128"/>
      <c r="E915" s="139"/>
      <c r="F915" s="139"/>
      <c r="G915" s="139"/>
      <c r="H915" s="115">
        <f t="shared" si="166"/>
        <v>1750</v>
      </c>
      <c r="I915" s="115">
        <f t="shared" si="162"/>
        <v>1750</v>
      </c>
      <c r="J915" s="115">
        <f t="shared" si="163"/>
        <v>1750</v>
      </c>
      <c r="K915" s="115">
        <f t="shared" si="164"/>
        <v>1750</v>
      </c>
      <c r="L915" s="115">
        <f t="shared" si="165"/>
        <v>1750</v>
      </c>
      <c r="M915" s="139"/>
      <c r="N915" s="139"/>
      <c r="O915" s="139"/>
      <c r="P915" s="139"/>
      <c r="Q915" s="214"/>
      <c r="R915" s="214"/>
      <c r="S915" s="214"/>
      <c r="T915" s="214">
        <v>1750</v>
      </c>
      <c r="U915" s="214"/>
      <c r="V915" s="214"/>
      <c r="W915" s="214"/>
      <c r="X915" s="214"/>
      <c r="Y915" s="214"/>
      <c r="Z915" s="214"/>
      <c r="AA915" s="214"/>
      <c r="AB915" s="214"/>
      <c r="AC915" s="200"/>
      <c r="AD915" s="139"/>
      <c r="AE915" s="169"/>
      <c r="AF915" s="169"/>
      <c r="AG915" s="169"/>
      <c r="AH915" s="120"/>
    </row>
    <row r="916" spans="1:34" ht="15">
      <c r="A916" s="150"/>
      <c r="B916" s="128"/>
      <c r="C916" s="128" t="s">
        <v>1946</v>
      </c>
      <c r="D916" s="128"/>
      <c r="E916" s="139"/>
      <c r="F916" s="139"/>
      <c r="G916" s="139"/>
      <c r="H916" s="115">
        <f t="shared" si="166"/>
        <v>200</v>
      </c>
      <c r="I916" s="115">
        <f t="shared" si="162"/>
        <v>200</v>
      </c>
      <c r="J916" s="115">
        <f t="shared" si="163"/>
        <v>200</v>
      </c>
      <c r="K916" s="115">
        <f t="shared" si="164"/>
        <v>200</v>
      </c>
      <c r="L916" s="115">
        <f t="shared" si="165"/>
        <v>200</v>
      </c>
      <c r="M916" s="139"/>
      <c r="N916" s="139"/>
      <c r="O916" s="139"/>
      <c r="P916" s="139"/>
      <c r="Q916" s="214"/>
      <c r="R916" s="214"/>
      <c r="S916" s="214"/>
      <c r="T916" s="214">
        <v>200</v>
      </c>
      <c r="U916" s="214"/>
      <c r="V916" s="214"/>
      <c r="W916" s="214"/>
      <c r="X916" s="214"/>
      <c r="Y916" s="214"/>
      <c r="Z916" s="214"/>
      <c r="AA916" s="214"/>
      <c r="AB916" s="214"/>
      <c r="AC916" s="200"/>
      <c r="AD916" s="139"/>
      <c r="AE916" s="169"/>
      <c r="AF916" s="169"/>
      <c r="AG916" s="169"/>
      <c r="AH916" s="120"/>
    </row>
    <row r="917" spans="1:34" ht="15">
      <c r="A917" s="150"/>
      <c r="B917" s="128"/>
      <c r="C917" s="128" t="s">
        <v>1946</v>
      </c>
      <c r="D917" s="128"/>
      <c r="E917" s="139"/>
      <c r="F917" s="139"/>
      <c r="G917" s="139"/>
      <c r="H917" s="115">
        <f t="shared" si="166"/>
        <v>2160</v>
      </c>
      <c r="I917" s="115">
        <f t="shared" si="162"/>
        <v>2160</v>
      </c>
      <c r="J917" s="115">
        <f t="shared" si="163"/>
        <v>2160</v>
      </c>
      <c r="K917" s="115">
        <f t="shared" si="164"/>
        <v>2160</v>
      </c>
      <c r="L917" s="115">
        <f t="shared" si="165"/>
        <v>2160</v>
      </c>
      <c r="M917" s="139"/>
      <c r="N917" s="139"/>
      <c r="O917" s="139"/>
      <c r="P917" s="139"/>
      <c r="Q917" s="214"/>
      <c r="R917" s="214"/>
      <c r="S917" s="214"/>
      <c r="T917" s="214">
        <v>2160</v>
      </c>
      <c r="U917" s="214"/>
      <c r="V917" s="214"/>
      <c r="W917" s="214"/>
      <c r="X917" s="214"/>
      <c r="Y917" s="214"/>
      <c r="Z917" s="214"/>
      <c r="AA917" s="214"/>
      <c r="AB917" s="214"/>
      <c r="AC917" s="200"/>
      <c r="AD917" s="139"/>
      <c r="AE917" s="169"/>
      <c r="AF917" s="169"/>
      <c r="AG917" s="169"/>
      <c r="AH917" s="120"/>
    </row>
    <row r="918" spans="1:34" ht="15">
      <c r="A918" s="150"/>
      <c r="B918" s="128"/>
      <c r="C918" s="128" t="s">
        <v>1947</v>
      </c>
      <c r="D918" s="128"/>
      <c r="E918" s="139"/>
      <c r="F918" s="139"/>
      <c r="G918" s="139"/>
      <c r="H918" s="115">
        <f t="shared" si="166"/>
        <v>9900</v>
      </c>
      <c r="I918" s="115">
        <f t="shared" si="162"/>
        <v>12900</v>
      </c>
      <c r="J918" s="115">
        <f t="shared" si="163"/>
        <v>12900</v>
      </c>
      <c r="K918" s="115">
        <f t="shared" si="164"/>
        <v>14675</v>
      </c>
      <c r="L918" s="115">
        <f t="shared" si="165"/>
        <v>14675</v>
      </c>
      <c r="M918" s="139"/>
      <c r="N918" s="139"/>
      <c r="O918" s="139"/>
      <c r="P918" s="139"/>
      <c r="Q918" s="214"/>
      <c r="R918" s="214"/>
      <c r="S918" s="214"/>
      <c r="T918" s="214">
        <f>9900</f>
        <v>9900</v>
      </c>
      <c r="U918" s="214">
        <v>3000</v>
      </c>
      <c r="V918" s="214"/>
      <c r="W918" s="214">
        <v>1775</v>
      </c>
      <c r="X918" s="214"/>
      <c r="Y918" s="214"/>
      <c r="Z918" s="214"/>
      <c r="AA918" s="214"/>
      <c r="AB918" s="214"/>
      <c r="AC918" s="200"/>
      <c r="AD918" s="139"/>
      <c r="AE918" s="169"/>
      <c r="AF918" s="169"/>
      <c r="AG918" s="169"/>
      <c r="AH918" s="120"/>
    </row>
    <row r="919" spans="1:34" ht="15">
      <c r="A919" s="150"/>
      <c r="B919" s="128"/>
      <c r="C919" s="128" t="s">
        <v>1948</v>
      </c>
      <c r="E919" s="120"/>
      <c r="F919" s="120"/>
      <c r="G919" s="120"/>
      <c r="H919" s="115">
        <f t="shared" si="166"/>
        <v>900</v>
      </c>
      <c r="I919" s="115">
        <f t="shared" si="162"/>
        <v>900</v>
      </c>
      <c r="J919" s="115">
        <f t="shared" si="163"/>
        <v>900</v>
      </c>
      <c r="K919" s="115">
        <f t="shared" si="164"/>
        <v>900</v>
      </c>
      <c r="L919" s="115">
        <f t="shared" si="165"/>
        <v>900</v>
      </c>
      <c r="M919" s="120"/>
      <c r="N919" s="120"/>
      <c r="O919" s="120"/>
      <c r="P919" s="120"/>
      <c r="Q919" s="116"/>
      <c r="R919" s="116"/>
      <c r="S919" s="116"/>
      <c r="T919" s="116">
        <v>900</v>
      </c>
      <c r="U919" s="116"/>
      <c r="V919" s="116"/>
      <c r="W919" s="116"/>
      <c r="X919" s="116"/>
      <c r="Y919" s="116"/>
      <c r="Z919" s="116"/>
      <c r="AA919" s="116"/>
      <c r="AB919" s="116"/>
      <c r="AC919" s="115"/>
      <c r="AD919" s="139"/>
      <c r="AE919" s="169" t="s">
        <v>1949</v>
      </c>
      <c r="AF919" s="169"/>
      <c r="AG919" s="169"/>
      <c r="AH919" s="120"/>
    </row>
    <row r="920" spans="1:34" ht="15">
      <c r="A920" s="150"/>
      <c r="B920" s="128"/>
      <c r="C920" s="128" t="s">
        <v>1950</v>
      </c>
      <c r="E920" s="120"/>
      <c r="F920" s="120"/>
      <c r="G920" s="120"/>
      <c r="H920" s="115">
        <f t="shared" si="166"/>
        <v>9000</v>
      </c>
      <c r="I920" s="115">
        <f t="shared" si="162"/>
        <v>9000</v>
      </c>
      <c r="J920" s="115">
        <f t="shared" si="163"/>
        <v>9000</v>
      </c>
      <c r="K920" s="115">
        <f t="shared" si="164"/>
        <v>9000</v>
      </c>
      <c r="L920" s="115">
        <f t="shared" si="165"/>
        <v>9000</v>
      </c>
      <c r="M920" s="120"/>
      <c r="N920" s="120"/>
      <c r="O920" s="120"/>
      <c r="P920" s="120"/>
      <c r="Q920" s="116"/>
      <c r="R920" s="116"/>
      <c r="S920" s="116"/>
      <c r="T920" s="116">
        <v>9000</v>
      </c>
      <c r="U920" s="116"/>
      <c r="V920" s="116"/>
      <c r="W920" s="116"/>
      <c r="X920" s="116"/>
      <c r="Y920" s="116"/>
      <c r="Z920" s="116"/>
      <c r="AA920" s="116"/>
      <c r="AB920" s="116"/>
      <c r="AC920" s="115"/>
      <c r="AD920" s="139"/>
      <c r="AE920" s="169"/>
      <c r="AF920" s="169"/>
      <c r="AG920" s="169">
        <v>88054.14</v>
      </c>
      <c r="AH920" s="120"/>
    </row>
    <row r="921" spans="1:34" ht="15">
      <c r="A921" s="150"/>
      <c r="B921" s="128"/>
      <c r="C921" s="128" t="s">
        <v>1951</v>
      </c>
      <c r="E921" s="115"/>
      <c r="F921" s="115"/>
      <c r="G921" s="115"/>
      <c r="H921" s="115">
        <f t="shared" si="166"/>
        <v>1400</v>
      </c>
      <c r="I921" s="115">
        <f t="shared" si="162"/>
        <v>1400</v>
      </c>
      <c r="J921" s="115">
        <f t="shared" si="163"/>
        <v>1400</v>
      </c>
      <c r="K921" s="115">
        <f t="shared" si="164"/>
        <v>1400</v>
      </c>
      <c r="L921" s="115">
        <f t="shared" si="165"/>
        <v>1400</v>
      </c>
      <c r="M921" s="115"/>
      <c r="N921" s="115"/>
      <c r="O921" s="115"/>
      <c r="P921" s="115"/>
      <c r="Q921" s="116"/>
      <c r="R921" s="116"/>
      <c r="S921" s="116"/>
      <c r="T921" s="116">
        <v>1400</v>
      </c>
      <c r="U921" s="116"/>
      <c r="V921" s="116"/>
      <c r="W921" s="116"/>
      <c r="X921" s="116"/>
      <c r="Y921" s="116"/>
      <c r="Z921" s="116"/>
      <c r="AA921" s="116"/>
      <c r="AB921" s="116"/>
      <c r="AC921" s="115"/>
      <c r="AD921" s="139"/>
      <c r="AE921" s="169"/>
      <c r="AF921" s="169"/>
      <c r="AG921" s="169"/>
      <c r="AH921" s="120"/>
    </row>
    <row r="922" spans="1:34" ht="15">
      <c r="A922" s="150"/>
      <c r="B922" s="128"/>
      <c r="C922" s="128" t="s">
        <v>1952</v>
      </c>
      <c r="E922" s="115"/>
      <c r="F922" s="115"/>
      <c r="G922" s="115"/>
      <c r="H922" s="115">
        <f t="shared" si="166"/>
        <v>4621</v>
      </c>
      <c r="I922" s="115">
        <f t="shared" si="162"/>
        <v>4621</v>
      </c>
      <c r="J922" s="115">
        <f t="shared" si="163"/>
        <v>4621</v>
      </c>
      <c r="K922" s="115">
        <f t="shared" si="164"/>
        <v>4621</v>
      </c>
      <c r="L922" s="115">
        <f t="shared" si="165"/>
        <v>4621</v>
      </c>
      <c r="M922" s="115"/>
      <c r="N922" s="115"/>
      <c r="O922" s="115"/>
      <c r="P922" s="115"/>
      <c r="Q922" s="116"/>
      <c r="R922" s="116"/>
      <c r="S922" s="116"/>
      <c r="T922" s="116">
        <v>4621</v>
      </c>
      <c r="U922" s="116"/>
      <c r="V922" s="116"/>
      <c r="W922" s="116"/>
      <c r="X922" s="116"/>
      <c r="Y922" s="116"/>
      <c r="Z922" s="116"/>
      <c r="AA922" s="116"/>
      <c r="AB922" s="116"/>
      <c r="AC922" s="115"/>
      <c r="AD922" s="139"/>
      <c r="AE922" s="169"/>
      <c r="AF922" s="169"/>
      <c r="AG922" s="169"/>
      <c r="AH922" s="120"/>
    </row>
    <row r="923" spans="1:34" ht="15">
      <c r="A923" s="150"/>
      <c r="B923" s="128"/>
      <c r="C923" s="128" t="s">
        <v>1953</v>
      </c>
      <c r="E923" s="115"/>
      <c r="F923" s="115"/>
      <c r="G923" s="115"/>
      <c r="H923" s="115">
        <f t="shared" si="166"/>
        <v>7500</v>
      </c>
      <c r="I923" s="115">
        <f t="shared" si="162"/>
        <v>7500</v>
      </c>
      <c r="J923" s="115">
        <f t="shared" si="163"/>
        <v>7500</v>
      </c>
      <c r="K923" s="115">
        <f t="shared" si="164"/>
        <v>7500</v>
      </c>
      <c r="L923" s="115">
        <f t="shared" si="165"/>
        <v>7500</v>
      </c>
      <c r="M923" s="115"/>
      <c r="N923" s="115"/>
      <c r="O923" s="115"/>
      <c r="P923" s="115"/>
      <c r="Q923" s="116"/>
      <c r="R923" s="116"/>
      <c r="S923" s="116"/>
      <c r="T923" s="116">
        <f>7500</f>
        <v>7500</v>
      </c>
      <c r="U923" s="116"/>
      <c r="V923" s="116"/>
      <c r="W923" s="116"/>
      <c r="X923" s="116"/>
      <c r="Y923" s="116"/>
      <c r="Z923" s="116"/>
      <c r="AA923" s="116"/>
      <c r="AB923" s="116"/>
      <c r="AC923" s="115"/>
      <c r="AD923" s="139"/>
      <c r="AE923" s="169"/>
      <c r="AF923" s="169"/>
      <c r="AG923" s="169"/>
      <c r="AH923" s="120"/>
    </row>
    <row r="924" spans="1:34" ht="15">
      <c r="A924" s="150"/>
      <c r="B924" s="128"/>
      <c r="C924" s="128" t="s">
        <v>1954</v>
      </c>
      <c r="D924" s="128"/>
      <c r="E924" s="139"/>
      <c r="F924" s="139"/>
      <c r="G924" s="139"/>
      <c r="H924" s="115">
        <f t="shared" si="166"/>
        <v>216.63</v>
      </c>
      <c r="I924" s="115">
        <f t="shared" si="162"/>
        <v>216.63</v>
      </c>
      <c r="J924" s="115">
        <f t="shared" si="163"/>
        <v>216.63</v>
      </c>
      <c r="K924" s="115">
        <f t="shared" si="164"/>
        <v>216.63</v>
      </c>
      <c r="L924" s="115">
        <f t="shared" si="165"/>
        <v>216.63</v>
      </c>
      <c r="M924" s="139"/>
      <c r="N924" s="139"/>
      <c r="O924" s="139"/>
      <c r="P924" s="139"/>
      <c r="Q924" s="214"/>
      <c r="R924" s="214"/>
      <c r="S924" s="214"/>
      <c r="T924" s="214">
        <v>216.63</v>
      </c>
      <c r="U924" s="214"/>
      <c r="V924" s="214"/>
      <c r="W924" s="214"/>
      <c r="X924" s="214"/>
      <c r="Y924" s="214"/>
      <c r="Z924" s="214"/>
      <c r="AA924" s="214"/>
      <c r="AB924" s="214"/>
      <c r="AC924" s="200"/>
      <c r="AD924" s="139"/>
      <c r="AE924" s="169"/>
      <c r="AF924" s="169">
        <v>88054.14</v>
      </c>
      <c r="AG924" s="169"/>
      <c r="AH924" s="120"/>
    </row>
    <row r="925" spans="1:34" ht="15">
      <c r="A925" s="150"/>
      <c r="B925" s="128"/>
      <c r="C925" s="128" t="s">
        <v>1955</v>
      </c>
      <c r="D925" s="128"/>
      <c r="E925" s="139"/>
      <c r="F925" s="139"/>
      <c r="G925" s="139"/>
      <c r="H925" s="115">
        <f t="shared" si="166"/>
        <v>1000</v>
      </c>
      <c r="I925" s="115">
        <f t="shared" si="162"/>
        <v>1000</v>
      </c>
      <c r="J925" s="115">
        <f t="shared" si="163"/>
        <v>1000</v>
      </c>
      <c r="K925" s="115">
        <f t="shared" si="164"/>
        <v>1000</v>
      </c>
      <c r="L925" s="115">
        <f t="shared" si="165"/>
        <v>1000</v>
      </c>
      <c r="M925" s="139"/>
      <c r="N925" s="139"/>
      <c r="O925" s="139"/>
      <c r="P925" s="139"/>
      <c r="Q925" s="214"/>
      <c r="R925" s="214"/>
      <c r="S925" s="214"/>
      <c r="T925" s="214">
        <v>1000</v>
      </c>
      <c r="U925" s="214"/>
      <c r="V925" s="214"/>
      <c r="W925" s="214"/>
      <c r="X925" s="214"/>
      <c r="Y925" s="214"/>
      <c r="Z925" s="214"/>
      <c r="AA925" s="214"/>
      <c r="AB925" s="214"/>
      <c r="AC925" s="200"/>
      <c r="AD925" s="139"/>
      <c r="AE925" s="169"/>
      <c r="AF925" s="169"/>
      <c r="AG925" s="169"/>
      <c r="AH925" s="120"/>
    </row>
    <row r="926" spans="1:34" ht="15">
      <c r="A926" s="150"/>
      <c r="B926" s="128"/>
      <c r="C926" s="128" t="s">
        <v>1956</v>
      </c>
      <c r="D926" s="128"/>
      <c r="E926" s="139"/>
      <c r="F926" s="139"/>
      <c r="G926" s="139"/>
      <c r="H926" s="115">
        <f t="shared" si="166"/>
        <v>200</v>
      </c>
      <c r="I926" s="115">
        <f t="shared" si="162"/>
        <v>200</v>
      </c>
      <c r="J926" s="115">
        <f t="shared" si="163"/>
        <v>200</v>
      </c>
      <c r="K926" s="115">
        <f t="shared" si="164"/>
        <v>200</v>
      </c>
      <c r="L926" s="115">
        <f t="shared" si="165"/>
        <v>200</v>
      </c>
      <c r="M926" s="139"/>
      <c r="N926" s="139"/>
      <c r="O926" s="139"/>
      <c r="P926" s="139"/>
      <c r="Q926" s="214"/>
      <c r="R926" s="214"/>
      <c r="S926" s="214"/>
      <c r="T926" s="214">
        <v>200</v>
      </c>
      <c r="U926" s="214"/>
      <c r="V926" s="214"/>
      <c r="W926" s="214"/>
      <c r="X926" s="214"/>
      <c r="Y926" s="214"/>
      <c r="Z926" s="214"/>
      <c r="AA926" s="214"/>
      <c r="AB926" s="214"/>
      <c r="AC926" s="200"/>
      <c r="AD926" s="139"/>
      <c r="AE926" s="169"/>
      <c r="AF926" s="169"/>
      <c r="AG926" s="169"/>
      <c r="AH926" s="120"/>
    </row>
    <row r="927" spans="1:34" ht="15">
      <c r="A927" s="150"/>
      <c r="B927" s="128"/>
      <c r="C927" s="128" t="s">
        <v>1957</v>
      </c>
      <c r="D927" s="128"/>
      <c r="E927" s="139"/>
      <c r="F927" s="139"/>
      <c r="G927" s="139"/>
      <c r="H927" s="115">
        <f t="shared" si="166"/>
        <v>1872</v>
      </c>
      <c r="I927" s="115">
        <f t="shared" si="162"/>
        <v>1872</v>
      </c>
      <c r="J927" s="115">
        <f t="shared" si="163"/>
        <v>1872</v>
      </c>
      <c r="K927" s="115">
        <f t="shared" si="164"/>
        <v>1872</v>
      </c>
      <c r="L927" s="115">
        <f t="shared" si="165"/>
        <v>1872</v>
      </c>
      <c r="M927" s="139"/>
      <c r="N927" s="139"/>
      <c r="O927" s="139"/>
      <c r="P927" s="139"/>
      <c r="Q927" s="214"/>
      <c r="R927" s="214"/>
      <c r="S927" s="214"/>
      <c r="T927" s="214">
        <v>1872</v>
      </c>
      <c r="U927" s="214"/>
      <c r="V927" s="214"/>
      <c r="W927" s="214"/>
      <c r="X927" s="214"/>
      <c r="Y927" s="214"/>
      <c r="Z927" s="214"/>
      <c r="AA927" s="214"/>
      <c r="AB927" s="214"/>
      <c r="AC927" s="200"/>
      <c r="AD927" s="139"/>
      <c r="AE927" s="169"/>
      <c r="AF927" s="169"/>
      <c r="AG927" s="169"/>
      <c r="AH927" s="120"/>
    </row>
    <row r="928" spans="1:34" ht="15">
      <c r="A928" s="150"/>
      <c r="B928" s="128"/>
      <c r="C928" s="128" t="s">
        <v>1958</v>
      </c>
      <c r="D928" s="128"/>
      <c r="E928" s="139"/>
      <c r="F928" s="139"/>
      <c r="G928" s="139"/>
      <c r="H928" s="115">
        <f t="shared" si="166"/>
        <v>7500</v>
      </c>
      <c r="I928" s="115">
        <f t="shared" si="162"/>
        <v>7500</v>
      </c>
      <c r="J928" s="115">
        <f t="shared" si="163"/>
        <v>7500</v>
      </c>
      <c r="K928" s="115">
        <f t="shared" si="164"/>
        <v>7500</v>
      </c>
      <c r="L928" s="115">
        <f t="shared" si="165"/>
        <v>7500</v>
      </c>
      <c r="M928" s="139"/>
      <c r="N928" s="139"/>
      <c r="O928" s="139"/>
      <c r="P928" s="139"/>
      <c r="Q928" s="214"/>
      <c r="R928" s="214"/>
      <c r="S928" s="214"/>
      <c r="T928" s="214">
        <v>7500</v>
      </c>
      <c r="U928" s="214"/>
      <c r="V928" s="214"/>
      <c r="W928" s="214"/>
      <c r="X928" s="214"/>
      <c r="Y928" s="214"/>
      <c r="Z928" s="214"/>
      <c r="AA928" s="214"/>
      <c r="AB928" s="214"/>
      <c r="AC928" s="200"/>
      <c r="AD928" s="139"/>
      <c r="AE928" s="169"/>
      <c r="AF928" s="169"/>
      <c r="AG928" s="169"/>
      <c r="AH928" s="120"/>
    </row>
    <row r="929" spans="1:34" ht="15">
      <c r="A929" s="150"/>
      <c r="B929" s="128"/>
      <c r="C929" s="128" t="s">
        <v>1959</v>
      </c>
      <c r="D929" s="120"/>
      <c r="E929" s="190"/>
      <c r="F929" s="190"/>
      <c r="G929" s="190"/>
      <c r="H929" s="115">
        <f t="shared" si="166"/>
        <v>715</v>
      </c>
      <c r="I929" s="115">
        <f t="shared" si="162"/>
        <v>715</v>
      </c>
      <c r="J929" s="115">
        <f t="shared" si="163"/>
        <v>715</v>
      </c>
      <c r="K929" s="115">
        <f t="shared" si="164"/>
        <v>715</v>
      </c>
      <c r="L929" s="115">
        <f t="shared" si="165"/>
        <v>715</v>
      </c>
      <c r="M929" s="190"/>
      <c r="N929" s="190"/>
      <c r="O929" s="190"/>
      <c r="P929" s="190"/>
      <c r="Q929" s="161"/>
      <c r="R929" s="161"/>
      <c r="S929" s="161"/>
      <c r="T929" s="161">
        <v>715</v>
      </c>
      <c r="U929" s="161"/>
      <c r="V929" s="161"/>
      <c r="W929" s="161"/>
      <c r="X929" s="161"/>
      <c r="Y929" s="161"/>
      <c r="Z929" s="161"/>
      <c r="AA929" s="161"/>
      <c r="AB929" s="161"/>
      <c r="AC929" s="160"/>
      <c r="AD929" s="139"/>
      <c r="AE929" s="169"/>
      <c r="AF929" s="169"/>
      <c r="AG929" s="169"/>
      <c r="AH929" s="120"/>
    </row>
    <row r="930" spans="1:34" ht="15">
      <c r="A930" s="150"/>
      <c r="B930" s="128"/>
      <c r="C930" s="128" t="s">
        <v>1959</v>
      </c>
      <c r="D930" s="120"/>
      <c r="E930" s="190"/>
      <c r="F930" s="190"/>
      <c r="G930" s="190"/>
      <c r="H930" s="115">
        <f t="shared" si="166"/>
        <v>3040</v>
      </c>
      <c r="I930" s="115">
        <f t="shared" si="162"/>
        <v>3040</v>
      </c>
      <c r="J930" s="115">
        <f t="shared" si="163"/>
        <v>3040</v>
      </c>
      <c r="K930" s="115">
        <f t="shared" si="164"/>
        <v>3040</v>
      </c>
      <c r="L930" s="115">
        <f t="shared" si="165"/>
        <v>3040</v>
      </c>
      <c r="M930" s="190"/>
      <c r="N930" s="190"/>
      <c r="O930" s="190"/>
      <c r="P930" s="190"/>
      <c r="Q930" s="161"/>
      <c r="R930" s="161"/>
      <c r="S930" s="161"/>
      <c r="T930" s="161">
        <v>3040</v>
      </c>
      <c r="U930" s="161"/>
      <c r="V930" s="161"/>
      <c r="W930" s="161"/>
      <c r="X930" s="161"/>
      <c r="Y930" s="161"/>
      <c r="Z930" s="161"/>
      <c r="AA930" s="161"/>
      <c r="AB930" s="161"/>
      <c r="AC930" s="160"/>
      <c r="AD930" s="139"/>
      <c r="AE930" s="169"/>
      <c r="AF930" s="169"/>
      <c r="AG930" s="169"/>
      <c r="AH930" s="120"/>
    </row>
    <row r="931" spans="1:34" ht="15">
      <c r="A931" s="150"/>
      <c r="B931" s="128"/>
      <c r="C931" s="128" t="s">
        <v>1959</v>
      </c>
      <c r="D931" s="120"/>
      <c r="E931" s="190"/>
      <c r="F931" s="190"/>
      <c r="G931" s="190"/>
      <c r="H931" s="115">
        <f t="shared" si="166"/>
        <v>1940</v>
      </c>
      <c r="I931" s="115">
        <f t="shared" si="162"/>
        <v>1940</v>
      </c>
      <c r="J931" s="115">
        <f t="shared" si="163"/>
        <v>1940</v>
      </c>
      <c r="K931" s="115">
        <f t="shared" si="164"/>
        <v>1940</v>
      </c>
      <c r="L931" s="115">
        <f t="shared" si="165"/>
        <v>1940</v>
      </c>
      <c r="M931" s="190"/>
      <c r="N931" s="190"/>
      <c r="O931" s="190"/>
      <c r="P931" s="190"/>
      <c r="Q931" s="161"/>
      <c r="R931" s="161"/>
      <c r="S931" s="161"/>
      <c r="T931" s="161">
        <v>1940</v>
      </c>
      <c r="U931" s="161"/>
      <c r="V931" s="161"/>
      <c r="W931" s="161"/>
      <c r="X931" s="161"/>
      <c r="Y931" s="161"/>
      <c r="Z931" s="161"/>
      <c r="AA931" s="161"/>
      <c r="AB931" s="161"/>
      <c r="AC931" s="160"/>
      <c r="AD931" s="139"/>
      <c r="AE931" s="169"/>
      <c r="AF931" s="169"/>
      <c r="AG931" s="169"/>
      <c r="AH931" s="120"/>
    </row>
    <row r="932" spans="1:34" ht="15">
      <c r="A932" s="150"/>
      <c r="B932" s="128"/>
      <c r="C932" s="128" t="s">
        <v>1959</v>
      </c>
      <c r="D932" s="120"/>
      <c r="E932" s="190"/>
      <c r="F932" s="190"/>
      <c r="G932" s="190"/>
      <c r="H932" s="115">
        <f t="shared" si="166"/>
        <v>500</v>
      </c>
      <c r="I932" s="115">
        <f t="shared" si="162"/>
        <v>500</v>
      </c>
      <c r="J932" s="115">
        <f t="shared" si="163"/>
        <v>500</v>
      </c>
      <c r="K932" s="115">
        <f t="shared" si="164"/>
        <v>500</v>
      </c>
      <c r="L932" s="115">
        <f t="shared" si="165"/>
        <v>500</v>
      </c>
      <c r="M932" s="190"/>
      <c r="N932" s="190"/>
      <c r="O932" s="190"/>
      <c r="P932" s="190"/>
      <c r="Q932" s="161"/>
      <c r="R932" s="161"/>
      <c r="S932" s="161"/>
      <c r="T932" s="161">
        <v>500</v>
      </c>
      <c r="U932" s="161"/>
      <c r="V932" s="161"/>
      <c r="W932" s="161"/>
      <c r="X932" s="161"/>
      <c r="Y932" s="161"/>
      <c r="Z932" s="161"/>
      <c r="AA932" s="161"/>
      <c r="AB932" s="161"/>
      <c r="AC932" s="160"/>
      <c r="AD932" s="139"/>
      <c r="AE932" s="169"/>
      <c r="AF932" s="169"/>
      <c r="AG932" s="169"/>
      <c r="AH932" s="120"/>
    </row>
    <row r="933" spans="1:34" ht="15">
      <c r="A933" s="150"/>
      <c r="B933" s="128"/>
      <c r="C933" s="128" t="s">
        <v>1960</v>
      </c>
      <c r="E933" s="120"/>
      <c r="F933" s="120"/>
      <c r="G933" s="120"/>
      <c r="H933" s="115">
        <f t="shared" si="166"/>
        <v>2500</v>
      </c>
      <c r="I933" s="115">
        <f t="shared" si="162"/>
        <v>2500</v>
      </c>
      <c r="J933" s="115">
        <f t="shared" si="163"/>
        <v>2500</v>
      </c>
      <c r="K933" s="115">
        <f t="shared" si="164"/>
        <v>2500</v>
      </c>
      <c r="L933" s="115">
        <f t="shared" si="165"/>
        <v>2500</v>
      </c>
      <c r="M933" s="120"/>
      <c r="N933" s="120"/>
      <c r="O933" s="120"/>
      <c r="P933" s="120"/>
      <c r="Q933" s="116"/>
      <c r="R933" s="116"/>
      <c r="S933" s="116"/>
      <c r="T933" s="116">
        <v>2500</v>
      </c>
      <c r="U933" s="116"/>
      <c r="V933" s="116"/>
      <c r="W933" s="116"/>
      <c r="X933" s="116"/>
      <c r="Y933" s="116"/>
      <c r="Z933" s="116"/>
      <c r="AA933" s="116"/>
      <c r="AB933" s="116"/>
      <c r="AC933" s="115"/>
      <c r="AD933" s="139"/>
      <c r="AE933" s="169"/>
      <c r="AF933" s="169"/>
      <c r="AG933" s="169"/>
      <c r="AH933" s="120"/>
    </row>
    <row r="934" spans="1:34" ht="15">
      <c r="A934" s="150"/>
      <c r="B934" s="128"/>
      <c r="C934" s="128" t="s">
        <v>1960</v>
      </c>
      <c r="E934" s="120"/>
      <c r="F934" s="120"/>
      <c r="G934" s="120"/>
      <c r="H934" s="115">
        <f t="shared" si="166"/>
        <v>1978</v>
      </c>
      <c r="I934" s="115">
        <f t="shared" si="162"/>
        <v>1978</v>
      </c>
      <c r="J934" s="115">
        <f t="shared" si="163"/>
        <v>1978</v>
      </c>
      <c r="K934" s="115">
        <f t="shared" si="164"/>
        <v>1978</v>
      </c>
      <c r="L934" s="115">
        <f t="shared" si="165"/>
        <v>1978</v>
      </c>
      <c r="M934" s="120"/>
      <c r="N934" s="120"/>
      <c r="O934" s="120"/>
      <c r="P934" s="120"/>
      <c r="Q934" s="116"/>
      <c r="R934" s="116"/>
      <c r="S934" s="116"/>
      <c r="T934" s="116">
        <f>7784.5+435+640+415+63+1473+146+2552.7+10000-10000-146-1473-2552.7-435-640-3500-2192.5-462-130</f>
        <v>1978</v>
      </c>
      <c r="U934" s="116"/>
      <c r="V934" s="116"/>
      <c r="W934" s="116"/>
      <c r="X934" s="116"/>
      <c r="Y934" s="116"/>
      <c r="Z934" s="116"/>
      <c r="AA934" s="116"/>
      <c r="AB934" s="116"/>
      <c r="AC934" s="115"/>
      <c r="AD934" s="139"/>
      <c r="AE934" s="169"/>
      <c r="AF934" s="169"/>
      <c r="AG934" s="169"/>
      <c r="AH934" s="120"/>
    </row>
    <row r="935" spans="1:34" ht="15">
      <c r="A935" s="150"/>
      <c r="B935" s="128"/>
      <c r="C935" s="128" t="s">
        <v>1960</v>
      </c>
      <c r="E935" s="120"/>
      <c r="F935" s="120"/>
      <c r="G935" s="120"/>
      <c r="H935" s="115"/>
      <c r="I935" s="115"/>
      <c r="J935" s="115">
        <f t="shared" si="163"/>
        <v>5230</v>
      </c>
      <c r="K935" s="115">
        <f t="shared" si="164"/>
        <v>5230</v>
      </c>
      <c r="L935" s="115">
        <f t="shared" si="165"/>
        <v>5230</v>
      </c>
      <c r="M935" s="120"/>
      <c r="N935" s="120"/>
      <c r="O935" s="120"/>
      <c r="P935" s="120"/>
      <c r="Q935" s="116"/>
      <c r="R935" s="116"/>
      <c r="S935" s="116"/>
      <c r="T935" s="116"/>
      <c r="U935" s="116"/>
      <c r="V935" s="116">
        <v>5230</v>
      </c>
      <c r="W935" s="116"/>
      <c r="X935" s="116"/>
      <c r="Y935" s="116"/>
      <c r="Z935" s="116"/>
      <c r="AA935" s="116"/>
      <c r="AB935" s="116"/>
      <c r="AC935" s="115"/>
      <c r="AD935" s="139"/>
      <c r="AE935" s="169"/>
      <c r="AF935" s="169"/>
      <c r="AG935" s="169"/>
      <c r="AH935" s="120"/>
    </row>
    <row r="936" spans="1:34" ht="15">
      <c r="A936" s="150"/>
      <c r="B936" s="128"/>
      <c r="C936" s="128" t="s">
        <v>1960</v>
      </c>
      <c r="E936" s="120"/>
      <c r="F936" s="120"/>
      <c r="G936" s="120"/>
      <c r="H936" s="115"/>
      <c r="I936" s="115"/>
      <c r="J936" s="115">
        <f t="shared" si="163"/>
        <v>1440</v>
      </c>
      <c r="K936" s="115">
        <f t="shared" si="164"/>
        <v>1440</v>
      </c>
      <c r="L936" s="115">
        <f t="shared" si="165"/>
        <v>1440</v>
      </c>
      <c r="M936" s="120"/>
      <c r="N936" s="120"/>
      <c r="O936" s="120"/>
      <c r="P936" s="120"/>
      <c r="Q936" s="116"/>
      <c r="R936" s="116"/>
      <c r="S936" s="116"/>
      <c r="T936" s="116"/>
      <c r="U936" s="116"/>
      <c r="V936" s="116">
        <v>1440</v>
      </c>
      <c r="W936" s="116"/>
      <c r="X936" s="116"/>
      <c r="Y936" s="116"/>
      <c r="Z936" s="116"/>
      <c r="AA936" s="116"/>
      <c r="AB936" s="116"/>
      <c r="AC936" s="115"/>
      <c r="AD936" s="139"/>
      <c r="AE936" s="169"/>
      <c r="AF936" s="169"/>
      <c r="AG936" s="169"/>
      <c r="AH936" s="120"/>
    </row>
    <row r="937" spans="1:34" ht="15">
      <c r="A937" s="150"/>
      <c r="B937" s="128"/>
      <c r="C937" s="128" t="s">
        <v>1960</v>
      </c>
      <c r="E937" s="120"/>
      <c r="F937" s="120"/>
      <c r="G937" s="120"/>
      <c r="H937" s="115"/>
      <c r="I937" s="115"/>
      <c r="J937" s="115"/>
      <c r="K937" s="115"/>
      <c r="L937" s="115">
        <f t="shared" si="165"/>
        <v>42000</v>
      </c>
      <c r="M937" s="120"/>
      <c r="N937" s="120"/>
      <c r="O937" s="120"/>
      <c r="P937" s="120"/>
      <c r="Q937" s="116"/>
      <c r="R937" s="116"/>
      <c r="S937" s="116"/>
      <c r="T937" s="116"/>
      <c r="U937" s="116"/>
      <c r="V937" s="116"/>
      <c r="W937" s="116"/>
      <c r="X937" s="116">
        <v>42000</v>
      </c>
      <c r="Y937" s="116"/>
      <c r="Z937" s="116"/>
      <c r="AA937" s="116"/>
      <c r="AB937" s="116"/>
      <c r="AC937" s="115"/>
      <c r="AD937" s="139"/>
      <c r="AE937" s="169"/>
      <c r="AF937" s="169"/>
      <c r="AG937" s="169"/>
      <c r="AH937" s="120"/>
    </row>
    <row r="938" spans="1:34" ht="15">
      <c r="A938" s="150"/>
      <c r="B938" s="128"/>
      <c r="C938" s="128" t="s">
        <v>1961</v>
      </c>
      <c r="E938" s="115"/>
      <c r="F938" s="115"/>
      <c r="G938" s="115"/>
      <c r="H938" s="115">
        <f t="shared" si="166"/>
        <v>214.2</v>
      </c>
      <c r="I938" s="115">
        <f t="shared" si="162"/>
        <v>214.2</v>
      </c>
      <c r="J938" s="115">
        <f t="shared" si="163"/>
        <v>214.2</v>
      </c>
      <c r="K938" s="115">
        <f t="shared" si="164"/>
        <v>214.2</v>
      </c>
      <c r="L938" s="115">
        <f t="shared" si="165"/>
        <v>214.2</v>
      </c>
      <c r="M938" s="115"/>
      <c r="N938" s="115"/>
      <c r="O938" s="115"/>
      <c r="P938" s="115"/>
      <c r="Q938" s="116"/>
      <c r="R938" s="116"/>
      <c r="S938" s="116"/>
      <c r="T938" s="116">
        <v>214.2</v>
      </c>
      <c r="U938" s="116"/>
      <c r="V938" s="116"/>
      <c r="W938" s="116"/>
      <c r="X938" s="116"/>
      <c r="Y938" s="116"/>
      <c r="Z938" s="116"/>
      <c r="AA938" s="116"/>
      <c r="AB938" s="116"/>
      <c r="AC938" s="115"/>
      <c r="AD938" s="139"/>
      <c r="AE938" s="169"/>
      <c r="AF938" s="169"/>
      <c r="AG938" s="169"/>
      <c r="AH938" s="120"/>
    </row>
    <row r="939" spans="1:34" ht="15">
      <c r="A939" s="150"/>
      <c r="B939" s="128"/>
      <c r="C939" s="128" t="s">
        <v>1962</v>
      </c>
      <c r="D939" s="128"/>
      <c r="E939" s="139"/>
      <c r="F939" s="139"/>
      <c r="G939" s="139"/>
      <c r="H939" s="115">
        <f t="shared" si="166"/>
        <v>1000</v>
      </c>
      <c r="I939" s="115">
        <f t="shared" si="162"/>
        <v>1000</v>
      </c>
      <c r="J939" s="115">
        <f t="shared" si="163"/>
        <v>1000</v>
      </c>
      <c r="K939" s="115">
        <f t="shared" si="164"/>
        <v>1000</v>
      </c>
      <c r="L939" s="115">
        <f t="shared" si="165"/>
        <v>1000</v>
      </c>
      <c r="M939" s="139"/>
      <c r="N939" s="139"/>
      <c r="O939" s="139"/>
      <c r="P939" s="139"/>
      <c r="Q939" s="214"/>
      <c r="R939" s="214"/>
      <c r="S939" s="214"/>
      <c r="T939" s="214">
        <v>1000</v>
      </c>
      <c r="U939" s="214"/>
      <c r="V939" s="214"/>
      <c r="W939" s="214"/>
      <c r="X939" s="214"/>
      <c r="Y939" s="214"/>
      <c r="Z939" s="214"/>
      <c r="AA939" s="214"/>
      <c r="AB939" s="214"/>
      <c r="AC939" s="200"/>
      <c r="AD939" s="139"/>
      <c r="AE939" s="169"/>
      <c r="AF939" s="169"/>
      <c r="AG939" s="169"/>
      <c r="AH939" s="120"/>
    </row>
    <row r="940" spans="1:34" ht="15">
      <c r="A940" s="150"/>
      <c r="B940" s="128"/>
      <c r="C940" s="128" t="s">
        <v>1963</v>
      </c>
      <c r="E940" s="120"/>
      <c r="F940" s="120"/>
      <c r="G940" s="120"/>
      <c r="H940" s="115">
        <f t="shared" si="166"/>
        <v>5000</v>
      </c>
      <c r="I940" s="115">
        <f t="shared" si="162"/>
        <v>5000</v>
      </c>
      <c r="J940" s="115">
        <f t="shared" si="163"/>
        <v>5000</v>
      </c>
      <c r="K940" s="115">
        <f t="shared" si="164"/>
        <v>5000</v>
      </c>
      <c r="L940" s="115">
        <f t="shared" si="165"/>
        <v>5000</v>
      </c>
      <c r="M940" s="120"/>
      <c r="N940" s="120"/>
      <c r="O940" s="120"/>
      <c r="P940" s="120"/>
      <c r="Q940" s="116"/>
      <c r="R940" s="116"/>
      <c r="S940" s="116"/>
      <c r="T940" s="116">
        <v>5000</v>
      </c>
      <c r="U940" s="116"/>
      <c r="V940" s="116"/>
      <c r="W940" s="116"/>
      <c r="X940" s="116"/>
      <c r="Y940" s="116"/>
      <c r="Z940" s="116"/>
      <c r="AA940" s="116"/>
      <c r="AB940" s="116"/>
      <c r="AC940" s="115"/>
      <c r="AD940" s="139"/>
      <c r="AE940" s="169"/>
      <c r="AF940" s="169"/>
      <c r="AG940" s="169"/>
      <c r="AH940" s="120"/>
    </row>
    <row r="941" spans="1:34" ht="15">
      <c r="A941" s="150"/>
      <c r="B941" s="128"/>
      <c r="C941" s="128" t="s">
        <v>1963</v>
      </c>
      <c r="E941" s="120"/>
      <c r="F941" s="120"/>
      <c r="G941" s="120"/>
      <c r="H941" s="115">
        <f t="shared" si="166"/>
        <v>600</v>
      </c>
      <c r="I941" s="115">
        <f t="shared" si="162"/>
        <v>600</v>
      </c>
      <c r="J941" s="115">
        <f t="shared" si="163"/>
        <v>600</v>
      </c>
      <c r="K941" s="115">
        <f t="shared" si="164"/>
        <v>600</v>
      </c>
      <c r="L941" s="115">
        <f t="shared" si="165"/>
        <v>600</v>
      </c>
      <c r="M941" s="120"/>
      <c r="N941" s="120"/>
      <c r="O941" s="120"/>
      <c r="P941" s="120"/>
      <c r="Q941" s="116"/>
      <c r="R941" s="116"/>
      <c r="S941" s="116"/>
      <c r="T941" s="116">
        <v>600</v>
      </c>
      <c r="U941" s="116"/>
      <c r="V941" s="116"/>
      <c r="W941" s="116"/>
      <c r="X941" s="116"/>
      <c r="Y941" s="116"/>
      <c r="Z941" s="116"/>
      <c r="AA941" s="116"/>
      <c r="AB941" s="116"/>
      <c r="AC941" s="115"/>
      <c r="AD941" s="139"/>
      <c r="AE941" s="169"/>
      <c r="AF941" s="169"/>
      <c r="AG941" s="169"/>
      <c r="AH941" s="120"/>
    </row>
    <row r="942" spans="1:34" ht="15">
      <c r="A942" s="150"/>
      <c r="B942" s="128"/>
      <c r="C942" s="128" t="s">
        <v>1964</v>
      </c>
      <c r="D942" s="128"/>
      <c r="E942" s="215"/>
      <c r="F942" s="215"/>
      <c r="G942" s="215"/>
      <c r="H942" s="115">
        <f t="shared" si="166"/>
        <v>5000</v>
      </c>
      <c r="I942" s="115">
        <f t="shared" si="162"/>
        <v>5000</v>
      </c>
      <c r="J942" s="115">
        <f t="shared" si="163"/>
        <v>5000</v>
      </c>
      <c r="K942" s="115">
        <f t="shared" si="164"/>
        <v>5000</v>
      </c>
      <c r="L942" s="115">
        <f t="shared" si="165"/>
        <v>5000</v>
      </c>
      <c r="M942" s="215"/>
      <c r="N942" s="215"/>
      <c r="O942" s="215"/>
      <c r="P942" s="215"/>
      <c r="Q942" s="216"/>
      <c r="R942" s="216"/>
      <c r="S942" s="216"/>
      <c r="T942" s="216">
        <v>5000</v>
      </c>
      <c r="U942" s="216"/>
      <c r="V942" s="216"/>
      <c r="W942" s="216"/>
      <c r="X942" s="216"/>
      <c r="Y942" s="216"/>
      <c r="Z942" s="216"/>
      <c r="AA942" s="216"/>
      <c r="AB942" s="216"/>
      <c r="AC942" s="229"/>
      <c r="AD942" s="139"/>
      <c r="AE942" s="169"/>
      <c r="AF942" s="169"/>
      <c r="AG942" s="169"/>
      <c r="AH942" s="120"/>
    </row>
    <row r="943" spans="1:34" ht="15">
      <c r="A943" s="150"/>
      <c r="B943" s="128"/>
      <c r="C943" s="128" t="s">
        <v>1965</v>
      </c>
      <c r="D943" s="128"/>
      <c r="E943" s="139"/>
      <c r="F943" s="139"/>
      <c r="G943" s="139"/>
      <c r="H943" s="115">
        <f t="shared" si="166"/>
        <v>650</v>
      </c>
      <c r="I943" s="115">
        <f t="shared" si="162"/>
        <v>650</v>
      </c>
      <c r="J943" s="115">
        <f t="shared" si="163"/>
        <v>650</v>
      </c>
      <c r="K943" s="115">
        <f t="shared" si="164"/>
        <v>650</v>
      </c>
      <c r="L943" s="115">
        <f t="shared" si="165"/>
        <v>650</v>
      </c>
      <c r="M943" s="139"/>
      <c r="N943" s="139"/>
      <c r="O943" s="139"/>
      <c r="P943" s="139"/>
      <c r="Q943" s="214"/>
      <c r="R943" s="214"/>
      <c r="S943" s="214"/>
      <c r="T943" s="214">
        <v>650</v>
      </c>
      <c r="U943" s="214"/>
      <c r="V943" s="214"/>
      <c r="W943" s="214"/>
      <c r="X943" s="214"/>
      <c r="Y943" s="214"/>
      <c r="Z943" s="214"/>
      <c r="AA943" s="214"/>
      <c r="AB943" s="214"/>
      <c r="AC943" s="200"/>
      <c r="AD943" s="139"/>
      <c r="AE943" s="169"/>
      <c r="AF943" s="169"/>
      <c r="AG943" s="169"/>
      <c r="AH943" s="120"/>
    </row>
    <row r="944" spans="1:34" ht="15">
      <c r="A944" s="150"/>
      <c r="B944" s="128"/>
      <c r="C944" s="128" t="s">
        <v>1966</v>
      </c>
      <c r="E944" s="115"/>
      <c r="F944" s="115"/>
      <c r="G944" s="115"/>
      <c r="H944" s="115">
        <f t="shared" si="166"/>
        <v>80</v>
      </c>
      <c r="I944" s="115">
        <f t="shared" si="162"/>
        <v>80</v>
      </c>
      <c r="J944" s="115">
        <f t="shared" si="163"/>
        <v>80</v>
      </c>
      <c r="K944" s="115">
        <f t="shared" si="164"/>
        <v>80</v>
      </c>
      <c r="L944" s="115">
        <f t="shared" si="165"/>
        <v>80</v>
      </c>
      <c r="M944" s="115"/>
      <c r="N944" s="115"/>
      <c r="O944" s="115"/>
      <c r="P944" s="115"/>
      <c r="Q944" s="116"/>
      <c r="R944" s="116"/>
      <c r="S944" s="116"/>
      <c r="T944" s="116">
        <v>80</v>
      </c>
      <c r="U944" s="116"/>
      <c r="V944" s="116"/>
      <c r="W944" s="116"/>
      <c r="X944" s="116"/>
      <c r="Y944" s="116"/>
      <c r="Z944" s="116"/>
      <c r="AA944" s="116"/>
      <c r="AB944" s="116"/>
      <c r="AC944" s="115"/>
      <c r="AD944" s="139"/>
      <c r="AE944" s="169"/>
      <c r="AF944" s="169"/>
      <c r="AG944" s="169"/>
      <c r="AH944" s="120"/>
    </row>
    <row r="945" spans="1:34" ht="15">
      <c r="A945" s="150"/>
      <c r="B945" s="128"/>
      <c r="C945" s="128" t="s">
        <v>1967</v>
      </c>
      <c r="D945" s="120"/>
      <c r="E945" s="215"/>
      <c r="F945" s="215"/>
      <c r="G945" s="215"/>
      <c r="H945" s="115">
        <f t="shared" si="166"/>
        <v>1836</v>
      </c>
      <c r="I945" s="115">
        <f t="shared" si="162"/>
        <v>1836</v>
      </c>
      <c r="J945" s="115">
        <f t="shared" si="163"/>
        <v>1836</v>
      </c>
      <c r="K945" s="115">
        <f t="shared" si="164"/>
        <v>1836</v>
      </c>
      <c r="L945" s="115">
        <f t="shared" si="165"/>
        <v>1836</v>
      </c>
      <c r="M945" s="215"/>
      <c r="N945" s="215"/>
      <c r="O945" s="215"/>
      <c r="P945" s="215"/>
      <c r="Q945" s="216"/>
      <c r="R945" s="216"/>
      <c r="S945" s="216"/>
      <c r="T945" s="216">
        <v>1836</v>
      </c>
      <c r="U945" s="216"/>
      <c r="V945" s="216"/>
      <c r="W945" s="216"/>
      <c r="X945" s="216"/>
      <c r="Y945" s="216"/>
      <c r="Z945" s="216"/>
      <c r="AA945" s="216"/>
      <c r="AB945" s="216"/>
      <c r="AC945" s="229"/>
      <c r="AD945" s="139"/>
      <c r="AE945" s="169"/>
      <c r="AF945" s="169"/>
      <c r="AG945" s="169"/>
      <c r="AH945" s="120"/>
    </row>
    <row r="946" spans="1:34" ht="15">
      <c r="A946" s="150"/>
      <c r="B946" s="128"/>
      <c r="C946" s="128" t="s">
        <v>1967</v>
      </c>
      <c r="D946" s="120"/>
      <c r="E946" s="215"/>
      <c r="F946" s="215"/>
      <c r="G946" s="215"/>
      <c r="H946" s="115">
        <f t="shared" si="166"/>
        <v>605</v>
      </c>
      <c r="I946" s="115">
        <f t="shared" si="162"/>
        <v>605</v>
      </c>
      <c r="J946" s="115">
        <f t="shared" si="163"/>
        <v>605</v>
      </c>
      <c r="K946" s="115">
        <f t="shared" si="164"/>
        <v>605</v>
      </c>
      <c r="L946" s="115">
        <f t="shared" si="165"/>
        <v>605</v>
      </c>
      <c r="M946" s="215"/>
      <c r="N946" s="215"/>
      <c r="O946" s="215"/>
      <c r="P946" s="215"/>
      <c r="Q946" s="216"/>
      <c r="R946" s="216"/>
      <c r="S946" s="216"/>
      <c r="T946" s="216">
        <v>605</v>
      </c>
      <c r="U946" s="216"/>
      <c r="V946" s="216"/>
      <c r="W946" s="216"/>
      <c r="X946" s="216"/>
      <c r="Y946" s="216"/>
      <c r="Z946" s="216"/>
      <c r="AA946" s="216"/>
      <c r="AB946" s="216"/>
      <c r="AC946" s="229"/>
      <c r="AD946" s="139"/>
      <c r="AE946" s="169"/>
      <c r="AF946" s="169"/>
      <c r="AG946" s="169"/>
      <c r="AH946" s="120"/>
    </row>
    <row r="947" spans="1:34" ht="15">
      <c r="A947" s="150"/>
      <c r="B947" s="128"/>
      <c r="C947" s="128" t="s">
        <v>1968</v>
      </c>
      <c r="D947" s="128"/>
      <c r="E947" s="139"/>
      <c r="F947" s="139"/>
      <c r="G947" s="139"/>
      <c r="H947" s="115">
        <f t="shared" si="166"/>
        <v>700</v>
      </c>
      <c r="I947" s="115">
        <f t="shared" si="162"/>
        <v>700</v>
      </c>
      <c r="J947" s="115">
        <f t="shared" si="163"/>
        <v>700</v>
      </c>
      <c r="K947" s="115">
        <f t="shared" si="164"/>
        <v>700</v>
      </c>
      <c r="L947" s="115">
        <f t="shared" si="165"/>
        <v>700</v>
      </c>
      <c r="M947" s="139"/>
      <c r="N947" s="139"/>
      <c r="O947" s="139"/>
      <c r="P947" s="139"/>
      <c r="Q947" s="214"/>
      <c r="R947" s="214"/>
      <c r="S947" s="214"/>
      <c r="T947" s="214">
        <v>700</v>
      </c>
      <c r="U947" s="214"/>
      <c r="V947" s="214"/>
      <c r="W947" s="214"/>
      <c r="X947" s="214"/>
      <c r="Y947" s="214"/>
      <c r="Z947" s="214"/>
      <c r="AA947" s="214"/>
      <c r="AB947" s="214"/>
      <c r="AC947" s="200"/>
      <c r="AD947" s="139"/>
      <c r="AE947" s="169"/>
      <c r="AF947" s="169"/>
      <c r="AG947" s="169"/>
      <c r="AH947" s="120"/>
    </row>
    <row r="948" spans="1:34" ht="15">
      <c r="A948" s="150"/>
      <c r="B948" s="128"/>
      <c r="C948" s="128" t="s">
        <v>1968</v>
      </c>
      <c r="D948" s="128"/>
      <c r="E948" s="139"/>
      <c r="F948" s="139"/>
      <c r="G948" s="139"/>
      <c r="H948" s="115">
        <f t="shared" si="166"/>
        <v>1500</v>
      </c>
      <c r="I948" s="115">
        <f t="shared" si="162"/>
        <v>1500</v>
      </c>
      <c r="J948" s="115">
        <f t="shared" si="163"/>
        <v>1500</v>
      </c>
      <c r="K948" s="115">
        <f t="shared" si="164"/>
        <v>1500</v>
      </c>
      <c r="L948" s="115">
        <f t="shared" si="165"/>
        <v>1500</v>
      </c>
      <c r="M948" s="139"/>
      <c r="N948" s="139"/>
      <c r="O948" s="139"/>
      <c r="P948" s="139"/>
      <c r="Q948" s="214"/>
      <c r="R948" s="214"/>
      <c r="S948" s="214"/>
      <c r="T948" s="214">
        <v>1500</v>
      </c>
      <c r="U948" s="214"/>
      <c r="V948" s="214"/>
      <c r="W948" s="214"/>
      <c r="X948" s="214"/>
      <c r="Y948" s="214"/>
      <c r="Z948" s="214"/>
      <c r="AA948" s="214"/>
      <c r="AB948" s="214"/>
      <c r="AC948" s="200"/>
      <c r="AD948" s="139"/>
      <c r="AE948" s="169"/>
      <c r="AF948" s="169"/>
      <c r="AG948" s="169"/>
      <c r="AH948" s="120"/>
    </row>
    <row r="949" spans="1:34" ht="15">
      <c r="A949" s="150"/>
      <c r="B949" s="128"/>
      <c r="C949" s="128" t="s">
        <v>2328</v>
      </c>
      <c r="D949" s="128"/>
      <c r="E949" s="139"/>
      <c r="F949" s="139"/>
      <c r="G949" s="139"/>
      <c r="H949" s="115"/>
      <c r="I949" s="115"/>
      <c r="J949" s="115">
        <f t="shared" si="163"/>
        <v>16100</v>
      </c>
      <c r="K949" s="115">
        <f t="shared" si="164"/>
        <v>16100</v>
      </c>
      <c r="L949" s="115">
        <f t="shared" si="165"/>
        <v>16100</v>
      </c>
      <c r="M949" s="139"/>
      <c r="N949" s="139"/>
      <c r="O949" s="139"/>
      <c r="P949" s="139"/>
      <c r="Q949" s="214"/>
      <c r="R949" s="214"/>
      <c r="S949" s="214"/>
      <c r="T949" s="214"/>
      <c r="U949" s="214"/>
      <c r="V949" s="214">
        <v>16100</v>
      </c>
      <c r="W949" s="214"/>
      <c r="X949" s="214"/>
      <c r="Y949" s="214"/>
      <c r="Z949" s="214"/>
      <c r="AA949" s="214"/>
      <c r="AB949" s="214"/>
      <c r="AC949" s="200"/>
      <c r="AD949" s="139"/>
      <c r="AE949" s="169"/>
      <c r="AF949" s="169"/>
      <c r="AG949" s="169"/>
      <c r="AH949" s="120"/>
    </row>
    <row r="950" spans="1:34" ht="15">
      <c r="A950" s="150"/>
      <c r="B950" s="128"/>
      <c r="C950" s="128" t="s">
        <v>2328</v>
      </c>
      <c r="D950" s="128"/>
      <c r="E950" s="139"/>
      <c r="F950" s="139"/>
      <c r="G950" s="139"/>
      <c r="H950" s="115"/>
      <c r="I950" s="115"/>
      <c r="J950" s="115">
        <f t="shared" si="163"/>
        <v>17550</v>
      </c>
      <c r="K950" s="115">
        <f t="shared" si="164"/>
        <v>17550</v>
      </c>
      <c r="L950" s="115">
        <f t="shared" si="165"/>
        <v>17550</v>
      </c>
      <c r="M950" s="139"/>
      <c r="N950" s="139"/>
      <c r="O950" s="139"/>
      <c r="P950" s="139"/>
      <c r="Q950" s="214"/>
      <c r="R950" s="214"/>
      <c r="S950" s="214"/>
      <c r="T950" s="214"/>
      <c r="U950" s="214"/>
      <c r="V950" s="214">
        <v>17550</v>
      </c>
      <c r="W950" s="214"/>
      <c r="X950" s="214"/>
      <c r="Y950" s="214"/>
      <c r="Z950" s="214"/>
      <c r="AA950" s="214"/>
      <c r="AB950" s="214"/>
      <c r="AC950" s="200"/>
      <c r="AD950" s="139"/>
      <c r="AE950" s="169"/>
      <c r="AF950" s="169"/>
      <c r="AG950" s="169"/>
      <c r="AH950" s="120"/>
    </row>
    <row r="951" spans="1:34" ht="15">
      <c r="A951" s="150"/>
      <c r="B951" s="128"/>
      <c r="C951" s="128" t="s">
        <v>2328</v>
      </c>
      <c r="D951" s="128"/>
      <c r="E951" s="139"/>
      <c r="F951" s="139"/>
      <c r="G951" s="139"/>
      <c r="H951" s="115"/>
      <c r="I951" s="115"/>
      <c r="J951" s="115"/>
      <c r="K951" s="115"/>
      <c r="L951" s="115">
        <f t="shared" si="165"/>
        <v>10000</v>
      </c>
      <c r="M951" s="139"/>
      <c r="N951" s="139"/>
      <c r="O951" s="139"/>
      <c r="P951" s="139"/>
      <c r="Q951" s="214"/>
      <c r="R951" s="214"/>
      <c r="S951" s="214"/>
      <c r="T951" s="214"/>
      <c r="U951" s="214"/>
      <c r="V951" s="214"/>
      <c r="W951" s="214"/>
      <c r="X951" s="214">
        <v>10000</v>
      </c>
      <c r="Y951" s="214"/>
      <c r="Z951" s="214"/>
      <c r="AA951" s="214"/>
      <c r="AB951" s="214"/>
      <c r="AC951" s="200"/>
      <c r="AD951" s="139"/>
      <c r="AE951" s="169"/>
      <c r="AF951" s="169"/>
      <c r="AG951" s="169"/>
      <c r="AH951" s="120"/>
    </row>
    <row r="952" spans="1:34" ht="15">
      <c r="A952" s="150"/>
      <c r="B952" s="128"/>
      <c r="C952" s="128" t="s">
        <v>1969</v>
      </c>
      <c r="D952" s="128"/>
      <c r="E952" s="139"/>
      <c r="F952" s="139"/>
      <c r="G952" s="139"/>
      <c r="H952" s="115">
        <f t="shared" si="166"/>
        <v>50</v>
      </c>
      <c r="I952" s="115">
        <f t="shared" si="162"/>
        <v>50</v>
      </c>
      <c r="J952" s="115">
        <f t="shared" si="163"/>
        <v>50</v>
      </c>
      <c r="K952" s="115">
        <f t="shared" si="164"/>
        <v>50</v>
      </c>
      <c r="L952" s="115">
        <f t="shared" si="165"/>
        <v>50</v>
      </c>
      <c r="M952" s="139"/>
      <c r="N952" s="139"/>
      <c r="O952" s="139"/>
      <c r="P952" s="139"/>
      <c r="Q952" s="214"/>
      <c r="R952" s="214"/>
      <c r="S952" s="214"/>
      <c r="T952" s="214">
        <v>50</v>
      </c>
      <c r="U952" s="214"/>
      <c r="V952" s="214"/>
      <c r="W952" s="214"/>
      <c r="X952" s="214"/>
      <c r="Y952" s="214"/>
      <c r="Z952" s="214"/>
      <c r="AA952" s="214"/>
      <c r="AB952" s="214"/>
      <c r="AC952" s="200"/>
      <c r="AD952" s="139"/>
      <c r="AE952" s="169"/>
      <c r="AF952" s="169"/>
      <c r="AG952" s="169"/>
      <c r="AH952" s="120"/>
    </row>
    <row r="953" spans="1:34" ht="15">
      <c r="A953" s="150"/>
      <c r="B953" s="128"/>
      <c r="C953" s="128" t="s">
        <v>1970</v>
      </c>
      <c r="D953" s="128"/>
      <c r="E953" s="139"/>
      <c r="F953" s="139"/>
      <c r="G953" s="139"/>
      <c r="H953" s="115">
        <f t="shared" si="166"/>
        <v>1000</v>
      </c>
      <c r="I953" s="115">
        <f t="shared" si="162"/>
        <v>1000</v>
      </c>
      <c r="J953" s="115">
        <f t="shared" si="163"/>
        <v>1000</v>
      </c>
      <c r="K953" s="115">
        <f t="shared" si="164"/>
        <v>1000</v>
      </c>
      <c r="L953" s="115">
        <f t="shared" si="165"/>
        <v>1000</v>
      </c>
      <c r="M953" s="139"/>
      <c r="N953" s="139"/>
      <c r="O953" s="139"/>
      <c r="P953" s="139"/>
      <c r="Q953" s="214"/>
      <c r="R953" s="214"/>
      <c r="S953" s="214"/>
      <c r="T953" s="214">
        <v>1000</v>
      </c>
      <c r="U953" s="214"/>
      <c r="V953" s="214"/>
      <c r="W953" s="214"/>
      <c r="X953" s="214"/>
      <c r="Y953" s="214"/>
      <c r="Z953" s="214"/>
      <c r="AA953" s="214"/>
      <c r="AB953" s="214"/>
      <c r="AC953" s="200"/>
      <c r="AD953" s="139"/>
      <c r="AE953" s="169"/>
      <c r="AF953" s="169"/>
      <c r="AG953" s="169"/>
      <c r="AH953" s="120"/>
    </row>
    <row r="954" spans="1:34" ht="15">
      <c r="A954" s="150"/>
      <c r="B954" s="128"/>
      <c r="C954" s="128" t="s">
        <v>1971</v>
      </c>
      <c r="D954" s="128"/>
      <c r="E954" s="139"/>
      <c r="F954" s="139"/>
      <c r="G954" s="139"/>
      <c r="H954" s="115">
        <f t="shared" si="166"/>
        <v>100</v>
      </c>
      <c r="I954" s="115">
        <f t="shared" si="162"/>
        <v>100</v>
      </c>
      <c r="J954" s="115">
        <f t="shared" si="163"/>
        <v>100</v>
      </c>
      <c r="K954" s="115">
        <f t="shared" si="164"/>
        <v>100</v>
      </c>
      <c r="L954" s="115">
        <f t="shared" si="165"/>
        <v>100</v>
      </c>
      <c r="M954" s="139"/>
      <c r="N954" s="139"/>
      <c r="O954" s="139"/>
      <c r="P954" s="139"/>
      <c r="Q954" s="214"/>
      <c r="R954" s="214"/>
      <c r="S954" s="214"/>
      <c r="T954" s="214">
        <v>100</v>
      </c>
      <c r="U954" s="214"/>
      <c r="V954" s="214"/>
      <c r="W954" s="214"/>
      <c r="X954" s="214"/>
      <c r="Y954" s="214"/>
      <c r="Z954" s="214"/>
      <c r="AA954" s="214"/>
      <c r="AB954" s="214"/>
      <c r="AC954" s="200"/>
      <c r="AD954" s="139"/>
      <c r="AE954" s="169"/>
      <c r="AF954" s="169"/>
      <c r="AG954" s="169"/>
      <c r="AH954" s="120"/>
    </row>
    <row r="955" spans="1:34" ht="15">
      <c r="A955" s="150"/>
      <c r="B955" s="128"/>
      <c r="C955" s="128" t="s">
        <v>1972</v>
      </c>
      <c r="D955" s="128"/>
      <c r="E955" s="139"/>
      <c r="F955" s="139"/>
      <c r="G955" s="139"/>
      <c r="H955" s="115">
        <f t="shared" si="166"/>
        <v>7000</v>
      </c>
      <c r="I955" s="115">
        <f t="shared" si="162"/>
        <v>7000</v>
      </c>
      <c r="J955" s="115">
        <f t="shared" si="163"/>
        <v>7000</v>
      </c>
      <c r="K955" s="115">
        <f t="shared" si="164"/>
        <v>7000</v>
      </c>
      <c r="L955" s="115">
        <f t="shared" si="165"/>
        <v>7000</v>
      </c>
      <c r="M955" s="139"/>
      <c r="N955" s="139"/>
      <c r="O955" s="139"/>
      <c r="P955" s="139"/>
      <c r="Q955" s="214"/>
      <c r="R955" s="214"/>
      <c r="S955" s="214"/>
      <c r="T955" s="214">
        <v>7000</v>
      </c>
      <c r="U955" s="214"/>
      <c r="V955" s="214"/>
      <c r="W955" s="214"/>
      <c r="X955" s="214"/>
      <c r="Y955" s="214"/>
      <c r="Z955" s="214"/>
      <c r="AA955" s="214"/>
      <c r="AB955" s="214"/>
      <c r="AC955" s="200"/>
      <c r="AD955" s="139"/>
      <c r="AE955" s="169"/>
      <c r="AF955" s="169"/>
      <c r="AG955" s="169"/>
      <c r="AH955" s="120"/>
    </row>
    <row r="956" spans="1:34" ht="15">
      <c r="A956" s="150"/>
      <c r="B956" s="128"/>
      <c r="C956" s="128" t="s">
        <v>1973</v>
      </c>
      <c r="D956" s="128"/>
      <c r="E956" s="139"/>
      <c r="F956" s="139"/>
      <c r="G956" s="139"/>
      <c r="H956" s="115">
        <f t="shared" si="166"/>
        <v>246</v>
      </c>
      <c r="I956" s="115">
        <f t="shared" ref="I956:I1026" si="167">Q956+R956+S956+T956+U956</f>
        <v>246</v>
      </c>
      <c r="J956" s="115">
        <f t="shared" ref="J956:J1026" si="168">Q956+R956+S956+T956+U956+V956</f>
        <v>246</v>
      </c>
      <c r="K956" s="115">
        <f t="shared" ref="K956:K1024" si="169">Q956+R956+S956+T956+U956+V956+W956</f>
        <v>246</v>
      </c>
      <c r="L956" s="115">
        <f t="shared" ref="L956:L1022" si="170">Q956+R956+S956+T956+U956+V956+W956+X956</f>
        <v>246</v>
      </c>
      <c r="M956" s="139"/>
      <c r="N956" s="139"/>
      <c r="O956" s="139"/>
      <c r="P956" s="139"/>
      <c r="Q956" s="214"/>
      <c r="R956" s="214"/>
      <c r="S956" s="214"/>
      <c r="T956" s="214">
        <v>246</v>
      </c>
      <c r="U956" s="214"/>
      <c r="V956" s="214"/>
      <c r="W956" s="214"/>
      <c r="X956" s="214"/>
      <c r="Y956" s="214"/>
      <c r="Z956" s="214"/>
      <c r="AA956" s="214"/>
      <c r="AB956" s="214"/>
      <c r="AC956" s="200"/>
      <c r="AD956" s="139"/>
      <c r="AE956" s="169"/>
      <c r="AF956" s="169"/>
      <c r="AG956" s="169"/>
      <c r="AH956" s="120"/>
    </row>
    <row r="957" spans="1:34" ht="15">
      <c r="A957" s="150"/>
      <c r="B957" s="128"/>
      <c r="C957" s="128" t="s">
        <v>1974</v>
      </c>
      <c r="E957" s="115"/>
      <c r="F957" s="115"/>
      <c r="G957" s="115"/>
      <c r="H957" s="115">
        <f t="shared" si="166"/>
        <v>440</v>
      </c>
      <c r="I957" s="115">
        <f t="shared" si="167"/>
        <v>440</v>
      </c>
      <c r="J957" s="115">
        <f t="shared" si="168"/>
        <v>440</v>
      </c>
      <c r="K957" s="115">
        <f t="shared" si="169"/>
        <v>440</v>
      </c>
      <c r="L957" s="115">
        <f t="shared" si="170"/>
        <v>440</v>
      </c>
      <c r="M957" s="115"/>
      <c r="N957" s="115"/>
      <c r="O957" s="115"/>
      <c r="P957" s="115"/>
      <c r="Q957" s="116"/>
      <c r="R957" s="116"/>
      <c r="S957" s="116"/>
      <c r="T957" s="116">
        <f>185+255</f>
        <v>440</v>
      </c>
      <c r="U957" s="116"/>
      <c r="V957" s="116"/>
      <c r="W957" s="116"/>
      <c r="X957" s="116"/>
      <c r="Y957" s="116"/>
      <c r="Z957" s="116"/>
      <c r="AA957" s="116"/>
      <c r="AB957" s="116"/>
      <c r="AC957" s="115"/>
      <c r="AD957" s="139"/>
      <c r="AE957" s="169"/>
      <c r="AF957" s="169"/>
      <c r="AG957" s="169"/>
      <c r="AH957" s="120"/>
    </row>
    <row r="958" spans="1:34" ht="15">
      <c r="A958" s="150"/>
      <c r="B958" s="128"/>
      <c r="C958" s="128" t="s">
        <v>1974</v>
      </c>
      <c r="E958" s="115"/>
      <c r="F958" s="115"/>
      <c r="G958" s="115"/>
      <c r="H958" s="115">
        <f t="shared" si="166"/>
        <v>750</v>
      </c>
      <c r="I958" s="115">
        <f t="shared" si="167"/>
        <v>750</v>
      </c>
      <c r="J958" s="115">
        <f t="shared" si="168"/>
        <v>750</v>
      </c>
      <c r="K958" s="115">
        <f t="shared" si="169"/>
        <v>750</v>
      </c>
      <c r="L958" s="115">
        <f t="shared" si="170"/>
        <v>750</v>
      </c>
      <c r="M958" s="115"/>
      <c r="N958" s="115"/>
      <c r="O958" s="115"/>
      <c r="P958" s="115"/>
      <c r="Q958" s="116"/>
      <c r="R958" s="116"/>
      <c r="S958" s="116"/>
      <c r="T958" s="116">
        <v>750</v>
      </c>
      <c r="U958" s="116"/>
      <c r="V958" s="116"/>
      <c r="W958" s="116"/>
      <c r="X958" s="116"/>
      <c r="Y958" s="116"/>
      <c r="Z958" s="116"/>
      <c r="AA958" s="116"/>
      <c r="AB958" s="116"/>
      <c r="AC958" s="115"/>
      <c r="AD958" s="139"/>
      <c r="AE958" s="169"/>
      <c r="AF958" s="169"/>
      <c r="AG958" s="169"/>
      <c r="AH958" s="120"/>
    </row>
    <row r="959" spans="1:34" ht="15">
      <c r="A959" s="150"/>
      <c r="B959" s="128"/>
      <c r="C959" s="128" t="s">
        <v>1975</v>
      </c>
      <c r="D959" s="128"/>
      <c r="E959" s="139"/>
      <c r="F959" s="139"/>
      <c r="G959" s="139"/>
      <c r="H959" s="115">
        <f t="shared" si="166"/>
        <v>150</v>
      </c>
      <c r="I959" s="115">
        <f t="shared" si="167"/>
        <v>150</v>
      </c>
      <c r="J959" s="115">
        <f t="shared" si="168"/>
        <v>150</v>
      </c>
      <c r="K959" s="115">
        <f t="shared" si="169"/>
        <v>150</v>
      </c>
      <c r="L959" s="115">
        <f t="shared" si="170"/>
        <v>150</v>
      </c>
      <c r="M959" s="139"/>
      <c r="N959" s="139"/>
      <c r="O959" s="139"/>
      <c r="P959" s="139"/>
      <c r="Q959" s="214"/>
      <c r="R959" s="214"/>
      <c r="S959" s="214"/>
      <c r="T959" s="214">
        <v>150</v>
      </c>
      <c r="U959" s="214"/>
      <c r="V959" s="214"/>
      <c r="W959" s="214"/>
      <c r="X959" s="214"/>
      <c r="Y959" s="214"/>
      <c r="Z959" s="214"/>
      <c r="AA959" s="214"/>
      <c r="AB959" s="214"/>
      <c r="AC959" s="200"/>
      <c r="AD959" s="139"/>
      <c r="AE959" s="169"/>
      <c r="AF959" s="169"/>
      <c r="AG959" s="169"/>
      <c r="AH959" s="120"/>
    </row>
    <row r="960" spans="1:34" ht="15">
      <c r="A960" s="150"/>
      <c r="B960" s="154"/>
      <c r="C960" s="128" t="s">
        <v>1976</v>
      </c>
      <c r="D960" s="128"/>
      <c r="E960" s="139"/>
      <c r="F960" s="139"/>
      <c r="G960" s="139"/>
      <c r="H960" s="115">
        <f t="shared" si="166"/>
        <v>100</v>
      </c>
      <c r="I960" s="115">
        <f t="shared" si="167"/>
        <v>100</v>
      </c>
      <c r="J960" s="115">
        <f t="shared" si="168"/>
        <v>100</v>
      </c>
      <c r="K960" s="115">
        <f t="shared" si="169"/>
        <v>100</v>
      </c>
      <c r="L960" s="115">
        <f t="shared" si="170"/>
        <v>100</v>
      </c>
      <c r="M960" s="139"/>
      <c r="N960" s="139"/>
      <c r="O960" s="139"/>
      <c r="P960" s="139"/>
      <c r="Q960" s="214"/>
      <c r="R960" s="214"/>
      <c r="S960" s="214"/>
      <c r="T960" s="214">
        <v>100</v>
      </c>
      <c r="U960" s="214"/>
      <c r="V960" s="214"/>
      <c r="W960" s="214"/>
      <c r="X960" s="214"/>
      <c r="Y960" s="214"/>
      <c r="Z960" s="214"/>
      <c r="AA960" s="214"/>
      <c r="AB960" s="214"/>
      <c r="AC960" s="200"/>
      <c r="AD960" s="139"/>
      <c r="AE960" s="169"/>
      <c r="AF960" s="169"/>
      <c r="AG960" s="169"/>
      <c r="AH960" s="120"/>
    </row>
    <row r="961" spans="1:34" ht="15">
      <c r="A961" s="150"/>
      <c r="B961" s="128"/>
      <c r="C961" s="128" t="s">
        <v>1977</v>
      </c>
      <c r="D961" s="128"/>
      <c r="E961" s="139"/>
      <c r="F961" s="139"/>
      <c r="G961" s="139"/>
      <c r="H961" s="115">
        <f t="shared" ref="H961:H1030" si="171">Q961+R961+S961+T961</f>
        <v>2000</v>
      </c>
      <c r="I961" s="115">
        <f t="shared" si="167"/>
        <v>2000</v>
      </c>
      <c r="J961" s="115">
        <f t="shared" si="168"/>
        <v>2000</v>
      </c>
      <c r="K961" s="115">
        <f t="shared" si="169"/>
        <v>2000</v>
      </c>
      <c r="L961" s="115">
        <f t="shared" si="170"/>
        <v>2000</v>
      </c>
      <c r="M961" s="139"/>
      <c r="N961" s="139"/>
      <c r="O961" s="139"/>
      <c r="P961" s="139"/>
      <c r="Q961" s="214"/>
      <c r="R961" s="214"/>
      <c r="S961" s="214"/>
      <c r="T961" s="214">
        <v>2000</v>
      </c>
      <c r="U961" s="214"/>
      <c r="V961" s="214"/>
      <c r="W961" s="214"/>
      <c r="X961" s="214"/>
      <c r="Y961" s="214"/>
      <c r="Z961" s="214"/>
      <c r="AA961" s="214"/>
      <c r="AB961" s="214"/>
      <c r="AC961" s="200"/>
      <c r="AD961" s="139"/>
      <c r="AE961" s="169"/>
      <c r="AF961" s="169"/>
      <c r="AG961" s="169"/>
      <c r="AH961" s="120"/>
    </row>
    <row r="962" spans="1:34" ht="15">
      <c r="A962" s="150"/>
      <c r="B962" s="128"/>
      <c r="C962" s="128" t="s">
        <v>2329</v>
      </c>
      <c r="D962" s="128"/>
      <c r="E962" s="139"/>
      <c r="F962" s="139"/>
      <c r="G962" s="139"/>
      <c r="H962" s="115"/>
      <c r="I962" s="115"/>
      <c r="J962" s="115">
        <f t="shared" si="168"/>
        <v>650</v>
      </c>
      <c r="K962" s="115">
        <f t="shared" si="169"/>
        <v>650</v>
      </c>
      <c r="L962" s="115">
        <f t="shared" si="170"/>
        <v>650</v>
      </c>
      <c r="M962" s="139"/>
      <c r="N962" s="139"/>
      <c r="O962" s="139"/>
      <c r="P962" s="139"/>
      <c r="Q962" s="214"/>
      <c r="R962" s="214"/>
      <c r="S962" s="214"/>
      <c r="T962" s="214"/>
      <c r="U962" s="214"/>
      <c r="V962" s="214">
        <v>650</v>
      </c>
      <c r="W962" s="214"/>
      <c r="X962" s="214"/>
      <c r="Y962" s="214"/>
      <c r="Z962" s="214"/>
      <c r="AA962" s="214"/>
      <c r="AB962" s="214"/>
      <c r="AC962" s="200"/>
      <c r="AD962" s="139"/>
      <c r="AE962" s="169"/>
      <c r="AF962" s="169"/>
      <c r="AG962" s="169"/>
      <c r="AH962" s="120"/>
    </row>
    <row r="963" spans="1:34" ht="15">
      <c r="A963" s="150"/>
      <c r="B963" s="128"/>
      <c r="C963" s="128" t="s">
        <v>2329</v>
      </c>
      <c r="D963" s="128"/>
      <c r="E963" s="139"/>
      <c r="F963" s="139"/>
      <c r="G963" s="139"/>
      <c r="H963" s="115"/>
      <c r="I963" s="115"/>
      <c r="J963" s="115">
        <f t="shared" si="168"/>
        <v>0</v>
      </c>
      <c r="K963" s="115">
        <f t="shared" si="169"/>
        <v>1400</v>
      </c>
      <c r="L963" s="115">
        <f t="shared" si="170"/>
        <v>1400</v>
      </c>
      <c r="M963" s="139"/>
      <c r="N963" s="139"/>
      <c r="O963" s="139"/>
      <c r="P963" s="139"/>
      <c r="Q963" s="214"/>
      <c r="R963" s="214"/>
      <c r="S963" s="214"/>
      <c r="T963" s="214"/>
      <c r="U963" s="214"/>
      <c r="V963" s="214"/>
      <c r="W963" s="214">
        <v>1400</v>
      </c>
      <c r="X963" s="214"/>
      <c r="Y963" s="214"/>
      <c r="Z963" s="214"/>
      <c r="AA963" s="214"/>
      <c r="AB963" s="214"/>
      <c r="AC963" s="200"/>
      <c r="AD963" s="139"/>
      <c r="AE963" s="169"/>
      <c r="AF963" s="169"/>
      <c r="AG963" s="169"/>
      <c r="AH963" s="120"/>
    </row>
    <row r="964" spans="1:34" ht="15">
      <c r="A964" s="150"/>
      <c r="B964" s="128"/>
      <c r="C964" s="128" t="s">
        <v>2329</v>
      </c>
      <c r="D964" s="128"/>
      <c r="E964" s="139"/>
      <c r="F964" s="139"/>
      <c r="G964" s="139"/>
      <c r="H964" s="115"/>
      <c r="I964" s="115"/>
      <c r="J964" s="115">
        <f t="shared" si="168"/>
        <v>0</v>
      </c>
      <c r="K964" s="115">
        <f t="shared" si="169"/>
        <v>18000</v>
      </c>
      <c r="L964" s="115">
        <f t="shared" si="170"/>
        <v>18000</v>
      </c>
      <c r="M964" s="139"/>
      <c r="N964" s="139"/>
      <c r="O964" s="139"/>
      <c r="P964" s="139"/>
      <c r="Q964" s="214"/>
      <c r="R964" s="214"/>
      <c r="S964" s="214"/>
      <c r="T964" s="214"/>
      <c r="U964" s="214"/>
      <c r="V964" s="214"/>
      <c r="W964" s="214">
        <v>18000</v>
      </c>
      <c r="X964" s="214"/>
      <c r="Y964" s="214"/>
      <c r="Z964" s="214"/>
      <c r="AA964" s="214"/>
      <c r="AB964" s="214"/>
      <c r="AC964" s="200"/>
      <c r="AD964" s="139"/>
      <c r="AE964" s="169"/>
      <c r="AF964" s="169"/>
      <c r="AG964" s="169"/>
      <c r="AH964" s="120"/>
    </row>
    <row r="965" spans="1:34" ht="15">
      <c r="A965" s="150"/>
      <c r="B965" s="128"/>
      <c r="C965" s="128" t="s">
        <v>2329</v>
      </c>
      <c r="D965" s="128"/>
      <c r="E965" s="139"/>
      <c r="F965" s="139"/>
      <c r="G965" s="139"/>
      <c r="H965" s="115"/>
      <c r="I965" s="115"/>
      <c r="J965" s="115"/>
      <c r="K965" s="115"/>
      <c r="L965" s="115">
        <f t="shared" si="170"/>
        <v>2452</v>
      </c>
      <c r="M965" s="139"/>
      <c r="N965" s="139"/>
      <c r="O965" s="139"/>
      <c r="P965" s="139"/>
      <c r="Q965" s="214"/>
      <c r="R965" s="214"/>
      <c r="S965" s="214"/>
      <c r="T965" s="214"/>
      <c r="U965" s="214"/>
      <c r="V965" s="214"/>
      <c r="W965" s="214"/>
      <c r="X965" s="214">
        <v>2452</v>
      </c>
      <c r="Y965" s="214"/>
      <c r="Z965" s="214"/>
      <c r="AA965" s="214"/>
      <c r="AB965" s="214"/>
      <c r="AC965" s="200"/>
      <c r="AD965" s="139"/>
      <c r="AE965" s="169"/>
      <c r="AF965" s="169"/>
      <c r="AG965" s="169"/>
      <c r="AH965" s="120"/>
    </row>
    <row r="966" spans="1:34" ht="15">
      <c r="A966" s="150"/>
      <c r="B966" s="128"/>
      <c r="C966" s="128" t="s">
        <v>1978</v>
      </c>
      <c r="E966" s="120"/>
      <c r="F966" s="120"/>
      <c r="G966" s="120"/>
      <c r="H966" s="115">
        <f t="shared" si="171"/>
        <v>1000</v>
      </c>
      <c r="I966" s="115">
        <f t="shared" si="167"/>
        <v>1000</v>
      </c>
      <c r="J966" s="115">
        <f t="shared" si="168"/>
        <v>1000</v>
      </c>
      <c r="K966" s="115">
        <f t="shared" si="169"/>
        <v>1000</v>
      </c>
      <c r="L966" s="115">
        <f t="shared" si="170"/>
        <v>1000</v>
      </c>
      <c r="M966" s="120"/>
      <c r="N966" s="120"/>
      <c r="O966" s="120"/>
      <c r="P966" s="120"/>
      <c r="Q966" s="116"/>
      <c r="R966" s="116"/>
      <c r="S966" s="116"/>
      <c r="T966" s="116">
        <v>1000</v>
      </c>
      <c r="U966" s="116"/>
      <c r="V966" s="116"/>
      <c r="W966" s="116"/>
      <c r="X966" s="116"/>
      <c r="Y966" s="116"/>
      <c r="Z966" s="116"/>
      <c r="AA966" s="116"/>
      <c r="AB966" s="116"/>
      <c r="AC966" s="115"/>
      <c r="AD966" s="139"/>
      <c r="AE966" s="169"/>
      <c r="AF966" s="169"/>
      <c r="AG966" s="169"/>
      <c r="AH966" s="120"/>
    </row>
    <row r="967" spans="1:34" ht="15">
      <c r="A967" s="150"/>
      <c r="B967" s="128"/>
      <c r="C967" s="128" t="s">
        <v>1979</v>
      </c>
      <c r="E967" s="115"/>
      <c r="F967" s="115"/>
      <c r="G967" s="115"/>
      <c r="H967" s="115">
        <f t="shared" si="171"/>
        <v>36145</v>
      </c>
      <c r="I967" s="115">
        <f t="shared" si="167"/>
        <v>36145</v>
      </c>
      <c r="J967" s="115">
        <f t="shared" si="168"/>
        <v>36145</v>
      </c>
      <c r="K967" s="115">
        <f t="shared" si="169"/>
        <v>36145</v>
      </c>
      <c r="L967" s="115">
        <f t="shared" si="170"/>
        <v>36145</v>
      </c>
      <c r="M967" s="115"/>
      <c r="N967" s="115"/>
      <c r="O967" s="115"/>
      <c r="P967" s="115"/>
      <c r="Q967" s="116"/>
      <c r="R967" s="116"/>
      <c r="S967" s="116"/>
      <c r="T967" s="116">
        <f>15390+5009+1860+1500+4200+1000+2000-2259+200+400+1000+3000+2500+2000+6000+2500+3100+6200-17800+11200+7645-20500</f>
        <v>36145</v>
      </c>
      <c r="U967" s="116"/>
      <c r="V967" s="116"/>
      <c r="W967" s="116"/>
      <c r="X967" s="116"/>
      <c r="Y967" s="116"/>
      <c r="Z967" s="116"/>
      <c r="AA967" s="116"/>
      <c r="AB967" s="116"/>
      <c r="AC967" s="115"/>
      <c r="AD967" s="139"/>
      <c r="AE967" s="169"/>
      <c r="AF967" s="169"/>
      <c r="AG967" s="169"/>
      <c r="AH967" s="120"/>
    </row>
    <row r="968" spans="1:34" ht="15">
      <c r="A968" s="150"/>
      <c r="B968" s="128"/>
      <c r="C968" s="128" t="s">
        <v>2344</v>
      </c>
      <c r="E968" s="115"/>
      <c r="F968" s="115"/>
      <c r="G968" s="115"/>
      <c r="H968" s="115"/>
      <c r="I968" s="115"/>
      <c r="J968" s="115"/>
      <c r="K968" s="115"/>
      <c r="L968" s="115">
        <f t="shared" si="170"/>
        <v>632</v>
      </c>
      <c r="M968" s="115"/>
      <c r="N968" s="115"/>
      <c r="O968" s="115"/>
      <c r="P968" s="115"/>
      <c r="Q968" s="116"/>
      <c r="R968" s="116"/>
      <c r="S968" s="116"/>
      <c r="T968" s="116"/>
      <c r="U968" s="116"/>
      <c r="V968" s="116"/>
      <c r="W968" s="116"/>
      <c r="X968" s="116">
        <v>632</v>
      </c>
      <c r="Y968" s="116"/>
      <c r="Z968" s="116"/>
      <c r="AA968" s="116"/>
      <c r="AB968" s="116"/>
      <c r="AC968" s="115"/>
      <c r="AD968" s="139"/>
      <c r="AE968" s="169"/>
      <c r="AF968" s="169"/>
      <c r="AG968" s="169"/>
      <c r="AH968" s="120"/>
    </row>
    <row r="969" spans="1:34" ht="15">
      <c r="A969" s="150"/>
      <c r="B969" s="128"/>
      <c r="C969" s="128" t="s">
        <v>1980</v>
      </c>
      <c r="D969" s="128"/>
      <c r="E969" s="139"/>
      <c r="F969" s="139"/>
      <c r="G969" s="139"/>
      <c r="H969" s="115">
        <f t="shared" si="171"/>
        <v>7500</v>
      </c>
      <c r="I969" s="115">
        <f t="shared" si="167"/>
        <v>7500</v>
      </c>
      <c r="J969" s="115">
        <f t="shared" si="168"/>
        <v>7500</v>
      </c>
      <c r="K969" s="115">
        <f t="shared" si="169"/>
        <v>7500</v>
      </c>
      <c r="L969" s="115">
        <f t="shared" si="170"/>
        <v>7500</v>
      </c>
      <c r="M969" s="139"/>
      <c r="N969" s="139"/>
      <c r="O969" s="139"/>
      <c r="P969" s="139"/>
      <c r="Q969" s="214"/>
      <c r="R969" s="214"/>
      <c r="S969" s="214"/>
      <c r="T969" s="214">
        <f>7500</f>
        <v>7500</v>
      </c>
      <c r="U969" s="214"/>
      <c r="V969" s="214"/>
      <c r="W969" s="214"/>
      <c r="X969" s="214"/>
      <c r="Y969" s="214"/>
      <c r="Z969" s="214"/>
      <c r="AA969" s="214"/>
      <c r="AB969" s="214"/>
      <c r="AC969" s="200"/>
      <c r="AD969" s="139"/>
      <c r="AE969" s="169"/>
      <c r="AF969" s="169"/>
      <c r="AG969" s="169"/>
      <c r="AH969" s="120"/>
    </row>
    <row r="970" spans="1:34" ht="15">
      <c r="A970" s="150"/>
      <c r="B970" s="128"/>
      <c r="C970" s="128" t="s">
        <v>1981</v>
      </c>
      <c r="D970" s="128"/>
      <c r="E970" s="139"/>
      <c r="F970" s="139"/>
      <c r="G970" s="139"/>
      <c r="H970" s="115">
        <f t="shared" si="171"/>
        <v>315</v>
      </c>
      <c r="I970" s="115">
        <f t="shared" si="167"/>
        <v>315</v>
      </c>
      <c r="J970" s="115">
        <f t="shared" si="168"/>
        <v>315</v>
      </c>
      <c r="K970" s="115">
        <f t="shared" si="169"/>
        <v>315</v>
      </c>
      <c r="L970" s="115">
        <f t="shared" si="170"/>
        <v>315</v>
      </c>
      <c r="M970" s="139"/>
      <c r="N970" s="139"/>
      <c r="O970" s="139"/>
      <c r="P970" s="139"/>
      <c r="Q970" s="214"/>
      <c r="R970" s="214"/>
      <c r="S970" s="214"/>
      <c r="T970" s="214">
        <v>315</v>
      </c>
      <c r="U970" s="214"/>
      <c r="V970" s="214"/>
      <c r="W970" s="214"/>
      <c r="X970" s="214"/>
      <c r="Y970" s="214"/>
      <c r="Z970" s="214"/>
      <c r="AA970" s="214"/>
      <c r="AB970" s="214"/>
      <c r="AC970" s="200"/>
      <c r="AD970" s="139"/>
      <c r="AE970" s="169"/>
      <c r="AF970" s="169"/>
      <c r="AG970" s="169"/>
      <c r="AH970" s="120"/>
    </row>
    <row r="971" spans="1:34" ht="15">
      <c r="A971" s="150"/>
      <c r="B971" s="128"/>
      <c r="C971" s="128" t="s">
        <v>1981</v>
      </c>
      <c r="D971" s="128"/>
      <c r="E971" s="139"/>
      <c r="F971" s="139"/>
      <c r="G971" s="139"/>
      <c r="H971" s="115">
        <f t="shared" si="171"/>
        <v>570</v>
      </c>
      <c r="I971" s="115">
        <f t="shared" si="167"/>
        <v>570</v>
      </c>
      <c r="J971" s="115">
        <f t="shared" si="168"/>
        <v>570</v>
      </c>
      <c r="K971" s="115">
        <f t="shared" si="169"/>
        <v>570</v>
      </c>
      <c r="L971" s="115">
        <f t="shared" si="170"/>
        <v>570</v>
      </c>
      <c r="M971" s="139"/>
      <c r="N971" s="139"/>
      <c r="O971" s="139"/>
      <c r="P971" s="139"/>
      <c r="Q971" s="214"/>
      <c r="R971" s="214"/>
      <c r="S971" s="214"/>
      <c r="T971" s="214">
        <v>570</v>
      </c>
      <c r="U971" s="214"/>
      <c r="V971" s="214"/>
      <c r="W971" s="214"/>
      <c r="X971" s="214"/>
      <c r="Y971" s="214"/>
      <c r="Z971" s="214"/>
      <c r="AA971" s="214"/>
      <c r="AB971" s="214"/>
      <c r="AC971" s="200"/>
      <c r="AD971" s="139"/>
      <c r="AE971" s="169"/>
      <c r="AF971" s="169"/>
      <c r="AG971" s="169"/>
      <c r="AH971" s="120"/>
    </row>
    <row r="972" spans="1:34" ht="15">
      <c r="A972" s="150"/>
      <c r="B972" s="128"/>
      <c r="C972" s="128" t="s">
        <v>1982</v>
      </c>
      <c r="D972" s="128"/>
      <c r="E972" s="139"/>
      <c r="F972" s="139"/>
      <c r="G972" s="139"/>
      <c r="H972" s="115">
        <f t="shared" si="171"/>
        <v>350</v>
      </c>
      <c r="I972" s="115">
        <f t="shared" si="167"/>
        <v>350</v>
      </c>
      <c r="J972" s="115">
        <f t="shared" si="168"/>
        <v>350</v>
      </c>
      <c r="K972" s="115">
        <f t="shared" si="169"/>
        <v>350</v>
      </c>
      <c r="L972" s="115">
        <f t="shared" si="170"/>
        <v>350</v>
      </c>
      <c r="M972" s="139"/>
      <c r="N972" s="139"/>
      <c r="O972" s="139"/>
      <c r="P972" s="139"/>
      <c r="Q972" s="214"/>
      <c r="R972" s="214"/>
      <c r="S972" s="214"/>
      <c r="T972" s="214">
        <v>350</v>
      </c>
      <c r="U972" s="214"/>
      <c r="V972" s="214"/>
      <c r="W972" s="214"/>
      <c r="X972" s="214"/>
      <c r="Y972" s="214"/>
      <c r="Z972" s="214"/>
      <c r="AA972" s="214"/>
      <c r="AB972" s="214"/>
      <c r="AC972" s="200"/>
      <c r="AD972" s="139"/>
      <c r="AE972" s="169"/>
      <c r="AF972" s="169"/>
      <c r="AG972" s="169"/>
      <c r="AH972" s="120"/>
    </row>
    <row r="973" spans="1:34" ht="15">
      <c r="A973" s="150"/>
      <c r="B973" s="128"/>
      <c r="C973" s="128" t="s">
        <v>1983</v>
      </c>
      <c r="D973" s="128"/>
      <c r="E973" s="139"/>
      <c r="F973" s="139"/>
      <c r="G973" s="139"/>
      <c r="H973" s="115">
        <f t="shared" si="171"/>
        <v>1000</v>
      </c>
      <c r="I973" s="115">
        <f t="shared" si="167"/>
        <v>1000</v>
      </c>
      <c r="J973" s="115">
        <f t="shared" si="168"/>
        <v>1000</v>
      </c>
      <c r="K973" s="115">
        <f t="shared" si="169"/>
        <v>1000</v>
      </c>
      <c r="L973" s="115">
        <f t="shared" si="170"/>
        <v>1000</v>
      </c>
      <c r="M973" s="139"/>
      <c r="N973" s="139"/>
      <c r="O973" s="139"/>
      <c r="P973" s="139"/>
      <c r="Q973" s="214"/>
      <c r="R973" s="214"/>
      <c r="S973" s="214"/>
      <c r="T973" s="214">
        <v>1000</v>
      </c>
      <c r="U973" s="214"/>
      <c r="V973" s="214"/>
      <c r="W973" s="214"/>
      <c r="X973" s="214"/>
      <c r="Y973" s="214"/>
      <c r="Z973" s="214"/>
      <c r="AA973" s="214"/>
      <c r="AB973" s="214"/>
      <c r="AC973" s="200"/>
      <c r="AD973" s="139"/>
      <c r="AE973" s="169"/>
      <c r="AF973" s="169"/>
      <c r="AG973" s="169"/>
      <c r="AH973" s="120"/>
    </row>
    <row r="974" spans="1:34" ht="15">
      <c r="A974" s="150"/>
      <c r="B974" s="154"/>
      <c r="C974" s="128" t="s">
        <v>1983</v>
      </c>
      <c r="E974" s="115"/>
      <c r="F974" s="115"/>
      <c r="G974" s="115"/>
      <c r="H974" s="115">
        <f t="shared" si="171"/>
        <v>370.69999999999982</v>
      </c>
      <c r="I974" s="115">
        <f t="shared" si="167"/>
        <v>370.69999999999982</v>
      </c>
      <c r="J974" s="115">
        <f t="shared" si="168"/>
        <v>370.69999999999982</v>
      </c>
      <c r="K974" s="115">
        <f t="shared" si="169"/>
        <v>370.69999999999982</v>
      </c>
      <c r="L974" s="115">
        <f t="shared" si="170"/>
        <v>370.69999999999982</v>
      </c>
      <c r="M974" s="115"/>
      <c r="N974" s="115"/>
      <c r="O974" s="115"/>
      <c r="P974" s="115"/>
      <c r="Q974" s="116"/>
      <c r="R974" s="116"/>
      <c r="S974" s="116"/>
      <c r="T974" s="116">
        <f>1139+600+330-1369+817.7-1147+650+1360+2283-650-1360-2283</f>
        <v>370.69999999999982</v>
      </c>
      <c r="U974" s="116"/>
      <c r="V974" s="116"/>
      <c r="W974" s="116"/>
      <c r="X974" s="116"/>
      <c r="Y974" s="116"/>
      <c r="Z974" s="116"/>
      <c r="AA974" s="116"/>
      <c r="AB974" s="116"/>
      <c r="AC974" s="115"/>
      <c r="AD974" s="139"/>
      <c r="AE974" s="169"/>
      <c r="AF974" s="169"/>
      <c r="AG974" s="169"/>
      <c r="AH974" s="120"/>
    </row>
    <row r="975" spans="1:34" ht="15">
      <c r="A975" s="150"/>
      <c r="B975" s="128"/>
      <c r="C975" s="128" t="s">
        <v>1983</v>
      </c>
      <c r="E975" s="115"/>
      <c r="F975" s="115"/>
      <c r="G975" s="115"/>
      <c r="H975" s="115">
        <f t="shared" si="171"/>
        <v>1000</v>
      </c>
      <c r="I975" s="115">
        <f t="shared" si="167"/>
        <v>1000</v>
      </c>
      <c r="J975" s="115">
        <f t="shared" si="168"/>
        <v>1000</v>
      </c>
      <c r="K975" s="115">
        <f t="shared" si="169"/>
        <v>1000</v>
      </c>
      <c r="L975" s="115">
        <f t="shared" si="170"/>
        <v>1000</v>
      </c>
      <c r="M975" s="115"/>
      <c r="N975" s="115"/>
      <c r="O975" s="115"/>
      <c r="P975" s="115"/>
      <c r="Q975" s="116"/>
      <c r="R975" s="116"/>
      <c r="S975" s="116"/>
      <c r="T975" s="116">
        <v>1000</v>
      </c>
      <c r="U975" s="116"/>
      <c r="V975" s="116"/>
      <c r="W975" s="116"/>
      <c r="X975" s="116"/>
      <c r="Y975" s="116"/>
      <c r="Z975" s="116"/>
      <c r="AA975" s="116"/>
      <c r="AB975" s="116"/>
      <c r="AC975" s="115"/>
      <c r="AD975" s="139"/>
      <c r="AE975" s="169"/>
      <c r="AF975" s="169"/>
      <c r="AG975" s="169"/>
      <c r="AH975" s="120"/>
    </row>
    <row r="976" spans="1:34" ht="15">
      <c r="A976" s="150"/>
      <c r="B976" s="128"/>
      <c r="C976" s="128" t="s">
        <v>1984</v>
      </c>
      <c r="E976" s="115"/>
      <c r="F976" s="115"/>
      <c r="G976" s="115"/>
      <c r="H976" s="115">
        <f t="shared" si="171"/>
        <v>80</v>
      </c>
      <c r="I976" s="115">
        <f t="shared" si="167"/>
        <v>80</v>
      </c>
      <c r="J976" s="115">
        <f t="shared" si="168"/>
        <v>80</v>
      </c>
      <c r="K976" s="115">
        <f t="shared" si="169"/>
        <v>80</v>
      </c>
      <c r="L976" s="115">
        <f t="shared" si="170"/>
        <v>80</v>
      </c>
      <c r="M976" s="115"/>
      <c r="N976" s="115"/>
      <c r="O976" s="115"/>
      <c r="P976" s="115"/>
      <c r="Q976" s="116"/>
      <c r="R976" s="116"/>
      <c r="S976" s="116"/>
      <c r="T976" s="116">
        <f>80+200-200</f>
        <v>80</v>
      </c>
      <c r="U976" s="116"/>
      <c r="V976" s="116"/>
      <c r="W976" s="116"/>
      <c r="X976" s="116"/>
      <c r="Y976" s="116"/>
      <c r="Z976" s="116"/>
      <c r="AA976" s="116"/>
      <c r="AB976" s="116"/>
      <c r="AC976" s="115"/>
      <c r="AD976" s="139"/>
      <c r="AE976" s="169"/>
      <c r="AF976" s="169"/>
      <c r="AG976" s="169"/>
      <c r="AH976" s="120"/>
    </row>
    <row r="977" spans="1:34" ht="15">
      <c r="A977" s="150"/>
      <c r="B977" s="128"/>
      <c r="C977" s="128" t="s">
        <v>1985</v>
      </c>
      <c r="D977" s="128"/>
      <c r="E977" s="139"/>
      <c r="F977" s="139"/>
      <c r="G977" s="139"/>
      <c r="H977" s="115">
        <f t="shared" si="171"/>
        <v>3800</v>
      </c>
      <c r="I977" s="115">
        <f t="shared" si="167"/>
        <v>3800</v>
      </c>
      <c r="J977" s="115">
        <f t="shared" si="168"/>
        <v>3800</v>
      </c>
      <c r="K977" s="115">
        <f t="shared" si="169"/>
        <v>3800</v>
      </c>
      <c r="L977" s="115">
        <f t="shared" si="170"/>
        <v>3800</v>
      </c>
      <c r="M977" s="139"/>
      <c r="N977" s="139"/>
      <c r="O977" s="139"/>
      <c r="P977" s="139"/>
      <c r="Q977" s="214"/>
      <c r="R977" s="214"/>
      <c r="S977" s="214"/>
      <c r="T977" s="214">
        <v>3800</v>
      </c>
      <c r="U977" s="214"/>
      <c r="V977" s="214"/>
      <c r="W977" s="214"/>
      <c r="X977" s="214"/>
      <c r="Y977" s="214"/>
      <c r="Z977" s="214"/>
      <c r="AA977" s="214"/>
      <c r="AB977" s="214"/>
      <c r="AC977" s="200"/>
      <c r="AD977" s="139"/>
      <c r="AE977" s="169"/>
      <c r="AF977" s="169"/>
      <c r="AG977" s="169"/>
      <c r="AH977" s="120"/>
    </row>
    <row r="978" spans="1:34" ht="15">
      <c r="A978" s="150"/>
      <c r="B978" s="128"/>
      <c r="C978" s="128" t="s">
        <v>1986</v>
      </c>
      <c r="D978" s="128"/>
      <c r="E978" s="139"/>
      <c r="F978" s="139"/>
      <c r="G978" s="139"/>
      <c r="H978" s="115">
        <f t="shared" si="171"/>
        <v>850</v>
      </c>
      <c r="I978" s="115">
        <f t="shared" si="167"/>
        <v>850</v>
      </c>
      <c r="J978" s="115">
        <f t="shared" si="168"/>
        <v>850</v>
      </c>
      <c r="K978" s="115">
        <f t="shared" si="169"/>
        <v>850</v>
      </c>
      <c r="L978" s="115">
        <f t="shared" si="170"/>
        <v>850</v>
      </c>
      <c r="M978" s="139"/>
      <c r="N978" s="139"/>
      <c r="O978" s="139"/>
      <c r="P978" s="139"/>
      <c r="Q978" s="214"/>
      <c r="R978" s="214"/>
      <c r="S978" s="214"/>
      <c r="T978" s="214">
        <v>850</v>
      </c>
      <c r="U978" s="214"/>
      <c r="V978" s="214"/>
      <c r="W978" s="214"/>
      <c r="X978" s="214"/>
      <c r="Y978" s="214"/>
      <c r="Z978" s="214"/>
      <c r="AA978" s="214"/>
      <c r="AB978" s="214"/>
      <c r="AC978" s="200"/>
      <c r="AD978" s="139"/>
      <c r="AE978" s="169"/>
      <c r="AF978" s="169"/>
      <c r="AG978" s="169"/>
      <c r="AH978" s="120"/>
    </row>
    <row r="979" spans="1:34" ht="15">
      <c r="A979" s="150"/>
      <c r="B979" s="128"/>
      <c r="C979" s="128" t="s">
        <v>1987</v>
      </c>
      <c r="D979" s="128"/>
      <c r="E979" s="139"/>
      <c r="F979" s="139"/>
      <c r="G979" s="139"/>
      <c r="H979" s="115">
        <f t="shared" si="171"/>
        <v>400</v>
      </c>
      <c r="I979" s="115">
        <f t="shared" si="167"/>
        <v>400</v>
      </c>
      <c r="J979" s="115">
        <f t="shared" si="168"/>
        <v>400</v>
      </c>
      <c r="K979" s="115">
        <f t="shared" si="169"/>
        <v>400</v>
      </c>
      <c r="L979" s="115">
        <f t="shared" si="170"/>
        <v>400</v>
      </c>
      <c r="M979" s="139"/>
      <c r="N979" s="139"/>
      <c r="O979" s="139"/>
      <c r="P979" s="139"/>
      <c r="Q979" s="214"/>
      <c r="R979" s="214"/>
      <c r="S979" s="214"/>
      <c r="T979" s="214">
        <v>400</v>
      </c>
      <c r="U979" s="214"/>
      <c r="V979" s="214"/>
      <c r="W979" s="214"/>
      <c r="X979" s="214"/>
      <c r="Y979" s="214"/>
      <c r="Z979" s="214"/>
      <c r="AA979" s="214"/>
      <c r="AB979" s="214"/>
      <c r="AC979" s="200"/>
      <c r="AD979" s="139"/>
      <c r="AE979" s="169"/>
      <c r="AF979" s="169"/>
      <c r="AG979" s="169"/>
      <c r="AH979" s="120"/>
    </row>
    <row r="980" spans="1:34" ht="15">
      <c r="A980" s="150"/>
      <c r="B980" s="128"/>
      <c r="C980" s="128" t="s">
        <v>1988</v>
      </c>
      <c r="D980" s="128"/>
      <c r="E980" s="139"/>
      <c r="F980" s="139"/>
      <c r="G980" s="139"/>
      <c r="H980" s="115">
        <f t="shared" si="171"/>
        <v>615</v>
      </c>
      <c r="I980" s="115">
        <f t="shared" si="167"/>
        <v>615</v>
      </c>
      <c r="J980" s="115">
        <f t="shared" si="168"/>
        <v>615</v>
      </c>
      <c r="K980" s="115">
        <f t="shared" si="169"/>
        <v>615</v>
      </c>
      <c r="L980" s="115">
        <f t="shared" si="170"/>
        <v>615</v>
      </c>
      <c r="M980" s="139"/>
      <c r="N980" s="139"/>
      <c r="O980" s="139"/>
      <c r="P980" s="139"/>
      <c r="Q980" s="214"/>
      <c r="R980" s="214"/>
      <c r="S980" s="214"/>
      <c r="T980" s="214">
        <v>615</v>
      </c>
      <c r="U980" s="214"/>
      <c r="V980" s="214"/>
      <c r="W980" s="214"/>
      <c r="X980" s="214"/>
      <c r="Y980" s="214"/>
      <c r="Z980" s="214"/>
      <c r="AA980" s="214"/>
      <c r="AB980" s="214"/>
      <c r="AC980" s="200"/>
      <c r="AD980" s="139"/>
      <c r="AE980" s="169"/>
      <c r="AF980" s="169"/>
      <c r="AG980" s="169"/>
      <c r="AH980" s="120"/>
    </row>
    <row r="981" spans="1:34" ht="15">
      <c r="A981" s="150"/>
      <c r="B981" s="128"/>
      <c r="C981" s="128" t="s">
        <v>1989</v>
      </c>
      <c r="D981" s="128"/>
      <c r="E981" s="139"/>
      <c r="F981" s="139"/>
      <c r="G981" s="139"/>
      <c r="H981" s="115">
        <f t="shared" si="171"/>
        <v>1000</v>
      </c>
      <c r="I981" s="115">
        <f t="shared" si="167"/>
        <v>1000</v>
      </c>
      <c r="J981" s="115">
        <f t="shared" si="168"/>
        <v>1000</v>
      </c>
      <c r="K981" s="115">
        <f t="shared" si="169"/>
        <v>1000</v>
      </c>
      <c r="L981" s="115">
        <f t="shared" si="170"/>
        <v>1000</v>
      </c>
      <c r="M981" s="139"/>
      <c r="N981" s="139"/>
      <c r="O981" s="139"/>
      <c r="P981" s="139"/>
      <c r="Q981" s="214"/>
      <c r="R981" s="214"/>
      <c r="S981" s="214"/>
      <c r="T981" s="214">
        <v>1000</v>
      </c>
      <c r="U981" s="214"/>
      <c r="V981" s="214"/>
      <c r="W981" s="214"/>
      <c r="X981" s="214"/>
      <c r="Y981" s="214"/>
      <c r="Z981" s="214"/>
      <c r="AA981" s="214"/>
      <c r="AB981" s="214"/>
      <c r="AC981" s="200"/>
      <c r="AD981" s="139"/>
      <c r="AE981" s="169"/>
      <c r="AF981" s="169"/>
      <c r="AG981" s="169"/>
      <c r="AH981" s="120"/>
    </row>
    <row r="982" spans="1:34" ht="15">
      <c r="A982" s="150"/>
      <c r="B982" s="154"/>
      <c r="C982" s="128" t="s">
        <v>1990</v>
      </c>
      <c r="D982" s="128"/>
      <c r="E982" s="139"/>
      <c r="F982" s="139"/>
      <c r="G982" s="139"/>
      <c r="H982" s="115">
        <f t="shared" si="171"/>
        <v>6000</v>
      </c>
      <c r="I982" s="115">
        <f t="shared" si="167"/>
        <v>6000</v>
      </c>
      <c r="J982" s="115">
        <f t="shared" si="168"/>
        <v>6000</v>
      </c>
      <c r="K982" s="115">
        <f t="shared" si="169"/>
        <v>6000</v>
      </c>
      <c r="L982" s="115">
        <f t="shared" si="170"/>
        <v>6000</v>
      </c>
      <c r="M982" s="139"/>
      <c r="N982" s="139"/>
      <c r="O982" s="139"/>
      <c r="P982" s="139"/>
      <c r="Q982" s="214"/>
      <c r="R982" s="214"/>
      <c r="S982" s="214"/>
      <c r="T982" s="214">
        <v>6000</v>
      </c>
      <c r="U982" s="214"/>
      <c r="V982" s="214"/>
      <c r="W982" s="214"/>
      <c r="X982" s="214"/>
      <c r="Y982" s="214"/>
      <c r="Z982" s="214"/>
      <c r="AA982" s="214"/>
      <c r="AB982" s="214"/>
      <c r="AC982" s="200"/>
      <c r="AD982" s="139"/>
      <c r="AE982" s="169"/>
      <c r="AF982" s="169"/>
      <c r="AG982" s="169"/>
      <c r="AH982" s="120"/>
    </row>
    <row r="983" spans="1:34" ht="15">
      <c r="A983" s="150"/>
      <c r="B983" s="154"/>
      <c r="C983" s="128" t="s">
        <v>1991</v>
      </c>
      <c r="D983" s="120"/>
      <c r="E983" s="215"/>
      <c r="F983" s="215"/>
      <c r="G983" s="215"/>
      <c r="H983" s="115">
        <f t="shared" si="171"/>
        <v>1000</v>
      </c>
      <c r="I983" s="115">
        <f t="shared" si="167"/>
        <v>1000</v>
      </c>
      <c r="J983" s="115">
        <f t="shared" si="168"/>
        <v>1000</v>
      </c>
      <c r="K983" s="115">
        <f t="shared" si="169"/>
        <v>1000</v>
      </c>
      <c r="L983" s="115">
        <f t="shared" si="170"/>
        <v>1000</v>
      </c>
      <c r="M983" s="215"/>
      <c r="N983" s="215"/>
      <c r="O983" s="215"/>
      <c r="P983" s="215"/>
      <c r="Q983" s="216"/>
      <c r="R983" s="216"/>
      <c r="S983" s="216"/>
      <c r="T983" s="216">
        <v>1000</v>
      </c>
      <c r="U983" s="216"/>
      <c r="V983" s="216"/>
      <c r="W983" s="216"/>
      <c r="X983" s="216"/>
      <c r="Y983" s="216"/>
      <c r="Z983" s="216"/>
      <c r="AA983" s="216"/>
      <c r="AB983" s="216"/>
      <c r="AC983" s="229"/>
      <c r="AD983" s="139"/>
      <c r="AE983" s="169"/>
      <c r="AF983" s="169"/>
      <c r="AG983" s="169"/>
      <c r="AH983" s="120"/>
    </row>
    <row r="984" spans="1:34" ht="15">
      <c r="A984" s="150"/>
      <c r="B984" s="128"/>
      <c r="C984" s="128" t="s">
        <v>1992</v>
      </c>
      <c r="D984" s="128"/>
      <c r="E984" s="139"/>
      <c r="F984" s="139"/>
      <c r="G984" s="139"/>
      <c r="H984" s="115">
        <f t="shared" si="171"/>
        <v>120</v>
      </c>
      <c r="I984" s="115">
        <f t="shared" si="167"/>
        <v>120</v>
      </c>
      <c r="J984" s="115">
        <f t="shared" si="168"/>
        <v>120</v>
      </c>
      <c r="K984" s="115">
        <f t="shared" si="169"/>
        <v>120</v>
      </c>
      <c r="L984" s="115">
        <f t="shared" si="170"/>
        <v>120</v>
      </c>
      <c r="M984" s="139"/>
      <c r="N984" s="139"/>
      <c r="O984" s="139"/>
      <c r="P984" s="139"/>
      <c r="Q984" s="214"/>
      <c r="R984" s="214"/>
      <c r="S984" s="214"/>
      <c r="T984" s="214">
        <v>120</v>
      </c>
      <c r="U984" s="214"/>
      <c r="V984" s="214"/>
      <c r="W984" s="214"/>
      <c r="X984" s="214"/>
      <c r="Y984" s="214"/>
      <c r="Z984" s="214"/>
      <c r="AA984" s="214"/>
      <c r="AB984" s="214"/>
      <c r="AC984" s="200"/>
      <c r="AD984" s="139"/>
      <c r="AE984" s="169"/>
      <c r="AF984" s="169"/>
      <c r="AG984" s="169"/>
      <c r="AH984" s="120"/>
    </row>
    <row r="985" spans="1:34" ht="15">
      <c r="A985" s="150"/>
      <c r="B985" s="128"/>
      <c r="C985" s="128" t="s">
        <v>1993</v>
      </c>
      <c r="D985" s="128"/>
      <c r="E985" s="139"/>
      <c r="F985" s="139"/>
      <c r="G985" s="139"/>
      <c r="H985" s="115">
        <f t="shared" si="171"/>
        <v>700</v>
      </c>
      <c r="I985" s="115">
        <f t="shared" si="167"/>
        <v>700</v>
      </c>
      <c r="J985" s="115">
        <f t="shared" si="168"/>
        <v>700</v>
      </c>
      <c r="K985" s="115">
        <f t="shared" si="169"/>
        <v>700</v>
      </c>
      <c r="L985" s="115">
        <f t="shared" si="170"/>
        <v>700</v>
      </c>
      <c r="M985" s="139"/>
      <c r="N985" s="139"/>
      <c r="O985" s="139"/>
      <c r="P985" s="139"/>
      <c r="Q985" s="214"/>
      <c r="R985" s="214"/>
      <c r="S985" s="214"/>
      <c r="T985" s="214">
        <v>700</v>
      </c>
      <c r="U985" s="214"/>
      <c r="V985" s="214"/>
      <c r="W985" s="214"/>
      <c r="X985" s="214"/>
      <c r="Y985" s="214"/>
      <c r="Z985" s="214"/>
      <c r="AA985" s="214"/>
      <c r="AB985" s="214"/>
      <c r="AC985" s="200"/>
      <c r="AD985" s="139"/>
      <c r="AE985" s="169"/>
      <c r="AF985" s="169"/>
      <c r="AG985" s="169"/>
      <c r="AH985" s="120"/>
    </row>
    <row r="986" spans="1:34" ht="15">
      <c r="A986" s="150"/>
      <c r="B986" s="128"/>
      <c r="C986" s="128" t="s">
        <v>1994</v>
      </c>
      <c r="D986" s="128"/>
      <c r="E986" s="139"/>
      <c r="F986" s="139"/>
      <c r="G986" s="139"/>
      <c r="H986" s="115">
        <f t="shared" si="171"/>
        <v>1000</v>
      </c>
      <c r="I986" s="115">
        <f t="shared" si="167"/>
        <v>1000</v>
      </c>
      <c r="J986" s="115">
        <f t="shared" si="168"/>
        <v>1000</v>
      </c>
      <c r="K986" s="115">
        <f t="shared" si="169"/>
        <v>1000</v>
      </c>
      <c r="L986" s="115">
        <f t="shared" si="170"/>
        <v>1000</v>
      </c>
      <c r="M986" s="139"/>
      <c r="N986" s="139"/>
      <c r="O986" s="139"/>
      <c r="P986" s="139"/>
      <c r="Q986" s="214"/>
      <c r="R986" s="214"/>
      <c r="S986" s="214"/>
      <c r="T986" s="214">
        <v>1000</v>
      </c>
      <c r="U986" s="214"/>
      <c r="V986" s="214"/>
      <c r="W986" s="214"/>
      <c r="X986" s="214"/>
      <c r="Y986" s="214"/>
      <c r="Z986" s="214"/>
      <c r="AA986" s="214"/>
      <c r="AB986" s="214"/>
      <c r="AC986" s="200"/>
      <c r="AD986" s="139"/>
      <c r="AE986" s="169"/>
      <c r="AF986" s="169"/>
      <c r="AG986" s="169"/>
      <c r="AH986" s="120"/>
    </row>
    <row r="987" spans="1:34" ht="15">
      <c r="A987" s="150"/>
      <c r="B987" s="154"/>
      <c r="C987" s="128" t="s">
        <v>1995</v>
      </c>
      <c r="D987" s="128"/>
      <c r="E987" s="139"/>
      <c r="F987" s="139"/>
      <c r="G987" s="139"/>
      <c r="H987" s="115">
        <f t="shared" si="171"/>
        <v>1447</v>
      </c>
      <c r="I987" s="115">
        <f t="shared" si="167"/>
        <v>1447</v>
      </c>
      <c r="J987" s="115">
        <f t="shared" si="168"/>
        <v>1447</v>
      </c>
      <c r="K987" s="115">
        <f t="shared" si="169"/>
        <v>1447</v>
      </c>
      <c r="L987" s="115">
        <f t="shared" si="170"/>
        <v>1447</v>
      </c>
      <c r="M987" s="139"/>
      <c r="N987" s="139"/>
      <c r="O987" s="139"/>
      <c r="P987" s="139"/>
      <c r="Q987" s="214"/>
      <c r="R987" s="214"/>
      <c r="S987" s="214"/>
      <c r="T987" s="214">
        <v>1447</v>
      </c>
      <c r="U987" s="214"/>
      <c r="V987" s="214"/>
      <c r="W987" s="214"/>
      <c r="X987" s="214"/>
      <c r="Y987" s="214"/>
      <c r="Z987" s="214"/>
      <c r="AA987" s="214"/>
      <c r="AB987" s="214"/>
      <c r="AC987" s="200"/>
      <c r="AD987" s="139"/>
      <c r="AE987" s="169"/>
      <c r="AF987" s="169"/>
      <c r="AG987" s="169"/>
      <c r="AH987" s="120"/>
    </row>
    <row r="988" spans="1:34" ht="15">
      <c r="A988" s="150"/>
      <c r="B988" s="128"/>
      <c r="C988" s="128" t="s">
        <v>1996</v>
      </c>
      <c r="D988" s="128"/>
      <c r="E988" s="139"/>
      <c r="F988" s="139"/>
      <c r="G988" s="139"/>
      <c r="H988" s="115">
        <f t="shared" si="171"/>
        <v>250</v>
      </c>
      <c r="I988" s="115">
        <f t="shared" si="167"/>
        <v>250</v>
      </c>
      <c r="J988" s="115">
        <f t="shared" si="168"/>
        <v>250</v>
      </c>
      <c r="K988" s="115">
        <f t="shared" si="169"/>
        <v>250</v>
      </c>
      <c r="L988" s="115">
        <f t="shared" si="170"/>
        <v>250</v>
      </c>
      <c r="M988" s="139"/>
      <c r="N988" s="139"/>
      <c r="O988" s="139"/>
      <c r="P988" s="139"/>
      <c r="Q988" s="214"/>
      <c r="R988" s="214"/>
      <c r="S988" s="214"/>
      <c r="T988" s="214">
        <v>250</v>
      </c>
      <c r="U988" s="214"/>
      <c r="V988" s="214"/>
      <c r="W988" s="214"/>
      <c r="X988" s="214"/>
      <c r="Y988" s="214"/>
      <c r="Z988" s="214"/>
      <c r="AA988" s="214"/>
      <c r="AB988" s="214"/>
      <c r="AC988" s="200"/>
      <c r="AD988" s="139"/>
      <c r="AE988" s="169"/>
      <c r="AF988" s="169"/>
      <c r="AG988" s="169"/>
      <c r="AH988" s="120"/>
    </row>
    <row r="989" spans="1:34" ht="15">
      <c r="A989" s="150"/>
      <c r="B989" s="128"/>
      <c r="C989" s="128" t="s">
        <v>1997</v>
      </c>
      <c r="D989" s="120"/>
      <c r="E989" s="215"/>
      <c r="F989" s="215"/>
      <c r="G989" s="215"/>
      <c r="H989" s="115">
        <f t="shared" si="171"/>
        <v>1000</v>
      </c>
      <c r="I989" s="115">
        <f t="shared" si="167"/>
        <v>1000</v>
      </c>
      <c r="J989" s="115">
        <f t="shared" si="168"/>
        <v>1000</v>
      </c>
      <c r="K989" s="115">
        <f t="shared" si="169"/>
        <v>1000</v>
      </c>
      <c r="L989" s="115">
        <f t="shared" si="170"/>
        <v>1000</v>
      </c>
      <c r="M989" s="215"/>
      <c r="N989" s="215"/>
      <c r="O989" s="215"/>
      <c r="P989" s="215"/>
      <c r="Q989" s="216"/>
      <c r="R989" s="216"/>
      <c r="S989" s="216"/>
      <c r="T989" s="216">
        <v>1000</v>
      </c>
      <c r="U989" s="216"/>
      <c r="V989" s="216"/>
      <c r="W989" s="216"/>
      <c r="X989" s="216"/>
      <c r="Y989" s="216"/>
      <c r="Z989" s="216"/>
      <c r="AA989" s="216"/>
      <c r="AB989" s="216"/>
      <c r="AC989" s="229"/>
      <c r="AD989" s="139"/>
      <c r="AE989" s="169"/>
      <c r="AF989" s="169"/>
      <c r="AG989" s="169"/>
      <c r="AH989" s="120"/>
    </row>
    <row r="990" spans="1:34" ht="15">
      <c r="A990" s="150"/>
      <c r="B990" s="128"/>
      <c r="C990" s="128" t="s">
        <v>1998</v>
      </c>
      <c r="E990" s="115"/>
      <c r="F990" s="115"/>
      <c r="G990" s="115"/>
      <c r="H990" s="115">
        <f t="shared" si="171"/>
        <v>13450</v>
      </c>
      <c r="I990" s="115">
        <f t="shared" si="167"/>
        <v>13450</v>
      </c>
      <c r="J990" s="115">
        <f t="shared" si="168"/>
        <v>13450</v>
      </c>
      <c r="K990" s="115">
        <f t="shared" si="169"/>
        <v>13450</v>
      </c>
      <c r="L990" s="115">
        <f t="shared" si="170"/>
        <v>13450</v>
      </c>
      <c r="M990" s="115"/>
      <c r="N990" s="115"/>
      <c r="O990" s="115"/>
      <c r="P990" s="115"/>
      <c r="Q990" s="116"/>
      <c r="R990" s="116"/>
      <c r="S990" s="116"/>
      <c r="T990" s="116">
        <f>10000+13950-10500</f>
        <v>13450</v>
      </c>
      <c r="U990" s="116"/>
      <c r="V990" s="116"/>
      <c r="W990" s="116"/>
      <c r="X990" s="116"/>
      <c r="Y990" s="116"/>
      <c r="Z990" s="116"/>
      <c r="AA990" s="116"/>
      <c r="AB990" s="116"/>
      <c r="AC990" s="115"/>
      <c r="AD990" s="139"/>
      <c r="AE990" s="169"/>
      <c r="AF990" s="169"/>
      <c r="AG990" s="169"/>
      <c r="AH990" s="120"/>
    </row>
    <row r="991" spans="1:34" ht="15">
      <c r="A991" s="150"/>
      <c r="B991" s="128"/>
      <c r="C991" s="128" t="s">
        <v>1999</v>
      </c>
      <c r="E991" s="115"/>
      <c r="F991" s="115"/>
      <c r="G991" s="115"/>
      <c r="H991" s="115">
        <f t="shared" si="171"/>
        <v>500</v>
      </c>
      <c r="I991" s="115">
        <f t="shared" si="167"/>
        <v>500</v>
      </c>
      <c r="J991" s="115">
        <f t="shared" si="168"/>
        <v>500</v>
      </c>
      <c r="K991" s="115">
        <f t="shared" si="169"/>
        <v>500</v>
      </c>
      <c r="L991" s="115">
        <f t="shared" si="170"/>
        <v>500</v>
      </c>
      <c r="M991" s="115"/>
      <c r="N991" s="115"/>
      <c r="O991" s="115"/>
      <c r="P991" s="115"/>
      <c r="Q991" s="116"/>
      <c r="R991" s="116"/>
      <c r="S991" s="116"/>
      <c r="T991" s="116">
        <v>500</v>
      </c>
      <c r="U991" s="116"/>
      <c r="V991" s="116"/>
      <c r="W991" s="116"/>
      <c r="X991" s="116"/>
      <c r="Y991" s="116"/>
      <c r="Z991" s="116"/>
      <c r="AA991" s="116"/>
      <c r="AB991" s="116"/>
      <c r="AC991" s="115"/>
      <c r="AD991" s="139"/>
      <c r="AE991" s="169"/>
      <c r="AF991" s="169"/>
      <c r="AG991" s="169"/>
      <c r="AH991" s="120"/>
    </row>
    <row r="992" spans="1:34" ht="15">
      <c r="A992" s="150"/>
      <c r="B992" s="128"/>
      <c r="C992" s="128" t="s">
        <v>2000</v>
      </c>
      <c r="D992" s="120"/>
      <c r="E992" s="215"/>
      <c r="F992" s="215"/>
      <c r="G992" s="215"/>
      <c r="H992" s="115">
        <f t="shared" si="171"/>
        <v>500000</v>
      </c>
      <c r="I992" s="115">
        <f t="shared" si="167"/>
        <v>500000</v>
      </c>
      <c r="J992" s="115">
        <f t="shared" si="168"/>
        <v>500000</v>
      </c>
      <c r="K992" s="115">
        <f t="shared" si="169"/>
        <v>500000</v>
      </c>
      <c r="L992" s="115">
        <f t="shared" si="170"/>
        <v>500000</v>
      </c>
      <c r="M992" s="215"/>
      <c r="N992" s="215"/>
      <c r="O992" s="215"/>
      <c r="P992" s="215"/>
      <c r="Q992" s="216"/>
      <c r="R992" s="216"/>
      <c r="S992" s="216"/>
      <c r="T992" s="216">
        <v>500000</v>
      </c>
      <c r="U992" s="216"/>
      <c r="V992" s="216"/>
      <c r="W992" s="216"/>
      <c r="X992" s="216"/>
      <c r="Y992" s="216"/>
      <c r="Z992" s="216"/>
      <c r="AA992" s="216"/>
      <c r="AB992" s="216"/>
      <c r="AC992" s="229"/>
      <c r="AD992" s="139"/>
      <c r="AE992" s="169"/>
      <c r="AF992" s="169"/>
      <c r="AG992" s="169"/>
      <c r="AH992" s="120"/>
    </row>
    <row r="993" spans="1:34" ht="15">
      <c r="A993" s="150"/>
      <c r="B993" s="128"/>
      <c r="C993" s="128" t="s">
        <v>2001</v>
      </c>
      <c r="D993" s="128"/>
      <c r="E993" s="139"/>
      <c r="F993" s="139"/>
      <c r="G993" s="139"/>
      <c r="H993" s="115">
        <f t="shared" si="171"/>
        <v>300</v>
      </c>
      <c r="I993" s="115">
        <f t="shared" si="167"/>
        <v>300</v>
      </c>
      <c r="J993" s="115">
        <f t="shared" si="168"/>
        <v>300</v>
      </c>
      <c r="K993" s="115">
        <f t="shared" si="169"/>
        <v>300</v>
      </c>
      <c r="L993" s="115">
        <f t="shared" si="170"/>
        <v>300</v>
      </c>
      <c r="M993" s="139"/>
      <c r="N993" s="139"/>
      <c r="O993" s="139"/>
      <c r="P993" s="139"/>
      <c r="Q993" s="214"/>
      <c r="R993" s="214"/>
      <c r="S993" s="214"/>
      <c r="T993" s="214">
        <v>300</v>
      </c>
      <c r="U993" s="214"/>
      <c r="V993" s="214"/>
      <c r="W993" s="214"/>
      <c r="X993" s="214"/>
      <c r="Y993" s="214"/>
      <c r="Z993" s="214"/>
      <c r="AA993" s="214"/>
      <c r="AB993" s="214"/>
      <c r="AC993" s="200"/>
      <c r="AD993" s="139"/>
      <c r="AE993" s="169"/>
      <c r="AF993" s="169"/>
      <c r="AG993" s="169"/>
      <c r="AH993" s="120"/>
    </row>
    <row r="994" spans="1:34" ht="15">
      <c r="A994" s="150"/>
      <c r="B994" s="128"/>
      <c r="C994" s="128" t="s">
        <v>2002</v>
      </c>
      <c r="E994" s="115"/>
      <c r="F994" s="115"/>
      <c r="G994" s="115"/>
      <c r="H994" s="115">
        <f t="shared" si="171"/>
        <v>3000</v>
      </c>
      <c r="I994" s="115">
        <f t="shared" si="167"/>
        <v>3000</v>
      </c>
      <c r="J994" s="115">
        <f t="shared" si="168"/>
        <v>3000</v>
      </c>
      <c r="K994" s="115">
        <f t="shared" si="169"/>
        <v>3000</v>
      </c>
      <c r="L994" s="115">
        <f t="shared" si="170"/>
        <v>3000</v>
      </c>
      <c r="M994" s="115"/>
      <c r="N994" s="115"/>
      <c r="O994" s="115"/>
      <c r="P994" s="115"/>
      <c r="Q994" s="116"/>
      <c r="R994" s="116"/>
      <c r="S994" s="116"/>
      <c r="T994" s="116">
        <f>3000</f>
        <v>3000</v>
      </c>
      <c r="U994" s="116"/>
      <c r="V994" s="116"/>
      <c r="W994" s="116"/>
      <c r="X994" s="116"/>
      <c r="Y994" s="116"/>
      <c r="Z994" s="116"/>
      <c r="AA994" s="116"/>
      <c r="AB994" s="116"/>
      <c r="AC994" s="115"/>
      <c r="AD994" s="139"/>
      <c r="AE994" s="169"/>
      <c r="AF994" s="169"/>
      <c r="AG994" s="169"/>
      <c r="AH994" s="120"/>
    </row>
    <row r="995" spans="1:34" ht="15">
      <c r="A995" s="150"/>
      <c r="B995" s="128"/>
      <c r="C995" s="128" t="s">
        <v>2003</v>
      </c>
      <c r="E995" s="115"/>
      <c r="F995" s="115"/>
      <c r="G995" s="115"/>
      <c r="H995" s="115">
        <f t="shared" si="171"/>
        <v>551</v>
      </c>
      <c r="I995" s="115">
        <f t="shared" si="167"/>
        <v>551</v>
      </c>
      <c r="J995" s="115">
        <f t="shared" si="168"/>
        <v>551</v>
      </c>
      <c r="K995" s="115">
        <f t="shared" si="169"/>
        <v>551</v>
      </c>
      <c r="L995" s="115">
        <f t="shared" si="170"/>
        <v>551</v>
      </c>
      <c r="M995" s="115"/>
      <c r="N995" s="115"/>
      <c r="O995" s="115"/>
      <c r="P995" s="115"/>
      <c r="Q995" s="116"/>
      <c r="R995" s="116"/>
      <c r="S995" s="116"/>
      <c r="T995" s="116">
        <f>551</f>
        <v>551</v>
      </c>
      <c r="U995" s="116"/>
      <c r="V995" s="116"/>
      <c r="W995" s="116"/>
      <c r="X995" s="116"/>
      <c r="Y995" s="116"/>
      <c r="Z995" s="116"/>
      <c r="AA995" s="116"/>
      <c r="AB995" s="116"/>
      <c r="AC995" s="115"/>
      <c r="AD995" s="139"/>
      <c r="AE995" s="169"/>
      <c r="AF995" s="169"/>
      <c r="AG995" s="169"/>
      <c r="AH995" s="120"/>
    </row>
    <row r="996" spans="1:34" ht="15">
      <c r="A996" s="150"/>
      <c r="B996" s="128"/>
      <c r="C996" s="128" t="s">
        <v>2004</v>
      </c>
      <c r="E996" s="115"/>
      <c r="F996" s="115"/>
      <c r="G996" s="115"/>
      <c r="H996" s="115">
        <f t="shared" si="171"/>
        <v>590</v>
      </c>
      <c r="I996" s="115">
        <f t="shared" si="167"/>
        <v>590</v>
      </c>
      <c r="J996" s="115">
        <f t="shared" si="168"/>
        <v>590</v>
      </c>
      <c r="K996" s="115">
        <f t="shared" si="169"/>
        <v>590</v>
      </c>
      <c r="L996" s="115">
        <f t="shared" si="170"/>
        <v>590</v>
      </c>
      <c r="M996" s="115"/>
      <c r="N996" s="115"/>
      <c r="O996" s="115"/>
      <c r="P996" s="115"/>
      <c r="Q996" s="116"/>
      <c r="R996" s="116"/>
      <c r="S996" s="116"/>
      <c r="T996" s="116">
        <f>176+414+21772.86-21772.86</f>
        <v>590</v>
      </c>
      <c r="U996" s="116"/>
      <c r="V996" s="116"/>
      <c r="W996" s="116"/>
      <c r="X996" s="116"/>
      <c r="Y996" s="116"/>
      <c r="Z996" s="116"/>
      <c r="AA996" s="116"/>
      <c r="AB996" s="116"/>
      <c r="AC996" s="115"/>
      <c r="AD996" s="139"/>
      <c r="AE996" s="169"/>
      <c r="AF996" s="169"/>
      <c r="AG996" s="169"/>
      <c r="AH996" s="120"/>
    </row>
    <row r="997" spans="1:34" ht="15">
      <c r="A997" s="150"/>
      <c r="B997" s="128"/>
      <c r="C997" s="128" t="s">
        <v>2005</v>
      </c>
      <c r="D997" s="128"/>
      <c r="E997" s="139"/>
      <c r="F997" s="139"/>
      <c r="G997" s="139"/>
      <c r="H997" s="115">
        <f t="shared" si="171"/>
        <v>292.32</v>
      </c>
      <c r="I997" s="115">
        <f t="shared" si="167"/>
        <v>292.32</v>
      </c>
      <c r="J997" s="115">
        <f t="shared" si="168"/>
        <v>292.32</v>
      </c>
      <c r="K997" s="115">
        <f t="shared" si="169"/>
        <v>292.32</v>
      </c>
      <c r="L997" s="115">
        <f t="shared" si="170"/>
        <v>292.32</v>
      </c>
      <c r="M997" s="139"/>
      <c r="N997" s="139"/>
      <c r="O997" s="139"/>
      <c r="P997" s="139"/>
      <c r="Q997" s="214"/>
      <c r="R997" s="214"/>
      <c r="S997" s="214"/>
      <c r="T997" s="214">
        <v>292.32</v>
      </c>
      <c r="U997" s="214"/>
      <c r="V997" s="214"/>
      <c r="W997" s="214"/>
      <c r="X997" s="214"/>
      <c r="Y997" s="214"/>
      <c r="Z997" s="214"/>
      <c r="AA997" s="214"/>
      <c r="AB997" s="214"/>
      <c r="AC997" s="200"/>
      <c r="AD997" s="139"/>
      <c r="AE997" s="169"/>
      <c r="AF997" s="169"/>
      <c r="AG997" s="169"/>
      <c r="AH997" s="120"/>
    </row>
    <row r="998" spans="1:34" ht="15">
      <c r="A998" s="150"/>
      <c r="B998" s="128"/>
      <c r="C998" s="128" t="s">
        <v>2006</v>
      </c>
      <c r="E998" s="115"/>
      <c r="F998" s="115"/>
      <c r="G998" s="115"/>
      <c r="H998" s="115">
        <f t="shared" si="171"/>
        <v>1402.5</v>
      </c>
      <c r="I998" s="115">
        <f t="shared" si="167"/>
        <v>1402.5</v>
      </c>
      <c r="J998" s="115">
        <f t="shared" si="168"/>
        <v>1402.5</v>
      </c>
      <c r="K998" s="115">
        <f t="shared" si="169"/>
        <v>1402.5</v>
      </c>
      <c r="L998" s="115">
        <f t="shared" si="170"/>
        <v>1402.5</v>
      </c>
      <c r="M998" s="115"/>
      <c r="N998" s="115"/>
      <c r="O998" s="115"/>
      <c r="P998" s="115"/>
      <c r="Q998" s="116"/>
      <c r="R998" s="116"/>
      <c r="S998" s="116"/>
      <c r="T998" s="116">
        <f>432+33+937.5</f>
        <v>1402.5</v>
      </c>
      <c r="U998" s="116"/>
      <c r="V998" s="116"/>
      <c r="W998" s="116"/>
      <c r="X998" s="116"/>
      <c r="Y998" s="116"/>
      <c r="Z998" s="116"/>
      <c r="AA998" s="116"/>
      <c r="AB998" s="116"/>
      <c r="AC998" s="115"/>
      <c r="AD998" s="139"/>
      <c r="AE998" s="169"/>
      <c r="AF998" s="169"/>
      <c r="AG998" s="169"/>
      <c r="AH998" s="120"/>
    </row>
    <row r="999" spans="1:34" ht="15">
      <c r="A999" s="150"/>
      <c r="B999" s="128"/>
      <c r="C999" s="128" t="s">
        <v>2007</v>
      </c>
      <c r="E999" s="115"/>
      <c r="F999" s="115"/>
      <c r="G999" s="115"/>
      <c r="H999" s="115">
        <f t="shared" si="171"/>
        <v>2000</v>
      </c>
      <c r="I999" s="115">
        <f t="shared" si="167"/>
        <v>2000</v>
      </c>
      <c r="J999" s="115">
        <f t="shared" si="168"/>
        <v>2000</v>
      </c>
      <c r="K999" s="115">
        <f t="shared" si="169"/>
        <v>2000</v>
      </c>
      <c r="L999" s="115">
        <f t="shared" si="170"/>
        <v>2000</v>
      </c>
      <c r="M999" s="115"/>
      <c r="N999" s="115"/>
      <c r="O999" s="115"/>
      <c r="P999" s="115"/>
      <c r="Q999" s="116"/>
      <c r="R999" s="116"/>
      <c r="S999" s="116"/>
      <c r="T999" s="116">
        <f>1000+1000</f>
        <v>2000</v>
      </c>
      <c r="U999" s="116"/>
      <c r="V999" s="116"/>
      <c r="W999" s="116"/>
      <c r="X999" s="116"/>
      <c r="Y999" s="116"/>
      <c r="Z999" s="116"/>
      <c r="AA999" s="116"/>
      <c r="AB999" s="116"/>
      <c r="AC999" s="115"/>
      <c r="AD999" s="139"/>
      <c r="AE999" s="169"/>
      <c r="AF999" s="169"/>
      <c r="AG999" s="169"/>
      <c r="AH999" s="120"/>
    </row>
    <row r="1000" spans="1:34" ht="15">
      <c r="A1000" s="150"/>
      <c r="B1000" s="128"/>
      <c r="C1000" s="128" t="s">
        <v>2008</v>
      </c>
      <c r="D1000" s="128"/>
      <c r="E1000" s="139"/>
      <c r="F1000" s="139"/>
      <c r="G1000" s="139"/>
      <c r="H1000" s="115">
        <f t="shared" si="171"/>
        <v>2000</v>
      </c>
      <c r="I1000" s="115">
        <f t="shared" si="167"/>
        <v>2000</v>
      </c>
      <c r="J1000" s="115">
        <f t="shared" si="168"/>
        <v>2000</v>
      </c>
      <c r="K1000" s="115">
        <f t="shared" si="169"/>
        <v>2000</v>
      </c>
      <c r="L1000" s="115">
        <f t="shared" si="170"/>
        <v>2000</v>
      </c>
      <c r="M1000" s="139"/>
      <c r="N1000" s="139"/>
      <c r="O1000" s="139"/>
      <c r="P1000" s="139"/>
      <c r="Q1000" s="214"/>
      <c r="R1000" s="214"/>
      <c r="S1000" s="214"/>
      <c r="T1000" s="214">
        <v>2000</v>
      </c>
      <c r="U1000" s="214"/>
      <c r="V1000" s="214"/>
      <c r="W1000" s="214"/>
      <c r="X1000" s="214"/>
      <c r="Y1000" s="214"/>
      <c r="Z1000" s="214"/>
      <c r="AA1000" s="214"/>
      <c r="AB1000" s="214"/>
      <c r="AC1000" s="200"/>
      <c r="AD1000" s="139"/>
      <c r="AE1000" s="169"/>
      <c r="AF1000" s="169"/>
      <c r="AG1000" s="169"/>
      <c r="AH1000" s="120"/>
    </row>
    <row r="1001" spans="1:34" ht="15">
      <c r="A1001" s="150"/>
      <c r="B1001" s="128"/>
      <c r="C1001" s="128" t="s">
        <v>2008</v>
      </c>
      <c r="D1001" s="128"/>
      <c r="E1001" s="139"/>
      <c r="F1001" s="139"/>
      <c r="G1001" s="139"/>
      <c r="H1001" s="115">
        <f t="shared" si="171"/>
        <v>1500</v>
      </c>
      <c r="I1001" s="115">
        <f t="shared" si="167"/>
        <v>1500</v>
      </c>
      <c r="J1001" s="115">
        <f t="shared" si="168"/>
        <v>1500</v>
      </c>
      <c r="K1001" s="115">
        <f t="shared" si="169"/>
        <v>1500</v>
      </c>
      <c r="L1001" s="115">
        <f t="shared" si="170"/>
        <v>1500</v>
      </c>
      <c r="M1001" s="139"/>
      <c r="N1001" s="139"/>
      <c r="O1001" s="139"/>
      <c r="P1001" s="139"/>
      <c r="Q1001" s="214"/>
      <c r="R1001" s="214"/>
      <c r="S1001" s="214"/>
      <c r="T1001" s="214">
        <v>1500</v>
      </c>
      <c r="U1001" s="214"/>
      <c r="V1001" s="214"/>
      <c r="W1001" s="214"/>
      <c r="X1001" s="214"/>
      <c r="Y1001" s="214"/>
      <c r="Z1001" s="214"/>
      <c r="AA1001" s="214"/>
      <c r="AB1001" s="214"/>
      <c r="AC1001" s="200"/>
      <c r="AD1001" s="139"/>
      <c r="AE1001" s="169"/>
      <c r="AF1001" s="169"/>
      <c r="AG1001" s="169"/>
      <c r="AH1001" s="120"/>
    </row>
    <row r="1002" spans="1:34" ht="15">
      <c r="A1002" s="150"/>
      <c r="B1002" s="128"/>
      <c r="C1002" s="128" t="s">
        <v>2009</v>
      </c>
      <c r="D1002" s="128"/>
      <c r="E1002" s="139"/>
      <c r="F1002" s="139"/>
      <c r="G1002" s="139"/>
      <c r="H1002" s="115">
        <f t="shared" si="171"/>
        <v>500</v>
      </c>
      <c r="I1002" s="115">
        <f t="shared" si="167"/>
        <v>500</v>
      </c>
      <c r="J1002" s="115">
        <f t="shared" si="168"/>
        <v>500</v>
      </c>
      <c r="K1002" s="115">
        <f t="shared" si="169"/>
        <v>500</v>
      </c>
      <c r="L1002" s="115">
        <f t="shared" si="170"/>
        <v>500</v>
      </c>
      <c r="M1002" s="139"/>
      <c r="N1002" s="139"/>
      <c r="O1002" s="139"/>
      <c r="P1002" s="139"/>
      <c r="Q1002" s="214"/>
      <c r="R1002" s="214"/>
      <c r="S1002" s="214"/>
      <c r="T1002" s="214">
        <v>500</v>
      </c>
      <c r="U1002" s="214"/>
      <c r="V1002" s="214"/>
      <c r="W1002" s="214"/>
      <c r="X1002" s="214"/>
      <c r="Y1002" s="214"/>
      <c r="Z1002" s="214"/>
      <c r="AA1002" s="214"/>
      <c r="AB1002" s="214"/>
      <c r="AC1002" s="200"/>
      <c r="AD1002" s="139"/>
      <c r="AE1002" s="169"/>
      <c r="AF1002" s="169"/>
      <c r="AG1002" s="169"/>
      <c r="AH1002" s="120"/>
    </row>
    <row r="1003" spans="1:34" ht="15">
      <c r="A1003" s="150"/>
      <c r="B1003" s="128"/>
      <c r="C1003" s="128" t="s">
        <v>2010</v>
      </c>
      <c r="D1003" s="128"/>
      <c r="E1003" s="139"/>
      <c r="F1003" s="139"/>
      <c r="G1003" s="139"/>
      <c r="H1003" s="115">
        <f t="shared" si="171"/>
        <v>1000</v>
      </c>
      <c r="I1003" s="115">
        <f t="shared" si="167"/>
        <v>1000</v>
      </c>
      <c r="J1003" s="115">
        <f t="shared" si="168"/>
        <v>1000</v>
      </c>
      <c r="K1003" s="115">
        <f t="shared" si="169"/>
        <v>1000</v>
      </c>
      <c r="L1003" s="115">
        <f t="shared" si="170"/>
        <v>1000</v>
      </c>
      <c r="M1003" s="139"/>
      <c r="N1003" s="139"/>
      <c r="O1003" s="139"/>
      <c r="P1003" s="139"/>
      <c r="Q1003" s="214"/>
      <c r="R1003" s="214"/>
      <c r="S1003" s="214"/>
      <c r="T1003" s="214">
        <v>1000</v>
      </c>
      <c r="U1003" s="214"/>
      <c r="V1003" s="214"/>
      <c r="W1003" s="214"/>
      <c r="X1003" s="214"/>
      <c r="Y1003" s="214"/>
      <c r="Z1003" s="214"/>
      <c r="AA1003" s="214"/>
      <c r="AB1003" s="214"/>
      <c r="AC1003" s="200"/>
      <c r="AD1003" s="139"/>
      <c r="AE1003" s="169"/>
      <c r="AF1003" s="169"/>
      <c r="AG1003" s="169"/>
      <c r="AH1003" s="120"/>
    </row>
    <row r="1004" spans="1:34" ht="15">
      <c r="A1004" s="150"/>
      <c r="B1004" s="128"/>
      <c r="C1004" s="128" t="s">
        <v>2010</v>
      </c>
      <c r="D1004" s="120"/>
      <c r="E1004" s="215"/>
      <c r="F1004" s="215"/>
      <c r="G1004" s="215"/>
      <c r="H1004" s="115">
        <f t="shared" si="171"/>
        <v>670</v>
      </c>
      <c r="I1004" s="115">
        <f t="shared" si="167"/>
        <v>670</v>
      </c>
      <c r="J1004" s="115">
        <f t="shared" si="168"/>
        <v>670</v>
      </c>
      <c r="K1004" s="115">
        <f t="shared" si="169"/>
        <v>670</v>
      </c>
      <c r="L1004" s="115">
        <f t="shared" si="170"/>
        <v>670</v>
      </c>
      <c r="M1004" s="215"/>
      <c r="N1004" s="215"/>
      <c r="O1004" s="215"/>
      <c r="P1004" s="215"/>
      <c r="Q1004" s="216"/>
      <c r="R1004" s="216"/>
      <c r="S1004" s="216"/>
      <c r="T1004" s="216">
        <v>670</v>
      </c>
      <c r="U1004" s="216"/>
      <c r="V1004" s="216"/>
      <c r="W1004" s="216"/>
      <c r="X1004" s="216"/>
      <c r="Y1004" s="216"/>
      <c r="Z1004" s="216"/>
      <c r="AA1004" s="216"/>
      <c r="AB1004" s="216"/>
      <c r="AC1004" s="229"/>
      <c r="AD1004" s="139"/>
      <c r="AE1004" s="169"/>
      <c r="AF1004" s="169"/>
      <c r="AG1004" s="169"/>
      <c r="AH1004" s="120"/>
    </row>
    <row r="1005" spans="1:34" ht="15">
      <c r="A1005" s="150"/>
      <c r="B1005" s="128"/>
      <c r="C1005" s="128" t="s">
        <v>2011</v>
      </c>
      <c r="E1005" s="120"/>
      <c r="F1005" s="120"/>
      <c r="G1005" s="120"/>
      <c r="H1005" s="115">
        <f t="shared" si="171"/>
        <v>451.2</v>
      </c>
      <c r="I1005" s="115">
        <f t="shared" si="167"/>
        <v>451.2</v>
      </c>
      <c r="J1005" s="115">
        <f t="shared" si="168"/>
        <v>451.2</v>
      </c>
      <c r="K1005" s="115">
        <f t="shared" si="169"/>
        <v>451.2</v>
      </c>
      <c r="L1005" s="115">
        <f t="shared" si="170"/>
        <v>451.2</v>
      </c>
      <c r="M1005" s="120"/>
      <c r="N1005" s="120"/>
      <c r="O1005" s="120"/>
      <c r="P1005" s="120"/>
      <c r="Q1005" s="116"/>
      <c r="R1005" s="116"/>
      <c r="S1005" s="116"/>
      <c r="T1005" s="116">
        <f>330+105.2+16</f>
        <v>451.2</v>
      </c>
      <c r="U1005" s="116"/>
      <c r="V1005" s="116"/>
      <c r="W1005" s="116"/>
      <c r="X1005" s="116"/>
      <c r="Y1005" s="116"/>
      <c r="Z1005" s="116"/>
      <c r="AA1005" s="116"/>
      <c r="AB1005" s="116"/>
      <c r="AC1005" s="115"/>
      <c r="AD1005" s="139"/>
      <c r="AE1005" s="169"/>
      <c r="AF1005" s="169"/>
      <c r="AG1005" s="169"/>
      <c r="AH1005" s="120"/>
    </row>
    <row r="1006" spans="1:34" ht="15">
      <c r="A1006" s="150"/>
      <c r="B1006" s="128"/>
      <c r="C1006" s="128" t="s">
        <v>2012</v>
      </c>
      <c r="D1006" s="128"/>
      <c r="E1006" s="139"/>
      <c r="F1006" s="139"/>
      <c r="G1006" s="139"/>
      <c r="H1006" s="115">
        <f t="shared" si="171"/>
        <v>600</v>
      </c>
      <c r="I1006" s="115">
        <f t="shared" si="167"/>
        <v>600</v>
      </c>
      <c r="J1006" s="115">
        <f t="shared" si="168"/>
        <v>600</v>
      </c>
      <c r="K1006" s="115">
        <f t="shared" si="169"/>
        <v>600</v>
      </c>
      <c r="L1006" s="115">
        <f t="shared" si="170"/>
        <v>600</v>
      </c>
      <c r="M1006" s="139"/>
      <c r="N1006" s="139"/>
      <c r="O1006" s="139"/>
      <c r="P1006" s="139"/>
      <c r="Q1006" s="214"/>
      <c r="R1006" s="214"/>
      <c r="S1006" s="214"/>
      <c r="T1006" s="214">
        <v>600</v>
      </c>
      <c r="U1006" s="214"/>
      <c r="V1006" s="214"/>
      <c r="W1006" s="214"/>
      <c r="X1006" s="214"/>
      <c r="Y1006" s="214"/>
      <c r="Z1006" s="214"/>
      <c r="AA1006" s="214"/>
      <c r="AB1006" s="214"/>
      <c r="AC1006" s="200"/>
      <c r="AD1006" s="139"/>
      <c r="AE1006" s="169"/>
      <c r="AF1006" s="169"/>
      <c r="AG1006" s="169"/>
      <c r="AH1006" s="120"/>
    </row>
    <row r="1007" spans="1:34" ht="15">
      <c r="A1007" s="150"/>
      <c r="B1007" s="154"/>
      <c r="C1007" s="128" t="s">
        <v>2012</v>
      </c>
      <c r="D1007" s="128"/>
      <c r="E1007" s="139"/>
      <c r="F1007" s="139"/>
      <c r="G1007" s="139"/>
      <c r="H1007" s="115">
        <f t="shared" si="171"/>
        <v>100</v>
      </c>
      <c r="I1007" s="115">
        <f t="shared" si="167"/>
        <v>100</v>
      </c>
      <c r="J1007" s="115">
        <f t="shared" si="168"/>
        <v>100</v>
      </c>
      <c r="K1007" s="115">
        <f t="shared" si="169"/>
        <v>100</v>
      </c>
      <c r="L1007" s="115">
        <f t="shared" si="170"/>
        <v>100</v>
      </c>
      <c r="M1007" s="139"/>
      <c r="N1007" s="139"/>
      <c r="O1007" s="139"/>
      <c r="P1007" s="139"/>
      <c r="Q1007" s="214"/>
      <c r="R1007" s="214"/>
      <c r="S1007" s="214"/>
      <c r="T1007" s="214">
        <v>100</v>
      </c>
      <c r="U1007" s="214"/>
      <c r="V1007" s="214"/>
      <c r="W1007" s="214"/>
      <c r="X1007" s="214"/>
      <c r="Y1007" s="214"/>
      <c r="Z1007" s="214"/>
      <c r="AA1007" s="214"/>
      <c r="AB1007" s="214"/>
      <c r="AC1007" s="200"/>
      <c r="AD1007" s="139"/>
      <c r="AE1007" s="169"/>
      <c r="AF1007" s="169"/>
      <c r="AG1007" s="169"/>
      <c r="AH1007" s="120"/>
    </row>
    <row r="1008" spans="1:34" ht="15">
      <c r="A1008" s="150"/>
      <c r="B1008" s="128"/>
      <c r="C1008" s="128" t="s">
        <v>2012</v>
      </c>
      <c r="D1008" s="128"/>
      <c r="E1008" s="139"/>
      <c r="F1008" s="139"/>
      <c r="G1008" s="139"/>
      <c r="H1008" s="115">
        <f t="shared" si="171"/>
        <v>300</v>
      </c>
      <c r="I1008" s="115">
        <f t="shared" si="167"/>
        <v>300</v>
      </c>
      <c r="J1008" s="115">
        <f t="shared" si="168"/>
        <v>300</v>
      </c>
      <c r="K1008" s="115">
        <f t="shared" si="169"/>
        <v>300</v>
      </c>
      <c r="L1008" s="115">
        <f t="shared" si="170"/>
        <v>300</v>
      </c>
      <c r="M1008" s="139"/>
      <c r="N1008" s="139"/>
      <c r="O1008" s="139"/>
      <c r="P1008" s="139"/>
      <c r="Q1008" s="214"/>
      <c r="R1008" s="214"/>
      <c r="S1008" s="214"/>
      <c r="T1008" s="214">
        <v>300</v>
      </c>
      <c r="U1008" s="214"/>
      <c r="V1008" s="214"/>
      <c r="W1008" s="214"/>
      <c r="X1008" s="214"/>
      <c r="Y1008" s="214"/>
      <c r="Z1008" s="214"/>
      <c r="AA1008" s="214"/>
      <c r="AB1008" s="214"/>
      <c r="AC1008" s="200"/>
      <c r="AD1008" s="139"/>
      <c r="AE1008" s="169"/>
      <c r="AF1008" s="169"/>
      <c r="AG1008" s="169"/>
      <c r="AH1008" s="120"/>
    </row>
    <row r="1009" spans="1:34" ht="15">
      <c r="A1009" s="150"/>
      <c r="B1009" s="128"/>
      <c r="C1009" s="128" t="s">
        <v>2012</v>
      </c>
      <c r="D1009" s="128"/>
      <c r="E1009" s="139"/>
      <c r="F1009" s="139"/>
      <c r="G1009" s="139"/>
      <c r="H1009" s="115">
        <f t="shared" si="171"/>
        <v>1000</v>
      </c>
      <c r="I1009" s="115">
        <f t="shared" si="167"/>
        <v>1000</v>
      </c>
      <c r="J1009" s="115">
        <f t="shared" si="168"/>
        <v>1000</v>
      </c>
      <c r="K1009" s="115">
        <f t="shared" si="169"/>
        <v>1000</v>
      </c>
      <c r="L1009" s="115">
        <f t="shared" si="170"/>
        <v>1000</v>
      </c>
      <c r="M1009" s="139"/>
      <c r="N1009" s="139"/>
      <c r="O1009" s="139"/>
      <c r="P1009" s="139"/>
      <c r="Q1009" s="214"/>
      <c r="R1009" s="214"/>
      <c r="S1009" s="214"/>
      <c r="T1009" s="214">
        <v>1000</v>
      </c>
      <c r="U1009" s="214"/>
      <c r="V1009" s="214"/>
      <c r="W1009" s="214"/>
      <c r="X1009" s="214"/>
      <c r="Y1009" s="214"/>
      <c r="Z1009" s="214"/>
      <c r="AA1009" s="214"/>
      <c r="AB1009" s="214"/>
      <c r="AC1009" s="200"/>
      <c r="AD1009" s="139"/>
      <c r="AE1009" s="169"/>
      <c r="AF1009" s="169"/>
      <c r="AG1009" s="169"/>
      <c r="AH1009" s="120"/>
    </row>
    <row r="1010" spans="1:34" ht="15">
      <c r="A1010" s="150"/>
      <c r="B1010" s="128"/>
      <c r="C1010" s="128" t="s">
        <v>2013</v>
      </c>
      <c r="E1010" s="115"/>
      <c r="F1010" s="115"/>
      <c r="G1010" s="115"/>
      <c r="H1010" s="115">
        <f t="shared" si="171"/>
        <v>1000</v>
      </c>
      <c r="I1010" s="115">
        <f t="shared" si="167"/>
        <v>1000</v>
      </c>
      <c r="J1010" s="115">
        <f t="shared" si="168"/>
        <v>1000</v>
      </c>
      <c r="K1010" s="115">
        <f t="shared" si="169"/>
        <v>1000</v>
      </c>
      <c r="L1010" s="115">
        <f t="shared" si="170"/>
        <v>1000</v>
      </c>
      <c r="M1010" s="115"/>
      <c r="N1010" s="115"/>
      <c r="O1010" s="115"/>
      <c r="P1010" s="115"/>
      <c r="Q1010" s="116"/>
      <c r="R1010" s="116"/>
      <c r="S1010" s="116"/>
      <c r="T1010" s="116">
        <v>1000</v>
      </c>
      <c r="U1010" s="116"/>
      <c r="V1010" s="116"/>
      <c r="W1010" s="116"/>
      <c r="X1010" s="116"/>
      <c r="Y1010" s="116"/>
      <c r="Z1010" s="116"/>
      <c r="AA1010" s="116"/>
      <c r="AB1010" s="116"/>
      <c r="AC1010" s="115"/>
      <c r="AD1010" s="139"/>
      <c r="AE1010" s="169"/>
      <c r="AF1010" s="169"/>
      <c r="AG1010" s="169"/>
      <c r="AH1010" s="120"/>
    </row>
    <row r="1011" spans="1:34" ht="15">
      <c r="A1011" s="150"/>
      <c r="B1011" s="128"/>
      <c r="C1011" s="128" t="s">
        <v>2014</v>
      </c>
      <c r="D1011" s="128"/>
      <c r="E1011" s="139"/>
      <c r="F1011" s="139"/>
      <c r="G1011" s="139"/>
      <c r="H1011" s="115">
        <f t="shared" si="171"/>
        <v>500</v>
      </c>
      <c r="I1011" s="115">
        <f t="shared" si="167"/>
        <v>500</v>
      </c>
      <c r="J1011" s="115">
        <f t="shared" si="168"/>
        <v>500</v>
      </c>
      <c r="K1011" s="115">
        <f t="shared" si="169"/>
        <v>500</v>
      </c>
      <c r="L1011" s="115">
        <f t="shared" si="170"/>
        <v>500</v>
      </c>
      <c r="M1011" s="139"/>
      <c r="N1011" s="139"/>
      <c r="O1011" s="139"/>
      <c r="P1011" s="139"/>
      <c r="Q1011" s="214"/>
      <c r="R1011" s="214"/>
      <c r="S1011" s="214"/>
      <c r="T1011" s="214">
        <v>500</v>
      </c>
      <c r="U1011" s="214"/>
      <c r="V1011" s="214"/>
      <c r="W1011" s="214"/>
      <c r="X1011" s="214"/>
      <c r="Y1011" s="214"/>
      <c r="Z1011" s="214"/>
      <c r="AA1011" s="214"/>
      <c r="AB1011" s="214"/>
      <c r="AC1011" s="200"/>
      <c r="AD1011" s="139"/>
      <c r="AE1011" s="169"/>
      <c r="AF1011" s="169"/>
      <c r="AG1011" s="169"/>
      <c r="AH1011" s="120"/>
    </row>
    <row r="1012" spans="1:34" ht="15">
      <c r="A1012" s="150"/>
      <c r="B1012" s="128"/>
      <c r="C1012" s="128" t="s">
        <v>2015</v>
      </c>
      <c r="D1012" s="128"/>
      <c r="E1012" s="139"/>
      <c r="F1012" s="139"/>
      <c r="G1012" s="139"/>
      <c r="H1012" s="115">
        <f t="shared" si="171"/>
        <v>500</v>
      </c>
      <c r="I1012" s="115">
        <f t="shared" si="167"/>
        <v>500</v>
      </c>
      <c r="J1012" s="115">
        <f t="shared" si="168"/>
        <v>500</v>
      </c>
      <c r="K1012" s="115">
        <f t="shared" si="169"/>
        <v>500</v>
      </c>
      <c r="L1012" s="115">
        <f t="shared" si="170"/>
        <v>500</v>
      </c>
      <c r="M1012" s="139"/>
      <c r="N1012" s="139"/>
      <c r="O1012" s="139"/>
      <c r="P1012" s="139"/>
      <c r="Q1012" s="214"/>
      <c r="R1012" s="214"/>
      <c r="S1012" s="214"/>
      <c r="T1012" s="214">
        <v>500</v>
      </c>
      <c r="U1012" s="214"/>
      <c r="V1012" s="214"/>
      <c r="W1012" s="214"/>
      <c r="X1012" s="214"/>
      <c r="Y1012" s="214"/>
      <c r="Z1012" s="214"/>
      <c r="AA1012" s="214"/>
      <c r="AB1012" s="214"/>
      <c r="AC1012" s="200"/>
      <c r="AD1012" s="139"/>
      <c r="AE1012" s="169"/>
      <c r="AF1012" s="169"/>
      <c r="AG1012" s="169"/>
      <c r="AH1012" s="120"/>
    </row>
    <row r="1013" spans="1:34" ht="15">
      <c r="A1013" s="150"/>
      <c r="B1013" s="128"/>
      <c r="C1013" s="128" t="s">
        <v>2016</v>
      </c>
      <c r="D1013" s="128"/>
      <c r="E1013" s="139"/>
      <c r="F1013" s="139"/>
      <c r="G1013" s="139"/>
      <c r="H1013" s="115">
        <f t="shared" si="171"/>
        <v>220</v>
      </c>
      <c r="I1013" s="115">
        <f t="shared" si="167"/>
        <v>220</v>
      </c>
      <c r="J1013" s="115">
        <f t="shared" si="168"/>
        <v>220</v>
      </c>
      <c r="K1013" s="115">
        <f t="shared" si="169"/>
        <v>220</v>
      </c>
      <c r="L1013" s="115">
        <f t="shared" si="170"/>
        <v>220</v>
      </c>
      <c r="M1013" s="139"/>
      <c r="N1013" s="139"/>
      <c r="O1013" s="139"/>
      <c r="P1013" s="139"/>
      <c r="Q1013" s="214"/>
      <c r="R1013" s="214"/>
      <c r="S1013" s="214"/>
      <c r="T1013" s="214">
        <v>220</v>
      </c>
      <c r="U1013" s="214"/>
      <c r="V1013" s="214"/>
      <c r="W1013" s="214"/>
      <c r="X1013" s="214"/>
      <c r="Y1013" s="214"/>
      <c r="Z1013" s="214"/>
      <c r="AA1013" s="214"/>
      <c r="AB1013" s="214"/>
      <c r="AC1013" s="200"/>
      <c r="AD1013" s="139"/>
      <c r="AE1013" s="169"/>
      <c r="AF1013" s="169"/>
      <c r="AG1013" s="169"/>
      <c r="AH1013" s="120"/>
    </row>
    <row r="1014" spans="1:34" ht="15">
      <c r="A1014" s="150"/>
      <c r="B1014" s="128"/>
      <c r="C1014" s="128" t="s">
        <v>2017</v>
      </c>
      <c r="D1014" s="128"/>
      <c r="E1014" s="139"/>
      <c r="F1014" s="139"/>
      <c r="G1014" s="139"/>
      <c r="H1014" s="115">
        <f t="shared" si="171"/>
        <v>1330</v>
      </c>
      <c r="I1014" s="115">
        <f t="shared" si="167"/>
        <v>1330</v>
      </c>
      <c r="J1014" s="115">
        <f t="shared" si="168"/>
        <v>1330</v>
      </c>
      <c r="K1014" s="115">
        <f t="shared" si="169"/>
        <v>1330</v>
      </c>
      <c r="L1014" s="115">
        <f t="shared" si="170"/>
        <v>1330</v>
      </c>
      <c r="M1014" s="139"/>
      <c r="N1014" s="139"/>
      <c r="O1014" s="139"/>
      <c r="P1014" s="139"/>
      <c r="Q1014" s="214"/>
      <c r="R1014" s="214"/>
      <c r="S1014" s="214"/>
      <c r="T1014" s="214">
        <v>1330</v>
      </c>
      <c r="U1014" s="214"/>
      <c r="V1014" s="214"/>
      <c r="W1014" s="214"/>
      <c r="X1014" s="214"/>
      <c r="Y1014" s="214"/>
      <c r="Z1014" s="214"/>
      <c r="AA1014" s="214"/>
      <c r="AB1014" s="214"/>
      <c r="AC1014" s="200"/>
      <c r="AD1014" s="139"/>
      <c r="AE1014" s="169"/>
      <c r="AF1014" s="169"/>
      <c r="AG1014" s="169"/>
      <c r="AH1014" s="120"/>
    </row>
    <row r="1015" spans="1:34" ht="15">
      <c r="A1015" s="150"/>
      <c r="B1015" s="128"/>
      <c r="C1015" s="128" t="s">
        <v>2018</v>
      </c>
      <c r="D1015" s="128"/>
      <c r="E1015" s="139"/>
      <c r="F1015" s="139"/>
      <c r="G1015" s="139"/>
      <c r="H1015" s="115">
        <f t="shared" si="171"/>
        <v>500</v>
      </c>
      <c r="I1015" s="115">
        <f t="shared" si="167"/>
        <v>500</v>
      </c>
      <c r="J1015" s="115">
        <f t="shared" si="168"/>
        <v>500</v>
      </c>
      <c r="K1015" s="115">
        <f t="shared" si="169"/>
        <v>500</v>
      </c>
      <c r="L1015" s="115">
        <f t="shared" si="170"/>
        <v>500</v>
      </c>
      <c r="M1015" s="139"/>
      <c r="N1015" s="139"/>
      <c r="O1015" s="139"/>
      <c r="P1015" s="139"/>
      <c r="Q1015" s="214"/>
      <c r="R1015" s="214"/>
      <c r="S1015" s="214"/>
      <c r="T1015" s="214">
        <v>500</v>
      </c>
      <c r="U1015" s="214"/>
      <c r="V1015" s="214"/>
      <c r="W1015" s="214"/>
      <c r="X1015" s="214"/>
      <c r="Y1015" s="214"/>
      <c r="Z1015" s="214"/>
      <c r="AA1015" s="214"/>
      <c r="AB1015" s="214"/>
      <c r="AC1015" s="200"/>
      <c r="AD1015" s="139"/>
      <c r="AE1015" s="169"/>
      <c r="AF1015" s="169"/>
      <c r="AG1015" s="169"/>
      <c r="AH1015" s="120"/>
    </row>
    <row r="1016" spans="1:34" ht="15">
      <c r="A1016" s="150"/>
      <c r="B1016" s="128"/>
      <c r="C1016" s="128" t="s">
        <v>2019</v>
      </c>
      <c r="D1016" s="128"/>
      <c r="E1016" s="139"/>
      <c r="F1016" s="139"/>
      <c r="G1016" s="139"/>
      <c r="H1016" s="115">
        <f t="shared" si="171"/>
        <v>1000</v>
      </c>
      <c r="I1016" s="115">
        <f t="shared" si="167"/>
        <v>1000</v>
      </c>
      <c r="J1016" s="115">
        <f t="shared" si="168"/>
        <v>1000</v>
      </c>
      <c r="K1016" s="115">
        <f t="shared" si="169"/>
        <v>1000</v>
      </c>
      <c r="L1016" s="115">
        <f t="shared" si="170"/>
        <v>1000</v>
      </c>
      <c r="M1016" s="139"/>
      <c r="N1016" s="139"/>
      <c r="O1016" s="139"/>
      <c r="P1016" s="139"/>
      <c r="Q1016" s="214"/>
      <c r="R1016" s="214"/>
      <c r="S1016" s="214"/>
      <c r="T1016" s="214">
        <v>1000</v>
      </c>
      <c r="U1016" s="214"/>
      <c r="V1016" s="214"/>
      <c r="W1016" s="214"/>
      <c r="X1016" s="214"/>
      <c r="Y1016" s="214"/>
      <c r="Z1016" s="214"/>
      <c r="AA1016" s="214"/>
      <c r="AB1016" s="214"/>
      <c r="AC1016" s="200"/>
      <c r="AD1016" s="139"/>
      <c r="AE1016" s="169"/>
      <c r="AF1016" s="169"/>
      <c r="AG1016" s="169"/>
      <c r="AH1016" s="120"/>
    </row>
    <row r="1017" spans="1:34" ht="15">
      <c r="A1017" s="150"/>
      <c r="B1017" s="128"/>
      <c r="C1017" s="128" t="s">
        <v>2020</v>
      </c>
      <c r="D1017" s="128"/>
      <c r="E1017" s="139"/>
      <c r="F1017" s="139"/>
      <c r="G1017" s="139"/>
      <c r="H1017" s="115">
        <f t="shared" si="171"/>
        <v>2000</v>
      </c>
      <c r="I1017" s="115">
        <f t="shared" si="167"/>
        <v>2000</v>
      </c>
      <c r="J1017" s="115">
        <f t="shared" si="168"/>
        <v>2000</v>
      </c>
      <c r="K1017" s="115">
        <f t="shared" si="169"/>
        <v>2000</v>
      </c>
      <c r="L1017" s="115">
        <f t="shared" si="170"/>
        <v>2000</v>
      </c>
      <c r="M1017" s="139"/>
      <c r="N1017" s="139"/>
      <c r="O1017" s="139"/>
      <c r="P1017" s="139"/>
      <c r="Q1017" s="214"/>
      <c r="R1017" s="214"/>
      <c r="S1017" s="214"/>
      <c r="T1017" s="214">
        <v>2000</v>
      </c>
      <c r="U1017" s="214"/>
      <c r="V1017" s="214"/>
      <c r="W1017" s="214"/>
      <c r="X1017" s="214"/>
      <c r="Y1017" s="214"/>
      <c r="Z1017" s="214"/>
      <c r="AA1017" s="214"/>
      <c r="AB1017" s="214"/>
      <c r="AC1017" s="200"/>
      <c r="AD1017" s="139"/>
      <c r="AE1017" s="169"/>
      <c r="AF1017" s="169"/>
      <c r="AG1017" s="169"/>
      <c r="AH1017" s="120"/>
    </row>
    <row r="1018" spans="1:34" ht="15" hidden="1">
      <c r="A1018" s="150"/>
      <c r="B1018" s="128"/>
      <c r="C1018" s="128" t="s">
        <v>2021</v>
      </c>
      <c r="D1018" s="128"/>
      <c r="E1018" s="139"/>
      <c r="F1018" s="139"/>
      <c r="G1018" s="139"/>
      <c r="H1018" s="115">
        <f t="shared" si="171"/>
        <v>9100</v>
      </c>
      <c r="I1018" s="115">
        <f t="shared" si="167"/>
        <v>9100</v>
      </c>
      <c r="J1018" s="115">
        <f t="shared" si="168"/>
        <v>0</v>
      </c>
      <c r="K1018" s="115">
        <f t="shared" si="169"/>
        <v>0</v>
      </c>
      <c r="L1018" s="115">
        <f t="shared" si="170"/>
        <v>0</v>
      </c>
      <c r="M1018" s="139"/>
      <c r="N1018" s="139"/>
      <c r="O1018" s="139"/>
      <c r="P1018" s="139"/>
      <c r="Q1018" s="214"/>
      <c r="R1018" s="214"/>
      <c r="S1018" s="214"/>
      <c r="T1018" s="214">
        <v>9100</v>
      </c>
      <c r="U1018" s="214"/>
      <c r="V1018" s="214">
        <v>-9100</v>
      </c>
      <c r="W1018" s="214"/>
      <c r="X1018" s="214"/>
      <c r="Y1018" s="214"/>
      <c r="Z1018" s="214"/>
      <c r="AA1018" s="214"/>
      <c r="AB1018" s="214"/>
      <c r="AC1018" s="200"/>
      <c r="AD1018" s="139"/>
      <c r="AE1018" s="169"/>
      <c r="AF1018" s="169"/>
      <c r="AG1018" s="169"/>
      <c r="AH1018" s="120"/>
    </row>
    <row r="1019" spans="1:34" ht="15" hidden="1">
      <c r="A1019" s="150"/>
      <c r="B1019" s="128"/>
      <c r="C1019" s="128" t="s">
        <v>2021</v>
      </c>
      <c r="D1019" s="128"/>
      <c r="E1019" s="139"/>
      <c r="F1019" s="139"/>
      <c r="G1019" s="139"/>
      <c r="H1019" s="115">
        <f t="shared" si="171"/>
        <v>1189.1300000000001</v>
      </c>
      <c r="I1019" s="115">
        <f t="shared" si="167"/>
        <v>1189.1300000000001</v>
      </c>
      <c r="J1019" s="115">
        <f t="shared" si="168"/>
        <v>0</v>
      </c>
      <c r="K1019" s="115">
        <f t="shared" si="169"/>
        <v>0</v>
      </c>
      <c r="L1019" s="115">
        <f t="shared" si="170"/>
        <v>0</v>
      </c>
      <c r="M1019" s="139"/>
      <c r="N1019" s="139"/>
      <c r="O1019" s="139"/>
      <c r="P1019" s="139"/>
      <c r="Q1019" s="214"/>
      <c r="R1019" s="214"/>
      <c r="S1019" s="214"/>
      <c r="T1019" s="214">
        <v>1189.1300000000001</v>
      </c>
      <c r="U1019" s="214"/>
      <c r="V1019" s="214">
        <v>-1189.1300000000001</v>
      </c>
      <c r="W1019" s="214"/>
      <c r="X1019" s="214"/>
      <c r="Y1019" s="214"/>
      <c r="Z1019" s="214"/>
      <c r="AA1019" s="214"/>
      <c r="AB1019" s="214"/>
      <c r="AC1019" s="200"/>
      <c r="AD1019" s="139"/>
      <c r="AE1019" s="169"/>
      <c r="AF1019" s="169"/>
      <c r="AG1019" s="169"/>
      <c r="AH1019" s="120"/>
    </row>
    <row r="1020" spans="1:34" ht="15" hidden="1">
      <c r="A1020" s="150"/>
      <c r="B1020" s="128"/>
      <c r="C1020" s="128" t="s">
        <v>2021</v>
      </c>
      <c r="D1020" s="128"/>
      <c r="E1020" s="139"/>
      <c r="F1020" s="139"/>
      <c r="G1020" s="139"/>
      <c r="H1020" s="115">
        <f t="shared" si="171"/>
        <v>24200</v>
      </c>
      <c r="I1020" s="115">
        <f t="shared" si="167"/>
        <v>24200</v>
      </c>
      <c r="J1020" s="115">
        <f t="shared" si="168"/>
        <v>0</v>
      </c>
      <c r="K1020" s="115">
        <f t="shared" si="169"/>
        <v>0</v>
      </c>
      <c r="L1020" s="115">
        <f t="shared" si="170"/>
        <v>0</v>
      </c>
      <c r="M1020" s="139"/>
      <c r="N1020" s="139"/>
      <c r="O1020" s="139"/>
      <c r="P1020" s="139"/>
      <c r="Q1020" s="214"/>
      <c r="R1020" s="214"/>
      <c r="S1020" s="214"/>
      <c r="T1020" s="214">
        <v>24200</v>
      </c>
      <c r="U1020" s="214"/>
      <c r="V1020" s="214">
        <v>-24200</v>
      </c>
      <c r="W1020" s="214"/>
      <c r="X1020" s="214"/>
      <c r="Y1020" s="214"/>
      <c r="Z1020" s="214"/>
      <c r="AA1020" s="214"/>
      <c r="AB1020" s="214"/>
      <c r="AC1020" s="200"/>
      <c r="AD1020" s="139"/>
      <c r="AE1020" s="169"/>
      <c r="AF1020" s="169"/>
      <c r="AG1020" s="169"/>
      <c r="AH1020" s="120"/>
    </row>
    <row r="1021" spans="1:34" ht="15">
      <c r="A1021" s="150"/>
      <c r="B1021" s="128"/>
      <c r="C1021" s="128" t="s">
        <v>2021</v>
      </c>
      <c r="D1021" s="128"/>
      <c r="E1021" s="139"/>
      <c r="F1021" s="139"/>
      <c r="G1021" s="139"/>
      <c r="H1021" s="115"/>
      <c r="I1021" s="115"/>
      <c r="J1021" s="115"/>
      <c r="K1021" s="115"/>
      <c r="L1021" s="115">
        <f t="shared" si="170"/>
        <v>11000</v>
      </c>
      <c r="M1021" s="139"/>
      <c r="N1021" s="139"/>
      <c r="O1021" s="139"/>
      <c r="P1021" s="139"/>
      <c r="Q1021" s="214"/>
      <c r="R1021" s="214"/>
      <c r="S1021" s="214"/>
      <c r="T1021" s="214"/>
      <c r="U1021" s="214"/>
      <c r="V1021" s="214"/>
      <c r="W1021" s="214"/>
      <c r="X1021" s="214">
        <v>11000</v>
      </c>
      <c r="Y1021" s="214"/>
      <c r="Z1021" s="214"/>
      <c r="AA1021" s="214"/>
      <c r="AB1021" s="214"/>
      <c r="AC1021" s="200"/>
      <c r="AD1021" s="139"/>
      <c r="AE1021" s="169"/>
      <c r="AF1021" s="169"/>
      <c r="AG1021" s="169"/>
      <c r="AH1021" s="120"/>
    </row>
    <row r="1022" spans="1:34" ht="15">
      <c r="A1022" s="150"/>
      <c r="B1022" s="128"/>
      <c r="C1022" s="128" t="s">
        <v>2022</v>
      </c>
      <c r="E1022" s="115"/>
      <c r="F1022" s="115"/>
      <c r="G1022" s="115"/>
      <c r="H1022" s="115">
        <f t="shared" si="171"/>
        <v>640</v>
      </c>
      <c r="I1022" s="115">
        <f t="shared" si="167"/>
        <v>640</v>
      </c>
      <c r="J1022" s="115">
        <f t="shared" si="168"/>
        <v>640</v>
      </c>
      <c r="K1022" s="115">
        <f t="shared" si="169"/>
        <v>640</v>
      </c>
      <c r="L1022" s="115">
        <f t="shared" si="170"/>
        <v>640</v>
      </c>
      <c r="M1022" s="115"/>
      <c r="N1022" s="115"/>
      <c r="O1022" s="115"/>
      <c r="P1022" s="115"/>
      <c r="Q1022" s="116"/>
      <c r="R1022" s="116"/>
      <c r="S1022" s="116"/>
      <c r="T1022" s="116">
        <f>640</f>
        <v>640</v>
      </c>
      <c r="U1022" s="116"/>
      <c r="V1022" s="116"/>
      <c r="W1022" s="116"/>
      <c r="X1022" s="116"/>
      <c r="Y1022" s="116"/>
      <c r="Z1022" s="116"/>
      <c r="AA1022" s="116"/>
      <c r="AB1022" s="116"/>
      <c r="AC1022" s="115"/>
      <c r="AD1022" s="215"/>
      <c r="AE1022" s="169"/>
      <c r="AF1022" s="169"/>
      <c r="AG1022" s="169"/>
      <c r="AH1022" s="120"/>
    </row>
    <row r="1023" spans="1:34" ht="15">
      <c r="A1023" s="150"/>
      <c r="B1023" s="128"/>
      <c r="C1023" s="128" t="s">
        <v>2023</v>
      </c>
      <c r="E1023" s="120"/>
      <c r="F1023" s="120"/>
      <c r="G1023" s="120"/>
      <c r="H1023" s="115">
        <f t="shared" si="171"/>
        <v>800</v>
      </c>
      <c r="I1023" s="115">
        <f t="shared" si="167"/>
        <v>800</v>
      </c>
      <c r="J1023" s="115">
        <f t="shared" si="168"/>
        <v>800</v>
      </c>
      <c r="K1023" s="115">
        <f t="shared" si="169"/>
        <v>800</v>
      </c>
      <c r="L1023" s="115">
        <f t="shared" ref="L1023:L1087" si="172">Q1023+R1023+S1023+T1023+U1023+V1023+W1023+X1023</f>
        <v>800</v>
      </c>
      <c r="M1023" s="120"/>
      <c r="N1023" s="120"/>
      <c r="O1023" s="120"/>
      <c r="P1023" s="120"/>
      <c r="Q1023" s="116"/>
      <c r="R1023" s="116"/>
      <c r="S1023" s="116"/>
      <c r="T1023" s="116">
        <v>800</v>
      </c>
      <c r="U1023" s="116"/>
      <c r="V1023" s="116"/>
      <c r="W1023" s="116"/>
      <c r="X1023" s="116"/>
      <c r="Y1023" s="116"/>
      <c r="Z1023" s="116"/>
      <c r="AA1023" s="116"/>
      <c r="AB1023" s="116"/>
      <c r="AC1023" s="115"/>
      <c r="AD1023" s="215"/>
      <c r="AE1023" s="169"/>
      <c r="AF1023" s="169"/>
      <c r="AG1023" s="169"/>
      <c r="AH1023" s="120"/>
    </row>
    <row r="1024" spans="1:34" ht="15">
      <c r="A1024" s="150"/>
      <c r="B1024" s="128"/>
      <c r="C1024" s="128" t="s">
        <v>2024</v>
      </c>
      <c r="D1024" s="128"/>
      <c r="E1024" s="139"/>
      <c r="F1024" s="139"/>
      <c r="G1024" s="139"/>
      <c r="H1024" s="115">
        <f t="shared" si="171"/>
        <v>2000</v>
      </c>
      <c r="I1024" s="115">
        <f t="shared" si="167"/>
        <v>2000</v>
      </c>
      <c r="J1024" s="115">
        <f t="shared" si="168"/>
        <v>2000</v>
      </c>
      <c r="K1024" s="115">
        <f t="shared" si="169"/>
        <v>2000</v>
      </c>
      <c r="L1024" s="115">
        <f t="shared" si="172"/>
        <v>2000</v>
      </c>
      <c r="M1024" s="139"/>
      <c r="N1024" s="139"/>
      <c r="O1024" s="139"/>
      <c r="P1024" s="139"/>
      <c r="Q1024" s="214"/>
      <c r="R1024" s="214"/>
      <c r="S1024" s="214"/>
      <c r="T1024" s="214">
        <v>2000</v>
      </c>
      <c r="U1024" s="214"/>
      <c r="V1024" s="214"/>
      <c r="W1024" s="214"/>
      <c r="X1024" s="214"/>
      <c r="Y1024" s="214"/>
      <c r="Z1024" s="214"/>
      <c r="AA1024" s="214"/>
      <c r="AB1024" s="214"/>
      <c r="AC1024" s="200"/>
      <c r="AD1024" s="215"/>
      <c r="AE1024" s="169"/>
      <c r="AF1024" s="169"/>
      <c r="AG1024" s="169"/>
      <c r="AH1024" s="120"/>
    </row>
    <row r="1025" spans="1:34" ht="15">
      <c r="A1025" s="150"/>
      <c r="B1025" s="154"/>
      <c r="C1025" s="128" t="s">
        <v>2025</v>
      </c>
      <c r="D1025" s="128"/>
      <c r="E1025" s="139"/>
      <c r="F1025" s="139"/>
      <c r="G1025" s="139"/>
      <c r="H1025" s="115">
        <f t="shared" si="171"/>
        <v>5000</v>
      </c>
      <c r="I1025" s="115">
        <f t="shared" si="167"/>
        <v>5000</v>
      </c>
      <c r="J1025" s="115">
        <f t="shared" si="168"/>
        <v>5000</v>
      </c>
      <c r="K1025" s="115">
        <f t="shared" ref="K1025:K1090" si="173">Q1025+R1025+S1025+T1025+U1025+V1025+W1025</f>
        <v>5000</v>
      </c>
      <c r="L1025" s="115">
        <f t="shared" si="172"/>
        <v>5000</v>
      </c>
      <c r="M1025" s="139"/>
      <c r="N1025" s="139"/>
      <c r="O1025" s="139"/>
      <c r="P1025" s="139"/>
      <c r="Q1025" s="214"/>
      <c r="R1025" s="214"/>
      <c r="S1025" s="214"/>
      <c r="T1025" s="214">
        <v>5000</v>
      </c>
      <c r="U1025" s="214"/>
      <c r="V1025" s="214"/>
      <c r="W1025" s="214"/>
      <c r="X1025" s="214"/>
      <c r="Y1025" s="214"/>
      <c r="Z1025" s="214"/>
      <c r="AA1025" s="214"/>
      <c r="AB1025" s="214"/>
      <c r="AC1025" s="200"/>
      <c r="AD1025" s="215"/>
      <c r="AE1025" s="169"/>
      <c r="AF1025" s="169"/>
      <c r="AG1025" s="169"/>
      <c r="AH1025" s="120"/>
    </row>
    <row r="1026" spans="1:34" ht="15">
      <c r="A1026" s="150"/>
      <c r="B1026" s="154"/>
      <c r="C1026" s="128" t="s">
        <v>2026</v>
      </c>
      <c r="D1026" s="128"/>
      <c r="E1026" s="139"/>
      <c r="F1026" s="139"/>
      <c r="G1026" s="139"/>
      <c r="H1026" s="115">
        <f t="shared" si="171"/>
        <v>15000</v>
      </c>
      <c r="I1026" s="115">
        <f t="shared" si="167"/>
        <v>15000</v>
      </c>
      <c r="J1026" s="115">
        <f t="shared" si="168"/>
        <v>15000</v>
      </c>
      <c r="K1026" s="115">
        <f t="shared" si="173"/>
        <v>15000</v>
      </c>
      <c r="L1026" s="115">
        <f t="shared" si="172"/>
        <v>15000</v>
      </c>
      <c r="M1026" s="139"/>
      <c r="N1026" s="139"/>
      <c r="O1026" s="139"/>
      <c r="P1026" s="139"/>
      <c r="Q1026" s="214"/>
      <c r="R1026" s="214"/>
      <c r="S1026" s="214"/>
      <c r="T1026" s="214">
        <v>15000</v>
      </c>
      <c r="U1026" s="214"/>
      <c r="V1026" s="214"/>
      <c r="W1026" s="214"/>
      <c r="X1026" s="214"/>
      <c r="Y1026" s="214"/>
      <c r="Z1026" s="214"/>
      <c r="AA1026" s="214"/>
      <c r="AB1026" s="214"/>
      <c r="AC1026" s="200"/>
      <c r="AD1026" s="215"/>
      <c r="AE1026" s="169"/>
      <c r="AF1026" s="169"/>
      <c r="AG1026" s="169"/>
      <c r="AH1026" s="120"/>
    </row>
    <row r="1027" spans="1:34" ht="15">
      <c r="A1027" s="150"/>
      <c r="B1027" s="154"/>
      <c r="C1027" s="128" t="s">
        <v>2027</v>
      </c>
      <c r="E1027" s="115"/>
      <c r="F1027" s="115"/>
      <c r="G1027" s="115"/>
      <c r="H1027" s="115">
        <f t="shared" si="171"/>
        <v>4500</v>
      </c>
      <c r="I1027" s="115">
        <f t="shared" ref="I1027:I1094" si="174">Q1027+R1027+S1027+T1027+U1027</f>
        <v>4500</v>
      </c>
      <c r="J1027" s="115">
        <f t="shared" ref="J1027:J1094" si="175">Q1027+R1027+S1027+T1027+U1027+V1027</f>
        <v>4500</v>
      </c>
      <c r="K1027" s="115">
        <f t="shared" si="173"/>
        <v>4500</v>
      </c>
      <c r="L1027" s="115">
        <f t="shared" si="172"/>
        <v>4500</v>
      </c>
      <c r="M1027" s="115"/>
      <c r="N1027" s="115"/>
      <c r="O1027" s="115"/>
      <c r="P1027" s="115"/>
      <c r="Q1027" s="116"/>
      <c r="R1027" s="116"/>
      <c r="S1027" s="116"/>
      <c r="T1027" s="116">
        <v>4500</v>
      </c>
      <c r="U1027" s="116"/>
      <c r="V1027" s="116"/>
      <c r="W1027" s="116"/>
      <c r="X1027" s="116"/>
      <c r="Y1027" s="116"/>
      <c r="Z1027" s="116"/>
      <c r="AA1027" s="116"/>
      <c r="AB1027" s="116"/>
      <c r="AC1027" s="115"/>
      <c r="AD1027" s="215"/>
      <c r="AE1027" s="169"/>
      <c r="AF1027" s="169"/>
      <c r="AG1027" s="169"/>
      <c r="AH1027" s="120"/>
    </row>
    <row r="1028" spans="1:34" ht="15">
      <c r="A1028" s="150"/>
      <c r="B1028" s="154"/>
      <c r="C1028" s="128" t="s">
        <v>2028</v>
      </c>
      <c r="E1028" s="120"/>
      <c r="F1028" s="120"/>
      <c r="G1028" s="120"/>
      <c r="H1028" s="115">
        <f t="shared" si="171"/>
        <v>1570</v>
      </c>
      <c r="I1028" s="115">
        <f t="shared" si="174"/>
        <v>1570</v>
      </c>
      <c r="J1028" s="115">
        <f t="shared" si="175"/>
        <v>1570</v>
      </c>
      <c r="K1028" s="115">
        <f t="shared" si="173"/>
        <v>1570</v>
      </c>
      <c r="L1028" s="115">
        <f t="shared" si="172"/>
        <v>1570</v>
      </c>
      <c r="M1028" s="120"/>
      <c r="N1028" s="120"/>
      <c r="O1028" s="120"/>
      <c r="P1028" s="120"/>
      <c r="Q1028" s="116"/>
      <c r="R1028" s="116"/>
      <c r="S1028" s="116"/>
      <c r="T1028" s="116">
        <f>770+800</f>
        <v>1570</v>
      </c>
      <c r="U1028" s="116"/>
      <c r="V1028" s="116"/>
      <c r="W1028" s="116"/>
      <c r="X1028" s="116"/>
      <c r="Y1028" s="116"/>
      <c r="Z1028" s="116"/>
      <c r="AA1028" s="116"/>
      <c r="AB1028" s="116"/>
      <c r="AC1028" s="115"/>
      <c r="AD1028" s="215"/>
      <c r="AE1028" s="169"/>
      <c r="AF1028" s="169"/>
      <c r="AG1028" s="169"/>
      <c r="AH1028" s="120"/>
    </row>
    <row r="1029" spans="1:34" ht="15">
      <c r="A1029" s="150"/>
      <c r="B1029" s="154"/>
      <c r="C1029" s="128" t="s">
        <v>2028</v>
      </c>
      <c r="E1029" s="120"/>
      <c r="F1029" s="120"/>
      <c r="G1029" s="120"/>
      <c r="H1029" s="115">
        <f t="shared" si="171"/>
        <v>568</v>
      </c>
      <c r="I1029" s="115">
        <f t="shared" si="174"/>
        <v>568</v>
      </c>
      <c r="J1029" s="115">
        <f t="shared" si="175"/>
        <v>568</v>
      </c>
      <c r="K1029" s="115">
        <f t="shared" si="173"/>
        <v>568</v>
      </c>
      <c r="L1029" s="115">
        <f t="shared" si="172"/>
        <v>568</v>
      </c>
      <c r="M1029" s="120"/>
      <c r="N1029" s="120"/>
      <c r="O1029" s="120"/>
      <c r="P1029" s="120"/>
      <c r="Q1029" s="116"/>
      <c r="R1029" s="116"/>
      <c r="S1029" s="116"/>
      <c r="T1029" s="116">
        <f>735.5-305.5+36+102</f>
        <v>568</v>
      </c>
      <c r="U1029" s="116"/>
      <c r="V1029" s="116"/>
      <c r="W1029" s="116"/>
      <c r="X1029" s="116"/>
      <c r="Y1029" s="116"/>
      <c r="Z1029" s="116"/>
      <c r="AA1029" s="116"/>
      <c r="AB1029" s="116"/>
      <c r="AC1029" s="115"/>
      <c r="AD1029" s="215"/>
      <c r="AE1029" s="169"/>
      <c r="AF1029" s="169"/>
      <c r="AG1029" s="169"/>
      <c r="AH1029" s="120"/>
    </row>
    <row r="1030" spans="1:34" ht="15">
      <c r="A1030" s="150"/>
      <c r="B1030" s="154"/>
      <c r="C1030" s="128" t="s">
        <v>2029</v>
      </c>
      <c r="E1030" s="215"/>
      <c r="F1030" s="215"/>
      <c r="G1030" s="215"/>
      <c r="H1030" s="115">
        <f t="shared" si="171"/>
        <v>3000</v>
      </c>
      <c r="I1030" s="115">
        <f t="shared" si="174"/>
        <v>3000</v>
      </c>
      <c r="J1030" s="115">
        <f t="shared" si="175"/>
        <v>3000</v>
      </c>
      <c r="K1030" s="115">
        <f t="shared" si="173"/>
        <v>3000</v>
      </c>
      <c r="L1030" s="115">
        <f t="shared" si="172"/>
        <v>3000</v>
      </c>
      <c r="M1030" s="215"/>
      <c r="N1030" s="215"/>
      <c r="O1030" s="215"/>
      <c r="P1030" s="215"/>
      <c r="Q1030" s="216"/>
      <c r="R1030" s="216"/>
      <c r="S1030" s="216"/>
      <c r="T1030" s="216">
        <f>3000</f>
        <v>3000</v>
      </c>
      <c r="U1030" s="216"/>
      <c r="V1030" s="216"/>
      <c r="W1030" s="216"/>
      <c r="X1030" s="216"/>
      <c r="Y1030" s="216"/>
      <c r="Z1030" s="216"/>
      <c r="AA1030" s="216"/>
      <c r="AB1030" s="216"/>
      <c r="AC1030" s="229"/>
      <c r="AD1030" s="215"/>
      <c r="AE1030" s="169"/>
      <c r="AF1030" s="169"/>
      <c r="AG1030" s="169"/>
      <c r="AH1030" s="120"/>
    </row>
    <row r="1031" spans="1:34" ht="15">
      <c r="A1031" s="150"/>
      <c r="B1031" s="154"/>
      <c r="C1031" s="128" t="s">
        <v>2030</v>
      </c>
      <c r="E1031" s="215"/>
      <c r="F1031" s="215"/>
      <c r="G1031" s="215"/>
      <c r="H1031" s="115">
        <f t="shared" ref="H1031:H1097" si="176">Q1031+R1031+S1031+T1031</f>
        <v>2620</v>
      </c>
      <c r="I1031" s="115">
        <f t="shared" si="174"/>
        <v>2620</v>
      </c>
      <c r="J1031" s="115">
        <f t="shared" si="175"/>
        <v>2620</v>
      </c>
      <c r="K1031" s="115">
        <f t="shared" si="173"/>
        <v>2620</v>
      </c>
      <c r="L1031" s="115">
        <f t="shared" si="172"/>
        <v>2620</v>
      </c>
      <c r="M1031" s="215"/>
      <c r="N1031" s="215"/>
      <c r="O1031" s="215"/>
      <c r="P1031" s="215"/>
      <c r="Q1031" s="216"/>
      <c r="R1031" s="216"/>
      <c r="S1031" s="216"/>
      <c r="T1031" s="216">
        <v>2620</v>
      </c>
      <c r="U1031" s="216"/>
      <c r="V1031" s="216"/>
      <c r="W1031" s="216"/>
      <c r="X1031" s="216"/>
      <c r="Y1031" s="216"/>
      <c r="Z1031" s="216"/>
      <c r="AA1031" s="216"/>
      <c r="AB1031" s="216"/>
      <c r="AC1031" s="229"/>
      <c r="AD1031" s="215"/>
      <c r="AE1031" s="169"/>
      <c r="AF1031" s="169"/>
      <c r="AG1031" s="169"/>
      <c r="AH1031" s="120"/>
    </row>
    <row r="1032" spans="1:34" ht="15">
      <c r="A1032" s="150"/>
      <c r="B1032" s="154"/>
      <c r="C1032" s="128" t="s">
        <v>2031</v>
      </c>
      <c r="E1032" s="215"/>
      <c r="F1032" s="215"/>
      <c r="G1032" s="215"/>
      <c r="H1032" s="115">
        <f t="shared" si="176"/>
        <v>6000</v>
      </c>
      <c r="I1032" s="115">
        <f t="shared" si="174"/>
        <v>6000</v>
      </c>
      <c r="J1032" s="115">
        <f t="shared" si="175"/>
        <v>6000</v>
      </c>
      <c r="K1032" s="115">
        <f t="shared" si="173"/>
        <v>6000</v>
      </c>
      <c r="L1032" s="115">
        <f t="shared" si="172"/>
        <v>6000</v>
      </c>
      <c r="M1032" s="215"/>
      <c r="N1032" s="215"/>
      <c r="O1032" s="215"/>
      <c r="P1032" s="215"/>
      <c r="Q1032" s="216"/>
      <c r="R1032" s="216"/>
      <c r="S1032" s="216"/>
      <c r="T1032" s="216">
        <f>6000</f>
        <v>6000</v>
      </c>
      <c r="U1032" s="216"/>
      <c r="V1032" s="216"/>
      <c r="W1032" s="216"/>
      <c r="X1032" s="216"/>
      <c r="Y1032" s="216"/>
      <c r="Z1032" s="216"/>
      <c r="AA1032" s="216"/>
      <c r="AB1032" s="216"/>
      <c r="AC1032" s="229"/>
      <c r="AD1032" s="215"/>
      <c r="AE1032" s="169"/>
      <c r="AF1032" s="169"/>
      <c r="AG1032" s="169"/>
      <c r="AH1032" s="120"/>
    </row>
    <row r="1033" spans="1:34" ht="15">
      <c r="A1033" s="150"/>
      <c r="B1033" s="154"/>
      <c r="C1033" s="128" t="s">
        <v>2032</v>
      </c>
      <c r="D1033" s="128"/>
      <c r="E1033" s="139"/>
      <c r="F1033" s="139"/>
      <c r="G1033" s="139"/>
      <c r="H1033" s="115">
        <f t="shared" si="176"/>
        <v>4000</v>
      </c>
      <c r="I1033" s="115">
        <f t="shared" si="174"/>
        <v>4000</v>
      </c>
      <c r="J1033" s="115">
        <f t="shared" si="175"/>
        <v>4000</v>
      </c>
      <c r="K1033" s="115">
        <f t="shared" si="173"/>
        <v>4000</v>
      </c>
      <c r="L1033" s="115">
        <f t="shared" si="172"/>
        <v>4000</v>
      </c>
      <c r="M1033" s="139"/>
      <c r="N1033" s="139"/>
      <c r="O1033" s="139"/>
      <c r="P1033" s="139"/>
      <c r="Q1033" s="214"/>
      <c r="R1033" s="214"/>
      <c r="S1033" s="214"/>
      <c r="T1033" s="214">
        <v>4000</v>
      </c>
      <c r="U1033" s="214"/>
      <c r="V1033" s="214"/>
      <c r="W1033" s="214"/>
      <c r="X1033" s="214"/>
      <c r="Y1033" s="214"/>
      <c r="Z1033" s="214"/>
      <c r="AA1033" s="214"/>
      <c r="AB1033" s="214"/>
      <c r="AC1033" s="200"/>
      <c r="AD1033" s="215"/>
      <c r="AE1033" s="169"/>
      <c r="AF1033" s="169"/>
      <c r="AG1033" s="169"/>
      <c r="AH1033" s="120"/>
    </row>
    <row r="1034" spans="1:34" ht="15">
      <c r="A1034" s="150"/>
      <c r="B1034" s="154"/>
      <c r="C1034" s="128" t="s">
        <v>2032</v>
      </c>
      <c r="E1034" s="215"/>
      <c r="F1034" s="215"/>
      <c r="G1034" s="215"/>
      <c r="H1034" s="115">
        <f t="shared" si="176"/>
        <v>5000</v>
      </c>
      <c r="I1034" s="115">
        <f t="shared" si="174"/>
        <v>5000</v>
      </c>
      <c r="J1034" s="115">
        <f t="shared" si="175"/>
        <v>5000</v>
      </c>
      <c r="K1034" s="115">
        <f t="shared" si="173"/>
        <v>5000</v>
      </c>
      <c r="L1034" s="115">
        <f t="shared" si="172"/>
        <v>5000</v>
      </c>
      <c r="M1034" s="215"/>
      <c r="N1034" s="215"/>
      <c r="O1034" s="215"/>
      <c r="P1034" s="215"/>
      <c r="Q1034" s="216"/>
      <c r="R1034" s="216"/>
      <c r="S1034" s="216"/>
      <c r="T1034" s="216">
        <v>5000</v>
      </c>
      <c r="U1034" s="216"/>
      <c r="V1034" s="216"/>
      <c r="W1034" s="216"/>
      <c r="X1034" s="216"/>
      <c r="Y1034" s="216"/>
      <c r="Z1034" s="216"/>
      <c r="AA1034" s="216"/>
      <c r="AB1034" s="216"/>
      <c r="AC1034" s="229"/>
      <c r="AD1034" s="215"/>
      <c r="AE1034" s="169"/>
      <c r="AF1034" s="169"/>
      <c r="AG1034" s="169"/>
      <c r="AH1034" s="120"/>
    </row>
    <row r="1035" spans="1:34" ht="15">
      <c r="A1035" s="150"/>
      <c r="B1035" s="154"/>
      <c r="C1035" s="128" t="s">
        <v>2033</v>
      </c>
      <c r="E1035" s="215"/>
      <c r="F1035" s="215"/>
      <c r="G1035" s="215"/>
      <c r="H1035" s="115">
        <f t="shared" si="176"/>
        <v>5000</v>
      </c>
      <c r="I1035" s="115">
        <f t="shared" si="174"/>
        <v>5000</v>
      </c>
      <c r="J1035" s="115">
        <f t="shared" si="175"/>
        <v>5000</v>
      </c>
      <c r="K1035" s="115">
        <f t="shared" si="173"/>
        <v>5000</v>
      </c>
      <c r="L1035" s="115">
        <f t="shared" si="172"/>
        <v>5000</v>
      </c>
      <c r="M1035" s="215"/>
      <c r="N1035" s="215"/>
      <c r="O1035" s="215"/>
      <c r="P1035" s="215"/>
      <c r="Q1035" s="216"/>
      <c r="R1035" s="216"/>
      <c r="S1035" s="216"/>
      <c r="T1035" s="216">
        <v>5000</v>
      </c>
      <c r="U1035" s="216"/>
      <c r="V1035" s="216"/>
      <c r="W1035" s="216"/>
      <c r="X1035" s="216"/>
      <c r="Y1035" s="216"/>
      <c r="Z1035" s="216"/>
      <c r="AA1035" s="216"/>
      <c r="AB1035" s="216"/>
      <c r="AC1035" s="229"/>
      <c r="AD1035" s="215"/>
      <c r="AE1035" s="169"/>
      <c r="AF1035" s="169"/>
      <c r="AG1035" s="169"/>
      <c r="AH1035" s="120"/>
    </row>
    <row r="1036" spans="1:34" ht="15">
      <c r="A1036" s="150"/>
      <c r="B1036" s="154"/>
      <c r="C1036" s="128" t="s">
        <v>2034</v>
      </c>
      <c r="D1036" s="128"/>
      <c r="E1036" s="139"/>
      <c r="F1036" s="139"/>
      <c r="G1036" s="139"/>
      <c r="H1036" s="115">
        <f t="shared" si="176"/>
        <v>3000</v>
      </c>
      <c r="I1036" s="115">
        <f t="shared" si="174"/>
        <v>3000</v>
      </c>
      <c r="J1036" s="115">
        <f t="shared" si="175"/>
        <v>3000</v>
      </c>
      <c r="K1036" s="115">
        <f t="shared" si="173"/>
        <v>3000</v>
      </c>
      <c r="L1036" s="115">
        <f t="shared" si="172"/>
        <v>3000</v>
      </c>
      <c r="M1036" s="139"/>
      <c r="N1036" s="139"/>
      <c r="O1036" s="139"/>
      <c r="P1036" s="139"/>
      <c r="Q1036" s="214"/>
      <c r="R1036" s="214"/>
      <c r="S1036" s="214"/>
      <c r="T1036" s="214">
        <v>3000</v>
      </c>
      <c r="U1036" s="214"/>
      <c r="V1036" s="214"/>
      <c r="W1036" s="214"/>
      <c r="X1036" s="214"/>
      <c r="Y1036" s="214"/>
      <c r="Z1036" s="214"/>
      <c r="AA1036" s="214"/>
      <c r="AB1036" s="214"/>
      <c r="AC1036" s="200"/>
      <c r="AD1036" s="215"/>
      <c r="AE1036" s="210"/>
      <c r="AF1036" s="169"/>
      <c r="AG1036" s="169"/>
      <c r="AH1036" s="120"/>
    </row>
    <row r="1037" spans="1:34" ht="15">
      <c r="A1037" s="150"/>
      <c r="B1037" s="154"/>
      <c r="C1037" s="128" t="s">
        <v>2035</v>
      </c>
      <c r="E1037" s="115"/>
      <c r="F1037" s="115"/>
      <c r="G1037" s="115"/>
      <c r="H1037" s="115">
        <f t="shared" si="176"/>
        <v>1000</v>
      </c>
      <c r="I1037" s="115">
        <f t="shared" si="174"/>
        <v>1000</v>
      </c>
      <c r="J1037" s="115">
        <f t="shared" si="175"/>
        <v>1000</v>
      </c>
      <c r="K1037" s="115">
        <f t="shared" si="173"/>
        <v>1000</v>
      </c>
      <c r="L1037" s="115">
        <f t="shared" si="172"/>
        <v>1000</v>
      </c>
      <c r="M1037" s="115"/>
      <c r="N1037" s="115"/>
      <c r="O1037" s="115"/>
      <c r="P1037" s="115"/>
      <c r="Q1037" s="116"/>
      <c r="R1037" s="116"/>
      <c r="S1037" s="116"/>
      <c r="T1037" s="116">
        <v>1000</v>
      </c>
      <c r="U1037" s="116"/>
      <c r="V1037" s="116"/>
      <c r="W1037" s="116"/>
      <c r="X1037" s="116"/>
      <c r="Y1037" s="116"/>
      <c r="Z1037" s="116"/>
      <c r="AA1037" s="116"/>
      <c r="AB1037" s="116"/>
      <c r="AC1037" s="115"/>
      <c r="AD1037" s="215"/>
      <c r="AE1037" s="210"/>
      <c r="AF1037" s="169"/>
      <c r="AG1037" s="169"/>
      <c r="AH1037" s="120"/>
    </row>
    <row r="1038" spans="1:34" ht="15">
      <c r="A1038" s="150"/>
      <c r="B1038" s="154"/>
      <c r="C1038" s="128" t="s">
        <v>2036</v>
      </c>
      <c r="D1038" s="128"/>
      <c r="E1038" s="139"/>
      <c r="F1038" s="139"/>
      <c r="G1038" s="139"/>
      <c r="H1038" s="115">
        <f t="shared" si="176"/>
        <v>17000</v>
      </c>
      <c r="I1038" s="115">
        <f t="shared" si="174"/>
        <v>17000</v>
      </c>
      <c r="J1038" s="115">
        <f t="shared" si="175"/>
        <v>17000</v>
      </c>
      <c r="K1038" s="115">
        <f t="shared" si="173"/>
        <v>17000</v>
      </c>
      <c r="L1038" s="115">
        <f t="shared" si="172"/>
        <v>17000</v>
      </c>
      <c r="M1038" s="139"/>
      <c r="N1038" s="139"/>
      <c r="O1038" s="139"/>
      <c r="P1038" s="139"/>
      <c r="Q1038" s="214"/>
      <c r="R1038" s="214"/>
      <c r="S1038" s="214"/>
      <c r="T1038" s="214">
        <v>17000</v>
      </c>
      <c r="U1038" s="214"/>
      <c r="V1038" s="214"/>
      <c r="W1038" s="214"/>
      <c r="X1038" s="214"/>
      <c r="Y1038" s="214"/>
      <c r="Z1038" s="214"/>
      <c r="AA1038" s="214"/>
      <c r="AB1038" s="214"/>
      <c r="AC1038" s="200"/>
      <c r="AD1038" s="215"/>
      <c r="AE1038" s="210"/>
      <c r="AF1038" s="169"/>
      <c r="AG1038" s="169"/>
      <c r="AH1038" s="120"/>
    </row>
    <row r="1039" spans="1:34" ht="15">
      <c r="A1039" s="150"/>
      <c r="B1039" s="154"/>
      <c r="C1039" s="128" t="s">
        <v>2037</v>
      </c>
      <c r="D1039" s="128"/>
      <c r="E1039" s="139"/>
      <c r="F1039" s="139"/>
      <c r="G1039" s="139"/>
      <c r="H1039" s="115">
        <f t="shared" si="176"/>
        <v>22</v>
      </c>
      <c r="I1039" s="115">
        <f t="shared" si="174"/>
        <v>22</v>
      </c>
      <c r="J1039" s="115">
        <f t="shared" si="175"/>
        <v>22</v>
      </c>
      <c r="K1039" s="115">
        <f t="shared" si="173"/>
        <v>22</v>
      </c>
      <c r="L1039" s="115">
        <f t="shared" si="172"/>
        <v>22</v>
      </c>
      <c r="M1039" s="139"/>
      <c r="N1039" s="139"/>
      <c r="O1039" s="139"/>
      <c r="P1039" s="139"/>
      <c r="Q1039" s="214"/>
      <c r="R1039" s="214"/>
      <c r="S1039" s="214"/>
      <c r="T1039" s="214">
        <v>22</v>
      </c>
      <c r="U1039" s="214"/>
      <c r="V1039" s="214"/>
      <c r="W1039" s="214"/>
      <c r="X1039" s="214"/>
      <c r="Y1039" s="214"/>
      <c r="Z1039" s="214"/>
      <c r="AA1039" s="214"/>
      <c r="AB1039" s="214"/>
      <c r="AC1039" s="200"/>
      <c r="AD1039" s="215"/>
      <c r="AE1039" s="210"/>
      <c r="AF1039" s="169"/>
      <c r="AG1039" s="169"/>
      <c r="AH1039" s="120"/>
    </row>
    <row r="1040" spans="1:34" ht="15">
      <c r="A1040" s="150"/>
      <c r="B1040" s="154"/>
      <c r="C1040" s="128" t="s">
        <v>2038</v>
      </c>
      <c r="D1040" s="120"/>
      <c r="E1040" s="215"/>
      <c r="F1040" s="215"/>
      <c r="G1040" s="215"/>
      <c r="H1040" s="115">
        <f t="shared" si="176"/>
        <v>500</v>
      </c>
      <c r="I1040" s="115">
        <f t="shared" si="174"/>
        <v>500</v>
      </c>
      <c r="J1040" s="115">
        <f t="shared" si="175"/>
        <v>500</v>
      </c>
      <c r="K1040" s="115">
        <f t="shared" si="173"/>
        <v>500</v>
      </c>
      <c r="L1040" s="115">
        <f t="shared" si="172"/>
        <v>500</v>
      </c>
      <c r="M1040" s="215"/>
      <c r="N1040" s="215"/>
      <c r="O1040" s="215"/>
      <c r="P1040" s="215"/>
      <c r="Q1040" s="216"/>
      <c r="R1040" s="216"/>
      <c r="S1040" s="216"/>
      <c r="T1040" s="216">
        <v>500</v>
      </c>
      <c r="U1040" s="216"/>
      <c r="V1040" s="216"/>
      <c r="W1040" s="216"/>
      <c r="X1040" s="216"/>
      <c r="Y1040" s="216"/>
      <c r="Z1040" s="216"/>
      <c r="AA1040" s="216"/>
      <c r="AB1040" s="216"/>
      <c r="AC1040" s="229"/>
      <c r="AD1040" s="215"/>
      <c r="AE1040" s="169"/>
      <c r="AF1040" s="169"/>
      <c r="AG1040" s="169"/>
      <c r="AH1040" s="120"/>
    </row>
    <row r="1041" spans="1:34" ht="15">
      <c r="A1041" s="150"/>
      <c r="B1041" s="154"/>
      <c r="C1041" s="128" t="s">
        <v>2039</v>
      </c>
      <c r="D1041" s="128"/>
      <c r="E1041" s="139"/>
      <c r="F1041" s="139"/>
      <c r="G1041" s="139"/>
      <c r="H1041" s="115">
        <f t="shared" si="176"/>
        <v>910</v>
      </c>
      <c r="I1041" s="115">
        <f t="shared" si="174"/>
        <v>910</v>
      </c>
      <c r="J1041" s="115">
        <f t="shared" si="175"/>
        <v>910</v>
      </c>
      <c r="K1041" s="115">
        <f t="shared" si="173"/>
        <v>910</v>
      </c>
      <c r="L1041" s="115">
        <f t="shared" si="172"/>
        <v>910</v>
      </c>
      <c r="M1041" s="139"/>
      <c r="N1041" s="139"/>
      <c r="O1041" s="139"/>
      <c r="P1041" s="139"/>
      <c r="Q1041" s="214"/>
      <c r="R1041" s="214"/>
      <c r="S1041" s="214"/>
      <c r="T1041" s="214">
        <v>910</v>
      </c>
      <c r="U1041" s="214"/>
      <c r="V1041" s="214"/>
      <c r="W1041" s="214"/>
      <c r="X1041" s="214"/>
      <c r="Y1041" s="214"/>
      <c r="Z1041" s="214"/>
      <c r="AA1041" s="214"/>
      <c r="AB1041" s="214"/>
      <c r="AC1041" s="200"/>
      <c r="AD1041" s="215"/>
      <c r="AE1041" s="169"/>
      <c r="AF1041" s="169"/>
      <c r="AG1041" s="169"/>
      <c r="AH1041" s="120"/>
    </row>
    <row r="1042" spans="1:34" ht="15">
      <c r="A1042" s="150"/>
      <c r="B1042" s="154"/>
      <c r="C1042" s="128" t="s">
        <v>2040</v>
      </c>
      <c r="E1042" s="120"/>
      <c r="F1042" s="120"/>
      <c r="G1042" s="120"/>
      <c r="H1042" s="115">
        <f t="shared" si="176"/>
        <v>12000</v>
      </c>
      <c r="I1042" s="115">
        <f t="shared" si="174"/>
        <v>12000</v>
      </c>
      <c r="J1042" s="115">
        <f t="shared" si="175"/>
        <v>12000</v>
      </c>
      <c r="K1042" s="115">
        <f t="shared" si="173"/>
        <v>12000</v>
      </c>
      <c r="L1042" s="115">
        <f t="shared" si="172"/>
        <v>12000</v>
      </c>
      <c r="M1042" s="120"/>
      <c r="N1042" s="120"/>
      <c r="O1042" s="120"/>
      <c r="P1042" s="120"/>
      <c r="Q1042" s="116"/>
      <c r="R1042" s="116"/>
      <c r="S1042" s="116"/>
      <c r="T1042" s="116">
        <v>12000</v>
      </c>
      <c r="U1042" s="116"/>
      <c r="V1042" s="116"/>
      <c r="W1042" s="116"/>
      <c r="X1042" s="116"/>
      <c r="Y1042" s="116"/>
      <c r="Z1042" s="116"/>
      <c r="AA1042" s="116"/>
      <c r="AB1042" s="116"/>
      <c r="AC1042" s="115"/>
      <c r="AD1042" s="215"/>
      <c r="AE1042" s="169"/>
      <c r="AF1042" s="169"/>
      <c r="AG1042" s="169"/>
      <c r="AH1042" s="120"/>
    </row>
    <row r="1043" spans="1:34" ht="15">
      <c r="A1043" s="150"/>
      <c r="B1043" s="154"/>
      <c r="C1043" s="128" t="s">
        <v>2041</v>
      </c>
      <c r="E1043" s="115"/>
      <c r="F1043" s="115"/>
      <c r="G1043" s="115"/>
      <c r="H1043" s="115">
        <f t="shared" si="176"/>
        <v>1000</v>
      </c>
      <c r="I1043" s="115">
        <f t="shared" si="174"/>
        <v>1000</v>
      </c>
      <c r="J1043" s="115">
        <f t="shared" si="175"/>
        <v>1000</v>
      </c>
      <c r="K1043" s="115">
        <f t="shared" si="173"/>
        <v>1000</v>
      </c>
      <c r="L1043" s="115">
        <f t="shared" si="172"/>
        <v>1000</v>
      </c>
      <c r="M1043" s="115"/>
      <c r="N1043" s="115"/>
      <c r="O1043" s="115"/>
      <c r="P1043" s="115"/>
      <c r="Q1043" s="116"/>
      <c r="R1043" s="116"/>
      <c r="S1043" s="116"/>
      <c r="T1043" s="116">
        <v>1000</v>
      </c>
      <c r="U1043" s="116"/>
      <c r="V1043" s="116"/>
      <c r="W1043" s="116"/>
      <c r="X1043" s="116"/>
      <c r="Y1043" s="116"/>
      <c r="Z1043" s="116"/>
      <c r="AA1043" s="116"/>
      <c r="AB1043" s="116"/>
      <c r="AC1043" s="115"/>
      <c r="AD1043" s="215"/>
      <c r="AE1043" s="169"/>
      <c r="AF1043" s="169"/>
      <c r="AG1043" s="169"/>
      <c r="AH1043" s="120"/>
    </row>
    <row r="1044" spans="1:34" ht="15">
      <c r="A1044" s="150"/>
      <c r="B1044" s="154"/>
      <c r="C1044" s="128" t="s">
        <v>2042</v>
      </c>
      <c r="D1044" s="128"/>
      <c r="E1044" s="139"/>
      <c r="F1044" s="139"/>
      <c r="G1044" s="139"/>
      <c r="H1044" s="115">
        <f t="shared" si="176"/>
        <v>1000</v>
      </c>
      <c r="I1044" s="115">
        <f t="shared" si="174"/>
        <v>1000</v>
      </c>
      <c r="J1044" s="115">
        <f t="shared" si="175"/>
        <v>1000</v>
      </c>
      <c r="K1044" s="115">
        <f t="shared" si="173"/>
        <v>1000</v>
      </c>
      <c r="L1044" s="115">
        <f t="shared" si="172"/>
        <v>1000</v>
      </c>
      <c r="M1044" s="139"/>
      <c r="N1044" s="139"/>
      <c r="O1044" s="139"/>
      <c r="P1044" s="139"/>
      <c r="Q1044" s="214"/>
      <c r="R1044" s="214"/>
      <c r="S1044" s="214"/>
      <c r="T1044" s="214">
        <v>1000</v>
      </c>
      <c r="U1044" s="214"/>
      <c r="V1044" s="214"/>
      <c r="W1044" s="214"/>
      <c r="X1044" s="214"/>
      <c r="Y1044" s="214"/>
      <c r="Z1044" s="214"/>
      <c r="AA1044" s="214"/>
      <c r="AB1044" s="214"/>
      <c r="AC1044" s="200"/>
      <c r="AD1044" s="215"/>
      <c r="AE1044" s="169"/>
      <c r="AF1044" s="169"/>
      <c r="AG1044" s="169"/>
      <c r="AH1044" s="120"/>
    </row>
    <row r="1045" spans="1:34" ht="15">
      <c r="A1045" s="150"/>
      <c r="B1045" s="154"/>
      <c r="C1045" s="128" t="s">
        <v>2043</v>
      </c>
      <c r="D1045" s="128"/>
      <c r="E1045" s="139"/>
      <c r="F1045" s="139"/>
      <c r="G1045" s="139"/>
      <c r="H1045" s="115">
        <f t="shared" si="176"/>
        <v>570</v>
      </c>
      <c r="I1045" s="115">
        <f t="shared" si="174"/>
        <v>570</v>
      </c>
      <c r="J1045" s="115">
        <f t="shared" si="175"/>
        <v>570</v>
      </c>
      <c r="K1045" s="115">
        <f t="shared" si="173"/>
        <v>570</v>
      </c>
      <c r="L1045" s="115">
        <f t="shared" si="172"/>
        <v>570</v>
      </c>
      <c r="M1045" s="139"/>
      <c r="N1045" s="139"/>
      <c r="O1045" s="139"/>
      <c r="P1045" s="139"/>
      <c r="Q1045" s="214"/>
      <c r="R1045" s="214"/>
      <c r="S1045" s="214"/>
      <c r="T1045" s="214">
        <v>570</v>
      </c>
      <c r="U1045" s="214"/>
      <c r="V1045" s="214"/>
      <c r="W1045" s="214"/>
      <c r="X1045" s="214"/>
      <c r="Y1045" s="214"/>
      <c r="Z1045" s="214"/>
      <c r="AA1045" s="214"/>
      <c r="AB1045" s="214"/>
      <c r="AC1045" s="200"/>
      <c r="AD1045" s="215"/>
      <c r="AE1045" s="168" t="s">
        <v>2044</v>
      </c>
      <c r="AF1045" s="169"/>
      <c r="AG1045" s="169"/>
      <c r="AH1045" s="120"/>
    </row>
    <row r="1046" spans="1:34" ht="15">
      <c r="A1046" s="150"/>
      <c r="B1046" s="154"/>
      <c r="C1046" s="128" t="s">
        <v>2045</v>
      </c>
      <c r="E1046" s="120"/>
      <c r="F1046" s="120"/>
      <c r="G1046" s="120"/>
      <c r="H1046" s="115">
        <f t="shared" si="176"/>
        <v>6000</v>
      </c>
      <c r="I1046" s="115">
        <f t="shared" si="174"/>
        <v>6000</v>
      </c>
      <c r="J1046" s="115">
        <f t="shared" si="175"/>
        <v>6000</v>
      </c>
      <c r="K1046" s="115">
        <f t="shared" si="173"/>
        <v>6000</v>
      </c>
      <c r="L1046" s="115">
        <f t="shared" si="172"/>
        <v>6000</v>
      </c>
      <c r="M1046" s="120"/>
      <c r="N1046" s="120"/>
      <c r="O1046" s="120"/>
      <c r="P1046" s="120"/>
      <c r="Q1046" s="116"/>
      <c r="R1046" s="116"/>
      <c r="S1046" s="116"/>
      <c r="T1046" s="116">
        <v>6000</v>
      </c>
      <c r="U1046" s="116"/>
      <c r="V1046" s="116"/>
      <c r="W1046" s="116"/>
      <c r="X1046" s="116"/>
      <c r="Y1046" s="116"/>
      <c r="Z1046" s="116"/>
      <c r="AA1046" s="116"/>
      <c r="AB1046" s="116"/>
      <c r="AC1046" s="115"/>
      <c r="AD1046" s="215"/>
      <c r="AE1046" s="169" t="s">
        <v>2046</v>
      </c>
      <c r="AF1046" s="169"/>
      <c r="AG1046" s="169">
        <v>2400</v>
      </c>
      <c r="AH1046" s="120"/>
    </row>
    <row r="1047" spans="1:34" ht="15">
      <c r="A1047" s="150"/>
      <c r="B1047" s="154"/>
      <c r="C1047" s="128" t="s">
        <v>2047</v>
      </c>
      <c r="E1047" s="115"/>
      <c r="F1047" s="115"/>
      <c r="G1047" s="115"/>
      <c r="H1047" s="115">
        <f t="shared" si="176"/>
        <v>249</v>
      </c>
      <c r="I1047" s="115">
        <f t="shared" si="174"/>
        <v>249</v>
      </c>
      <c r="J1047" s="115">
        <f t="shared" si="175"/>
        <v>249</v>
      </c>
      <c r="K1047" s="115">
        <f t="shared" si="173"/>
        <v>249</v>
      </c>
      <c r="L1047" s="115">
        <f t="shared" si="172"/>
        <v>249</v>
      </c>
      <c r="M1047" s="115"/>
      <c r="N1047" s="115"/>
      <c r="O1047" s="115"/>
      <c r="P1047" s="115"/>
      <c r="Q1047" s="116"/>
      <c r="R1047" s="116"/>
      <c r="S1047" s="116"/>
      <c r="T1047" s="116">
        <f>100+149</f>
        <v>249</v>
      </c>
      <c r="U1047" s="116"/>
      <c r="V1047" s="116"/>
      <c r="W1047" s="116"/>
      <c r="X1047" s="116"/>
      <c r="Y1047" s="116"/>
      <c r="Z1047" s="116"/>
      <c r="AA1047" s="116"/>
      <c r="AB1047" s="116"/>
      <c r="AC1047" s="115"/>
      <c r="AD1047" s="215"/>
      <c r="AE1047" s="169"/>
      <c r="AF1047" s="169"/>
      <c r="AG1047" s="169">
        <v>119879.44</v>
      </c>
      <c r="AH1047" s="120"/>
    </row>
    <row r="1048" spans="1:34" ht="15">
      <c r="A1048" s="150"/>
      <c r="B1048" s="154"/>
      <c r="C1048" s="128" t="s">
        <v>2048</v>
      </c>
      <c r="D1048" s="128"/>
      <c r="E1048" s="139"/>
      <c r="F1048" s="139"/>
      <c r="G1048" s="139"/>
      <c r="H1048" s="115">
        <f t="shared" si="176"/>
        <v>6000</v>
      </c>
      <c r="I1048" s="115">
        <f t="shared" si="174"/>
        <v>6000</v>
      </c>
      <c r="J1048" s="115">
        <f t="shared" si="175"/>
        <v>6000</v>
      </c>
      <c r="K1048" s="115">
        <f t="shared" si="173"/>
        <v>6000</v>
      </c>
      <c r="L1048" s="115">
        <f t="shared" si="172"/>
        <v>6000</v>
      </c>
      <c r="M1048" s="139"/>
      <c r="N1048" s="139"/>
      <c r="O1048" s="139"/>
      <c r="P1048" s="139"/>
      <c r="Q1048" s="214"/>
      <c r="R1048" s="214"/>
      <c r="S1048" s="214"/>
      <c r="T1048" s="214">
        <v>6000</v>
      </c>
      <c r="U1048" s="214"/>
      <c r="V1048" s="214"/>
      <c r="W1048" s="214"/>
      <c r="X1048" s="214"/>
      <c r="Y1048" s="214"/>
      <c r="Z1048" s="214"/>
      <c r="AA1048" s="214"/>
      <c r="AB1048" s="214"/>
      <c r="AC1048" s="200"/>
      <c r="AD1048" s="215"/>
      <c r="AE1048" s="169"/>
      <c r="AF1048" s="169"/>
      <c r="AG1048" s="169"/>
      <c r="AH1048" s="120"/>
    </row>
    <row r="1049" spans="1:34" ht="15">
      <c r="A1049" s="150"/>
      <c r="B1049" s="154"/>
      <c r="C1049" s="128" t="s">
        <v>2049</v>
      </c>
      <c r="D1049" s="128"/>
      <c r="E1049" s="139"/>
      <c r="F1049" s="139"/>
      <c r="G1049" s="139"/>
      <c r="H1049" s="115">
        <f t="shared" si="176"/>
        <v>14800</v>
      </c>
      <c r="I1049" s="115">
        <f t="shared" si="174"/>
        <v>14800</v>
      </c>
      <c r="J1049" s="115">
        <f t="shared" si="175"/>
        <v>14800</v>
      </c>
      <c r="K1049" s="115">
        <f t="shared" si="173"/>
        <v>14800</v>
      </c>
      <c r="L1049" s="115">
        <f t="shared" si="172"/>
        <v>14800</v>
      </c>
      <c r="M1049" s="139"/>
      <c r="N1049" s="139"/>
      <c r="O1049" s="139"/>
      <c r="P1049" s="139"/>
      <c r="Q1049" s="214"/>
      <c r="R1049" s="214"/>
      <c r="S1049" s="214"/>
      <c r="T1049" s="214">
        <v>14800</v>
      </c>
      <c r="U1049" s="214"/>
      <c r="V1049" s="214"/>
      <c r="W1049" s="214"/>
      <c r="X1049" s="214"/>
      <c r="Y1049" s="214"/>
      <c r="Z1049" s="214"/>
      <c r="AA1049" s="214"/>
      <c r="AB1049" s="214"/>
      <c r="AC1049" s="200"/>
      <c r="AD1049" s="215"/>
      <c r="AE1049" s="169"/>
      <c r="AF1049" s="169"/>
      <c r="AG1049" s="169"/>
      <c r="AH1049" s="120"/>
    </row>
    <row r="1050" spans="1:34" ht="15">
      <c r="A1050" s="150"/>
      <c r="B1050" s="154"/>
      <c r="C1050" s="128" t="s">
        <v>2050</v>
      </c>
      <c r="D1050" s="128"/>
      <c r="E1050" s="139"/>
      <c r="F1050" s="139"/>
      <c r="G1050" s="139"/>
      <c r="H1050" s="115">
        <f t="shared" si="176"/>
        <v>133.30000000000001</v>
      </c>
      <c r="I1050" s="115">
        <f t="shared" si="174"/>
        <v>133.30000000000001</v>
      </c>
      <c r="J1050" s="115">
        <f t="shared" si="175"/>
        <v>133.30000000000001</v>
      </c>
      <c r="K1050" s="115">
        <f t="shared" si="173"/>
        <v>133.30000000000001</v>
      </c>
      <c r="L1050" s="115">
        <f t="shared" si="172"/>
        <v>133.30000000000001</v>
      </c>
      <c r="M1050" s="139"/>
      <c r="N1050" s="139"/>
      <c r="O1050" s="139"/>
      <c r="P1050" s="139"/>
      <c r="Q1050" s="214"/>
      <c r="R1050" s="214"/>
      <c r="S1050" s="214"/>
      <c r="T1050" s="214">
        <v>133.30000000000001</v>
      </c>
      <c r="U1050" s="214"/>
      <c r="V1050" s="214"/>
      <c r="W1050" s="214"/>
      <c r="X1050" s="214"/>
      <c r="Y1050" s="214"/>
      <c r="Z1050" s="214"/>
      <c r="AA1050" s="214"/>
      <c r="AB1050" s="214"/>
      <c r="AC1050" s="200"/>
      <c r="AD1050" s="215"/>
      <c r="AE1050" s="169"/>
      <c r="AF1050" s="169"/>
      <c r="AG1050" s="169"/>
      <c r="AH1050" s="120"/>
    </row>
    <row r="1051" spans="1:34" ht="15">
      <c r="A1051" s="150"/>
      <c r="B1051" s="154"/>
      <c r="C1051" s="128" t="s">
        <v>2051</v>
      </c>
      <c r="D1051" s="128"/>
      <c r="E1051" s="139"/>
      <c r="F1051" s="139"/>
      <c r="G1051" s="139"/>
      <c r="H1051" s="115">
        <f t="shared" si="176"/>
        <v>4000</v>
      </c>
      <c r="I1051" s="115">
        <f t="shared" si="174"/>
        <v>4000</v>
      </c>
      <c r="J1051" s="115">
        <f t="shared" si="175"/>
        <v>4000</v>
      </c>
      <c r="K1051" s="115">
        <f t="shared" si="173"/>
        <v>4000</v>
      </c>
      <c r="L1051" s="115">
        <f t="shared" si="172"/>
        <v>4000</v>
      </c>
      <c r="M1051" s="139"/>
      <c r="N1051" s="139"/>
      <c r="O1051" s="139"/>
      <c r="P1051" s="139"/>
      <c r="Q1051" s="214"/>
      <c r="R1051" s="214"/>
      <c r="S1051" s="214"/>
      <c r="T1051" s="214">
        <v>4000</v>
      </c>
      <c r="U1051" s="214"/>
      <c r="V1051" s="214"/>
      <c r="W1051" s="214"/>
      <c r="X1051" s="214"/>
      <c r="Y1051" s="214"/>
      <c r="Z1051" s="214"/>
      <c r="AA1051" s="214"/>
      <c r="AB1051" s="214"/>
      <c r="AC1051" s="200"/>
      <c r="AD1051" s="215"/>
      <c r="AE1051" s="169"/>
      <c r="AF1051" s="169"/>
      <c r="AG1051" s="169"/>
      <c r="AH1051" s="120"/>
    </row>
    <row r="1052" spans="1:34" ht="15">
      <c r="A1052" s="150"/>
      <c r="B1052" s="154"/>
      <c r="C1052" s="128" t="s">
        <v>2052</v>
      </c>
      <c r="D1052" s="128"/>
      <c r="E1052" s="139"/>
      <c r="F1052" s="139"/>
      <c r="G1052" s="139"/>
      <c r="H1052" s="115">
        <f t="shared" si="176"/>
        <v>1000</v>
      </c>
      <c r="I1052" s="115">
        <f t="shared" si="174"/>
        <v>1000</v>
      </c>
      <c r="J1052" s="115">
        <f t="shared" si="175"/>
        <v>1000</v>
      </c>
      <c r="K1052" s="115">
        <f t="shared" si="173"/>
        <v>1000</v>
      </c>
      <c r="L1052" s="115">
        <f t="shared" si="172"/>
        <v>1000</v>
      </c>
      <c r="M1052" s="139"/>
      <c r="N1052" s="139"/>
      <c r="O1052" s="139"/>
      <c r="P1052" s="139"/>
      <c r="Q1052" s="214"/>
      <c r="R1052" s="214"/>
      <c r="S1052" s="214"/>
      <c r="T1052" s="214">
        <v>1000</v>
      </c>
      <c r="U1052" s="214"/>
      <c r="V1052" s="214"/>
      <c r="W1052" s="214"/>
      <c r="X1052" s="214"/>
      <c r="Y1052" s="214"/>
      <c r="Z1052" s="214"/>
      <c r="AA1052" s="214"/>
      <c r="AB1052" s="214"/>
      <c r="AC1052" s="200"/>
      <c r="AD1052" s="215"/>
      <c r="AE1052" s="169"/>
      <c r="AF1052" s="169"/>
      <c r="AG1052" s="169">
        <v>2000</v>
      </c>
      <c r="AH1052" s="120"/>
    </row>
    <row r="1053" spans="1:34" ht="15">
      <c r="A1053" s="150"/>
      <c r="B1053" s="154"/>
      <c r="C1053" s="128" t="s">
        <v>2052</v>
      </c>
      <c r="D1053" s="128"/>
      <c r="E1053" s="139"/>
      <c r="F1053" s="139"/>
      <c r="G1053" s="139"/>
      <c r="H1053" s="115">
        <f t="shared" si="176"/>
        <v>1000</v>
      </c>
      <c r="I1053" s="115">
        <f t="shared" si="174"/>
        <v>1000</v>
      </c>
      <c r="J1053" s="115">
        <f t="shared" si="175"/>
        <v>1000</v>
      </c>
      <c r="K1053" s="115">
        <f t="shared" si="173"/>
        <v>1000</v>
      </c>
      <c r="L1053" s="115">
        <f t="shared" si="172"/>
        <v>1000</v>
      </c>
      <c r="M1053" s="139"/>
      <c r="N1053" s="139"/>
      <c r="O1053" s="139"/>
      <c r="P1053" s="139"/>
      <c r="Q1053" s="214"/>
      <c r="R1053" s="214"/>
      <c r="S1053" s="214"/>
      <c r="T1053" s="214">
        <v>1000</v>
      </c>
      <c r="U1053" s="214"/>
      <c r="V1053" s="214"/>
      <c r="W1053" s="214"/>
      <c r="X1053" s="214"/>
      <c r="Y1053" s="214"/>
      <c r="Z1053" s="214"/>
      <c r="AA1053" s="214"/>
      <c r="AB1053" s="214"/>
      <c r="AC1053" s="200"/>
      <c r="AD1053" s="190"/>
      <c r="AE1053" s="169"/>
      <c r="AF1053" s="169">
        <v>119879.44</v>
      </c>
      <c r="AG1053" s="120"/>
      <c r="AH1053" s="120"/>
    </row>
    <row r="1054" spans="1:34" ht="15">
      <c r="A1054" s="150"/>
      <c r="B1054" s="154"/>
      <c r="C1054" s="128" t="s">
        <v>2052</v>
      </c>
      <c r="D1054" s="128"/>
      <c r="E1054" s="139"/>
      <c r="F1054" s="139"/>
      <c r="G1054" s="139"/>
      <c r="H1054" s="115">
        <f t="shared" si="176"/>
        <v>2300</v>
      </c>
      <c r="I1054" s="115">
        <f t="shared" si="174"/>
        <v>2300</v>
      </c>
      <c r="J1054" s="115">
        <f t="shared" si="175"/>
        <v>2300</v>
      </c>
      <c r="K1054" s="115">
        <f t="shared" si="173"/>
        <v>2300</v>
      </c>
      <c r="L1054" s="115">
        <f t="shared" si="172"/>
        <v>2300</v>
      </c>
      <c r="M1054" s="139"/>
      <c r="N1054" s="139"/>
      <c r="O1054" s="139"/>
      <c r="P1054" s="139"/>
      <c r="Q1054" s="214"/>
      <c r="R1054" s="214"/>
      <c r="S1054" s="214"/>
      <c r="T1054" s="214">
        <v>2300</v>
      </c>
      <c r="U1054" s="214"/>
      <c r="V1054" s="214"/>
      <c r="W1054" s="214"/>
      <c r="X1054" s="214"/>
      <c r="Y1054" s="214"/>
      <c r="Z1054" s="214"/>
      <c r="AA1054" s="214"/>
      <c r="AB1054" s="214"/>
      <c r="AC1054" s="200"/>
      <c r="AD1054" s="190"/>
      <c r="AE1054" s="169"/>
      <c r="AF1054" s="169"/>
      <c r="AG1054" s="120"/>
      <c r="AH1054" s="120"/>
    </row>
    <row r="1055" spans="1:34" ht="15">
      <c r="A1055" s="150"/>
      <c r="B1055" s="154"/>
      <c r="C1055" s="128" t="s">
        <v>2052</v>
      </c>
      <c r="D1055" s="128"/>
      <c r="E1055" s="139"/>
      <c r="F1055" s="139"/>
      <c r="G1055" s="139"/>
      <c r="H1055" s="115"/>
      <c r="I1055" s="115">
        <f t="shared" si="174"/>
        <v>3400</v>
      </c>
      <c r="J1055" s="115">
        <f t="shared" si="175"/>
        <v>3400</v>
      </c>
      <c r="K1055" s="115">
        <f t="shared" si="173"/>
        <v>3400</v>
      </c>
      <c r="L1055" s="115">
        <f t="shared" si="172"/>
        <v>3400</v>
      </c>
      <c r="M1055" s="139"/>
      <c r="N1055" s="139"/>
      <c r="O1055" s="139"/>
      <c r="P1055" s="139"/>
      <c r="Q1055" s="214"/>
      <c r="R1055" s="214"/>
      <c r="S1055" s="214"/>
      <c r="T1055" s="214"/>
      <c r="U1055" s="214">
        <v>3400</v>
      </c>
      <c r="V1055" s="214"/>
      <c r="W1055" s="214"/>
      <c r="X1055" s="214"/>
      <c r="Y1055" s="214"/>
      <c r="Z1055" s="214"/>
      <c r="AA1055" s="214"/>
      <c r="AB1055" s="214"/>
      <c r="AC1055" s="200"/>
      <c r="AD1055" s="190"/>
      <c r="AE1055" s="169"/>
      <c r="AF1055" s="169"/>
      <c r="AG1055" s="120"/>
      <c r="AH1055" s="120"/>
    </row>
    <row r="1056" spans="1:34" ht="15" hidden="1">
      <c r="A1056" s="150"/>
      <c r="B1056" s="154"/>
      <c r="C1056" s="128" t="s">
        <v>2053</v>
      </c>
      <c r="D1056" s="128"/>
      <c r="E1056" s="139"/>
      <c r="F1056" s="139"/>
      <c r="G1056" s="139"/>
      <c r="H1056" s="115">
        <f t="shared" si="176"/>
        <v>15987.21</v>
      </c>
      <c r="I1056" s="115">
        <f t="shared" si="174"/>
        <v>15987.21</v>
      </c>
      <c r="J1056" s="115">
        <f t="shared" si="175"/>
        <v>15987.21</v>
      </c>
      <c r="K1056" s="115">
        <f t="shared" si="173"/>
        <v>0</v>
      </c>
      <c r="L1056" s="115">
        <f t="shared" si="172"/>
        <v>0</v>
      </c>
      <c r="M1056" s="139"/>
      <c r="N1056" s="139"/>
      <c r="O1056" s="139"/>
      <c r="P1056" s="139"/>
      <c r="Q1056" s="214"/>
      <c r="R1056" s="214"/>
      <c r="S1056" s="214"/>
      <c r="T1056" s="214">
        <v>15987.21</v>
      </c>
      <c r="U1056" s="214"/>
      <c r="V1056" s="214"/>
      <c r="W1056" s="214">
        <v>-15987.21</v>
      </c>
      <c r="X1056" s="214"/>
      <c r="Y1056" s="214"/>
      <c r="Z1056" s="214"/>
      <c r="AA1056" s="214"/>
      <c r="AB1056" s="214"/>
      <c r="AC1056" s="200"/>
      <c r="AD1056" s="190"/>
      <c r="AE1056" s="169"/>
      <c r="AF1056" s="169"/>
      <c r="AG1056" s="120"/>
      <c r="AH1056" s="120"/>
    </row>
    <row r="1057" spans="1:34" ht="15" hidden="1">
      <c r="A1057" s="150"/>
      <c r="B1057" s="154"/>
      <c r="C1057" s="128" t="s">
        <v>2053</v>
      </c>
      <c r="D1057" s="128"/>
      <c r="E1057" s="139"/>
      <c r="F1057" s="139"/>
      <c r="G1057" s="139"/>
      <c r="H1057" s="115">
        <f t="shared" si="176"/>
        <v>7470.68</v>
      </c>
      <c r="I1057" s="115">
        <f t="shared" si="174"/>
        <v>7470.68</v>
      </c>
      <c r="J1057" s="115">
        <f t="shared" si="175"/>
        <v>7470.68</v>
      </c>
      <c r="K1057" s="115">
        <f t="shared" si="173"/>
        <v>0</v>
      </c>
      <c r="L1057" s="115">
        <f t="shared" si="172"/>
        <v>0</v>
      </c>
      <c r="M1057" s="139"/>
      <c r="N1057" s="139"/>
      <c r="O1057" s="139"/>
      <c r="P1057" s="139"/>
      <c r="Q1057" s="214"/>
      <c r="R1057" s="214"/>
      <c r="S1057" s="214"/>
      <c r="T1057" s="214">
        <v>7470.68</v>
      </c>
      <c r="U1057" s="214"/>
      <c r="V1057" s="214"/>
      <c r="W1057" s="214">
        <v>-7470.68</v>
      </c>
      <c r="X1057" s="214"/>
      <c r="Y1057" s="214"/>
      <c r="Z1057" s="214"/>
      <c r="AA1057" s="214"/>
      <c r="AB1057" s="214"/>
      <c r="AC1057" s="200"/>
      <c r="AD1057" s="190"/>
      <c r="AE1057" s="169"/>
      <c r="AF1057" s="169"/>
      <c r="AG1057" s="120"/>
      <c r="AH1057" s="120"/>
    </row>
    <row r="1058" spans="1:34" ht="15">
      <c r="A1058" s="150"/>
      <c r="B1058" s="154"/>
      <c r="C1058" s="128" t="s">
        <v>2054</v>
      </c>
      <c r="D1058" s="128"/>
      <c r="E1058" s="139"/>
      <c r="F1058" s="139"/>
      <c r="G1058" s="139"/>
      <c r="H1058" s="115">
        <f t="shared" si="176"/>
        <v>2000</v>
      </c>
      <c r="I1058" s="115">
        <f t="shared" si="174"/>
        <v>2000</v>
      </c>
      <c r="J1058" s="115">
        <f t="shared" si="175"/>
        <v>2000</v>
      </c>
      <c r="K1058" s="115">
        <f t="shared" si="173"/>
        <v>2000</v>
      </c>
      <c r="L1058" s="115">
        <f t="shared" si="172"/>
        <v>2000</v>
      </c>
      <c r="M1058" s="139"/>
      <c r="N1058" s="139"/>
      <c r="O1058" s="139"/>
      <c r="P1058" s="139"/>
      <c r="Q1058" s="214"/>
      <c r="R1058" s="214"/>
      <c r="S1058" s="214"/>
      <c r="T1058" s="214">
        <v>2000</v>
      </c>
      <c r="U1058" s="214"/>
      <c r="V1058" s="214"/>
      <c r="W1058" s="214"/>
      <c r="X1058" s="214"/>
      <c r="Y1058" s="214"/>
      <c r="Z1058" s="214"/>
      <c r="AA1058" s="214"/>
      <c r="AB1058" s="214"/>
      <c r="AC1058" s="200"/>
      <c r="AD1058" s="120"/>
      <c r="AE1058" s="162"/>
      <c r="AF1058" s="169"/>
      <c r="AG1058" s="120"/>
      <c r="AH1058" s="120"/>
    </row>
    <row r="1059" spans="1:34" ht="15.75" thickBot="1">
      <c r="A1059" s="150"/>
      <c r="B1059" s="154"/>
      <c r="C1059" s="128" t="s">
        <v>2054</v>
      </c>
      <c r="E1059" s="115"/>
      <c r="F1059" s="115"/>
      <c r="G1059" s="115"/>
      <c r="H1059" s="115">
        <f t="shared" si="176"/>
        <v>13545</v>
      </c>
      <c r="I1059" s="115">
        <f t="shared" si="174"/>
        <v>13545</v>
      </c>
      <c r="J1059" s="115">
        <f t="shared" si="175"/>
        <v>13545</v>
      </c>
      <c r="K1059" s="115">
        <f t="shared" si="173"/>
        <v>13545</v>
      </c>
      <c r="L1059" s="115">
        <f t="shared" si="172"/>
        <v>13545</v>
      </c>
      <c r="M1059" s="115"/>
      <c r="N1059" s="115"/>
      <c r="O1059" s="115"/>
      <c r="P1059" s="115"/>
      <c r="Q1059" s="116"/>
      <c r="R1059" s="116"/>
      <c r="S1059" s="116"/>
      <c r="T1059" s="116">
        <f>1750-3750+4850+10695+5120-5120</f>
        <v>13545</v>
      </c>
      <c r="U1059" s="116"/>
      <c r="V1059" s="116"/>
      <c r="W1059" s="116"/>
      <c r="X1059" s="116"/>
      <c r="Y1059" s="116"/>
      <c r="Z1059" s="116"/>
      <c r="AA1059" s="116"/>
      <c r="AB1059" s="116"/>
      <c r="AC1059" s="115"/>
      <c r="AD1059" s="190"/>
      <c r="AE1059" s="162"/>
      <c r="AF1059" s="213">
        <f>SUM(AF851:AF1053)</f>
        <v>713019.58000000007</v>
      </c>
      <c r="AG1059" s="120"/>
      <c r="AH1059" s="120"/>
    </row>
    <row r="1060" spans="1:34" ht="15">
      <c r="A1060" s="150"/>
      <c r="B1060" s="154"/>
      <c r="C1060" s="128" t="s">
        <v>2055</v>
      </c>
      <c r="D1060" s="128"/>
      <c r="E1060" s="139"/>
      <c r="F1060" s="139"/>
      <c r="G1060" s="139"/>
      <c r="H1060" s="115">
        <f t="shared" si="176"/>
        <v>5000</v>
      </c>
      <c r="I1060" s="115">
        <f t="shared" si="174"/>
        <v>5000</v>
      </c>
      <c r="J1060" s="115">
        <f t="shared" si="175"/>
        <v>5000</v>
      </c>
      <c r="K1060" s="115">
        <f t="shared" si="173"/>
        <v>5000</v>
      </c>
      <c r="L1060" s="115">
        <f t="shared" si="172"/>
        <v>5000</v>
      </c>
      <c r="M1060" s="139"/>
      <c r="N1060" s="139"/>
      <c r="O1060" s="139"/>
      <c r="P1060" s="139"/>
      <c r="Q1060" s="214"/>
      <c r="R1060" s="214"/>
      <c r="S1060" s="214"/>
      <c r="T1060" s="214">
        <v>5000</v>
      </c>
      <c r="U1060" s="214"/>
      <c r="V1060" s="214"/>
      <c r="W1060" s="214"/>
      <c r="X1060" s="214"/>
      <c r="Y1060" s="214"/>
      <c r="Z1060" s="214"/>
      <c r="AA1060" s="214"/>
      <c r="AB1060" s="214"/>
      <c r="AC1060" s="200"/>
      <c r="AD1060" s="190"/>
      <c r="AE1060" s="162"/>
      <c r="AF1060" s="169">
        <v>-39301.449999999997</v>
      </c>
      <c r="AG1060" s="120"/>
      <c r="AH1060" s="120"/>
    </row>
    <row r="1061" spans="1:34" ht="15">
      <c r="A1061" s="150"/>
      <c r="B1061" s="154"/>
      <c r="C1061" s="128" t="s">
        <v>2056</v>
      </c>
      <c r="D1061" s="128"/>
      <c r="E1061" s="139"/>
      <c r="F1061" s="139"/>
      <c r="G1061" s="139"/>
      <c r="H1061" s="115">
        <f t="shared" si="176"/>
        <v>2000</v>
      </c>
      <c r="I1061" s="115">
        <f t="shared" si="174"/>
        <v>2000</v>
      </c>
      <c r="J1061" s="115">
        <f t="shared" si="175"/>
        <v>2000</v>
      </c>
      <c r="K1061" s="115">
        <f t="shared" si="173"/>
        <v>2000</v>
      </c>
      <c r="L1061" s="115">
        <f t="shared" si="172"/>
        <v>2000</v>
      </c>
      <c r="M1061" s="139"/>
      <c r="N1061" s="139"/>
      <c r="O1061" s="139"/>
      <c r="P1061" s="139"/>
      <c r="Q1061" s="214"/>
      <c r="R1061" s="214"/>
      <c r="S1061" s="214"/>
      <c r="T1061" s="214">
        <v>2000</v>
      </c>
      <c r="U1061" s="214"/>
      <c r="V1061" s="214"/>
      <c r="W1061" s="214"/>
      <c r="X1061" s="214"/>
      <c r="Y1061" s="214"/>
      <c r="Z1061" s="214"/>
      <c r="AA1061" s="214"/>
      <c r="AB1061" s="214"/>
      <c r="AC1061" s="200"/>
      <c r="AD1061" s="190"/>
      <c r="AE1061" s="162"/>
      <c r="AF1061" s="169"/>
      <c r="AG1061" s="120"/>
      <c r="AH1061" s="120"/>
    </row>
    <row r="1062" spans="1:34" ht="15">
      <c r="A1062" s="150"/>
      <c r="B1062" s="154"/>
      <c r="C1062" s="128" t="s">
        <v>2057</v>
      </c>
      <c r="D1062" s="128"/>
      <c r="E1062" s="139"/>
      <c r="F1062" s="139"/>
      <c r="G1062" s="139"/>
      <c r="H1062" s="115">
        <f t="shared" si="176"/>
        <v>500</v>
      </c>
      <c r="I1062" s="115">
        <f t="shared" si="174"/>
        <v>500</v>
      </c>
      <c r="J1062" s="115">
        <f t="shared" si="175"/>
        <v>500</v>
      </c>
      <c r="K1062" s="115">
        <f t="shared" si="173"/>
        <v>500</v>
      </c>
      <c r="L1062" s="115">
        <f t="shared" si="172"/>
        <v>500</v>
      </c>
      <c r="M1062" s="139"/>
      <c r="N1062" s="139"/>
      <c r="O1062" s="139"/>
      <c r="P1062" s="139"/>
      <c r="Q1062" s="214"/>
      <c r="R1062" s="214"/>
      <c r="S1062" s="214"/>
      <c r="T1062" s="214">
        <v>500</v>
      </c>
      <c r="U1062" s="214"/>
      <c r="V1062" s="214"/>
      <c r="W1062" s="214"/>
      <c r="X1062" s="214"/>
      <c r="Y1062" s="214"/>
      <c r="Z1062" s="214"/>
      <c r="AA1062" s="214"/>
      <c r="AB1062" s="214"/>
      <c r="AC1062" s="200"/>
      <c r="AD1062" s="190"/>
      <c r="AE1062" s="162"/>
      <c r="AF1062" s="157">
        <f>SUM(AF1059:AF1060)</f>
        <v>673718.13000000012</v>
      </c>
      <c r="AG1062" s="120"/>
      <c r="AH1062" s="120"/>
    </row>
    <row r="1063" spans="1:34">
      <c r="A1063" s="150"/>
      <c r="B1063" s="154"/>
      <c r="C1063" s="128" t="s">
        <v>2057</v>
      </c>
      <c r="D1063" s="128"/>
      <c r="E1063" s="139"/>
      <c r="F1063" s="139"/>
      <c r="G1063" s="139"/>
      <c r="H1063" s="115">
        <f t="shared" si="176"/>
        <v>598.25</v>
      </c>
      <c r="I1063" s="115">
        <f t="shared" si="174"/>
        <v>598.25</v>
      </c>
      <c r="J1063" s="115">
        <f t="shared" si="175"/>
        <v>598.25</v>
      </c>
      <c r="K1063" s="115">
        <f t="shared" si="173"/>
        <v>598.25</v>
      </c>
      <c r="L1063" s="115">
        <f t="shared" si="172"/>
        <v>598.25</v>
      </c>
      <c r="M1063" s="139"/>
      <c r="N1063" s="139"/>
      <c r="O1063" s="139"/>
      <c r="P1063" s="139"/>
      <c r="Q1063" s="214"/>
      <c r="R1063" s="214"/>
      <c r="S1063" s="214"/>
      <c r="T1063" s="214">
        <v>598.25</v>
      </c>
      <c r="U1063" s="214"/>
      <c r="V1063" s="214"/>
      <c r="W1063" s="214"/>
      <c r="X1063" s="214"/>
      <c r="Y1063" s="214"/>
      <c r="Z1063" s="214"/>
      <c r="AA1063" s="214"/>
      <c r="AB1063" s="214"/>
      <c r="AC1063" s="200"/>
      <c r="AD1063" s="190"/>
      <c r="AE1063" s="162"/>
      <c r="AF1063" s="120"/>
      <c r="AG1063" s="120"/>
      <c r="AH1063" s="120"/>
    </row>
    <row r="1064" spans="1:34">
      <c r="B1064" s="154"/>
      <c r="C1064" s="128" t="s">
        <v>2058</v>
      </c>
      <c r="D1064" s="120"/>
      <c r="E1064" s="190"/>
      <c r="F1064" s="190"/>
      <c r="G1064" s="190"/>
      <c r="H1064" s="115">
        <f t="shared" si="176"/>
        <v>850</v>
      </c>
      <c r="I1064" s="115">
        <f t="shared" si="174"/>
        <v>850</v>
      </c>
      <c r="J1064" s="115">
        <f t="shared" si="175"/>
        <v>850</v>
      </c>
      <c r="K1064" s="115">
        <f t="shared" si="173"/>
        <v>850</v>
      </c>
      <c r="L1064" s="115">
        <f t="shared" si="172"/>
        <v>850</v>
      </c>
      <c r="M1064" s="190"/>
      <c r="N1064" s="190"/>
      <c r="O1064" s="190"/>
      <c r="P1064" s="190"/>
      <c r="Q1064" s="161"/>
      <c r="R1064" s="161"/>
      <c r="S1064" s="161"/>
      <c r="T1064" s="161">
        <v>850</v>
      </c>
      <c r="U1064" s="161"/>
      <c r="V1064" s="161"/>
      <c r="W1064" s="161"/>
      <c r="X1064" s="161"/>
      <c r="Y1064" s="161"/>
      <c r="Z1064" s="161"/>
      <c r="AA1064" s="161"/>
      <c r="AB1064" s="161"/>
      <c r="AC1064" s="160"/>
      <c r="AE1064" s="162"/>
      <c r="AF1064" s="120"/>
      <c r="AG1064" s="120"/>
      <c r="AH1064" s="120"/>
    </row>
    <row r="1065" spans="1:34">
      <c r="B1065" s="154"/>
      <c r="C1065" s="128" t="s">
        <v>2059</v>
      </c>
      <c r="E1065" s="120"/>
      <c r="F1065" s="120"/>
      <c r="G1065" s="120"/>
      <c r="H1065" s="115">
        <f t="shared" si="176"/>
        <v>200</v>
      </c>
      <c r="I1065" s="115">
        <f t="shared" si="174"/>
        <v>200</v>
      </c>
      <c r="J1065" s="115">
        <f t="shared" si="175"/>
        <v>200</v>
      </c>
      <c r="K1065" s="115">
        <f t="shared" si="173"/>
        <v>200</v>
      </c>
      <c r="L1065" s="115">
        <f t="shared" si="172"/>
        <v>200</v>
      </c>
      <c r="M1065" s="120"/>
      <c r="N1065" s="120"/>
      <c r="O1065" s="120"/>
      <c r="P1065" s="120"/>
      <c r="Q1065" s="116"/>
      <c r="R1065" s="116"/>
      <c r="S1065" s="116"/>
      <c r="T1065" s="116">
        <v>200</v>
      </c>
      <c r="U1065" s="116"/>
      <c r="V1065" s="116"/>
      <c r="W1065" s="116"/>
      <c r="X1065" s="116"/>
      <c r="Y1065" s="116"/>
      <c r="Z1065" s="116"/>
      <c r="AA1065" s="116"/>
      <c r="AB1065" s="116"/>
      <c r="AC1065" s="115"/>
      <c r="AD1065" s="135"/>
      <c r="AE1065" s="162"/>
      <c r="AF1065" s="120"/>
      <c r="AG1065" s="120"/>
      <c r="AH1065" s="120"/>
    </row>
    <row r="1066" spans="1:34">
      <c r="B1066" s="154"/>
      <c r="C1066" s="128" t="s">
        <v>2060</v>
      </c>
      <c r="D1066" s="120"/>
      <c r="E1066" s="215"/>
      <c r="F1066" s="215"/>
      <c r="G1066" s="215"/>
      <c r="H1066" s="115">
        <f t="shared" si="176"/>
        <v>650</v>
      </c>
      <c r="I1066" s="115">
        <f t="shared" si="174"/>
        <v>650</v>
      </c>
      <c r="J1066" s="115">
        <f t="shared" si="175"/>
        <v>650</v>
      </c>
      <c r="K1066" s="115">
        <f t="shared" si="173"/>
        <v>650</v>
      </c>
      <c r="L1066" s="115">
        <f t="shared" si="172"/>
        <v>650</v>
      </c>
      <c r="M1066" s="215"/>
      <c r="N1066" s="215"/>
      <c r="O1066" s="215"/>
      <c r="P1066" s="215"/>
      <c r="Q1066" s="216"/>
      <c r="R1066" s="216"/>
      <c r="S1066" s="216"/>
      <c r="T1066" s="216">
        <v>650</v>
      </c>
      <c r="U1066" s="216"/>
      <c r="V1066" s="216"/>
      <c r="W1066" s="216"/>
      <c r="X1066" s="216"/>
      <c r="Y1066" s="216"/>
      <c r="Z1066" s="216"/>
      <c r="AA1066" s="216"/>
      <c r="AB1066" s="216"/>
      <c r="AC1066" s="229"/>
      <c r="AD1066" s="120"/>
      <c r="AE1066" s="162"/>
      <c r="AF1066" s="120"/>
      <c r="AG1066" s="120"/>
      <c r="AH1066" s="120"/>
    </row>
    <row r="1067" spans="1:34">
      <c r="B1067" s="154"/>
      <c r="C1067" s="128" t="s">
        <v>2061</v>
      </c>
      <c r="D1067" s="128"/>
      <c r="E1067" s="139"/>
      <c r="F1067" s="139"/>
      <c r="G1067" s="139"/>
      <c r="H1067" s="115">
        <f t="shared" si="176"/>
        <v>20000</v>
      </c>
      <c r="I1067" s="115">
        <f t="shared" si="174"/>
        <v>20000</v>
      </c>
      <c r="J1067" s="115">
        <f t="shared" si="175"/>
        <v>20000</v>
      </c>
      <c r="K1067" s="115">
        <f t="shared" si="173"/>
        <v>20000</v>
      </c>
      <c r="L1067" s="115">
        <f t="shared" si="172"/>
        <v>20000</v>
      </c>
      <c r="M1067" s="139"/>
      <c r="N1067" s="139"/>
      <c r="O1067" s="139"/>
      <c r="P1067" s="139"/>
      <c r="Q1067" s="214"/>
      <c r="R1067" s="214"/>
      <c r="S1067" s="214"/>
      <c r="T1067" s="214">
        <v>20000</v>
      </c>
      <c r="U1067" s="214"/>
      <c r="V1067" s="214"/>
      <c r="W1067" s="214"/>
      <c r="X1067" s="214"/>
      <c r="Y1067" s="214"/>
      <c r="Z1067" s="214"/>
      <c r="AA1067" s="214"/>
      <c r="AB1067" s="214"/>
      <c r="AC1067" s="200"/>
      <c r="AE1067" s="162"/>
      <c r="AF1067" s="120"/>
      <c r="AG1067" s="120"/>
      <c r="AH1067" s="120"/>
    </row>
    <row r="1068" spans="1:34">
      <c r="B1068" s="154"/>
      <c r="C1068" s="128" t="s">
        <v>2062</v>
      </c>
      <c r="E1068" s="120"/>
      <c r="F1068" s="120"/>
      <c r="G1068" s="120"/>
      <c r="H1068" s="115">
        <f t="shared" si="176"/>
        <v>305</v>
      </c>
      <c r="I1068" s="115">
        <f t="shared" si="174"/>
        <v>305</v>
      </c>
      <c r="J1068" s="115">
        <f t="shared" si="175"/>
        <v>305</v>
      </c>
      <c r="K1068" s="115">
        <f t="shared" si="173"/>
        <v>305</v>
      </c>
      <c r="L1068" s="115">
        <f t="shared" si="172"/>
        <v>305</v>
      </c>
      <c r="M1068" s="120"/>
      <c r="N1068" s="120"/>
      <c r="O1068" s="120"/>
      <c r="P1068" s="120"/>
      <c r="Q1068" s="116"/>
      <c r="R1068" s="116"/>
      <c r="S1068" s="116"/>
      <c r="T1068" s="116">
        <v>305</v>
      </c>
      <c r="U1068" s="116"/>
      <c r="V1068" s="116"/>
      <c r="W1068" s="116"/>
      <c r="X1068" s="116"/>
      <c r="Y1068" s="116"/>
      <c r="Z1068" s="116"/>
      <c r="AA1068" s="116"/>
      <c r="AB1068" s="116"/>
      <c r="AC1068" s="115"/>
      <c r="AD1068" s="135"/>
      <c r="AE1068" s="162"/>
      <c r="AF1068" s="120"/>
      <c r="AG1068" s="120"/>
      <c r="AH1068" s="120"/>
    </row>
    <row r="1069" spans="1:34">
      <c r="B1069" s="154"/>
      <c r="C1069" s="128" t="s">
        <v>2063</v>
      </c>
      <c r="D1069" s="128"/>
      <c r="E1069" s="139"/>
      <c r="F1069" s="139"/>
      <c r="G1069" s="139"/>
      <c r="H1069" s="115">
        <f t="shared" si="176"/>
        <v>10150</v>
      </c>
      <c r="I1069" s="115">
        <f t="shared" si="174"/>
        <v>10150</v>
      </c>
      <c r="J1069" s="115">
        <f t="shared" si="175"/>
        <v>10150</v>
      </c>
      <c r="K1069" s="115">
        <f t="shared" si="173"/>
        <v>10150</v>
      </c>
      <c r="L1069" s="115">
        <f t="shared" si="172"/>
        <v>10150</v>
      </c>
      <c r="M1069" s="139"/>
      <c r="N1069" s="139"/>
      <c r="O1069" s="139"/>
      <c r="P1069" s="139"/>
      <c r="Q1069" s="214"/>
      <c r="R1069" s="214"/>
      <c r="S1069" s="214"/>
      <c r="T1069" s="214">
        <v>10150</v>
      </c>
      <c r="U1069" s="214"/>
      <c r="V1069" s="214"/>
      <c r="W1069" s="214"/>
      <c r="X1069" s="214"/>
      <c r="Y1069" s="214"/>
      <c r="Z1069" s="214"/>
      <c r="AA1069" s="214"/>
      <c r="AB1069" s="214"/>
      <c r="AC1069" s="200"/>
      <c r="AD1069" s="135"/>
      <c r="AE1069" s="162"/>
      <c r="AF1069" s="120"/>
      <c r="AG1069" s="120"/>
      <c r="AH1069" s="120"/>
    </row>
    <row r="1070" spans="1:34">
      <c r="B1070" s="154"/>
      <c r="C1070" s="128" t="s">
        <v>2064</v>
      </c>
      <c r="D1070" s="120"/>
      <c r="E1070" s="215"/>
      <c r="F1070" s="215"/>
      <c r="G1070" s="215"/>
      <c r="H1070" s="115">
        <f t="shared" si="176"/>
        <v>3700</v>
      </c>
      <c r="I1070" s="115">
        <f t="shared" si="174"/>
        <v>3700</v>
      </c>
      <c r="J1070" s="115">
        <f t="shared" si="175"/>
        <v>3700</v>
      </c>
      <c r="K1070" s="115">
        <f t="shared" si="173"/>
        <v>3700</v>
      </c>
      <c r="L1070" s="115">
        <f t="shared" si="172"/>
        <v>3700</v>
      </c>
      <c r="M1070" s="215"/>
      <c r="N1070" s="215"/>
      <c r="O1070" s="215"/>
      <c r="P1070" s="215"/>
      <c r="Q1070" s="216"/>
      <c r="R1070" s="216"/>
      <c r="S1070" s="216"/>
      <c r="T1070" s="216">
        <f>2200+1500</f>
        <v>3700</v>
      </c>
      <c r="U1070" s="216"/>
      <c r="V1070" s="216"/>
      <c r="W1070" s="216"/>
      <c r="X1070" s="216"/>
      <c r="Y1070" s="216"/>
      <c r="Z1070" s="216"/>
      <c r="AA1070" s="216"/>
      <c r="AB1070" s="216"/>
      <c r="AC1070" s="229"/>
      <c r="AF1070" s="120"/>
      <c r="AG1070" s="120"/>
      <c r="AH1070" s="120"/>
    </row>
    <row r="1071" spans="1:34">
      <c r="B1071" s="154"/>
      <c r="C1071" s="128" t="s">
        <v>2065</v>
      </c>
      <c r="E1071" s="120"/>
      <c r="F1071" s="120"/>
      <c r="G1071" s="120"/>
      <c r="H1071" s="115">
        <f t="shared" si="176"/>
        <v>60</v>
      </c>
      <c r="I1071" s="115">
        <f t="shared" si="174"/>
        <v>60</v>
      </c>
      <c r="J1071" s="115">
        <f t="shared" si="175"/>
        <v>60</v>
      </c>
      <c r="K1071" s="115">
        <f t="shared" si="173"/>
        <v>60</v>
      </c>
      <c r="L1071" s="115">
        <f t="shared" si="172"/>
        <v>60</v>
      </c>
      <c r="M1071" s="120"/>
      <c r="N1071" s="120"/>
      <c r="O1071" s="120"/>
      <c r="P1071" s="120"/>
      <c r="Q1071" s="116"/>
      <c r="R1071" s="116"/>
      <c r="S1071" s="116"/>
      <c r="T1071" s="116">
        <f>3000+60-3000+35000-35000+9500+13000-9500-13000</f>
        <v>60</v>
      </c>
      <c r="U1071" s="116"/>
      <c r="V1071" s="116"/>
      <c r="W1071" s="116"/>
      <c r="X1071" s="116"/>
      <c r="Y1071" s="116"/>
      <c r="Z1071" s="116"/>
      <c r="AA1071" s="116"/>
      <c r="AB1071" s="116"/>
      <c r="AC1071" s="115"/>
      <c r="AD1071" s="120"/>
      <c r="AE1071" s="136" t="s">
        <v>2066</v>
      </c>
      <c r="AF1071" s="120"/>
      <c r="AG1071" s="120"/>
      <c r="AH1071" s="120"/>
    </row>
    <row r="1072" spans="1:34">
      <c r="B1072" s="154"/>
      <c r="C1072" s="128" t="s">
        <v>2065</v>
      </c>
      <c r="E1072" s="115"/>
      <c r="F1072" s="115"/>
      <c r="G1072" s="115"/>
      <c r="H1072" s="115">
        <f t="shared" si="176"/>
        <v>1642.5</v>
      </c>
      <c r="I1072" s="115">
        <f t="shared" si="174"/>
        <v>1642.5</v>
      </c>
      <c r="J1072" s="115">
        <f t="shared" si="175"/>
        <v>1642.5</v>
      </c>
      <c r="K1072" s="115">
        <f t="shared" si="173"/>
        <v>1642.5</v>
      </c>
      <c r="L1072" s="115">
        <f t="shared" si="172"/>
        <v>1642.5</v>
      </c>
      <c r="M1072" s="115"/>
      <c r="N1072" s="115"/>
      <c r="O1072" s="115"/>
      <c r="P1072" s="115"/>
      <c r="Q1072" s="116"/>
      <c r="R1072" s="116"/>
      <c r="S1072" s="116"/>
      <c r="T1072" s="116">
        <f>1800+142.5-1800+8000+1500+3000+10000-10000-1500-9500+12500-12500</f>
        <v>1642.5</v>
      </c>
      <c r="U1072" s="116"/>
      <c r="V1072" s="116"/>
      <c r="W1072" s="116"/>
      <c r="X1072" s="116"/>
      <c r="Y1072" s="116"/>
      <c r="Z1072" s="116"/>
      <c r="AA1072" s="116"/>
      <c r="AB1072" s="116"/>
      <c r="AC1072" s="115"/>
      <c r="AD1072" s="129"/>
      <c r="AE1072" s="217" t="s">
        <v>2067</v>
      </c>
      <c r="AF1072" s="120"/>
      <c r="AG1072" s="120"/>
      <c r="AH1072" s="120"/>
    </row>
    <row r="1073" spans="2:34">
      <c r="B1073" s="154"/>
      <c r="C1073" s="128" t="s">
        <v>2068</v>
      </c>
      <c r="D1073" s="120"/>
      <c r="E1073" s="215"/>
      <c r="F1073" s="215"/>
      <c r="G1073" s="215"/>
      <c r="H1073" s="115">
        <f t="shared" si="176"/>
        <v>1200</v>
      </c>
      <c r="I1073" s="115">
        <f t="shared" si="174"/>
        <v>1200</v>
      </c>
      <c r="J1073" s="115">
        <f t="shared" si="175"/>
        <v>1200</v>
      </c>
      <c r="K1073" s="115">
        <f t="shared" si="173"/>
        <v>1200</v>
      </c>
      <c r="L1073" s="115">
        <f t="shared" si="172"/>
        <v>1200</v>
      </c>
      <c r="M1073" s="215"/>
      <c r="N1073" s="215"/>
      <c r="O1073" s="215"/>
      <c r="P1073" s="215"/>
      <c r="Q1073" s="216"/>
      <c r="R1073" s="216"/>
      <c r="S1073" s="216"/>
      <c r="T1073" s="216">
        <v>1200</v>
      </c>
      <c r="U1073" s="216"/>
      <c r="V1073" s="216"/>
      <c r="W1073" s="216"/>
      <c r="X1073" s="216"/>
      <c r="Y1073" s="216"/>
      <c r="Z1073" s="216"/>
      <c r="AA1073" s="216"/>
      <c r="AB1073" s="216"/>
      <c r="AC1073" s="229"/>
      <c r="AD1073" s="129"/>
      <c r="AE1073" s="217"/>
      <c r="AF1073" s="120"/>
      <c r="AG1073" s="120"/>
      <c r="AH1073" s="120"/>
    </row>
    <row r="1074" spans="2:34">
      <c r="B1074" s="154"/>
      <c r="C1074" s="128" t="s">
        <v>2069</v>
      </c>
      <c r="E1074" s="115"/>
      <c r="F1074" s="115"/>
      <c r="G1074" s="115"/>
      <c r="H1074" s="115">
        <f t="shared" si="176"/>
        <v>300</v>
      </c>
      <c r="I1074" s="115">
        <f t="shared" si="174"/>
        <v>300</v>
      </c>
      <c r="J1074" s="115">
        <f t="shared" si="175"/>
        <v>300</v>
      </c>
      <c r="K1074" s="115">
        <f t="shared" si="173"/>
        <v>300</v>
      </c>
      <c r="L1074" s="115">
        <f t="shared" si="172"/>
        <v>300</v>
      </c>
      <c r="M1074" s="115"/>
      <c r="N1074" s="115"/>
      <c r="O1074" s="115"/>
      <c r="P1074" s="115"/>
      <c r="Q1074" s="116"/>
      <c r="R1074" s="116"/>
      <c r="S1074" s="116"/>
      <c r="T1074" s="116">
        <v>300</v>
      </c>
      <c r="U1074" s="116"/>
      <c r="V1074" s="116"/>
      <c r="W1074" s="116"/>
      <c r="X1074" s="116"/>
      <c r="Y1074" s="116"/>
      <c r="Z1074" s="116"/>
      <c r="AA1074" s="116"/>
      <c r="AB1074" s="116"/>
      <c r="AC1074" s="115"/>
      <c r="AD1074" s="120"/>
      <c r="AE1074" s="136" t="s">
        <v>2070</v>
      </c>
      <c r="AF1074" s="120"/>
      <c r="AG1074" s="120"/>
      <c r="AH1074" s="120"/>
    </row>
    <row r="1075" spans="2:34">
      <c r="B1075" s="154"/>
      <c r="C1075" s="128" t="s">
        <v>2071</v>
      </c>
      <c r="D1075" s="120"/>
      <c r="E1075" s="215"/>
      <c r="F1075" s="215"/>
      <c r="G1075" s="215"/>
      <c r="H1075" s="115">
        <f t="shared" si="176"/>
        <v>3300</v>
      </c>
      <c r="I1075" s="115">
        <f t="shared" si="174"/>
        <v>3300</v>
      </c>
      <c r="J1075" s="115">
        <f t="shared" si="175"/>
        <v>3300</v>
      </c>
      <c r="K1075" s="115">
        <f t="shared" si="173"/>
        <v>3300</v>
      </c>
      <c r="L1075" s="115">
        <f t="shared" si="172"/>
        <v>3300</v>
      </c>
      <c r="M1075" s="215"/>
      <c r="N1075" s="215"/>
      <c r="O1075" s="215"/>
      <c r="P1075" s="215"/>
      <c r="Q1075" s="216"/>
      <c r="R1075" s="216"/>
      <c r="S1075" s="216"/>
      <c r="T1075" s="216">
        <v>3300</v>
      </c>
      <c r="U1075" s="216"/>
      <c r="V1075" s="216"/>
      <c r="W1075" s="216"/>
      <c r="X1075" s="216"/>
      <c r="Y1075" s="216"/>
      <c r="Z1075" s="216"/>
      <c r="AA1075" s="216"/>
      <c r="AB1075" s="216"/>
      <c r="AC1075" s="229"/>
      <c r="AD1075" s="120"/>
      <c r="AE1075" s="136" t="s">
        <v>2072</v>
      </c>
      <c r="AF1075" s="120"/>
      <c r="AG1075" s="120"/>
      <c r="AH1075" s="120"/>
    </row>
    <row r="1076" spans="2:34">
      <c r="B1076" s="154"/>
      <c r="C1076" s="128" t="s">
        <v>2073</v>
      </c>
      <c r="D1076" s="120"/>
      <c r="E1076" s="215"/>
      <c r="F1076" s="215"/>
      <c r="G1076" s="215"/>
      <c r="H1076" s="115">
        <f t="shared" si="176"/>
        <v>900</v>
      </c>
      <c r="I1076" s="115">
        <f t="shared" si="174"/>
        <v>900</v>
      </c>
      <c r="J1076" s="115">
        <f t="shared" si="175"/>
        <v>900</v>
      </c>
      <c r="K1076" s="115">
        <f t="shared" si="173"/>
        <v>900</v>
      </c>
      <c r="L1076" s="115">
        <f t="shared" si="172"/>
        <v>900</v>
      </c>
      <c r="M1076" s="215"/>
      <c r="N1076" s="215"/>
      <c r="O1076" s="215"/>
      <c r="P1076" s="215"/>
      <c r="Q1076" s="216"/>
      <c r="R1076" s="216"/>
      <c r="S1076" s="216"/>
      <c r="T1076" s="216">
        <v>900</v>
      </c>
      <c r="U1076" s="216"/>
      <c r="V1076" s="216"/>
      <c r="W1076" s="216"/>
      <c r="X1076" s="216"/>
      <c r="Y1076" s="216"/>
      <c r="Z1076" s="216"/>
      <c r="AA1076" s="216"/>
      <c r="AB1076" s="216"/>
      <c r="AC1076" s="229"/>
      <c r="AE1076" s="162"/>
      <c r="AF1076" s="120"/>
      <c r="AG1076" s="120"/>
      <c r="AH1076" s="120"/>
    </row>
    <row r="1077" spans="2:34">
      <c r="B1077" s="154"/>
      <c r="C1077" s="128" t="s">
        <v>2336</v>
      </c>
      <c r="D1077" s="120"/>
      <c r="E1077" s="215"/>
      <c r="F1077" s="215"/>
      <c r="G1077" s="215"/>
      <c r="H1077" s="115"/>
      <c r="I1077" s="115"/>
      <c r="J1077" s="115">
        <f t="shared" si="175"/>
        <v>0</v>
      </c>
      <c r="K1077" s="115">
        <f t="shared" si="173"/>
        <v>12500</v>
      </c>
      <c r="L1077" s="115">
        <f t="shared" si="172"/>
        <v>12500</v>
      </c>
      <c r="M1077" s="215"/>
      <c r="N1077" s="215"/>
      <c r="O1077" s="215"/>
      <c r="P1077" s="215"/>
      <c r="Q1077" s="216"/>
      <c r="R1077" s="216"/>
      <c r="S1077" s="216"/>
      <c r="T1077" s="216"/>
      <c r="U1077" s="216"/>
      <c r="V1077" s="216"/>
      <c r="W1077" s="216">
        <v>12500</v>
      </c>
      <c r="X1077" s="216"/>
      <c r="Y1077" s="216"/>
      <c r="Z1077" s="216"/>
      <c r="AA1077" s="216"/>
      <c r="AB1077" s="216"/>
      <c r="AC1077" s="229"/>
      <c r="AE1077" s="162"/>
      <c r="AF1077" s="120"/>
      <c r="AG1077" s="120"/>
      <c r="AH1077" s="120"/>
    </row>
    <row r="1078" spans="2:34">
      <c r="B1078" s="154"/>
      <c r="C1078" s="128" t="s">
        <v>2336</v>
      </c>
      <c r="D1078" s="120"/>
      <c r="E1078" s="215"/>
      <c r="F1078" s="215"/>
      <c r="G1078" s="215"/>
      <c r="H1078" s="115"/>
      <c r="I1078" s="115"/>
      <c r="J1078" s="115"/>
      <c r="K1078" s="115"/>
      <c r="L1078" s="115">
        <f t="shared" si="172"/>
        <v>4560</v>
      </c>
      <c r="M1078" s="215"/>
      <c r="N1078" s="215"/>
      <c r="O1078" s="215"/>
      <c r="P1078" s="215"/>
      <c r="Q1078" s="216"/>
      <c r="R1078" s="216"/>
      <c r="S1078" s="216"/>
      <c r="T1078" s="216"/>
      <c r="U1078" s="216"/>
      <c r="V1078" s="216"/>
      <c r="W1078" s="216"/>
      <c r="X1078" s="216">
        <v>4560</v>
      </c>
      <c r="Y1078" s="216"/>
      <c r="Z1078" s="216"/>
      <c r="AA1078" s="216"/>
      <c r="AB1078" s="216"/>
      <c r="AC1078" s="229"/>
      <c r="AE1078" s="162"/>
      <c r="AF1078" s="120"/>
      <c r="AG1078" s="120"/>
      <c r="AH1078" s="120"/>
    </row>
    <row r="1079" spans="2:34">
      <c r="B1079" s="154"/>
      <c r="C1079" s="128" t="s">
        <v>2074</v>
      </c>
      <c r="E1079" s="120"/>
      <c r="F1079" s="120"/>
      <c r="G1079" s="120"/>
      <c r="H1079" s="115">
        <f t="shared" si="176"/>
        <v>8500</v>
      </c>
      <c r="I1079" s="115">
        <f t="shared" si="174"/>
        <v>8500</v>
      </c>
      <c r="J1079" s="115">
        <f t="shared" si="175"/>
        <v>8500</v>
      </c>
      <c r="K1079" s="115">
        <f t="shared" si="173"/>
        <v>8500</v>
      </c>
      <c r="L1079" s="115">
        <f t="shared" si="172"/>
        <v>8500</v>
      </c>
      <c r="M1079" s="120"/>
      <c r="N1079" s="120"/>
      <c r="O1079" s="120"/>
      <c r="P1079" s="120"/>
      <c r="Q1079" s="116"/>
      <c r="R1079" s="116"/>
      <c r="S1079" s="116"/>
      <c r="T1079" s="116">
        <v>8500</v>
      </c>
      <c r="U1079" s="116"/>
      <c r="V1079" s="116"/>
      <c r="W1079" s="116"/>
      <c r="X1079" s="116"/>
      <c r="Y1079" s="116"/>
      <c r="Z1079" s="116"/>
      <c r="AA1079" s="116"/>
      <c r="AB1079" s="116"/>
      <c r="AC1079" s="115"/>
      <c r="AD1079" s="129"/>
      <c r="AE1079" s="162"/>
      <c r="AF1079" s="120" t="s">
        <v>2075</v>
      </c>
      <c r="AG1079" s="120"/>
      <c r="AH1079" s="120"/>
    </row>
    <row r="1080" spans="2:34">
      <c r="B1080" s="154"/>
      <c r="C1080" s="128" t="s">
        <v>2076</v>
      </c>
      <c r="E1080" s="120"/>
      <c r="F1080" s="120"/>
      <c r="G1080" s="120"/>
      <c r="H1080" s="115">
        <f t="shared" si="176"/>
        <v>9548.6</v>
      </c>
      <c r="I1080" s="115">
        <f t="shared" si="174"/>
        <v>9548.6</v>
      </c>
      <c r="J1080" s="115">
        <f t="shared" si="175"/>
        <v>9548.6</v>
      </c>
      <c r="K1080" s="115">
        <f t="shared" si="173"/>
        <v>9548.6</v>
      </c>
      <c r="L1080" s="115">
        <f t="shared" si="172"/>
        <v>9548.6</v>
      </c>
      <c r="M1080" s="120"/>
      <c r="N1080" s="120"/>
      <c r="O1080" s="120"/>
      <c r="P1080" s="120"/>
      <c r="Q1080" s="116"/>
      <c r="R1080" s="116"/>
      <c r="S1080" s="116"/>
      <c r="T1080" s="116">
        <v>9548.6</v>
      </c>
      <c r="U1080" s="116"/>
      <c r="V1080" s="116"/>
      <c r="W1080" s="116"/>
      <c r="X1080" s="116"/>
      <c r="Y1080" s="116"/>
      <c r="Z1080" s="116"/>
      <c r="AA1080" s="116"/>
      <c r="AB1080" s="116"/>
      <c r="AC1080" s="115"/>
      <c r="AD1080" s="135"/>
      <c r="AE1080" s="162"/>
      <c r="AF1080" s="120" t="s">
        <v>2077</v>
      </c>
      <c r="AG1080" s="120"/>
      <c r="AH1080" s="120"/>
    </row>
    <row r="1081" spans="2:34">
      <c r="B1081" s="154"/>
      <c r="C1081" s="128" t="s">
        <v>2078</v>
      </c>
      <c r="E1081" s="120"/>
      <c r="F1081" s="120"/>
      <c r="G1081" s="120"/>
      <c r="H1081" s="115">
        <f t="shared" si="176"/>
        <v>3000</v>
      </c>
      <c r="I1081" s="115">
        <f t="shared" si="174"/>
        <v>3000</v>
      </c>
      <c r="J1081" s="115">
        <f t="shared" si="175"/>
        <v>3000</v>
      </c>
      <c r="K1081" s="115">
        <f t="shared" si="173"/>
        <v>3000</v>
      </c>
      <c r="L1081" s="115">
        <f t="shared" si="172"/>
        <v>3000</v>
      </c>
      <c r="M1081" s="120"/>
      <c r="N1081" s="120"/>
      <c r="O1081" s="120"/>
      <c r="P1081" s="120"/>
      <c r="Q1081" s="116"/>
      <c r="R1081" s="116"/>
      <c r="S1081" s="116"/>
      <c r="T1081" s="116">
        <f>3000</f>
        <v>3000</v>
      </c>
      <c r="U1081" s="116"/>
      <c r="V1081" s="116"/>
      <c r="W1081" s="116"/>
      <c r="X1081" s="116"/>
      <c r="Y1081" s="116"/>
      <c r="Z1081" s="116"/>
      <c r="AA1081" s="116"/>
      <c r="AB1081" s="116"/>
      <c r="AC1081" s="115"/>
      <c r="AD1081" s="135"/>
      <c r="AE1081" s="162"/>
      <c r="AF1081" s="120" t="s">
        <v>2079</v>
      </c>
      <c r="AG1081" s="120"/>
      <c r="AH1081" s="120"/>
    </row>
    <row r="1082" spans="2:34">
      <c r="B1082" s="154"/>
      <c r="C1082" s="128" t="s">
        <v>2080</v>
      </c>
      <c r="D1082" s="128"/>
      <c r="E1082" s="139"/>
      <c r="F1082" s="139"/>
      <c r="G1082" s="139"/>
      <c r="H1082" s="115">
        <f t="shared" si="176"/>
        <v>850</v>
      </c>
      <c r="I1082" s="115">
        <f t="shared" si="174"/>
        <v>850</v>
      </c>
      <c r="J1082" s="115">
        <f t="shared" si="175"/>
        <v>850</v>
      </c>
      <c r="K1082" s="115">
        <f t="shared" si="173"/>
        <v>850</v>
      </c>
      <c r="L1082" s="115">
        <f t="shared" si="172"/>
        <v>850</v>
      </c>
      <c r="M1082" s="139"/>
      <c r="N1082" s="139"/>
      <c r="O1082" s="139"/>
      <c r="P1082" s="139"/>
      <c r="Q1082" s="214"/>
      <c r="R1082" s="214"/>
      <c r="S1082" s="214"/>
      <c r="T1082" s="214">
        <v>850</v>
      </c>
      <c r="U1082" s="214"/>
      <c r="V1082" s="214"/>
      <c r="W1082" s="214"/>
      <c r="X1082" s="214"/>
      <c r="Y1082" s="214"/>
      <c r="Z1082" s="214"/>
      <c r="AA1082" s="214"/>
      <c r="AB1082" s="214"/>
      <c r="AC1082" s="200"/>
      <c r="AD1082" s="135"/>
      <c r="AE1082" s="162"/>
      <c r="AF1082" s="120"/>
      <c r="AG1082" s="120"/>
      <c r="AH1082" s="120"/>
    </row>
    <row r="1083" spans="2:34">
      <c r="B1083" s="154"/>
      <c r="C1083" s="128" t="s">
        <v>2080</v>
      </c>
      <c r="D1083" s="128"/>
      <c r="E1083" s="139"/>
      <c r="F1083" s="139"/>
      <c r="G1083" s="139"/>
      <c r="H1083" s="115">
        <f t="shared" si="176"/>
        <v>500</v>
      </c>
      <c r="I1083" s="115">
        <f t="shared" si="174"/>
        <v>500</v>
      </c>
      <c r="J1083" s="115">
        <f t="shared" si="175"/>
        <v>500</v>
      </c>
      <c r="K1083" s="115">
        <f t="shared" si="173"/>
        <v>500</v>
      </c>
      <c r="L1083" s="115">
        <f t="shared" si="172"/>
        <v>500</v>
      </c>
      <c r="M1083" s="139"/>
      <c r="N1083" s="139"/>
      <c r="O1083" s="139"/>
      <c r="P1083" s="139"/>
      <c r="Q1083" s="214"/>
      <c r="R1083" s="214"/>
      <c r="S1083" s="214"/>
      <c r="T1083" s="214">
        <v>500</v>
      </c>
      <c r="U1083" s="214"/>
      <c r="V1083" s="214"/>
      <c r="W1083" s="214"/>
      <c r="X1083" s="214"/>
      <c r="Y1083" s="214"/>
      <c r="Z1083" s="214"/>
      <c r="AA1083" s="214"/>
      <c r="AB1083" s="214"/>
      <c r="AC1083" s="200"/>
      <c r="AD1083" s="135"/>
      <c r="AE1083" s="132"/>
      <c r="AF1083" s="120"/>
      <c r="AG1083" s="120"/>
      <c r="AH1083" s="120"/>
    </row>
    <row r="1084" spans="2:34">
      <c r="B1084" s="154"/>
      <c r="C1084" s="128" t="s">
        <v>2080</v>
      </c>
      <c r="D1084" s="128"/>
      <c r="E1084" s="139"/>
      <c r="F1084" s="139"/>
      <c r="G1084" s="139"/>
      <c r="H1084" s="115">
        <f t="shared" si="176"/>
        <v>500</v>
      </c>
      <c r="I1084" s="115">
        <f t="shared" si="174"/>
        <v>500</v>
      </c>
      <c r="J1084" s="115">
        <f t="shared" si="175"/>
        <v>500</v>
      </c>
      <c r="K1084" s="115">
        <f t="shared" si="173"/>
        <v>500</v>
      </c>
      <c r="L1084" s="115">
        <f t="shared" si="172"/>
        <v>500</v>
      </c>
      <c r="M1084" s="139"/>
      <c r="N1084" s="139"/>
      <c r="O1084" s="139"/>
      <c r="P1084" s="139"/>
      <c r="Q1084" s="214"/>
      <c r="R1084" s="214"/>
      <c r="S1084" s="214"/>
      <c r="T1084" s="214">
        <v>500</v>
      </c>
      <c r="U1084" s="214"/>
      <c r="V1084" s="214"/>
      <c r="W1084" s="214"/>
      <c r="X1084" s="214"/>
      <c r="Y1084" s="214"/>
      <c r="Z1084" s="214"/>
      <c r="AA1084" s="214"/>
      <c r="AB1084" s="214"/>
      <c r="AC1084" s="200"/>
      <c r="AD1084" s="218"/>
      <c r="AE1084" s="162"/>
      <c r="AF1084" s="120"/>
      <c r="AG1084" s="120"/>
      <c r="AH1084" s="120"/>
    </row>
    <row r="1085" spans="2:34">
      <c r="B1085" s="154"/>
      <c r="C1085" s="128" t="s">
        <v>2081</v>
      </c>
      <c r="D1085" s="128"/>
      <c r="E1085" s="139"/>
      <c r="F1085" s="139"/>
      <c r="G1085" s="139"/>
      <c r="H1085" s="115">
        <f t="shared" si="176"/>
        <v>300</v>
      </c>
      <c r="I1085" s="115">
        <f t="shared" si="174"/>
        <v>300</v>
      </c>
      <c r="J1085" s="115">
        <f t="shared" si="175"/>
        <v>300</v>
      </c>
      <c r="K1085" s="115">
        <f t="shared" si="173"/>
        <v>300</v>
      </c>
      <c r="L1085" s="115">
        <f t="shared" si="172"/>
        <v>300</v>
      </c>
      <c r="M1085" s="139"/>
      <c r="N1085" s="139"/>
      <c r="O1085" s="139"/>
      <c r="P1085" s="139"/>
      <c r="Q1085" s="214"/>
      <c r="R1085" s="214"/>
      <c r="S1085" s="214"/>
      <c r="T1085" s="214">
        <v>300</v>
      </c>
      <c r="U1085" s="214"/>
      <c r="V1085" s="214"/>
      <c r="W1085" s="214"/>
      <c r="X1085" s="214"/>
      <c r="Y1085" s="214"/>
      <c r="Z1085" s="214"/>
      <c r="AA1085" s="214"/>
      <c r="AB1085" s="214"/>
      <c r="AC1085" s="200"/>
      <c r="AD1085" s="135"/>
      <c r="AE1085" s="162"/>
      <c r="AF1085" s="120"/>
      <c r="AG1085" s="120"/>
      <c r="AH1085" s="120"/>
    </row>
    <row r="1086" spans="2:34">
      <c r="B1086" s="154"/>
      <c r="C1086" s="128" t="s">
        <v>2082</v>
      </c>
      <c r="D1086" s="128"/>
      <c r="E1086" s="139"/>
      <c r="F1086" s="139"/>
      <c r="G1086" s="139"/>
      <c r="H1086" s="115">
        <f t="shared" si="176"/>
        <v>50</v>
      </c>
      <c r="I1086" s="115">
        <f t="shared" si="174"/>
        <v>50</v>
      </c>
      <c r="J1086" s="115">
        <f t="shared" si="175"/>
        <v>50</v>
      </c>
      <c r="K1086" s="115">
        <f t="shared" si="173"/>
        <v>50</v>
      </c>
      <c r="L1086" s="115">
        <f t="shared" si="172"/>
        <v>50</v>
      </c>
      <c r="M1086" s="139"/>
      <c r="N1086" s="139"/>
      <c r="O1086" s="139"/>
      <c r="P1086" s="139"/>
      <c r="Q1086" s="214"/>
      <c r="R1086" s="214"/>
      <c r="S1086" s="214"/>
      <c r="T1086" s="214">
        <v>50</v>
      </c>
      <c r="U1086" s="214"/>
      <c r="V1086" s="214"/>
      <c r="W1086" s="214"/>
      <c r="X1086" s="214"/>
      <c r="Y1086" s="214"/>
      <c r="Z1086" s="214"/>
      <c r="AA1086" s="214"/>
      <c r="AB1086" s="214"/>
      <c r="AC1086" s="200"/>
      <c r="AD1086" s="135"/>
      <c r="AE1086" s="162"/>
      <c r="AF1086" s="120"/>
      <c r="AG1086" s="120"/>
      <c r="AH1086" s="120"/>
    </row>
    <row r="1087" spans="2:34">
      <c r="B1087" s="154"/>
      <c r="C1087" s="128" t="s">
        <v>2082</v>
      </c>
      <c r="D1087" s="128"/>
      <c r="E1087" s="139"/>
      <c r="F1087" s="139"/>
      <c r="G1087" s="139"/>
      <c r="H1087" s="115">
        <f t="shared" si="176"/>
        <v>4500</v>
      </c>
      <c r="I1087" s="115">
        <f t="shared" si="174"/>
        <v>4500</v>
      </c>
      <c r="J1087" s="115">
        <f t="shared" si="175"/>
        <v>4500</v>
      </c>
      <c r="K1087" s="115">
        <f t="shared" si="173"/>
        <v>4500</v>
      </c>
      <c r="L1087" s="115">
        <f t="shared" si="172"/>
        <v>4500</v>
      </c>
      <c r="M1087" s="139"/>
      <c r="N1087" s="139"/>
      <c r="O1087" s="139"/>
      <c r="P1087" s="139"/>
      <c r="Q1087" s="214"/>
      <c r="R1087" s="214"/>
      <c r="S1087" s="214"/>
      <c r="T1087" s="214">
        <v>4500</v>
      </c>
      <c r="U1087" s="214"/>
      <c r="V1087" s="214"/>
      <c r="W1087" s="214"/>
      <c r="X1087" s="214"/>
      <c r="Y1087" s="214"/>
      <c r="Z1087" s="214"/>
      <c r="AA1087" s="214"/>
      <c r="AB1087" s="214"/>
      <c r="AC1087" s="200"/>
      <c r="AD1087" s="135"/>
      <c r="AE1087" s="162"/>
      <c r="AF1087" s="120"/>
      <c r="AG1087" s="120"/>
      <c r="AH1087" s="120"/>
    </row>
    <row r="1088" spans="2:34">
      <c r="B1088" s="154"/>
      <c r="C1088" s="128" t="s">
        <v>2083</v>
      </c>
      <c r="D1088" s="128"/>
      <c r="E1088" s="139"/>
      <c r="F1088" s="139"/>
      <c r="G1088" s="139"/>
      <c r="H1088" s="115">
        <f t="shared" si="176"/>
        <v>200</v>
      </c>
      <c r="I1088" s="115">
        <f t="shared" si="174"/>
        <v>200</v>
      </c>
      <c r="J1088" s="115">
        <f t="shared" si="175"/>
        <v>200</v>
      </c>
      <c r="K1088" s="115">
        <f t="shared" si="173"/>
        <v>200</v>
      </c>
      <c r="L1088" s="115">
        <f t="shared" ref="L1088:L1139" si="177">Q1088+R1088+S1088+T1088+U1088+V1088+W1088+X1088</f>
        <v>200</v>
      </c>
      <c r="M1088" s="139"/>
      <c r="N1088" s="139"/>
      <c r="O1088" s="139"/>
      <c r="P1088" s="139"/>
      <c r="Q1088" s="214"/>
      <c r="R1088" s="214"/>
      <c r="S1088" s="214"/>
      <c r="T1088" s="214">
        <v>200</v>
      </c>
      <c r="U1088" s="214"/>
      <c r="V1088" s="214"/>
      <c r="W1088" s="214"/>
      <c r="X1088" s="214"/>
      <c r="Y1088" s="214"/>
      <c r="Z1088" s="214"/>
      <c r="AA1088" s="214"/>
      <c r="AB1088" s="214"/>
      <c r="AC1088" s="200"/>
      <c r="AD1088" s="129"/>
      <c r="AE1088" s="162"/>
      <c r="AF1088" s="120"/>
      <c r="AG1088" s="120"/>
      <c r="AH1088" s="120"/>
    </row>
    <row r="1089" spans="2:34">
      <c r="B1089" s="154"/>
      <c r="C1089" s="128" t="s">
        <v>2084</v>
      </c>
      <c r="D1089" s="128"/>
      <c r="E1089" s="139"/>
      <c r="F1089" s="139"/>
      <c r="G1089" s="139"/>
      <c r="H1089" s="115">
        <f t="shared" si="176"/>
        <v>3300</v>
      </c>
      <c r="I1089" s="115">
        <f t="shared" si="174"/>
        <v>3300</v>
      </c>
      <c r="J1089" s="115">
        <f t="shared" si="175"/>
        <v>3300</v>
      </c>
      <c r="K1089" s="115">
        <f t="shared" si="173"/>
        <v>3300</v>
      </c>
      <c r="L1089" s="115">
        <f t="shared" si="177"/>
        <v>3300</v>
      </c>
      <c r="M1089" s="139"/>
      <c r="N1089" s="139"/>
      <c r="O1089" s="139"/>
      <c r="P1089" s="139"/>
      <c r="Q1089" s="214"/>
      <c r="R1089" s="214"/>
      <c r="S1089" s="214"/>
      <c r="T1089" s="214">
        <v>3300</v>
      </c>
      <c r="U1089" s="214"/>
      <c r="V1089" s="214"/>
      <c r="W1089" s="214"/>
      <c r="X1089" s="214"/>
      <c r="Y1089" s="214"/>
      <c r="Z1089" s="214"/>
      <c r="AA1089" s="214"/>
      <c r="AB1089" s="214"/>
      <c r="AC1089" s="200"/>
      <c r="AD1089" s="129"/>
      <c r="AE1089" s="162"/>
      <c r="AF1089" s="120"/>
      <c r="AG1089" s="120"/>
      <c r="AH1089" s="120"/>
    </row>
    <row r="1090" spans="2:34">
      <c r="B1090" s="154"/>
      <c r="C1090" s="128" t="s">
        <v>2085</v>
      </c>
      <c r="D1090" s="128"/>
      <c r="E1090" s="139"/>
      <c r="F1090" s="139"/>
      <c r="G1090" s="139"/>
      <c r="H1090" s="115">
        <f t="shared" si="176"/>
        <v>3790</v>
      </c>
      <c r="I1090" s="115">
        <f t="shared" si="174"/>
        <v>3790</v>
      </c>
      <c r="J1090" s="115">
        <f t="shared" si="175"/>
        <v>3790</v>
      </c>
      <c r="K1090" s="115">
        <f t="shared" si="173"/>
        <v>3790</v>
      </c>
      <c r="L1090" s="115">
        <f t="shared" si="177"/>
        <v>3790</v>
      </c>
      <c r="M1090" s="139"/>
      <c r="N1090" s="139"/>
      <c r="O1090" s="139"/>
      <c r="P1090" s="139"/>
      <c r="Q1090" s="214"/>
      <c r="R1090" s="214"/>
      <c r="S1090" s="214"/>
      <c r="T1090" s="214">
        <v>3790</v>
      </c>
      <c r="U1090" s="214"/>
      <c r="V1090" s="214"/>
      <c r="W1090" s="214"/>
      <c r="X1090" s="214"/>
      <c r="Y1090" s="214"/>
      <c r="Z1090" s="214"/>
      <c r="AA1090" s="214"/>
      <c r="AB1090" s="214"/>
      <c r="AC1090" s="200"/>
      <c r="AD1090" s="129"/>
      <c r="AE1090" s="162"/>
      <c r="AF1090" s="120"/>
      <c r="AG1090" s="120"/>
      <c r="AH1090" s="120"/>
    </row>
    <row r="1091" spans="2:34">
      <c r="B1091" s="154"/>
      <c r="C1091" s="128" t="s">
        <v>2086</v>
      </c>
      <c r="E1091" s="115"/>
      <c r="F1091" s="115"/>
      <c r="G1091" s="115"/>
      <c r="H1091" s="115">
        <f t="shared" si="176"/>
        <v>4800</v>
      </c>
      <c r="I1091" s="115">
        <f t="shared" si="174"/>
        <v>4800</v>
      </c>
      <c r="J1091" s="115">
        <f t="shared" si="175"/>
        <v>4800</v>
      </c>
      <c r="K1091" s="115">
        <f t="shared" ref="K1091:K1139" si="178">Q1091+R1091+S1091+T1091+U1091+V1091+W1091</f>
        <v>4800</v>
      </c>
      <c r="L1091" s="115">
        <f t="shared" si="177"/>
        <v>4800</v>
      </c>
      <c r="M1091" s="115"/>
      <c r="N1091" s="115"/>
      <c r="O1091" s="115"/>
      <c r="P1091" s="115"/>
      <c r="Q1091" s="116"/>
      <c r="R1091" s="116"/>
      <c r="S1091" s="116"/>
      <c r="T1091" s="116">
        <v>4800</v>
      </c>
      <c r="U1091" s="116"/>
      <c r="V1091" s="116"/>
      <c r="W1091" s="116"/>
      <c r="X1091" s="116"/>
      <c r="Y1091" s="116"/>
      <c r="Z1091" s="116"/>
      <c r="AA1091" s="116"/>
      <c r="AB1091" s="116"/>
      <c r="AC1091" s="115"/>
      <c r="AD1091" s="129"/>
      <c r="AE1091" s="193"/>
      <c r="AF1091" s="120"/>
      <c r="AG1091" s="120"/>
      <c r="AH1091" s="120"/>
    </row>
    <row r="1092" spans="2:34">
      <c r="B1092" s="154"/>
      <c r="C1092" s="128" t="s">
        <v>2087</v>
      </c>
      <c r="E1092" s="115"/>
      <c r="F1092" s="115"/>
      <c r="G1092" s="115"/>
      <c r="H1092" s="115">
        <f t="shared" si="176"/>
        <v>8293</v>
      </c>
      <c r="I1092" s="115">
        <f t="shared" si="174"/>
        <v>8293</v>
      </c>
      <c r="J1092" s="115">
        <f t="shared" si="175"/>
        <v>8293</v>
      </c>
      <c r="K1092" s="115">
        <f t="shared" si="178"/>
        <v>8293</v>
      </c>
      <c r="L1092" s="115">
        <f t="shared" si="177"/>
        <v>8293</v>
      </c>
      <c r="M1092" s="115"/>
      <c r="N1092" s="115"/>
      <c r="O1092" s="115"/>
      <c r="P1092" s="115"/>
      <c r="Q1092" s="116"/>
      <c r="R1092" s="116"/>
      <c r="S1092" s="116"/>
      <c r="T1092" s="116">
        <v>8293</v>
      </c>
      <c r="U1092" s="116"/>
      <c r="V1092" s="116"/>
      <c r="W1092" s="116"/>
      <c r="X1092" s="116"/>
      <c r="Y1092" s="116"/>
      <c r="Z1092" s="116"/>
      <c r="AA1092" s="116"/>
      <c r="AB1092" s="116"/>
      <c r="AC1092" s="115"/>
      <c r="AD1092" s="129"/>
      <c r="AE1092" s="193"/>
      <c r="AF1092" s="120"/>
      <c r="AG1092" s="120"/>
      <c r="AH1092" s="120"/>
    </row>
    <row r="1093" spans="2:34">
      <c r="B1093" s="154"/>
      <c r="C1093" s="128" t="s">
        <v>2088</v>
      </c>
      <c r="E1093" s="115"/>
      <c r="F1093" s="115"/>
      <c r="G1093" s="115"/>
      <c r="H1093" s="115">
        <f t="shared" si="176"/>
        <v>3000</v>
      </c>
      <c r="I1093" s="115">
        <f t="shared" si="174"/>
        <v>3000</v>
      </c>
      <c r="J1093" s="115">
        <f t="shared" si="175"/>
        <v>3000</v>
      </c>
      <c r="K1093" s="115">
        <f t="shared" si="178"/>
        <v>3000</v>
      </c>
      <c r="L1093" s="115">
        <f t="shared" si="177"/>
        <v>3000</v>
      </c>
      <c r="M1093" s="115"/>
      <c r="N1093" s="115"/>
      <c r="O1093" s="115"/>
      <c r="P1093" s="115"/>
      <c r="Q1093" s="116"/>
      <c r="R1093" s="116"/>
      <c r="S1093" s="116"/>
      <c r="T1093" s="116">
        <f>3000+4000-4000</f>
        <v>3000</v>
      </c>
      <c r="U1093" s="116"/>
      <c r="V1093" s="116"/>
      <c r="W1093" s="116"/>
      <c r="X1093" s="116"/>
      <c r="Y1093" s="116"/>
      <c r="Z1093" s="116"/>
      <c r="AA1093" s="116"/>
      <c r="AB1093" s="116"/>
      <c r="AC1093" s="115"/>
      <c r="AD1093" s="129"/>
      <c r="AE1093" s="193"/>
      <c r="AF1093" s="120"/>
      <c r="AG1093" s="120"/>
      <c r="AH1093" s="120"/>
    </row>
    <row r="1094" spans="2:34">
      <c r="B1094" s="154"/>
      <c r="C1094" s="128" t="s">
        <v>2089</v>
      </c>
      <c r="D1094" s="128"/>
      <c r="E1094" s="139"/>
      <c r="F1094" s="139"/>
      <c r="G1094" s="139"/>
      <c r="H1094" s="115">
        <f t="shared" si="176"/>
        <v>1448.7</v>
      </c>
      <c r="I1094" s="115">
        <f t="shared" si="174"/>
        <v>1448.7</v>
      </c>
      <c r="J1094" s="115">
        <f t="shared" si="175"/>
        <v>1448.7</v>
      </c>
      <c r="K1094" s="115">
        <f t="shared" si="178"/>
        <v>1448.7</v>
      </c>
      <c r="L1094" s="115">
        <f t="shared" si="177"/>
        <v>1448.7</v>
      </c>
      <c r="M1094" s="139"/>
      <c r="N1094" s="139"/>
      <c r="O1094" s="139"/>
      <c r="P1094" s="139"/>
      <c r="Q1094" s="214"/>
      <c r="R1094" s="214"/>
      <c r="S1094" s="214"/>
      <c r="T1094" s="214">
        <v>1448.7</v>
      </c>
      <c r="U1094" s="214"/>
      <c r="V1094" s="214"/>
      <c r="W1094" s="214"/>
      <c r="X1094" s="214"/>
      <c r="Y1094" s="214"/>
      <c r="Z1094" s="214"/>
      <c r="AA1094" s="214"/>
      <c r="AB1094" s="214"/>
      <c r="AC1094" s="200"/>
      <c r="AD1094" s="129"/>
      <c r="AE1094" s="193"/>
      <c r="AF1094" s="120"/>
      <c r="AG1094" s="120"/>
      <c r="AH1094" s="120"/>
    </row>
    <row r="1095" spans="2:34">
      <c r="B1095" s="154"/>
      <c r="C1095" s="128" t="s">
        <v>2090</v>
      </c>
      <c r="E1095" s="115"/>
      <c r="F1095" s="115"/>
      <c r="G1095" s="115"/>
      <c r="H1095" s="115">
        <f t="shared" si="176"/>
        <v>40</v>
      </c>
      <c r="I1095" s="115">
        <f t="shared" ref="I1095:I1139" si="179">Q1095+R1095+S1095+T1095+U1095</f>
        <v>40</v>
      </c>
      <c r="J1095" s="115">
        <f t="shared" ref="J1095:J1139" si="180">Q1095+R1095+S1095+T1095+U1095+V1095</f>
        <v>40</v>
      </c>
      <c r="K1095" s="115">
        <f t="shared" si="178"/>
        <v>40</v>
      </c>
      <c r="L1095" s="115">
        <f t="shared" si="177"/>
        <v>40</v>
      </c>
      <c r="M1095" s="115"/>
      <c r="N1095" s="115"/>
      <c r="O1095" s="115"/>
      <c r="P1095" s="115"/>
      <c r="Q1095" s="116"/>
      <c r="R1095" s="116"/>
      <c r="S1095" s="116"/>
      <c r="T1095" s="116">
        <v>40</v>
      </c>
      <c r="U1095" s="116"/>
      <c r="V1095" s="116"/>
      <c r="W1095" s="116"/>
      <c r="X1095" s="116"/>
      <c r="Y1095" s="116"/>
      <c r="Z1095" s="116"/>
      <c r="AA1095" s="116"/>
      <c r="AB1095" s="116"/>
      <c r="AC1095" s="115"/>
      <c r="AD1095" s="129"/>
      <c r="AE1095" s="162"/>
      <c r="AF1095" s="120"/>
      <c r="AG1095" s="120"/>
      <c r="AH1095" s="120"/>
    </row>
    <row r="1096" spans="2:34">
      <c r="B1096" s="154"/>
      <c r="C1096" s="128" t="s">
        <v>2091</v>
      </c>
      <c r="E1096" s="115"/>
      <c r="F1096" s="115"/>
      <c r="G1096" s="115"/>
      <c r="H1096" s="115">
        <f t="shared" si="176"/>
        <v>7500</v>
      </c>
      <c r="I1096" s="115">
        <f t="shared" si="179"/>
        <v>7500</v>
      </c>
      <c r="J1096" s="115">
        <f t="shared" si="180"/>
        <v>7500</v>
      </c>
      <c r="K1096" s="115">
        <f t="shared" si="178"/>
        <v>7500</v>
      </c>
      <c r="L1096" s="115">
        <f t="shared" si="177"/>
        <v>7500</v>
      </c>
      <c r="M1096" s="115"/>
      <c r="N1096" s="115"/>
      <c r="O1096" s="115"/>
      <c r="P1096" s="115"/>
      <c r="Q1096" s="116"/>
      <c r="R1096" s="116"/>
      <c r="S1096" s="116"/>
      <c r="T1096" s="116">
        <f>7500</f>
        <v>7500</v>
      </c>
      <c r="U1096" s="116"/>
      <c r="V1096" s="116"/>
      <c r="W1096" s="116"/>
      <c r="X1096" s="116"/>
      <c r="Y1096" s="116"/>
      <c r="Z1096" s="116"/>
      <c r="AA1096" s="116"/>
      <c r="AB1096" s="116"/>
      <c r="AC1096" s="115"/>
      <c r="AD1096" s="129"/>
      <c r="AE1096" s="162"/>
      <c r="AF1096" s="120"/>
      <c r="AG1096" s="120"/>
      <c r="AH1096" s="120"/>
    </row>
    <row r="1097" spans="2:34">
      <c r="B1097" s="154"/>
      <c r="C1097" s="128" t="s">
        <v>2091</v>
      </c>
      <c r="E1097" s="115"/>
      <c r="F1097" s="115"/>
      <c r="G1097" s="115"/>
      <c r="H1097" s="115">
        <f t="shared" si="176"/>
        <v>5000</v>
      </c>
      <c r="I1097" s="115">
        <f t="shared" si="179"/>
        <v>5000</v>
      </c>
      <c r="J1097" s="115">
        <f t="shared" si="180"/>
        <v>5000</v>
      </c>
      <c r="K1097" s="115">
        <f t="shared" si="178"/>
        <v>5000</v>
      </c>
      <c r="L1097" s="115">
        <f t="shared" si="177"/>
        <v>5000</v>
      </c>
      <c r="M1097" s="115"/>
      <c r="N1097" s="115"/>
      <c r="O1097" s="115"/>
      <c r="P1097" s="115"/>
      <c r="Q1097" s="116"/>
      <c r="R1097" s="116"/>
      <c r="S1097" s="116"/>
      <c r="T1097" s="116">
        <v>5000</v>
      </c>
      <c r="U1097" s="116"/>
      <c r="V1097" s="116"/>
      <c r="W1097" s="116"/>
      <c r="X1097" s="116"/>
      <c r="Y1097" s="116"/>
      <c r="Z1097" s="116"/>
      <c r="AA1097" s="116"/>
      <c r="AB1097" s="116"/>
      <c r="AC1097" s="115"/>
      <c r="AD1097" s="129"/>
      <c r="AE1097" s="162"/>
      <c r="AF1097" s="120"/>
      <c r="AG1097" s="120"/>
      <c r="AH1097" s="120"/>
    </row>
    <row r="1098" spans="2:34">
      <c r="B1098" s="154"/>
      <c r="C1098" s="128" t="s">
        <v>2092</v>
      </c>
      <c r="D1098" s="128"/>
      <c r="E1098" s="139"/>
      <c r="F1098" s="139"/>
      <c r="G1098" s="139"/>
      <c r="H1098" s="115">
        <f t="shared" ref="H1098:H1139" si="181">Q1098+R1098+S1098+T1098</f>
        <v>400</v>
      </c>
      <c r="I1098" s="115">
        <f t="shared" si="179"/>
        <v>400</v>
      </c>
      <c r="J1098" s="115">
        <f t="shared" si="180"/>
        <v>400</v>
      </c>
      <c r="K1098" s="115">
        <f t="shared" si="178"/>
        <v>400</v>
      </c>
      <c r="L1098" s="115">
        <f t="shared" si="177"/>
        <v>400</v>
      </c>
      <c r="M1098" s="139"/>
      <c r="N1098" s="139"/>
      <c r="O1098" s="139"/>
      <c r="P1098" s="139"/>
      <c r="Q1098" s="214"/>
      <c r="R1098" s="214"/>
      <c r="S1098" s="214"/>
      <c r="T1098" s="214">
        <v>400</v>
      </c>
      <c r="U1098" s="214"/>
      <c r="V1098" s="214"/>
      <c r="W1098" s="214"/>
      <c r="X1098" s="214"/>
      <c r="Y1098" s="214"/>
      <c r="Z1098" s="214"/>
      <c r="AA1098" s="214"/>
      <c r="AB1098" s="214"/>
      <c r="AC1098" s="200"/>
      <c r="AD1098" s="129"/>
      <c r="AE1098" s="162"/>
      <c r="AF1098" s="120"/>
      <c r="AG1098" s="120"/>
      <c r="AH1098" s="120"/>
    </row>
    <row r="1099" spans="2:34">
      <c r="B1099" s="154"/>
      <c r="C1099" s="128" t="s">
        <v>2093</v>
      </c>
      <c r="D1099" s="128"/>
      <c r="E1099" s="139"/>
      <c r="F1099" s="139"/>
      <c r="G1099" s="139"/>
      <c r="H1099" s="115">
        <f t="shared" si="181"/>
        <v>500</v>
      </c>
      <c r="I1099" s="115">
        <f t="shared" si="179"/>
        <v>500</v>
      </c>
      <c r="J1099" s="115">
        <f t="shared" si="180"/>
        <v>500</v>
      </c>
      <c r="K1099" s="115">
        <f t="shared" si="178"/>
        <v>500</v>
      </c>
      <c r="L1099" s="115">
        <f t="shared" si="177"/>
        <v>500</v>
      </c>
      <c r="M1099" s="139"/>
      <c r="N1099" s="139"/>
      <c r="O1099" s="139"/>
      <c r="P1099" s="139"/>
      <c r="Q1099" s="214"/>
      <c r="R1099" s="214"/>
      <c r="S1099" s="214"/>
      <c r="T1099" s="214">
        <v>500</v>
      </c>
      <c r="U1099" s="214"/>
      <c r="V1099" s="214"/>
      <c r="W1099" s="214"/>
      <c r="X1099" s="214"/>
      <c r="Y1099" s="214"/>
      <c r="Z1099" s="214"/>
      <c r="AA1099" s="214"/>
      <c r="AB1099" s="214"/>
      <c r="AC1099" s="200"/>
      <c r="AD1099" s="129"/>
      <c r="AE1099" s="162"/>
      <c r="AF1099" s="120"/>
      <c r="AG1099" s="120"/>
      <c r="AH1099" s="120"/>
    </row>
    <row r="1100" spans="2:34" ht="15">
      <c r="B1100" s="154"/>
      <c r="C1100" s="128" t="s">
        <v>2093</v>
      </c>
      <c r="D1100" s="128"/>
      <c r="E1100" s="139"/>
      <c r="F1100" s="139"/>
      <c r="G1100" s="139"/>
      <c r="H1100" s="115">
        <f t="shared" si="181"/>
        <v>1000</v>
      </c>
      <c r="I1100" s="115">
        <f t="shared" si="179"/>
        <v>1000</v>
      </c>
      <c r="J1100" s="115">
        <f t="shared" si="180"/>
        <v>1000</v>
      </c>
      <c r="K1100" s="115">
        <f t="shared" si="178"/>
        <v>1000</v>
      </c>
      <c r="L1100" s="115">
        <f t="shared" si="177"/>
        <v>1000</v>
      </c>
      <c r="M1100" s="139"/>
      <c r="N1100" s="139"/>
      <c r="O1100" s="139"/>
      <c r="P1100" s="139"/>
      <c r="Q1100" s="214"/>
      <c r="R1100" s="214"/>
      <c r="S1100" s="214"/>
      <c r="T1100" s="214">
        <v>1000</v>
      </c>
      <c r="U1100" s="214"/>
      <c r="V1100" s="214"/>
      <c r="W1100" s="214"/>
      <c r="X1100" s="214"/>
      <c r="Y1100" s="214"/>
      <c r="Z1100" s="214"/>
      <c r="AA1100" s="214"/>
      <c r="AB1100" s="214"/>
      <c r="AC1100" s="200"/>
      <c r="AD1100" s="172"/>
      <c r="AE1100" s="162"/>
      <c r="AF1100" s="120"/>
      <c r="AG1100" s="120"/>
      <c r="AH1100" s="120"/>
    </row>
    <row r="1101" spans="2:34" ht="15">
      <c r="B1101" s="154"/>
      <c r="C1101" s="128" t="s">
        <v>2093</v>
      </c>
      <c r="D1101" s="128"/>
      <c r="E1101" s="139"/>
      <c r="F1101" s="139"/>
      <c r="G1101" s="139"/>
      <c r="H1101" s="115">
        <f t="shared" si="181"/>
        <v>1400</v>
      </c>
      <c r="I1101" s="115">
        <f t="shared" si="179"/>
        <v>1400</v>
      </c>
      <c r="J1101" s="115">
        <f t="shared" si="180"/>
        <v>1400</v>
      </c>
      <c r="K1101" s="115">
        <f t="shared" si="178"/>
        <v>1400</v>
      </c>
      <c r="L1101" s="115">
        <f t="shared" si="177"/>
        <v>1400</v>
      </c>
      <c r="M1101" s="139"/>
      <c r="N1101" s="139"/>
      <c r="O1101" s="139"/>
      <c r="P1101" s="139"/>
      <c r="Q1101" s="214"/>
      <c r="R1101" s="214"/>
      <c r="S1101" s="214"/>
      <c r="T1101" s="214">
        <v>1400</v>
      </c>
      <c r="U1101" s="214"/>
      <c r="V1101" s="214"/>
      <c r="W1101" s="214"/>
      <c r="X1101" s="214"/>
      <c r="Y1101" s="214"/>
      <c r="Z1101" s="214"/>
      <c r="AA1101" s="214"/>
      <c r="AB1101" s="214"/>
      <c r="AC1101" s="200"/>
      <c r="AD1101" s="172"/>
      <c r="AE1101" s="162"/>
      <c r="AF1101" s="120"/>
      <c r="AG1101" s="120"/>
      <c r="AH1101" s="120"/>
    </row>
    <row r="1102" spans="2:34" ht="15">
      <c r="B1102" s="154"/>
      <c r="C1102" s="128" t="s">
        <v>2093</v>
      </c>
      <c r="D1102" s="128"/>
      <c r="E1102" s="139"/>
      <c r="F1102" s="139"/>
      <c r="G1102" s="139"/>
      <c r="H1102" s="115">
        <f t="shared" si="181"/>
        <v>500</v>
      </c>
      <c r="I1102" s="115">
        <f t="shared" si="179"/>
        <v>500</v>
      </c>
      <c r="J1102" s="115">
        <f t="shared" si="180"/>
        <v>500</v>
      </c>
      <c r="K1102" s="115">
        <f t="shared" si="178"/>
        <v>500</v>
      </c>
      <c r="L1102" s="115">
        <f t="shared" si="177"/>
        <v>500</v>
      </c>
      <c r="M1102" s="139"/>
      <c r="N1102" s="139"/>
      <c r="O1102" s="139"/>
      <c r="P1102" s="139"/>
      <c r="Q1102" s="214"/>
      <c r="R1102" s="214"/>
      <c r="S1102" s="214"/>
      <c r="T1102" s="214">
        <v>500</v>
      </c>
      <c r="U1102" s="214"/>
      <c r="V1102" s="214"/>
      <c r="W1102" s="214"/>
      <c r="X1102" s="214"/>
      <c r="Y1102" s="214"/>
      <c r="Z1102" s="214"/>
      <c r="AA1102" s="214"/>
      <c r="AB1102" s="214"/>
      <c r="AC1102" s="200"/>
      <c r="AD1102" s="172"/>
      <c r="AE1102" s="162"/>
      <c r="AF1102" s="120"/>
      <c r="AG1102" s="120"/>
      <c r="AH1102" s="120"/>
    </row>
    <row r="1103" spans="2:34" ht="15">
      <c r="B1103" s="154"/>
      <c r="C1103" s="128" t="s">
        <v>2093</v>
      </c>
      <c r="D1103" s="128"/>
      <c r="E1103" s="139"/>
      <c r="F1103" s="139"/>
      <c r="G1103" s="139"/>
      <c r="H1103" s="115">
        <f t="shared" si="181"/>
        <v>300</v>
      </c>
      <c r="I1103" s="115">
        <f t="shared" si="179"/>
        <v>300</v>
      </c>
      <c r="J1103" s="115">
        <f t="shared" si="180"/>
        <v>300</v>
      </c>
      <c r="K1103" s="115">
        <f t="shared" si="178"/>
        <v>300</v>
      </c>
      <c r="L1103" s="115">
        <f t="shared" si="177"/>
        <v>300</v>
      </c>
      <c r="M1103" s="139"/>
      <c r="N1103" s="139"/>
      <c r="O1103" s="139"/>
      <c r="P1103" s="139"/>
      <c r="Q1103" s="214"/>
      <c r="R1103" s="214"/>
      <c r="S1103" s="214"/>
      <c r="T1103" s="214">
        <v>300</v>
      </c>
      <c r="U1103" s="214"/>
      <c r="V1103" s="214"/>
      <c r="W1103" s="214"/>
      <c r="X1103" s="214"/>
      <c r="Y1103" s="214"/>
      <c r="Z1103" s="214"/>
      <c r="AA1103" s="214"/>
      <c r="AB1103" s="214"/>
      <c r="AC1103" s="200"/>
      <c r="AD1103" s="172"/>
      <c r="AE1103" s="162"/>
      <c r="AF1103" s="120"/>
      <c r="AG1103" s="120"/>
      <c r="AH1103" s="120"/>
    </row>
    <row r="1104" spans="2:34" ht="15">
      <c r="B1104" s="154"/>
      <c r="C1104" s="128" t="s">
        <v>2093</v>
      </c>
      <c r="E1104" s="115"/>
      <c r="F1104" s="115"/>
      <c r="G1104" s="115"/>
      <c r="H1104" s="115">
        <f t="shared" si="181"/>
        <v>1313</v>
      </c>
      <c r="I1104" s="115">
        <f t="shared" si="179"/>
        <v>1313</v>
      </c>
      <c r="J1104" s="115">
        <f t="shared" si="180"/>
        <v>1313</v>
      </c>
      <c r="K1104" s="115">
        <f t="shared" si="178"/>
        <v>1313</v>
      </c>
      <c r="L1104" s="115">
        <f t="shared" si="177"/>
        <v>1313</v>
      </c>
      <c r="M1104" s="115"/>
      <c r="N1104" s="115"/>
      <c r="O1104" s="115"/>
      <c r="P1104" s="115"/>
      <c r="Q1104" s="116"/>
      <c r="R1104" s="116"/>
      <c r="S1104" s="116"/>
      <c r="T1104" s="116">
        <f>57+323+850+83</f>
        <v>1313</v>
      </c>
      <c r="U1104" s="116"/>
      <c r="V1104" s="116"/>
      <c r="W1104" s="116"/>
      <c r="X1104" s="116"/>
      <c r="Y1104" s="116"/>
      <c r="Z1104" s="116"/>
      <c r="AA1104" s="116"/>
      <c r="AB1104" s="116"/>
      <c r="AC1104" s="115"/>
      <c r="AD1104" s="172"/>
      <c r="AE1104" s="162"/>
      <c r="AF1104" s="120"/>
      <c r="AG1104" s="120"/>
      <c r="AH1104" s="120"/>
    </row>
    <row r="1105" spans="2:34" ht="15">
      <c r="B1105" s="154"/>
      <c r="C1105" s="128" t="s">
        <v>2094</v>
      </c>
      <c r="D1105" s="128"/>
      <c r="E1105" s="139"/>
      <c r="F1105" s="139"/>
      <c r="G1105" s="139"/>
      <c r="H1105" s="115">
        <f t="shared" si="181"/>
        <v>1000</v>
      </c>
      <c r="I1105" s="115">
        <f t="shared" si="179"/>
        <v>1000</v>
      </c>
      <c r="J1105" s="115">
        <f t="shared" si="180"/>
        <v>1000</v>
      </c>
      <c r="K1105" s="115">
        <f t="shared" si="178"/>
        <v>1000</v>
      </c>
      <c r="L1105" s="115">
        <f t="shared" si="177"/>
        <v>1000</v>
      </c>
      <c r="M1105" s="139"/>
      <c r="N1105" s="139"/>
      <c r="O1105" s="139"/>
      <c r="P1105" s="139"/>
      <c r="Q1105" s="214"/>
      <c r="R1105" s="214"/>
      <c r="S1105" s="214"/>
      <c r="T1105" s="214">
        <v>1000</v>
      </c>
      <c r="U1105" s="214"/>
      <c r="V1105" s="214"/>
      <c r="W1105" s="214"/>
      <c r="X1105" s="214"/>
      <c r="Y1105" s="214"/>
      <c r="Z1105" s="214"/>
      <c r="AA1105" s="214"/>
      <c r="AB1105" s="214"/>
      <c r="AC1105" s="200"/>
      <c r="AD1105" s="172"/>
      <c r="AE1105" s="162"/>
      <c r="AF1105" s="120"/>
      <c r="AG1105" s="120"/>
      <c r="AH1105" s="120"/>
    </row>
    <row r="1106" spans="2:34" ht="15">
      <c r="B1106" s="154"/>
      <c r="C1106" s="128" t="s">
        <v>2095</v>
      </c>
      <c r="D1106" s="128"/>
      <c r="E1106" s="139"/>
      <c r="F1106" s="139"/>
      <c r="G1106" s="139"/>
      <c r="H1106" s="115">
        <f t="shared" si="181"/>
        <v>1320</v>
      </c>
      <c r="I1106" s="115">
        <f t="shared" si="179"/>
        <v>1320</v>
      </c>
      <c r="J1106" s="115">
        <f t="shared" si="180"/>
        <v>1320</v>
      </c>
      <c r="K1106" s="115">
        <f t="shared" si="178"/>
        <v>1320</v>
      </c>
      <c r="L1106" s="115">
        <f t="shared" si="177"/>
        <v>1320</v>
      </c>
      <c r="M1106" s="139"/>
      <c r="N1106" s="139"/>
      <c r="O1106" s="139"/>
      <c r="P1106" s="139"/>
      <c r="Q1106" s="214"/>
      <c r="R1106" s="214"/>
      <c r="S1106" s="214"/>
      <c r="T1106" s="214">
        <v>1320</v>
      </c>
      <c r="U1106" s="214"/>
      <c r="V1106" s="214"/>
      <c r="W1106" s="214"/>
      <c r="X1106" s="214"/>
      <c r="Y1106" s="214"/>
      <c r="Z1106" s="214"/>
      <c r="AA1106" s="214"/>
      <c r="AB1106" s="214"/>
      <c r="AC1106" s="200"/>
      <c r="AD1106" s="172"/>
      <c r="AE1106" s="162"/>
      <c r="AF1106" s="120"/>
      <c r="AG1106" s="120"/>
      <c r="AH1106" s="120"/>
    </row>
    <row r="1107" spans="2:34" ht="15">
      <c r="B1107" s="154"/>
      <c r="C1107" s="128" t="s">
        <v>2096</v>
      </c>
      <c r="D1107" s="128"/>
      <c r="E1107" s="139"/>
      <c r="F1107" s="139"/>
      <c r="G1107" s="139"/>
      <c r="H1107" s="115">
        <f t="shared" si="181"/>
        <v>1000</v>
      </c>
      <c r="I1107" s="115">
        <f t="shared" si="179"/>
        <v>1000</v>
      </c>
      <c r="J1107" s="115">
        <f t="shared" si="180"/>
        <v>1000</v>
      </c>
      <c r="K1107" s="115">
        <f t="shared" si="178"/>
        <v>1000</v>
      </c>
      <c r="L1107" s="115">
        <f t="shared" si="177"/>
        <v>1000</v>
      </c>
      <c r="M1107" s="139"/>
      <c r="N1107" s="139"/>
      <c r="O1107" s="139"/>
      <c r="P1107" s="139"/>
      <c r="Q1107" s="214"/>
      <c r="R1107" s="214"/>
      <c r="S1107" s="214"/>
      <c r="T1107" s="214">
        <v>1000</v>
      </c>
      <c r="U1107" s="214"/>
      <c r="V1107" s="214"/>
      <c r="W1107" s="214"/>
      <c r="X1107" s="214"/>
      <c r="Y1107" s="214"/>
      <c r="Z1107" s="214"/>
      <c r="AA1107" s="214"/>
      <c r="AB1107" s="214"/>
      <c r="AC1107" s="200"/>
      <c r="AD1107" s="172"/>
      <c r="AE1107" s="162"/>
      <c r="AF1107" s="120"/>
      <c r="AG1107" s="120"/>
      <c r="AH1107" s="120"/>
    </row>
    <row r="1108" spans="2:34" ht="15">
      <c r="B1108" s="154"/>
      <c r="C1108" s="128" t="s">
        <v>2097</v>
      </c>
      <c r="D1108" s="128"/>
      <c r="E1108" s="139"/>
      <c r="F1108" s="139"/>
      <c r="G1108" s="139"/>
      <c r="H1108" s="115">
        <f t="shared" si="181"/>
        <v>500</v>
      </c>
      <c r="I1108" s="115">
        <f t="shared" si="179"/>
        <v>500</v>
      </c>
      <c r="J1108" s="115">
        <f t="shared" si="180"/>
        <v>500</v>
      </c>
      <c r="K1108" s="115">
        <f t="shared" si="178"/>
        <v>500</v>
      </c>
      <c r="L1108" s="115">
        <f t="shared" si="177"/>
        <v>500</v>
      </c>
      <c r="M1108" s="139"/>
      <c r="N1108" s="139"/>
      <c r="O1108" s="139"/>
      <c r="P1108" s="139"/>
      <c r="Q1108" s="214"/>
      <c r="R1108" s="214"/>
      <c r="S1108" s="214"/>
      <c r="T1108" s="214">
        <v>500</v>
      </c>
      <c r="U1108" s="214"/>
      <c r="V1108" s="214"/>
      <c r="W1108" s="214"/>
      <c r="X1108" s="214"/>
      <c r="Y1108" s="214"/>
      <c r="Z1108" s="214"/>
      <c r="AA1108" s="214"/>
      <c r="AB1108" s="214"/>
      <c r="AC1108" s="200"/>
      <c r="AD1108" s="172"/>
      <c r="AE1108" s="162"/>
      <c r="AF1108" s="120"/>
      <c r="AG1108" s="120"/>
      <c r="AH1108" s="120"/>
    </row>
    <row r="1109" spans="2:34" ht="15">
      <c r="B1109" s="154"/>
      <c r="C1109" s="128" t="s">
        <v>2097</v>
      </c>
      <c r="D1109" s="128"/>
      <c r="E1109" s="139"/>
      <c r="F1109" s="139"/>
      <c r="G1109" s="139"/>
      <c r="H1109" s="115">
        <f t="shared" si="181"/>
        <v>400</v>
      </c>
      <c r="I1109" s="115">
        <f t="shared" si="179"/>
        <v>400</v>
      </c>
      <c r="J1109" s="115">
        <f t="shared" si="180"/>
        <v>400</v>
      </c>
      <c r="K1109" s="115">
        <f t="shared" si="178"/>
        <v>400</v>
      </c>
      <c r="L1109" s="115">
        <f t="shared" si="177"/>
        <v>400</v>
      </c>
      <c r="M1109" s="139"/>
      <c r="N1109" s="139"/>
      <c r="O1109" s="139"/>
      <c r="P1109" s="139"/>
      <c r="Q1109" s="214"/>
      <c r="R1109" s="214"/>
      <c r="S1109" s="214"/>
      <c r="T1109" s="214">
        <v>400</v>
      </c>
      <c r="U1109" s="214"/>
      <c r="V1109" s="214"/>
      <c r="W1109" s="214"/>
      <c r="X1109" s="214"/>
      <c r="Y1109" s="214"/>
      <c r="Z1109" s="214"/>
      <c r="AA1109" s="214"/>
      <c r="AB1109" s="214"/>
      <c r="AC1109" s="200"/>
      <c r="AD1109" s="172"/>
      <c r="AE1109" s="162"/>
      <c r="AF1109" s="120"/>
      <c r="AG1109" s="120"/>
      <c r="AH1109" s="120"/>
    </row>
    <row r="1110" spans="2:34" ht="15">
      <c r="B1110" s="154"/>
      <c r="C1110" s="128" t="s">
        <v>2097</v>
      </c>
      <c r="D1110" s="128"/>
      <c r="E1110" s="139"/>
      <c r="F1110" s="139"/>
      <c r="G1110" s="139"/>
      <c r="H1110" s="115">
        <f t="shared" si="181"/>
        <v>400</v>
      </c>
      <c r="I1110" s="115">
        <f t="shared" si="179"/>
        <v>400</v>
      </c>
      <c r="J1110" s="115">
        <f t="shared" si="180"/>
        <v>400</v>
      </c>
      <c r="K1110" s="115">
        <f t="shared" si="178"/>
        <v>400</v>
      </c>
      <c r="L1110" s="115">
        <f t="shared" si="177"/>
        <v>400</v>
      </c>
      <c r="M1110" s="139"/>
      <c r="N1110" s="139"/>
      <c r="O1110" s="139"/>
      <c r="P1110" s="139"/>
      <c r="Q1110" s="214"/>
      <c r="R1110" s="214"/>
      <c r="S1110" s="214"/>
      <c r="T1110" s="214">
        <v>400</v>
      </c>
      <c r="U1110" s="214"/>
      <c r="V1110" s="214"/>
      <c r="W1110" s="214"/>
      <c r="X1110" s="214"/>
      <c r="Y1110" s="214"/>
      <c r="Z1110" s="214"/>
      <c r="AA1110" s="214"/>
      <c r="AB1110" s="214"/>
      <c r="AC1110" s="200"/>
      <c r="AD1110" s="172"/>
      <c r="AE1110" s="162"/>
      <c r="AF1110" s="120"/>
      <c r="AG1110" s="120"/>
      <c r="AH1110" s="120"/>
    </row>
    <row r="1111" spans="2:34" ht="15">
      <c r="B1111" s="154"/>
      <c r="C1111" s="128" t="s">
        <v>2098</v>
      </c>
      <c r="D1111" s="128"/>
      <c r="E1111" s="139"/>
      <c r="F1111" s="139"/>
      <c r="G1111" s="139"/>
      <c r="H1111" s="115">
        <f t="shared" si="181"/>
        <v>4000</v>
      </c>
      <c r="I1111" s="115">
        <f t="shared" si="179"/>
        <v>4000</v>
      </c>
      <c r="J1111" s="115">
        <f t="shared" si="180"/>
        <v>4000</v>
      </c>
      <c r="K1111" s="115">
        <f t="shared" si="178"/>
        <v>4000</v>
      </c>
      <c r="L1111" s="115">
        <f t="shared" si="177"/>
        <v>4000</v>
      </c>
      <c r="M1111" s="139"/>
      <c r="N1111" s="139"/>
      <c r="O1111" s="139"/>
      <c r="P1111" s="139"/>
      <c r="Q1111" s="214"/>
      <c r="R1111" s="214"/>
      <c r="S1111" s="214"/>
      <c r="T1111" s="214">
        <v>4000</v>
      </c>
      <c r="U1111" s="214"/>
      <c r="V1111" s="214"/>
      <c r="W1111" s="214"/>
      <c r="X1111" s="214"/>
      <c r="Y1111" s="214"/>
      <c r="Z1111" s="214"/>
      <c r="AA1111" s="214"/>
      <c r="AB1111" s="214"/>
      <c r="AC1111" s="200"/>
      <c r="AD1111" s="172"/>
      <c r="AE1111" s="162"/>
      <c r="AF1111" s="120"/>
      <c r="AG1111" s="120"/>
      <c r="AH1111" s="120"/>
    </row>
    <row r="1112" spans="2:34" ht="15">
      <c r="B1112" s="154"/>
      <c r="C1112" s="128" t="s">
        <v>2099</v>
      </c>
      <c r="D1112" s="128"/>
      <c r="E1112" s="139"/>
      <c r="F1112" s="139"/>
      <c r="G1112" s="139"/>
      <c r="H1112" s="115">
        <f t="shared" si="181"/>
        <v>1887</v>
      </c>
      <c r="I1112" s="115">
        <f t="shared" si="179"/>
        <v>1887</v>
      </c>
      <c r="J1112" s="115">
        <f t="shared" si="180"/>
        <v>1887</v>
      </c>
      <c r="K1112" s="115">
        <f t="shared" si="178"/>
        <v>1887</v>
      </c>
      <c r="L1112" s="115">
        <f t="shared" si="177"/>
        <v>1887</v>
      </c>
      <c r="M1112" s="139"/>
      <c r="N1112" s="139"/>
      <c r="O1112" s="139"/>
      <c r="P1112" s="139"/>
      <c r="Q1112" s="214"/>
      <c r="R1112" s="214"/>
      <c r="S1112" s="214"/>
      <c r="T1112" s="214">
        <f>1100+787</f>
        <v>1887</v>
      </c>
      <c r="U1112" s="214"/>
      <c r="V1112" s="214"/>
      <c r="W1112" s="214"/>
      <c r="X1112" s="214"/>
      <c r="Y1112" s="214"/>
      <c r="Z1112" s="214"/>
      <c r="AA1112" s="214"/>
      <c r="AB1112" s="214"/>
      <c r="AC1112" s="200"/>
      <c r="AD1112" s="172"/>
      <c r="AE1112" s="162"/>
      <c r="AF1112" s="120"/>
      <c r="AG1112" s="120"/>
      <c r="AH1112" s="120"/>
    </row>
    <row r="1113" spans="2:34" ht="15">
      <c r="B1113" s="154"/>
      <c r="C1113" s="128" t="s">
        <v>2100</v>
      </c>
      <c r="D1113" s="128"/>
      <c r="E1113" s="139"/>
      <c r="F1113" s="139"/>
      <c r="G1113" s="139"/>
      <c r="H1113" s="115">
        <f t="shared" si="181"/>
        <v>522</v>
      </c>
      <c r="I1113" s="115">
        <f t="shared" si="179"/>
        <v>522</v>
      </c>
      <c r="J1113" s="115">
        <f t="shared" si="180"/>
        <v>522</v>
      </c>
      <c r="K1113" s="115">
        <f t="shared" si="178"/>
        <v>522</v>
      </c>
      <c r="L1113" s="115">
        <f t="shared" si="177"/>
        <v>522</v>
      </c>
      <c r="M1113" s="139"/>
      <c r="N1113" s="139"/>
      <c r="O1113" s="139"/>
      <c r="P1113" s="139"/>
      <c r="Q1113" s="214"/>
      <c r="R1113" s="214"/>
      <c r="S1113" s="214"/>
      <c r="T1113" s="214">
        <f>522</f>
        <v>522</v>
      </c>
      <c r="U1113" s="214"/>
      <c r="V1113" s="214"/>
      <c r="W1113" s="214"/>
      <c r="X1113" s="214"/>
      <c r="Y1113" s="214"/>
      <c r="Z1113" s="214"/>
      <c r="AA1113" s="214"/>
      <c r="AB1113" s="214"/>
      <c r="AC1113" s="200"/>
      <c r="AD1113" s="172"/>
      <c r="AE1113" s="162"/>
      <c r="AF1113" s="120"/>
      <c r="AG1113" s="120"/>
      <c r="AH1113" s="120"/>
    </row>
    <row r="1114" spans="2:34" ht="15">
      <c r="B1114" s="154"/>
      <c r="C1114" s="128" t="s">
        <v>2101</v>
      </c>
      <c r="D1114" s="128"/>
      <c r="E1114" s="139"/>
      <c r="F1114" s="139"/>
      <c r="G1114" s="139"/>
      <c r="H1114" s="115">
        <f t="shared" si="181"/>
        <v>15000</v>
      </c>
      <c r="I1114" s="115">
        <f t="shared" si="179"/>
        <v>15000</v>
      </c>
      <c r="J1114" s="115">
        <f t="shared" si="180"/>
        <v>15000</v>
      </c>
      <c r="K1114" s="115">
        <f t="shared" si="178"/>
        <v>15000</v>
      </c>
      <c r="L1114" s="115">
        <f t="shared" si="177"/>
        <v>15000</v>
      </c>
      <c r="M1114" s="139"/>
      <c r="N1114" s="139"/>
      <c r="O1114" s="139"/>
      <c r="P1114" s="139"/>
      <c r="Q1114" s="214"/>
      <c r="R1114" s="214"/>
      <c r="S1114" s="214"/>
      <c r="T1114" s="214">
        <v>15000</v>
      </c>
      <c r="U1114" s="214"/>
      <c r="V1114" s="214"/>
      <c r="W1114" s="214"/>
      <c r="X1114" s="214"/>
      <c r="Y1114" s="214"/>
      <c r="Z1114" s="214"/>
      <c r="AA1114" s="214"/>
      <c r="AB1114" s="214"/>
      <c r="AC1114" s="200"/>
      <c r="AD1114" s="172"/>
      <c r="AE1114" s="162"/>
      <c r="AF1114" s="120"/>
      <c r="AG1114" s="120"/>
      <c r="AH1114" s="120"/>
    </row>
    <row r="1115" spans="2:34" ht="15">
      <c r="B1115" s="154"/>
      <c r="C1115" s="128" t="s">
        <v>2102</v>
      </c>
      <c r="E1115" s="115"/>
      <c r="F1115" s="115"/>
      <c r="G1115" s="115"/>
      <c r="H1115" s="115">
        <f t="shared" si="181"/>
        <v>634</v>
      </c>
      <c r="I1115" s="115">
        <f t="shared" si="179"/>
        <v>634</v>
      </c>
      <c r="J1115" s="115">
        <f t="shared" si="180"/>
        <v>634</v>
      </c>
      <c r="K1115" s="115">
        <f t="shared" si="178"/>
        <v>634</v>
      </c>
      <c r="L1115" s="115">
        <f t="shared" si="177"/>
        <v>634</v>
      </c>
      <c r="M1115" s="115"/>
      <c r="N1115" s="115"/>
      <c r="O1115" s="115"/>
      <c r="P1115" s="115"/>
      <c r="Q1115" s="116"/>
      <c r="R1115" s="116"/>
      <c r="S1115" s="116"/>
      <c r="T1115" s="116">
        <f>315+254+65</f>
        <v>634</v>
      </c>
      <c r="U1115" s="116"/>
      <c r="V1115" s="116"/>
      <c r="W1115" s="116"/>
      <c r="X1115" s="116"/>
      <c r="Y1115" s="116"/>
      <c r="Z1115" s="116"/>
      <c r="AA1115" s="116"/>
      <c r="AB1115" s="116"/>
      <c r="AC1115" s="115"/>
      <c r="AD1115" s="172"/>
      <c r="AE1115" s="162"/>
      <c r="AF1115" s="120"/>
      <c r="AG1115" s="120"/>
      <c r="AH1115" s="120"/>
    </row>
    <row r="1116" spans="2:34" ht="15">
      <c r="B1116" s="154"/>
      <c r="C1116" s="128" t="s">
        <v>2103</v>
      </c>
      <c r="D1116" s="120"/>
      <c r="E1116" s="215"/>
      <c r="F1116" s="215"/>
      <c r="G1116" s="215"/>
      <c r="H1116" s="115">
        <f t="shared" si="181"/>
        <v>578</v>
      </c>
      <c r="I1116" s="115">
        <f t="shared" si="179"/>
        <v>578</v>
      </c>
      <c r="J1116" s="115">
        <f t="shared" si="180"/>
        <v>578</v>
      </c>
      <c r="K1116" s="115">
        <f t="shared" si="178"/>
        <v>578</v>
      </c>
      <c r="L1116" s="115">
        <f t="shared" si="177"/>
        <v>578</v>
      </c>
      <c r="M1116" s="215"/>
      <c r="N1116" s="215"/>
      <c r="O1116" s="215"/>
      <c r="P1116" s="215"/>
      <c r="Q1116" s="216"/>
      <c r="R1116" s="216"/>
      <c r="S1116" s="216"/>
      <c r="T1116" s="216">
        <v>578</v>
      </c>
      <c r="U1116" s="216"/>
      <c r="V1116" s="216"/>
      <c r="W1116" s="216"/>
      <c r="X1116" s="216"/>
      <c r="Y1116" s="216"/>
      <c r="Z1116" s="216"/>
      <c r="AA1116" s="216"/>
      <c r="AB1116" s="216"/>
      <c r="AC1116" s="229"/>
      <c r="AD1116" s="172"/>
      <c r="AE1116" s="162"/>
      <c r="AF1116" s="120"/>
      <c r="AG1116" s="120"/>
      <c r="AH1116" s="120"/>
    </row>
    <row r="1117" spans="2:34" ht="15">
      <c r="B1117" s="154"/>
      <c r="C1117" s="128" t="s">
        <v>2103</v>
      </c>
      <c r="D1117" s="120"/>
      <c r="E1117" s="215"/>
      <c r="F1117" s="215"/>
      <c r="G1117" s="215"/>
      <c r="H1117" s="115">
        <f t="shared" si="181"/>
        <v>520</v>
      </c>
      <c r="I1117" s="115">
        <f t="shared" si="179"/>
        <v>520</v>
      </c>
      <c r="J1117" s="115">
        <f t="shared" si="180"/>
        <v>520</v>
      </c>
      <c r="K1117" s="115">
        <f t="shared" si="178"/>
        <v>520</v>
      </c>
      <c r="L1117" s="115">
        <f t="shared" si="177"/>
        <v>520</v>
      </c>
      <c r="M1117" s="215"/>
      <c r="N1117" s="215"/>
      <c r="O1117" s="215"/>
      <c r="P1117" s="215"/>
      <c r="Q1117" s="216"/>
      <c r="R1117" s="216"/>
      <c r="S1117" s="216"/>
      <c r="T1117" s="216">
        <v>520</v>
      </c>
      <c r="U1117" s="216"/>
      <c r="V1117" s="216"/>
      <c r="W1117" s="216"/>
      <c r="X1117" s="216"/>
      <c r="Y1117" s="216"/>
      <c r="Z1117" s="216"/>
      <c r="AA1117" s="216"/>
      <c r="AB1117" s="216"/>
      <c r="AC1117" s="229"/>
      <c r="AD1117" s="172"/>
      <c r="AE1117" s="162"/>
      <c r="AF1117" s="120" t="e">
        <f>#REF!-#REF!</f>
        <v>#REF!</v>
      </c>
      <c r="AG1117" s="120"/>
      <c r="AH1117" s="120"/>
    </row>
    <row r="1118" spans="2:34" ht="15">
      <c r="B1118" s="154"/>
      <c r="C1118" s="128" t="s">
        <v>2104</v>
      </c>
      <c r="D1118" s="120"/>
      <c r="E1118" s="215"/>
      <c r="F1118" s="215"/>
      <c r="G1118" s="215"/>
      <c r="H1118" s="115">
        <f t="shared" si="181"/>
        <v>15000</v>
      </c>
      <c r="I1118" s="115">
        <f t="shared" si="179"/>
        <v>15000</v>
      </c>
      <c r="J1118" s="115">
        <f t="shared" si="180"/>
        <v>15000</v>
      </c>
      <c r="K1118" s="115">
        <f t="shared" si="178"/>
        <v>15000</v>
      </c>
      <c r="L1118" s="115">
        <f t="shared" si="177"/>
        <v>15000</v>
      </c>
      <c r="M1118" s="215"/>
      <c r="N1118" s="215"/>
      <c r="O1118" s="215"/>
      <c r="P1118" s="215"/>
      <c r="Q1118" s="216"/>
      <c r="R1118" s="216"/>
      <c r="S1118" s="216"/>
      <c r="T1118" s="216">
        <v>15000</v>
      </c>
      <c r="U1118" s="216"/>
      <c r="V1118" s="216"/>
      <c r="W1118" s="216"/>
      <c r="X1118" s="216"/>
      <c r="Y1118" s="216"/>
      <c r="Z1118" s="216"/>
      <c r="AA1118" s="216"/>
      <c r="AB1118" s="216"/>
      <c r="AC1118" s="229"/>
      <c r="AD1118" s="172"/>
      <c r="AE1118" s="162"/>
      <c r="AF1118" s="120"/>
      <c r="AG1118" s="120"/>
      <c r="AH1118" s="120"/>
    </row>
    <row r="1119" spans="2:34" ht="15">
      <c r="B1119" s="154"/>
      <c r="C1119" s="128" t="s">
        <v>2105</v>
      </c>
      <c r="E1119" s="115"/>
      <c r="F1119" s="115"/>
      <c r="G1119" s="115"/>
      <c r="H1119" s="115">
        <f t="shared" si="181"/>
        <v>13000</v>
      </c>
      <c r="I1119" s="115">
        <f t="shared" si="179"/>
        <v>13000</v>
      </c>
      <c r="J1119" s="115">
        <f t="shared" si="180"/>
        <v>13000</v>
      </c>
      <c r="K1119" s="115">
        <f t="shared" si="178"/>
        <v>13000</v>
      </c>
      <c r="L1119" s="115">
        <f t="shared" si="177"/>
        <v>13000</v>
      </c>
      <c r="M1119" s="115"/>
      <c r="N1119" s="115"/>
      <c r="O1119" s="115"/>
      <c r="P1119" s="115"/>
      <c r="Q1119" s="116"/>
      <c r="R1119" s="116"/>
      <c r="S1119" s="116"/>
      <c r="T1119" s="116">
        <f>10000+3000</f>
        <v>13000</v>
      </c>
      <c r="U1119" s="116"/>
      <c r="V1119" s="116"/>
      <c r="W1119" s="116"/>
      <c r="X1119" s="116"/>
      <c r="Y1119" s="116"/>
      <c r="Z1119" s="116"/>
      <c r="AA1119" s="116"/>
      <c r="AB1119" s="116"/>
      <c r="AC1119" s="115"/>
      <c r="AD1119" s="172"/>
      <c r="AE1119" s="162"/>
      <c r="AF1119" s="120"/>
      <c r="AG1119" s="120"/>
      <c r="AH1119" s="120"/>
    </row>
    <row r="1120" spans="2:34" ht="15">
      <c r="B1120" s="154"/>
      <c r="C1120" s="128" t="s">
        <v>2106</v>
      </c>
      <c r="E1120" s="120"/>
      <c r="F1120" s="120"/>
      <c r="G1120" s="120"/>
      <c r="H1120" s="115">
        <f t="shared" si="181"/>
        <v>9000</v>
      </c>
      <c r="I1120" s="115">
        <f t="shared" si="179"/>
        <v>9000</v>
      </c>
      <c r="J1120" s="115">
        <f t="shared" si="180"/>
        <v>9000</v>
      </c>
      <c r="K1120" s="115">
        <f t="shared" si="178"/>
        <v>9000</v>
      </c>
      <c r="L1120" s="115">
        <f t="shared" si="177"/>
        <v>9000</v>
      </c>
      <c r="M1120" s="120"/>
      <c r="N1120" s="120"/>
      <c r="O1120" s="120"/>
      <c r="P1120" s="120"/>
      <c r="Q1120" s="116"/>
      <c r="R1120" s="116"/>
      <c r="S1120" s="116"/>
      <c r="T1120" s="116">
        <v>9000</v>
      </c>
      <c r="U1120" s="116"/>
      <c r="V1120" s="116"/>
      <c r="W1120" s="116"/>
      <c r="X1120" s="116"/>
      <c r="Y1120" s="116"/>
      <c r="Z1120" s="116"/>
      <c r="AA1120" s="116"/>
      <c r="AB1120" s="116"/>
      <c r="AC1120" s="115"/>
      <c r="AD1120" s="172"/>
      <c r="AE1120" s="162"/>
      <c r="AF1120" s="120"/>
      <c r="AG1120" s="120"/>
      <c r="AH1120" s="120"/>
    </row>
    <row r="1121" spans="2:34" ht="15">
      <c r="B1121" s="154"/>
      <c r="C1121" s="128" t="s">
        <v>2107</v>
      </c>
      <c r="E1121" s="120"/>
      <c r="F1121" s="120"/>
      <c r="G1121" s="120"/>
      <c r="H1121" s="115">
        <f t="shared" si="181"/>
        <v>3000</v>
      </c>
      <c r="I1121" s="115">
        <f t="shared" si="179"/>
        <v>3000</v>
      </c>
      <c r="J1121" s="115">
        <f t="shared" si="180"/>
        <v>3000</v>
      </c>
      <c r="K1121" s="115">
        <f t="shared" si="178"/>
        <v>3000</v>
      </c>
      <c r="L1121" s="115">
        <f t="shared" si="177"/>
        <v>3000</v>
      </c>
      <c r="M1121" s="120"/>
      <c r="N1121" s="120"/>
      <c r="O1121" s="120"/>
      <c r="P1121" s="120"/>
      <c r="Q1121" s="116"/>
      <c r="R1121" s="116"/>
      <c r="S1121" s="116"/>
      <c r="T1121" s="116">
        <f>3000</f>
        <v>3000</v>
      </c>
      <c r="U1121" s="116"/>
      <c r="V1121" s="116"/>
      <c r="W1121" s="116"/>
      <c r="X1121" s="116"/>
      <c r="Y1121" s="116"/>
      <c r="Z1121" s="116"/>
      <c r="AA1121" s="116"/>
      <c r="AB1121" s="116"/>
      <c r="AC1121" s="115"/>
      <c r="AD1121" s="172"/>
      <c r="AE1121" s="162"/>
      <c r="AF1121" s="120"/>
      <c r="AG1121" s="120"/>
      <c r="AH1121" s="120"/>
    </row>
    <row r="1122" spans="2:34" ht="15">
      <c r="B1122" s="154"/>
      <c r="C1122" s="128" t="s">
        <v>2108</v>
      </c>
      <c r="E1122" s="115"/>
      <c r="F1122" s="115"/>
      <c r="G1122" s="115"/>
      <c r="H1122" s="115">
        <f t="shared" si="181"/>
        <v>1130.27</v>
      </c>
      <c r="I1122" s="115">
        <f t="shared" si="179"/>
        <v>1130.27</v>
      </c>
      <c r="J1122" s="115">
        <f t="shared" si="180"/>
        <v>1130.27</v>
      </c>
      <c r="K1122" s="115">
        <f t="shared" si="178"/>
        <v>1130.27</v>
      </c>
      <c r="L1122" s="115">
        <f t="shared" si="177"/>
        <v>1130.27</v>
      </c>
      <c r="M1122" s="115"/>
      <c r="N1122" s="115"/>
      <c r="O1122" s="115"/>
      <c r="P1122" s="115"/>
      <c r="Q1122" s="116"/>
      <c r="R1122" s="116"/>
      <c r="S1122" s="116"/>
      <c r="T1122" s="116">
        <v>1130.27</v>
      </c>
      <c r="U1122" s="116"/>
      <c r="V1122" s="116"/>
      <c r="W1122" s="116"/>
      <c r="X1122" s="116"/>
      <c r="Y1122" s="116"/>
      <c r="Z1122" s="116"/>
      <c r="AA1122" s="116"/>
      <c r="AB1122" s="116"/>
      <c r="AC1122" s="115"/>
      <c r="AD1122" s="172"/>
      <c r="AE1122" s="162"/>
      <c r="AF1122" s="120"/>
      <c r="AG1122" s="120"/>
      <c r="AH1122" s="120"/>
    </row>
    <row r="1123" spans="2:34" ht="15">
      <c r="B1123" s="154"/>
      <c r="C1123" s="128" t="s">
        <v>2109</v>
      </c>
      <c r="E1123" s="115"/>
      <c r="F1123" s="115"/>
      <c r="G1123" s="115"/>
      <c r="H1123" s="115">
        <f t="shared" si="181"/>
        <v>1855.5</v>
      </c>
      <c r="I1123" s="115">
        <f t="shared" si="179"/>
        <v>1855.5</v>
      </c>
      <c r="J1123" s="115">
        <f t="shared" si="180"/>
        <v>1855.5</v>
      </c>
      <c r="K1123" s="115">
        <f t="shared" si="178"/>
        <v>1855.5</v>
      </c>
      <c r="L1123" s="115">
        <f t="shared" si="177"/>
        <v>1855.5</v>
      </c>
      <c r="M1123" s="115"/>
      <c r="N1123" s="115"/>
      <c r="O1123" s="115"/>
      <c r="P1123" s="115"/>
      <c r="Q1123" s="116"/>
      <c r="R1123" s="116"/>
      <c r="S1123" s="116"/>
      <c r="T1123" s="116">
        <f>320+1535.5</f>
        <v>1855.5</v>
      </c>
      <c r="U1123" s="116"/>
      <c r="V1123" s="116"/>
      <c r="W1123" s="116"/>
      <c r="X1123" s="116"/>
      <c r="Y1123" s="116"/>
      <c r="Z1123" s="116"/>
      <c r="AA1123" s="116"/>
      <c r="AB1123" s="116"/>
      <c r="AC1123" s="115"/>
      <c r="AD1123" s="172"/>
      <c r="AE1123" s="162"/>
      <c r="AF1123" s="120"/>
      <c r="AG1123" s="120"/>
      <c r="AH1123" s="120"/>
    </row>
    <row r="1124" spans="2:34" ht="15">
      <c r="B1124" s="154"/>
      <c r="C1124" s="128" t="s">
        <v>2110</v>
      </c>
      <c r="E1124" s="115"/>
      <c r="F1124" s="115"/>
      <c r="G1124" s="115"/>
      <c r="H1124" s="115">
        <f t="shared" si="181"/>
        <v>1000</v>
      </c>
      <c r="I1124" s="115">
        <f t="shared" si="179"/>
        <v>1000</v>
      </c>
      <c r="J1124" s="115">
        <f t="shared" si="180"/>
        <v>1000</v>
      </c>
      <c r="K1124" s="115">
        <f t="shared" si="178"/>
        <v>1000</v>
      </c>
      <c r="L1124" s="115">
        <f t="shared" si="177"/>
        <v>1000</v>
      </c>
      <c r="M1124" s="115"/>
      <c r="N1124" s="115"/>
      <c r="O1124" s="115"/>
      <c r="P1124" s="115"/>
      <c r="Q1124" s="116"/>
      <c r="R1124" s="116"/>
      <c r="S1124" s="116"/>
      <c r="T1124" s="116">
        <v>1000</v>
      </c>
      <c r="U1124" s="116"/>
      <c r="V1124" s="116"/>
      <c r="W1124" s="116"/>
      <c r="X1124" s="116"/>
      <c r="Y1124" s="116"/>
      <c r="Z1124" s="116"/>
      <c r="AA1124" s="116"/>
      <c r="AB1124" s="116"/>
      <c r="AC1124" s="115"/>
      <c r="AD1124" s="172"/>
      <c r="AE1124" s="162"/>
      <c r="AF1124" s="120"/>
      <c r="AG1124" s="120"/>
      <c r="AH1124" s="120"/>
    </row>
    <row r="1125" spans="2:34" ht="15">
      <c r="B1125" s="154"/>
      <c r="C1125" s="128" t="s">
        <v>2111</v>
      </c>
      <c r="D1125" s="128"/>
      <c r="E1125" s="139"/>
      <c r="F1125" s="139"/>
      <c r="G1125" s="139"/>
      <c r="H1125" s="115">
        <f t="shared" si="181"/>
        <v>300</v>
      </c>
      <c r="I1125" s="115">
        <f t="shared" si="179"/>
        <v>300</v>
      </c>
      <c r="J1125" s="115">
        <f t="shared" si="180"/>
        <v>300</v>
      </c>
      <c r="K1125" s="115">
        <f t="shared" si="178"/>
        <v>300</v>
      </c>
      <c r="L1125" s="115">
        <f t="shared" si="177"/>
        <v>300</v>
      </c>
      <c r="M1125" s="139"/>
      <c r="N1125" s="139"/>
      <c r="O1125" s="139"/>
      <c r="P1125" s="139"/>
      <c r="Q1125" s="214"/>
      <c r="R1125" s="214"/>
      <c r="S1125" s="214"/>
      <c r="T1125" s="214">
        <v>300</v>
      </c>
      <c r="U1125" s="214"/>
      <c r="V1125" s="214"/>
      <c r="W1125" s="214"/>
      <c r="X1125" s="214"/>
      <c r="Y1125" s="214"/>
      <c r="Z1125" s="214"/>
      <c r="AA1125" s="214"/>
      <c r="AB1125" s="214"/>
      <c r="AC1125" s="200"/>
      <c r="AD1125" s="172"/>
      <c r="AE1125" s="162"/>
      <c r="AF1125" s="120"/>
      <c r="AG1125" s="120"/>
      <c r="AH1125" s="120"/>
    </row>
    <row r="1126" spans="2:34" ht="15">
      <c r="B1126" s="154"/>
      <c r="C1126" s="128" t="s">
        <v>2112</v>
      </c>
      <c r="D1126" s="120"/>
      <c r="E1126" s="215"/>
      <c r="F1126" s="215"/>
      <c r="G1126" s="215"/>
      <c r="H1126" s="115">
        <f t="shared" si="181"/>
        <v>1300</v>
      </c>
      <c r="I1126" s="115">
        <f t="shared" si="179"/>
        <v>1300</v>
      </c>
      <c r="J1126" s="115">
        <f t="shared" si="180"/>
        <v>1300</v>
      </c>
      <c r="K1126" s="115">
        <f t="shared" si="178"/>
        <v>1300</v>
      </c>
      <c r="L1126" s="115">
        <f t="shared" si="177"/>
        <v>1300</v>
      </c>
      <c r="M1126" s="215"/>
      <c r="N1126" s="215"/>
      <c r="O1126" s="215"/>
      <c r="P1126" s="215"/>
      <c r="Q1126" s="216"/>
      <c r="R1126" s="216"/>
      <c r="S1126" s="216"/>
      <c r="T1126" s="216">
        <v>1300</v>
      </c>
      <c r="U1126" s="216"/>
      <c r="V1126" s="216"/>
      <c r="W1126" s="216"/>
      <c r="X1126" s="216"/>
      <c r="Y1126" s="216"/>
      <c r="Z1126" s="216"/>
      <c r="AA1126" s="216"/>
      <c r="AB1126" s="216"/>
      <c r="AC1126" s="229"/>
      <c r="AD1126" s="172"/>
      <c r="AE1126" s="162"/>
      <c r="AF1126" s="120"/>
      <c r="AG1126" s="120"/>
      <c r="AH1126" s="120"/>
    </row>
    <row r="1127" spans="2:34" ht="15">
      <c r="B1127" s="154"/>
      <c r="C1127" s="128" t="s">
        <v>2113</v>
      </c>
      <c r="E1127" s="115"/>
      <c r="F1127" s="115"/>
      <c r="G1127" s="115"/>
      <c r="H1127" s="115">
        <f t="shared" si="181"/>
        <v>7000</v>
      </c>
      <c r="I1127" s="115">
        <f t="shared" si="179"/>
        <v>7000</v>
      </c>
      <c r="J1127" s="115">
        <f t="shared" si="180"/>
        <v>7000</v>
      </c>
      <c r="K1127" s="115">
        <f t="shared" si="178"/>
        <v>7000</v>
      </c>
      <c r="L1127" s="115">
        <f t="shared" si="177"/>
        <v>7000</v>
      </c>
      <c r="M1127" s="115"/>
      <c r="N1127" s="115"/>
      <c r="O1127" s="115"/>
      <c r="P1127" s="115"/>
      <c r="Q1127" s="116"/>
      <c r="R1127" s="116"/>
      <c r="S1127" s="116"/>
      <c r="T1127" s="116">
        <v>7000</v>
      </c>
      <c r="U1127" s="116"/>
      <c r="V1127" s="116"/>
      <c r="W1127" s="116"/>
      <c r="X1127" s="116"/>
      <c r="Y1127" s="116"/>
      <c r="Z1127" s="116"/>
      <c r="AA1127" s="116"/>
      <c r="AB1127" s="116"/>
      <c r="AC1127" s="115"/>
      <c r="AD1127" s="172"/>
      <c r="AE1127" s="162"/>
      <c r="AF1127" s="120"/>
      <c r="AG1127" s="120"/>
      <c r="AH1127" s="120"/>
    </row>
    <row r="1128" spans="2:34" ht="15">
      <c r="B1128" s="154"/>
      <c r="C1128" s="128" t="s">
        <v>2114</v>
      </c>
      <c r="D1128" s="128"/>
      <c r="E1128" s="139"/>
      <c r="F1128" s="139"/>
      <c r="G1128" s="139"/>
      <c r="H1128" s="115">
        <f t="shared" si="181"/>
        <v>73.19</v>
      </c>
      <c r="I1128" s="115">
        <f t="shared" si="179"/>
        <v>73.19</v>
      </c>
      <c r="J1128" s="115">
        <f t="shared" si="180"/>
        <v>73.19</v>
      </c>
      <c r="K1128" s="115">
        <f t="shared" si="178"/>
        <v>73.19</v>
      </c>
      <c r="L1128" s="115">
        <f t="shared" si="177"/>
        <v>73.19</v>
      </c>
      <c r="M1128" s="139"/>
      <c r="N1128" s="139"/>
      <c r="O1128" s="139"/>
      <c r="P1128" s="139"/>
      <c r="Q1128" s="214"/>
      <c r="R1128" s="214"/>
      <c r="S1128" s="214"/>
      <c r="T1128" s="214">
        <v>73.19</v>
      </c>
      <c r="U1128" s="214"/>
      <c r="V1128" s="214"/>
      <c r="W1128" s="214"/>
      <c r="X1128" s="214"/>
      <c r="Y1128" s="214"/>
      <c r="Z1128" s="214"/>
      <c r="AA1128" s="214"/>
      <c r="AB1128" s="214"/>
      <c r="AC1128" s="200"/>
      <c r="AD1128" s="172"/>
      <c r="AE1128" s="162"/>
      <c r="AF1128" s="120"/>
      <c r="AG1128" s="120"/>
      <c r="AH1128" s="120"/>
    </row>
    <row r="1129" spans="2:34" ht="15">
      <c r="B1129" s="154"/>
      <c r="C1129" s="128" t="s">
        <v>2115</v>
      </c>
      <c r="D1129" s="128"/>
      <c r="E1129" s="139"/>
      <c r="F1129" s="139"/>
      <c r="G1129" s="139"/>
      <c r="H1129" s="115">
        <f t="shared" si="181"/>
        <v>3500</v>
      </c>
      <c r="I1129" s="115">
        <f t="shared" si="179"/>
        <v>3500</v>
      </c>
      <c r="J1129" s="115">
        <f t="shared" si="180"/>
        <v>3500</v>
      </c>
      <c r="K1129" s="115">
        <f t="shared" si="178"/>
        <v>3500</v>
      </c>
      <c r="L1129" s="115">
        <f t="shared" si="177"/>
        <v>3500</v>
      </c>
      <c r="M1129" s="139"/>
      <c r="N1129" s="139"/>
      <c r="O1129" s="139"/>
      <c r="P1129" s="139"/>
      <c r="Q1129" s="214"/>
      <c r="R1129" s="214"/>
      <c r="S1129" s="214"/>
      <c r="T1129" s="214">
        <v>3500</v>
      </c>
      <c r="U1129" s="214"/>
      <c r="V1129" s="214"/>
      <c r="W1129" s="214"/>
      <c r="X1129" s="214"/>
      <c r="Y1129" s="214"/>
      <c r="Z1129" s="214"/>
      <c r="AA1129" s="214"/>
      <c r="AB1129" s="214"/>
      <c r="AC1129" s="200"/>
      <c r="AD1129" s="172"/>
      <c r="AE1129" s="162"/>
      <c r="AF1129" s="120"/>
      <c r="AG1129" s="120"/>
      <c r="AH1129" s="120"/>
    </row>
    <row r="1130" spans="2:34" ht="15">
      <c r="B1130" s="154"/>
      <c r="C1130" s="128" t="s">
        <v>2116</v>
      </c>
      <c r="D1130" s="128"/>
      <c r="E1130" s="139"/>
      <c r="F1130" s="139"/>
      <c r="G1130" s="139"/>
      <c r="H1130" s="115">
        <f t="shared" si="181"/>
        <v>600</v>
      </c>
      <c r="I1130" s="115">
        <f t="shared" si="179"/>
        <v>600</v>
      </c>
      <c r="J1130" s="115">
        <f t="shared" si="180"/>
        <v>600</v>
      </c>
      <c r="K1130" s="115">
        <f t="shared" si="178"/>
        <v>600</v>
      </c>
      <c r="L1130" s="115">
        <f t="shared" si="177"/>
        <v>600</v>
      </c>
      <c r="M1130" s="139"/>
      <c r="N1130" s="139"/>
      <c r="O1130" s="139"/>
      <c r="P1130" s="139"/>
      <c r="Q1130" s="214"/>
      <c r="R1130" s="214"/>
      <c r="S1130" s="214"/>
      <c r="T1130" s="214">
        <v>600</v>
      </c>
      <c r="U1130" s="214"/>
      <c r="V1130" s="214"/>
      <c r="W1130" s="214"/>
      <c r="X1130" s="214"/>
      <c r="Y1130" s="214"/>
      <c r="Z1130" s="214"/>
      <c r="AA1130" s="214"/>
      <c r="AB1130" s="214"/>
      <c r="AC1130" s="200"/>
      <c r="AD1130" s="172"/>
      <c r="AE1130" s="162"/>
      <c r="AF1130" s="120"/>
      <c r="AG1130" s="120"/>
      <c r="AH1130" s="120"/>
    </row>
    <row r="1131" spans="2:34" ht="15">
      <c r="B1131" s="154"/>
      <c r="C1131" s="128" t="s">
        <v>2117</v>
      </c>
      <c r="E1131" s="115"/>
      <c r="F1131" s="115"/>
      <c r="G1131" s="115"/>
      <c r="H1131" s="115">
        <f t="shared" si="181"/>
        <v>815</v>
      </c>
      <c r="I1131" s="115">
        <f t="shared" si="179"/>
        <v>815</v>
      </c>
      <c r="J1131" s="115">
        <f t="shared" si="180"/>
        <v>815</v>
      </c>
      <c r="K1131" s="115">
        <f t="shared" si="178"/>
        <v>815</v>
      </c>
      <c r="L1131" s="115">
        <f t="shared" si="177"/>
        <v>815</v>
      </c>
      <c r="M1131" s="115"/>
      <c r="N1131" s="115"/>
      <c r="O1131" s="115"/>
      <c r="P1131" s="115"/>
      <c r="Q1131" s="116"/>
      <c r="R1131" s="116"/>
      <c r="S1131" s="116"/>
      <c r="T1131" s="116">
        <v>815</v>
      </c>
      <c r="U1131" s="116"/>
      <c r="V1131" s="116"/>
      <c r="W1131" s="116"/>
      <c r="X1131" s="116"/>
      <c r="Y1131" s="116"/>
      <c r="Z1131" s="116"/>
      <c r="AA1131" s="116"/>
      <c r="AB1131" s="116"/>
      <c r="AC1131" s="115"/>
      <c r="AD1131" s="172"/>
      <c r="AE1131" s="162"/>
      <c r="AF1131" s="120"/>
      <c r="AG1131" s="120"/>
      <c r="AH1131" s="120"/>
    </row>
    <row r="1132" spans="2:34" ht="15">
      <c r="B1132" s="154"/>
      <c r="C1132" s="128" t="s">
        <v>2118</v>
      </c>
      <c r="E1132" s="120"/>
      <c r="F1132" s="120"/>
      <c r="G1132" s="120"/>
      <c r="H1132" s="115">
        <f t="shared" si="181"/>
        <v>20000</v>
      </c>
      <c r="I1132" s="115">
        <f t="shared" si="179"/>
        <v>20000</v>
      </c>
      <c r="J1132" s="115">
        <f t="shared" si="180"/>
        <v>20000</v>
      </c>
      <c r="K1132" s="115">
        <f t="shared" si="178"/>
        <v>20000</v>
      </c>
      <c r="L1132" s="115">
        <f t="shared" si="177"/>
        <v>20000</v>
      </c>
      <c r="M1132" s="120"/>
      <c r="N1132" s="120"/>
      <c r="O1132" s="120"/>
      <c r="P1132" s="120"/>
      <c r="Q1132" s="116"/>
      <c r="R1132" s="116"/>
      <c r="S1132" s="116"/>
      <c r="T1132" s="116">
        <v>20000</v>
      </c>
      <c r="U1132" s="116"/>
      <c r="V1132" s="116"/>
      <c r="W1132" s="116"/>
      <c r="X1132" s="116"/>
      <c r="Y1132" s="116"/>
      <c r="Z1132" s="116"/>
      <c r="AA1132" s="116"/>
      <c r="AB1132" s="116"/>
      <c r="AC1132" s="115"/>
      <c r="AD1132" s="172"/>
      <c r="AE1132" s="162"/>
      <c r="AF1132" s="120"/>
      <c r="AG1132" s="120"/>
      <c r="AH1132" s="120"/>
    </row>
    <row r="1133" spans="2:34" ht="15">
      <c r="B1133" s="154"/>
      <c r="C1133" s="128" t="s">
        <v>2119</v>
      </c>
      <c r="E1133" s="120"/>
      <c r="F1133" s="120"/>
      <c r="G1133" s="120"/>
      <c r="H1133" s="115">
        <f t="shared" si="181"/>
        <v>100</v>
      </c>
      <c r="I1133" s="115">
        <f t="shared" si="179"/>
        <v>100</v>
      </c>
      <c r="J1133" s="115">
        <f t="shared" si="180"/>
        <v>100</v>
      </c>
      <c r="K1133" s="115">
        <f t="shared" si="178"/>
        <v>100</v>
      </c>
      <c r="L1133" s="115">
        <f t="shared" si="177"/>
        <v>100</v>
      </c>
      <c r="M1133" s="120"/>
      <c r="N1133" s="120"/>
      <c r="O1133" s="120"/>
      <c r="P1133" s="120"/>
      <c r="Q1133" s="116"/>
      <c r="R1133" s="116"/>
      <c r="S1133" s="116"/>
      <c r="T1133" s="116">
        <v>100</v>
      </c>
      <c r="U1133" s="116"/>
      <c r="V1133" s="116"/>
      <c r="W1133" s="116"/>
      <c r="X1133" s="116"/>
      <c r="Y1133" s="116"/>
      <c r="Z1133" s="116"/>
      <c r="AA1133" s="116"/>
      <c r="AB1133" s="116"/>
      <c r="AC1133" s="115"/>
      <c r="AD1133" s="172"/>
      <c r="AE1133" s="162"/>
      <c r="AF1133" s="120"/>
      <c r="AG1133" s="120"/>
      <c r="AH1133" s="120"/>
    </row>
    <row r="1134" spans="2:34" ht="15">
      <c r="B1134" s="154"/>
      <c r="C1134" s="128" t="s">
        <v>2120</v>
      </c>
      <c r="E1134" s="120"/>
      <c r="F1134" s="120"/>
      <c r="G1134" s="120"/>
      <c r="H1134" s="115">
        <f t="shared" si="181"/>
        <v>208.12</v>
      </c>
      <c r="I1134" s="115">
        <f t="shared" si="179"/>
        <v>208.12</v>
      </c>
      <c r="J1134" s="115">
        <f t="shared" si="180"/>
        <v>208.12</v>
      </c>
      <c r="K1134" s="115">
        <f t="shared" si="178"/>
        <v>208.12</v>
      </c>
      <c r="L1134" s="115">
        <f t="shared" si="177"/>
        <v>208.12</v>
      </c>
      <c r="M1134" s="120"/>
      <c r="N1134" s="120"/>
      <c r="O1134" s="120"/>
      <c r="P1134" s="120"/>
      <c r="Q1134" s="116"/>
      <c r="R1134" s="116"/>
      <c r="S1134" s="116"/>
      <c r="T1134" s="116">
        <v>208.12</v>
      </c>
      <c r="U1134" s="116"/>
      <c r="V1134" s="116"/>
      <c r="W1134" s="116"/>
      <c r="X1134" s="116"/>
      <c r="Y1134" s="116"/>
      <c r="Z1134" s="116"/>
      <c r="AA1134" s="116"/>
      <c r="AB1134" s="116"/>
      <c r="AC1134" s="115"/>
      <c r="AD1134" s="172"/>
      <c r="AE1134" s="162"/>
      <c r="AF1134" s="120"/>
      <c r="AG1134" s="120"/>
      <c r="AH1134" s="120"/>
    </row>
    <row r="1135" spans="2:34" ht="15">
      <c r="B1135" s="154"/>
      <c r="C1135" s="128" t="s">
        <v>2121</v>
      </c>
      <c r="D1135" s="128"/>
      <c r="E1135" s="139"/>
      <c r="F1135" s="139"/>
      <c r="G1135" s="139"/>
      <c r="H1135" s="115">
        <f t="shared" si="181"/>
        <v>425</v>
      </c>
      <c r="I1135" s="115">
        <f t="shared" si="179"/>
        <v>425</v>
      </c>
      <c r="J1135" s="115">
        <f t="shared" si="180"/>
        <v>425</v>
      </c>
      <c r="K1135" s="115">
        <f t="shared" si="178"/>
        <v>425</v>
      </c>
      <c r="L1135" s="115">
        <f t="shared" si="177"/>
        <v>425</v>
      </c>
      <c r="M1135" s="139"/>
      <c r="N1135" s="139"/>
      <c r="O1135" s="139"/>
      <c r="P1135" s="139"/>
      <c r="Q1135" s="214"/>
      <c r="R1135" s="214"/>
      <c r="S1135" s="214"/>
      <c r="T1135" s="214">
        <v>425</v>
      </c>
      <c r="U1135" s="214"/>
      <c r="V1135" s="214"/>
      <c r="W1135" s="214"/>
      <c r="X1135" s="214"/>
      <c r="Y1135" s="214"/>
      <c r="Z1135" s="214"/>
      <c r="AA1135" s="214"/>
      <c r="AB1135" s="214"/>
      <c r="AC1135" s="200"/>
      <c r="AD1135" s="172"/>
      <c r="AE1135" s="162"/>
      <c r="AF1135" s="120"/>
      <c r="AG1135" s="120"/>
      <c r="AH1135" s="120"/>
    </row>
    <row r="1136" spans="2:34" ht="15">
      <c r="B1136" s="154"/>
      <c r="C1136" s="128" t="s">
        <v>2122</v>
      </c>
      <c r="E1136" s="120"/>
      <c r="F1136" s="120"/>
      <c r="G1136" s="120"/>
      <c r="H1136" s="115">
        <f t="shared" si="181"/>
        <v>1580</v>
      </c>
      <c r="I1136" s="115">
        <f t="shared" si="179"/>
        <v>1580</v>
      </c>
      <c r="J1136" s="115">
        <f t="shared" si="180"/>
        <v>1580</v>
      </c>
      <c r="K1136" s="115">
        <f t="shared" si="178"/>
        <v>1580</v>
      </c>
      <c r="L1136" s="115">
        <f t="shared" si="177"/>
        <v>1580</v>
      </c>
      <c r="M1136" s="120"/>
      <c r="N1136" s="120"/>
      <c r="O1136" s="120"/>
      <c r="P1136" s="120"/>
      <c r="Q1136" s="116"/>
      <c r="R1136" s="116"/>
      <c r="S1136" s="116"/>
      <c r="T1136" s="116">
        <v>1580</v>
      </c>
      <c r="U1136" s="116"/>
      <c r="V1136" s="116"/>
      <c r="W1136" s="116"/>
      <c r="X1136" s="116"/>
      <c r="Y1136" s="116"/>
      <c r="Z1136" s="116"/>
      <c r="AA1136" s="116"/>
      <c r="AB1136" s="116"/>
      <c r="AC1136" s="115"/>
      <c r="AD1136" s="172"/>
      <c r="AE1136" s="162"/>
      <c r="AF1136" s="120"/>
      <c r="AG1136" s="120"/>
      <c r="AH1136" s="120"/>
    </row>
    <row r="1137" spans="1:41" ht="15">
      <c r="B1137" s="154"/>
      <c r="C1137" s="128" t="s">
        <v>2123</v>
      </c>
      <c r="D1137" s="128"/>
      <c r="E1137" s="139"/>
      <c r="F1137" s="139"/>
      <c r="G1137" s="139"/>
      <c r="H1137" s="115">
        <f t="shared" si="181"/>
        <v>200</v>
      </c>
      <c r="I1137" s="115">
        <f t="shared" si="179"/>
        <v>200</v>
      </c>
      <c r="J1137" s="115">
        <f t="shared" si="180"/>
        <v>200</v>
      </c>
      <c r="K1137" s="115">
        <f t="shared" si="178"/>
        <v>200</v>
      </c>
      <c r="L1137" s="115">
        <f t="shared" si="177"/>
        <v>200</v>
      </c>
      <c r="M1137" s="139"/>
      <c r="N1137" s="139"/>
      <c r="O1137" s="139"/>
      <c r="P1137" s="139"/>
      <c r="Q1137" s="214"/>
      <c r="R1137" s="214"/>
      <c r="S1137" s="214"/>
      <c r="T1137" s="214">
        <v>200</v>
      </c>
      <c r="U1137" s="214"/>
      <c r="V1137" s="214"/>
      <c r="W1137" s="214"/>
      <c r="X1137" s="214"/>
      <c r="Y1137" s="214"/>
      <c r="Z1137" s="214"/>
      <c r="AA1137" s="214"/>
      <c r="AB1137" s="214"/>
      <c r="AC1137" s="200"/>
      <c r="AD1137" s="172"/>
      <c r="AE1137" s="162"/>
      <c r="AF1137" s="120"/>
      <c r="AG1137" s="120"/>
      <c r="AH1137" s="120"/>
    </row>
    <row r="1138" spans="1:41" ht="15">
      <c r="B1138" s="154"/>
      <c r="C1138" s="128" t="s">
        <v>2124</v>
      </c>
      <c r="D1138" s="128"/>
      <c r="E1138" s="139"/>
      <c r="F1138" s="139"/>
      <c r="G1138" s="139"/>
      <c r="H1138" s="115">
        <f t="shared" si="181"/>
        <v>4000</v>
      </c>
      <c r="I1138" s="115">
        <f t="shared" si="179"/>
        <v>4000</v>
      </c>
      <c r="J1138" s="115">
        <f t="shared" si="180"/>
        <v>4000</v>
      </c>
      <c r="K1138" s="115">
        <f t="shared" si="178"/>
        <v>4000</v>
      </c>
      <c r="L1138" s="115">
        <f t="shared" si="177"/>
        <v>4000</v>
      </c>
      <c r="M1138" s="139"/>
      <c r="N1138" s="139"/>
      <c r="O1138" s="139"/>
      <c r="P1138" s="139"/>
      <c r="Q1138" s="214"/>
      <c r="R1138" s="214"/>
      <c r="S1138" s="214"/>
      <c r="T1138" s="214">
        <v>4000</v>
      </c>
      <c r="U1138" s="214"/>
      <c r="V1138" s="214"/>
      <c r="W1138" s="214"/>
      <c r="X1138" s="214"/>
      <c r="Y1138" s="214"/>
      <c r="Z1138" s="214"/>
      <c r="AA1138" s="214"/>
      <c r="AB1138" s="214"/>
      <c r="AC1138" s="200"/>
      <c r="AD1138" s="172"/>
      <c r="AE1138" s="162">
        <v>17000</v>
      </c>
      <c r="AF1138" s="120"/>
      <c r="AG1138" s="120"/>
      <c r="AH1138" s="120"/>
    </row>
    <row r="1139" spans="1:41" ht="15">
      <c r="B1139" s="154"/>
      <c r="C1139" s="128" t="s">
        <v>2125</v>
      </c>
      <c r="D1139" s="120"/>
      <c r="E1139" s="215"/>
      <c r="F1139" s="215"/>
      <c r="G1139" s="215"/>
      <c r="H1139" s="115">
        <f t="shared" si="181"/>
        <v>9300</v>
      </c>
      <c r="I1139" s="115">
        <f t="shared" si="179"/>
        <v>9300</v>
      </c>
      <c r="J1139" s="115">
        <f t="shared" si="180"/>
        <v>9300</v>
      </c>
      <c r="K1139" s="115">
        <f t="shared" si="178"/>
        <v>9300</v>
      </c>
      <c r="L1139" s="115">
        <f t="shared" si="177"/>
        <v>9300</v>
      </c>
      <c r="M1139" s="215"/>
      <c r="N1139" s="215"/>
      <c r="O1139" s="215"/>
      <c r="P1139" s="215"/>
      <c r="Q1139" s="216"/>
      <c r="R1139" s="216"/>
      <c r="S1139" s="216"/>
      <c r="T1139" s="216">
        <f>9300+27000+10000-17000-20000</f>
        <v>9300</v>
      </c>
      <c r="U1139" s="216"/>
      <c r="V1139" s="216"/>
      <c r="W1139" s="216"/>
      <c r="X1139" s="216"/>
      <c r="Y1139" s="216"/>
      <c r="Z1139" s="216"/>
      <c r="AA1139" s="216"/>
      <c r="AB1139" s="216"/>
      <c r="AC1139" s="229"/>
      <c r="AD1139" s="172"/>
      <c r="AE1139" s="162"/>
      <c r="AF1139" s="120"/>
      <c r="AG1139" s="120"/>
      <c r="AH1139" s="120"/>
    </row>
    <row r="1140" spans="1:41" ht="15.75" thickBot="1">
      <c r="B1140" s="154"/>
      <c r="C1140" s="126" t="s">
        <v>1114</v>
      </c>
      <c r="E1140" s="204"/>
      <c r="F1140" s="204"/>
      <c r="G1140" s="204"/>
      <c r="H1140" s="204">
        <f>SUM(H889:H1139)</f>
        <v>1426138.36</v>
      </c>
      <c r="I1140" s="204">
        <f>SUM(I888:I1139)</f>
        <v>1447728.36</v>
      </c>
      <c r="J1140" s="204">
        <f>SUM(J888:J1139)</f>
        <v>1471449.23</v>
      </c>
      <c r="K1140" s="204">
        <f>SUM(K888:K1139)</f>
        <v>1503306.34</v>
      </c>
      <c r="L1140" s="204">
        <f>SUM(L888:L1139)</f>
        <v>1578250.34</v>
      </c>
      <c r="M1140" s="204"/>
      <c r="N1140" s="204"/>
      <c r="O1140" s="204"/>
      <c r="P1140" s="204"/>
      <c r="Q1140" s="119"/>
      <c r="R1140" s="119"/>
      <c r="S1140" s="119"/>
      <c r="T1140" s="119">
        <f>SUM(T889:T1139)</f>
        <v>1426138.36</v>
      </c>
      <c r="U1140" s="119">
        <f>SUM(U889:U1139)</f>
        <v>21590</v>
      </c>
      <c r="V1140" s="119"/>
      <c r="W1140" s="119"/>
      <c r="X1140" s="119"/>
      <c r="Y1140" s="119"/>
      <c r="Z1140" s="119"/>
      <c r="AA1140" s="119"/>
      <c r="AB1140" s="119"/>
      <c r="AC1140" s="172"/>
      <c r="AD1140" s="135" t="e">
        <f>+#REF!-[1]TB!J186</f>
        <v>#REF!</v>
      </c>
      <c r="AE1140" s="162"/>
      <c r="AF1140" s="120"/>
      <c r="AG1140" s="120"/>
      <c r="AH1140" s="120"/>
    </row>
    <row r="1141" spans="1:41" ht="15.75" thickTop="1">
      <c r="B1141" s="154"/>
      <c r="E1141" s="115"/>
      <c r="F1141" s="115"/>
      <c r="G1141" s="115"/>
      <c r="H1141" s="115"/>
      <c r="I1141" s="115"/>
      <c r="J1141" s="115"/>
      <c r="K1141" s="115"/>
      <c r="L1141" s="115"/>
      <c r="M1141" s="115"/>
      <c r="N1141" s="115"/>
      <c r="O1141" s="115"/>
      <c r="P1141" s="115"/>
      <c r="Q1141" s="116"/>
      <c r="R1141" s="116"/>
      <c r="S1141" s="116"/>
      <c r="T1141" s="116"/>
      <c r="U1141" s="116"/>
      <c r="V1141" s="116"/>
      <c r="W1141" s="116"/>
      <c r="X1141" s="116"/>
      <c r="Y1141" s="116"/>
      <c r="Z1141" s="116"/>
      <c r="AA1141" s="116"/>
      <c r="AB1141" s="116"/>
      <c r="AC1141" s="115"/>
      <c r="AD1141" s="172"/>
      <c r="AE1141" s="162"/>
      <c r="AF1141" s="120"/>
      <c r="AG1141" s="120"/>
      <c r="AH1141" s="120"/>
    </row>
    <row r="1142" spans="1:41" ht="15">
      <c r="A1142" s="113" t="s">
        <v>2126</v>
      </c>
      <c r="B1142" s="113"/>
      <c r="C1142" s="113"/>
      <c r="D1142" s="128"/>
      <c r="E1142" s="117"/>
      <c r="F1142" s="117"/>
      <c r="G1142" s="117"/>
      <c r="H1142" s="117"/>
      <c r="I1142" s="117"/>
      <c r="J1142" s="117"/>
      <c r="K1142" s="117"/>
      <c r="L1142" s="117"/>
      <c r="M1142" s="117"/>
      <c r="N1142" s="117"/>
      <c r="O1142" s="117"/>
      <c r="P1142" s="117"/>
      <c r="Q1142" s="125"/>
      <c r="R1142" s="125"/>
      <c r="S1142" s="125"/>
      <c r="T1142" s="125"/>
      <c r="U1142" s="125"/>
      <c r="V1142" s="125"/>
      <c r="W1142" s="125"/>
      <c r="X1142" s="125"/>
      <c r="Y1142" s="125"/>
      <c r="Z1142" s="125"/>
      <c r="AA1142" s="125"/>
      <c r="AB1142" s="125"/>
      <c r="AC1142" s="124"/>
      <c r="AD1142" s="178"/>
      <c r="AF1142" s="120"/>
      <c r="AG1142" s="120"/>
      <c r="AH1142" s="120"/>
    </row>
    <row r="1143" spans="1:41" ht="15">
      <c r="A1143" s="113"/>
      <c r="B1143" s="113"/>
      <c r="C1143" s="122" t="s">
        <v>2127</v>
      </c>
      <c r="D1143" s="128"/>
      <c r="E1143" s="117"/>
      <c r="F1143" s="117"/>
      <c r="G1143" s="117"/>
      <c r="H1143" s="115">
        <f t="shared" ref="H1143:H1210" si="182">Q1143+R1143+S1143+T1143</f>
        <v>5500</v>
      </c>
      <c r="I1143" s="115">
        <f t="shared" ref="I1143:I1210" si="183">Q1143+R1143+S1143+T1143+U1143</f>
        <v>5500</v>
      </c>
      <c r="J1143" s="115">
        <f t="shared" ref="J1143:J1210" si="184">Q1143+R1143+S1143+T1143+U1143+V1143</f>
        <v>5500</v>
      </c>
      <c r="K1143" s="115">
        <f t="shared" ref="K1143:K1210" si="185">Q1143+R1143+S1143+T1143+U1143+V1143+W1143</f>
        <v>5500</v>
      </c>
      <c r="L1143" s="115">
        <f t="shared" ref="L1143:L1208" si="186">Q1143+R1143+S1143+T1143+U1143+V1143+W1143+X1143</f>
        <v>5500</v>
      </c>
      <c r="M1143" s="117"/>
      <c r="N1143" s="117"/>
      <c r="O1143" s="117"/>
      <c r="P1143" s="117"/>
      <c r="Q1143" s="125"/>
      <c r="R1143" s="125"/>
      <c r="S1143" s="125"/>
      <c r="T1143" s="125">
        <f>5500</f>
        <v>5500</v>
      </c>
      <c r="U1143" s="125"/>
      <c r="V1143" s="125"/>
      <c r="W1143" s="125"/>
      <c r="X1143" s="125"/>
      <c r="Y1143" s="125"/>
      <c r="Z1143" s="125"/>
      <c r="AA1143" s="125"/>
      <c r="AB1143" s="125"/>
      <c r="AC1143" s="124"/>
      <c r="AD1143" s="178"/>
      <c r="AF1143" s="120"/>
      <c r="AG1143" s="120"/>
      <c r="AH1143" s="120"/>
    </row>
    <row r="1144" spans="1:41" ht="15">
      <c r="A1144" s="113"/>
      <c r="B1144" s="113"/>
      <c r="C1144" s="122" t="s">
        <v>2348</v>
      </c>
      <c r="D1144" s="128"/>
      <c r="E1144" s="117"/>
      <c r="F1144" s="117"/>
      <c r="G1144" s="117"/>
      <c r="H1144" s="115"/>
      <c r="I1144" s="115"/>
      <c r="J1144" s="115"/>
      <c r="K1144" s="115">
        <f t="shared" ref="K1144" si="187">Q1144+R1144+S1144+T1144+U1144+V1144+W1144</f>
        <v>0</v>
      </c>
      <c r="L1144" s="115">
        <f t="shared" ref="L1144" si="188">Q1144+R1144+S1144+T1144+U1144+V1144+W1144+X1144</f>
        <v>900</v>
      </c>
      <c r="M1144" s="117"/>
      <c r="N1144" s="117"/>
      <c r="O1144" s="117"/>
      <c r="P1144" s="117"/>
      <c r="Q1144" s="125"/>
      <c r="R1144" s="125"/>
      <c r="S1144" s="125"/>
      <c r="T1144" s="125"/>
      <c r="U1144" s="125"/>
      <c r="V1144" s="125"/>
      <c r="W1144" s="125"/>
      <c r="X1144" s="125">
        <v>900</v>
      </c>
      <c r="Y1144" s="125"/>
      <c r="Z1144" s="125"/>
      <c r="AA1144" s="125"/>
      <c r="AB1144" s="125"/>
      <c r="AC1144" s="124"/>
      <c r="AD1144" s="178"/>
      <c r="AF1144" s="120"/>
      <c r="AG1144" s="120"/>
      <c r="AH1144" s="120"/>
    </row>
    <row r="1145" spans="1:41" ht="15">
      <c r="A1145" s="113"/>
      <c r="B1145" s="113"/>
      <c r="C1145" s="122" t="s">
        <v>2128</v>
      </c>
      <c r="D1145" s="128"/>
      <c r="E1145" s="117"/>
      <c r="F1145" s="117"/>
      <c r="G1145" s="117"/>
      <c r="H1145" s="115">
        <f t="shared" si="182"/>
        <v>2240</v>
      </c>
      <c r="I1145" s="115">
        <f t="shared" si="183"/>
        <v>2240</v>
      </c>
      <c r="J1145" s="115">
        <f t="shared" si="184"/>
        <v>2240</v>
      </c>
      <c r="K1145" s="115">
        <f t="shared" si="185"/>
        <v>2240</v>
      </c>
      <c r="L1145" s="115">
        <f t="shared" si="186"/>
        <v>2240</v>
      </c>
      <c r="M1145" s="117"/>
      <c r="N1145" s="117"/>
      <c r="O1145" s="117"/>
      <c r="P1145" s="117"/>
      <c r="Q1145" s="125"/>
      <c r="R1145" s="125"/>
      <c r="S1145" s="125"/>
      <c r="T1145" s="125">
        <f>110-110+220+220+220-740+820-550+550+300+300+300+300+300</f>
        <v>2240</v>
      </c>
      <c r="U1145" s="125"/>
      <c r="V1145" s="125"/>
      <c r="W1145" s="125"/>
      <c r="X1145" s="125"/>
      <c r="Y1145" s="125"/>
      <c r="Z1145" s="125"/>
      <c r="AA1145" s="125"/>
      <c r="AB1145" s="125"/>
      <c r="AC1145" s="124"/>
      <c r="AD1145" s="178"/>
      <c r="AF1145" s="120" t="e">
        <f>#REF!-AE1138</f>
        <v>#REF!</v>
      </c>
      <c r="AG1145" s="120"/>
      <c r="AH1145" s="120"/>
    </row>
    <row r="1146" spans="1:41" ht="15">
      <c r="A1146" s="154"/>
      <c r="B1146" s="113"/>
      <c r="C1146" s="123" t="s">
        <v>2129</v>
      </c>
      <c r="D1146" s="123"/>
      <c r="E1146" s="124"/>
      <c r="F1146" s="124"/>
      <c r="G1146" s="124"/>
      <c r="H1146" s="115">
        <f t="shared" si="182"/>
        <v>2000</v>
      </c>
      <c r="I1146" s="115">
        <f t="shared" si="183"/>
        <v>2000</v>
      </c>
      <c r="J1146" s="115">
        <f t="shared" si="184"/>
        <v>2000</v>
      </c>
      <c r="K1146" s="115">
        <f t="shared" si="185"/>
        <v>2000</v>
      </c>
      <c r="L1146" s="115">
        <f t="shared" si="186"/>
        <v>2000</v>
      </c>
      <c r="M1146" s="124"/>
      <c r="N1146" s="124"/>
      <c r="O1146" s="124"/>
      <c r="P1146" s="124"/>
      <c r="Q1146" s="125"/>
      <c r="R1146" s="125"/>
      <c r="S1146" s="125"/>
      <c r="T1146" s="125">
        <f>2000</f>
        <v>2000</v>
      </c>
      <c r="U1146" s="125"/>
      <c r="V1146" s="125"/>
      <c r="W1146" s="125"/>
      <c r="X1146" s="125"/>
      <c r="Y1146" s="125"/>
      <c r="Z1146" s="125"/>
      <c r="AA1146" s="125"/>
      <c r="AB1146" s="125"/>
      <c r="AC1146" s="124"/>
      <c r="AD1146" s="117"/>
      <c r="AF1146" s="120"/>
      <c r="AG1146" s="120"/>
      <c r="AH1146" s="120"/>
    </row>
    <row r="1147" spans="1:41" ht="15">
      <c r="A1147" s="154"/>
      <c r="B1147" s="113"/>
      <c r="C1147" s="128" t="s">
        <v>2130</v>
      </c>
      <c r="D1147" s="128"/>
      <c r="E1147" s="117"/>
      <c r="F1147" s="117"/>
      <c r="G1147" s="117"/>
      <c r="H1147" s="115">
        <f t="shared" si="182"/>
        <v>1606.78</v>
      </c>
      <c r="I1147" s="115">
        <f t="shared" si="183"/>
        <v>1606.78</v>
      </c>
      <c r="J1147" s="115">
        <f t="shared" si="184"/>
        <v>1606.78</v>
      </c>
      <c r="K1147" s="115">
        <f t="shared" si="185"/>
        <v>1606.78</v>
      </c>
      <c r="L1147" s="115">
        <f t="shared" si="186"/>
        <v>1606.78</v>
      </c>
      <c r="M1147" s="117"/>
      <c r="N1147" s="117"/>
      <c r="O1147" s="117"/>
      <c r="P1147" s="117"/>
      <c r="Q1147" s="125"/>
      <c r="R1147" s="125"/>
      <c r="S1147" s="125"/>
      <c r="T1147" s="125">
        <v>1606.78</v>
      </c>
      <c r="U1147" s="125"/>
      <c r="V1147" s="125"/>
      <c r="W1147" s="125"/>
      <c r="X1147" s="125"/>
      <c r="Y1147" s="125"/>
      <c r="Z1147" s="125"/>
      <c r="AA1147" s="125"/>
      <c r="AB1147" s="125"/>
      <c r="AC1147" s="124"/>
      <c r="AD1147" s="117"/>
      <c r="AF1147" s="120"/>
      <c r="AG1147" s="120"/>
      <c r="AH1147" s="120"/>
    </row>
    <row r="1148" spans="1:41" ht="15">
      <c r="A1148" s="154"/>
      <c r="B1148" s="113"/>
      <c r="C1148" s="123" t="s">
        <v>2131</v>
      </c>
      <c r="D1148" s="123"/>
      <c r="E1148" s="117"/>
      <c r="F1148" s="117"/>
      <c r="G1148" s="117"/>
      <c r="H1148" s="115">
        <f t="shared" si="182"/>
        <v>1157046.2500000002</v>
      </c>
      <c r="I1148" s="115">
        <f t="shared" si="183"/>
        <v>1194400.0700000003</v>
      </c>
      <c r="J1148" s="115">
        <f t="shared" si="184"/>
        <v>1205239.5300000003</v>
      </c>
      <c r="K1148" s="115">
        <f t="shared" si="185"/>
        <v>1226001.4100000001</v>
      </c>
      <c r="L1148" s="115">
        <f t="shared" si="186"/>
        <v>1244012.7000000002</v>
      </c>
      <c r="M1148" s="117"/>
      <c r="N1148" s="117"/>
      <c r="O1148" s="117"/>
      <c r="P1148" s="117"/>
      <c r="Q1148" s="125"/>
      <c r="R1148" s="125"/>
      <c r="S1148" s="125"/>
      <c r="T1148" s="125">
        <f>394043.28+42542.75+150+49004.45+19230.06+150+17536.33+9334.36+32906.85+17172.98+13081.8+12856.17+5778.05+15480.13+11064.55+23085.21+27484.99+57726.03+14243.92+28831.04+26674.04+30278.49+23761.47+21427.08+16778.52+150-150+7584.64+150+75910.17-150+150+108273.48-150-150+150+7071.28+15781.48+31802.65</f>
        <v>1157046.2500000002</v>
      </c>
      <c r="U1148" s="125">
        <v>37353.82</v>
      </c>
      <c r="V1148" s="125">
        <v>10839.46</v>
      </c>
      <c r="W1148" s="125">
        <v>20761.879999999997</v>
      </c>
      <c r="X1148" s="125">
        <v>18011.29</v>
      </c>
      <c r="Y1148" s="125"/>
      <c r="Z1148" s="125"/>
      <c r="AA1148" s="125"/>
      <c r="AB1148" s="125"/>
      <c r="AC1148" s="124"/>
      <c r="AD1148" s="130"/>
      <c r="AI1148" s="115"/>
      <c r="AJ1148" s="137"/>
      <c r="AK1148" s="120"/>
      <c r="AL1148" s="120"/>
      <c r="AN1148" s="120"/>
      <c r="AO1148" s="137"/>
    </row>
    <row r="1149" spans="1:41" ht="15">
      <c r="A1149" s="154"/>
      <c r="B1149" s="113"/>
      <c r="C1149" s="123" t="s">
        <v>2132</v>
      </c>
      <c r="D1149" s="123"/>
      <c r="E1149" s="117"/>
      <c r="F1149" s="117"/>
      <c r="G1149" s="117"/>
      <c r="H1149" s="115">
        <f t="shared" si="182"/>
        <v>250000</v>
      </c>
      <c r="I1149" s="115">
        <f t="shared" si="183"/>
        <v>250000</v>
      </c>
      <c r="J1149" s="115">
        <f t="shared" si="184"/>
        <v>250000</v>
      </c>
      <c r="K1149" s="115">
        <f t="shared" si="185"/>
        <v>250000</v>
      </c>
      <c r="L1149" s="115">
        <f t="shared" si="186"/>
        <v>250000</v>
      </c>
      <c r="M1149" s="117"/>
      <c r="N1149" s="117"/>
      <c r="O1149" s="117"/>
      <c r="P1149" s="117"/>
      <c r="Q1149" s="125"/>
      <c r="R1149" s="125"/>
      <c r="S1149" s="125"/>
      <c r="T1149" s="125">
        <v>250000</v>
      </c>
      <c r="U1149" s="125"/>
      <c r="V1149" s="125"/>
      <c r="W1149" s="125"/>
      <c r="X1149" s="125"/>
      <c r="Y1149" s="125"/>
      <c r="Z1149" s="125"/>
      <c r="AA1149" s="125"/>
      <c r="AB1149" s="125"/>
      <c r="AC1149" s="124"/>
      <c r="AD1149" s="130"/>
      <c r="AI1149" s="115"/>
      <c r="AJ1149" s="137"/>
      <c r="AK1149" s="120"/>
      <c r="AL1149" s="120"/>
      <c r="AN1149" s="120"/>
      <c r="AO1149" s="137"/>
    </row>
    <row r="1150" spans="1:41" ht="15">
      <c r="A1150" s="154"/>
      <c r="B1150" s="113"/>
      <c r="C1150" s="123" t="s">
        <v>2133</v>
      </c>
      <c r="D1150" s="123"/>
      <c r="E1150" s="124"/>
      <c r="F1150" s="124"/>
      <c r="G1150" s="124"/>
      <c r="H1150" s="115">
        <f t="shared" si="182"/>
        <v>410536.12</v>
      </c>
      <c r="I1150" s="115">
        <f t="shared" si="183"/>
        <v>390535.81</v>
      </c>
      <c r="J1150" s="115">
        <f t="shared" si="184"/>
        <v>391335.81</v>
      </c>
      <c r="K1150" s="115">
        <f t="shared" si="185"/>
        <v>435335.81</v>
      </c>
      <c r="L1150" s="115">
        <f t="shared" si="186"/>
        <v>435335.81</v>
      </c>
      <c r="M1150" s="124"/>
      <c r="N1150" s="124"/>
      <c r="O1150" s="124"/>
      <c r="P1150" s="124"/>
      <c r="Q1150" s="125"/>
      <c r="R1150" s="125"/>
      <c r="S1150" s="125"/>
      <c r="T1150" s="125">
        <f>198473.12-103000+134000+110000+56000+50000-142800-22500+22000-21741-3510+100000-127170+100000+58000-2000+56000-13845.5-45000+4000+50000+2000-136625-26997-26250-34500-56850-2430+50000-108566.5-2000+218000-1500+164000-84652</f>
        <v>410536.12</v>
      </c>
      <c r="U1150" s="125">
        <f>-80000.31+60000</f>
        <v>-20000.309999999998</v>
      </c>
      <c r="V1150" s="125">
        <f>8000-7200</f>
        <v>800</v>
      </c>
      <c r="W1150" s="125">
        <f>-6000+50000</f>
        <v>44000</v>
      </c>
      <c r="X1150" s="125"/>
      <c r="Y1150" s="125"/>
      <c r="Z1150" s="125"/>
      <c r="AA1150" s="125"/>
      <c r="AB1150" s="125"/>
      <c r="AC1150" s="124"/>
      <c r="AD1150" s="130"/>
      <c r="AI1150" s="115"/>
      <c r="AJ1150" s="219"/>
      <c r="AK1150" s="120"/>
      <c r="AN1150" s="120"/>
      <c r="AO1150" s="219"/>
    </row>
    <row r="1151" spans="1:41" ht="15">
      <c r="A1151" s="154"/>
      <c r="B1151" s="113"/>
      <c r="C1151" s="123" t="s">
        <v>2134</v>
      </c>
      <c r="D1151" s="123"/>
      <c r="E1151" s="130"/>
      <c r="F1151" s="130"/>
      <c r="G1151" s="130"/>
      <c r="H1151" s="115">
        <f t="shared" si="182"/>
        <v>6453.27</v>
      </c>
      <c r="I1151" s="115">
        <f t="shared" si="183"/>
        <v>6453.27</v>
      </c>
      <c r="J1151" s="115">
        <f t="shared" si="184"/>
        <v>6453.27</v>
      </c>
      <c r="K1151" s="115">
        <f t="shared" si="185"/>
        <v>6453.27</v>
      </c>
      <c r="L1151" s="115">
        <f t="shared" si="186"/>
        <v>6453.27</v>
      </c>
      <c r="M1151" s="130"/>
      <c r="N1151" s="130"/>
      <c r="O1151" s="130"/>
      <c r="P1151" s="130"/>
      <c r="Q1151" s="131"/>
      <c r="R1151" s="131"/>
      <c r="S1151" s="131"/>
      <c r="T1151" s="131">
        <f>6453.27</f>
        <v>6453.27</v>
      </c>
      <c r="U1151" s="131"/>
      <c r="V1151" s="131"/>
      <c r="W1151" s="131"/>
      <c r="X1151" s="131"/>
      <c r="Y1151" s="131"/>
      <c r="Z1151" s="131"/>
      <c r="AA1151" s="131"/>
      <c r="AB1151" s="131"/>
      <c r="AC1151" s="132"/>
      <c r="AD1151" s="130"/>
      <c r="AI1151" s="115"/>
      <c r="AJ1151" s="219"/>
      <c r="AN1151" s="120"/>
      <c r="AO1151" s="219"/>
    </row>
    <row r="1152" spans="1:41" ht="15">
      <c r="A1152" s="154"/>
      <c r="B1152" s="113"/>
      <c r="C1152" s="123" t="s">
        <v>2135</v>
      </c>
      <c r="D1152" s="123"/>
      <c r="E1152" s="130"/>
      <c r="F1152" s="130"/>
      <c r="G1152" s="130"/>
      <c r="H1152" s="115">
        <f t="shared" si="182"/>
        <v>12450</v>
      </c>
      <c r="I1152" s="115">
        <f t="shared" si="183"/>
        <v>12450</v>
      </c>
      <c r="J1152" s="115">
        <f t="shared" si="184"/>
        <v>12450</v>
      </c>
      <c r="K1152" s="115">
        <f t="shared" si="185"/>
        <v>12450</v>
      </c>
      <c r="L1152" s="115">
        <f t="shared" si="186"/>
        <v>12450</v>
      </c>
      <c r="M1152" s="130"/>
      <c r="N1152" s="130"/>
      <c r="O1152" s="130"/>
      <c r="P1152" s="130"/>
      <c r="Q1152" s="131"/>
      <c r="R1152" s="131"/>
      <c r="S1152" s="131"/>
      <c r="T1152" s="131">
        <f>1350+11100</f>
        <v>12450</v>
      </c>
      <c r="U1152" s="131"/>
      <c r="V1152" s="131"/>
      <c r="W1152" s="131"/>
      <c r="X1152" s="131"/>
      <c r="Y1152" s="131"/>
      <c r="Z1152" s="131"/>
      <c r="AA1152" s="131"/>
      <c r="AB1152" s="131"/>
      <c r="AC1152" s="132"/>
      <c r="AD1152" s="130"/>
      <c r="AI1152" s="115"/>
      <c r="AJ1152" s="219"/>
      <c r="AN1152" s="120"/>
      <c r="AO1152" s="219"/>
    </row>
    <row r="1153" spans="1:42" ht="15">
      <c r="A1153" s="154"/>
      <c r="B1153" s="113"/>
      <c r="C1153" s="123" t="s">
        <v>2136</v>
      </c>
      <c r="D1153" s="123"/>
      <c r="E1153" s="117"/>
      <c r="F1153" s="117"/>
      <c r="G1153" s="117"/>
      <c r="H1153" s="115">
        <f t="shared" si="182"/>
        <v>1530308.8200000005</v>
      </c>
      <c r="I1153" s="115">
        <f t="shared" si="183"/>
        <v>1547589.1200000006</v>
      </c>
      <c r="J1153" s="115">
        <f t="shared" si="184"/>
        <v>1629582.4700000007</v>
      </c>
      <c r="K1153" s="115">
        <f t="shared" si="185"/>
        <v>1625248.9700000007</v>
      </c>
      <c r="L1153" s="115">
        <f t="shared" si="186"/>
        <v>1627550.2200000007</v>
      </c>
      <c r="M1153" s="117"/>
      <c r="N1153" s="117"/>
      <c r="O1153" s="117"/>
      <c r="P1153" s="117"/>
      <c r="Q1153" s="125"/>
      <c r="R1153" s="125"/>
      <c r="S1153" s="125"/>
      <c r="T1153" s="125">
        <f>1807984.69+243699.1-12142.2-219780.5-10500+264283.3-2970+127463.4+157373.35-218850.67+359536.32-38520+144358.25-74271.16+187274.9-148690.45+175053.5-25581.65+242360.15+413743.3-22540-1842219.28+331644.74-280997.8-113920.46+293631.9+0.1-775.5-89000-416314.76+233326.4-259643+167561.75-83468.5+181665.5-57352.4+373516.9-211722-9000-20000+206817.5-49981.64+352990.45-69100-104634.94+297797.5-247956.06+314076.2+219965-297125.55+202826.75-4976.15-59985.86-29400-29400-29400-77993.65-49961.7-64967.82-29400-31280-294598+250916.75-74941.42+151741-107605-84640-20000-35420-35650-29400-59999.26+194604-95662.5-61640+84795-164472-40200+101606-32000-39000+105237-104390-44100</f>
        <v>1530308.8200000005</v>
      </c>
      <c r="U1153" s="125">
        <f>-110728.7+167159-39150</f>
        <v>17280.300000000003</v>
      </c>
      <c r="V1153" s="125">
        <f>275685.25-151241.9-42450</f>
        <v>81993.350000000006</v>
      </c>
      <c r="W1153" s="125">
        <f>-297021.3+334537.8-41850</f>
        <v>-4333.5</v>
      </c>
      <c r="X1153" s="125">
        <f>-33300-41400+77001.25</f>
        <v>2301.25</v>
      </c>
      <c r="Y1153" s="125"/>
      <c r="Z1153" s="125"/>
      <c r="AA1153" s="125"/>
      <c r="AB1153" s="125"/>
      <c r="AC1153" s="124"/>
      <c r="AD1153" s="130"/>
      <c r="AF1153" s="115"/>
      <c r="AG1153" s="115"/>
      <c r="AH1153" s="127"/>
      <c r="AI1153" s="115"/>
      <c r="AJ1153" s="219"/>
      <c r="AN1153" s="120"/>
      <c r="AO1153" s="219"/>
    </row>
    <row r="1154" spans="1:42" ht="15">
      <c r="A1154" s="154"/>
      <c r="B1154" s="113"/>
      <c r="C1154" s="123" t="s">
        <v>2137</v>
      </c>
      <c r="D1154" s="123"/>
      <c r="E1154" s="117"/>
      <c r="F1154" s="117"/>
      <c r="G1154" s="117"/>
      <c r="H1154" s="115">
        <f t="shared" si="182"/>
        <v>161271</v>
      </c>
      <c r="I1154" s="115">
        <f t="shared" si="183"/>
        <v>218291</v>
      </c>
      <c r="J1154" s="115">
        <f t="shared" si="184"/>
        <v>227350</v>
      </c>
      <c r="K1154" s="115">
        <f t="shared" si="185"/>
        <v>234547</v>
      </c>
      <c r="L1154" s="115">
        <f t="shared" si="186"/>
        <v>461021.4</v>
      </c>
      <c r="M1154" s="117"/>
      <c r="N1154" s="117"/>
      <c r="O1154" s="117"/>
      <c r="P1154" s="117"/>
      <c r="Q1154" s="125"/>
      <c r="R1154" s="125"/>
      <c r="S1154" s="125"/>
      <c r="T1154" s="125">
        <f>13409+31606+23210+18725+42040+32281</f>
        <v>161271</v>
      </c>
      <c r="U1154" s="125">
        <v>57020</v>
      </c>
      <c r="V1154" s="125">
        <v>9059</v>
      </c>
      <c r="W1154" s="125">
        <v>7197</v>
      </c>
      <c r="X1154" s="125">
        <v>226474.4</v>
      </c>
      <c r="Y1154" s="125"/>
      <c r="Z1154" s="125"/>
      <c r="AA1154" s="125"/>
      <c r="AB1154" s="125"/>
      <c r="AC1154" s="124"/>
      <c r="AD1154" s="130"/>
      <c r="AF1154" s="115"/>
      <c r="AG1154" s="115"/>
      <c r="AH1154" s="127"/>
      <c r="AI1154" s="115"/>
      <c r="AJ1154" s="219"/>
      <c r="AN1154" s="120"/>
      <c r="AO1154" s="219"/>
    </row>
    <row r="1155" spans="1:42" ht="15">
      <c r="A1155" s="154"/>
      <c r="B1155" s="113"/>
      <c r="C1155" s="123" t="s">
        <v>2138</v>
      </c>
      <c r="D1155" s="123"/>
      <c r="E1155" s="117"/>
      <c r="F1155" s="117"/>
      <c r="G1155" s="117"/>
      <c r="H1155" s="115">
        <f t="shared" si="182"/>
        <v>10000</v>
      </c>
      <c r="I1155" s="115">
        <f t="shared" si="183"/>
        <v>10000</v>
      </c>
      <c r="J1155" s="115">
        <f t="shared" si="184"/>
        <v>10000</v>
      </c>
      <c r="K1155" s="115">
        <f t="shared" si="185"/>
        <v>10000</v>
      </c>
      <c r="L1155" s="115">
        <f t="shared" si="186"/>
        <v>10000</v>
      </c>
      <c r="M1155" s="117"/>
      <c r="N1155" s="117"/>
      <c r="O1155" s="117"/>
      <c r="P1155" s="117"/>
      <c r="Q1155" s="125"/>
      <c r="R1155" s="125"/>
      <c r="S1155" s="125"/>
      <c r="T1155" s="125">
        <f>10000</f>
        <v>10000</v>
      </c>
      <c r="U1155" s="125"/>
      <c r="V1155" s="125"/>
      <c r="W1155" s="125"/>
      <c r="X1155" s="125"/>
      <c r="Y1155" s="125"/>
      <c r="Z1155" s="125"/>
      <c r="AA1155" s="125"/>
      <c r="AB1155" s="125"/>
      <c r="AC1155" s="124"/>
      <c r="AD1155" s="130"/>
      <c r="AE1155" s="120">
        <v>6485327.7599999998</v>
      </c>
      <c r="AF1155" s="115"/>
      <c r="AG1155" s="115"/>
      <c r="AH1155" s="127"/>
      <c r="AI1155" s="115"/>
      <c r="AJ1155" s="219"/>
      <c r="AN1155" s="120"/>
      <c r="AO1155" s="219"/>
    </row>
    <row r="1156" spans="1:42" ht="15">
      <c r="A1156" s="154"/>
      <c r="B1156" s="113"/>
      <c r="C1156" s="123" t="s">
        <v>2139</v>
      </c>
      <c r="D1156" s="123"/>
      <c r="E1156" s="117"/>
      <c r="F1156" s="117"/>
      <c r="G1156" s="117"/>
      <c r="H1156" s="115">
        <f t="shared" si="182"/>
        <v>15000</v>
      </c>
      <c r="I1156" s="115">
        <f t="shared" si="183"/>
        <v>15000</v>
      </c>
      <c r="J1156" s="115">
        <f t="shared" si="184"/>
        <v>15000</v>
      </c>
      <c r="K1156" s="115">
        <f t="shared" si="185"/>
        <v>15000</v>
      </c>
      <c r="L1156" s="115">
        <f t="shared" si="186"/>
        <v>15000</v>
      </c>
      <c r="M1156" s="117"/>
      <c r="N1156" s="117"/>
      <c r="O1156" s="117"/>
      <c r="P1156" s="117"/>
      <c r="Q1156" s="125"/>
      <c r="R1156" s="125"/>
      <c r="S1156" s="125"/>
      <c r="T1156" s="125">
        <v>15000</v>
      </c>
      <c r="U1156" s="125"/>
      <c r="V1156" s="125"/>
      <c r="W1156" s="125"/>
      <c r="X1156" s="125"/>
      <c r="Y1156" s="125"/>
      <c r="Z1156" s="125"/>
      <c r="AA1156" s="125"/>
      <c r="AB1156" s="125"/>
      <c r="AC1156" s="124"/>
      <c r="AD1156" s="130"/>
      <c r="AE1156" s="120"/>
      <c r="AF1156" s="115"/>
      <c r="AG1156" s="115"/>
      <c r="AH1156" s="127"/>
      <c r="AI1156" s="115"/>
      <c r="AJ1156" s="219"/>
      <c r="AN1156" s="120"/>
      <c r="AO1156" s="219"/>
    </row>
    <row r="1157" spans="1:42" ht="15">
      <c r="A1157" s="154"/>
      <c r="B1157" s="113"/>
      <c r="C1157" s="123" t="s">
        <v>2140</v>
      </c>
      <c r="D1157" s="123"/>
      <c r="E1157" s="117"/>
      <c r="F1157" s="117"/>
      <c r="G1157" s="117"/>
      <c r="H1157" s="115">
        <f t="shared" si="182"/>
        <v>25000</v>
      </c>
      <c r="I1157" s="115">
        <f t="shared" si="183"/>
        <v>25000</v>
      </c>
      <c r="J1157" s="115">
        <f t="shared" si="184"/>
        <v>25000</v>
      </c>
      <c r="K1157" s="115">
        <f t="shared" si="185"/>
        <v>25000</v>
      </c>
      <c r="L1157" s="115">
        <f t="shared" si="186"/>
        <v>25000</v>
      </c>
      <c r="M1157" s="117"/>
      <c r="N1157" s="117"/>
      <c r="O1157" s="117"/>
      <c r="P1157" s="117"/>
      <c r="Q1157" s="125"/>
      <c r="R1157" s="125"/>
      <c r="S1157" s="125"/>
      <c r="T1157" s="125">
        <v>25000</v>
      </c>
      <c r="U1157" s="125"/>
      <c r="V1157" s="125"/>
      <c r="W1157" s="125"/>
      <c r="X1157" s="125"/>
      <c r="Y1157" s="125"/>
      <c r="Z1157" s="125"/>
      <c r="AA1157" s="125"/>
      <c r="AB1157" s="125"/>
      <c r="AC1157" s="124"/>
      <c r="AD1157" s="130"/>
      <c r="AE1157" s="120"/>
      <c r="AF1157" s="115"/>
      <c r="AG1157" s="115"/>
      <c r="AH1157" s="127"/>
      <c r="AI1157" s="115"/>
      <c r="AJ1157" s="219"/>
      <c r="AN1157" s="120"/>
      <c r="AO1157" s="219"/>
    </row>
    <row r="1158" spans="1:42" ht="15">
      <c r="A1158" s="154"/>
      <c r="B1158" s="113"/>
      <c r="C1158" s="123" t="s">
        <v>2337</v>
      </c>
      <c r="D1158" s="123"/>
      <c r="E1158" s="117"/>
      <c r="F1158" s="117"/>
      <c r="G1158" s="117"/>
      <c r="H1158" s="115"/>
      <c r="I1158" s="115"/>
      <c r="J1158" s="115">
        <f t="shared" si="184"/>
        <v>0</v>
      </c>
      <c r="K1158" s="115">
        <f t="shared" si="185"/>
        <v>25000</v>
      </c>
      <c r="L1158" s="115">
        <f t="shared" si="186"/>
        <v>25000</v>
      </c>
      <c r="M1158" s="117"/>
      <c r="N1158" s="117"/>
      <c r="O1158" s="117"/>
      <c r="P1158" s="117"/>
      <c r="Q1158" s="125"/>
      <c r="R1158" s="125"/>
      <c r="S1158" s="125"/>
      <c r="T1158" s="125"/>
      <c r="U1158" s="125"/>
      <c r="V1158" s="125"/>
      <c r="W1158" s="125">
        <v>25000</v>
      </c>
      <c r="X1158" s="125"/>
      <c r="Y1158" s="125"/>
      <c r="Z1158" s="125"/>
      <c r="AA1158" s="125"/>
      <c r="AB1158" s="125"/>
      <c r="AC1158" s="124"/>
      <c r="AD1158" s="130"/>
      <c r="AE1158" s="120"/>
      <c r="AF1158" s="115"/>
      <c r="AG1158" s="115"/>
      <c r="AH1158" s="127"/>
      <c r="AI1158" s="115"/>
      <c r="AJ1158" s="219"/>
      <c r="AN1158" s="120"/>
      <c r="AO1158" s="219"/>
    </row>
    <row r="1159" spans="1:42" ht="15">
      <c r="A1159" s="154"/>
      <c r="B1159" s="113"/>
      <c r="C1159" s="123" t="s">
        <v>2141</v>
      </c>
      <c r="D1159" s="123"/>
      <c r="E1159" s="117"/>
      <c r="F1159" s="117"/>
      <c r="G1159" s="117"/>
      <c r="H1159" s="115">
        <f t="shared" si="182"/>
        <v>10000</v>
      </c>
      <c r="I1159" s="115">
        <f t="shared" si="183"/>
        <v>10000</v>
      </c>
      <c r="J1159" s="115">
        <f t="shared" si="184"/>
        <v>10000</v>
      </c>
      <c r="K1159" s="115">
        <f t="shared" si="185"/>
        <v>10000</v>
      </c>
      <c r="L1159" s="115">
        <f t="shared" si="186"/>
        <v>10000</v>
      </c>
      <c r="M1159" s="117"/>
      <c r="N1159" s="117"/>
      <c r="O1159" s="117"/>
      <c r="P1159" s="117"/>
      <c r="Q1159" s="125"/>
      <c r="R1159" s="125"/>
      <c r="S1159" s="125"/>
      <c r="T1159" s="125">
        <v>10000</v>
      </c>
      <c r="U1159" s="125"/>
      <c r="V1159" s="125"/>
      <c r="W1159" s="125"/>
      <c r="X1159" s="125"/>
      <c r="Y1159" s="125"/>
      <c r="Z1159" s="125"/>
      <c r="AA1159" s="125"/>
      <c r="AB1159" s="125"/>
      <c r="AC1159" s="124"/>
      <c r="AD1159" s="130"/>
      <c r="AE1159" s="120"/>
      <c r="AF1159" s="115"/>
      <c r="AG1159" s="115"/>
      <c r="AH1159" s="127"/>
      <c r="AI1159" s="115"/>
      <c r="AJ1159" s="219"/>
      <c r="AN1159" s="120"/>
      <c r="AO1159" s="219"/>
    </row>
    <row r="1160" spans="1:42" ht="15">
      <c r="A1160" s="154"/>
      <c r="B1160" s="113"/>
      <c r="C1160" s="123" t="s">
        <v>2142</v>
      </c>
      <c r="D1160" s="123"/>
      <c r="E1160" s="124"/>
      <c r="F1160" s="124"/>
      <c r="G1160" s="124"/>
      <c r="H1160" s="115">
        <f t="shared" si="182"/>
        <v>71918.19</v>
      </c>
      <c r="I1160" s="115">
        <f t="shared" si="183"/>
        <v>71918.19</v>
      </c>
      <c r="J1160" s="115">
        <f t="shared" si="184"/>
        <v>71918.19</v>
      </c>
      <c r="K1160" s="115">
        <f t="shared" si="185"/>
        <v>71918.19</v>
      </c>
      <c r="L1160" s="115">
        <f t="shared" si="186"/>
        <v>71918.19</v>
      </c>
      <c r="M1160" s="124"/>
      <c r="N1160" s="124"/>
      <c r="O1160" s="124"/>
      <c r="P1160" s="124"/>
      <c r="Q1160" s="125"/>
      <c r="R1160" s="125"/>
      <c r="S1160" s="125"/>
      <c r="T1160" s="125">
        <f>71918.19</f>
        <v>71918.19</v>
      </c>
      <c r="U1160" s="125"/>
      <c r="V1160" s="125"/>
      <c r="W1160" s="125"/>
      <c r="X1160" s="125"/>
      <c r="Y1160" s="125"/>
      <c r="Z1160" s="125"/>
      <c r="AA1160" s="125"/>
      <c r="AB1160" s="125"/>
      <c r="AC1160" s="124"/>
      <c r="AD1160" s="130"/>
      <c r="AE1160" s="135"/>
      <c r="AF1160" s="115"/>
      <c r="AG1160" s="115"/>
      <c r="AH1160" s="127"/>
      <c r="AI1160" s="129"/>
      <c r="AJ1160" s="219"/>
      <c r="AN1160" s="129"/>
    </row>
    <row r="1161" spans="1:42" ht="15">
      <c r="A1161" s="154"/>
      <c r="B1161" s="113"/>
      <c r="C1161" s="123" t="s">
        <v>2143</v>
      </c>
      <c r="D1161" s="123"/>
      <c r="E1161" s="124"/>
      <c r="F1161" s="124"/>
      <c r="G1161" s="124"/>
      <c r="H1161" s="115">
        <f t="shared" si="182"/>
        <v>100000</v>
      </c>
      <c r="I1161" s="115">
        <f t="shared" si="183"/>
        <v>100000</v>
      </c>
      <c r="J1161" s="115">
        <f t="shared" si="184"/>
        <v>100000</v>
      </c>
      <c r="K1161" s="115">
        <f t="shared" si="185"/>
        <v>100000</v>
      </c>
      <c r="L1161" s="115">
        <f t="shared" si="186"/>
        <v>100000</v>
      </c>
      <c r="M1161" s="124"/>
      <c r="N1161" s="124"/>
      <c r="O1161" s="124"/>
      <c r="P1161" s="124"/>
      <c r="Q1161" s="125"/>
      <c r="R1161" s="125"/>
      <c r="S1161" s="125"/>
      <c r="T1161" s="125">
        <v>100000</v>
      </c>
      <c r="U1161" s="125"/>
      <c r="V1161" s="125"/>
      <c r="W1161" s="125"/>
      <c r="X1161" s="125"/>
      <c r="Y1161" s="125"/>
      <c r="Z1161" s="125"/>
      <c r="AA1161" s="125"/>
      <c r="AB1161" s="125"/>
      <c r="AC1161" s="124"/>
      <c r="AD1161" s="130"/>
      <c r="AF1161" s="115"/>
      <c r="AG1161" s="127"/>
      <c r="AH1161" s="127"/>
      <c r="AJ1161" s="219"/>
      <c r="AP1161" s="135">
        <f>SUM(AN1148:AN1161)</f>
        <v>0</v>
      </c>
    </row>
    <row r="1162" spans="1:42" ht="15">
      <c r="A1162" s="154"/>
      <c r="B1162" s="113"/>
      <c r="C1162" s="123" t="s">
        <v>2144</v>
      </c>
      <c r="D1162" s="123"/>
      <c r="E1162" s="124"/>
      <c r="F1162" s="124"/>
      <c r="G1162" s="124"/>
      <c r="H1162" s="115">
        <f t="shared" si="182"/>
        <v>15500</v>
      </c>
      <c r="I1162" s="115">
        <f t="shared" si="183"/>
        <v>15500</v>
      </c>
      <c r="J1162" s="115">
        <f t="shared" si="184"/>
        <v>15500</v>
      </c>
      <c r="K1162" s="115">
        <f t="shared" si="185"/>
        <v>15500</v>
      </c>
      <c r="L1162" s="115">
        <f t="shared" si="186"/>
        <v>15500</v>
      </c>
      <c r="M1162" s="124"/>
      <c r="N1162" s="124"/>
      <c r="O1162" s="124"/>
      <c r="P1162" s="124"/>
      <c r="Q1162" s="125"/>
      <c r="R1162" s="125"/>
      <c r="S1162" s="125"/>
      <c r="T1162" s="125">
        <f>1500+500+500+1000+1500+500+500+2000+1000+6500</f>
        <v>15500</v>
      </c>
      <c r="U1162" s="125"/>
      <c r="V1162" s="125"/>
      <c r="W1162" s="125"/>
      <c r="X1162" s="125"/>
      <c r="Y1162" s="125"/>
      <c r="Z1162" s="125"/>
      <c r="AA1162" s="125"/>
      <c r="AB1162" s="125"/>
      <c r="AC1162" s="124"/>
      <c r="AD1162" s="220" t="s">
        <v>2145</v>
      </c>
      <c r="AF1162" s="115"/>
      <c r="AG1162" s="127"/>
      <c r="AH1162" s="127"/>
      <c r="AJ1162" s="219"/>
      <c r="AP1162" s="135"/>
    </row>
    <row r="1163" spans="1:42" ht="15">
      <c r="A1163" s="154"/>
      <c r="B1163" s="113"/>
      <c r="C1163" s="123" t="s">
        <v>2146</v>
      </c>
      <c r="D1163" s="123"/>
      <c r="E1163" s="124"/>
      <c r="F1163" s="124"/>
      <c r="G1163" s="124"/>
      <c r="H1163" s="115">
        <f t="shared" si="182"/>
        <v>19714.349999999999</v>
      </c>
      <c r="I1163" s="115">
        <f t="shared" si="183"/>
        <v>19714.349999999999</v>
      </c>
      <c r="J1163" s="115">
        <f t="shared" si="184"/>
        <v>19714.349999999999</v>
      </c>
      <c r="K1163" s="115">
        <f t="shared" si="185"/>
        <v>19714.349999999999</v>
      </c>
      <c r="L1163" s="115">
        <f t="shared" si="186"/>
        <v>19714.349999999999</v>
      </c>
      <c r="M1163" s="124"/>
      <c r="N1163" s="124"/>
      <c r="O1163" s="124"/>
      <c r="P1163" s="124"/>
      <c r="Q1163" s="125"/>
      <c r="R1163" s="125"/>
      <c r="S1163" s="125"/>
      <c r="T1163" s="125">
        <f>22000+6000+23800+2812.5+1700+2500-8040-28800-14325+12066.85</f>
        <v>19714.349999999999</v>
      </c>
      <c r="U1163" s="125"/>
      <c r="V1163" s="125"/>
      <c r="W1163" s="125"/>
      <c r="X1163" s="125"/>
      <c r="Y1163" s="125"/>
      <c r="Z1163" s="125"/>
      <c r="AA1163" s="125"/>
      <c r="AB1163" s="125"/>
      <c r="AC1163" s="124"/>
      <c r="AD1163" s="130"/>
      <c r="AF1163" s="115"/>
      <c r="AG1163" s="127"/>
      <c r="AH1163" s="127"/>
      <c r="AJ1163" s="219"/>
      <c r="AP1163" s="135"/>
    </row>
    <row r="1164" spans="1:42" ht="15">
      <c r="A1164" s="154"/>
      <c r="B1164" s="113"/>
      <c r="C1164" s="123" t="s">
        <v>2147</v>
      </c>
      <c r="D1164" s="123"/>
      <c r="E1164" s="124"/>
      <c r="F1164" s="124"/>
      <c r="G1164" s="124"/>
      <c r="H1164" s="115">
        <f t="shared" si="182"/>
        <v>75000</v>
      </c>
      <c r="I1164" s="115">
        <f t="shared" si="183"/>
        <v>75000</v>
      </c>
      <c r="J1164" s="115">
        <f t="shared" si="184"/>
        <v>75000</v>
      </c>
      <c r="K1164" s="115">
        <f t="shared" si="185"/>
        <v>75000</v>
      </c>
      <c r="L1164" s="115">
        <f t="shared" si="186"/>
        <v>75000</v>
      </c>
      <c r="M1164" s="124"/>
      <c r="N1164" s="124"/>
      <c r="O1164" s="124"/>
      <c r="P1164" s="124"/>
      <c r="Q1164" s="125"/>
      <c r="R1164" s="125"/>
      <c r="S1164" s="125"/>
      <c r="T1164" s="125">
        <v>75000</v>
      </c>
      <c r="U1164" s="125"/>
      <c r="V1164" s="125"/>
      <c r="W1164" s="125"/>
      <c r="X1164" s="125"/>
      <c r="Y1164" s="125"/>
      <c r="Z1164" s="125"/>
      <c r="AA1164" s="125"/>
      <c r="AB1164" s="125"/>
      <c r="AC1164" s="124"/>
      <c r="AD1164" s="130"/>
      <c r="AF1164" s="115"/>
      <c r="AG1164" s="127"/>
      <c r="AH1164" s="127"/>
      <c r="AJ1164" s="219"/>
      <c r="AP1164" s="135"/>
    </row>
    <row r="1165" spans="1:42" ht="15">
      <c r="A1165" s="154"/>
      <c r="B1165" s="113"/>
      <c r="C1165" s="123" t="s">
        <v>2148</v>
      </c>
      <c r="D1165" s="123"/>
      <c r="E1165" s="124"/>
      <c r="F1165" s="124"/>
      <c r="G1165" s="124"/>
      <c r="H1165" s="115">
        <f t="shared" si="182"/>
        <v>320</v>
      </c>
      <c r="I1165" s="115">
        <f t="shared" si="183"/>
        <v>320</v>
      </c>
      <c r="J1165" s="115">
        <f t="shared" si="184"/>
        <v>320</v>
      </c>
      <c r="K1165" s="115">
        <f t="shared" si="185"/>
        <v>320</v>
      </c>
      <c r="L1165" s="115">
        <f t="shared" si="186"/>
        <v>320</v>
      </c>
      <c r="M1165" s="124"/>
      <c r="N1165" s="124"/>
      <c r="O1165" s="124"/>
      <c r="P1165" s="124"/>
      <c r="Q1165" s="125"/>
      <c r="R1165" s="125"/>
      <c r="S1165" s="125"/>
      <c r="T1165" s="125">
        <v>320</v>
      </c>
      <c r="U1165" s="125"/>
      <c r="V1165" s="125"/>
      <c r="W1165" s="125"/>
      <c r="X1165" s="125"/>
      <c r="Y1165" s="125"/>
      <c r="Z1165" s="125"/>
      <c r="AA1165" s="125"/>
      <c r="AB1165" s="125"/>
      <c r="AC1165" s="124"/>
      <c r="AD1165" s="130"/>
      <c r="AE1165" s="108">
        <f>622.43+1619.37</f>
        <v>2241.7999999999997</v>
      </c>
      <c r="AF1165" s="115"/>
      <c r="AG1165" s="127"/>
      <c r="AH1165" s="127"/>
      <c r="AJ1165" s="219"/>
      <c r="AP1165" s="135"/>
    </row>
    <row r="1166" spans="1:42" ht="15">
      <c r="A1166" s="154"/>
      <c r="B1166" s="113"/>
      <c r="C1166" s="123" t="s">
        <v>2149</v>
      </c>
      <c r="D1166" s="123"/>
      <c r="E1166" s="124"/>
      <c r="F1166" s="124"/>
      <c r="G1166" s="124"/>
      <c r="H1166" s="115">
        <f t="shared" si="182"/>
        <v>246958.04000000004</v>
      </c>
      <c r="I1166" s="115">
        <f t="shared" si="183"/>
        <v>246091.60000000003</v>
      </c>
      <c r="J1166" s="115">
        <f t="shared" si="184"/>
        <v>244045.10000000003</v>
      </c>
      <c r="K1166" s="115">
        <f t="shared" si="185"/>
        <v>242973.93000000002</v>
      </c>
      <c r="L1166" s="115">
        <f t="shared" si="186"/>
        <v>242973.93000000002</v>
      </c>
      <c r="M1166" s="124"/>
      <c r="N1166" s="124"/>
      <c r="O1166" s="124"/>
      <c r="P1166" s="124"/>
      <c r="Q1166" s="125"/>
      <c r="R1166" s="125"/>
      <c r="S1166" s="125"/>
      <c r="T1166" s="125">
        <f>232394.1+4225-763.99+1590-676.4+2535-2590.17-468.02+11290+8680-717.98+795-941.84-880.95-904.16+1885-437.3+1915-3842.72-1911.02+3020-2241.8+1425+2015-1154.64+4285-1368.56+1450-3291.5+800-2136.93+1460-3851.07+2075+510-3061.4+1055-3024+2370+475-5610.84+880-1635.77+1340</f>
        <v>246958.04000000004</v>
      </c>
      <c r="U1166" s="125">
        <f>-2471.44+915+690</f>
        <v>-866.44</v>
      </c>
      <c r="V1166" s="125">
        <v>-2046.5</v>
      </c>
      <c r="W1166" s="125">
        <v>-1071.17</v>
      </c>
      <c r="X1166" s="125"/>
      <c r="Y1166" s="125"/>
      <c r="Z1166" s="125"/>
      <c r="AA1166" s="125"/>
      <c r="AB1166" s="125"/>
      <c r="AC1166" s="124"/>
      <c r="AD1166" s="130"/>
      <c r="AE1166" s="135"/>
      <c r="AF1166" s="115"/>
      <c r="AG1166" s="127"/>
      <c r="AH1166" s="127"/>
    </row>
    <row r="1167" spans="1:42" ht="15">
      <c r="A1167" s="154"/>
      <c r="B1167" s="113"/>
      <c r="C1167" s="123" t="s">
        <v>2150</v>
      </c>
      <c r="D1167" s="123"/>
      <c r="E1167" s="117"/>
      <c r="F1167" s="117"/>
      <c r="G1167" s="117"/>
      <c r="H1167" s="115">
        <f t="shared" si="182"/>
        <v>33700</v>
      </c>
      <c r="I1167" s="115">
        <f t="shared" si="183"/>
        <v>33700</v>
      </c>
      <c r="J1167" s="115">
        <f t="shared" si="184"/>
        <v>33700</v>
      </c>
      <c r="K1167" s="115">
        <f t="shared" si="185"/>
        <v>33700</v>
      </c>
      <c r="L1167" s="115">
        <f t="shared" si="186"/>
        <v>33700</v>
      </c>
      <c r="M1167" s="117"/>
      <c r="N1167" s="117"/>
      <c r="O1167" s="117"/>
      <c r="P1167" s="117"/>
      <c r="Q1167" s="125"/>
      <c r="R1167" s="125"/>
      <c r="S1167" s="125"/>
      <c r="T1167" s="125">
        <f>87000-54300-8000+9000</f>
        <v>33700</v>
      </c>
      <c r="U1167" s="125"/>
      <c r="V1167" s="125"/>
      <c r="W1167" s="125"/>
      <c r="X1167" s="125"/>
      <c r="Y1167" s="125"/>
      <c r="Z1167" s="125"/>
      <c r="AA1167" s="125"/>
      <c r="AB1167" s="125"/>
      <c r="AC1167" s="124"/>
      <c r="AD1167" s="130"/>
      <c r="AE1167" s="135"/>
      <c r="AF1167" s="115"/>
      <c r="AG1167" s="127"/>
      <c r="AH1167" s="127"/>
    </row>
    <row r="1168" spans="1:42" ht="15">
      <c r="A1168" s="154"/>
      <c r="B1168" s="113"/>
      <c r="C1168" s="123" t="s">
        <v>2151</v>
      </c>
      <c r="D1168" s="123"/>
      <c r="E1168" s="124"/>
      <c r="F1168" s="124"/>
      <c r="G1168" s="124"/>
      <c r="H1168" s="115">
        <f t="shared" si="182"/>
        <v>3120</v>
      </c>
      <c r="I1168" s="115">
        <f t="shared" si="183"/>
        <v>3120</v>
      </c>
      <c r="J1168" s="115">
        <f t="shared" si="184"/>
        <v>3120</v>
      </c>
      <c r="K1168" s="115">
        <f t="shared" si="185"/>
        <v>3120</v>
      </c>
      <c r="L1168" s="115">
        <f t="shared" si="186"/>
        <v>3120</v>
      </c>
      <c r="M1168" s="124"/>
      <c r="N1168" s="124"/>
      <c r="O1168" s="124"/>
      <c r="P1168" s="124"/>
      <c r="Q1168" s="125"/>
      <c r="R1168" s="125"/>
      <c r="S1168" s="125"/>
      <c r="T1168" s="125">
        <f>450+2475-2340+2895-165+3090+2895+1575-6660+480-1575</f>
        <v>3120</v>
      </c>
      <c r="U1168" s="125"/>
      <c r="V1168" s="125"/>
      <c r="W1168" s="125"/>
      <c r="X1168" s="125"/>
      <c r="Y1168" s="125"/>
      <c r="Z1168" s="125"/>
      <c r="AA1168" s="125"/>
      <c r="AB1168" s="125"/>
      <c r="AC1168" s="124"/>
      <c r="AD1168" s="117"/>
      <c r="AF1168" s="127"/>
      <c r="AG1168" s="127"/>
      <c r="AH1168" s="127"/>
    </row>
    <row r="1169" spans="1:280" ht="15">
      <c r="A1169" s="154"/>
      <c r="B1169" s="113"/>
      <c r="C1169" s="123" t="s">
        <v>2152</v>
      </c>
      <c r="D1169" s="123"/>
      <c r="E1169" s="117"/>
      <c r="F1169" s="117"/>
      <c r="G1169" s="117"/>
      <c r="H1169" s="115">
        <f t="shared" si="182"/>
        <v>6100</v>
      </c>
      <c r="I1169" s="115">
        <f t="shared" si="183"/>
        <v>6100</v>
      </c>
      <c r="J1169" s="115">
        <f t="shared" si="184"/>
        <v>6100</v>
      </c>
      <c r="K1169" s="115">
        <f t="shared" si="185"/>
        <v>6100</v>
      </c>
      <c r="L1169" s="115">
        <f t="shared" si="186"/>
        <v>6100</v>
      </c>
      <c r="M1169" s="117"/>
      <c r="N1169" s="117"/>
      <c r="O1169" s="117"/>
      <c r="P1169" s="117"/>
      <c r="Q1169" s="125"/>
      <c r="R1169" s="125"/>
      <c r="S1169" s="125"/>
      <c r="T1169" s="125">
        <f>6100</f>
        <v>6100</v>
      </c>
      <c r="U1169" s="125"/>
      <c r="V1169" s="125"/>
      <c r="W1169" s="125"/>
      <c r="X1169" s="125"/>
      <c r="Y1169" s="125"/>
      <c r="Z1169" s="125"/>
      <c r="AA1169" s="125"/>
      <c r="AB1169" s="125"/>
      <c r="AC1169" s="124"/>
      <c r="AD1169" s="117"/>
      <c r="AF1169" s="127"/>
      <c r="AG1169" s="127"/>
      <c r="AH1169" s="127"/>
    </row>
    <row r="1170" spans="1:280" ht="15">
      <c r="A1170" s="154"/>
      <c r="B1170" s="113"/>
      <c r="C1170" s="123" t="s">
        <v>2153</v>
      </c>
      <c r="D1170" s="123"/>
      <c r="E1170" s="117"/>
      <c r="F1170" s="117"/>
      <c r="G1170" s="117"/>
      <c r="H1170" s="115">
        <f t="shared" si="182"/>
        <v>20000</v>
      </c>
      <c r="I1170" s="115">
        <f t="shared" si="183"/>
        <v>20000</v>
      </c>
      <c r="J1170" s="115">
        <f t="shared" si="184"/>
        <v>20000</v>
      </c>
      <c r="K1170" s="115">
        <f t="shared" si="185"/>
        <v>20000</v>
      </c>
      <c r="L1170" s="115">
        <f t="shared" si="186"/>
        <v>20000</v>
      </c>
      <c r="M1170" s="117"/>
      <c r="N1170" s="117"/>
      <c r="O1170" s="117"/>
      <c r="P1170" s="117"/>
      <c r="Q1170" s="125"/>
      <c r="R1170" s="125"/>
      <c r="S1170" s="125"/>
      <c r="T1170" s="125">
        <v>20000</v>
      </c>
      <c r="U1170" s="125"/>
      <c r="V1170" s="125"/>
      <c r="W1170" s="125"/>
      <c r="X1170" s="125"/>
      <c r="Y1170" s="125"/>
      <c r="Z1170" s="125"/>
      <c r="AA1170" s="125"/>
      <c r="AB1170" s="125"/>
      <c r="AC1170" s="124"/>
      <c r="AD1170" s="117"/>
      <c r="AF1170" s="127"/>
      <c r="AG1170" s="127"/>
      <c r="AH1170" s="127"/>
    </row>
    <row r="1171" spans="1:280" ht="15">
      <c r="A1171" s="154"/>
      <c r="B1171" s="113"/>
      <c r="C1171" s="123" t="s">
        <v>2154</v>
      </c>
      <c r="D1171" s="123"/>
      <c r="E1171" s="117"/>
      <c r="F1171" s="117"/>
      <c r="G1171" s="117"/>
      <c r="H1171" s="115">
        <f t="shared" si="182"/>
        <v>2188100.46</v>
      </c>
      <c r="I1171" s="115">
        <f t="shared" si="183"/>
        <v>2593342.2799999998</v>
      </c>
      <c r="J1171" s="115">
        <f t="shared" si="184"/>
        <v>2926411.3299999996</v>
      </c>
      <c r="K1171" s="115">
        <f t="shared" si="185"/>
        <v>2337031.2499999995</v>
      </c>
      <c r="L1171" s="115">
        <f t="shared" si="186"/>
        <v>2617800.5999999996</v>
      </c>
      <c r="M1171" s="117"/>
      <c r="N1171" s="117"/>
      <c r="O1171" s="117"/>
      <c r="P1171" s="117"/>
      <c r="Q1171" s="125"/>
      <c r="R1171" s="125"/>
      <c r="S1171" s="125"/>
      <c r="T1171" s="125">
        <f>1777205.26+436006.35+0.6-706580.5+402490.8-401491+554097.25-33600-536830.6+507112.91-27500+30643.8+551238.5-391695+457251.15-631924.25+543684.6-710046.9-27500+449973.71-681348.5+467069.1-477019+636526.81-830416.5+447917.75-431736.1+342120.79-332150-24990-27500+728665.84-245280+446097.29-1000172.98+357646.52-217780-27500+243038-917324+273854.6-157297+360821.15-205727.4-27500+552127.35-702390.75-42500+403774.25-279185.25+483487.4+318830.86-7700+344922.55+625585.7-1800-27500-27500+361574.55-529373+504413.9-833179+456849.95-103484+360817.9-612225</f>
        <v>2188100.46</v>
      </c>
      <c r="U1171" s="125">
        <f>-500+405741.82</f>
        <v>405241.82</v>
      </c>
      <c r="V1171" s="125">
        <f>499559.05-166490</f>
        <v>333069.05</v>
      </c>
      <c r="W1171" s="125">
        <f>-916424.75+327044.67</f>
        <v>-589380.08000000007</v>
      </c>
      <c r="X1171" s="125">
        <f>-174877+455646.35</f>
        <v>280769.34999999998</v>
      </c>
      <c r="Y1171" s="125"/>
      <c r="Z1171" s="125"/>
      <c r="AA1171" s="125"/>
      <c r="AB1171" s="125"/>
      <c r="AC1171" s="124"/>
      <c r="AD1171" s="117"/>
      <c r="AF1171" s="127"/>
      <c r="AG1171" s="127"/>
      <c r="AH1171" s="127"/>
    </row>
    <row r="1172" spans="1:280" ht="15">
      <c r="A1172" s="154"/>
      <c r="B1172" s="113"/>
      <c r="C1172" s="123" t="s">
        <v>2155</v>
      </c>
      <c r="D1172" s="123"/>
      <c r="E1172" s="117"/>
      <c r="F1172" s="117"/>
      <c r="G1172" s="117"/>
      <c r="H1172" s="115">
        <f t="shared" si="182"/>
        <v>7214256.9700000016</v>
      </c>
      <c r="I1172" s="115">
        <f t="shared" si="183"/>
        <v>8498841.1900000013</v>
      </c>
      <c r="J1172" s="115">
        <f t="shared" si="184"/>
        <v>9369012.5900000017</v>
      </c>
      <c r="K1172" s="115">
        <f t="shared" si="185"/>
        <v>10224556.760000002</v>
      </c>
      <c r="L1172" s="115">
        <f t="shared" si="186"/>
        <v>11165148.270000001</v>
      </c>
      <c r="M1172" s="117"/>
      <c r="N1172" s="117"/>
      <c r="O1172" s="117"/>
      <c r="P1172" s="117"/>
      <c r="Q1172" s="125"/>
      <c r="R1172" s="125"/>
      <c r="S1172" s="125"/>
      <c r="T1172" s="125">
        <f>4065099.52+963423.25-920924.95+922711.86-698729+1658941.6-137791.25+1399956.31+1076013.86-1571380.69+1209922.36-266125.75+1349594.88-640402.7-74993.16+1061442.43-853492.45+1103125.81-549129.18-6500+1539277.53-1375092.65+1248687-1533259.96+983986.49-509914-5398455.22-19980.25+1902921.03+591742-1026239.83+1101808.93-1023459.65+867896.65-616485+824262.55-1139250.7+3039.5+955997.6-93500+1073501.4+1505552.71-880305.4+998890.25-306207.5+1178892.38-342005.75+1286959.27-111793.75+1027679.9-704.9+1064626.76-364760.64-5041872.28+1188995.57-2391688.75+1430773.45-1655485.47+1171251.5-588578+1071177.15-475385.7</f>
        <v>7214256.9700000016</v>
      </c>
      <c r="U1172" s="125">
        <f>-11000+1295584.22</f>
        <v>1284584.22</v>
      </c>
      <c r="V1172" s="125">
        <f>1259628.95-389457.55</f>
        <v>870171.39999999991</v>
      </c>
      <c r="W1172" s="125">
        <f>-273309.7+1128853.87</f>
        <v>855544.17000000016</v>
      </c>
      <c r="X1172" s="125">
        <f>-353650.29+1294241.8</f>
        <v>940591.51</v>
      </c>
      <c r="Y1172" s="125"/>
      <c r="Z1172" s="125"/>
      <c r="AA1172" s="125"/>
      <c r="AB1172" s="125"/>
      <c r="AC1172" s="124"/>
      <c r="AD1172" s="117"/>
      <c r="AF1172" s="127"/>
      <c r="AG1172" s="127"/>
      <c r="AH1172" s="127"/>
    </row>
    <row r="1173" spans="1:280" ht="15">
      <c r="A1173" s="154"/>
      <c r="B1173" s="113"/>
      <c r="C1173" s="123" t="s">
        <v>2156</v>
      </c>
      <c r="D1173" s="123"/>
      <c r="E1173" s="117"/>
      <c r="F1173" s="117"/>
      <c r="G1173" s="117"/>
      <c r="H1173" s="115">
        <f t="shared" si="182"/>
        <v>337482.55</v>
      </c>
      <c r="I1173" s="115">
        <f t="shared" si="183"/>
        <v>337642.55</v>
      </c>
      <c r="J1173" s="115">
        <f t="shared" si="184"/>
        <v>364322.55</v>
      </c>
      <c r="K1173" s="115">
        <f t="shared" si="185"/>
        <v>362572.55</v>
      </c>
      <c r="L1173" s="115">
        <f t="shared" si="186"/>
        <v>362572.55</v>
      </c>
      <c r="M1173" s="117"/>
      <c r="N1173" s="117"/>
      <c r="O1173" s="117"/>
      <c r="P1173" s="117"/>
      <c r="Q1173" s="125"/>
      <c r="R1173" s="125"/>
      <c r="S1173" s="125"/>
      <c r="T1173" s="125">
        <f>281397.8-187560+41700+21820+1535+11700-14960.25+10270+1560+32120+340+19400+2760+18420+26520+23180+6100+1020-8310+16400+35160+7530+5760-41600+5940+2000+17280</f>
        <v>337482.55</v>
      </c>
      <c r="U1173" s="125">
        <v>160</v>
      </c>
      <c r="V1173" s="125">
        <v>26680</v>
      </c>
      <c r="W1173" s="125">
        <f>-1950+200</f>
        <v>-1750</v>
      </c>
      <c r="X1173" s="125"/>
      <c r="Y1173" s="125"/>
      <c r="Z1173" s="125"/>
      <c r="AA1173" s="125"/>
      <c r="AB1173" s="125"/>
      <c r="AC1173" s="124"/>
      <c r="AD1173" s="117"/>
    </row>
    <row r="1174" spans="1:280" ht="15">
      <c r="A1174" s="154"/>
      <c r="B1174" s="113"/>
      <c r="C1174" s="123" t="s">
        <v>2157</v>
      </c>
      <c r="D1174" s="123"/>
      <c r="E1174" s="117"/>
      <c r="F1174" s="117"/>
      <c r="G1174" s="117"/>
      <c r="H1174" s="115">
        <f t="shared" si="182"/>
        <v>607275.02</v>
      </c>
      <c r="I1174" s="115">
        <f t="shared" si="183"/>
        <v>759125.02</v>
      </c>
      <c r="J1174" s="115">
        <f t="shared" si="184"/>
        <v>801136.02</v>
      </c>
      <c r="K1174" s="115">
        <f t="shared" si="185"/>
        <v>823976.02</v>
      </c>
      <c r="L1174" s="115">
        <f t="shared" si="186"/>
        <v>887059.02</v>
      </c>
      <c r="M1174" s="117"/>
      <c r="N1174" s="117"/>
      <c r="O1174" s="117"/>
      <c r="P1174" s="117"/>
      <c r="Q1174" s="125"/>
      <c r="R1174" s="125"/>
      <c r="S1174" s="125"/>
      <c r="T1174" s="125">
        <f>504792.17+27400-35235.86+39100+240160-2954-14973+54600-25000+25500-14977.6+46800-14977.6+52000-33500+43100-310849.9+34200+190000-328731.15+640142+148750-162294.85+72300-591742-14982.24+63815-15015+47500+57700-34962.6+49200-257400+260600-205147.35+150700-114950+106100-30020.5+38150+39600-567720.5+151500+75900-75000+63150+55600+69700+50000+74700-15050</f>
        <v>607275.02</v>
      </c>
      <c r="U1174" s="125">
        <v>151850</v>
      </c>
      <c r="V1174" s="125">
        <f>58061-16050</f>
        <v>42011</v>
      </c>
      <c r="W1174" s="125">
        <f>23500-660</f>
        <v>22840</v>
      </c>
      <c r="X1174" s="125">
        <f>-14817+77900</f>
        <v>63083</v>
      </c>
      <c r="Y1174" s="125"/>
      <c r="Z1174" s="125"/>
      <c r="AA1174" s="125"/>
      <c r="AB1174" s="125"/>
      <c r="AC1174" s="124" t="s">
        <v>2322</v>
      </c>
      <c r="AD1174" s="117"/>
      <c r="AG1174" s="120"/>
      <c r="AH1174" s="136"/>
    </row>
    <row r="1175" spans="1:280" ht="15">
      <c r="A1175" s="154"/>
      <c r="B1175" s="113"/>
      <c r="C1175" s="123" t="s">
        <v>2158</v>
      </c>
      <c r="D1175" s="123"/>
      <c r="E1175" s="124"/>
      <c r="F1175" s="124"/>
      <c r="G1175" s="124"/>
      <c r="H1175" s="115">
        <f t="shared" si="182"/>
        <v>135876.69999999995</v>
      </c>
      <c r="I1175" s="115">
        <f t="shared" si="183"/>
        <v>135876.69999999995</v>
      </c>
      <c r="J1175" s="115">
        <f t="shared" si="184"/>
        <v>111146.69999999995</v>
      </c>
      <c r="K1175" s="115">
        <f t="shared" si="185"/>
        <v>94866.699999999953</v>
      </c>
      <c r="L1175" s="115">
        <f t="shared" si="186"/>
        <v>94866.699999999953</v>
      </c>
      <c r="M1175" s="124"/>
      <c r="N1175" s="124"/>
      <c r="O1175" s="124"/>
      <c r="P1175" s="124"/>
      <c r="Q1175" s="125"/>
      <c r="R1175" s="125"/>
      <c r="S1175" s="125"/>
      <c r="T1175" s="125">
        <f>67804.4-14274-39627+69104-20815-913-20815-12365-9355+159459.3-23700+26040-816.48-42414-14274+52430-55250-4083.52-14274+57680-12365-11300</f>
        <v>135876.69999999995</v>
      </c>
      <c r="U1175" s="125"/>
      <c r="V1175" s="125">
        <v>-24730</v>
      </c>
      <c r="W1175" s="125">
        <v>-16280</v>
      </c>
      <c r="X1175" s="125"/>
      <c r="Y1175" s="125"/>
      <c r="Z1175" s="125"/>
      <c r="AA1175" s="125"/>
      <c r="AB1175" s="125"/>
      <c r="AC1175" s="124"/>
      <c r="AD1175" s="130"/>
      <c r="JT1175" s="108">
        <v>0</v>
      </c>
    </row>
    <row r="1176" spans="1:280" ht="15">
      <c r="A1176" s="154"/>
      <c r="B1176" s="113"/>
      <c r="C1176" s="123" t="s">
        <v>2159</v>
      </c>
      <c r="D1176" s="123"/>
      <c r="E1176" s="117"/>
      <c r="F1176" s="117"/>
      <c r="G1176" s="117"/>
      <c r="H1176" s="115">
        <f t="shared" si="182"/>
        <v>27246</v>
      </c>
      <c r="I1176" s="115">
        <f t="shared" si="183"/>
        <v>42903</v>
      </c>
      <c r="J1176" s="115">
        <f t="shared" si="184"/>
        <v>42903</v>
      </c>
      <c r="K1176" s="115">
        <f t="shared" si="185"/>
        <v>55433.5</v>
      </c>
      <c r="L1176" s="115">
        <f t="shared" si="186"/>
        <v>61441.5</v>
      </c>
      <c r="M1176" s="117"/>
      <c r="N1176" s="117"/>
      <c r="O1176" s="117"/>
      <c r="P1176" s="117"/>
      <c r="Q1176" s="125"/>
      <c r="R1176" s="125"/>
      <c r="S1176" s="125"/>
      <c r="T1176" s="125">
        <f>5239+7312+6242+4562+3891</f>
        <v>27246</v>
      </c>
      <c r="U1176" s="125">
        <v>15657</v>
      </c>
      <c r="V1176" s="125"/>
      <c r="W1176" s="125">
        <v>12530.5</v>
      </c>
      <c r="X1176" s="125">
        <v>6008</v>
      </c>
      <c r="Y1176" s="125"/>
      <c r="Z1176" s="125"/>
      <c r="AA1176" s="125"/>
      <c r="AB1176" s="125"/>
      <c r="AC1176" s="124"/>
      <c r="AD1176" s="117"/>
      <c r="AG1176" s="120"/>
      <c r="AH1176" s="136"/>
    </row>
    <row r="1177" spans="1:280" ht="15">
      <c r="A1177" s="154"/>
      <c r="B1177" s="113"/>
      <c r="C1177" s="123" t="s">
        <v>2160</v>
      </c>
      <c r="D1177" s="123"/>
      <c r="E1177" s="117"/>
      <c r="F1177" s="117"/>
      <c r="G1177" s="117"/>
      <c r="H1177" s="115">
        <f t="shared" si="182"/>
        <v>772509.3</v>
      </c>
      <c r="I1177" s="115">
        <f t="shared" si="183"/>
        <v>840898.65</v>
      </c>
      <c r="J1177" s="115">
        <f t="shared" si="184"/>
        <v>880418.05</v>
      </c>
      <c r="K1177" s="115">
        <f t="shared" si="185"/>
        <v>922872.20000000007</v>
      </c>
      <c r="L1177" s="115">
        <f t="shared" si="186"/>
        <v>936655.4</v>
      </c>
      <c r="M1177" s="117"/>
      <c r="N1177" s="117"/>
      <c r="O1177" s="117"/>
      <c r="P1177" s="117"/>
      <c r="Q1177" s="125"/>
      <c r="R1177" s="125"/>
      <c r="S1177" s="125"/>
      <c r="T1177" s="125">
        <f>364572.2+105848.05+10877.95+28677.65+17843.25+329808.8-224520+282275.6-250799+48371.7+59553.1</f>
        <v>772509.3</v>
      </c>
      <c r="U1177" s="125">
        <v>68389.350000000006</v>
      </c>
      <c r="V1177" s="125">
        <v>39519.4</v>
      </c>
      <c r="W1177" s="125">
        <v>42454.15</v>
      </c>
      <c r="X1177" s="125">
        <v>13783.2</v>
      </c>
      <c r="Y1177" s="125"/>
      <c r="Z1177" s="125"/>
      <c r="AA1177" s="125"/>
      <c r="AB1177" s="125"/>
      <c r="AC1177" s="124"/>
      <c r="AD1177" s="117"/>
      <c r="AG1177" s="120"/>
      <c r="AH1177" s="136"/>
    </row>
    <row r="1178" spans="1:280" ht="15">
      <c r="A1178" s="154"/>
      <c r="B1178" s="113"/>
      <c r="C1178" s="123" t="s">
        <v>2161</v>
      </c>
      <c r="D1178" s="123"/>
      <c r="E1178" s="117"/>
      <c r="F1178" s="117"/>
      <c r="G1178" s="117"/>
      <c r="H1178" s="115">
        <f t="shared" si="182"/>
        <v>53888</v>
      </c>
      <c r="I1178" s="115">
        <f t="shared" si="183"/>
        <v>62123</v>
      </c>
      <c r="J1178" s="115">
        <f t="shared" si="184"/>
        <v>62123</v>
      </c>
      <c r="K1178" s="115">
        <f t="shared" si="185"/>
        <v>68226</v>
      </c>
      <c r="L1178" s="115">
        <f t="shared" si="186"/>
        <v>74531</v>
      </c>
      <c r="M1178" s="117"/>
      <c r="N1178" s="117"/>
      <c r="O1178" s="117"/>
      <c r="P1178" s="117"/>
      <c r="Q1178" s="125"/>
      <c r="R1178" s="125"/>
      <c r="S1178" s="125"/>
      <c r="T1178" s="125">
        <f>10336+7553.5+7141+5825.5+5145+4881+13006</f>
        <v>53888</v>
      </c>
      <c r="U1178" s="125">
        <v>8235</v>
      </c>
      <c r="V1178" s="125"/>
      <c r="W1178" s="125">
        <v>6103</v>
      </c>
      <c r="X1178" s="125">
        <v>6305</v>
      </c>
      <c r="Y1178" s="125"/>
      <c r="Z1178" s="125"/>
      <c r="AA1178" s="125"/>
      <c r="AB1178" s="125"/>
      <c r="AC1178" s="124"/>
      <c r="AD1178" s="117"/>
      <c r="AE1178" s="135"/>
      <c r="AG1178" s="120"/>
      <c r="AH1178" s="136"/>
    </row>
    <row r="1179" spans="1:280" ht="15">
      <c r="A1179" s="154"/>
      <c r="B1179" s="113"/>
      <c r="C1179" s="123" t="s">
        <v>2162</v>
      </c>
      <c r="D1179" s="123"/>
      <c r="E1179" s="117"/>
      <c r="F1179" s="117"/>
      <c r="G1179" s="117"/>
      <c r="H1179" s="115">
        <f t="shared" si="182"/>
        <v>46789.1</v>
      </c>
      <c r="I1179" s="115">
        <f t="shared" si="183"/>
        <v>25887.1</v>
      </c>
      <c r="J1179" s="115">
        <f t="shared" si="184"/>
        <v>31135.949999999997</v>
      </c>
      <c r="K1179" s="115">
        <f t="shared" si="185"/>
        <v>44022.549999999996</v>
      </c>
      <c r="L1179" s="115">
        <f t="shared" si="186"/>
        <v>56188.7</v>
      </c>
      <c r="M1179" s="117"/>
      <c r="N1179" s="117"/>
      <c r="O1179" s="117"/>
      <c r="P1179" s="117"/>
      <c r="Q1179" s="125"/>
      <c r="R1179" s="125"/>
      <c r="S1179" s="125"/>
      <c r="T1179" s="125">
        <f>7879.15+15323.35+3373.5+15442.6+4770.5</f>
        <v>46789.1</v>
      </c>
      <c r="U1179" s="125">
        <f>-35210+14308</f>
        <v>-20902</v>
      </c>
      <c r="V1179" s="125">
        <v>5248.85</v>
      </c>
      <c r="W1179" s="125">
        <v>12886.6</v>
      </c>
      <c r="X1179" s="125">
        <v>12166.15</v>
      </c>
      <c r="Y1179" s="125"/>
      <c r="Z1179" s="125"/>
      <c r="AA1179" s="125"/>
      <c r="AB1179" s="125"/>
      <c r="AC1179" s="124"/>
      <c r="AD1179" s="117"/>
      <c r="AE1179" s="135"/>
      <c r="AG1179" s="120"/>
      <c r="AH1179" s="136"/>
    </row>
    <row r="1180" spans="1:280" ht="15">
      <c r="A1180" s="154"/>
      <c r="B1180" s="113"/>
      <c r="C1180" s="123" t="s">
        <v>2163</v>
      </c>
      <c r="D1180" s="123"/>
      <c r="E1180" s="117"/>
      <c r="F1180" s="117"/>
      <c r="G1180" s="117"/>
      <c r="H1180" s="115">
        <f t="shared" si="182"/>
        <v>1338.58</v>
      </c>
      <c r="I1180" s="115">
        <f t="shared" si="183"/>
        <v>1338.58</v>
      </c>
      <c r="J1180" s="115">
        <f t="shared" si="184"/>
        <v>1338.58</v>
      </c>
      <c r="K1180" s="115">
        <f t="shared" si="185"/>
        <v>1338.58</v>
      </c>
      <c r="L1180" s="115">
        <f t="shared" si="186"/>
        <v>1338.58</v>
      </c>
      <c r="M1180" s="117"/>
      <c r="N1180" s="117"/>
      <c r="O1180" s="117"/>
      <c r="P1180" s="117"/>
      <c r="Q1180" s="125"/>
      <c r="R1180" s="125"/>
      <c r="S1180" s="125"/>
      <c r="T1180" s="125">
        <v>1338.58</v>
      </c>
      <c r="U1180" s="125"/>
      <c r="V1180" s="125"/>
      <c r="W1180" s="125"/>
      <c r="X1180" s="125"/>
      <c r="Y1180" s="125"/>
      <c r="Z1180" s="125"/>
      <c r="AA1180" s="125"/>
      <c r="AB1180" s="125"/>
      <c r="AC1180" s="124"/>
      <c r="AD1180" s="117" t="s">
        <v>2164</v>
      </c>
      <c r="AE1180" s="135"/>
      <c r="AG1180" s="120"/>
      <c r="AH1180" s="136"/>
    </row>
    <row r="1181" spans="1:280" ht="15">
      <c r="A1181" s="154"/>
      <c r="B1181" s="113"/>
      <c r="C1181" s="123" t="s">
        <v>2165</v>
      </c>
      <c r="D1181" s="128"/>
      <c r="E1181" s="117"/>
      <c r="F1181" s="117"/>
      <c r="G1181" s="117"/>
      <c r="H1181" s="115">
        <f t="shared" si="182"/>
        <v>934267.22</v>
      </c>
      <c r="I1181" s="115">
        <f t="shared" si="183"/>
        <v>955680.22</v>
      </c>
      <c r="J1181" s="115">
        <f t="shared" si="184"/>
        <v>969385.22</v>
      </c>
      <c r="K1181" s="115">
        <f t="shared" si="185"/>
        <v>1002351.22</v>
      </c>
      <c r="L1181" s="115">
        <f t="shared" si="186"/>
        <v>1035620.22</v>
      </c>
      <c r="M1181" s="117"/>
      <c r="N1181" s="117"/>
      <c r="O1181" s="117"/>
      <c r="P1181" s="117"/>
      <c r="Q1181" s="125"/>
      <c r="R1181" s="125"/>
      <c r="S1181" s="125"/>
      <c r="T1181" s="125">
        <f>586178.77+53864.6-244348+16111+52533-47000+36735+35756+15270+62380+31265-33000+20455-106350+26191+58519+51475+10693-85800+89471+20775.35+53579.5+18427-102900+6403+70092.5+18650.5+1205+33680+29785-46220+27200+13685+28165+65094+46554+19692</f>
        <v>934267.22</v>
      </c>
      <c r="U1181" s="125">
        <v>21413</v>
      </c>
      <c r="V1181" s="125">
        <v>13705</v>
      </c>
      <c r="W1181" s="125">
        <v>32966</v>
      </c>
      <c r="X1181" s="125">
        <v>33269</v>
      </c>
      <c r="Y1181" s="125"/>
      <c r="Z1181" s="125"/>
      <c r="AA1181" s="125"/>
      <c r="AB1181" s="125"/>
      <c r="AC1181" s="124" t="s">
        <v>2323</v>
      </c>
      <c r="AD1181" s="117"/>
      <c r="AE1181" s="120">
        <v>10776</v>
      </c>
    </row>
    <row r="1182" spans="1:280" ht="15">
      <c r="A1182" s="154"/>
      <c r="B1182" s="113"/>
      <c r="C1182" s="123" t="s">
        <v>2166</v>
      </c>
      <c r="D1182" s="128"/>
      <c r="E1182" s="117"/>
      <c r="F1182" s="117"/>
      <c r="G1182" s="117"/>
      <c r="H1182" s="115">
        <f t="shared" si="182"/>
        <v>17376.689999999999</v>
      </c>
      <c r="I1182" s="115">
        <f t="shared" si="183"/>
        <v>17376.689999999999</v>
      </c>
      <c r="J1182" s="115">
        <f t="shared" si="184"/>
        <v>17376.689999999999</v>
      </c>
      <c r="K1182" s="115">
        <f t="shared" si="185"/>
        <v>17376.689999999999</v>
      </c>
      <c r="L1182" s="115">
        <f t="shared" si="186"/>
        <v>17376.689999999999</v>
      </c>
      <c r="M1182" s="117"/>
      <c r="N1182" s="117"/>
      <c r="O1182" s="117"/>
      <c r="P1182" s="117"/>
      <c r="Q1182" s="125"/>
      <c r="R1182" s="125"/>
      <c r="S1182" s="125"/>
      <c r="T1182" s="125">
        <f>17376.69</f>
        <v>17376.689999999999</v>
      </c>
      <c r="U1182" s="125"/>
      <c r="V1182" s="125"/>
      <c r="W1182" s="125"/>
      <c r="X1182" s="125"/>
      <c r="Y1182" s="125"/>
      <c r="Z1182" s="125"/>
      <c r="AA1182" s="125"/>
      <c r="AB1182" s="125"/>
      <c r="AC1182" s="124"/>
      <c r="AD1182" s="130"/>
      <c r="AE1182" s="177" t="e">
        <f>#REF!-AE1181</f>
        <v>#REF!</v>
      </c>
      <c r="AI1182" s="136" t="s">
        <v>2167</v>
      </c>
    </row>
    <row r="1183" spans="1:280" ht="15">
      <c r="A1183" s="154"/>
      <c r="B1183" s="113"/>
      <c r="C1183" s="123" t="s">
        <v>2168</v>
      </c>
      <c r="D1183" s="123"/>
      <c r="E1183" s="124"/>
      <c r="F1183" s="124"/>
      <c r="G1183" s="124"/>
      <c r="H1183" s="115">
        <f t="shared" si="182"/>
        <v>22042.83</v>
      </c>
      <c r="I1183" s="115">
        <f t="shared" si="183"/>
        <v>22042.83</v>
      </c>
      <c r="J1183" s="115">
        <f t="shared" si="184"/>
        <v>22042.83</v>
      </c>
      <c r="K1183" s="115">
        <f t="shared" si="185"/>
        <v>22042.83</v>
      </c>
      <c r="L1183" s="115">
        <f t="shared" si="186"/>
        <v>22042.83</v>
      </c>
      <c r="M1183" s="124"/>
      <c r="N1183" s="124"/>
      <c r="O1183" s="124"/>
      <c r="P1183" s="124"/>
      <c r="Q1183" s="125"/>
      <c r="R1183" s="125"/>
      <c r="S1183" s="125"/>
      <c r="T1183" s="125">
        <f>22042.83</f>
        <v>22042.83</v>
      </c>
      <c r="U1183" s="125"/>
      <c r="V1183" s="125"/>
      <c r="W1183" s="125"/>
      <c r="X1183" s="125"/>
      <c r="Y1183" s="125"/>
      <c r="Z1183" s="125"/>
      <c r="AA1183" s="125"/>
      <c r="AB1183" s="125"/>
      <c r="AC1183" s="124"/>
      <c r="AD1183" s="117"/>
      <c r="AF1183" s="108" t="s">
        <v>2169</v>
      </c>
      <c r="AI1183" s="137"/>
      <c r="BA1183" s="120"/>
    </row>
    <row r="1184" spans="1:280" ht="15">
      <c r="A1184" s="154"/>
      <c r="B1184" s="113"/>
      <c r="C1184" s="123" t="s">
        <v>2170</v>
      </c>
      <c r="D1184" s="123"/>
      <c r="E1184" s="124"/>
      <c r="F1184" s="124"/>
      <c r="G1184" s="124"/>
      <c r="H1184" s="115">
        <f t="shared" si="182"/>
        <v>121437</v>
      </c>
      <c r="I1184" s="115">
        <f t="shared" si="183"/>
        <v>131855</v>
      </c>
      <c r="J1184" s="115">
        <f t="shared" si="184"/>
        <v>134564</v>
      </c>
      <c r="K1184" s="115">
        <f t="shared" si="185"/>
        <v>136231</v>
      </c>
      <c r="L1184" s="115">
        <f t="shared" si="186"/>
        <v>168607</v>
      </c>
      <c r="M1184" s="124"/>
      <c r="N1184" s="124"/>
      <c r="O1184" s="124"/>
      <c r="P1184" s="124"/>
      <c r="Q1184" s="125"/>
      <c r="R1184" s="125"/>
      <c r="S1184" s="125"/>
      <c r="T1184" s="125">
        <f>11500-3000+17668+8334+18334+4167+4167+47167+13100</f>
        <v>121437</v>
      </c>
      <c r="U1184" s="125">
        <v>10418</v>
      </c>
      <c r="V1184" s="125">
        <v>2709</v>
      </c>
      <c r="W1184" s="125">
        <v>1667</v>
      </c>
      <c r="X1184" s="125">
        <v>32376</v>
      </c>
      <c r="Y1184" s="125"/>
      <c r="Z1184" s="125"/>
      <c r="AA1184" s="125"/>
      <c r="AB1184" s="125"/>
      <c r="AC1184" s="124"/>
      <c r="AD1184" s="117"/>
      <c r="AI1184" s="137"/>
      <c r="BA1184" s="120"/>
    </row>
    <row r="1185" spans="1:53" ht="15">
      <c r="A1185" s="154"/>
      <c r="B1185" s="113"/>
      <c r="C1185" s="123" t="s">
        <v>2171</v>
      </c>
      <c r="D1185" s="123"/>
      <c r="E1185" s="124"/>
      <c r="F1185" s="124"/>
      <c r="G1185" s="124"/>
      <c r="H1185" s="115">
        <f t="shared" si="182"/>
        <v>49000</v>
      </c>
      <c r="I1185" s="115">
        <f t="shared" si="183"/>
        <v>49000</v>
      </c>
      <c r="J1185" s="115">
        <f t="shared" si="184"/>
        <v>82766</v>
      </c>
      <c r="K1185" s="115">
        <f t="shared" si="185"/>
        <v>141532</v>
      </c>
      <c r="L1185" s="115">
        <f t="shared" si="186"/>
        <v>141532</v>
      </c>
      <c r="M1185" s="124"/>
      <c r="N1185" s="124"/>
      <c r="O1185" s="124"/>
      <c r="P1185" s="124"/>
      <c r="Q1185" s="125"/>
      <c r="R1185" s="125"/>
      <c r="S1185" s="125"/>
      <c r="T1185" s="125">
        <f>14000+14000+21000</f>
        <v>49000</v>
      </c>
      <c r="U1185" s="125"/>
      <c r="V1185" s="125">
        <v>33766</v>
      </c>
      <c r="W1185" s="125">
        <v>58766</v>
      </c>
      <c r="X1185" s="125"/>
      <c r="Y1185" s="125"/>
      <c r="Z1185" s="125"/>
      <c r="AA1185" s="125"/>
      <c r="AB1185" s="125"/>
      <c r="AC1185" s="124"/>
      <c r="AD1185" s="117"/>
      <c r="AI1185" s="137"/>
      <c r="BA1185" s="120"/>
    </row>
    <row r="1186" spans="1:53" ht="15">
      <c r="A1186" s="154"/>
      <c r="B1186" s="113"/>
      <c r="C1186" s="123" t="s">
        <v>2172</v>
      </c>
      <c r="D1186" s="123"/>
      <c r="E1186" s="124"/>
      <c r="F1186" s="124"/>
      <c r="G1186" s="124"/>
      <c r="H1186" s="115">
        <f t="shared" si="182"/>
        <v>8500</v>
      </c>
      <c r="I1186" s="115">
        <f t="shared" si="183"/>
        <v>8500</v>
      </c>
      <c r="J1186" s="115">
        <f t="shared" si="184"/>
        <v>8500</v>
      </c>
      <c r="K1186" s="115">
        <f t="shared" si="185"/>
        <v>8500</v>
      </c>
      <c r="L1186" s="115">
        <f t="shared" si="186"/>
        <v>8500</v>
      </c>
      <c r="M1186" s="124"/>
      <c r="N1186" s="124"/>
      <c r="O1186" s="124"/>
      <c r="P1186" s="124"/>
      <c r="Q1186" s="125"/>
      <c r="R1186" s="125"/>
      <c r="S1186" s="125"/>
      <c r="T1186" s="125">
        <f>8500</f>
        <v>8500</v>
      </c>
      <c r="U1186" s="125"/>
      <c r="V1186" s="125"/>
      <c r="W1186" s="125"/>
      <c r="X1186" s="125"/>
      <c r="Y1186" s="125"/>
      <c r="Z1186" s="125"/>
      <c r="AA1186" s="125"/>
      <c r="AB1186" s="125"/>
      <c r="AC1186" s="124"/>
      <c r="AD1186" s="117"/>
      <c r="AI1186" s="137"/>
      <c r="BA1186" s="120"/>
    </row>
    <row r="1187" spans="1:53" ht="15">
      <c r="A1187" s="154"/>
      <c r="B1187" s="113"/>
      <c r="C1187" s="123" t="s">
        <v>2173</v>
      </c>
      <c r="D1187" s="123"/>
      <c r="E1187" s="124"/>
      <c r="F1187" s="124"/>
      <c r="G1187" s="124"/>
      <c r="H1187" s="115">
        <f t="shared" si="182"/>
        <v>382420</v>
      </c>
      <c r="I1187" s="115">
        <f t="shared" si="183"/>
        <v>382420</v>
      </c>
      <c r="J1187" s="115">
        <f t="shared" si="184"/>
        <v>382420</v>
      </c>
      <c r="K1187" s="115">
        <f t="shared" si="185"/>
        <v>382420</v>
      </c>
      <c r="L1187" s="115">
        <f t="shared" si="186"/>
        <v>382420</v>
      </c>
      <c r="M1187" s="124"/>
      <c r="N1187" s="124"/>
      <c r="O1187" s="124"/>
      <c r="P1187" s="124"/>
      <c r="Q1187" s="125"/>
      <c r="R1187" s="125"/>
      <c r="S1187" s="125"/>
      <c r="T1187" s="125">
        <f>240100+10000+40000+83700+20000+25000-10000-10000-16380</f>
        <v>382420</v>
      </c>
      <c r="U1187" s="125"/>
      <c r="V1187" s="125"/>
      <c r="W1187" s="125"/>
      <c r="X1187" s="125"/>
      <c r="Y1187" s="125"/>
      <c r="Z1187" s="125"/>
      <c r="AA1187" s="125"/>
      <c r="AB1187" s="125"/>
      <c r="AC1187" s="124"/>
      <c r="AD1187" s="117"/>
      <c r="AG1187" s="120"/>
      <c r="AH1187" s="137"/>
      <c r="BA1187" s="120"/>
    </row>
    <row r="1188" spans="1:53" ht="15">
      <c r="A1188" s="154"/>
      <c r="B1188" s="113"/>
      <c r="C1188" s="123" t="s">
        <v>2174</v>
      </c>
      <c r="D1188" s="123"/>
      <c r="E1188" s="124"/>
      <c r="F1188" s="124"/>
      <c r="G1188" s="124"/>
      <c r="H1188" s="115">
        <f t="shared" si="182"/>
        <v>79000</v>
      </c>
      <c r="I1188" s="115">
        <f t="shared" si="183"/>
        <v>107000</v>
      </c>
      <c r="J1188" s="115">
        <f t="shared" si="184"/>
        <v>62500</v>
      </c>
      <c r="K1188" s="115">
        <f t="shared" si="185"/>
        <v>62500</v>
      </c>
      <c r="L1188" s="115">
        <f t="shared" si="186"/>
        <v>62500</v>
      </c>
      <c r="M1188" s="124"/>
      <c r="N1188" s="124"/>
      <c r="O1188" s="124"/>
      <c r="P1188" s="124"/>
      <c r="Q1188" s="125"/>
      <c r="R1188" s="125"/>
      <c r="S1188" s="125"/>
      <c r="T1188" s="125">
        <f>42000+37000</f>
        <v>79000</v>
      </c>
      <c r="U1188" s="125">
        <v>28000</v>
      </c>
      <c r="V1188" s="125">
        <v>-44500</v>
      </c>
      <c r="W1188" s="125"/>
      <c r="X1188" s="125"/>
      <c r="Y1188" s="125"/>
      <c r="Z1188" s="125"/>
      <c r="AA1188" s="125"/>
      <c r="AB1188" s="125"/>
      <c r="AC1188" s="124"/>
      <c r="AD1188" s="117"/>
      <c r="AG1188" s="120"/>
      <c r="AH1188" s="137"/>
      <c r="BA1188" s="120"/>
    </row>
    <row r="1189" spans="1:53" ht="15">
      <c r="A1189" s="154"/>
      <c r="B1189" s="113"/>
      <c r="C1189" s="123" t="s">
        <v>2175</v>
      </c>
      <c r="D1189" s="123"/>
      <c r="E1189" s="124"/>
      <c r="F1189" s="124"/>
      <c r="G1189" s="124"/>
      <c r="H1189" s="115">
        <f t="shared" si="182"/>
        <v>500</v>
      </c>
      <c r="I1189" s="115">
        <f t="shared" si="183"/>
        <v>500</v>
      </c>
      <c r="J1189" s="115">
        <f t="shared" si="184"/>
        <v>500</v>
      </c>
      <c r="K1189" s="115">
        <f t="shared" si="185"/>
        <v>500</v>
      </c>
      <c r="L1189" s="115">
        <f t="shared" si="186"/>
        <v>500</v>
      </c>
      <c r="M1189" s="124"/>
      <c r="N1189" s="124"/>
      <c r="O1189" s="124"/>
      <c r="P1189" s="124"/>
      <c r="Q1189" s="125"/>
      <c r="R1189" s="125"/>
      <c r="S1189" s="125"/>
      <c r="T1189" s="125">
        <v>500</v>
      </c>
      <c r="U1189" s="125"/>
      <c r="V1189" s="125"/>
      <c r="W1189" s="125"/>
      <c r="X1189" s="125"/>
      <c r="Y1189" s="125"/>
      <c r="Z1189" s="125"/>
      <c r="AA1189" s="125"/>
      <c r="AB1189" s="125"/>
      <c r="AC1189" s="124"/>
      <c r="AD1189" s="117"/>
      <c r="AG1189" s="120"/>
      <c r="AH1189" s="137"/>
      <c r="BA1189" s="120"/>
    </row>
    <row r="1190" spans="1:53" ht="15">
      <c r="A1190" s="154"/>
      <c r="B1190" s="113"/>
      <c r="C1190" s="123" t="s">
        <v>2176</v>
      </c>
      <c r="D1190" s="123"/>
      <c r="E1190" s="124"/>
      <c r="F1190" s="124"/>
      <c r="G1190" s="124"/>
      <c r="H1190" s="115">
        <f t="shared" si="182"/>
        <v>600</v>
      </c>
      <c r="I1190" s="115">
        <f t="shared" si="183"/>
        <v>600</v>
      </c>
      <c r="J1190" s="115">
        <f t="shared" si="184"/>
        <v>600</v>
      </c>
      <c r="K1190" s="115">
        <f t="shared" si="185"/>
        <v>600</v>
      </c>
      <c r="L1190" s="115">
        <f t="shared" si="186"/>
        <v>600</v>
      </c>
      <c r="M1190" s="124"/>
      <c r="N1190" s="124"/>
      <c r="O1190" s="124"/>
      <c r="P1190" s="124"/>
      <c r="Q1190" s="125"/>
      <c r="R1190" s="125"/>
      <c r="S1190" s="125"/>
      <c r="T1190" s="125">
        <f>50+250+300</f>
        <v>600</v>
      </c>
      <c r="U1190" s="125"/>
      <c r="V1190" s="125"/>
      <c r="W1190" s="125"/>
      <c r="X1190" s="125"/>
      <c r="Y1190" s="125"/>
      <c r="Z1190" s="125"/>
      <c r="AA1190" s="125"/>
      <c r="AB1190" s="125"/>
      <c r="AC1190" s="124"/>
      <c r="AD1190" s="117"/>
      <c r="AG1190" s="120"/>
      <c r="AH1190" s="137"/>
      <c r="BA1190" s="120"/>
    </row>
    <row r="1191" spans="1:53" ht="15">
      <c r="A1191" s="154"/>
      <c r="B1191" s="113"/>
      <c r="C1191" s="123" t="s">
        <v>2177</v>
      </c>
      <c r="D1191" s="123"/>
      <c r="E1191" s="124"/>
      <c r="F1191" s="124"/>
      <c r="G1191" s="124"/>
      <c r="H1191" s="115">
        <f t="shared" si="182"/>
        <v>661619.1399999999</v>
      </c>
      <c r="I1191" s="115">
        <f t="shared" si="183"/>
        <v>661619.1399999999</v>
      </c>
      <c r="J1191" s="115">
        <f t="shared" si="184"/>
        <v>661619.1399999999</v>
      </c>
      <c r="K1191" s="115">
        <f t="shared" si="185"/>
        <v>661619.1399999999</v>
      </c>
      <c r="L1191" s="115">
        <f t="shared" si="186"/>
        <v>661619.1399999999</v>
      </c>
      <c r="M1191" s="124"/>
      <c r="N1191" s="124"/>
      <c r="O1191" s="124"/>
      <c r="P1191" s="124"/>
      <c r="Q1191" s="125"/>
      <c r="R1191" s="125"/>
      <c r="S1191" s="125"/>
      <c r="T1191" s="125">
        <f>861992.5+308266.5-13470-1500-19971.36-300000+1050-144400-30348.5</f>
        <v>661619.1399999999</v>
      </c>
      <c r="U1191" s="125"/>
      <c r="V1191" s="125"/>
      <c r="W1191" s="125"/>
      <c r="X1191" s="125"/>
      <c r="Y1191" s="125"/>
      <c r="Z1191" s="125"/>
      <c r="AA1191" s="125"/>
      <c r="AB1191" s="125"/>
      <c r="AC1191" s="124"/>
      <c r="AD1191" s="117"/>
      <c r="AE1191" s="108" t="s">
        <v>2178</v>
      </c>
      <c r="AG1191" s="120">
        <v>300000</v>
      </c>
      <c r="AH1191" s="136" t="s">
        <v>2179</v>
      </c>
      <c r="BA1191" s="120"/>
    </row>
    <row r="1192" spans="1:53" ht="15">
      <c r="A1192" s="154"/>
      <c r="B1192" s="113"/>
      <c r="C1192" s="123" t="s">
        <v>2180</v>
      </c>
      <c r="D1192" s="123"/>
      <c r="E1192" s="124"/>
      <c r="F1192" s="124"/>
      <c r="G1192" s="124"/>
      <c r="H1192" s="115">
        <f t="shared" si="182"/>
        <v>3500</v>
      </c>
      <c r="I1192" s="115">
        <f t="shared" si="183"/>
        <v>3500</v>
      </c>
      <c r="J1192" s="115">
        <f t="shared" si="184"/>
        <v>3500</v>
      </c>
      <c r="K1192" s="115">
        <f t="shared" si="185"/>
        <v>3500</v>
      </c>
      <c r="L1192" s="115">
        <f t="shared" si="186"/>
        <v>3500</v>
      </c>
      <c r="M1192" s="124"/>
      <c r="N1192" s="124"/>
      <c r="O1192" s="124"/>
      <c r="P1192" s="124"/>
      <c r="Q1192" s="125"/>
      <c r="R1192" s="125"/>
      <c r="S1192" s="125"/>
      <c r="T1192" s="125">
        <f>3500</f>
        <v>3500</v>
      </c>
      <c r="U1192" s="125"/>
      <c r="V1192" s="125"/>
      <c r="W1192" s="125"/>
      <c r="X1192" s="125"/>
      <c r="Y1192" s="125"/>
      <c r="Z1192" s="125"/>
      <c r="AA1192" s="125"/>
      <c r="AB1192" s="125"/>
      <c r="AC1192" s="124"/>
      <c r="AD1192" s="117"/>
      <c r="AH1192" s="120"/>
      <c r="BA1192" s="120">
        <v>110</v>
      </c>
    </row>
    <row r="1193" spans="1:53" ht="15">
      <c r="A1193" s="154"/>
      <c r="B1193" s="113"/>
      <c r="C1193" s="123" t="s">
        <v>2181</v>
      </c>
      <c r="D1193" s="123"/>
      <c r="E1193" s="124"/>
      <c r="F1193" s="124"/>
      <c r="G1193" s="124"/>
      <c r="H1193" s="115">
        <f t="shared" si="182"/>
        <v>1250</v>
      </c>
      <c r="I1193" s="115">
        <f t="shared" si="183"/>
        <v>1250</v>
      </c>
      <c r="J1193" s="115">
        <f t="shared" si="184"/>
        <v>1250</v>
      </c>
      <c r="K1193" s="115">
        <f t="shared" si="185"/>
        <v>1250</v>
      </c>
      <c r="L1193" s="115">
        <f t="shared" si="186"/>
        <v>1250</v>
      </c>
      <c r="M1193" s="124"/>
      <c r="N1193" s="124"/>
      <c r="O1193" s="124"/>
      <c r="P1193" s="124"/>
      <c r="Q1193" s="125"/>
      <c r="R1193" s="125"/>
      <c r="S1193" s="125"/>
      <c r="T1193" s="125">
        <v>1250</v>
      </c>
      <c r="U1193" s="125"/>
      <c r="V1193" s="125"/>
      <c r="W1193" s="125"/>
      <c r="X1193" s="125"/>
      <c r="Y1193" s="125"/>
      <c r="Z1193" s="125"/>
      <c r="AA1193" s="125"/>
      <c r="AB1193" s="125"/>
      <c r="AC1193" s="124"/>
      <c r="AD1193" s="117"/>
      <c r="AH1193" s="120"/>
      <c r="BA1193" s="120"/>
    </row>
    <row r="1194" spans="1:53" ht="15">
      <c r="A1194" s="154"/>
      <c r="B1194" s="113"/>
      <c r="C1194" s="123" t="s">
        <v>2182</v>
      </c>
      <c r="D1194" s="123"/>
      <c r="E1194" s="124"/>
      <c r="F1194" s="124"/>
      <c r="G1194" s="124"/>
      <c r="H1194" s="115">
        <f t="shared" si="182"/>
        <v>50376.01</v>
      </c>
      <c r="I1194" s="115">
        <f t="shared" si="183"/>
        <v>50376.01</v>
      </c>
      <c r="J1194" s="115">
        <f t="shared" si="184"/>
        <v>50376.01</v>
      </c>
      <c r="K1194" s="115">
        <f t="shared" si="185"/>
        <v>50376.01</v>
      </c>
      <c r="L1194" s="115">
        <f t="shared" si="186"/>
        <v>50376.01</v>
      </c>
      <c r="M1194" s="124"/>
      <c r="N1194" s="124"/>
      <c r="O1194" s="124"/>
      <c r="P1194" s="124"/>
      <c r="Q1194" s="125"/>
      <c r="R1194" s="125"/>
      <c r="S1194" s="125"/>
      <c r="T1194" s="125">
        <f>48882.01+1494</f>
        <v>50376.01</v>
      </c>
      <c r="U1194" s="125"/>
      <c r="V1194" s="125"/>
      <c r="W1194" s="125"/>
      <c r="X1194" s="125"/>
      <c r="Y1194" s="125"/>
      <c r="Z1194" s="125"/>
      <c r="AA1194" s="125"/>
      <c r="AB1194" s="125"/>
      <c r="AC1194" s="124"/>
      <c r="AD1194" s="117"/>
      <c r="AH1194" s="120"/>
      <c r="AI1194" s="136"/>
      <c r="BA1194" s="120">
        <v>1435.95</v>
      </c>
    </row>
    <row r="1195" spans="1:53" ht="15">
      <c r="A1195" s="154"/>
      <c r="B1195" s="113"/>
      <c r="C1195" s="123" t="s">
        <v>2183</v>
      </c>
      <c r="D1195" s="123"/>
      <c r="E1195" s="124"/>
      <c r="F1195" s="124"/>
      <c r="G1195" s="124"/>
      <c r="H1195" s="115">
        <f t="shared" si="182"/>
        <v>6015</v>
      </c>
      <c r="I1195" s="115">
        <f t="shared" si="183"/>
        <v>6015</v>
      </c>
      <c r="J1195" s="115">
        <f t="shared" si="184"/>
        <v>6115</v>
      </c>
      <c r="K1195" s="115">
        <f t="shared" si="185"/>
        <v>6315</v>
      </c>
      <c r="L1195" s="115">
        <f t="shared" si="186"/>
        <v>6415</v>
      </c>
      <c r="M1195" s="124"/>
      <c r="N1195" s="124"/>
      <c r="O1195" s="124"/>
      <c r="P1195" s="124"/>
      <c r="Q1195" s="125"/>
      <c r="R1195" s="125"/>
      <c r="S1195" s="125"/>
      <c r="T1195" s="125">
        <f>715+200+200+300+100+200+100+100+400+400+400+2000+100+100+100+100+100+100+300</f>
        <v>6015</v>
      </c>
      <c r="U1195" s="125"/>
      <c r="V1195" s="125">
        <v>100</v>
      </c>
      <c r="W1195" s="125">
        <v>200</v>
      </c>
      <c r="X1195" s="125">
        <v>100</v>
      </c>
      <c r="Y1195" s="125"/>
      <c r="Z1195" s="125"/>
      <c r="AA1195" s="125"/>
      <c r="AB1195" s="125"/>
      <c r="AC1195" s="124"/>
      <c r="AD1195" s="117"/>
      <c r="AH1195" s="120"/>
      <c r="AI1195" s="136"/>
      <c r="AL1195" s="126" t="s">
        <v>2184</v>
      </c>
      <c r="BA1195" s="120">
        <v>2868</v>
      </c>
    </row>
    <row r="1196" spans="1:53" ht="15">
      <c r="A1196" s="154"/>
      <c r="B1196" s="113"/>
      <c r="C1196" s="123" t="s">
        <v>2185</v>
      </c>
      <c r="D1196" s="123"/>
      <c r="E1196" s="124"/>
      <c r="F1196" s="124"/>
      <c r="G1196" s="124"/>
      <c r="H1196" s="115">
        <f t="shared" si="182"/>
        <v>5000</v>
      </c>
      <c r="I1196" s="115">
        <f t="shared" si="183"/>
        <v>5000</v>
      </c>
      <c r="J1196" s="115">
        <f t="shared" si="184"/>
        <v>5000</v>
      </c>
      <c r="K1196" s="115">
        <f t="shared" si="185"/>
        <v>5000</v>
      </c>
      <c r="L1196" s="115">
        <f t="shared" si="186"/>
        <v>5000</v>
      </c>
      <c r="M1196" s="124"/>
      <c r="N1196" s="124"/>
      <c r="O1196" s="124"/>
      <c r="P1196" s="124"/>
      <c r="Q1196" s="125"/>
      <c r="R1196" s="125"/>
      <c r="S1196" s="125"/>
      <c r="T1196" s="125">
        <f>5000</f>
        <v>5000</v>
      </c>
      <c r="U1196" s="125"/>
      <c r="V1196" s="125"/>
      <c r="W1196" s="125"/>
      <c r="X1196" s="125"/>
      <c r="Y1196" s="125"/>
      <c r="Z1196" s="125"/>
      <c r="AA1196" s="125"/>
      <c r="AB1196" s="125"/>
      <c r="AC1196" s="124"/>
      <c r="AD1196" s="117"/>
      <c r="AJ1196" s="221">
        <v>150000</v>
      </c>
      <c r="BA1196" s="120">
        <v>5550.67</v>
      </c>
    </row>
    <row r="1197" spans="1:53" ht="15">
      <c r="A1197" s="154"/>
      <c r="B1197" s="113"/>
      <c r="C1197" s="123" t="s">
        <v>2186</v>
      </c>
      <c r="D1197" s="123"/>
      <c r="E1197" s="124"/>
      <c r="F1197" s="124"/>
      <c r="G1197" s="124"/>
      <c r="H1197" s="115">
        <f t="shared" si="182"/>
        <v>4914.53</v>
      </c>
      <c r="I1197" s="115">
        <f t="shared" si="183"/>
        <v>4914.53</v>
      </c>
      <c r="J1197" s="115">
        <f t="shared" si="184"/>
        <v>4914.53</v>
      </c>
      <c r="K1197" s="115">
        <f t="shared" si="185"/>
        <v>4914.53</v>
      </c>
      <c r="L1197" s="115">
        <f t="shared" si="186"/>
        <v>4914.53</v>
      </c>
      <c r="M1197" s="124"/>
      <c r="N1197" s="124"/>
      <c r="O1197" s="124"/>
      <c r="P1197" s="124"/>
      <c r="Q1197" s="125"/>
      <c r="R1197" s="125"/>
      <c r="S1197" s="125"/>
      <c r="T1197" s="125">
        <f>4914.53</f>
        <v>4914.53</v>
      </c>
      <c r="U1197" s="125"/>
      <c r="V1197" s="125"/>
      <c r="W1197" s="125"/>
      <c r="X1197" s="125"/>
      <c r="Y1197" s="125"/>
      <c r="Z1197" s="125"/>
      <c r="AA1197" s="125"/>
      <c r="AB1197" s="125"/>
      <c r="AC1197" s="124"/>
      <c r="AD1197" s="117"/>
      <c r="AJ1197" s="192"/>
      <c r="BA1197" s="120"/>
    </row>
    <row r="1198" spans="1:53" ht="15">
      <c r="A1198" s="154"/>
      <c r="B1198" s="113"/>
      <c r="C1198" s="123" t="s">
        <v>2187</v>
      </c>
      <c r="D1198" s="123"/>
      <c r="E1198" s="124"/>
      <c r="F1198" s="124"/>
      <c r="G1198" s="124"/>
      <c r="H1198" s="115">
        <f t="shared" si="182"/>
        <v>26420</v>
      </c>
      <c r="I1198" s="115">
        <f t="shared" si="183"/>
        <v>26420</v>
      </c>
      <c r="J1198" s="115">
        <f t="shared" si="184"/>
        <v>26420</v>
      </c>
      <c r="K1198" s="115">
        <f t="shared" si="185"/>
        <v>26420</v>
      </c>
      <c r="L1198" s="115">
        <f t="shared" si="186"/>
        <v>27220</v>
      </c>
      <c r="M1198" s="124"/>
      <c r="N1198" s="124"/>
      <c r="O1198" s="124"/>
      <c r="P1198" s="124"/>
      <c r="Q1198" s="125"/>
      <c r="R1198" s="125"/>
      <c r="S1198" s="125"/>
      <c r="T1198" s="125">
        <f>7200+15820+600+600+600+800-800+800+800</f>
        <v>26420</v>
      </c>
      <c r="U1198" s="125"/>
      <c r="V1198" s="125"/>
      <c r="W1198" s="125"/>
      <c r="X1198" s="125">
        <v>800</v>
      </c>
      <c r="Y1198" s="125"/>
      <c r="Z1198" s="125"/>
      <c r="AA1198" s="125"/>
      <c r="AB1198" s="125"/>
      <c r="AC1198" s="124"/>
      <c r="AD1198" s="117"/>
      <c r="AJ1198" s="192"/>
      <c r="BA1198" s="120"/>
    </row>
    <row r="1199" spans="1:53" ht="15">
      <c r="A1199" s="154"/>
      <c r="B1199" s="113"/>
      <c r="C1199" s="123" t="s">
        <v>2188</v>
      </c>
      <c r="D1199" s="123"/>
      <c r="E1199" s="117"/>
      <c r="F1199" s="117"/>
      <c r="G1199" s="117"/>
      <c r="H1199" s="115">
        <f t="shared" si="182"/>
        <v>202162.85</v>
      </c>
      <c r="I1199" s="115">
        <f t="shared" si="183"/>
        <v>202162.85</v>
      </c>
      <c r="J1199" s="115">
        <f t="shared" si="184"/>
        <v>202162.85</v>
      </c>
      <c r="K1199" s="115">
        <f t="shared" si="185"/>
        <v>202162.85</v>
      </c>
      <c r="L1199" s="115">
        <f t="shared" si="186"/>
        <v>202162.85</v>
      </c>
      <c r="M1199" s="117"/>
      <c r="N1199" s="117"/>
      <c r="O1199" s="117"/>
      <c r="P1199" s="117"/>
      <c r="Q1199" s="125"/>
      <c r="R1199" s="125"/>
      <c r="S1199" s="125"/>
      <c r="T1199" s="125">
        <f>130442.85+12340+715+5321+6080+3081+11803+3144+6261+1270+2571+1020+4700+5683+1720+2639+335-10000+715+5536+5936+850</f>
        <v>202162.85</v>
      </c>
      <c r="U1199" s="125"/>
      <c r="V1199" s="125"/>
      <c r="W1199" s="125"/>
      <c r="X1199" s="125"/>
      <c r="Y1199" s="125"/>
      <c r="Z1199" s="125"/>
      <c r="AA1199" s="125"/>
      <c r="AB1199" s="125"/>
      <c r="AC1199" s="124"/>
      <c r="AD1199" s="117"/>
      <c r="AH1199" s="120"/>
      <c r="AJ1199" s="192"/>
      <c r="BA1199" s="120"/>
    </row>
    <row r="1200" spans="1:53" ht="15">
      <c r="A1200" s="154"/>
      <c r="B1200" s="113"/>
      <c r="C1200" s="123" t="s">
        <v>2189</v>
      </c>
      <c r="D1200" s="123"/>
      <c r="E1200" s="124"/>
      <c r="F1200" s="124"/>
      <c r="G1200" s="124"/>
      <c r="H1200" s="115">
        <f t="shared" si="182"/>
        <v>30000</v>
      </c>
      <c r="I1200" s="115">
        <f t="shared" si="183"/>
        <v>30000</v>
      </c>
      <c r="J1200" s="115">
        <f t="shared" si="184"/>
        <v>30000</v>
      </c>
      <c r="K1200" s="115">
        <f t="shared" si="185"/>
        <v>30000</v>
      </c>
      <c r="L1200" s="115">
        <f t="shared" si="186"/>
        <v>30000</v>
      </c>
      <c r="M1200" s="124"/>
      <c r="N1200" s="124"/>
      <c r="O1200" s="124"/>
      <c r="P1200" s="124"/>
      <c r="Q1200" s="125"/>
      <c r="R1200" s="125"/>
      <c r="S1200" s="125"/>
      <c r="T1200" s="125">
        <v>30000</v>
      </c>
      <c r="U1200" s="125"/>
      <c r="V1200" s="125"/>
      <c r="W1200" s="125"/>
      <c r="X1200" s="125"/>
      <c r="Y1200" s="125"/>
      <c r="Z1200" s="125"/>
      <c r="AA1200" s="125"/>
      <c r="AB1200" s="125"/>
      <c r="AC1200" s="124"/>
      <c r="AD1200" s="117"/>
      <c r="AH1200" s="120"/>
      <c r="AJ1200" s="192"/>
      <c r="BA1200" s="120"/>
    </row>
    <row r="1201" spans="1:53" ht="15">
      <c r="A1201" s="154"/>
      <c r="B1201" s="113"/>
      <c r="C1201" s="123" t="s">
        <v>2190</v>
      </c>
      <c r="D1201" s="123"/>
      <c r="E1201" s="124"/>
      <c r="F1201" s="124"/>
      <c r="G1201" s="124"/>
      <c r="H1201" s="115">
        <f t="shared" si="182"/>
        <v>220000</v>
      </c>
      <c r="I1201" s="115">
        <f t="shared" si="183"/>
        <v>220000</v>
      </c>
      <c r="J1201" s="115">
        <f t="shared" si="184"/>
        <v>220000</v>
      </c>
      <c r="K1201" s="115">
        <f t="shared" si="185"/>
        <v>220000</v>
      </c>
      <c r="L1201" s="115">
        <f t="shared" si="186"/>
        <v>220000</v>
      </c>
      <c r="M1201" s="124"/>
      <c r="N1201" s="124"/>
      <c r="O1201" s="124"/>
      <c r="P1201" s="124"/>
      <c r="Q1201" s="125"/>
      <c r="R1201" s="125"/>
      <c r="S1201" s="125"/>
      <c r="T1201" s="125">
        <f>220000</f>
        <v>220000</v>
      </c>
      <c r="U1201" s="125"/>
      <c r="V1201" s="125"/>
      <c r="W1201" s="125"/>
      <c r="X1201" s="125"/>
      <c r="Y1201" s="125"/>
      <c r="Z1201" s="125"/>
      <c r="AA1201" s="125"/>
      <c r="AB1201" s="125"/>
      <c r="AC1201" s="124"/>
      <c r="AD1201" s="117"/>
      <c r="AH1201" s="120"/>
      <c r="AJ1201" s="120">
        <v>100000</v>
      </c>
      <c r="AL1201" s="170">
        <f>AJ1196-AJ1201</f>
        <v>50000</v>
      </c>
      <c r="BA1201" s="120">
        <v>24663</v>
      </c>
    </row>
    <row r="1202" spans="1:53" ht="15">
      <c r="A1202" s="154"/>
      <c r="B1202" s="113"/>
      <c r="C1202" s="123" t="s">
        <v>2191</v>
      </c>
      <c r="D1202" s="123"/>
      <c r="E1202" s="117"/>
      <c r="F1202" s="117"/>
      <c r="G1202" s="117"/>
      <c r="H1202" s="115">
        <f t="shared" si="182"/>
        <v>10895.79</v>
      </c>
      <c r="I1202" s="115">
        <f t="shared" si="183"/>
        <v>10895.79</v>
      </c>
      <c r="J1202" s="115">
        <f t="shared" si="184"/>
        <v>10895.79</v>
      </c>
      <c r="K1202" s="115">
        <f t="shared" si="185"/>
        <v>10895.79</v>
      </c>
      <c r="L1202" s="115">
        <f t="shared" si="186"/>
        <v>10895.79</v>
      </c>
      <c r="M1202" s="117"/>
      <c r="N1202" s="117"/>
      <c r="O1202" s="117"/>
      <c r="P1202" s="117"/>
      <c r="Q1202" s="125"/>
      <c r="R1202" s="125"/>
      <c r="S1202" s="125"/>
      <c r="T1202" s="125">
        <v>10895.79</v>
      </c>
      <c r="U1202" s="125"/>
      <c r="V1202" s="125"/>
      <c r="W1202" s="125"/>
      <c r="X1202" s="125"/>
      <c r="Y1202" s="125"/>
      <c r="Z1202" s="125"/>
      <c r="AA1202" s="125"/>
      <c r="AB1202" s="125"/>
      <c r="AC1202" s="124"/>
      <c r="AD1202" s="117"/>
      <c r="AF1202" s="108" t="s">
        <v>2192</v>
      </c>
      <c r="AH1202" s="120"/>
      <c r="AJ1202" s="120"/>
      <c r="BA1202" s="120">
        <v>123295.75</v>
      </c>
    </row>
    <row r="1203" spans="1:53" ht="15">
      <c r="A1203" s="154"/>
      <c r="B1203" s="113"/>
      <c r="C1203" s="123" t="s">
        <v>1076</v>
      </c>
      <c r="D1203" s="128"/>
      <c r="E1203" s="117"/>
      <c r="F1203" s="117"/>
      <c r="G1203" s="117"/>
      <c r="H1203" s="115">
        <f t="shared" si="182"/>
        <v>663533.53</v>
      </c>
      <c r="I1203" s="115">
        <f t="shared" si="183"/>
        <v>663533.53</v>
      </c>
      <c r="J1203" s="115">
        <f t="shared" si="184"/>
        <v>663533.53</v>
      </c>
      <c r="K1203" s="115">
        <f t="shared" si="185"/>
        <v>663533.53</v>
      </c>
      <c r="L1203" s="115">
        <f t="shared" si="186"/>
        <v>663533.53</v>
      </c>
      <c r="M1203" s="117"/>
      <c r="N1203" s="117"/>
      <c r="O1203" s="117"/>
      <c r="P1203" s="117"/>
      <c r="Q1203" s="125"/>
      <c r="R1203" s="125"/>
      <c r="S1203" s="125"/>
      <c r="T1203" s="125">
        <f>767433.53-42700-25200-36000</f>
        <v>663533.53</v>
      </c>
      <c r="U1203" s="125"/>
      <c r="V1203" s="125"/>
      <c r="W1203" s="125"/>
      <c r="X1203" s="125"/>
      <c r="Y1203" s="125"/>
      <c r="Z1203" s="125"/>
      <c r="AA1203" s="125"/>
      <c r="AB1203" s="125"/>
      <c r="AC1203" s="124"/>
      <c r="AD1203" s="117" t="s">
        <v>2193</v>
      </c>
      <c r="AF1203" s="108" t="s">
        <v>2194</v>
      </c>
      <c r="AH1203" s="120">
        <v>42700</v>
      </c>
      <c r="AI1203" s="136" t="s">
        <v>2195</v>
      </c>
      <c r="BA1203" s="120">
        <v>18790</v>
      </c>
    </row>
    <row r="1204" spans="1:53" ht="15">
      <c r="A1204" s="154"/>
      <c r="B1204" s="113"/>
      <c r="C1204" s="123" t="s">
        <v>2346</v>
      </c>
      <c r="D1204" s="128"/>
      <c r="E1204" s="117"/>
      <c r="F1204" s="117"/>
      <c r="G1204" s="117"/>
      <c r="H1204" s="115"/>
      <c r="I1204" s="115"/>
      <c r="J1204" s="115"/>
      <c r="K1204" s="115">
        <f t="shared" ref="K1204" si="189">Q1204+R1204+S1204+T1204+U1204+V1204+W1204</f>
        <v>0</v>
      </c>
      <c r="L1204" s="115">
        <f t="shared" ref="L1204" si="190">Q1204+R1204+S1204+T1204+U1204+V1204+W1204+X1204</f>
        <v>80000</v>
      </c>
      <c r="M1204" s="117"/>
      <c r="N1204" s="117"/>
      <c r="O1204" s="117"/>
      <c r="P1204" s="117"/>
      <c r="Q1204" s="125"/>
      <c r="R1204" s="125"/>
      <c r="S1204" s="125"/>
      <c r="T1204" s="125"/>
      <c r="U1204" s="125"/>
      <c r="V1204" s="125"/>
      <c r="W1204" s="125"/>
      <c r="X1204" s="125">
        <v>80000</v>
      </c>
      <c r="Y1204" s="125"/>
      <c r="Z1204" s="125"/>
      <c r="AA1204" s="125"/>
      <c r="AB1204" s="125"/>
      <c r="AC1204" s="124"/>
      <c r="AD1204" s="117"/>
      <c r="AH1204" s="120"/>
      <c r="AI1204" s="136"/>
      <c r="BA1204" s="120"/>
    </row>
    <row r="1205" spans="1:53" ht="15">
      <c r="A1205" s="154"/>
      <c r="B1205" s="113"/>
      <c r="C1205" s="123" t="s">
        <v>2196</v>
      </c>
      <c r="D1205" s="128"/>
      <c r="E1205" s="117"/>
      <c r="F1205" s="117"/>
      <c r="G1205" s="117"/>
      <c r="H1205" s="115">
        <f t="shared" si="182"/>
        <v>60000</v>
      </c>
      <c r="I1205" s="115">
        <f t="shared" si="183"/>
        <v>60000</v>
      </c>
      <c r="J1205" s="115">
        <f t="shared" si="184"/>
        <v>60000</v>
      </c>
      <c r="K1205" s="115">
        <f t="shared" si="185"/>
        <v>60000</v>
      </c>
      <c r="L1205" s="115">
        <f t="shared" si="186"/>
        <v>60000</v>
      </c>
      <c r="M1205" s="117"/>
      <c r="N1205" s="117"/>
      <c r="O1205" s="117"/>
      <c r="P1205" s="117"/>
      <c r="Q1205" s="125"/>
      <c r="R1205" s="125"/>
      <c r="S1205" s="125"/>
      <c r="T1205" s="125">
        <f>60000</f>
        <v>60000</v>
      </c>
      <c r="U1205" s="125"/>
      <c r="V1205" s="125"/>
      <c r="W1205" s="125"/>
      <c r="X1205" s="125"/>
      <c r="Y1205" s="125"/>
      <c r="Z1205" s="125"/>
      <c r="AA1205" s="125"/>
      <c r="AB1205" s="125"/>
      <c r="AC1205" s="124"/>
      <c r="AD1205" s="117"/>
      <c r="AH1205" s="120"/>
      <c r="BA1205" s="120">
        <v>6785</v>
      </c>
    </row>
    <row r="1206" spans="1:53" ht="15">
      <c r="A1206" s="154"/>
      <c r="B1206" s="113"/>
      <c r="C1206" s="123" t="s">
        <v>2197</v>
      </c>
      <c r="D1206" s="123"/>
      <c r="E1206" s="124"/>
      <c r="F1206" s="124"/>
      <c r="G1206" s="124"/>
      <c r="H1206" s="115">
        <f t="shared" si="182"/>
        <v>677772</v>
      </c>
      <c r="I1206" s="115">
        <f t="shared" si="183"/>
        <v>677772</v>
      </c>
      <c r="J1206" s="115">
        <f t="shared" si="184"/>
        <v>677772</v>
      </c>
      <c r="K1206" s="115">
        <f t="shared" si="185"/>
        <v>677772</v>
      </c>
      <c r="L1206" s="115">
        <f t="shared" si="186"/>
        <v>677772</v>
      </c>
      <c r="M1206" s="124"/>
      <c r="N1206" s="124"/>
      <c r="O1206" s="124"/>
      <c r="P1206" s="124"/>
      <c r="Q1206" s="125"/>
      <c r="R1206" s="125"/>
      <c r="S1206" s="125"/>
      <c r="T1206" s="125">
        <f>662977+19000+43895-30000-19000+900</f>
        <v>677772</v>
      </c>
      <c r="U1206" s="125"/>
      <c r="V1206" s="125"/>
      <c r="W1206" s="125"/>
      <c r="X1206" s="125"/>
      <c r="Y1206" s="125"/>
      <c r="Z1206" s="125"/>
      <c r="AA1206" s="125"/>
      <c r="AB1206" s="125"/>
      <c r="AC1206" s="124"/>
      <c r="AD1206" s="117"/>
      <c r="AE1206" s="197"/>
      <c r="AH1206" s="120"/>
      <c r="BA1206" s="120">
        <v>3805</v>
      </c>
    </row>
    <row r="1207" spans="1:53" ht="15">
      <c r="A1207" s="154"/>
      <c r="B1207" s="113"/>
      <c r="C1207" s="123" t="s">
        <v>2338</v>
      </c>
      <c r="D1207" s="123"/>
      <c r="E1207" s="124"/>
      <c r="F1207" s="124"/>
      <c r="G1207" s="124"/>
      <c r="H1207" s="115"/>
      <c r="I1207" s="115"/>
      <c r="J1207" s="115">
        <f t="shared" si="184"/>
        <v>0</v>
      </c>
      <c r="K1207" s="115">
        <f t="shared" si="185"/>
        <v>100000</v>
      </c>
      <c r="L1207" s="115">
        <f t="shared" si="186"/>
        <v>100000</v>
      </c>
      <c r="M1207" s="124"/>
      <c r="N1207" s="124"/>
      <c r="O1207" s="124"/>
      <c r="P1207" s="124"/>
      <c r="Q1207" s="125"/>
      <c r="R1207" s="125"/>
      <c r="S1207" s="125"/>
      <c r="T1207" s="125"/>
      <c r="U1207" s="125"/>
      <c r="V1207" s="125"/>
      <c r="W1207" s="125">
        <v>100000</v>
      </c>
      <c r="X1207" s="125"/>
      <c r="Y1207" s="125"/>
      <c r="Z1207" s="125"/>
      <c r="AA1207" s="125"/>
      <c r="AB1207" s="125"/>
      <c r="AC1207" s="124"/>
      <c r="AD1207" s="117"/>
      <c r="AE1207" s="115"/>
      <c r="AH1207" s="120"/>
      <c r="BA1207" s="120"/>
    </row>
    <row r="1208" spans="1:53" ht="15">
      <c r="A1208" s="154"/>
      <c r="B1208" s="113"/>
      <c r="C1208" s="123" t="s">
        <v>2198</v>
      </c>
      <c r="D1208" s="123"/>
      <c r="E1208" s="117"/>
      <c r="F1208" s="117"/>
      <c r="G1208" s="117"/>
      <c r="H1208" s="115">
        <f t="shared" si="182"/>
        <v>25936.449999999997</v>
      </c>
      <c r="I1208" s="115">
        <f t="shared" si="183"/>
        <v>25936.449999999997</v>
      </c>
      <c r="J1208" s="115">
        <f t="shared" si="184"/>
        <v>25936.449999999997</v>
      </c>
      <c r="K1208" s="115">
        <f t="shared" si="185"/>
        <v>25936.449999999997</v>
      </c>
      <c r="L1208" s="115">
        <f t="shared" si="186"/>
        <v>25936.449999999997</v>
      </c>
      <c r="M1208" s="117"/>
      <c r="N1208" s="117"/>
      <c r="O1208" s="117"/>
      <c r="P1208" s="117"/>
      <c r="Q1208" s="125"/>
      <c r="R1208" s="125"/>
      <c r="S1208" s="125"/>
      <c r="T1208" s="125">
        <f>76686.45-23500-13050-14200</f>
        <v>25936.449999999997</v>
      </c>
      <c r="U1208" s="125"/>
      <c r="V1208" s="125"/>
      <c r="W1208" s="125"/>
      <c r="X1208" s="125"/>
      <c r="Y1208" s="125"/>
      <c r="Z1208" s="125"/>
      <c r="AA1208" s="125"/>
      <c r="AB1208" s="125"/>
      <c r="AC1208" s="124"/>
      <c r="AD1208" s="117"/>
      <c r="AE1208" s="135"/>
      <c r="AH1208" s="129"/>
      <c r="BA1208" s="120">
        <v>700</v>
      </c>
    </row>
    <row r="1209" spans="1:53" ht="15">
      <c r="A1209" s="154"/>
      <c r="B1209" s="113"/>
      <c r="C1209" s="123" t="s">
        <v>2199</v>
      </c>
      <c r="D1209" s="123"/>
      <c r="E1209" s="117"/>
      <c r="F1209" s="117"/>
      <c r="G1209" s="117"/>
      <c r="H1209" s="115">
        <f t="shared" si="182"/>
        <v>369280.27999999997</v>
      </c>
      <c r="I1209" s="115">
        <f t="shared" si="183"/>
        <v>374823.77999999997</v>
      </c>
      <c r="J1209" s="115">
        <f t="shared" si="184"/>
        <v>374823.77999999997</v>
      </c>
      <c r="K1209" s="115">
        <f t="shared" si="185"/>
        <v>378923.77999999997</v>
      </c>
      <c r="L1209" s="115">
        <f t="shared" ref="L1209:L1272" si="191">Q1209+R1209+S1209+T1209+U1209+V1209+W1209+X1209</f>
        <v>378923.77999999997</v>
      </c>
      <c r="M1209" s="117"/>
      <c r="N1209" s="117"/>
      <c r="O1209" s="117"/>
      <c r="P1209" s="117"/>
      <c r="Q1209" s="125"/>
      <c r="R1209" s="125"/>
      <c r="S1209" s="125"/>
      <c r="T1209" s="125">
        <f>106022.08+20904+7767.4+4784.5-26513.9+10848.55+4978.5+11773.1+4752.2-7391.6+6401.55+23112.05+19088.4-6225.75+20478.1+10468.65+28582.6+8579.3+11623.65+6136.45+105337.2-7631.25-8250+18709+6058-16400+5287.5</f>
        <v>369280.27999999997</v>
      </c>
      <c r="U1209" s="125">
        <f>-2200+7743.5</f>
        <v>5543.5</v>
      </c>
      <c r="V1209" s="125"/>
      <c r="W1209" s="125">
        <v>4100</v>
      </c>
      <c r="X1209" s="125"/>
      <c r="Y1209" s="125"/>
      <c r="Z1209" s="125"/>
      <c r="AA1209" s="125"/>
      <c r="AB1209" s="125"/>
      <c r="AC1209" s="124"/>
      <c r="AD1209" s="117"/>
      <c r="AH1209" s="115"/>
      <c r="BA1209" s="120">
        <v>100000</v>
      </c>
    </row>
    <row r="1210" spans="1:53" ht="15">
      <c r="A1210" s="154"/>
      <c r="B1210" s="113"/>
      <c r="C1210" s="123" t="s">
        <v>2200</v>
      </c>
      <c r="D1210" s="128"/>
      <c r="E1210" s="117"/>
      <c r="F1210" s="117"/>
      <c r="G1210" s="117"/>
      <c r="H1210" s="115">
        <f t="shared" si="182"/>
        <v>69066.64</v>
      </c>
      <c r="I1210" s="115">
        <f t="shared" si="183"/>
        <v>69566.64</v>
      </c>
      <c r="J1210" s="115">
        <f t="shared" si="184"/>
        <v>69566.64</v>
      </c>
      <c r="K1210" s="115">
        <f t="shared" si="185"/>
        <v>69566.64</v>
      </c>
      <c r="L1210" s="115">
        <f t="shared" si="191"/>
        <v>70566.64</v>
      </c>
      <c r="M1210" s="117"/>
      <c r="N1210" s="117"/>
      <c r="O1210" s="117"/>
      <c r="P1210" s="117"/>
      <c r="Q1210" s="125"/>
      <c r="R1210" s="125"/>
      <c r="S1210" s="125"/>
      <c r="T1210" s="125">
        <f>30224.33+39430+4500-18840+2500+1000-14905.69+13030+6500+3500-2490+1600+1100+1500-3820+1000-4525+750+1500+3750+4500-7895+250-10447+2500+1750+6500+1000+7000+1950+150-5495</f>
        <v>69066.64</v>
      </c>
      <c r="U1210" s="125">
        <v>500</v>
      </c>
      <c r="V1210" s="125"/>
      <c r="W1210" s="125"/>
      <c r="X1210" s="125">
        <v>1000</v>
      </c>
      <c r="Y1210" s="125"/>
      <c r="Z1210" s="125"/>
      <c r="AA1210" s="125"/>
      <c r="AB1210" s="125"/>
      <c r="AC1210" s="124"/>
      <c r="AD1210" s="117"/>
      <c r="AF1210" s="136"/>
      <c r="AH1210" s="135"/>
      <c r="BA1210" s="120">
        <v>700</v>
      </c>
    </row>
    <row r="1211" spans="1:53" ht="15">
      <c r="A1211" s="154"/>
      <c r="B1211" s="113"/>
      <c r="C1211" s="123" t="s">
        <v>2201</v>
      </c>
      <c r="D1211" s="123"/>
      <c r="E1211" s="124"/>
      <c r="F1211" s="124"/>
      <c r="G1211" s="124"/>
      <c r="H1211" s="115">
        <f t="shared" ref="H1211:H1277" si="192">Q1211+R1211+S1211+T1211</f>
        <v>200000</v>
      </c>
      <c r="I1211" s="115">
        <f t="shared" ref="I1211:I1277" si="193">Q1211+R1211+S1211+T1211+U1211</f>
        <v>200000</v>
      </c>
      <c r="J1211" s="115">
        <f t="shared" ref="J1211:J1276" si="194">Q1211+R1211+S1211+T1211+U1211+V1211</f>
        <v>200000</v>
      </c>
      <c r="K1211" s="115">
        <f t="shared" ref="K1211:K1275" si="195">Q1211+R1211+S1211+T1211+U1211+V1211+W1211</f>
        <v>200000</v>
      </c>
      <c r="L1211" s="115">
        <f t="shared" si="191"/>
        <v>200000</v>
      </c>
      <c r="M1211" s="124"/>
      <c r="N1211" s="124"/>
      <c r="O1211" s="124"/>
      <c r="P1211" s="124"/>
      <c r="Q1211" s="125"/>
      <c r="R1211" s="125"/>
      <c r="S1211" s="125"/>
      <c r="T1211" s="125">
        <v>200000</v>
      </c>
      <c r="U1211" s="125"/>
      <c r="V1211" s="125"/>
      <c r="W1211" s="125"/>
      <c r="X1211" s="125"/>
      <c r="Y1211" s="125"/>
      <c r="Z1211" s="125"/>
      <c r="AA1211" s="125"/>
      <c r="AB1211" s="125"/>
      <c r="AC1211" s="124"/>
      <c r="AD1211" s="117"/>
      <c r="AF1211" s="120"/>
      <c r="BA1211" s="120">
        <v>1000</v>
      </c>
    </row>
    <row r="1212" spans="1:53" ht="15.75" thickBot="1">
      <c r="A1212" s="154"/>
      <c r="B1212" s="113"/>
      <c r="C1212" s="123" t="s">
        <v>2202</v>
      </c>
      <c r="D1212" s="123"/>
      <c r="E1212" s="117"/>
      <c r="F1212" s="117"/>
      <c r="G1212" s="117"/>
      <c r="H1212" s="115">
        <f t="shared" si="192"/>
        <v>70593.69</v>
      </c>
      <c r="I1212" s="115">
        <f t="shared" si="193"/>
        <v>70593.69</v>
      </c>
      <c r="J1212" s="115">
        <f t="shared" si="194"/>
        <v>70593.69</v>
      </c>
      <c r="K1212" s="115">
        <f t="shared" si="195"/>
        <v>70593.69</v>
      </c>
      <c r="L1212" s="115">
        <f t="shared" si="191"/>
        <v>70593.69</v>
      </c>
      <c r="M1212" s="117"/>
      <c r="N1212" s="117"/>
      <c r="O1212" s="117"/>
      <c r="P1212" s="117"/>
      <c r="Q1212" s="125"/>
      <c r="R1212" s="125"/>
      <c r="S1212" s="125"/>
      <c r="T1212" s="125">
        <f>174135.81-18542.12-85000</f>
        <v>70593.69</v>
      </c>
      <c r="U1212" s="125"/>
      <c r="V1212" s="125"/>
      <c r="W1212" s="125"/>
      <c r="X1212" s="125"/>
      <c r="Y1212" s="125"/>
      <c r="Z1212" s="125"/>
      <c r="AA1212" s="125"/>
      <c r="AB1212" s="125"/>
      <c r="AC1212" s="124"/>
      <c r="AD1212" s="117"/>
      <c r="AF1212" s="196"/>
      <c r="BA1212" s="120">
        <f>SUM(BA1192:BA1211)</f>
        <v>289703.37</v>
      </c>
    </row>
    <row r="1213" spans="1:53" ht="15">
      <c r="A1213" s="154"/>
      <c r="B1213" s="113"/>
      <c r="C1213" s="123" t="s">
        <v>2203</v>
      </c>
      <c r="D1213" s="123"/>
      <c r="E1213" s="117"/>
      <c r="F1213" s="117"/>
      <c r="G1213" s="117"/>
      <c r="H1213" s="115">
        <f t="shared" si="192"/>
        <v>10000</v>
      </c>
      <c r="I1213" s="115">
        <f t="shared" si="193"/>
        <v>10000</v>
      </c>
      <c r="J1213" s="115">
        <f t="shared" si="194"/>
        <v>10000</v>
      </c>
      <c r="K1213" s="115">
        <f t="shared" si="195"/>
        <v>10000</v>
      </c>
      <c r="L1213" s="115">
        <f t="shared" si="191"/>
        <v>10000</v>
      </c>
      <c r="M1213" s="117"/>
      <c r="N1213" s="117"/>
      <c r="O1213" s="117"/>
      <c r="P1213" s="117"/>
      <c r="Q1213" s="125"/>
      <c r="R1213" s="125"/>
      <c r="S1213" s="125"/>
      <c r="T1213" s="125">
        <f>5000+5000</f>
        <v>10000</v>
      </c>
      <c r="U1213" s="125"/>
      <c r="V1213" s="125"/>
      <c r="W1213" s="125"/>
      <c r="X1213" s="125"/>
      <c r="Y1213" s="125"/>
      <c r="Z1213" s="125"/>
      <c r="AA1213" s="125"/>
      <c r="AB1213" s="125"/>
      <c r="AC1213" s="124"/>
      <c r="AD1213" s="117"/>
      <c r="AF1213" s="129"/>
      <c r="BA1213" s="120"/>
    </row>
    <row r="1214" spans="1:53" ht="15">
      <c r="A1214" s="154"/>
      <c r="B1214" s="113"/>
      <c r="C1214" s="123" t="s">
        <v>2204</v>
      </c>
      <c r="D1214" s="128"/>
      <c r="E1214" s="117"/>
      <c r="F1214" s="117"/>
      <c r="G1214" s="117"/>
      <c r="H1214" s="115">
        <f t="shared" si="192"/>
        <v>960842.91000000015</v>
      </c>
      <c r="I1214" s="115">
        <f t="shared" si="193"/>
        <v>1088942.9100000001</v>
      </c>
      <c r="J1214" s="115">
        <f t="shared" si="194"/>
        <v>1108442.9100000001</v>
      </c>
      <c r="K1214" s="115">
        <f t="shared" si="195"/>
        <v>827742.91000000015</v>
      </c>
      <c r="L1214" s="115">
        <f t="shared" si="191"/>
        <v>827742.91000000015</v>
      </c>
      <c r="M1214" s="117"/>
      <c r="N1214" s="117"/>
      <c r="O1214" s="117"/>
      <c r="P1214" s="117"/>
      <c r="Q1214" s="125"/>
      <c r="R1214" s="125"/>
      <c r="S1214" s="125"/>
      <c r="T1214" s="125">
        <f>899016.06+2250+24650+41450+21750-100057.15+54450+53100+158700+162830+131700+29300+162760-266800+151740-593759+181900+123600+26200+312160+175600-272045+238920+119140+171523.2+222763.2-519000-350000-403000+273441.6-273440</f>
        <v>960842.91000000015</v>
      </c>
      <c r="U1214" s="125">
        <v>128100</v>
      </c>
      <c r="V1214" s="125">
        <f>79500-60000</f>
        <v>19500</v>
      </c>
      <c r="W1214" s="125">
        <f>7800-288500</f>
        <v>-280700</v>
      </c>
      <c r="X1214" s="125"/>
      <c r="Y1214" s="125"/>
      <c r="Z1214" s="125"/>
      <c r="AA1214" s="125"/>
      <c r="AB1214" s="125"/>
      <c r="AC1214" s="124"/>
      <c r="AD1214" s="117"/>
      <c r="BA1214" s="120">
        <v>22971</v>
      </c>
    </row>
    <row r="1215" spans="1:53" ht="15">
      <c r="A1215" s="154"/>
      <c r="B1215" s="113"/>
      <c r="C1215" s="123" t="s">
        <v>2205</v>
      </c>
      <c r="D1215" s="128"/>
      <c r="E1215" s="117"/>
      <c r="F1215" s="117"/>
      <c r="G1215" s="117"/>
      <c r="H1215" s="115">
        <f t="shared" si="192"/>
        <v>2481142.16</v>
      </c>
      <c r="I1215" s="115">
        <f t="shared" si="193"/>
        <v>3216830.16</v>
      </c>
      <c r="J1215" s="115">
        <f t="shared" si="194"/>
        <v>4350034.16</v>
      </c>
      <c r="K1215" s="115">
        <f t="shared" si="195"/>
        <v>2562721.16</v>
      </c>
      <c r="L1215" s="115">
        <f t="shared" si="191"/>
        <v>3826153.96</v>
      </c>
      <c r="M1215" s="117"/>
      <c r="N1215" s="117"/>
      <c r="O1215" s="117"/>
      <c r="P1215" s="117"/>
      <c r="Q1215" s="125"/>
      <c r="R1215" s="125"/>
      <c r="S1215" s="125"/>
      <c r="T1215" s="125">
        <f>1584433.61+138814+298750+596580-143616+566692.15+534165.2-761028.91+114660-937104.4+973410.8+494976+876756.8-2356578.93+196192+539808+685560+603240.8+289196+954924+794624-1745208.96+358824+1434419.2+323004-13336+405760-10462.12+858960.8-1377720-1114838.68-1876787.2-921568+467270.4+855708.8-541350.4+424876+410640-1501504.8</f>
        <v>2481142.16</v>
      </c>
      <c r="U1215" s="125">
        <v>735688</v>
      </c>
      <c r="V1215" s="125">
        <v>1133204</v>
      </c>
      <c r="W1215" s="125">
        <f>717432-2504745</f>
        <v>-1787313</v>
      </c>
      <c r="X1215" s="125">
        <v>1263432.8</v>
      </c>
      <c r="Y1215" s="125"/>
      <c r="Z1215" s="125"/>
      <c r="AA1215" s="125"/>
      <c r="AB1215" s="125"/>
      <c r="AC1215" s="124"/>
      <c r="AD1215" s="117"/>
      <c r="AE1215" s="120"/>
      <c r="BA1215" s="170">
        <f>SUM(BA1212:BA1214)</f>
        <v>312674.37</v>
      </c>
    </row>
    <row r="1216" spans="1:53" ht="15.75" thickBot="1">
      <c r="A1216" s="154"/>
      <c r="B1216" s="113"/>
      <c r="C1216" s="123" t="s">
        <v>2206</v>
      </c>
      <c r="D1216" s="128"/>
      <c r="E1216" s="117"/>
      <c r="F1216" s="117"/>
      <c r="G1216" s="117"/>
      <c r="H1216" s="115">
        <f t="shared" si="192"/>
        <v>121362.34</v>
      </c>
      <c r="I1216" s="115">
        <f t="shared" si="193"/>
        <v>121362.34</v>
      </c>
      <c r="J1216" s="115">
        <f t="shared" si="194"/>
        <v>144462.34</v>
      </c>
      <c r="K1216" s="115">
        <f t="shared" si="195"/>
        <v>144462.34</v>
      </c>
      <c r="L1216" s="115">
        <f t="shared" si="191"/>
        <v>171062.34</v>
      </c>
      <c r="M1216" s="117"/>
      <c r="N1216" s="117"/>
      <c r="O1216" s="117"/>
      <c r="P1216" s="117"/>
      <c r="Q1216" s="125"/>
      <c r="R1216" s="125"/>
      <c r="S1216" s="125"/>
      <c r="T1216" s="125">
        <f>35500+9100+23400+35300+25400+31700+17300-114237.66+20400+18300+35300+41900+37700-160200+51300+13200</f>
        <v>121362.34</v>
      </c>
      <c r="U1216" s="125"/>
      <c r="V1216" s="125">
        <v>23100</v>
      </c>
      <c r="W1216" s="125"/>
      <c r="X1216" s="125">
        <v>26600</v>
      </c>
      <c r="Y1216" s="125"/>
      <c r="Z1216" s="125"/>
      <c r="AA1216" s="125"/>
      <c r="AB1216" s="125"/>
      <c r="AC1216" s="124"/>
      <c r="AD1216" s="117"/>
      <c r="AE1216" s="117"/>
      <c r="AI1216" s="137">
        <v>38597</v>
      </c>
      <c r="AJ1216" s="189">
        <v>235845.09</v>
      </c>
      <c r="AT1216" s="108" t="s">
        <v>2207</v>
      </c>
      <c r="BA1216" s="135">
        <v>95506.81</v>
      </c>
    </row>
    <row r="1217" spans="1:53" ht="15">
      <c r="A1217" s="154"/>
      <c r="B1217" s="113"/>
      <c r="C1217" s="123" t="s">
        <v>2208</v>
      </c>
      <c r="D1217" s="128"/>
      <c r="E1217" s="117"/>
      <c r="F1217" s="117"/>
      <c r="G1217" s="117"/>
      <c r="H1217" s="115">
        <f t="shared" si="192"/>
        <v>92803.22</v>
      </c>
      <c r="I1217" s="115">
        <f t="shared" si="193"/>
        <v>92803.22</v>
      </c>
      <c r="J1217" s="115">
        <f t="shared" si="194"/>
        <v>92803.22</v>
      </c>
      <c r="K1217" s="115">
        <f t="shared" si="195"/>
        <v>92803.22</v>
      </c>
      <c r="L1217" s="115">
        <f t="shared" si="191"/>
        <v>92803.22</v>
      </c>
      <c r="M1217" s="117"/>
      <c r="N1217" s="117"/>
      <c r="O1217" s="117"/>
      <c r="P1217" s="117"/>
      <c r="Q1217" s="125"/>
      <c r="R1217" s="125"/>
      <c r="S1217" s="125"/>
      <c r="T1217" s="125">
        <f>81031.12+1505+1025+11412.7+18801-21871.6+900</f>
        <v>92803.22</v>
      </c>
      <c r="U1217" s="125"/>
      <c r="V1217" s="125"/>
      <c r="W1217" s="125"/>
      <c r="X1217" s="125"/>
      <c r="Y1217" s="125"/>
      <c r="Z1217" s="125"/>
      <c r="AA1217" s="125"/>
      <c r="AB1217" s="125"/>
      <c r="AC1217" s="124"/>
      <c r="AD1217" s="117"/>
      <c r="AE1217" s="129"/>
      <c r="AJ1217" s="120"/>
      <c r="AT1217" s="108" t="s">
        <v>2209</v>
      </c>
      <c r="AW1217" s="120">
        <v>20000</v>
      </c>
      <c r="BA1217" s="135">
        <v>148065</v>
      </c>
    </row>
    <row r="1218" spans="1:53" ht="15">
      <c r="A1218" s="154"/>
      <c r="B1218" s="113"/>
      <c r="C1218" s="123" t="s">
        <v>2210</v>
      </c>
      <c r="D1218" s="128"/>
      <c r="E1218" s="117"/>
      <c r="F1218" s="117"/>
      <c r="G1218" s="117"/>
      <c r="H1218" s="115">
        <f t="shared" si="192"/>
        <v>88528</v>
      </c>
      <c r="I1218" s="115">
        <f t="shared" si="193"/>
        <v>88828</v>
      </c>
      <c r="J1218" s="115">
        <f t="shared" si="194"/>
        <v>88828</v>
      </c>
      <c r="K1218" s="115">
        <f t="shared" si="195"/>
        <v>88828</v>
      </c>
      <c r="L1218" s="115">
        <f t="shared" si="191"/>
        <v>101528</v>
      </c>
      <c r="M1218" s="117"/>
      <c r="N1218" s="117"/>
      <c r="O1218" s="117"/>
      <c r="P1218" s="117"/>
      <c r="Q1218" s="125"/>
      <c r="R1218" s="125"/>
      <c r="S1218" s="125"/>
      <c r="T1218" s="125">
        <f>8650+11100+5700+4200-30426+8000+1950+6900+3300+7800+750+14800+20700+15800+11800+15500+18700+7800+5700-57596+7400</f>
        <v>88528</v>
      </c>
      <c r="U1218" s="125">
        <v>300</v>
      </c>
      <c r="V1218" s="125"/>
      <c r="W1218" s="125"/>
      <c r="X1218" s="125">
        <v>12700</v>
      </c>
      <c r="Y1218" s="125"/>
      <c r="Z1218" s="125"/>
      <c r="AA1218" s="125"/>
      <c r="AB1218" s="125"/>
      <c r="AC1218" s="124"/>
      <c r="AD1218" s="117">
        <f>750+14800</f>
        <v>15550</v>
      </c>
      <c r="AE1218" s="115" t="e">
        <f>+#REF!+AD1218</f>
        <v>#REF!</v>
      </c>
      <c r="AF1218" s="135" t="e">
        <f>57596-AE1218</f>
        <v>#REF!</v>
      </c>
      <c r="AJ1218" s="120">
        <v>40000</v>
      </c>
      <c r="AL1218" s="108" t="s">
        <v>2211</v>
      </c>
      <c r="AN1218" s="108" t="s">
        <v>2212</v>
      </c>
      <c r="AO1218" s="108" t="s">
        <v>2211</v>
      </c>
      <c r="AQ1218" s="108" t="s">
        <v>2212</v>
      </c>
      <c r="AR1218" s="207">
        <v>38601</v>
      </c>
      <c r="AT1218" s="108" t="s">
        <v>2209</v>
      </c>
      <c r="AW1218" s="120">
        <v>86397.5</v>
      </c>
      <c r="BA1218" s="135">
        <v>5061746.13</v>
      </c>
    </row>
    <row r="1219" spans="1:53" ht="15">
      <c r="A1219" s="154"/>
      <c r="B1219" s="113"/>
      <c r="C1219" s="123" t="s">
        <v>2213</v>
      </c>
      <c r="D1219" s="128"/>
      <c r="E1219" s="117"/>
      <c r="F1219" s="117"/>
      <c r="G1219" s="117"/>
      <c r="H1219" s="115">
        <f t="shared" si="192"/>
        <v>807639.94000000018</v>
      </c>
      <c r="I1219" s="115">
        <f t="shared" si="193"/>
        <v>816668.94000000018</v>
      </c>
      <c r="J1219" s="115">
        <f t="shared" si="194"/>
        <v>840450.54000000015</v>
      </c>
      <c r="K1219" s="115">
        <f t="shared" si="195"/>
        <v>864958.54000000015</v>
      </c>
      <c r="L1219" s="115">
        <f t="shared" si="191"/>
        <v>875059.8400000002</v>
      </c>
      <c r="M1219" s="117"/>
      <c r="N1219" s="117"/>
      <c r="O1219" s="117"/>
      <c r="P1219" s="117"/>
      <c r="Q1219" s="125"/>
      <c r="R1219" s="125"/>
      <c r="S1219" s="125"/>
      <c r="T1219" s="125">
        <f>464940.84+24858.05-28871.85+12663.8-7651.35+12817-2903-9314.2+18645.95+24933.9-13256+57577-31270.55+9695-16669.45+14076-4524.8+100000+25133-10016.5+46610-14355.95+18146-6960+15630-39700.95+24596-12456.3+17125.75-6011.5+300-4316+500-300+7308-1262+12989-3340-1922+6672-3826+20226-11988+14250-10148+9510-2910+25871-7795-164+37532-12175+29582-16208+22357-11919.6+22099.8-10271.55+23800-10297.6</f>
        <v>807639.94000000018</v>
      </c>
      <c r="U1219" s="125">
        <f>-20429+29458</f>
        <v>9029</v>
      </c>
      <c r="V1219" s="125">
        <f>30010.95+6500-12270.4-458.95</f>
        <v>23781.599999999995</v>
      </c>
      <c r="W1219" s="125">
        <f>-13494+38002</f>
        <v>24508</v>
      </c>
      <c r="X1219" s="125">
        <f>-24465.7+34567</f>
        <v>10101.299999999999</v>
      </c>
      <c r="Y1219" s="125"/>
      <c r="Z1219" s="125"/>
      <c r="AA1219" s="125"/>
      <c r="AB1219" s="125"/>
      <c r="AC1219" s="124"/>
      <c r="AD1219" s="117"/>
      <c r="AE1219" s="115"/>
      <c r="AJ1219" s="120">
        <v>60116</v>
      </c>
      <c r="AL1219" s="108" t="s">
        <v>2214</v>
      </c>
      <c r="AN1219" s="108" t="s">
        <v>2212</v>
      </c>
      <c r="AO1219" s="108" t="s">
        <v>2214</v>
      </c>
      <c r="AQ1219" s="108" t="s">
        <v>2212</v>
      </c>
      <c r="AR1219" s="207">
        <v>38601</v>
      </c>
      <c r="BA1219" s="135">
        <v>7530</v>
      </c>
    </row>
    <row r="1220" spans="1:53" ht="15">
      <c r="A1220" s="154"/>
      <c r="B1220" s="113"/>
      <c r="C1220" s="123" t="s">
        <v>2215</v>
      </c>
      <c r="D1220" s="123"/>
      <c r="E1220" s="124"/>
      <c r="F1220" s="124"/>
      <c r="G1220" s="124"/>
      <c r="H1220" s="115">
        <f t="shared" si="192"/>
        <v>500</v>
      </c>
      <c r="I1220" s="115">
        <f t="shared" si="193"/>
        <v>500</v>
      </c>
      <c r="J1220" s="115">
        <f t="shared" si="194"/>
        <v>500</v>
      </c>
      <c r="K1220" s="115">
        <f t="shared" si="195"/>
        <v>500</v>
      </c>
      <c r="L1220" s="115">
        <f t="shared" si="191"/>
        <v>500</v>
      </c>
      <c r="M1220" s="124"/>
      <c r="N1220" s="124"/>
      <c r="O1220" s="124"/>
      <c r="P1220" s="124"/>
      <c r="Q1220" s="125"/>
      <c r="R1220" s="125"/>
      <c r="S1220" s="125"/>
      <c r="T1220" s="125">
        <v>500</v>
      </c>
      <c r="U1220" s="125"/>
      <c r="V1220" s="125"/>
      <c r="W1220" s="125"/>
      <c r="X1220" s="125"/>
      <c r="Y1220" s="125"/>
      <c r="Z1220" s="125"/>
      <c r="AA1220" s="125"/>
      <c r="AB1220" s="125"/>
      <c r="AC1220" s="124"/>
      <c r="AD1220" s="117"/>
      <c r="AE1220" s="115"/>
      <c r="AJ1220" s="120">
        <v>10000</v>
      </c>
      <c r="AL1220" s="108" t="s">
        <v>2214</v>
      </c>
      <c r="AN1220" s="108" t="s">
        <v>2212</v>
      </c>
      <c r="AO1220" s="108" t="s">
        <v>2214</v>
      </c>
      <c r="AQ1220" s="108" t="s">
        <v>2212</v>
      </c>
      <c r="AR1220" s="222" t="s">
        <v>2216</v>
      </c>
      <c r="BA1220" s="135">
        <v>13318.74</v>
      </c>
    </row>
    <row r="1221" spans="1:53" ht="15">
      <c r="A1221" s="154"/>
      <c r="B1221" s="113"/>
      <c r="C1221" s="123" t="s">
        <v>2217</v>
      </c>
      <c r="D1221" s="123"/>
      <c r="E1221" s="124"/>
      <c r="F1221" s="124"/>
      <c r="G1221" s="124"/>
      <c r="H1221" s="115">
        <f t="shared" si="192"/>
        <v>59869.679999999993</v>
      </c>
      <c r="I1221" s="115">
        <f t="shared" si="193"/>
        <v>59869.679999999993</v>
      </c>
      <c r="J1221" s="115">
        <f t="shared" si="194"/>
        <v>59869.679999999993</v>
      </c>
      <c r="K1221" s="115">
        <f t="shared" si="195"/>
        <v>59869.679999999993</v>
      </c>
      <c r="L1221" s="115">
        <f t="shared" si="191"/>
        <v>59869.679999999993</v>
      </c>
      <c r="M1221" s="124"/>
      <c r="N1221" s="124"/>
      <c r="O1221" s="124"/>
      <c r="P1221" s="124"/>
      <c r="Q1221" s="125"/>
      <c r="R1221" s="125"/>
      <c r="S1221" s="125"/>
      <c r="T1221" s="125">
        <f>86311.18+2400+52470+1500+300+2160+3960-17341.5+2880+40000-49970+7920-40000-32720</f>
        <v>59869.679999999993</v>
      </c>
      <c r="U1221" s="125"/>
      <c r="V1221" s="125"/>
      <c r="W1221" s="125"/>
      <c r="X1221" s="125"/>
      <c r="Y1221" s="125"/>
      <c r="Z1221" s="125"/>
      <c r="AA1221" s="125"/>
      <c r="AB1221" s="125"/>
      <c r="AC1221" s="124"/>
      <c r="AD1221" s="117" t="s">
        <v>2218</v>
      </c>
      <c r="AE1221" s="115">
        <v>42620.35</v>
      </c>
      <c r="AF1221" s="173" t="e">
        <f>+#REF!-AE1221-AE1222</f>
        <v>#REF!</v>
      </c>
      <c r="AG1221" s="108" t="s">
        <v>2219</v>
      </c>
      <c r="AJ1221" s="120">
        <v>6950</v>
      </c>
      <c r="AL1221" s="108" t="s">
        <v>2220</v>
      </c>
      <c r="AO1221" s="108" t="s">
        <v>2220</v>
      </c>
      <c r="AW1221" s="120">
        <v>1800</v>
      </c>
      <c r="BA1221" s="135">
        <v>406.25</v>
      </c>
    </row>
    <row r="1222" spans="1:53" ht="15">
      <c r="A1222" s="154"/>
      <c r="B1222" s="113"/>
      <c r="C1222" s="123" t="s">
        <v>2221</v>
      </c>
      <c r="D1222" s="123"/>
      <c r="E1222" s="124"/>
      <c r="F1222" s="124"/>
      <c r="G1222" s="124"/>
      <c r="H1222" s="115">
        <f t="shared" si="192"/>
        <v>44068.99</v>
      </c>
      <c r="I1222" s="115">
        <f t="shared" si="193"/>
        <v>44068.99</v>
      </c>
      <c r="J1222" s="115">
        <f t="shared" si="194"/>
        <v>44068.99</v>
      </c>
      <c r="K1222" s="115">
        <f t="shared" si="195"/>
        <v>44068.99</v>
      </c>
      <c r="L1222" s="115">
        <f t="shared" si="191"/>
        <v>44068.99</v>
      </c>
      <c r="M1222" s="124"/>
      <c r="N1222" s="124"/>
      <c r="O1222" s="124"/>
      <c r="P1222" s="124"/>
      <c r="Q1222" s="125"/>
      <c r="R1222" s="125"/>
      <c r="S1222" s="125"/>
      <c r="T1222" s="125">
        <f>44068.99</f>
        <v>44068.99</v>
      </c>
      <c r="U1222" s="125"/>
      <c r="V1222" s="125"/>
      <c r="W1222" s="125"/>
      <c r="X1222" s="125"/>
      <c r="Y1222" s="125"/>
      <c r="Z1222" s="125"/>
      <c r="AA1222" s="125"/>
      <c r="AB1222" s="125"/>
      <c r="AC1222" s="124"/>
      <c r="AD1222" s="117" t="s">
        <v>2222</v>
      </c>
      <c r="AE1222" s="129">
        <v>50400</v>
      </c>
      <c r="AF1222" s="153" t="s">
        <v>2223</v>
      </c>
      <c r="AG1222" s="136" t="s">
        <v>2224</v>
      </c>
      <c r="AJ1222" s="177"/>
      <c r="AW1222" s="120">
        <v>12000</v>
      </c>
      <c r="BA1222" s="135">
        <v>4874.8900000000003</v>
      </c>
    </row>
    <row r="1223" spans="1:53" ht="15.75" thickBot="1">
      <c r="A1223" s="154"/>
      <c r="B1223" s="113"/>
      <c r="C1223" s="123" t="s">
        <v>1091</v>
      </c>
      <c r="D1223" s="123"/>
      <c r="E1223" s="124"/>
      <c r="F1223" s="124"/>
      <c r="G1223" s="124"/>
      <c r="H1223" s="115">
        <f t="shared" si="192"/>
        <v>518820.35</v>
      </c>
      <c r="I1223" s="115">
        <f t="shared" si="193"/>
        <v>596037.35</v>
      </c>
      <c r="J1223" s="115">
        <f t="shared" si="194"/>
        <v>595133.22</v>
      </c>
      <c r="K1223" s="115">
        <f t="shared" si="195"/>
        <v>591422.22</v>
      </c>
      <c r="L1223" s="115">
        <f t="shared" si="191"/>
        <v>577546.37</v>
      </c>
      <c r="M1223" s="124"/>
      <c r="N1223" s="124"/>
      <c r="O1223" s="124"/>
      <c r="P1223" s="124"/>
      <c r="Q1223" s="125"/>
      <c r="R1223" s="125"/>
      <c r="S1223" s="125"/>
      <c r="T1223" s="125">
        <f>576784.23+75321+175-95010+975+131049-126490+73378-105950+1525-102885+29767.33+1300+14943-65240+300+131813-76910+1115+66397-57200+640+70307-95690+2110+66403-43200+1805+16179+3080-43415+65397-64420+1575+58547-30915+1898+134408-75010+1510+16225-84085+310+71762-127900+420+56283-41341+285+80464-52640+85+280+86635-125285-19415.52+700+188196-76110-33061.48+1050+45188-750+755+141967+1529-130750-16801.37+975+275+66016.5+1600-11705-61338.66+73586-89365+1430+101532-82000+1485+98391-2690-80000+1375+91077+160+137106.5-189580-46735.55+780+14726-31500-7561.63+420</f>
        <v>518820.35</v>
      </c>
      <c r="U1223" s="125">
        <f>-42475+117209+325+2158</f>
        <v>77217</v>
      </c>
      <c r="V1223" s="125">
        <f>80363-73555-7982.13+270</f>
        <v>-904.13000000000011</v>
      </c>
      <c r="W1223" s="125">
        <f>-73650+69724+215</f>
        <v>-3711</v>
      </c>
      <c r="X1223" s="125">
        <f>-10500-13099.85+915+2170+6639</f>
        <v>-13875.849999999999</v>
      </c>
      <c r="Y1223" s="125"/>
      <c r="Z1223" s="125"/>
      <c r="AA1223" s="125"/>
      <c r="AB1223" s="125"/>
      <c r="AC1223" s="124"/>
      <c r="AD1223" s="117"/>
      <c r="AE1223" s="115"/>
      <c r="AF1223" s="127"/>
      <c r="AG1223" s="108" t="s">
        <v>2225</v>
      </c>
      <c r="AJ1223" s="196"/>
      <c r="AW1223" s="120"/>
    </row>
    <row r="1224" spans="1:53" ht="15">
      <c r="A1224" s="154"/>
      <c r="B1224" s="113"/>
      <c r="C1224" s="123" t="s">
        <v>2226</v>
      </c>
      <c r="D1224" s="123"/>
      <c r="E1224" s="124"/>
      <c r="F1224" s="124"/>
      <c r="G1224" s="124"/>
      <c r="H1224" s="115">
        <f t="shared" si="192"/>
        <v>718408.43</v>
      </c>
      <c r="I1224" s="115">
        <f t="shared" si="193"/>
        <v>718408.43</v>
      </c>
      <c r="J1224" s="115">
        <f t="shared" si="194"/>
        <v>718408.43</v>
      </c>
      <c r="K1224" s="115">
        <f t="shared" si="195"/>
        <v>718408.43</v>
      </c>
      <c r="L1224" s="115">
        <f t="shared" si="191"/>
        <v>718408.43</v>
      </c>
      <c r="M1224" s="124"/>
      <c r="N1224" s="124"/>
      <c r="O1224" s="124"/>
      <c r="P1224" s="124"/>
      <c r="Q1224" s="125"/>
      <c r="R1224" s="125"/>
      <c r="S1224" s="125"/>
      <c r="T1224" s="125">
        <f>748808.43-30400</f>
        <v>718408.43</v>
      </c>
      <c r="U1224" s="125"/>
      <c r="V1224" s="125"/>
      <c r="W1224" s="125"/>
      <c r="X1224" s="125"/>
      <c r="Y1224" s="125"/>
      <c r="Z1224" s="125"/>
      <c r="AA1224" s="125"/>
      <c r="AB1224" s="125"/>
      <c r="AC1224" s="124"/>
      <c r="AD1224" s="117"/>
      <c r="AE1224" s="115"/>
      <c r="AF1224" s="127"/>
      <c r="AG1224" s="108" t="s">
        <v>2227</v>
      </c>
      <c r="AJ1224" s="129"/>
      <c r="AW1224" s="120">
        <v>4911.75</v>
      </c>
      <c r="BA1224" s="135">
        <v>500</v>
      </c>
    </row>
    <row r="1225" spans="1:53" ht="15">
      <c r="A1225" s="154"/>
      <c r="B1225" s="113"/>
      <c r="C1225" s="123" t="s">
        <v>2228</v>
      </c>
      <c r="D1225" s="123"/>
      <c r="E1225" s="124"/>
      <c r="F1225" s="124"/>
      <c r="G1225" s="124"/>
      <c r="H1225" s="115">
        <f t="shared" si="192"/>
        <v>526791</v>
      </c>
      <c r="I1225" s="115">
        <f t="shared" si="193"/>
        <v>526791</v>
      </c>
      <c r="J1225" s="115">
        <f t="shared" si="194"/>
        <v>526791</v>
      </c>
      <c r="K1225" s="115">
        <f t="shared" si="195"/>
        <v>526791</v>
      </c>
      <c r="L1225" s="115">
        <f t="shared" si="191"/>
        <v>526791</v>
      </c>
      <c r="M1225" s="124"/>
      <c r="N1225" s="124"/>
      <c r="O1225" s="124"/>
      <c r="P1225" s="124"/>
      <c r="Q1225" s="125"/>
      <c r="R1225" s="125"/>
      <c r="S1225" s="125"/>
      <c r="T1225" s="125">
        <f>180000+50000+269200+105000-34000+20000+21200-9400-20400-50309-4500</f>
        <v>526791</v>
      </c>
      <c r="U1225" s="125"/>
      <c r="V1225" s="125"/>
      <c r="W1225" s="125"/>
      <c r="X1225" s="125"/>
      <c r="Y1225" s="125"/>
      <c r="Z1225" s="125"/>
      <c r="AA1225" s="125"/>
      <c r="AB1225" s="125"/>
      <c r="AC1225" s="124"/>
      <c r="AD1225" s="117"/>
      <c r="AE1225" s="115"/>
      <c r="AF1225" s="127"/>
      <c r="AJ1225" s="129"/>
      <c r="AW1225" s="120"/>
      <c r="BA1225" s="135"/>
    </row>
    <row r="1226" spans="1:53" ht="15">
      <c r="A1226" s="154"/>
      <c r="B1226" s="113"/>
      <c r="C1226" s="123" t="s">
        <v>2229</v>
      </c>
      <c r="D1226" s="123"/>
      <c r="E1226" s="124"/>
      <c r="F1226" s="124"/>
      <c r="G1226" s="124"/>
      <c r="H1226" s="115">
        <f t="shared" si="192"/>
        <v>77209.390000000014</v>
      </c>
      <c r="I1226" s="115">
        <f t="shared" si="193"/>
        <v>77209.390000000014</v>
      </c>
      <c r="J1226" s="115">
        <f t="shared" si="194"/>
        <v>77209.390000000014</v>
      </c>
      <c r="K1226" s="115">
        <f t="shared" si="195"/>
        <v>77209.390000000014</v>
      </c>
      <c r="L1226" s="115">
        <f t="shared" si="191"/>
        <v>77209.390000000014</v>
      </c>
      <c r="M1226" s="124"/>
      <c r="N1226" s="124"/>
      <c r="O1226" s="124"/>
      <c r="P1226" s="124"/>
      <c r="Q1226" s="125"/>
      <c r="R1226" s="125"/>
      <c r="S1226" s="125"/>
      <c r="T1226" s="125">
        <f>204000+848400+68286-7200+5000-374776.61-45000-621500</f>
        <v>77209.390000000014</v>
      </c>
      <c r="U1226" s="125">
        <f>-52000+52000</f>
        <v>0</v>
      </c>
      <c r="V1226" s="125"/>
      <c r="W1226" s="125"/>
      <c r="X1226" s="125"/>
      <c r="Y1226" s="125"/>
      <c r="Z1226" s="125"/>
      <c r="AA1226" s="125"/>
      <c r="AB1226" s="125"/>
      <c r="AC1226" s="124"/>
      <c r="AD1226" s="117"/>
      <c r="AE1226" s="115"/>
      <c r="AF1226" s="127"/>
      <c r="AJ1226" s="129"/>
      <c r="AW1226" s="120"/>
      <c r="BA1226" s="135"/>
    </row>
    <row r="1227" spans="1:53" ht="15">
      <c r="A1227" s="154"/>
      <c r="B1227" s="113"/>
      <c r="C1227" s="128" t="s">
        <v>2230</v>
      </c>
      <c r="D1227" s="128"/>
      <c r="E1227" s="117"/>
      <c r="F1227" s="117"/>
      <c r="G1227" s="117"/>
      <c r="H1227" s="115">
        <f t="shared" si="192"/>
        <v>70.31</v>
      </c>
      <c r="I1227" s="115">
        <f t="shared" si="193"/>
        <v>70.31</v>
      </c>
      <c r="J1227" s="115">
        <f t="shared" si="194"/>
        <v>70.31</v>
      </c>
      <c r="K1227" s="115">
        <f t="shared" si="195"/>
        <v>70.31</v>
      </c>
      <c r="L1227" s="115">
        <f t="shared" si="191"/>
        <v>70.31</v>
      </c>
      <c r="M1227" s="117"/>
      <c r="N1227" s="117"/>
      <c r="O1227" s="117"/>
      <c r="P1227" s="117"/>
      <c r="Q1227" s="125"/>
      <c r="R1227" s="125"/>
      <c r="S1227" s="125"/>
      <c r="T1227" s="125">
        <v>70.31</v>
      </c>
      <c r="U1227" s="125"/>
      <c r="V1227" s="125"/>
      <c r="W1227" s="125"/>
      <c r="X1227" s="125"/>
      <c r="Y1227" s="125"/>
      <c r="Z1227" s="125"/>
      <c r="AA1227" s="125"/>
      <c r="AB1227" s="125"/>
      <c r="AC1227" s="124"/>
      <c r="AD1227" s="117"/>
      <c r="AE1227" s="115" t="s">
        <v>2231</v>
      </c>
      <c r="AF1227" s="127"/>
      <c r="AG1227" s="108" t="s">
        <v>2232</v>
      </c>
      <c r="AJ1227" s="129">
        <v>6324</v>
      </c>
      <c r="AW1227" s="120">
        <v>4025.75</v>
      </c>
      <c r="BA1227" s="135">
        <v>189</v>
      </c>
    </row>
    <row r="1228" spans="1:53" ht="15">
      <c r="A1228" s="154"/>
      <c r="B1228" s="113"/>
      <c r="C1228" s="123" t="s">
        <v>2233</v>
      </c>
      <c r="D1228" s="128"/>
      <c r="E1228" s="117"/>
      <c r="F1228" s="117"/>
      <c r="G1228" s="117"/>
      <c r="H1228" s="115">
        <f t="shared" si="192"/>
        <v>1907</v>
      </c>
      <c r="I1228" s="115">
        <f t="shared" si="193"/>
        <v>1907</v>
      </c>
      <c r="J1228" s="115">
        <f t="shared" si="194"/>
        <v>1907</v>
      </c>
      <c r="K1228" s="115">
        <f t="shared" si="195"/>
        <v>1907</v>
      </c>
      <c r="L1228" s="115">
        <f t="shared" si="191"/>
        <v>1907</v>
      </c>
      <c r="M1228" s="117"/>
      <c r="N1228" s="117"/>
      <c r="O1228" s="117"/>
      <c r="P1228" s="117"/>
      <c r="Q1228" s="125"/>
      <c r="R1228" s="125"/>
      <c r="S1228" s="125"/>
      <c r="T1228" s="125">
        <f>6860-4953</f>
        <v>1907</v>
      </c>
      <c r="U1228" s="125"/>
      <c r="V1228" s="125"/>
      <c r="W1228" s="125"/>
      <c r="X1228" s="125"/>
      <c r="Y1228" s="125"/>
      <c r="Z1228" s="125"/>
      <c r="AA1228" s="125"/>
      <c r="AB1228" s="125"/>
      <c r="AC1228" s="124"/>
      <c r="AD1228" s="117"/>
      <c r="AE1228" s="115"/>
      <c r="AF1228" s="127"/>
      <c r="AG1228" s="108" t="s">
        <v>2234</v>
      </c>
      <c r="AJ1228" s="129"/>
      <c r="AW1228" s="120"/>
      <c r="BA1228" s="135"/>
    </row>
    <row r="1229" spans="1:53" ht="15">
      <c r="A1229" s="154"/>
      <c r="B1229" s="113"/>
      <c r="C1229" s="128" t="s">
        <v>2235</v>
      </c>
      <c r="D1229" s="128"/>
      <c r="E1229" s="115"/>
      <c r="F1229" s="115"/>
      <c r="G1229" s="115"/>
      <c r="H1229" s="115">
        <f t="shared" si="192"/>
        <v>1107838.6200000001</v>
      </c>
      <c r="I1229" s="115">
        <f t="shared" si="193"/>
        <v>1107838.6200000001</v>
      </c>
      <c r="J1229" s="115">
        <f t="shared" si="194"/>
        <v>1104338.6200000001</v>
      </c>
      <c r="K1229" s="115">
        <f t="shared" si="195"/>
        <v>1104338.6200000001</v>
      </c>
      <c r="L1229" s="115">
        <f t="shared" si="191"/>
        <v>1104338.6200000001</v>
      </c>
      <c r="M1229" s="115"/>
      <c r="N1229" s="115"/>
      <c r="O1229" s="115"/>
      <c r="P1229" s="115"/>
      <c r="Q1229" s="116"/>
      <c r="R1229" s="116"/>
      <c r="S1229" s="116"/>
      <c r="T1229" s="116">
        <f>1107738.62+100</f>
        <v>1107838.6200000001</v>
      </c>
      <c r="U1229" s="116"/>
      <c r="V1229" s="116">
        <v>-3500</v>
      </c>
      <c r="W1229" s="116"/>
      <c r="X1229" s="116"/>
      <c r="Y1229" s="116"/>
      <c r="Z1229" s="116"/>
      <c r="AA1229" s="116"/>
      <c r="AB1229" s="116"/>
      <c r="AC1229" s="115"/>
      <c r="AD1229" s="117"/>
      <c r="AE1229" s="115" t="s">
        <v>2236</v>
      </c>
      <c r="AF1229" s="127"/>
      <c r="AJ1229" s="129">
        <f>4108+2680</f>
        <v>6788</v>
      </c>
      <c r="AK1229" s="108" t="s">
        <v>2237</v>
      </c>
      <c r="AW1229" s="120">
        <v>249052</v>
      </c>
      <c r="BA1229" s="135">
        <v>3656.16</v>
      </c>
    </row>
    <row r="1230" spans="1:53" ht="15">
      <c r="A1230" s="154"/>
      <c r="B1230" s="113" t="s">
        <v>2238</v>
      </c>
      <c r="C1230" s="123" t="s">
        <v>2239</v>
      </c>
      <c r="D1230" s="123"/>
      <c r="E1230" s="124"/>
      <c r="F1230" s="124"/>
      <c r="G1230" s="124"/>
      <c r="H1230" s="115">
        <f t="shared" si="192"/>
        <v>27226.720000000001</v>
      </c>
      <c r="I1230" s="115">
        <f t="shared" si="193"/>
        <v>27226.720000000001</v>
      </c>
      <c r="J1230" s="115">
        <f t="shared" si="194"/>
        <v>27226.720000000001</v>
      </c>
      <c r="K1230" s="115">
        <f t="shared" si="195"/>
        <v>27226.720000000001</v>
      </c>
      <c r="L1230" s="115">
        <f t="shared" si="191"/>
        <v>27226.720000000001</v>
      </c>
      <c r="M1230" s="124"/>
      <c r="N1230" s="124"/>
      <c r="O1230" s="124"/>
      <c r="P1230" s="124"/>
      <c r="Q1230" s="125"/>
      <c r="R1230" s="125"/>
      <c r="S1230" s="125"/>
      <c r="T1230" s="125">
        <f>27226.72</f>
        <v>27226.720000000001</v>
      </c>
      <c r="U1230" s="125"/>
      <c r="V1230" s="125"/>
      <c r="W1230" s="125"/>
      <c r="X1230" s="125"/>
      <c r="Y1230" s="125"/>
      <c r="Z1230" s="125"/>
      <c r="AA1230" s="125"/>
      <c r="AB1230" s="125"/>
      <c r="AC1230" s="124"/>
      <c r="AD1230" s="117"/>
      <c r="AE1230" s="129" t="s">
        <v>2240</v>
      </c>
      <c r="AF1230" s="127"/>
      <c r="AG1230" s="108" t="s">
        <v>2241</v>
      </c>
      <c r="AJ1230" s="177">
        <f>SUM(AJ1218:AJ1229)</f>
        <v>130178</v>
      </c>
      <c r="AW1230" s="120">
        <v>395933.75</v>
      </c>
      <c r="BA1230" s="135">
        <v>177955.36</v>
      </c>
    </row>
    <row r="1231" spans="1:53" ht="15">
      <c r="A1231" s="154"/>
      <c r="B1231" s="113"/>
      <c r="C1231" s="123" t="s">
        <v>2242</v>
      </c>
      <c r="D1231" s="123"/>
      <c r="E1231" s="124"/>
      <c r="F1231" s="124"/>
      <c r="G1231" s="124"/>
      <c r="H1231" s="115">
        <f t="shared" si="192"/>
        <v>1500</v>
      </c>
      <c r="I1231" s="115">
        <f t="shared" si="193"/>
        <v>1500</v>
      </c>
      <c r="J1231" s="115">
        <f t="shared" si="194"/>
        <v>1500</v>
      </c>
      <c r="K1231" s="115">
        <f t="shared" si="195"/>
        <v>1500</v>
      </c>
      <c r="L1231" s="115">
        <f t="shared" si="191"/>
        <v>1500</v>
      </c>
      <c r="M1231" s="124"/>
      <c r="N1231" s="124"/>
      <c r="O1231" s="124"/>
      <c r="P1231" s="124"/>
      <c r="Q1231" s="125"/>
      <c r="R1231" s="125"/>
      <c r="S1231" s="125"/>
      <c r="T1231" s="125">
        <v>1500</v>
      </c>
      <c r="U1231" s="125"/>
      <c r="V1231" s="125"/>
      <c r="W1231" s="125"/>
      <c r="X1231" s="125"/>
      <c r="Y1231" s="125"/>
      <c r="Z1231" s="125"/>
      <c r="AA1231" s="125"/>
      <c r="AB1231" s="125"/>
      <c r="AC1231" s="124"/>
      <c r="AD1231" s="117"/>
      <c r="AE1231" s="129"/>
      <c r="AF1231" s="127"/>
      <c r="AJ1231" s="177"/>
      <c r="AW1231" s="120"/>
      <c r="BA1231" s="135"/>
    </row>
    <row r="1232" spans="1:53" ht="15">
      <c r="A1232" s="154"/>
      <c r="B1232" s="113"/>
      <c r="C1232" s="123" t="s">
        <v>2243</v>
      </c>
      <c r="D1232" s="123"/>
      <c r="E1232" s="124"/>
      <c r="F1232" s="124"/>
      <c r="G1232" s="124"/>
      <c r="H1232" s="115">
        <f t="shared" si="192"/>
        <v>145000</v>
      </c>
      <c r="I1232" s="115">
        <f t="shared" si="193"/>
        <v>145000</v>
      </c>
      <c r="J1232" s="115">
        <f t="shared" si="194"/>
        <v>145000</v>
      </c>
      <c r="K1232" s="115">
        <f t="shared" si="195"/>
        <v>145000</v>
      </c>
      <c r="L1232" s="115">
        <f t="shared" si="191"/>
        <v>145000</v>
      </c>
      <c r="M1232" s="124"/>
      <c r="N1232" s="124"/>
      <c r="O1232" s="124"/>
      <c r="P1232" s="124"/>
      <c r="Q1232" s="125"/>
      <c r="R1232" s="125"/>
      <c r="S1232" s="125"/>
      <c r="T1232" s="125">
        <f>145000</f>
        <v>145000</v>
      </c>
      <c r="U1232" s="125"/>
      <c r="V1232" s="125"/>
      <c r="W1232" s="125"/>
      <c r="X1232" s="125"/>
      <c r="Y1232" s="125"/>
      <c r="Z1232" s="125"/>
      <c r="AA1232" s="125"/>
      <c r="AB1232" s="125"/>
      <c r="AC1232" s="124"/>
      <c r="AD1232" s="117">
        <v>8</v>
      </c>
      <c r="AE1232" s="129"/>
      <c r="AF1232" s="127"/>
      <c r="AJ1232" s="177"/>
      <c r="AW1232" s="120"/>
      <c r="BA1232" s="135"/>
    </row>
    <row r="1233" spans="1:53" ht="15">
      <c r="A1233" s="154"/>
      <c r="B1233" s="113"/>
      <c r="C1233" s="123" t="s">
        <v>2244</v>
      </c>
      <c r="D1233" s="123"/>
      <c r="E1233" s="124"/>
      <c r="F1233" s="124"/>
      <c r="G1233" s="124"/>
      <c r="H1233" s="115">
        <f t="shared" si="192"/>
        <v>3600</v>
      </c>
      <c r="I1233" s="115">
        <f t="shared" si="193"/>
        <v>3600</v>
      </c>
      <c r="J1233" s="115">
        <f t="shared" si="194"/>
        <v>3600</v>
      </c>
      <c r="K1233" s="115">
        <f t="shared" si="195"/>
        <v>3600</v>
      </c>
      <c r="L1233" s="115">
        <f t="shared" si="191"/>
        <v>3600</v>
      </c>
      <c r="M1233" s="124"/>
      <c r="N1233" s="124"/>
      <c r="O1233" s="124"/>
      <c r="P1233" s="124"/>
      <c r="Q1233" s="125"/>
      <c r="R1233" s="125"/>
      <c r="S1233" s="125"/>
      <c r="T1233" s="125">
        <f>132600-129000</f>
        <v>3600</v>
      </c>
      <c r="U1233" s="125"/>
      <c r="V1233" s="125"/>
      <c r="W1233" s="125"/>
      <c r="X1233" s="125"/>
      <c r="Y1233" s="125"/>
      <c r="Z1233" s="125"/>
      <c r="AA1233" s="125"/>
      <c r="AB1233" s="125"/>
      <c r="AC1233" s="124"/>
      <c r="AD1233" s="117"/>
      <c r="AE1233" s="129"/>
      <c r="AF1233" s="127"/>
      <c r="AJ1233" s="177"/>
      <c r="AW1233" s="120"/>
      <c r="BA1233" s="135"/>
    </row>
    <row r="1234" spans="1:53" ht="15">
      <c r="A1234" s="154"/>
      <c r="B1234" s="113"/>
      <c r="C1234" s="123" t="s">
        <v>2245</v>
      </c>
      <c r="D1234" s="123"/>
      <c r="E1234" s="124"/>
      <c r="F1234" s="124"/>
      <c r="G1234" s="124"/>
      <c r="H1234" s="115">
        <f t="shared" si="192"/>
        <v>56200</v>
      </c>
      <c r="I1234" s="115">
        <f t="shared" si="193"/>
        <v>56200</v>
      </c>
      <c r="J1234" s="115">
        <f t="shared" si="194"/>
        <v>56200</v>
      </c>
      <c r="K1234" s="115">
        <f t="shared" si="195"/>
        <v>56200</v>
      </c>
      <c r="L1234" s="115">
        <f t="shared" si="191"/>
        <v>56200</v>
      </c>
      <c r="M1234" s="124"/>
      <c r="N1234" s="124"/>
      <c r="O1234" s="124"/>
      <c r="P1234" s="124"/>
      <c r="Q1234" s="125"/>
      <c r="R1234" s="125"/>
      <c r="S1234" s="125"/>
      <c r="T1234" s="125">
        <f>110000+145000-191000+3000-10800</f>
        <v>56200</v>
      </c>
      <c r="U1234" s="125"/>
      <c r="V1234" s="125"/>
      <c r="W1234" s="125"/>
      <c r="X1234" s="125"/>
      <c r="Y1234" s="125"/>
      <c r="Z1234" s="125"/>
      <c r="AA1234" s="125"/>
      <c r="AB1234" s="125"/>
      <c r="AC1234" s="124"/>
      <c r="AD1234" s="117"/>
      <c r="AE1234" s="129"/>
      <c r="AF1234" s="127"/>
      <c r="AJ1234" s="177"/>
      <c r="AW1234" s="120"/>
      <c r="BA1234" s="135"/>
    </row>
    <row r="1235" spans="1:53" ht="15">
      <c r="A1235" s="154"/>
      <c r="B1235" s="113"/>
      <c r="C1235" s="123" t="s">
        <v>2246</v>
      </c>
      <c r="D1235" s="123"/>
      <c r="E1235" s="124"/>
      <c r="F1235" s="124"/>
      <c r="G1235" s="124"/>
      <c r="H1235" s="115">
        <f t="shared" si="192"/>
        <v>158.40000000000146</v>
      </c>
      <c r="I1235" s="115">
        <f t="shared" si="193"/>
        <v>158.40000000000146</v>
      </c>
      <c r="J1235" s="115">
        <f t="shared" si="194"/>
        <v>158.40000000000146</v>
      </c>
      <c r="K1235" s="115">
        <f t="shared" si="195"/>
        <v>158.40000000000146</v>
      </c>
      <c r="L1235" s="115">
        <f t="shared" si="191"/>
        <v>158.40000000000146</v>
      </c>
      <c r="M1235" s="124"/>
      <c r="N1235" s="124"/>
      <c r="O1235" s="124"/>
      <c r="P1235" s="124"/>
      <c r="Q1235" s="125"/>
      <c r="R1235" s="125"/>
      <c r="S1235" s="125"/>
      <c r="T1235" s="125">
        <f>24158.4-24000</f>
        <v>158.40000000000146</v>
      </c>
      <c r="U1235" s="125"/>
      <c r="V1235" s="125"/>
      <c r="W1235" s="125"/>
      <c r="X1235" s="125"/>
      <c r="Y1235" s="125"/>
      <c r="Z1235" s="125"/>
      <c r="AA1235" s="125"/>
      <c r="AB1235" s="125"/>
      <c r="AC1235" s="124"/>
      <c r="AD1235" s="117"/>
      <c r="AE1235" s="129"/>
      <c r="AF1235" s="127"/>
      <c r="AJ1235" s="177"/>
      <c r="AW1235" s="120"/>
      <c r="BA1235" s="135"/>
    </row>
    <row r="1236" spans="1:53" ht="15">
      <c r="A1236" s="154"/>
      <c r="B1236" s="113"/>
      <c r="C1236" s="123" t="s">
        <v>2247</v>
      </c>
      <c r="D1236" s="123"/>
      <c r="E1236" s="124"/>
      <c r="F1236" s="124"/>
      <c r="G1236" s="124"/>
      <c r="H1236" s="115">
        <f t="shared" si="192"/>
        <v>747127.28000000014</v>
      </c>
      <c r="I1236" s="115">
        <f t="shared" si="193"/>
        <v>747127.28000000014</v>
      </c>
      <c r="J1236" s="115">
        <f t="shared" si="194"/>
        <v>747127.28000000014</v>
      </c>
      <c r="K1236" s="115">
        <f t="shared" si="195"/>
        <v>747127.28000000014</v>
      </c>
      <c r="L1236" s="115">
        <f t="shared" si="191"/>
        <v>747127.28000000014</v>
      </c>
      <c r="M1236" s="124"/>
      <c r="N1236" s="124"/>
      <c r="O1236" s="124"/>
      <c r="P1236" s="124"/>
      <c r="Q1236" s="125"/>
      <c r="R1236" s="125"/>
      <c r="S1236" s="125"/>
      <c r="T1236" s="125">
        <f>1346965.96-4550.08-7456.98-9750-35375.45-7456.98-6349.27-8185.18-12652.5-5505.09-7092.88-7456.98-2000-2000-7821.08-11365.27-3180.09-4550.08-4640.99-5400-29391.4-201485.18-20280-20002.07-23400-7821.08-30051.41-10637.07-16960-7456.98-15500.28-5278.28-2360.52-10237.45-7456.98-1650-13000-9821.08-7500-6760</f>
        <v>747127.28000000014</v>
      </c>
      <c r="U1236" s="125"/>
      <c r="V1236" s="125"/>
      <c r="W1236" s="125"/>
      <c r="X1236" s="125"/>
      <c r="Y1236" s="125"/>
      <c r="Z1236" s="125"/>
      <c r="AA1236" s="125"/>
      <c r="AB1236" s="125"/>
      <c r="AC1236" s="124"/>
      <c r="AD1236" s="162"/>
      <c r="AE1236" s="162">
        <f>SUM(AE1227:AE1230)</f>
        <v>0</v>
      </c>
      <c r="AF1236" s="127"/>
      <c r="AJ1236" s="177">
        <f>AJ1216-AJ1230</f>
        <v>105667.09</v>
      </c>
      <c r="AK1236" s="108" t="s">
        <v>2184</v>
      </c>
      <c r="AW1236" s="120">
        <v>25407.5</v>
      </c>
      <c r="BA1236" s="135">
        <v>8785.66</v>
      </c>
    </row>
    <row r="1237" spans="1:53" ht="15">
      <c r="A1237" s="154"/>
      <c r="B1237" s="113"/>
      <c r="C1237" s="123" t="s">
        <v>2248</v>
      </c>
      <c r="D1237" s="123"/>
      <c r="E1237" s="124"/>
      <c r="F1237" s="124"/>
      <c r="G1237" s="124"/>
      <c r="H1237" s="115">
        <f t="shared" si="192"/>
        <v>560954.30999999982</v>
      </c>
      <c r="I1237" s="115">
        <f t="shared" si="193"/>
        <v>651578.67999999982</v>
      </c>
      <c r="J1237" s="115">
        <f t="shared" si="194"/>
        <v>554124.16999999981</v>
      </c>
      <c r="K1237" s="115">
        <f t="shared" si="195"/>
        <v>533011.66999999981</v>
      </c>
      <c r="L1237" s="115">
        <f t="shared" si="191"/>
        <v>667761.66999999981</v>
      </c>
      <c r="M1237" s="124"/>
      <c r="N1237" s="124"/>
      <c r="O1237" s="124"/>
      <c r="P1237" s="124"/>
      <c r="Q1237" s="125"/>
      <c r="R1237" s="125"/>
      <c r="S1237" s="125"/>
      <c r="T1237" s="125">
        <f>184134.9+13000-74502.5-74250-64815+176038.65+1000+131170.43-154202-283088.25+447456.1-74641.5+121000-53377-4370+349404-1726-149212.5+395505.54-75023.5+35500-90240-106603.5+45000-29239-136823.5+60620-28000-68023.5-6495+3000-170759-130373.5+117500-241819-122625.75+540473.54-108223.25+181357-66640-28000+375056.2-182415-188446.5+58500-109118+163386-324-75000-109118+16704+147263.08-109281+50000-81429+47326.37-28000+62184.08-28000+10494.17+164750-135000-18665+22000+47000-54000+108000-52000</f>
        <v>560954.30999999982</v>
      </c>
      <c r="U1237" s="125">
        <f>-302935.63+388500+5060</f>
        <v>90624.37</v>
      </c>
      <c r="V1237" s="125">
        <f>125500-34842.01-188112.5</f>
        <v>-97454.510000000009</v>
      </c>
      <c r="W1237" s="125">
        <f>94000-115112.5</f>
        <v>-21112.5</v>
      </c>
      <c r="X1237" s="125">
        <v>134750</v>
      </c>
      <c r="Y1237" s="125"/>
      <c r="Z1237" s="125"/>
      <c r="AA1237" s="125"/>
      <c r="AB1237" s="125"/>
      <c r="AC1237" s="124" t="s">
        <v>2345</v>
      </c>
      <c r="AD1237" s="117"/>
      <c r="AE1237" s="115"/>
      <c r="AF1237" s="127"/>
      <c r="AG1237" s="108" t="s">
        <v>2249</v>
      </c>
      <c r="AJ1237" s="129">
        <v>3850</v>
      </c>
      <c r="AO1237" s="108" t="s">
        <v>2250</v>
      </c>
      <c r="AW1237" s="120">
        <f>SUM(AW1221:AW1236)</f>
        <v>693130.75</v>
      </c>
      <c r="BA1237" s="135">
        <v>1625180.9</v>
      </c>
    </row>
    <row r="1238" spans="1:53" ht="15">
      <c r="A1238" s="154"/>
      <c r="B1238" s="113"/>
      <c r="C1238" s="123" t="s">
        <v>2251</v>
      </c>
      <c r="D1238" s="123"/>
      <c r="E1238" s="124"/>
      <c r="F1238" s="124"/>
      <c r="G1238" s="124"/>
      <c r="H1238" s="115">
        <f t="shared" si="192"/>
        <v>442222.30000000005</v>
      </c>
      <c r="I1238" s="115">
        <f t="shared" si="193"/>
        <v>442222.30000000005</v>
      </c>
      <c r="J1238" s="115">
        <f t="shared" si="194"/>
        <v>442222.30000000005</v>
      </c>
      <c r="K1238" s="115">
        <f t="shared" si="195"/>
        <v>442222.30000000005</v>
      </c>
      <c r="L1238" s="115">
        <f t="shared" si="191"/>
        <v>442222.30000000005</v>
      </c>
      <c r="M1238" s="124"/>
      <c r="N1238" s="124"/>
      <c r="O1238" s="124"/>
      <c r="P1238" s="124"/>
      <c r="Q1238" s="125"/>
      <c r="R1238" s="125"/>
      <c r="S1238" s="125"/>
      <c r="T1238" s="125">
        <f>219486.92+96932.54+125802.84</f>
        <v>442222.30000000005</v>
      </c>
      <c r="U1238" s="125"/>
      <c r="V1238" s="125"/>
      <c r="W1238" s="125"/>
      <c r="X1238" s="125"/>
      <c r="Y1238" s="125"/>
      <c r="Z1238" s="125"/>
      <c r="AA1238" s="125"/>
      <c r="AB1238" s="125"/>
      <c r="AC1238" s="124"/>
      <c r="AD1238" s="117"/>
      <c r="AE1238" s="115"/>
      <c r="AF1238" s="127"/>
      <c r="AJ1238" s="129">
        <v>30790</v>
      </c>
      <c r="AK1238" s="136" t="s">
        <v>2252</v>
      </c>
      <c r="AL1238" s="108" t="s">
        <v>2250</v>
      </c>
      <c r="AW1238" s="120">
        <v>3651069.38</v>
      </c>
      <c r="BA1238" s="135">
        <v>50000</v>
      </c>
    </row>
    <row r="1239" spans="1:53" ht="15">
      <c r="A1239" s="154"/>
      <c r="B1239" s="113"/>
      <c r="C1239" s="123" t="s">
        <v>2253</v>
      </c>
      <c r="D1239" s="128"/>
      <c r="E1239" s="117"/>
      <c r="F1239" s="117"/>
      <c r="G1239" s="117"/>
      <c r="H1239" s="115">
        <f t="shared" si="192"/>
        <v>3939</v>
      </c>
      <c r="I1239" s="115">
        <f t="shared" si="193"/>
        <v>3939</v>
      </c>
      <c r="J1239" s="115">
        <f t="shared" si="194"/>
        <v>3939</v>
      </c>
      <c r="K1239" s="115">
        <f t="shared" si="195"/>
        <v>3939</v>
      </c>
      <c r="L1239" s="115">
        <f t="shared" si="191"/>
        <v>3939</v>
      </c>
      <c r="M1239" s="117"/>
      <c r="N1239" s="117"/>
      <c r="O1239" s="117"/>
      <c r="P1239" s="117"/>
      <c r="Q1239" s="125"/>
      <c r="R1239" s="125"/>
      <c r="S1239" s="125"/>
      <c r="T1239" s="125">
        <f>3939</f>
        <v>3939</v>
      </c>
      <c r="U1239" s="125"/>
      <c r="V1239" s="125"/>
      <c r="W1239" s="125"/>
      <c r="X1239" s="125"/>
      <c r="Y1239" s="125"/>
      <c r="Z1239" s="125"/>
      <c r="AA1239" s="125"/>
      <c r="AB1239" s="125"/>
      <c r="AC1239" s="124"/>
      <c r="AD1239" s="117"/>
      <c r="AE1239" s="129"/>
      <c r="AF1239" s="115">
        <v>17093</v>
      </c>
      <c r="AG1239" s="108" t="s">
        <v>2254</v>
      </c>
      <c r="AJ1239" s="177">
        <f>AJ1236-AJ1237-AJ1238</f>
        <v>71027.09</v>
      </c>
      <c r="AK1239" s="108" t="s">
        <v>2255</v>
      </c>
      <c r="AW1239" s="120">
        <v>370309.25</v>
      </c>
      <c r="BA1239" s="135">
        <f>SUM(BA1215:BA1238)</f>
        <v>7510389.2699999996</v>
      </c>
    </row>
    <row r="1240" spans="1:53" ht="15">
      <c r="A1240" s="154"/>
      <c r="B1240" s="113"/>
      <c r="C1240" s="123" t="s">
        <v>2256</v>
      </c>
      <c r="D1240" s="128"/>
      <c r="E1240" s="117"/>
      <c r="F1240" s="117"/>
      <c r="G1240" s="117"/>
      <c r="H1240" s="115">
        <f t="shared" si="192"/>
        <v>5690267.1500000004</v>
      </c>
      <c r="I1240" s="115">
        <f t="shared" si="193"/>
        <v>6491502.4199999999</v>
      </c>
      <c r="J1240" s="115">
        <f t="shared" si="194"/>
        <v>7213326.5300000003</v>
      </c>
      <c r="K1240" s="115">
        <f t="shared" si="195"/>
        <v>8354765.5099999998</v>
      </c>
      <c r="L1240" s="115">
        <f t="shared" si="191"/>
        <v>8909234.3000000007</v>
      </c>
      <c r="M1240" s="117"/>
      <c r="N1240" s="117"/>
      <c r="O1240" s="117"/>
      <c r="P1240" s="117"/>
      <c r="Q1240" s="125"/>
      <c r="R1240" s="125"/>
      <c r="S1240" s="125"/>
      <c r="T1240" s="125">
        <f>1950000+1900000-873800+85527.62-823200+153926.99-1566560-841000+7482.05+1320713.13+1756806.74-1823974+1201383.39-934820+981343.8-1803601.5+655721.43-577336.1+229018.55-146680+1750159.92-1773740+992697.13-928130+1094883.31-205200+1017315.28-2028400+28665.8+712935.35-879600+1114645.78-994000+697243.11-546000+471706.46-277500+588999.63-489200+2282194.68-1018400+2596061.2-1767160.7+496517.33+148689.33+369508.5-2457780.75+556984.95+142573+1370921.22+1771724.52</f>
        <v>5690267.1500000004</v>
      </c>
      <c r="U1240" s="125">
        <v>801235.27</v>
      </c>
      <c r="V1240" s="125">
        <v>721824.11</v>
      </c>
      <c r="W1240" s="125">
        <v>1141438.98</v>
      </c>
      <c r="X1240" s="125">
        <v>554468.79</v>
      </c>
      <c r="Y1240" s="125"/>
      <c r="Z1240" s="125"/>
      <c r="AA1240" s="125"/>
      <c r="AB1240" s="125"/>
      <c r="AC1240" s="124"/>
      <c r="AD1240" s="117"/>
      <c r="AE1240" s="115"/>
      <c r="AF1240" s="197">
        <f>16875-16875</f>
        <v>0</v>
      </c>
      <c r="AJ1240" s="129"/>
      <c r="AW1240" s="120"/>
      <c r="BA1240" s="135"/>
    </row>
    <row r="1241" spans="1:53" ht="15">
      <c r="A1241" s="154"/>
      <c r="B1241" s="113"/>
      <c r="C1241" s="123" t="s">
        <v>2257</v>
      </c>
      <c r="D1241" s="128"/>
      <c r="E1241" s="117"/>
      <c r="F1241" s="117"/>
      <c r="G1241" s="117"/>
      <c r="H1241" s="115">
        <f t="shared" si="192"/>
        <v>3600</v>
      </c>
      <c r="I1241" s="115">
        <f t="shared" si="193"/>
        <v>3600</v>
      </c>
      <c r="J1241" s="115">
        <f t="shared" si="194"/>
        <v>3600</v>
      </c>
      <c r="K1241" s="115">
        <f t="shared" si="195"/>
        <v>3600</v>
      </c>
      <c r="L1241" s="115">
        <f t="shared" si="191"/>
        <v>3600</v>
      </c>
      <c r="M1241" s="117"/>
      <c r="N1241" s="117"/>
      <c r="O1241" s="117"/>
      <c r="P1241" s="117"/>
      <c r="Q1241" s="125"/>
      <c r="R1241" s="125"/>
      <c r="S1241" s="125"/>
      <c r="T1241" s="125">
        <f>3600</f>
        <v>3600</v>
      </c>
      <c r="U1241" s="125"/>
      <c r="V1241" s="125"/>
      <c r="W1241" s="125"/>
      <c r="X1241" s="125"/>
      <c r="Y1241" s="125"/>
      <c r="Z1241" s="125"/>
      <c r="AA1241" s="125"/>
      <c r="AB1241" s="125"/>
      <c r="AC1241" s="124"/>
      <c r="AD1241" s="117"/>
      <c r="AE1241" s="115"/>
      <c r="AF1241" s="115"/>
      <c r="AJ1241" s="129"/>
      <c r="AW1241" s="120"/>
      <c r="BA1241" s="135"/>
    </row>
    <row r="1242" spans="1:53" ht="15">
      <c r="A1242" s="154"/>
      <c r="B1242" s="113"/>
      <c r="C1242" s="123" t="s">
        <v>2258</v>
      </c>
      <c r="D1242" s="128"/>
      <c r="E1242" s="117"/>
      <c r="F1242" s="117"/>
      <c r="G1242" s="117"/>
      <c r="H1242" s="115">
        <f t="shared" si="192"/>
        <v>8297.5</v>
      </c>
      <c r="I1242" s="115">
        <f t="shared" si="193"/>
        <v>8297.5</v>
      </c>
      <c r="J1242" s="115">
        <f t="shared" si="194"/>
        <v>8297.5</v>
      </c>
      <c r="K1242" s="115">
        <f t="shared" si="195"/>
        <v>8297.5</v>
      </c>
      <c r="L1242" s="115">
        <f t="shared" si="191"/>
        <v>8297.5</v>
      </c>
      <c r="M1242" s="117"/>
      <c r="N1242" s="117"/>
      <c r="O1242" s="117"/>
      <c r="P1242" s="117"/>
      <c r="Q1242" s="125"/>
      <c r="R1242" s="125"/>
      <c r="S1242" s="125"/>
      <c r="T1242" s="125">
        <f>13797.5-5500</f>
        <v>8297.5</v>
      </c>
      <c r="U1242" s="125"/>
      <c r="V1242" s="125"/>
      <c r="W1242" s="125"/>
      <c r="X1242" s="125"/>
      <c r="Y1242" s="125"/>
      <c r="Z1242" s="125"/>
      <c r="AA1242" s="125"/>
      <c r="AB1242" s="125"/>
      <c r="AC1242" s="124"/>
      <c r="AD1242" s="117"/>
      <c r="AE1242" s="115"/>
      <c r="AF1242" s="129"/>
      <c r="AG1242" s="108" t="s">
        <v>2259</v>
      </c>
      <c r="AJ1242" s="129"/>
      <c r="AW1242" s="120"/>
      <c r="BA1242" s="135"/>
    </row>
    <row r="1243" spans="1:53" ht="15">
      <c r="A1243" s="154"/>
      <c r="B1243" s="113"/>
      <c r="C1243" s="123" t="s">
        <v>2260</v>
      </c>
      <c r="D1243" s="123"/>
      <c r="E1243" s="124"/>
      <c r="F1243" s="124"/>
      <c r="G1243" s="124"/>
      <c r="H1243" s="115">
        <f t="shared" si="192"/>
        <v>30264.45</v>
      </c>
      <c r="I1243" s="115">
        <f t="shared" si="193"/>
        <v>30264.45</v>
      </c>
      <c r="J1243" s="115">
        <f t="shared" si="194"/>
        <v>30264.45</v>
      </c>
      <c r="K1243" s="115">
        <f t="shared" si="195"/>
        <v>30264.45</v>
      </c>
      <c r="L1243" s="115">
        <f t="shared" si="191"/>
        <v>30264.45</v>
      </c>
      <c r="M1243" s="124"/>
      <c r="N1243" s="124"/>
      <c r="O1243" s="124"/>
      <c r="P1243" s="124"/>
      <c r="Q1243" s="125"/>
      <c r="R1243" s="125"/>
      <c r="S1243" s="125"/>
      <c r="T1243" s="125">
        <f>30264.45</f>
        <v>30264.45</v>
      </c>
      <c r="U1243" s="125"/>
      <c r="V1243" s="125"/>
      <c r="W1243" s="125"/>
      <c r="X1243" s="125"/>
      <c r="Y1243" s="125"/>
      <c r="Z1243" s="125"/>
      <c r="AA1243" s="125"/>
      <c r="AB1243" s="125"/>
      <c r="AC1243" s="124"/>
      <c r="AD1243" s="117"/>
      <c r="AE1243" s="120" t="s">
        <v>2261</v>
      </c>
      <c r="AF1243" s="115">
        <v>604279.25</v>
      </c>
      <c r="AG1243" s="108" t="s">
        <v>2262</v>
      </c>
      <c r="AJ1243" s="120"/>
      <c r="AK1243" s="136"/>
      <c r="AW1243" s="120">
        <v>2500</v>
      </c>
      <c r="BA1243" s="135">
        <v>660726.5</v>
      </c>
    </row>
    <row r="1244" spans="1:53" ht="15">
      <c r="A1244" s="154"/>
      <c r="B1244" s="113"/>
      <c r="C1244" s="123" t="s">
        <v>2263</v>
      </c>
      <c r="D1244" s="128"/>
      <c r="E1244" s="117"/>
      <c r="F1244" s="117"/>
      <c r="G1244" s="117"/>
      <c r="H1244" s="115">
        <f t="shared" si="192"/>
        <v>22660</v>
      </c>
      <c r="I1244" s="115">
        <f t="shared" si="193"/>
        <v>5065</v>
      </c>
      <c r="J1244" s="115">
        <f t="shared" si="194"/>
        <v>5065</v>
      </c>
      <c r="K1244" s="115">
        <f t="shared" si="195"/>
        <v>5065</v>
      </c>
      <c r="L1244" s="115">
        <f t="shared" si="191"/>
        <v>5065</v>
      </c>
      <c r="M1244" s="117"/>
      <c r="N1244" s="117"/>
      <c r="O1244" s="117"/>
      <c r="P1244" s="117"/>
      <c r="Q1244" s="125"/>
      <c r="R1244" s="125"/>
      <c r="S1244" s="125"/>
      <c r="T1244" s="125">
        <f>6480+600+1800+300+300+300+1050+300+600+1500+700+300+300+300+600+6300+300+630</f>
        <v>22660</v>
      </c>
      <c r="U1244" s="125">
        <v>-17595</v>
      </c>
      <c r="V1244" s="125"/>
      <c r="W1244" s="125"/>
      <c r="X1244" s="125"/>
      <c r="Y1244" s="125"/>
      <c r="Z1244" s="125"/>
      <c r="AA1244" s="125"/>
      <c r="AB1244" s="125"/>
      <c r="AC1244" s="124"/>
      <c r="AD1244" s="117"/>
      <c r="AE1244" s="120" t="s">
        <v>2264</v>
      </c>
      <c r="AF1244" s="129" t="e">
        <f>#REF!-AF1243</f>
        <v>#REF!</v>
      </c>
      <c r="AG1244" s="108" t="s">
        <v>2265</v>
      </c>
      <c r="AJ1244" s="120"/>
      <c r="AK1244" s="136"/>
      <c r="AW1244" s="120">
        <v>109750</v>
      </c>
      <c r="BA1244" s="135">
        <f>SUM(BA1239:BA1243)</f>
        <v>8171115.7699999996</v>
      </c>
    </row>
    <row r="1245" spans="1:53" ht="15">
      <c r="A1245" s="154"/>
      <c r="B1245" s="113"/>
      <c r="C1245" s="123" t="s">
        <v>2266</v>
      </c>
      <c r="D1245" s="123"/>
      <c r="E1245" s="124"/>
      <c r="F1245" s="124"/>
      <c r="G1245" s="124"/>
      <c r="H1245" s="115">
        <f t="shared" si="192"/>
        <v>3412.19</v>
      </c>
      <c r="I1245" s="115">
        <f t="shared" si="193"/>
        <v>3412.19</v>
      </c>
      <c r="J1245" s="115">
        <f t="shared" si="194"/>
        <v>3412.19</v>
      </c>
      <c r="K1245" s="115">
        <f t="shared" si="195"/>
        <v>3412.19</v>
      </c>
      <c r="L1245" s="115">
        <f t="shared" si="191"/>
        <v>3412.19</v>
      </c>
      <c r="M1245" s="124"/>
      <c r="N1245" s="124"/>
      <c r="O1245" s="124"/>
      <c r="P1245" s="124"/>
      <c r="Q1245" s="125"/>
      <c r="R1245" s="125"/>
      <c r="S1245" s="125"/>
      <c r="T1245" s="125">
        <v>3412.19</v>
      </c>
      <c r="U1245" s="125"/>
      <c r="V1245" s="125"/>
      <c r="W1245" s="125"/>
      <c r="X1245" s="125"/>
      <c r="Y1245" s="125"/>
      <c r="Z1245" s="125"/>
      <c r="AA1245" s="125"/>
      <c r="AB1245" s="125"/>
      <c r="AC1245" s="124"/>
      <c r="AD1245" s="117"/>
      <c r="AE1245" s="120"/>
      <c r="AF1245" s="127"/>
      <c r="AJ1245" s="120"/>
      <c r="AK1245" s="136"/>
      <c r="AW1245" s="120">
        <v>234986.75</v>
      </c>
      <c r="BA1245" s="135">
        <v>-8226431.7699999996</v>
      </c>
    </row>
    <row r="1246" spans="1:53" ht="15">
      <c r="A1246" s="154"/>
      <c r="B1246" s="113"/>
      <c r="C1246" s="128" t="s">
        <v>2267</v>
      </c>
      <c r="D1246" s="128"/>
      <c r="E1246" s="117"/>
      <c r="F1246" s="117"/>
      <c r="G1246" s="117"/>
      <c r="H1246" s="115">
        <f t="shared" si="192"/>
        <v>6898.4</v>
      </c>
      <c r="I1246" s="115">
        <f t="shared" si="193"/>
        <v>6898.4</v>
      </c>
      <c r="J1246" s="115">
        <f t="shared" si="194"/>
        <v>6898.4</v>
      </c>
      <c r="K1246" s="115">
        <f t="shared" si="195"/>
        <v>6898.4</v>
      </c>
      <c r="L1246" s="115">
        <f t="shared" si="191"/>
        <v>6898.4</v>
      </c>
      <c r="M1246" s="117"/>
      <c r="N1246" s="117"/>
      <c r="O1246" s="117"/>
      <c r="P1246" s="117"/>
      <c r="Q1246" s="125"/>
      <c r="R1246" s="125"/>
      <c r="S1246" s="125"/>
      <c r="T1246" s="125">
        <v>6898.4</v>
      </c>
      <c r="U1246" s="125"/>
      <c r="V1246" s="125"/>
      <c r="W1246" s="125"/>
      <c r="X1246" s="125"/>
      <c r="Y1246" s="125"/>
      <c r="Z1246" s="125"/>
      <c r="AA1246" s="125"/>
      <c r="AB1246" s="125"/>
      <c r="AC1246" s="124"/>
      <c r="AD1246" s="117"/>
      <c r="AE1246" s="120"/>
      <c r="AF1246" s="127"/>
      <c r="AW1246" s="135">
        <f>SUM(AW1237:AW1245)</f>
        <v>5061746.13</v>
      </c>
      <c r="BA1246" s="135">
        <f>SUM(BA1244:BA1245)</f>
        <v>-55316</v>
      </c>
    </row>
    <row r="1247" spans="1:53" ht="15">
      <c r="A1247" s="154"/>
      <c r="B1247" s="113"/>
      <c r="C1247" s="232" t="s">
        <v>2331</v>
      </c>
      <c r="D1247" s="128"/>
      <c r="E1247" s="117"/>
      <c r="F1247" s="117"/>
      <c r="G1247" s="117"/>
      <c r="H1247" s="115"/>
      <c r="I1247" s="115"/>
      <c r="J1247" s="115">
        <f t="shared" si="194"/>
        <v>5000</v>
      </c>
      <c r="K1247" s="115">
        <f t="shared" si="195"/>
        <v>5000</v>
      </c>
      <c r="L1247" s="115">
        <f t="shared" si="191"/>
        <v>5000</v>
      </c>
      <c r="M1247" s="117"/>
      <c r="N1247" s="117"/>
      <c r="O1247" s="117"/>
      <c r="P1247" s="117"/>
      <c r="Q1247" s="125"/>
      <c r="R1247" s="125"/>
      <c r="S1247" s="125"/>
      <c r="T1247" s="125"/>
      <c r="U1247" s="125"/>
      <c r="V1247" s="125">
        <v>5000</v>
      </c>
      <c r="W1247" s="125"/>
      <c r="X1247" s="125"/>
      <c r="Y1247" s="125"/>
      <c r="Z1247" s="125"/>
      <c r="AA1247" s="125"/>
      <c r="AB1247" s="125"/>
      <c r="AC1247" s="124"/>
      <c r="AD1247" s="117"/>
      <c r="AE1247" s="120"/>
      <c r="AF1247" s="127"/>
      <c r="AW1247" s="135"/>
      <c r="BA1247" s="135"/>
    </row>
    <row r="1248" spans="1:53" ht="15">
      <c r="A1248" s="154"/>
      <c r="B1248" s="113"/>
      <c r="C1248" s="128" t="s">
        <v>2268</v>
      </c>
      <c r="D1248" s="128"/>
      <c r="E1248" s="117"/>
      <c r="F1248" s="117"/>
      <c r="G1248" s="117"/>
      <c r="H1248" s="115">
        <f t="shared" si="192"/>
        <v>1942.65</v>
      </c>
      <c r="I1248" s="115">
        <f t="shared" si="193"/>
        <v>1942.65</v>
      </c>
      <c r="J1248" s="115">
        <f t="shared" si="194"/>
        <v>1942.65</v>
      </c>
      <c r="K1248" s="115">
        <f t="shared" si="195"/>
        <v>1942.65</v>
      </c>
      <c r="L1248" s="115">
        <f t="shared" si="191"/>
        <v>1942.65</v>
      </c>
      <c r="M1248" s="117"/>
      <c r="N1248" s="117"/>
      <c r="O1248" s="117"/>
      <c r="P1248" s="117"/>
      <c r="Q1248" s="125"/>
      <c r="R1248" s="125"/>
      <c r="S1248" s="125"/>
      <c r="T1248" s="125">
        <v>1942.65</v>
      </c>
      <c r="U1248" s="125"/>
      <c r="V1248" s="125"/>
      <c r="W1248" s="125"/>
      <c r="X1248" s="125"/>
      <c r="Y1248" s="125"/>
      <c r="Z1248" s="125"/>
      <c r="AA1248" s="125"/>
      <c r="AB1248" s="125"/>
      <c r="AC1248" s="124"/>
      <c r="AD1248" s="117"/>
      <c r="AE1248" s="120"/>
      <c r="AF1248" s="127"/>
    </row>
    <row r="1249" spans="1:40" ht="15">
      <c r="A1249" s="154"/>
      <c r="B1249" s="113"/>
      <c r="C1249" s="123" t="s">
        <v>2269</v>
      </c>
      <c r="D1249" s="128"/>
      <c r="E1249" s="117"/>
      <c r="F1249" s="117"/>
      <c r="G1249" s="117"/>
      <c r="H1249" s="115">
        <f t="shared" si="192"/>
        <v>994.3</v>
      </c>
      <c r="I1249" s="115">
        <f t="shared" si="193"/>
        <v>1094.3</v>
      </c>
      <c r="J1249" s="115">
        <f t="shared" si="194"/>
        <v>1491.3</v>
      </c>
      <c r="K1249" s="115">
        <f t="shared" si="195"/>
        <v>1334.3</v>
      </c>
      <c r="L1249" s="115">
        <f t="shared" si="191"/>
        <v>2167.3000000000002</v>
      </c>
      <c r="M1249" s="117"/>
      <c r="N1249" s="117"/>
      <c r="O1249" s="117"/>
      <c r="P1249" s="117"/>
      <c r="Q1249" s="125"/>
      <c r="R1249" s="125"/>
      <c r="S1249" s="125"/>
      <c r="T1249" s="125">
        <f>891+586.5+398.3-315.5+213.5-213.5+34+176-776+88-88+210+124.5+438.5-334.5-438.5</f>
        <v>994.3</v>
      </c>
      <c r="U1249" s="125">
        <v>100</v>
      </c>
      <c r="V1249" s="125">
        <v>397</v>
      </c>
      <c r="W1249" s="125">
        <f>-397+240</f>
        <v>-157</v>
      </c>
      <c r="X1249" s="125">
        <v>833</v>
      </c>
      <c r="Y1249" s="125"/>
      <c r="Z1249" s="125"/>
      <c r="AA1249" s="125"/>
      <c r="AB1249" s="125"/>
      <c r="AC1249" s="124"/>
      <c r="AD1249" s="117"/>
      <c r="AE1249" s="120"/>
      <c r="AF1249" s="127"/>
    </row>
    <row r="1250" spans="1:40" ht="15">
      <c r="A1250" s="154"/>
      <c r="B1250" s="113"/>
      <c r="C1250" s="123" t="s">
        <v>2270</v>
      </c>
      <c r="D1250" s="128"/>
      <c r="E1250" s="117"/>
      <c r="F1250" s="117"/>
      <c r="G1250" s="117"/>
      <c r="H1250" s="115">
        <f t="shared" si="192"/>
        <v>5850</v>
      </c>
      <c r="I1250" s="115">
        <f t="shared" si="193"/>
        <v>5850</v>
      </c>
      <c r="J1250" s="115">
        <f t="shared" si="194"/>
        <v>5850</v>
      </c>
      <c r="K1250" s="115">
        <f t="shared" si="195"/>
        <v>5850</v>
      </c>
      <c r="L1250" s="115">
        <f t="shared" si="191"/>
        <v>5850</v>
      </c>
      <c r="M1250" s="117"/>
      <c r="N1250" s="117"/>
      <c r="O1250" s="117"/>
      <c r="P1250" s="117"/>
      <c r="Q1250" s="125"/>
      <c r="R1250" s="125"/>
      <c r="S1250" s="125"/>
      <c r="T1250" s="125">
        <f>5850</f>
        <v>5850</v>
      </c>
      <c r="U1250" s="125"/>
      <c r="V1250" s="125"/>
      <c r="W1250" s="125"/>
      <c r="X1250" s="125"/>
      <c r="Y1250" s="125"/>
      <c r="Z1250" s="125"/>
      <c r="AA1250" s="125"/>
      <c r="AB1250" s="125"/>
      <c r="AC1250" s="124"/>
      <c r="AD1250" s="117"/>
      <c r="AE1250" s="120"/>
    </row>
    <row r="1251" spans="1:40" ht="15">
      <c r="A1251" s="154"/>
      <c r="B1251" s="113"/>
      <c r="C1251" s="123" t="s">
        <v>2271</v>
      </c>
      <c r="D1251" s="123"/>
      <c r="E1251" s="117"/>
      <c r="F1251" s="117"/>
      <c r="G1251" s="117"/>
      <c r="H1251" s="115">
        <f t="shared" si="192"/>
        <v>31876.78</v>
      </c>
      <c r="I1251" s="115">
        <f t="shared" si="193"/>
        <v>31876.78</v>
      </c>
      <c r="J1251" s="115">
        <f t="shared" si="194"/>
        <v>31876.78</v>
      </c>
      <c r="K1251" s="115">
        <f t="shared" si="195"/>
        <v>31876.78</v>
      </c>
      <c r="L1251" s="115">
        <f t="shared" si="191"/>
        <v>31876.78</v>
      </c>
      <c r="M1251" s="117"/>
      <c r="N1251" s="117"/>
      <c r="O1251" s="117"/>
      <c r="P1251" s="117"/>
      <c r="Q1251" s="125"/>
      <c r="R1251" s="125"/>
      <c r="S1251" s="125"/>
      <c r="T1251" s="125">
        <f>31876.78</f>
        <v>31876.78</v>
      </c>
      <c r="U1251" s="125"/>
      <c r="V1251" s="125"/>
      <c r="W1251" s="125"/>
      <c r="X1251" s="125"/>
      <c r="Y1251" s="125"/>
      <c r="Z1251" s="125"/>
      <c r="AA1251" s="125"/>
      <c r="AB1251" s="125"/>
      <c r="AC1251" s="124"/>
      <c r="AD1251" s="117"/>
      <c r="AE1251" s="120"/>
      <c r="AF1251" s="120">
        <v>2658</v>
      </c>
      <c r="AG1251" s="136" t="s">
        <v>2272</v>
      </c>
    </row>
    <row r="1252" spans="1:40" ht="15.75" thickBot="1">
      <c r="A1252" s="154"/>
      <c r="B1252" s="113"/>
      <c r="C1252" s="123" t="s">
        <v>2273</v>
      </c>
      <c r="D1252" s="123"/>
      <c r="E1252" s="124"/>
      <c r="F1252" s="124"/>
      <c r="G1252" s="124"/>
      <c r="H1252" s="115">
        <f t="shared" si="192"/>
        <v>138904.49</v>
      </c>
      <c r="I1252" s="115">
        <f t="shared" si="193"/>
        <v>126919.48999999999</v>
      </c>
      <c r="J1252" s="115">
        <f t="shared" si="194"/>
        <v>114539.48999999999</v>
      </c>
      <c r="K1252" s="115">
        <f t="shared" si="195"/>
        <v>114839.48999999999</v>
      </c>
      <c r="L1252" s="115">
        <f t="shared" si="191"/>
        <v>105239.48999999999</v>
      </c>
      <c r="M1252" s="124"/>
      <c r="N1252" s="124"/>
      <c r="O1252" s="124"/>
      <c r="P1252" s="124"/>
      <c r="Q1252" s="125"/>
      <c r="R1252" s="125"/>
      <c r="S1252" s="125"/>
      <c r="T1252" s="125">
        <f>49732.54+30500-5250-15295+8300+1000-4600+6100-6900+12550-19815-16790+5000-9200+22800-12190+7000-10120+2800+500-8970+17300-4600+5100-12995+17150-8740+6900-5290+21000-15180+22700-8970-6968.05-4830+9100-5060+900-5520+20250-2760+14700-3910+12600-2530+15800-8625+3800-2760+7300+2300+6490+12200+4900</f>
        <v>138904.49</v>
      </c>
      <c r="U1252" s="125">
        <f>4075-7360-8700</f>
        <v>-11985</v>
      </c>
      <c r="V1252" s="125">
        <f>9075-14555-6900</f>
        <v>-12380</v>
      </c>
      <c r="W1252" s="125">
        <f>3300-3000</f>
        <v>300</v>
      </c>
      <c r="X1252" s="125">
        <v>-9600</v>
      </c>
      <c r="Y1252" s="125"/>
      <c r="Z1252" s="125"/>
      <c r="AA1252" s="125"/>
      <c r="AB1252" s="125"/>
      <c r="AC1252" s="124"/>
      <c r="AD1252" s="117"/>
      <c r="AE1252" s="120"/>
      <c r="AF1252" s="196" t="e">
        <f>#REF!-AF1251</f>
        <v>#REF!</v>
      </c>
    </row>
    <row r="1253" spans="1:40" ht="15">
      <c r="A1253" s="154"/>
      <c r="B1253" s="113"/>
      <c r="C1253" s="123" t="s">
        <v>2274</v>
      </c>
      <c r="D1253" s="123"/>
      <c r="E1253" s="124"/>
      <c r="F1253" s="124"/>
      <c r="G1253" s="124"/>
      <c r="H1253" s="115">
        <f t="shared" si="192"/>
        <v>149288</v>
      </c>
      <c r="I1253" s="115">
        <f t="shared" si="193"/>
        <v>149288</v>
      </c>
      <c r="J1253" s="115">
        <f t="shared" si="194"/>
        <v>149288</v>
      </c>
      <c r="K1253" s="115">
        <f t="shared" si="195"/>
        <v>149288</v>
      </c>
      <c r="L1253" s="115">
        <f t="shared" si="191"/>
        <v>149288</v>
      </c>
      <c r="M1253" s="124"/>
      <c r="N1253" s="124"/>
      <c r="O1253" s="124"/>
      <c r="P1253" s="124"/>
      <c r="Q1253" s="125"/>
      <c r="R1253" s="125"/>
      <c r="S1253" s="125"/>
      <c r="T1253" s="125">
        <v>149288</v>
      </c>
      <c r="U1253" s="125"/>
      <c r="V1253" s="125"/>
      <c r="W1253" s="125"/>
      <c r="X1253" s="125"/>
      <c r="Y1253" s="125"/>
      <c r="Z1253" s="125"/>
      <c r="AA1253" s="125"/>
      <c r="AB1253" s="125"/>
      <c r="AC1253" s="124"/>
      <c r="AD1253" s="117"/>
      <c r="AE1253" s="120"/>
      <c r="AF1253" s="129"/>
    </row>
    <row r="1254" spans="1:40" ht="15" hidden="1">
      <c r="A1254" s="154"/>
      <c r="B1254" s="113"/>
      <c r="C1254" s="123" t="s">
        <v>2321</v>
      </c>
      <c r="D1254" s="123"/>
      <c r="E1254" s="124"/>
      <c r="F1254" s="124"/>
      <c r="G1254" s="124"/>
      <c r="H1254" s="115"/>
      <c r="I1254" s="115">
        <f t="shared" si="193"/>
        <v>0</v>
      </c>
      <c r="J1254" s="115">
        <f t="shared" si="194"/>
        <v>0</v>
      </c>
      <c r="K1254" s="115">
        <f t="shared" si="195"/>
        <v>0</v>
      </c>
      <c r="L1254" s="115">
        <f t="shared" si="191"/>
        <v>0</v>
      </c>
      <c r="M1254" s="124"/>
      <c r="N1254" s="124"/>
      <c r="O1254" s="124"/>
      <c r="P1254" s="124"/>
      <c r="Q1254" s="125"/>
      <c r="R1254" s="125"/>
      <c r="S1254" s="125"/>
      <c r="T1254" s="125"/>
      <c r="U1254" s="125">
        <f>-26400+26400</f>
        <v>0</v>
      </c>
      <c r="V1254" s="125"/>
      <c r="W1254" s="125"/>
      <c r="X1254" s="125"/>
      <c r="Y1254" s="125"/>
      <c r="Z1254" s="125"/>
      <c r="AA1254" s="125"/>
      <c r="AB1254" s="125"/>
      <c r="AC1254" s="124"/>
      <c r="AD1254" s="117"/>
      <c r="AE1254" s="120"/>
      <c r="AF1254" s="129"/>
    </row>
    <row r="1255" spans="1:40" ht="15">
      <c r="A1255" s="154"/>
      <c r="B1255" s="113"/>
      <c r="C1255" s="123" t="s">
        <v>2275</v>
      </c>
      <c r="D1255" s="123"/>
      <c r="E1255" s="124"/>
      <c r="F1255" s="124"/>
      <c r="G1255" s="124"/>
      <c r="H1255" s="115">
        <f t="shared" si="192"/>
        <v>745109.65999999992</v>
      </c>
      <c r="I1255" s="115">
        <f t="shared" si="193"/>
        <v>745109.65999999992</v>
      </c>
      <c r="J1255" s="115">
        <f t="shared" si="194"/>
        <v>745109.65999999992</v>
      </c>
      <c r="K1255" s="115">
        <f t="shared" si="195"/>
        <v>745109.65999999992</v>
      </c>
      <c r="L1255" s="115">
        <f t="shared" si="191"/>
        <v>745109.65999999992</v>
      </c>
      <c r="M1255" s="124"/>
      <c r="N1255" s="124"/>
      <c r="O1255" s="124"/>
      <c r="P1255" s="124"/>
      <c r="Q1255" s="125"/>
      <c r="R1255" s="125"/>
      <c r="S1255" s="125"/>
      <c r="T1255" s="125">
        <f>395109.66+350000</f>
        <v>745109.65999999992</v>
      </c>
      <c r="U1255" s="125"/>
      <c r="V1255" s="125"/>
      <c r="W1255" s="125"/>
      <c r="X1255" s="125"/>
      <c r="Y1255" s="125"/>
      <c r="Z1255" s="125"/>
      <c r="AA1255" s="125"/>
      <c r="AB1255" s="125"/>
      <c r="AC1255" s="124"/>
      <c r="AD1255" s="117"/>
      <c r="AE1255" s="120"/>
      <c r="AF1255" s="129"/>
      <c r="AL1255" s="110" t="s">
        <v>2255</v>
      </c>
    </row>
    <row r="1256" spans="1:40" ht="15">
      <c r="A1256" s="154"/>
      <c r="B1256" s="113"/>
      <c r="C1256" s="123" t="s">
        <v>2276</v>
      </c>
      <c r="D1256" s="123"/>
      <c r="E1256" s="124"/>
      <c r="F1256" s="124"/>
      <c r="G1256" s="124"/>
      <c r="H1256" s="115">
        <f t="shared" si="192"/>
        <v>500</v>
      </c>
      <c r="I1256" s="115">
        <f t="shared" si="193"/>
        <v>500</v>
      </c>
      <c r="J1256" s="115">
        <f t="shared" si="194"/>
        <v>500</v>
      </c>
      <c r="K1256" s="115">
        <f t="shared" si="195"/>
        <v>500</v>
      </c>
      <c r="L1256" s="115">
        <f t="shared" si="191"/>
        <v>500</v>
      </c>
      <c r="M1256" s="124"/>
      <c r="N1256" s="124"/>
      <c r="O1256" s="124"/>
      <c r="P1256" s="124"/>
      <c r="Q1256" s="125"/>
      <c r="R1256" s="125"/>
      <c r="S1256" s="125"/>
      <c r="T1256" s="125">
        <v>500</v>
      </c>
      <c r="U1256" s="125"/>
      <c r="V1256" s="125"/>
      <c r="W1256" s="125"/>
      <c r="X1256" s="125"/>
      <c r="Y1256" s="125"/>
      <c r="Z1256" s="125"/>
      <c r="AA1256" s="125"/>
      <c r="AB1256" s="125"/>
      <c r="AC1256" s="124"/>
      <c r="AD1256" s="117"/>
      <c r="AE1256" s="120"/>
      <c r="AF1256" s="129"/>
      <c r="AL1256" s="110"/>
    </row>
    <row r="1257" spans="1:40" ht="15">
      <c r="A1257" s="154"/>
      <c r="B1257" s="113"/>
      <c r="C1257" s="123" t="s">
        <v>2277</v>
      </c>
      <c r="D1257" s="123"/>
      <c r="E1257" s="124"/>
      <c r="F1257" s="124"/>
      <c r="G1257" s="124"/>
      <c r="H1257" s="115">
        <f t="shared" si="192"/>
        <v>6000</v>
      </c>
      <c r="I1257" s="115">
        <f t="shared" si="193"/>
        <v>6000</v>
      </c>
      <c r="J1257" s="115">
        <f t="shared" si="194"/>
        <v>6000</v>
      </c>
      <c r="K1257" s="115">
        <f t="shared" si="195"/>
        <v>6000</v>
      </c>
      <c r="L1257" s="115">
        <f t="shared" si="191"/>
        <v>6000</v>
      </c>
      <c r="M1257" s="124"/>
      <c r="N1257" s="124"/>
      <c r="O1257" s="124"/>
      <c r="P1257" s="124"/>
      <c r="Q1257" s="125"/>
      <c r="R1257" s="125"/>
      <c r="S1257" s="125"/>
      <c r="T1257" s="125">
        <v>6000</v>
      </c>
      <c r="U1257" s="125"/>
      <c r="V1257" s="125"/>
      <c r="W1257" s="125"/>
      <c r="X1257" s="125"/>
      <c r="Y1257" s="125"/>
      <c r="Z1257" s="125"/>
      <c r="AA1257" s="125"/>
      <c r="AB1257" s="125"/>
      <c r="AC1257" s="124"/>
      <c r="AD1257" s="117"/>
      <c r="AE1257" s="120"/>
      <c r="AF1257" s="129"/>
      <c r="AL1257" s="110"/>
    </row>
    <row r="1258" spans="1:40" ht="15">
      <c r="A1258" s="154"/>
      <c r="B1258" s="113"/>
      <c r="C1258" s="123" t="s">
        <v>2278</v>
      </c>
      <c r="D1258" s="123"/>
      <c r="E1258" s="130"/>
      <c r="F1258" s="130"/>
      <c r="G1258" s="130"/>
      <c r="H1258" s="115">
        <f t="shared" si="192"/>
        <v>18545.649999999994</v>
      </c>
      <c r="I1258" s="115">
        <f t="shared" si="193"/>
        <v>18545.649999999994</v>
      </c>
      <c r="J1258" s="115">
        <f t="shared" si="194"/>
        <v>18545.649999999994</v>
      </c>
      <c r="K1258" s="115">
        <f t="shared" si="195"/>
        <v>18545.649999999994</v>
      </c>
      <c r="L1258" s="115">
        <f t="shared" si="191"/>
        <v>18545.649999999994</v>
      </c>
      <c r="M1258" s="130"/>
      <c r="N1258" s="130"/>
      <c r="O1258" s="130"/>
      <c r="P1258" s="130"/>
      <c r="Q1258" s="131"/>
      <c r="R1258" s="131"/>
      <c r="S1258" s="131"/>
      <c r="T1258" s="131">
        <f>135908.05-117362.4</f>
        <v>18545.649999999994</v>
      </c>
      <c r="U1258" s="131"/>
      <c r="V1258" s="131"/>
      <c r="W1258" s="131"/>
      <c r="X1258" s="131"/>
      <c r="Y1258" s="131"/>
      <c r="Z1258" s="131"/>
      <c r="AA1258" s="131"/>
      <c r="AB1258" s="131"/>
      <c r="AC1258" s="132"/>
      <c r="AD1258" s="117"/>
      <c r="AE1258" s="178">
        <v>2250</v>
      </c>
      <c r="AI1258" s="198"/>
      <c r="AJ1258" s="198"/>
      <c r="AK1258" s="223" t="s">
        <v>2279</v>
      </c>
      <c r="AL1258" s="135" t="e">
        <f>#REF!-AG1266</f>
        <v>#REF!</v>
      </c>
    </row>
    <row r="1259" spans="1:40" ht="15">
      <c r="A1259" s="154"/>
      <c r="B1259" s="113"/>
      <c r="C1259" s="123" t="s">
        <v>2280</v>
      </c>
      <c r="D1259" s="123"/>
      <c r="E1259" s="130"/>
      <c r="F1259" s="130"/>
      <c r="G1259" s="130"/>
      <c r="H1259" s="115">
        <f t="shared" si="192"/>
        <v>65894.16</v>
      </c>
      <c r="I1259" s="115">
        <f t="shared" si="193"/>
        <v>65894.16</v>
      </c>
      <c r="J1259" s="115">
        <f t="shared" si="194"/>
        <v>65894.16</v>
      </c>
      <c r="K1259" s="115">
        <f t="shared" si="195"/>
        <v>65894.16</v>
      </c>
      <c r="L1259" s="115">
        <f t="shared" si="191"/>
        <v>65894.16</v>
      </c>
      <c r="M1259" s="130"/>
      <c r="N1259" s="130"/>
      <c r="O1259" s="130"/>
      <c r="P1259" s="130"/>
      <c r="Q1259" s="131"/>
      <c r="R1259" s="131"/>
      <c r="S1259" s="131"/>
      <c r="T1259" s="131">
        <f>76840+1900+11400-24245.84</f>
        <v>65894.16</v>
      </c>
      <c r="U1259" s="131"/>
      <c r="V1259" s="131"/>
      <c r="W1259" s="131"/>
      <c r="X1259" s="131"/>
      <c r="Y1259" s="131"/>
      <c r="Z1259" s="131"/>
      <c r="AA1259" s="131"/>
      <c r="AB1259" s="131"/>
      <c r="AC1259" s="132"/>
      <c r="AD1259" s="117"/>
      <c r="AE1259" s="178">
        <v>13000</v>
      </c>
      <c r="AI1259" s="198"/>
      <c r="AJ1259" s="198"/>
      <c r="AK1259" s="223"/>
      <c r="AL1259" s="135"/>
    </row>
    <row r="1260" spans="1:40" ht="15">
      <c r="A1260" s="154"/>
      <c r="B1260" s="113"/>
      <c r="C1260" s="123" t="s">
        <v>2281</v>
      </c>
      <c r="D1260" s="123"/>
      <c r="E1260" s="130"/>
      <c r="F1260" s="130"/>
      <c r="G1260" s="130"/>
      <c r="H1260" s="115">
        <f t="shared" si="192"/>
        <v>20.259999999994761</v>
      </c>
      <c r="I1260" s="115">
        <f t="shared" si="193"/>
        <v>20.259999999994761</v>
      </c>
      <c r="J1260" s="115">
        <f t="shared" si="194"/>
        <v>20.259999999994761</v>
      </c>
      <c r="K1260" s="115">
        <f t="shared" si="195"/>
        <v>20.259999999994761</v>
      </c>
      <c r="L1260" s="115">
        <f t="shared" si="191"/>
        <v>20.259999999994761</v>
      </c>
      <c r="M1260" s="130"/>
      <c r="N1260" s="130"/>
      <c r="O1260" s="130"/>
      <c r="P1260" s="130"/>
      <c r="Q1260" s="131"/>
      <c r="R1260" s="131"/>
      <c r="S1260" s="131"/>
      <c r="T1260" s="131">
        <f>119688-119667.74</f>
        <v>20.259999999994761</v>
      </c>
      <c r="U1260" s="131"/>
      <c r="V1260" s="131"/>
      <c r="W1260" s="131"/>
      <c r="X1260" s="131"/>
      <c r="Y1260" s="131"/>
      <c r="Z1260" s="131"/>
      <c r="AA1260" s="131"/>
      <c r="AB1260" s="131"/>
      <c r="AC1260" s="132"/>
      <c r="AD1260" s="117"/>
      <c r="AE1260" s="178">
        <v>4225</v>
      </c>
      <c r="AI1260" s="198"/>
      <c r="AJ1260" s="198"/>
      <c r="AK1260" s="223"/>
      <c r="AL1260" s="135"/>
    </row>
    <row r="1261" spans="1:40" ht="15">
      <c r="A1261" s="154"/>
      <c r="B1261" s="113"/>
      <c r="C1261" s="123" t="s">
        <v>2282</v>
      </c>
      <c r="D1261" s="123"/>
      <c r="E1261" s="130"/>
      <c r="F1261" s="130"/>
      <c r="G1261" s="130"/>
      <c r="H1261" s="115">
        <f t="shared" si="192"/>
        <v>6400</v>
      </c>
      <c r="I1261" s="115">
        <f t="shared" si="193"/>
        <v>6400</v>
      </c>
      <c r="J1261" s="115">
        <f t="shared" si="194"/>
        <v>6400</v>
      </c>
      <c r="K1261" s="115">
        <f t="shared" si="195"/>
        <v>6400</v>
      </c>
      <c r="L1261" s="115">
        <f t="shared" si="191"/>
        <v>6400</v>
      </c>
      <c r="M1261" s="130"/>
      <c r="N1261" s="130"/>
      <c r="O1261" s="130"/>
      <c r="P1261" s="130"/>
      <c r="Q1261" s="131"/>
      <c r="R1261" s="131"/>
      <c r="S1261" s="131"/>
      <c r="T1261" s="131">
        <f>6400</f>
        <v>6400</v>
      </c>
      <c r="U1261" s="131"/>
      <c r="V1261" s="131"/>
      <c r="W1261" s="131"/>
      <c r="X1261" s="131"/>
      <c r="Y1261" s="131"/>
      <c r="Z1261" s="131"/>
      <c r="AA1261" s="131"/>
      <c r="AB1261" s="131"/>
      <c r="AC1261" s="132"/>
      <c r="AD1261" s="117"/>
      <c r="AE1261" s="178">
        <v>436006.35</v>
      </c>
      <c r="AI1261" s="198"/>
      <c r="AJ1261" s="198"/>
      <c r="AK1261" s="223"/>
      <c r="AL1261" s="135"/>
    </row>
    <row r="1262" spans="1:40" ht="15">
      <c r="A1262" s="154"/>
      <c r="B1262" s="113"/>
      <c r="C1262" s="123" t="s">
        <v>2283</v>
      </c>
      <c r="D1262" s="123"/>
      <c r="E1262" s="130"/>
      <c r="F1262" s="130"/>
      <c r="G1262" s="130"/>
      <c r="H1262" s="115">
        <f t="shared" si="192"/>
        <v>2020</v>
      </c>
      <c r="I1262" s="115">
        <f t="shared" si="193"/>
        <v>2020</v>
      </c>
      <c r="J1262" s="115">
        <f t="shared" si="194"/>
        <v>2020</v>
      </c>
      <c r="K1262" s="115">
        <f t="shared" si="195"/>
        <v>2020</v>
      </c>
      <c r="L1262" s="115">
        <f t="shared" si="191"/>
        <v>2020</v>
      </c>
      <c r="M1262" s="130"/>
      <c r="N1262" s="130"/>
      <c r="O1262" s="130"/>
      <c r="P1262" s="130"/>
      <c r="Q1262" s="131"/>
      <c r="R1262" s="131"/>
      <c r="S1262" s="131"/>
      <c r="T1262" s="131">
        <f>28000+100-26080</f>
        <v>2020</v>
      </c>
      <c r="U1262" s="131"/>
      <c r="V1262" s="131"/>
      <c r="W1262" s="131"/>
      <c r="X1262" s="131"/>
      <c r="Y1262" s="131"/>
      <c r="Z1262" s="131"/>
      <c r="AA1262" s="131"/>
      <c r="AB1262" s="131"/>
      <c r="AC1262" s="132"/>
      <c r="AD1262" s="117"/>
      <c r="AE1262" s="178">
        <v>963423.25</v>
      </c>
      <c r="AI1262" s="198"/>
      <c r="AJ1262" s="198"/>
      <c r="AK1262" s="223"/>
      <c r="AL1262" s="135"/>
    </row>
    <row r="1263" spans="1:40" ht="15">
      <c r="A1263" s="154"/>
      <c r="B1263" s="113"/>
      <c r="C1263" s="123" t="s">
        <v>2284</v>
      </c>
      <c r="D1263" s="123"/>
      <c r="E1263" s="130"/>
      <c r="F1263" s="130"/>
      <c r="G1263" s="130"/>
      <c r="H1263" s="115">
        <f t="shared" si="192"/>
        <v>282303.32</v>
      </c>
      <c r="I1263" s="115">
        <f t="shared" si="193"/>
        <v>282303.32</v>
      </c>
      <c r="J1263" s="115">
        <f t="shared" si="194"/>
        <v>282303.32</v>
      </c>
      <c r="K1263" s="115">
        <f t="shared" si="195"/>
        <v>282303.32</v>
      </c>
      <c r="L1263" s="115">
        <f t="shared" si="191"/>
        <v>282303.32</v>
      </c>
      <c r="M1263" s="130"/>
      <c r="N1263" s="130"/>
      <c r="O1263" s="130"/>
      <c r="P1263" s="130"/>
      <c r="Q1263" s="131"/>
      <c r="R1263" s="131"/>
      <c r="S1263" s="131"/>
      <c r="T1263" s="131">
        <f>282303.32</f>
        <v>282303.32</v>
      </c>
      <c r="U1263" s="131"/>
      <c r="V1263" s="131"/>
      <c r="W1263" s="131"/>
      <c r="X1263" s="131"/>
      <c r="Y1263" s="131"/>
      <c r="Z1263" s="131"/>
      <c r="AA1263" s="131"/>
      <c r="AB1263" s="131"/>
      <c r="AC1263" s="132"/>
      <c r="AD1263" s="117"/>
      <c r="AE1263" s="115">
        <v>138814</v>
      </c>
      <c r="AF1263" s="136"/>
      <c r="AJ1263" s="194"/>
      <c r="AK1263" s="194"/>
      <c r="AM1263" s="120"/>
      <c r="AN1263" s="219"/>
    </row>
    <row r="1264" spans="1:40" ht="15">
      <c r="A1264" s="154"/>
      <c r="B1264" s="113"/>
      <c r="C1264" s="123" t="s">
        <v>2285</v>
      </c>
      <c r="D1264" s="123"/>
      <c r="E1264" s="130"/>
      <c r="F1264" s="130"/>
      <c r="G1264" s="130"/>
      <c r="H1264" s="115">
        <f t="shared" si="192"/>
        <v>1000</v>
      </c>
      <c r="I1264" s="115">
        <f t="shared" si="193"/>
        <v>1000</v>
      </c>
      <c r="J1264" s="115">
        <f t="shared" si="194"/>
        <v>1000</v>
      </c>
      <c r="K1264" s="115">
        <f t="shared" si="195"/>
        <v>1000</v>
      </c>
      <c r="L1264" s="115">
        <f t="shared" si="191"/>
        <v>1000</v>
      </c>
      <c r="M1264" s="130"/>
      <c r="N1264" s="130"/>
      <c r="O1264" s="130"/>
      <c r="P1264" s="130"/>
      <c r="Q1264" s="131"/>
      <c r="R1264" s="131"/>
      <c r="S1264" s="131"/>
      <c r="T1264" s="131">
        <v>1000</v>
      </c>
      <c r="U1264" s="131"/>
      <c r="V1264" s="131"/>
      <c r="W1264" s="131"/>
      <c r="X1264" s="131"/>
      <c r="Y1264" s="131"/>
      <c r="Z1264" s="131"/>
      <c r="AA1264" s="131"/>
      <c r="AB1264" s="131"/>
      <c r="AC1264" s="132"/>
      <c r="AD1264" s="117"/>
      <c r="AE1264" s="115"/>
      <c r="AF1264" s="136"/>
      <c r="AJ1264" s="194"/>
      <c r="AK1264" s="194"/>
      <c r="AM1264" s="120"/>
      <c r="AN1264" s="219"/>
    </row>
    <row r="1265" spans="1:46" ht="15">
      <c r="A1265" s="154"/>
      <c r="B1265" s="113"/>
      <c r="C1265" s="123" t="s">
        <v>2347</v>
      </c>
      <c r="D1265" s="123"/>
      <c r="E1265" s="130"/>
      <c r="F1265" s="130"/>
      <c r="G1265" s="130"/>
      <c r="H1265" s="115"/>
      <c r="I1265" s="115"/>
      <c r="J1265" s="115">
        <f t="shared" si="194"/>
        <v>0</v>
      </c>
      <c r="K1265" s="115">
        <f t="shared" si="195"/>
        <v>112500</v>
      </c>
      <c r="L1265" s="115">
        <f t="shared" si="191"/>
        <v>847700</v>
      </c>
      <c r="M1265" s="130"/>
      <c r="N1265" s="130"/>
      <c r="O1265" s="130"/>
      <c r="P1265" s="130"/>
      <c r="Q1265" s="131"/>
      <c r="R1265" s="131"/>
      <c r="S1265" s="131"/>
      <c r="T1265" s="131"/>
      <c r="U1265" s="131"/>
      <c r="V1265" s="131"/>
      <c r="W1265" s="131">
        <v>112500</v>
      </c>
      <c r="X1265" s="131">
        <v>735200</v>
      </c>
      <c r="Y1265" s="131"/>
      <c r="Z1265" s="131"/>
      <c r="AA1265" s="131"/>
      <c r="AB1265" s="131"/>
      <c r="AC1265" s="132"/>
      <c r="AD1265" s="117"/>
      <c r="AE1265" s="115"/>
      <c r="AF1265" s="136"/>
      <c r="AJ1265" s="194"/>
      <c r="AK1265" s="194"/>
      <c r="AM1265" s="120"/>
      <c r="AN1265" s="219"/>
    </row>
    <row r="1266" spans="1:46" ht="15">
      <c r="A1266" s="154"/>
      <c r="B1266" s="113"/>
      <c r="C1266" s="123" t="s">
        <v>2286</v>
      </c>
      <c r="D1266" s="123"/>
      <c r="E1266" s="130"/>
      <c r="F1266" s="130"/>
      <c r="G1266" s="130"/>
      <c r="H1266" s="115">
        <f t="shared" si="192"/>
        <v>18100</v>
      </c>
      <c r="I1266" s="115">
        <f t="shared" si="193"/>
        <v>18100</v>
      </c>
      <c r="J1266" s="115">
        <f t="shared" si="194"/>
        <v>18100</v>
      </c>
      <c r="K1266" s="115">
        <f t="shared" si="195"/>
        <v>18100</v>
      </c>
      <c r="L1266" s="115">
        <f t="shared" si="191"/>
        <v>18100</v>
      </c>
      <c r="M1266" s="130"/>
      <c r="N1266" s="130"/>
      <c r="O1266" s="130"/>
      <c r="P1266" s="130"/>
      <c r="Q1266" s="131"/>
      <c r="R1266" s="131"/>
      <c r="S1266" s="131"/>
      <c r="T1266" s="131">
        <v>18100</v>
      </c>
      <c r="U1266" s="131"/>
      <c r="V1266" s="131"/>
      <c r="W1266" s="131"/>
      <c r="X1266" s="131"/>
      <c r="Y1266" s="131"/>
      <c r="Z1266" s="131"/>
      <c r="AA1266" s="131"/>
      <c r="AB1266" s="131"/>
      <c r="AC1266" s="132"/>
      <c r="AD1266" s="117"/>
      <c r="AE1266" s="115">
        <v>27400</v>
      </c>
      <c r="AF1266" s="224"/>
      <c r="AG1266" s="133">
        <v>10000</v>
      </c>
      <c r="AH1266" s="198" t="s">
        <v>2287</v>
      </c>
      <c r="AJ1266" s="194"/>
      <c r="AK1266" s="194"/>
      <c r="AM1266" s="120"/>
      <c r="AN1266" s="219"/>
    </row>
    <row r="1267" spans="1:46" ht="15">
      <c r="A1267" s="154"/>
      <c r="B1267" s="113"/>
      <c r="C1267" s="123" t="s">
        <v>2288</v>
      </c>
      <c r="D1267" s="123"/>
      <c r="E1267" s="130"/>
      <c r="F1267" s="130"/>
      <c r="G1267" s="130"/>
      <c r="H1267" s="115">
        <f t="shared" si="192"/>
        <v>1000</v>
      </c>
      <c r="I1267" s="115">
        <f t="shared" si="193"/>
        <v>1000</v>
      </c>
      <c r="J1267" s="115">
        <f t="shared" si="194"/>
        <v>1000</v>
      </c>
      <c r="K1267" s="115">
        <f t="shared" si="195"/>
        <v>1000</v>
      </c>
      <c r="L1267" s="115">
        <f t="shared" si="191"/>
        <v>1000</v>
      </c>
      <c r="M1267" s="130"/>
      <c r="N1267" s="130"/>
      <c r="O1267" s="130"/>
      <c r="P1267" s="130"/>
      <c r="Q1267" s="131"/>
      <c r="R1267" s="131"/>
      <c r="S1267" s="131"/>
      <c r="T1267" s="131">
        <v>1000</v>
      </c>
      <c r="U1267" s="131"/>
      <c r="V1267" s="131"/>
      <c r="W1267" s="131"/>
      <c r="X1267" s="131"/>
      <c r="Y1267" s="131"/>
      <c r="Z1267" s="131"/>
      <c r="AA1267" s="131"/>
      <c r="AB1267" s="131"/>
      <c r="AC1267" s="132"/>
      <c r="AD1267" s="117"/>
      <c r="AE1267" s="115"/>
      <c r="AF1267" s="224"/>
      <c r="AG1267" s="133"/>
      <c r="AH1267" s="198"/>
      <c r="AJ1267" s="194"/>
      <c r="AK1267" s="194"/>
      <c r="AM1267" s="120"/>
      <c r="AN1267" s="219"/>
    </row>
    <row r="1268" spans="1:46" ht="15">
      <c r="A1268" s="154"/>
      <c r="B1268" s="113"/>
      <c r="C1268" s="123" t="s">
        <v>2289</v>
      </c>
      <c r="D1268" s="123"/>
      <c r="E1268" s="130"/>
      <c r="F1268" s="130"/>
      <c r="G1268" s="130"/>
      <c r="H1268" s="115">
        <f t="shared" si="192"/>
        <v>883619.4</v>
      </c>
      <c r="I1268" s="115">
        <f t="shared" si="193"/>
        <v>883619.4</v>
      </c>
      <c r="J1268" s="115">
        <f t="shared" si="194"/>
        <v>883619.4</v>
      </c>
      <c r="K1268" s="115">
        <f t="shared" si="195"/>
        <v>883619.4</v>
      </c>
      <c r="L1268" s="115">
        <f t="shared" si="191"/>
        <v>883619.4</v>
      </c>
      <c r="M1268" s="130"/>
      <c r="N1268" s="130"/>
      <c r="O1268" s="130"/>
      <c r="P1268" s="130"/>
      <c r="Q1268" s="131"/>
      <c r="R1268" s="131"/>
      <c r="S1268" s="131"/>
      <c r="T1268" s="131">
        <f>842683+40936.4</f>
        <v>883619.4</v>
      </c>
      <c r="U1268" s="131"/>
      <c r="V1268" s="131"/>
      <c r="W1268" s="131"/>
      <c r="X1268" s="131"/>
      <c r="Y1268" s="131"/>
      <c r="Z1268" s="131"/>
      <c r="AA1268" s="131"/>
      <c r="AB1268" s="131"/>
      <c r="AC1268" s="132"/>
      <c r="AD1268" s="117"/>
      <c r="AE1268" s="115"/>
      <c r="AF1268" s="224"/>
      <c r="AG1268" s="133"/>
      <c r="AH1268" s="198"/>
      <c r="AJ1268" s="194"/>
      <c r="AK1268" s="194"/>
      <c r="AM1268" s="120"/>
      <c r="AN1268" s="219"/>
    </row>
    <row r="1269" spans="1:46" ht="15">
      <c r="A1269" s="154"/>
      <c r="B1269" s="113"/>
      <c r="C1269" s="123" t="s">
        <v>2290</v>
      </c>
      <c r="D1269" s="123"/>
      <c r="E1269" s="130"/>
      <c r="F1269" s="130"/>
      <c r="G1269" s="130"/>
      <c r="H1269" s="115">
        <f t="shared" si="192"/>
        <v>596000</v>
      </c>
      <c r="I1269" s="115">
        <f t="shared" si="193"/>
        <v>596000</v>
      </c>
      <c r="J1269" s="115">
        <f t="shared" si="194"/>
        <v>596000</v>
      </c>
      <c r="K1269" s="115">
        <f t="shared" si="195"/>
        <v>596000</v>
      </c>
      <c r="L1269" s="115">
        <f t="shared" si="191"/>
        <v>596000</v>
      </c>
      <c r="M1269" s="130"/>
      <c r="N1269" s="130"/>
      <c r="O1269" s="130"/>
      <c r="P1269" s="130"/>
      <c r="Q1269" s="131"/>
      <c r="R1269" s="131"/>
      <c r="S1269" s="131"/>
      <c r="T1269" s="131">
        <v>596000</v>
      </c>
      <c r="U1269" s="131"/>
      <c r="V1269" s="131"/>
      <c r="W1269" s="131"/>
      <c r="X1269" s="131"/>
      <c r="Y1269" s="131"/>
      <c r="Z1269" s="131"/>
      <c r="AA1269" s="131"/>
      <c r="AB1269" s="131"/>
      <c r="AC1269" s="132"/>
      <c r="AD1269" s="117"/>
      <c r="AE1269" s="115"/>
      <c r="AF1269" s="224"/>
      <c r="AG1269" s="133"/>
      <c r="AH1269" s="198"/>
      <c r="AJ1269" s="194"/>
      <c r="AK1269" s="194"/>
      <c r="AM1269" s="120"/>
      <c r="AN1269" s="219"/>
    </row>
    <row r="1270" spans="1:46" ht="15">
      <c r="A1270" s="154"/>
      <c r="B1270" s="113"/>
      <c r="C1270" s="123" t="s">
        <v>2291</v>
      </c>
      <c r="D1270" s="123"/>
      <c r="E1270" s="117"/>
      <c r="F1270" s="117"/>
      <c r="G1270" s="117"/>
      <c r="H1270" s="115">
        <f t="shared" si="192"/>
        <v>2433</v>
      </c>
      <c r="I1270" s="115">
        <f t="shared" si="193"/>
        <v>2433</v>
      </c>
      <c r="J1270" s="115">
        <f t="shared" si="194"/>
        <v>2433</v>
      </c>
      <c r="K1270" s="115">
        <f t="shared" si="195"/>
        <v>2433</v>
      </c>
      <c r="L1270" s="115">
        <f t="shared" si="191"/>
        <v>4433</v>
      </c>
      <c r="M1270" s="117"/>
      <c r="N1270" s="117"/>
      <c r="O1270" s="117"/>
      <c r="P1270" s="117"/>
      <c r="Q1270" s="125"/>
      <c r="R1270" s="125"/>
      <c r="S1270" s="125"/>
      <c r="T1270" s="125">
        <f>400+700+1000-1000-1000+1000-1000-1000-1000+1000-2272.23+2272.23+2278-2278+2278-2278+2333-2278+2278-2278+2278-2278+2278+1000-1000+1000-1000+1000</f>
        <v>2433</v>
      </c>
      <c r="U1270" s="125"/>
      <c r="V1270" s="125"/>
      <c r="W1270" s="125"/>
      <c r="X1270" s="125">
        <v>2000</v>
      </c>
      <c r="Y1270" s="125"/>
      <c r="Z1270" s="125"/>
      <c r="AA1270" s="125"/>
      <c r="AB1270" s="125"/>
      <c r="AC1270" s="124"/>
      <c r="AD1270" s="117"/>
      <c r="AE1270" s="115">
        <v>53864.6</v>
      </c>
      <c r="AF1270" s="224"/>
      <c r="AG1270" s="133"/>
      <c r="AH1270" s="198"/>
      <c r="AJ1270" s="194"/>
      <c r="AK1270" s="194"/>
      <c r="AM1270" s="120"/>
      <c r="AN1270" s="219"/>
    </row>
    <row r="1271" spans="1:46" ht="15">
      <c r="A1271" s="154"/>
      <c r="B1271" s="113"/>
      <c r="C1271" s="123" t="s">
        <v>2292</v>
      </c>
      <c r="D1271" s="123"/>
      <c r="E1271" s="117"/>
      <c r="F1271" s="117"/>
      <c r="G1271" s="117"/>
      <c r="H1271" s="115">
        <f t="shared" si="192"/>
        <v>120136.57</v>
      </c>
      <c r="I1271" s="115">
        <f t="shared" si="193"/>
        <v>120136.57</v>
      </c>
      <c r="J1271" s="115">
        <f t="shared" si="194"/>
        <v>120136.57</v>
      </c>
      <c r="K1271" s="115">
        <f t="shared" si="195"/>
        <v>120136.57</v>
      </c>
      <c r="L1271" s="115">
        <f t="shared" si="191"/>
        <v>120136.57</v>
      </c>
      <c r="M1271" s="117"/>
      <c r="N1271" s="117"/>
      <c r="O1271" s="117"/>
      <c r="P1271" s="117"/>
      <c r="Q1271" s="125"/>
      <c r="R1271" s="125"/>
      <c r="S1271" s="125"/>
      <c r="T1271" s="125">
        <f>124347.55+4050-8260.98</f>
        <v>120136.57</v>
      </c>
      <c r="U1271" s="125"/>
      <c r="V1271" s="125"/>
      <c r="W1271" s="125"/>
      <c r="X1271" s="125"/>
      <c r="Y1271" s="125"/>
      <c r="Z1271" s="125"/>
      <c r="AA1271" s="125"/>
      <c r="AB1271" s="125"/>
      <c r="AC1271" s="124"/>
      <c r="AD1271" s="117"/>
      <c r="AE1271" s="115">
        <v>20904</v>
      </c>
      <c r="AF1271" s="115"/>
      <c r="AG1271" s="120">
        <v>750</v>
      </c>
      <c r="AH1271" s="136" t="s">
        <v>2293</v>
      </c>
      <c r="AJ1271" s="194"/>
      <c r="AK1271" s="194"/>
      <c r="AM1271" s="120"/>
      <c r="AN1271" s="219"/>
    </row>
    <row r="1272" spans="1:46" ht="15">
      <c r="A1272" s="154"/>
      <c r="B1272" s="113"/>
      <c r="C1272" s="123" t="s">
        <v>2294</v>
      </c>
      <c r="D1272" s="128"/>
      <c r="E1272" s="130"/>
      <c r="F1272" s="130"/>
      <c r="G1272" s="130"/>
      <c r="H1272" s="115">
        <f t="shared" si="192"/>
        <v>72664.429999999993</v>
      </c>
      <c r="I1272" s="115">
        <f t="shared" si="193"/>
        <v>72664.429999999993</v>
      </c>
      <c r="J1272" s="115">
        <f t="shared" si="194"/>
        <v>72664.429999999993</v>
      </c>
      <c r="K1272" s="115">
        <f t="shared" si="195"/>
        <v>72664.429999999993</v>
      </c>
      <c r="L1272" s="115">
        <f t="shared" si="191"/>
        <v>72664.429999999993</v>
      </c>
      <c r="M1272" s="130"/>
      <c r="N1272" s="130"/>
      <c r="O1272" s="130"/>
      <c r="P1272" s="130"/>
      <c r="Q1272" s="131"/>
      <c r="R1272" s="131"/>
      <c r="S1272" s="131"/>
      <c r="T1272" s="131">
        <f>72664.43</f>
        <v>72664.429999999993</v>
      </c>
      <c r="U1272" s="131"/>
      <c r="V1272" s="131"/>
      <c r="W1272" s="131"/>
      <c r="X1272" s="131"/>
      <c r="Y1272" s="131"/>
      <c r="Z1272" s="131"/>
      <c r="AA1272" s="131"/>
      <c r="AB1272" s="131"/>
      <c r="AC1272" s="132"/>
      <c r="AD1272" s="117"/>
      <c r="AE1272" s="115">
        <v>12340</v>
      </c>
      <c r="AF1272" s="115"/>
      <c r="AG1272" s="120"/>
      <c r="AH1272" s="136"/>
    </row>
    <row r="1273" spans="1:46" ht="15">
      <c r="A1273" s="154"/>
      <c r="B1273" s="113"/>
      <c r="C1273" s="123" t="s">
        <v>2295</v>
      </c>
      <c r="D1273" s="123"/>
      <c r="E1273" s="124"/>
      <c r="F1273" s="124"/>
      <c r="G1273" s="124"/>
      <c r="H1273" s="115">
        <f t="shared" si="192"/>
        <v>468352.82</v>
      </c>
      <c r="I1273" s="115">
        <f t="shared" si="193"/>
        <v>468352.82</v>
      </c>
      <c r="J1273" s="115">
        <f t="shared" si="194"/>
        <v>468352.82</v>
      </c>
      <c r="K1273" s="115">
        <f t="shared" si="195"/>
        <v>468352.82</v>
      </c>
      <c r="L1273" s="115">
        <f t="shared" ref="L1273:L1287" si="196">Q1273+R1273+S1273+T1273+U1273+V1273+W1273+X1273</f>
        <v>468352.82</v>
      </c>
      <c r="M1273" s="124"/>
      <c r="N1273" s="124"/>
      <c r="O1273" s="124"/>
      <c r="P1273" s="124"/>
      <c r="Q1273" s="125"/>
      <c r="R1273" s="125"/>
      <c r="S1273" s="125"/>
      <c r="T1273" s="125">
        <f>483052.82-14700</f>
        <v>468352.82</v>
      </c>
      <c r="U1273" s="125"/>
      <c r="V1273" s="125"/>
      <c r="W1273" s="125"/>
      <c r="X1273" s="125"/>
      <c r="Y1273" s="125"/>
      <c r="Z1273" s="125"/>
      <c r="AA1273" s="125"/>
      <c r="AB1273" s="125"/>
      <c r="AC1273" s="124"/>
      <c r="AD1273" s="117"/>
      <c r="AE1273" s="115">
        <v>11100</v>
      </c>
      <c r="AF1273" s="115"/>
      <c r="AG1273" s="120"/>
      <c r="AH1273" s="136"/>
    </row>
    <row r="1274" spans="1:46" ht="15">
      <c r="A1274" s="122"/>
      <c r="B1274" s="113"/>
      <c r="C1274" s="128" t="s">
        <v>2296</v>
      </c>
      <c r="D1274" s="128"/>
      <c r="E1274" s="117"/>
      <c r="F1274" s="117"/>
      <c r="G1274" s="117"/>
      <c r="H1274" s="115">
        <f t="shared" si="192"/>
        <v>14540</v>
      </c>
      <c r="I1274" s="115">
        <f t="shared" si="193"/>
        <v>14540</v>
      </c>
      <c r="J1274" s="115">
        <f t="shared" si="194"/>
        <v>14540</v>
      </c>
      <c r="K1274" s="115">
        <f t="shared" si="195"/>
        <v>14540</v>
      </c>
      <c r="L1274" s="115">
        <f t="shared" si="196"/>
        <v>14540</v>
      </c>
      <c r="M1274" s="117"/>
      <c r="N1274" s="117"/>
      <c r="O1274" s="117"/>
      <c r="P1274" s="117"/>
      <c r="Q1274" s="125"/>
      <c r="R1274" s="125"/>
      <c r="S1274" s="125"/>
      <c r="T1274" s="125">
        <v>14540</v>
      </c>
      <c r="U1274" s="125"/>
      <c r="V1274" s="125"/>
      <c r="W1274" s="125"/>
      <c r="X1274" s="125"/>
      <c r="Y1274" s="125"/>
      <c r="Z1274" s="125"/>
      <c r="AA1274" s="125"/>
      <c r="AB1274" s="125"/>
      <c r="AC1274" s="124"/>
      <c r="AD1274" s="117"/>
      <c r="AE1274" s="115"/>
      <c r="AF1274" s="160"/>
      <c r="AG1274" s="120"/>
      <c r="AH1274" s="136"/>
    </row>
    <row r="1275" spans="1:46" ht="15">
      <c r="A1275" s="154"/>
      <c r="B1275" s="113"/>
      <c r="C1275" s="123" t="s">
        <v>2297</v>
      </c>
      <c r="D1275" s="123"/>
      <c r="E1275" s="124"/>
      <c r="F1275" s="124"/>
      <c r="G1275" s="124"/>
      <c r="H1275" s="115">
        <f t="shared" si="192"/>
        <v>30000</v>
      </c>
      <c r="I1275" s="115">
        <f t="shared" si="193"/>
        <v>30000</v>
      </c>
      <c r="J1275" s="115">
        <f t="shared" si="194"/>
        <v>30000</v>
      </c>
      <c r="K1275" s="115">
        <f t="shared" si="195"/>
        <v>30000</v>
      </c>
      <c r="L1275" s="115">
        <f t="shared" si="196"/>
        <v>30000</v>
      </c>
      <c r="M1275" s="124"/>
      <c r="N1275" s="124"/>
      <c r="O1275" s="124"/>
      <c r="P1275" s="124"/>
      <c r="Q1275" s="125"/>
      <c r="R1275" s="125"/>
      <c r="S1275" s="125"/>
      <c r="T1275" s="125">
        <f>30000</f>
        <v>30000</v>
      </c>
      <c r="U1275" s="125"/>
      <c r="V1275" s="125"/>
      <c r="W1275" s="125"/>
      <c r="X1275" s="125"/>
      <c r="Y1275" s="125"/>
      <c r="Z1275" s="125"/>
      <c r="AA1275" s="125"/>
      <c r="AB1275" s="125"/>
      <c r="AC1275" s="124"/>
      <c r="AD1275" s="117"/>
      <c r="AE1275" s="115"/>
      <c r="AF1275" s="160"/>
      <c r="AG1275" s="120"/>
      <c r="AH1275" s="136"/>
    </row>
    <row r="1276" spans="1:46" ht="15">
      <c r="A1276" s="154"/>
      <c r="B1276" s="113"/>
      <c r="C1276" s="123" t="s">
        <v>2298</v>
      </c>
      <c r="D1276" s="123"/>
      <c r="E1276" s="124"/>
      <c r="F1276" s="124"/>
      <c r="G1276" s="124"/>
      <c r="H1276" s="115">
        <f t="shared" si="192"/>
        <v>341940.07</v>
      </c>
      <c r="I1276" s="115">
        <f t="shared" si="193"/>
        <v>341940.07</v>
      </c>
      <c r="J1276" s="115">
        <f t="shared" si="194"/>
        <v>341940.07</v>
      </c>
      <c r="K1276" s="115">
        <f t="shared" ref="K1276:K1287" si="197">Q1276+R1276+S1276+T1276+U1276+V1276+W1276</f>
        <v>341940.07</v>
      </c>
      <c r="L1276" s="115">
        <f t="shared" si="196"/>
        <v>341940.07</v>
      </c>
      <c r="M1276" s="124"/>
      <c r="N1276" s="124"/>
      <c r="O1276" s="124"/>
      <c r="P1276" s="124"/>
      <c r="Q1276" s="125"/>
      <c r="R1276" s="125"/>
      <c r="S1276" s="125"/>
      <c r="T1276" s="125">
        <f>361043-8920.25+14700-9945-5675-9262.68</f>
        <v>341940.07</v>
      </c>
      <c r="U1276" s="125"/>
      <c r="V1276" s="125"/>
      <c r="W1276" s="125"/>
      <c r="X1276" s="125"/>
      <c r="Y1276" s="125"/>
      <c r="Z1276" s="125"/>
      <c r="AA1276" s="125"/>
      <c r="AB1276" s="125"/>
      <c r="AC1276" s="124"/>
      <c r="AD1276" s="117"/>
      <c r="AE1276" s="115">
        <v>75321</v>
      </c>
      <c r="AF1276" s="115"/>
      <c r="AG1276" s="120"/>
      <c r="AH1276" s="136"/>
      <c r="AM1276" s="120"/>
      <c r="AN1276" s="136"/>
      <c r="AQ1276" s="197"/>
      <c r="AR1276" s="136"/>
    </row>
    <row r="1277" spans="1:46" ht="15">
      <c r="A1277" s="154"/>
      <c r="B1277" s="113"/>
      <c r="C1277" s="123" t="s">
        <v>2299</v>
      </c>
      <c r="D1277" s="123"/>
      <c r="E1277" s="124"/>
      <c r="F1277" s="124"/>
      <c r="G1277" s="124"/>
      <c r="H1277" s="115">
        <f t="shared" si="192"/>
        <v>153551.01</v>
      </c>
      <c r="I1277" s="115">
        <f t="shared" si="193"/>
        <v>153551.01</v>
      </c>
      <c r="J1277" s="115">
        <f t="shared" ref="J1277:J1287" si="198">Q1277+R1277+S1277+T1277+U1277+V1277</f>
        <v>153551.01</v>
      </c>
      <c r="K1277" s="115">
        <f t="shared" si="197"/>
        <v>153551.01</v>
      </c>
      <c r="L1277" s="115">
        <f t="shared" si="196"/>
        <v>153551.01</v>
      </c>
      <c r="M1277" s="124"/>
      <c r="N1277" s="124"/>
      <c r="O1277" s="124"/>
      <c r="P1277" s="124"/>
      <c r="Q1277" s="125"/>
      <c r="R1277" s="125"/>
      <c r="S1277" s="125"/>
      <c r="T1277" s="125">
        <f>73735.01+2000+8027.5+8800+5017+20648-11823+7195+5365+11730+15700+16200+8705-32650-4735.27+3895-13690+21940-2000+9100+36815.5+10735-56000+16307+8285+28655-57875+3110+17445+13427+14555+5652+14185-7750-41535-5619.73</f>
        <v>153551.01</v>
      </c>
      <c r="U1277" s="125"/>
      <c r="V1277" s="125"/>
      <c r="W1277" s="125"/>
      <c r="X1277" s="125"/>
      <c r="Y1277" s="125"/>
      <c r="Z1277" s="125"/>
      <c r="AA1277" s="125"/>
      <c r="AB1277" s="125"/>
      <c r="AC1277" s="124"/>
      <c r="AD1277" s="117"/>
      <c r="AE1277" s="115">
        <v>42542.75</v>
      </c>
      <c r="AF1277" s="115"/>
      <c r="AG1277" s="120"/>
      <c r="AH1277" s="136"/>
      <c r="AJ1277" s="120"/>
      <c r="AM1277" s="120"/>
      <c r="AN1277" s="136"/>
      <c r="AQ1277" s="120"/>
    </row>
    <row r="1278" spans="1:46" ht="15">
      <c r="A1278" s="154"/>
      <c r="B1278" s="113"/>
      <c r="C1278" s="123" t="s">
        <v>2300</v>
      </c>
      <c r="D1278" s="123"/>
      <c r="E1278" s="124"/>
      <c r="F1278" s="124"/>
      <c r="G1278" s="124"/>
      <c r="H1278" s="115">
        <f t="shared" ref="H1278:H1287" si="199">Q1278+R1278+S1278+T1278</f>
        <v>33863.229999999996</v>
      </c>
      <c r="I1278" s="115">
        <f t="shared" ref="I1278:I1287" si="200">Q1278+R1278+S1278+T1278+U1278</f>
        <v>33863.229999999996</v>
      </c>
      <c r="J1278" s="115">
        <f t="shared" si="198"/>
        <v>33863.229999999996</v>
      </c>
      <c r="K1278" s="115">
        <f t="shared" si="197"/>
        <v>33863.229999999996</v>
      </c>
      <c r="L1278" s="115">
        <f t="shared" si="196"/>
        <v>33863.229999999996</v>
      </c>
      <c r="M1278" s="124"/>
      <c r="N1278" s="124"/>
      <c r="O1278" s="124"/>
      <c r="P1278" s="124"/>
      <c r="Q1278" s="125"/>
      <c r="R1278" s="125"/>
      <c r="S1278" s="125"/>
      <c r="T1278" s="125">
        <f>44110-34752+1000+12121.5+7258-1494+5619.73</f>
        <v>33863.229999999996</v>
      </c>
      <c r="U1278" s="125"/>
      <c r="V1278" s="125"/>
      <c r="W1278" s="125"/>
      <c r="X1278" s="125"/>
      <c r="Y1278" s="125"/>
      <c r="Z1278" s="125"/>
      <c r="AA1278" s="125"/>
      <c r="AB1278" s="125"/>
      <c r="AC1278" s="124"/>
      <c r="AD1278" s="117"/>
      <c r="AE1278" s="115"/>
      <c r="AF1278" s="115"/>
      <c r="AG1278" s="120"/>
      <c r="AH1278" s="136"/>
      <c r="AJ1278" s="120"/>
      <c r="AM1278" s="120"/>
      <c r="AN1278" s="136"/>
      <c r="AQ1278" s="120"/>
    </row>
    <row r="1279" spans="1:46" ht="15">
      <c r="A1279" s="154"/>
      <c r="B1279" s="113"/>
      <c r="C1279" s="123" t="s">
        <v>2301</v>
      </c>
      <c r="D1279" s="123"/>
      <c r="E1279" s="124"/>
      <c r="F1279" s="124"/>
      <c r="G1279" s="124"/>
      <c r="H1279" s="115">
        <f t="shared" si="199"/>
        <v>29200</v>
      </c>
      <c r="I1279" s="115">
        <f t="shared" si="200"/>
        <v>29200</v>
      </c>
      <c r="J1279" s="115">
        <f t="shared" si="198"/>
        <v>29200</v>
      </c>
      <c r="K1279" s="115">
        <f t="shared" si="197"/>
        <v>29200</v>
      </c>
      <c r="L1279" s="115">
        <f t="shared" si="196"/>
        <v>29200</v>
      </c>
      <c r="M1279" s="124"/>
      <c r="N1279" s="124"/>
      <c r="O1279" s="124"/>
      <c r="P1279" s="124"/>
      <c r="Q1279" s="125"/>
      <c r="R1279" s="125"/>
      <c r="S1279" s="125"/>
      <c r="T1279" s="125">
        <f>59200-30000</f>
        <v>29200</v>
      </c>
      <c r="U1279" s="125"/>
      <c r="V1279" s="125"/>
      <c r="W1279" s="125"/>
      <c r="X1279" s="125"/>
      <c r="Y1279" s="125"/>
      <c r="Z1279" s="125"/>
      <c r="AA1279" s="125"/>
      <c r="AB1279" s="125"/>
      <c r="AC1279" s="124"/>
      <c r="AD1279" s="117"/>
      <c r="AE1279" s="115">
        <v>96932.54</v>
      </c>
      <c r="AF1279" s="115"/>
      <c r="AG1279" s="120"/>
      <c r="AH1279" s="136"/>
      <c r="AM1279" s="120"/>
      <c r="AN1279" s="136"/>
      <c r="AQ1279" s="177"/>
    </row>
    <row r="1280" spans="1:46" ht="15">
      <c r="A1280" s="154"/>
      <c r="B1280" s="113"/>
      <c r="C1280" s="123" t="s">
        <v>2302</v>
      </c>
      <c r="D1280" s="123"/>
      <c r="E1280" s="124"/>
      <c r="F1280" s="124"/>
      <c r="G1280" s="124"/>
      <c r="H1280" s="115">
        <f t="shared" si="199"/>
        <v>2175311.5799999996</v>
      </c>
      <c r="I1280" s="115">
        <f t="shared" si="200"/>
        <v>2093922.9899999995</v>
      </c>
      <c r="J1280" s="115">
        <f t="shared" si="198"/>
        <v>2060568.7899999996</v>
      </c>
      <c r="K1280" s="115">
        <f t="shared" si="197"/>
        <v>2047373.8899999997</v>
      </c>
      <c r="L1280" s="115">
        <f t="shared" si="196"/>
        <v>1958289.6499999997</v>
      </c>
      <c r="M1280" s="124"/>
      <c r="N1280" s="124"/>
      <c r="O1280" s="124"/>
      <c r="P1280" s="124"/>
      <c r="Q1280" s="125"/>
      <c r="R1280" s="125"/>
      <c r="S1280" s="125"/>
      <c r="T1280" s="125">
        <f>-77749.03+1624226-58156-54253.66-15300-40280.84+2800000-940316-25300-107100-46140-216248-76454.22-440035.52-11080.24-6250.2-55920-16376.78-16558.6-529410-477167.5-6250.2-22753-145000-19332.78-10000-9718.38-3100-14689.77-17198-16350-18010-186130-15432+2000000-139387.9-17330.44-36800-21253.5-36404.31-14429-43920-27299.4-2920-24822.47-31020-5245.11-18400-22716-11224.04-35750-33080.13-25650-7201.4</f>
        <v>2175311.5799999996</v>
      </c>
      <c r="U1280" s="125">
        <f>-45600-35788.59</f>
        <v>-81388.59</v>
      </c>
      <c r="V1280" s="125">
        <f>-5000-23638.2-4716</f>
        <v>-33354.199999999997</v>
      </c>
      <c r="W1280" s="125">
        <v>-13194.9</v>
      </c>
      <c r="X1280" s="125">
        <f>-72879.75-16204.49</f>
        <v>-89084.24</v>
      </c>
      <c r="Y1280" s="125"/>
      <c r="Z1280" s="125"/>
      <c r="AA1280" s="125"/>
      <c r="AB1280" s="125"/>
      <c r="AC1280" s="124"/>
      <c r="AD1280" s="117"/>
      <c r="AE1280" s="115">
        <v>1900000</v>
      </c>
      <c r="AF1280" s="115"/>
      <c r="AG1280" s="120"/>
      <c r="AH1280" s="136"/>
      <c r="AN1280" s="194"/>
      <c r="AQ1280" s="140"/>
      <c r="AS1280" s="137">
        <v>38689</v>
      </c>
      <c r="AT1280" s="108" t="s">
        <v>2303</v>
      </c>
    </row>
    <row r="1281" spans="1:45" ht="15">
      <c r="A1281" s="154"/>
      <c r="B1281" s="113"/>
      <c r="C1281" s="123" t="s">
        <v>2304</v>
      </c>
      <c r="D1281" s="123"/>
      <c r="E1281" s="124"/>
      <c r="F1281" s="124"/>
      <c r="G1281" s="124"/>
      <c r="H1281" s="115">
        <f t="shared" si="199"/>
        <v>23900</v>
      </c>
      <c r="I1281" s="115">
        <f t="shared" si="200"/>
        <v>23900</v>
      </c>
      <c r="J1281" s="115">
        <f t="shared" si="198"/>
        <v>23900</v>
      </c>
      <c r="K1281" s="115">
        <f t="shared" si="197"/>
        <v>23900</v>
      </c>
      <c r="L1281" s="115">
        <f t="shared" si="196"/>
        <v>23900</v>
      </c>
      <c r="M1281" s="124"/>
      <c r="N1281" s="124"/>
      <c r="O1281" s="124"/>
      <c r="P1281" s="124"/>
      <c r="Q1281" s="125"/>
      <c r="R1281" s="125"/>
      <c r="S1281" s="125"/>
      <c r="T1281" s="125">
        <f>10000+500+13400</f>
        <v>23900</v>
      </c>
      <c r="U1281" s="125"/>
      <c r="V1281" s="125"/>
      <c r="W1281" s="125"/>
      <c r="X1281" s="125"/>
      <c r="Y1281" s="125"/>
      <c r="Z1281" s="125"/>
      <c r="AA1281" s="125"/>
      <c r="AB1281" s="125"/>
      <c r="AC1281" s="124"/>
      <c r="AD1281" s="117"/>
      <c r="AE1281" s="115"/>
      <c r="AF1281" s="115"/>
      <c r="AG1281" s="120"/>
      <c r="AH1281" s="136"/>
      <c r="AN1281" s="194"/>
      <c r="AQ1281" s="140"/>
      <c r="AS1281" s="137"/>
    </row>
    <row r="1282" spans="1:45" ht="15">
      <c r="A1282" s="154"/>
      <c r="B1282" s="113"/>
      <c r="C1282" s="123" t="s">
        <v>2305</v>
      </c>
      <c r="D1282" s="123"/>
      <c r="E1282" s="124"/>
      <c r="F1282" s="124"/>
      <c r="G1282" s="124"/>
      <c r="H1282" s="115">
        <f t="shared" si="199"/>
        <v>2280</v>
      </c>
      <c r="I1282" s="115">
        <f t="shared" si="200"/>
        <v>2280</v>
      </c>
      <c r="J1282" s="115">
        <f t="shared" si="198"/>
        <v>2280</v>
      </c>
      <c r="K1282" s="115">
        <f t="shared" si="197"/>
        <v>2280</v>
      </c>
      <c r="L1282" s="115">
        <f t="shared" si="196"/>
        <v>2280</v>
      </c>
      <c r="M1282" s="124"/>
      <c r="N1282" s="124"/>
      <c r="O1282" s="124"/>
      <c r="P1282" s="124"/>
      <c r="Q1282" s="125"/>
      <c r="R1282" s="125"/>
      <c r="S1282" s="125"/>
      <c r="T1282" s="125">
        <v>2280</v>
      </c>
      <c r="U1282" s="125"/>
      <c r="V1282" s="125"/>
      <c r="W1282" s="125"/>
      <c r="X1282" s="125"/>
      <c r="Y1282" s="125"/>
      <c r="Z1282" s="125"/>
      <c r="AA1282" s="125"/>
      <c r="AB1282" s="125"/>
      <c r="AC1282" s="124"/>
      <c r="AD1282" s="117"/>
      <c r="AE1282" s="115"/>
      <c r="AF1282" s="115"/>
      <c r="AG1282" s="120"/>
      <c r="AH1282" s="136"/>
      <c r="AN1282" s="194"/>
      <c r="AQ1282" s="140"/>
      <c r="AS1282" s="137"/>
    </row>
    <row r="1283" spans="1:45" ht="15">
      <c r="A1283" s="154"/>
      <c r="B1283" s="113"/>
      <c r="C1283" s="123" t="s">
        <v>2306</v>
      </c>
      <c r="D1283" s="123"/>
      <c r="E1283" s="124"/>
      <c r="F1283" s="124"/>
      <c r="G1283" s="124"/>
      <c r="H1283" s="115">
        <f t="shared" si="199"/>
        <v>23836</v>
      </c>
      <c r="I1283" s="115">
        <f t="shared" si="200"/>
        <v>23836</v>
      </c>
      <c r="J1283" s="115">
        <f t="shared" si="198"/>
        <v>23836</v>
      </c>
      <c r="K1283" s="115">
        <f t="shared" si="197"/>
        <v>23836</v>
      </c>
      <c r="L1283" s="115">
        <f t="shared" si="196"/>
        <v>23836</v>
      </c>
      <c r="M1283" s="124"/>
      <c r="N1283" s="124"/>
      <c r="O1283" s="124"/>
      <c r="P1283" s="124"/>
      <c r="Q1283" s="125"/>
      <c r="R1283" s="125"/>
      <c r="S1283" s="125"/>
      <c r="T1283" s="125">
        <f>1380+58570-23200+3000-7500-6234+500-2680</f>
        <v>23836</v>
      </c>
      <c r="U1283" s="125"/>
      <c r="V1283" s="125"/>
      <c r="W1283" s="125"/>
      <c r="X1283" s="125"/>
      <c r="Y1283" s="125"/>
      <c r="Z1283" s="125"/>
      <c r="AA1283" s="125"/>
      <c r="AB1283" s="125"/>
      <c r="AC1283" s="124"/>
      <c r="AE1283" s="115">
        <v>3600</v>
      </c>
      <c r="AF1283" s="115">
        <f>+[4]schedule!$E$1440</f>
        <v>6367191.849999995</v>
      </c>
      <c r="AG1283" s="120"/>
      <c r="AH1283" s="136"/>
      <c r="AN1283" s="194"/>
      <c r="AQ1283" s="140"/>
      <c r="AS1283" s="137"/>
    </row>
    <row r="1284" spans="1:45" ht="15">
      <c r="A1284" s="154"/>
      <c r="B1284" s="113"/>
      <c r="C1284" s="123" t="s">
        <v>2307</v>
      </c>
      <c r="D1284" s="123"/>
      <c r="E1284" s="124"/>
      <c r="F1284" s="124"/>
      <c r="G1284" s="124"/>
      <c r="H1284" s="115">
        <f t="shared" si="199"/>
        <v>2188788.37</v>
      </c>
      <c r="I1284" s="115">
        <f t="shared" si="200"/>
        <v>2188788.37</v>
      </c>
      <c r="J1284" s="115">
        <f t="shared" si="198"/>
        <v>2188788.37</v>
      </c>
      <c r="K1284" s="115">
        <f t="shared" si="197"/>
        <v>2187669.0100000002</v>
      </c>
      <c r="L1284" s="115">
        <f t="shared" si="196"/>
        <v>2187669.0100000002</v>
      </c>
      <c r="M1284" s="124"/>
      <c r="N1284" s="124"/>
      <c r="O1284" s="124"/>
      <c r="P1284" s="124"/>
      <c r="Q1284" s="125"/>
      <c r="R1284" s="125"/>
      <c r="S1284" s="125"/>
      <c r="T1284" s="125">
        <f>5562134.16-1239555.01-948500-790-50000-3704-39000-17023.48-41253.26-275906.5-86792.08-6210-3360-1900-7058.72-41787.36-20671-17100-5956.12-21031.35-66272-3260-3360-258374.22-21604.44-2000-12000-172016.25-6860</f>
        <v>2188788.37</v>
      </c>
      <c r="U1284" s="125"/>
      <c r="V1284" s="125"/>
      <c r="W1284" s="125">
        <v>-1119.3599999999999</v>
      </c>
      <c r="X1284" s="125"/>
      <c r="Y1284" s="125"/>
      <c r="Z1284" s="125"/>
      <c r="AA1284" s="125"/>
      <c r="AB1284" s="125"/>
      <c r="AC1284" s="124"/>
      <c r="AE1284" s="115">
        <v>39430</v>
      </c>
      <c r="AF1284" s="115">
        <f>+AF1283+791153.07-42822.77-66150.08-292800-105400-213200.25-84684.59</f>
        <v>6353287.2299999958</v>
      </c>
      <c r="AG1284" s="120"/>
      <c r="AH1284" s="136"/>
      <c r="AN1284" s="194"/>
      <c r="AQ1284" s="140"/>
      <c r="AS1284" s="137"/>
    </row>
    <row r="1285" spans="1:45" ht="15">
      <c r="A1285" s="154"/>
      <c r="B1285" s="113"/>
      <c r="C1285" s="123" t="s">
        <v>2308</v>
      </c>
      <c r="D1285" s="123"/>
      <c r="E1285" s="124"/>
      <c r="F1285" s="124"/>
      <c r="G1285" s="124"/>
      <c r="H1285" s="115">
        <f t="shared" si="199"/>
        <v>2698331.1399999997</v>
      </c>
      <c r="I1285" s="115">
        <f t="shared" si="200"/>
        <v>2300038.84</v>
      </c>
      <c r="J1285" s="115">
        <f t="shared" si="198"/>
        <v>1996355.5999999999</v>
      </c>
      <c r="K1285" s="115">
        <f t="shared" si="197"/>
        <v>1745155.8599999999</v>
      </c>
      <c r="L1285" s="115">
        <f t="shared" si="196"/>
        <v>1561989.0199999998</v>
      </c>
      <c r="M1285" s="124"/>
      <c r="N1285" s="124"/>
      <c r="O1285" s="124"/>
      <c r="P1285" s="124"/>
      <c r="Q1285" s="125"/>
      <c r="R1285" s="125"/>
      <c r="S1285" s="125"/>
      <c r="T1285" s="125">
        <f>618065.12+791153.07+626640.65+758972.3-96500</f>
        <v>2698331.1399999997</v>
      </c>
      <c r="U1285" s="125">
        <f>-10198.5+2300-390393.8</f>
        <v>-398292.3</v>
      </c>
      <c r="V1285" s="125">
        <f>-120153.99-183529.25</f>
        <v>-303683.24</v>
      </c>
      <c r="W1285" s="125">
        <f>-56359.06-194840.68</f>
        <v>-251199.74</v>
      </c>
      <c r="X1285" s="125">
        <f>-15054.36-168112.48</f>
        <v>-183166.84000000003</v>
      </c>
      <c r="Y1285" s="125"/>
      <c r="Z1285" s="125"/>
      <c r="AA1285" s="125"/>
      <c r="AB1285" s="125"/>
      <c r="AC1285" s="124"/>
      <c r="AE1285" s="115"/>
      <c r="AF1285" s="115"/>
      <c r="AG1285" s="120"/>
      <c r="AH1285" s="136"/>
      <c r="AN1285" s="194"/>
      <c r="AQ1285" s="140"/>
      <c r="AS1285" s="137"/>
    </row>
    <row r="1286" spans="1:45" ht="15">
      <c r="A1286" s="154"/>
      <c r="B1286" s="113"/>
      <c r="C1286" s="123" t="s">
        <v>2309</v>
      </c>
      <c r="D1286" s="123"/>
      <c r="E1286" s="124"/>
      <c r="F1286" s="124"/>
      <c r="G1286" s="124"/>
      <c r="H1286" s="115">
        <f t="shared" si="199"/>
        <v>2887229.51</v>
      </c>
      <c r="I1286" s="115">
        <f t="shared" si="200"/>
        <v>2733979.51</v>
      </c>
      <c r="J1286" s="115">
        <f t="shared" si="198"/>
        <v>2661126.5099999998</v>
      </c>
      <c r="K1286" s="115">
        <f t="shared" si="197"/>
        <v>2514307.5099999998</v>
      </c>
      <c r="L1286" s="115">
        <f t="shared" si="196"/>
        <v>2452978.4299999997</v>
      </c>
      <c r="M1286" s="124"/>
      <c r="N1286" s="124"/>
      <c r="O1286" s="124"/>
      <c r="P1286" s="124"/>
      <c r="Q1286" s="125"/>
      <c r="R1286" s="125"/>
      <c r="S1286" s="125"/>
      <c r="T1286" s="125">
        <f>641565.07+612914.36+794149.18+868600.9-30000</f>
        <v>2887229.51</v>
      </c>
      <c r="U1286" s="125">
        <f>-131250-22000</f>
        <v>-153250</v>
      </c>
      <c r="V1286" s="125">
        <f>-67765-5088</f>
        <v>-72853</v>
      </c>
      <c r="W1286" s="125">
        <v>-146819</v>
      </c>
      <c r="X1286" s="125">
        <f>-40208-21121.08</f>
        <v>-61329.08</v>
      </c>
      <c r="Y1286" s="125"/>
      <c r="Z1286" s="125"/>
      <c r="AA1286" s="125"/>
      <c r="AB1286" s="125"/>
      <c r="AC1286" s="124"/>
      <c r="AE1286" s="115"/>
      <c r="AF1286" s="115"/>
      <c r="AG1286" s="120"/>
      <c r="AH1286" s="136"/>
      <c r="AN1286" s="194"/>
      <c r="AQ1286" s="140"/>
      <c r="AS1286" s="137"/>
    </row>
    <row r="1287" spans="1:45" ht="15">
      <c r="A1287" s="154"/>
      <c r="B1287" s="113"/>
      <c r="C1287" s="123" t="s">
        <v>2310</v>
      </c>
      <c r="D1287" s="123"/>
      <c r="E1287" s="124"/>
      <c r="F1287" s="124"/>
      <c r="G1287" s="124"/>
      <c r="H1287" s="115">
        <f t="shared" si="199"/>
        <v>286</v>
      </c>
      <c r="I1287" s="115">
        <f t="shared" si="200"/>
        <v>286</v>
      </c>
      <c r="J1287" s="115">
        <f t="shared" si="198"/>
        <v>286</v>
      </c>
      <c r="K1287" s="115">
        <f t="shared" si="197"/>
        <v>286</v>
      </c>
      <c r="L1287" s="115">
        <f t="shared" si="196"/>
        <v>286</v>
      </c>
      <c r="M1287" s="124"/>
      <c r="N1287" s="124"/>
      <c r="O1287" s="124"/>
      <c r="P1287" s="124"/>
      <c r="Q1287" s="125"/>
      <c r="R1287" s="125"/>
      <c r="S1287" s="125"/>
      <c r="T1287" s="125">
        <f>13900-13800-29610-44126+85000+13900-13860-1500-9618</f>
        <v>286</v>
      </c>
      <c r="U1287" s="125"/>
      <c r="V1287" s="125"/>
      <c r="W1287" s="125"/>
      <c r="X1287" s="125"/>
      <c r="Y1287" s="125"/>
      <c r="Z1287" s="125"/>
      <c r="AA1287" s="125"/>
      <c r="AB1287" s="125"/>
      <c r="AC1287" s="124"/>
      <c r="AE1287" s="115">
        <v>600</v>
      </c>
      <c r="AF1287" s="115"/>
      <c r="AG1287" s="120"/>
      <c r="AH1287" s="136"/>
      <c r="AN1287" s="194"/>
      <c r="AQ1287" s="140"/>
      <c r="AS1287" s="137"/>
    </row>
    <row r="1288" spans="1:45" ht="15.75" thickBot="1">
      <c r="A1288" s="154"/>
      <c r="B1288" s="113"/>
      <c r="C1288" s="141" t="s">
        <v>1114</v>
      </c>
      <c r="D1288" s="123"/>
      <c r="E1288" s="151"/>
      <c r="F1288" s="151"/>
      <c r="G1288" s="151"/>
      <c r="H1288" s="151">
        <f>SUM(H1143:H1287)</f>
        <v>50143127.589999981</v>
      </c>
      <c r="I1288" s="151">
        <f>SUM(I1143:I1287)</f>
        <v>53392787.599999987</v>
      </c>
      <c r="J1288" s="151">
        <f>SUM(J1143:J1287)</f>
        <v>56193860.239999972</v>
      </c>
      <c r="K1288" s="151">
        <f>SUM(K1143:K1287)</f>
        <v>55601482.269999973</v>
      </c>
      <c r="L1288" s="151">
        <f>SUM(L1143:L1287)</f>
        <v>59702450.29999999</v>
      </c>
      <c r="M1288" s="151"/>
      <c r="N1288" s="151"/>
      <c r="O1288" s="151"/>
      <c r="P1288" s="151"/>
      <c r="Q1288" s="143"/>
      <c r="R1288" s="143"/>
      <c r="S1288" s="143"/>
      <c r="T1288" s="143">
        <f>SUM(T1143:T1287)</f>
        <v>50143127.589999981</v>
      </c>
      <c r="U1288" s="143">
        <f>SUM(U1143:U1287)</f>
        <v>3249660.0100000002</v>
      </c>
      <c r="V1288" s="143"/>
      <c r="W1288" s="143"/>
      <c r="X1288" s="143"/>
      <c r="Y1288" s="143"/>
      <c r="Z1288" s="143"/>
      <c r="AA1288" s="143"/>
      <c r="AB1288" s="143"/>
      <c r="AC1288" s="234"/>
      <c r="AD1288" s="225" t="e">
        <f>+#REF!-[1]TB!J189</f>
        <v>#REF!</v>
      </c>
      <c r="AE1288" s="120">
        <v>30500</v>
      </c>
      <c r="AF1288" s="115"/>
      <c r="AG1288" s="120"/>
      <c r="AH1288" s="136"/>
      <c r="AN1288" s="194"/>
      <c r="AQ1288" s="140"/>
      <c r="AS1288" s="137"/>
    </row>
    <row r="1289" spans="1:45" ht="15.75" thickTop="1">
      <c r="A1289" s="154"/>
      <c r="B1289" s="113"/>
      <c r="C1289" s="141"/>
      <c r="D1289" s="123"/>
      <c r="E1289" s="234"/>
      <c r="F1289" s="234"/>
      <c r="G1289" s="234"/>
      <c r="H1289" s="234"/>
      <c r="I1289" s="234"/>
      <c r="J1289" s="234"/>
      <c r="K1289" s="234"/>
      <c r="L1289" s="237"/>
      <c r="M1289" s="234"/>
      <c r="N1289" s="234"/>
      <c r="O1289" s="234"/>
      <c r="P1289" s="234"/>
      <c r="Q1289" s="231"/>
      <c r="R1289" s="231"/>
      <c r="S1289" s="231"/>
      <c r="T1289" s="231"/>
      <c r="U1289" s="231"/>
      <c r="V1289" s="231"/>
      <c r="W1289" s="231"/>
      <c r="X1289" s="231"/>
      <c r="Y1289" s="231"/>
      <c r="Z1289" s="231"/>
      <c r="AA1289" s="231"/>
      <c r="AB1289" s="231"/>
      <c r="AC1289" s="234"/>
      <c r="AD1289" s="225"/>
      <c r="AE1289" s="120"/>
      <c r="AF1289" s="115"/>
      <c r="AG1289" s="120"/>
      <c r="AH1289" s="136"/>
      <c r="AN1289" s="194"/>
      <c r="AQ1289" s="140"/>
      <c r="AS1289" s="137"/>
    </row>
    <row r="1290" spans="1:45" ht="15">
      <c r="A1290" s="154"/>
      <c r="B1290" s="113"/>
      <c r="C1290" s="141"/>
      <c r="D1290" s="123"/>
      <c r="E1290" s="234"/>
      <c r="F1290" s="234"/>
      <c r="G1290" s="234"/>
      <c r="H1290" s="234"/>
      <c r="I1290" s="234"/>
      <c r="J1290" s="234"/>
      <c r="K1290" s="234"/>
      <c r="L1290" s="234"/>
      <c r="M1290" s="234"/>
      <c r="N1290" s="234"/>
      <c r="O1290" s="234"/>
      <c r="P1290" s="234"/>
      <c r="Q1290" s="234"/>
      <c r="R1290" s="234"/>
      <c r="S1290" s="234"/>
      <c r="T1290" s="234"/>
      <c r="U1290" s="234"/>
      <c r="V1290" s="234"/>
      <c r="W1290" s="234"/>
      <c r="X1290" s="234"/>
      <c r="Y1290" s="234"/>
      <c r="Z1290" s="234"/>
      <c r="AA1290" s="234"/>
      <c r="AB1290" s="234"/>
      <c r="AC1290" s="234"/>
      <c r="AD1290" s="173"/>
      <c r="AE1290" s="120">
        <v>2100</v>
      </c>
      <c r="AF1290" s="115"/>
      <c r="AG1290" s="120"/>
      <c r="AN1290" s="194"/>
      <c r="AQ1290" s="140"/>
      <c r="AS1290" s="137"/>
    </row>
    <row r="1291" spans="1:45" ht="15">
      <c r="A1291" s="154"/>
      <c r="B1291" s="113"/>
      <c r="C1291" s="128"/>
      <c r="D1291" s="123"/>
      <c r="E1291" s="234"/>
      <c r="F1291" s="234"/>
      <c r="G1291" s="234"/>
      <c r="H1291" s="234"/>
      <c r="I1291" s="234"/>
      <c r="J1291" s="234"/>
      <c r="K1291" s="234"/>
      <c r="L1291" s="234"/>
      <c r="M1291" s="234"/>
      <c r="N1291" s="234"/>
      <c r="O1291" s="234"/>
      <c r="P1291" s="234"/>
      <c r="Q1291" s="234"/>
      <c r="R1291" s="234"/>
      <c r="S1291" s="234"/>
      <c r="T1291" s="234"/>
      <c r="U1291" s="234"/>
      <c r="V1291" s="234"/>
      <c r="W1291" s="234"/>
      <c r="X1291" s="234"/>
      <c r="Y1291" s="234"/>
      <c r="Z1291" s="234"/>
      <c r="AA1291" s="234"/>
      <c r="AB1291" s="234"/>
      <c r="AC1291" s="234"/>
      <c r="AD1291" s="135" t="e">
        <f>+AD1288/2</f>
        <v>#REF!</v>
      </c>
      <c r="AE1291" s="120">
        <v>8027.5</v>
      </c>
      <c r="AF1291" s="115"/>
      <c r="AG1291" s="115" t="s">
        <v>2255</v>
      </c>
      <c r="AN1291" s="194"/>
      <c r="AQ1291" s="140"/>
      <c r="AS1291" s="137"/>
    </row>
    <row r="1292" spans="1:45" ht="15">
      <c r="A1292" s="108" t="s">
        <v>2311</v>
      </c>
      <c r="B1292" s="113"/>
      <c r="C1292" s="123"/>
      <c r="D1292" s="123"/>
      <c r="E1292" s="124"/>
      <c r="F1292" s="124"/>
      <c r="G1292" s="124"/>
      <c r="H1292" s="124"/>
      <c r="I1292" s="124"/>
      <c r="J1292" s="124"/>
      <c r="K1292" s="124"/>
      <c r="L1292" s="124"/>
      <c r="M1292" s="124"/>
      <c r="N1292" s="124"/>
      <c r="O1292" s="124"/>
      <c r="P1292" s="124"/>
      <c r="Q1292" s="124"/>
      <c r="R1292" s="124"/>
      <c r="S1292" s="124"/>
      <c r="T1292" s="124"/>
      <c r="U1292" s="124"/>
      <c r="V1292" s="124"/>
      <c r="W1292" s="124"/>
      <c r="X1292" s="124"/>
      <c r="Y1292" s="124"/>
      <c r="Z1292" s="124"/>
      <c r="AA1292" s="124"/>
      <c r="AB1292" s="124"/>
      <c r="AC1292" s="124"/>
      <c r="AD1292" s="234"/>
      <c r="AE1292" s="120">
        <v>974318.21</v>
      </c>
      <c r="AF1292" s="115"/>
      <c r="AG1292" s="115"/>
      <c r="AN1292" s="194"/>
      <c r="AQ1292" s="140"/>
      <c r="AS1292" s="137"/>
    </row>
    <row r="1293" spans="1:45" ht="15">
      <c r="A1293" s="154"/>
      <c r="B1293" s="113"/>
      <c r="C1293" s="123"/>
      <c r="D1293" s="123"/>
      <c r="E1293" s="124"/>
      <c r="F1293" s="124"/>
      <c r="G1293" s="124"/>
      <c r="H1293" s="124"/>
      <c r="I1293" s="124"/>
      <c r="J1293" s="124"/>
      <c r="K1293" s="124"/>
      <c r="L1293" s="124"/>
      <c r="M1293" s="124"/>
      <c r="N1293" s="124"/>
      <c r="O1293" s="124"/>
      <c r="P1293" s="124"/>
      <c r="Q1293" s="124"/>
      <c r="R1293" s="124"/>
      <c r="S1293" s="124"/>
      <c r="T1293" s="124"/>
      <c r="U1293" s="124"/>
      <c r="V1293" s="124"/>
      <c r="W1293" s="124"/>
      <c r="X1293" s="124"/>
      <c r="Y1293" s="124"/>
      <c r="Z1293" s="124"/>
      <c r="AA1293" s="124"/>
      <c r="AB1293" s="124"/>
      <c r="AC1293" s="124"/>
      <c r="AD1293" s="234"/>
      <c r="AE1293" s="120">
        <f>SUM(AE1258:AE1292)</f>
        <v>4856699.2</v>
      </c>
      <c r="AF1293" s="115">
        <v>30000</v>
      </c>
      <c r="AG1293" s="192" t="e">
        <f>#REF!-AF1293</f>
        <v>#REF!</v>
      </c>
      <c r="AH1293" s="136"/>
      <c r="AN1293" s="194"/>
      <c r="AQ1293" s="140"/>
      <c r="AS1293" s="137"/>
    </row>
    <row r="1294" spans="1:45" ht="15">
      <c r="A1294" s="154"/>
      <c r="B1294" s="113"/>
      <c r="C1294" s="128"/>
      <c r="D1294" s="128"/>
      <c r="E1294" s="115"/>
      <c r="F1294" s="115"/>
      <c r="G1294" s="115"/>
      <c r="H1294" s="115"/>
      <c r="I1294" s="115"/>
      <c r="J1294" s="115"/>
      <c r="K1294" s="115"/>
      <c r="L1294" s="115"/>
      <c r="M1294" s="115"/>
      <c r="N1294" s="115"/>
      <c r="O1294" s="115"/>
      <c r="P1294" s="115"/>
      <c r="Q1294" s="115"/>
      <c r="R1294" s="115"/>
      <c r="S1294" s="115"/>
      <c r="T1294" s="115"/>
      <c r="U1294" s="115"/>
      <c r="V1294" s="115"/>
      <c r="W1294" s="115"/>
      <c r="X1294" s="115"/>
      <c r="Y1294" s="115"/>
      <c r="Z1294" s="115"/>
      <c r="AA1294" s="115"/>
      <c r="AB1294" s="115"/>
      <c r="AC1294" s="115"/>
      <c r="AD1294" s="234"/>
      <c r="AE1294" s="120"/>
      <c r="AF1294" s="120"/>
      <c r="AG1294" s="120"/>
      <c r="AH1294" s="136"/>
      <c r="AQ1294" s="135"/>
      <c r="AR1294" s="195"/>
    </row>
    <row r="1295" spans="1:45" ht="15">
      <c r="A1295" s="226" t="s">
        <v>2312</v>
      </c>
      <c r="B1295" s="226"/>
      <c r="E1295" s="120"/>
      <c r="F1295" s="120"/>
      <c r="G1295" s="120"/>
      <c r="H1295" s="120"/>
      <c r="I1295" s="120"/>
      <c r="J1295" s="120"/>
      <c r="K1295" s="120"/>
      <c r="L1295" s="120"/>
      <c r="M1295" s="120"/>
      <c r="N1295" s="120"/>
      <c r="O1295" s="120"/>
      <c r="P1295" s="120"/>
      <c r="Q1295" s="120"/>
      <c r="R1295" s="120"/>
      <c r="S1295" s="120"/>
      <c r="T1295" s="120"/>
      <c r="U1295" s="120"/>
      <c r="V1295" s="120"/>
      <c r="W1295" s="120"/>
      <c r="X1295" s="120"/>
      <c r="Y1295" s="120"/>
      <c r="Z1295" s="120"/>
      <c r="AA1295" s="120"/>
      <c r="AB1295" s="120"/>
      <c r="AC1295" s="120"/>
      <c r="AD1295" s="172"/>
      <c r="AF1295" s="120"/>
      <c r="AG1295" s="120"/>
      <c r="AH1295" s="136"/>
    </row>
    <row r="1296" spans="1:45">
      <c r="A1296" s="227" t="s">
        <v>983</v>
      </c>
      <c r="B1296" s="227"/>
      <c r="C1296" s="227"/>
      <c r="E1296" s="120"/>
      <c r="F1296" s="120"/>
      <c r="G1296" s="120"/>
      <c r="H1296" s="120"/>
      <c r="I1296" s="120"/>
      <c r="J1296" s="120"/>
      <c r="K1296" s="120"/>
      <c r="L1296" s="120"/>
      <c r="M1296" s="120"/>
      <c r="N1296" s="120"/>
      <c r="O1296" s="120"/>
      <c r="P1296" s="120"/>
      <c r="Q1296" s="120"/>
      <c r="R1296" s="120"/>
      <c r="S1296" s="120"/>
      <c r="T1296" s="120"/>
      <c r="U1296" s="120"/>
      <c r="V1296" s="120"/>
      <c r="W1296" s="120"/>
      <c r="X1296" s="120"/>
      <c r="Y1296" s="120"/>
      <c r="Z1296" s="120"/>
      <c r="AA1296" s="120"/>
      <c r="AB1296" s="120"/>
      <c r="AC1296" s="120"/>
      <c r="AE1296" s="120"/>
      <c r="AF1296" s="120" t="s">
        <v>2313</v>
      </c>
      <c r="AG1296" s="120">
        <v>4200</v>
      </c>
      <c r="AH1296" s="136" t="s">
        <v>2314</v>
      </c>
    </row>
    <row r="1297" spans="5:34">
      <c r="E1297" s="135"/>
      <c r="F1297" s="135"/>
      <c r="G1297" s="135"/>
      <c r="H1297" s="135"/>
      <c r="I1297" s="135"/>
      <c r="J1297" s="135"/>
      <c r="K1297" s="135"/>
      <c r="L1297" s="135"/>
      <c r="M1297" s="135"/>
      <c r="N1297" s="135"/>
      <c r="O1297" s="135"/>
      <c r="P1297" s="135"/>
      <c r="Q1297" s="135"/>
      <c r="R1297" s="135"/>
      <c r="S1297" s="135"/>
      <c r="T1297" s="135"/>
      <c r="U1297" s="135"/>
      <c r="V1297" s="135"/>
      <c r="W1297" s="135"/>
      <c r="X1297" s="135"/>
      <c r="Y1297" s="135"/>
      <c r="Z1297" s="135"/>
      <c r="AA1297" s="135"/>
      <c r="AB1297" s="135"/>
      <c r="AC1297" s="135"/>
      <c r="AD1297" s="135"/>
      <c r="AE1297" s="120"/>
      <c r="AF1297" s="120" t="s">
        <v>2313</v>
      </c>
      <c r="AG1297" s="120">
        <v>2200</v>
      </c>
      <c r="AH1297" s="136" t="s">
        <v>2314</v>
      </c>
    </row>
    <row r="1298" spans="5:34">
      <c r="AE1298" s="120"/>
      <c r="AF1298" s="108" t="s">
        <v>2315</v>
      </c>
      <c r="AG1298" s="120">
        <v>4200</v>
      </c>
      <c r="AH1298" s="136" t="s">
        <v>2314</v>
      </c>
    </row>
    <row r="1299" spans="5:34">
      <c r="AE1299" s="120"/>
      <c r="AF1299" s="108" t="s">
        <v>2315</v>
      </c>
      <c r="AG1299" s="120">
        <v>2200</v>
      </c>
      <c r="AH1299" s="136" t="s">
        <v>2314</v>
      </c>
    </row>
    <row r="1300" spans="5:34">
      <c r="AE1300" s="120"/>
      <c r="AG1300" s="177">
        <f>SUM(AG1294:AG1299)</f>
        <v>12800</v>
      </c>
    </row>
    <row r="1301" spans="5:34">
      <c r="AE1301" s="120"/>
      <c r="AF1301" s="108" t="s">
        <v>2255</v>
      </c>
      <c r="AG1301" s="135" t="e">
        <f>AG1293-AG1300</f>
        <v>#REF!</v>
      </c>
    </row>
    <row r="1302" spans="5:34">
      <c r="AE1302" s="120"/>
    </row>
    <row r="1303" spans="5:34">
      <c r="AE1303" s="120"/>
    </row>
    <row r="1304" spans="5:34">
      <c r="AE1304" s="120"/>
    </row>
    <row r="1305" spans="5:34">
      <c r="AE1305" s="120"/>
    </row>
    <row r="1306" spans="5:34">
      <c r="AE1306" s="120"/>
    </row>
    <row r="1307" spans="5:34">
      <c r="AE1307" s="120"/>
    </row>
    <row r="1308" spans="5:34">
      <c r="AE1308" s="120"/>
    </row>
    <row r="1309" spans="5:34">
      <c r="AE1309" s="120"/>
    </row>
    <row r="1310" spans="5:34">
      <c r="AE1310" s="120"/>
    </row>
    <row r="1311" spans="5:34">
      <c r="AE1311" s="120"/>
    </row>
    <row r="1312" spans="5:34">
      <c r="AE1312" s="120"/>
    </row>
    <row r="1313" spans="31:31">
      <c r="AE1313" s="120"/>
    </row>
    <row r="50017" spans="256:256">
      <c r="IV50017" s="108">
        <v>-3336864.5</v>
      </c>
    </row>
  </sheetData>
  <mergeCells count="10">
    <mergeCell ref="A2:L2"/>
    <mergeCell ref="A10:L10"/>
    <mergeCell ref="A9:L9"/>
    <mergeCell ref="AE784:AF784"/>
    <mergeCell ref="A1:L1"/>
    <mergeCell ref="A7:L7"/>
    <mergeCell ref="A6:L6"/>
    <mergeCell ref="A5:L5"/>
    <mergeCell ref="A4:L4"/>
    <mergeCell ref="A3:L3"/>
  </mergeCells>
  <printOptions horizontalCentered="1"/>
  <pageMargins left="0.75" right="0.75" top="0.75" bottom="0.75" header="0.5" footer="0.5"/>
  <pageSetup paperSize="256" scale="90" orientation="portrait" horizontalDpi="4294967293" r:id="rId1"/>
  <headerFooter alignWithMargins="0">
    <oddFooter>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13</vt:i4>
      </vt:variant>
    </vt:vector>
  </HeadingPairs>
  <TitlesOfParts>
    <vt:vector size="28" baseType="lpstr">
      <vt:lpstr>TB-Jan</vt:lpstr>
      <vt:lpstr>TB-Feb</vt:lpstr>
      <vt:lpstr>TB-Mar</vt:lpstr>
      <vt:lpstr>TB-Apr</vt:lpstr>
      <vt:lpstr>TB-May</vt:lpstr>
      <vt:lpstr>TB-Jun</vt:lpstr>
      <vt:lpstr>TB-Jul</vt:lpstr>
      <vt:lpstr>TB-Aug</vt:lpstr>
      <vt:lpstr>TB-Sep</vt:lpstr>
      <vt:lpstr>TB-Oct</vt:lpstr>
      <vt:lpstr>TB-Nov</vt:lpstr>
      <vt:lpstr>TB-Dec</vt:lpstr>
      <vt:lpstr>TB</vt:lpstr>
      <vt:lpstr>BS</vt:lpstr>
      <vt:lpstr>schedule</vt:lpstr>
      <vt:lpstr>TB!Print_Titles</vt:lpstr>
      <vt:lpstr>'TB-Apr'!Print_Titles</vt:lpstr>
      <vt:lpstr>'TB-Aug'!Print_Titles</vt:lpstr>
      <vt:lpstr>'TB-Dec'!Print_Titles</vt:lpstr>
      <vt:lpstr>'TB-Feb'!Print_Titles</vt:lpstr>
      <vt:lpstr>'TB-Jan'!Print_Titles</vt:lpstr>
      <vt:lpstr>'TB-Jul'!Print_Titles</vt:lpstr>
      <vt:lpstr>'TB-Jun'!Print_Titles</vt:lpstr>
      <vt:lpstr>'TB-Mar'!Print_Titles</vt:lpstr>
      <vt:lpstr>'TB-May'!Print_Titles</vt:lpstr>
      <vt:lpstr>'TB-Nov'!Print_Titles</vt:lpstr>
      <vt:lpstr>'TB-Oct'!Print_Titles</vt:lpstr>
      <vt:lpstr>'TB-Sep'!Print_Titles</vt:lpstr>
    </vt:vector>
  </TitlesOfParts>
  <Company>PACCO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 DH55PJ</dc:creator>
  <cp:lastModifiedBy>YSAEI</cp:lastModifiedBy>
  <cp:lastPrinted>2011-11-08T16:42:34Z</cp:lastPrinted>
  <dcterms:created xsi:type="dcterms:W3CDTF">2011-07-04T07:38:58Z</dcterms:created>
  <dcterms:modified xsi:type="dcterms:W3CDTF">2011-11-11T01:28:13Z</dcterms:modified>
</cp:coreProperties>
</file>