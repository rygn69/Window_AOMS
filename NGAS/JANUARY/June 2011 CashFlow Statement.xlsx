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20055" windowHeight="7680"/>
  </bookViews>
  <sheets>
    <sheet name="CASH FLOWS" sheetId="1" r:id="rId1"/>
  </sheets>
  <externalReferences>
    <externalReference r:id="rId2"/>
    <externalReference r:id="rId3"/>
  </externalReferences>
  <calcPr calcId="124519"/>
</workbook>
</file>

<file path=xl/calcChain.xml><?xml version="1.0" encoding="utf-8"?>
<calcChain xmlns="http://schemas.openxmlformats.org/spreadsheetml/2006/main">
  <c r="L52" i="1"/>
  <c r="L51"/>
  <c r="L50"/>
  <c r="L39"/>
  <c r="L38"/>
  <c r="L27"/>
  <c r="L26"/>
  <c r="L25"/>
  <c r="L23"/>
  <c r="L22"/>
  <c r="L19"/>
  <c r="L18"/>
  <c r="G51" l="1"/>
  <c r="E35"/>
  <c r="E25"/>
  <c r="E23"/>
  <c r="E22"/>
  <c r="E18"/>
  <c r="E16"/>
  <c r="E24"/>
  <c r="K39"/>
  <c r="K38"/>
  <c r="K26"/>
  <c r="K19"/>
  <c r="K25"/>
  <c r="K22"/>
  <c r="K18"/>
  <c r="E17"/>
  <c r="J26"/>
  <c r="J25"/>
  <c r="J18"/>
  <c r="K27" l="1"/>
  <c r="K50" s="1"/>
  <c r="K52" s="1"/>
  <c r="J19"/>
  <c r="J27" s="1"/>
  <c r="J50" s="1"/>
  <c r="J52" s="1"/>
  <c r="K51" s="1"/>
  <c r="H51" l="1"/>
  <c r="E37"/>
  <c r="E36"/>
  <c r="I35"/>
  <c r="I38" s="1"/>
  <c r="I39" s="1"/>
  <c r="H35"/>
  <c r="E33"/>
  <c r="E32"/>
  <c r="E31"/>
  <c r="E30"/>
  <c r="E29"/>
  <c r="I25"/>
  <c r="H25"/>
  <c r="I23"/>
  <c r="H23"/>
  <c r="I22"/>
  <c r="H22"/>
  <c r="I18"/>
  <c r="H18"/>
  <c r="I16"/>
  <c r="E26" l="1"/>
  <c r="E38"/>
  <c r="I19"/>
  <c r="H19"/>
  <c r="H38"/>
  <c r="H39" s="1"/>
  <c r="H26"/>
  <c r="I26"/>
  <c r="I27" l="1"/>
  <c r="I50" s="1"/>
  <c r="H27"/>
  <c r="H50" s="1"/>
  <c r="H52" s="1"/>
  <c r="I51" s="1"/>
  <c r="E19"/>
  <c r="E27" s="1"/>
  <c r="E39"/>
  <c r="I52" l="1"/>
  <c r="E50"/>
  <c r="E52" s="1"/>
</calcChain>
</file>

<file path=xl/comments1.xml><?xml version="1.0" encoding="utf-8"?>
<comments xmlns="http://schemas.openxmlformats.org/spreadsheetml/2006/main">
  <authors>
    <author>D255LINUX</author>
  </authors>
  <commentList>
    <comment ref="N14" authorId="0">
      <text>
        <r>
          <rPr>
            <b/>
            <sz val="9"/>
            <color indexed="81"/>
            <rFont val="Tahoma"/>
            <family val="2"/>
          </rPr>
          <t>income recognized as receivable shall be deducted from the income account. However, receivable collected from the income recognized from the prior year shall be included in the inflows.:-)</t>
        </r>
      </text>
    </comment>
    <comment ref="N16" authorId="0">
      <text/>
    </comment>
    <comment ref="N22" authorId="0">
      <text>
        <r>
          <rPr>
            <b/>
            <sz val="9"/>
            <color indexed="81"/>
            <rFont val="Tahoma"/>
            <family val="2"/>
          </rPr>
          <t>SUPPLIES ADJUSTMENT SHALL NOT BE INCLUDED IN THE CF (gj)</t>
        </r>
      </text>
    </comment>
    <comment ref="N24" authorId="0">
      <text>
        <r>
          <rPr>
            <b/>
            <sz val="9"/>
            <color indexed="81"/>
            <rFont val="Tahoma"/>
            <family val="2"/>
          </rPr>
          <t>interest expense recognized as payable shall be deducted from 975 in preparing CF however the payment of payable shall be carried in the CF</t>
        </r>
      </text>
    </comment>
    <comment ref="N25" authorId="0">
      <text>
        <r>
          <rPr>
            <b/>
            <sz val="9"/>
            <color indexed="81"/>
            <rFont val="Tahoma"/>
            <family val="2"/>
          </rPr>
          <t>RECOGNITION OF EXPENSE IN THE SPECIFIC PREPAID PAYMENTS SHALL NOT INCLUDED (gj)
401 is included due to uncertainty as to specific breakdown.:-)</t>
        </r>
      </text>
    </comment>
    <comment ref="N30" authorId="0">
      <text>
        <r>
          <rPr>
            <b/>
            <sz val="9"/>
            <color indexed="81"/>
            <rFont val="Tahoma"/>
            <family val="2"/>
          </rPr>
          <t>only SALE OF PPE's credited to the specific account shall be included (sale must be ascertained)
CF accounting
PPE (net of accu. Depn.) + Gain on sale of PPE</t>
        </r>
      </text>
    </comment>
    <comment ref="N35" authorId="0">
      <text>
        <r>
          <rPr>
            <b/>
            <sz val="9"/>
            <color indexed="81"/>
            <rFont val="Tahoma"/>
            <family val="2"/>
          </rPr>
          <t xml:space="preserve">only  PURCHASE OF PPE's debited to the specific account shall be included (purchase must be ascertained) direct donation of PPEs are not included. HOWEVER, donations in the form of cash used to acquire assets shall be reflected in the CF. </t>
        </r>
      </text>
    </comment>
    <comment ref="N36" authorId="0">
      <text>
        <r>
          <rPr>
            <b/>
            <sz val="9"/>
            <color indexed="81"/>
            <rFont val="Tahoma"/>
            <family val="2"/>
          </rPr>
          <t>investment in stocks, marketable securities and sinking fund(maintained by third party) are included however though for the reason of having the same purpose as to acquisition</t>
        </r>
      </text>
    </comment>
  </commentList>
</comments>
</file>

<file path=xl/sharedStrings.xml><?xml version="1.0" encoding="utf-8"?>
<sst xmlns="http://schemas.openxmlformats.org/spreadsheetml/2006/main" count="93" uniqueCount="61">
  <si>
    <t>Republic of the Philippines</t>
  </si>
  <si>
    <t>PROVINCE OF AGUSAN DEL SUR</t>
  </si>
  <si>
    <t>Gov. Democrito O. Plaza Government Center, Prosperidad</t>
  </si>
  <si>
    <t>STATEMENT OF CASH FLOWS</t>
  </si>
  <si>
    <t xml:space="preserve"> </t>
  </si>
  <si>
    <t>as of</t>
  </si>
  <si>
    <t>for</t>
  </si>
  <si>
    <t>notes</t>
  </si>
  <si>
    <t>Cash Flows From Operating Activities</t>
  </si>
  <si>
    <t>Cash Inflows</t>
  </si>
  <si>
    <t>Share from Internal Revenue Allotment</t>
  </si>
  <si>
    <t xml:space="preserve">CR </t>
  </si>
  <si>
    <t>Collection from Taxpayers</t>
  </si>
  <si>
    <t>CR</t>
  </si>
  <si>
    <t xml:space="preserve"> 581-593, 598-599, 127-128, 129,</t>
  </si>
  <si>
    <t>Receipts from sale of goods and services</t>
  </si>
  <si>
    <t>611-624, 628, 629, 631-644, 648, 649, 666,</t>
  </si>
  <si>
    <t>Interest Income</t>
  </si>
  <si>
    <t>Dividend Income</t>
  </si>
  <si>
    <t>Other Receipts</t>
  </si>
  <si>
    <r>
      <t xml:space="preserve">601-603, 605, 606, 608-609, 662, 663, 667-671, 678, 679, 652, 656, 657, 121-123, 136-139, 144, 146, </t>
    </r>
    <r>
      <rPr>
        <sz val="11"/>
        <color rgb="FFFF0000"/>
        <rFont val="Calibri"/>
        <family val="2"/>
        <scheme val="minor"/>
      </rPr>
      <t xml:space="preserve">148, </t>
    </r>
    <r>
      <rPr>
        <sz val="11"/>
        <color theme="1"/>
        <rFont val="Calibri"/>
        <family val="2"/>
        <scheme val="minor"/>
      </rPr>
      <t>149, 413-418, 424, 426, 427, 439, 451, 452, 455</t>
    </r>
    <r>
      <rPr>
        <sz val="11"/>
        <color rgb="FFFF0000"/>
        <rFont val="Calibri"/>
        <family val="2"/>
        <scheme val="minor"/>
      </rPr>
      <t>, 403</t>
    </r>
  </si>
  <si>
    <t>Total Cash Inflows</t>
  </si>
  <si>
    <t>Cash Outflows</t>
  </si>
  <si>
    <t xml:space="preserve">Payments to - </t>
  </si>
  <si>
    <t>Suppliers/Creditors</t>
  </si>
  <si>
    <t>DR</t>
  </si>
  <si>
    <t>755-765, 151, 154, 155-165, 167-170, 176</t>
  </si>
  <si>
    <t>Employees</t>
  </si>
  <si>
    <t>Interest Expense</t>
  </si>
  <si>
    <t>975, 409</t>
  </si>
  <si>
    <t>Other Disbursements</t>
  </si>
  <si>
    <r>
      <t xml:space="preserve">751-754, 766-768, 771-775, 778-788, 791-797, 799, 802, 805, 811-815, 818-820, 821-823, 826-827, 829-836, 840-841, 848, 850, 851-857, 860-862, 871-878, 881-884, 891-893, 969, 971, 972, 974, 979, 177-182, 185, 186, 189, 401, 402, 412-418, 424, 426, 427, 429, 439, </t>
    </r>
    <r>
      <rPr>
        <sz val="11"/>
        <color rgb="FFFF0000"/>
        <rFont val="Calibri"/>
        <family val="2"/>
        <scheme val="minor"/>
      </rPr>
      <t>138, 139,149</t>
    </r>
  </si>
  <si>
    <t>Total Cash Outflows</t>
  </si>
  <si>
    <t>Cash Provided by (Used In)</t>
  </si>
  <si>
    <t>Cash Flows From Investing Activities</t>
  </si>
  <si>
    <t>Sale of Property, Plant and Equipment</t>
  </si>
  <si>
    <t>ALL PPEs disposed net of accu. Depn. Plus gainon sale</t>
  </si>
  <si>
    <t>Sale of Debt Securities of Other Entities</t>
  </si>
  <si>
    <t>Collection of Principal on Loans to Other Entities</t>
  </si>
  <si>
    <t>124-126</t>
  </si>
  <si>
    <t>Purchase of Property, Plant and Equipment and Public 
Infrastructures</t>
  </si>
  <si>
    <t>ALL PPEs</t>
  </si>
  <si>
    <t>Purchase of Debt Securities of the Other Entities</t>
  </si>
  <si>
    <t>191, 193, 192, 197, 198</t>
  </si>
  <si>
    <t>Grant/Loans to other Entities</t>
  </si>
  <si>
    <t xml:space="preserve">Cash Flows From Financing Activities </t>
  </si>
  <si>
    <t>Issuance of Debt Securities</t>
  </si>
  <si>
    <t>441-443</t>
  </si>
  <si>
    <t>Acquisition of Loan</t>
  </si>
  <si>
    <t>444-445, 450</t>
  </si>
  <si>
    <t>Retirement/Redemption of Debt Securities</t>
  </si>
  <si>
    <t xml:space="preserve">Payment of Loan Amortization </t>
  </si>
  <si>
    <t>Net Cash Provided By (Used in)</t>
  </si>
  <si>
    <t>Cash at the Beginning of the Period</t>
  </si>
  <si>
    <t>Cash at the End of the Period</t>
  </si>
  <si>
    <t>balance sheet balance</t>
  </si>
  <si>
    <t>Certified Correct:</t>
  </si>
  <si>
    <t>JOY D. LAGAT, CPA</t>
  </si>
  <si>
    <t>OIC- Provincial Accountant</t>
  </si>
  <si>
    <r>
      <t xml:space="preserve">701-707, 711-725, 731-734, 738-743, 749, 403, </t>
    </r>
    <r>
      <rPr>
        <sz val="11"/>
        <color rgb="FFFF0000"/>
        <rFont val="Calibri"/>
        <family val="2"/>
        <scheme val="minor"/>
      </rPr>
      <t>148, 149</t>
    </r>
  </si>
  <si>
    <t>For the Qaurter ended June 30, 2011</t>
  </si>
</sst>
</file>

<file path=xl/styles.xml><?xml version="1.0" encoding="utf-8"?>
<styleSheet xmlns="http://schemas.openxmlformats.org/spreadsheetml/2006/main">
  <numFmts count="1">
    <numFmt numFmtId="43" formatCode="_(* #,##0.00_);_(* \(#,##0.00\);_(* &quot;-&quot;??_);_(@_)"/>
  </numFmts>
  <fonts count="10">
    <font>
      <sz val="11"/>
      <color theme="1"/>
      <name val="Calibri"/>
      <family val="2"/>
      <scheme val="minor"/>
    </font>
    <font>
      <sz val="11"/>
      <color theme="1"/>
      <name val="Calibri"/>
      <family val="2"/>
      <scheme val="minor"/>
    </font>
    <font>
      <sz val="11"/>
      <color rgb="FFFF0000"/>
      <name val="Calibri"/>
      <family val="2"/>
      <scheme val="minor"/>
    </font>
    <font>
      <sz val="10"/>
      <name val="Arial"/>
      <family val="2"/>
    </font>
    <font>
      <sz val="9"/>
      <name val="Arial"/>
      <family val="2"/>
    </font>
    <font>
      <b/>
      <sz val="9"/>
      <name val="Arial"/>
      <family val="2"/>
    </font>
    <font>
      <b/>
      <sz val="9"/>
      <color indexed="81"/>
      <name val="Tahoma"/>
      <family val="2"/>
    </font>
    <font>
      <sz val="11"/>
      <color indexed="8"/>
      <name val="Calibri"/>
      <family val="2"/>
    </font>
    <font>
      <u val="doubleAccounting"/>
      <sz val="11"/>
      <color theme="1"/>
      <name val="Calibri"/>
      <family val="2"/>
      <scheme val="minor"/>
    </font>
    <font>
      <u val="singleAccounting"/>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9">
    <xf numFmtId="0" fontId="0" fillId="0" borderId="0"/>
    <xf numFmtId="43" fontId="3" fillId="0" borderId="0" applyFont="0" applyFill="0" applyBorder="0" applyAlignment="0" applyProtection="0"/>
    <xf numFmtId="0" fontId="1" fillId="0" borderId="0"/>
    <xf numFmtId="43" fontId="3" fillId="0" borderId="0" applyFont="0" applyFill="0" applyBorder="0" applyAlignment="0" applyProtection="0"/>
    <xf numFmtId="0" fontId="3" fillId="0" borderId="0"/>
    <xf numFmtId="0" fontId="1" fillId="0" borderId="0"/>
    <xf numFmtId="0" fontId="7" fillId="0" borderId="0"/>
    <xf numFmtId="0" fontId="3" fillId="0" borderId="0"/>
    <xf numFmtId="0" fontId="3" fillId="0" borderId="0"/>
  </cellStyleXfs>
  <cellXfs count="42">
    <xf numFmtId="0" fontId="0" fillId="0" borderId="0" xfId="0"/>
    <xf numFmtId="43" fontId="4" fillId="0" borderId="0" xfId="1" applyFont="1" applyFill="1" applyAlignment="1">
      <alignment horizontal="centerContinuous" vertical="center"/>
    </xf>
    <xf numFmtId="0" fontId="1" fillId="0" borderId="0" xfId="2"/>
    <xf numFmtId="0" fontId="1" fillId="0" borderId="0" xfId="2" applyNumberFormat="1"/>
    <xf numFmtId="43" fontId="5" fillId="0" borderId="0" xfId="1" applyFont="1" applyFill="1" applyAlignment="1">
      <alignment horizontal="centerContinuous" vertical="center"/>
    </xf>
    <xf numFmtId="43" fontId="4" fillId="0" borderId="0" xfId="1" applyFont="1" applyFill="1" applyAlignment="1">
      <alignment horizontal="center" vertical="center"/>
    </xf>
    <xf numFmtId="43" fontId="5" fillId="0" borderId="0" xfId="1" applyFont="1" applyFill="1" applyAlignment="1">
      <alignment horizontal="center" vertical="center"/>
    </xf>
    <xf numFmtId="17" fontId="5" fillId="0" borderId="0" xfId="1" applyNumberFormat="1" applyFont="1" applyFill="1" applyAlignment="1">
      <alignment horizontal="center" vertical="center"/>
    </xf>
    <xf numFmtId="0" fontId="1" fillId="0" borderId="1" xfId="2" applyBorder="1"/>
    <xf numFmtId="43" fontId="1" fillId="0" borderId="1" xfId="1" applyFont="1" applyBorder="1"/>
    <xf numFmtId="0" fontId="1" fillId="0" borderId="0" xfId="2" applyNumberFormat="1" applyFont="1"/>
    <xf numFmtId="0" fontId="1" fillId="0" borderId="0" xfId="2" applyNumberFormat="1" applyAlignment="1">
      <alignment horizontal="left"/>
    </xf>
    <xf numFmtId="43" fontId="1" fillId="0" borderId="2" xfId="1" applyFont="1" applyBorder="1"/>
    <xf numFmtId="0" fontId="1" fillId="0" borderId="0" xfId="2" applyNumberFormat="1" applyAlignment="1"/>
    <xf numFmtId="0" fontId="1" fillId="0" borderId="0" xfId="2" applyNumberFormat="1" applyFont="1" applyAlignment="1"/>
    <xf numFmtId="0" fontId="1" fillId="0" borderId="0" xfId="2" applyFont="1"/>
    <xf numFmtId="0" fontId="1" fillId="0" borderId="0" xfId="2" applyAlignment="1"/>
    <xf numFmtId="43" fontId="1" fillId="0" borderId="3" xfId="1" applyFont="1" applyBorder="1"/>
    <xf numFmtId="43" fontId="1" fillId="0" borderId="0" xfId="1" applyFont="1"/>
    <xf numFmtId="43" fontId="1" fillId="0" borderId="0" xfId="2" applyNumberFormat="1"/>
    <xf numFmtId="43" fontId="3" fillId="0" borderId="0" xfId="1" applyFont="1" applyFill="1" applyAlignment="1">
      <alignment horizontal="left" vertical="center"/>
    </xf>
    <xf numFmtId="43" fontId="5" fillId="0" borderId="0" xfId="1" applyFont="1" applyFill="1" applyAlignment="1">
      <alignment horizontal="left"/>
    </xf>
    <xf numFmtId="43" fontId="4" fillId="0" borderId="0" xfId="1" applyFont="1" applyFill="1" applyAlignment="1">
      <alignment horizontal="left"/>
    </xf>
    <xf numFmtId="43" fontId="4" fillId="0" borderId="0" xfId="1" applyFont="1" applyFill="1" applyAlignment="1">
      <alignment horizontal="center" vertical="center"/>
    </xf>
    <xf numFmtId="43" fontId="5" fillId="0" borderId="0" xfId="1" applyFont="1" applyFill="1" applyAlignment="1">
      <alignment horizontal="center" vertical="center"/>
    </xf>
    <xf numFmtId="43" fontId="4" fillId="0" borderId="0" xfId="1" applyFont="1" applyFill="1" applyAlignment="1">
      <alignment horizontal="center" vertical="center"/>
    </xf>
    <xf numFmtId="43" fontId="5" fillId="0" borderId="0" xfId="1" applyFont="1" applyFill="1" applyAlignment="1">
      <alignment horizontal="center" vertical="center"/>
    </xf>
    <xf numFmtId="43" fontId="4" fillId="0" borderId="0" xfId="1" applyFont="1" applyFill="1" applyAlignment="1">
      <alignment horizontal="center" vertical="center"/>
    </xf>
    <xf numFmtId="43" fontId="5" fillId="0" borderId="0" xfId="1" applyFont="1" applyFill="1" applyAlignment="1">
      <alignment horizontal="center" vertical="center"/>
    </xf>
    <xf numFmtId="43" fontId="8" fillId="0" borderId="1" xfId="1" applyFont="1" applyBorder="1"/>
    <xf numFmtId="43" fontId="9" fillId="0" borderId="1" xfId="1" applyFont="1" applyBorder="1"/>
    <xf numFmtId="0" fontId="0" fillId="0" borderId="0" xfId="2" applyNumberFormat="1" applyFont="1" applyAlignment="1"/>
    <xf numFmtId="0" fontId="1" fillId="0" borderId="4" xfId="2" applyBorder="1"/>
    <xf numFmtId="43" fontId="1" fillId="0" borderId="5" xfId="1" applyFont="1" applyBorder="1"/>
    <xf numFmtId="43" fontId="9" fillId="0" borderId="5" xfId="1" applyFont="1" applyBorder="1"/>
    <xf numFmtId="43" fontId="1" fillId="0" borderId="6" xfId="1" applyFont="1" applyBorder="1"/>
    <xf numFmtId="0" fontId="1" fillId="0" borderId="7" xfId="2" applyBorder="1"/>
    <xf numFmtId="0" fontId="1" fillId="0" borderId="2" xfId="2" applyBorder="1"/>
    <xf numFmtId="0" fontId="1" fillId="0" borderId="5" xfId="2" applyBorder="1"/>
    <xf numFmtId="43" fontId="4" fillId="0" borderId="0" xfId="1" applyFont="1" applyFill="1" applyAlignment="1">
      <alignment horizontal="center" vertical="center"/>
    </xf>
    <xf numFmtId="43" fontId="5" fillId="0" borderId="0" xfId="1" applyFont="1" applyFill="1" applyAlignment="1">
      <alignment horizontal="center" vertical="center"/>
    </xf>
    <xf numFmtId="0" fontId="1" fillId="0" borderId="1" xfId="2" applyBorder="1" applyAlignment="1">
      <alignment horizontal="left" wrapText="1"/>
    </xf>
  </cellXfs>
  <cellStyles count="9">
    <cellStyle name="Comma 2" xfId="3"/>
    <cellStyle name="Comma 2 2" xfId="1"/>
    <cellStyle name="Normal" xfId="0" builtinId="0"/>
    <cellStyle name="Normal 2" xfId="2"/>
    <cellStyle name="Normal 2 2" xfId="4"/>
    <cellStyle name="Normal 2 2 2" xfId="5"/>
    <cellStyle name="Normal 2 2_GAFMIS-20%_march2010" xfId="6"/>
    <cellStyle name="Normal 2_GAFMIS-20%_march2010" xfId="7"/>
    <cellStyle name="Normal 3" xfId="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CCO/TF%202011/for%20cashflow/report/for%20CashFlowMarch%20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CCO/TF%202011/for%20cashflow/report/for%20CashFlowFebruary%20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B"/>
      <sheetName val="CASH FLOWS"/>
      <sheetName val="Comparative BS"/>
      <sheetName val="BS"/>
      <sheetName val="SIE"/>
      <sheetName val="SGE"/>
      <sheetName val="Cash flow"/>
      <sheetName val="Cashflow-COA"/>
      <sheetName val="RRR"/>
      <sheetName val="worksheet"/>
      <sheetName val="schedule"/>
    </sheetNames>
    <sheetDataSet>
      <sheetData sheetId="0">
        <row r="38">
          <cell r="L38">
            <v>30000</v>
          </cell>
          <cell r="M38">
            <v>30000</v>
          </cell>
        </row>
        <row r="41">
          <cell r="L41">
            <v>100000</v>
          </cell>
          <cell r="M41">
            <v>7786.68</v>
          </cell>
        </row>
        <row r="51">
          <cell r="L51">
            <v>217469.43</v>
          </cell>
        </row>
        <row r="53">
          <cell r="L53">
            <v>1090285.72</v>
          </cell>
        </row>
        <row r="68">
          <cell r="L68">
            <v>840000</v>
          </cell>
        </row>
        <row r="107">
          <cell r="L107">
            <v>42739.199999999997</v>
          </cell>
        </row>
        <row r="175">
          <cell r="M175">
            <v>10</v>
          </cell>
        </row>
        <row r="177">
          <cell r="L177">
            <v>670930.57000000007</v>
          </cell>
        </row>
        <row r="179">
          <cell r="L179">
            <v>1900</v>
          </cell>
        </row>
        <row r="180">
          <cell r="L180">
            <v>375</v>
          </cell>
        </row>
        <row r="181">
          <cell r="L181">
            <v>1818051.41</v>
          </cell>
          <cell r="M181">
            <v>2580626.17</v>
          </cell>
        </row>
        <row r="183">
          <cell r="L183">
            <v>116690.65</v>
          </cell>
        </row>
        <row r="184">
          <cell r="L184">
            <v>80400</v>
          </cell>
          <cell r="M184">
            <v>80400</v>
          </cell>
        </row>
        <row r="185">
          <cell r="L185">
            <v>91227.35</v>
          </cell>
        </row>
        <row r="189">
          <cell r="L189">
            <v>1247638.69</v>
          </cell>
          <cell r="M189">
            <v>4687696.75</v>
          </cell>
        </row>
        <row r="267">
          <cell r="M267">
            <v>9107.2199999999993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B"/>
      <sheetName val="CASH FLOWS"/>
      <sheetName val="Comparative BS"/>
      <sheetName val="BS"/>
      <sheetName val="SIE"/>
      <sheetName val="SGE"/>
      <sheetName val="Cash flow"/>
      <sheetName val="Cashflow-COA"/>
      <sheetName val="RRR"/>
      <sheetName val="worksheet"/>
      <sheetName val="schedule"/>
    </sheetNames>
    <sheetDataSet>
      <sheetData sheetId="0">
        <row r="41">
          <cell r="L41">
            <v>9340</v>
          </cell>
          <cell r="M41">
            <v>1301.5</v>
          </cell>
        </row>
        <row r="51">
          <cell r="L51">
            <v>1394713.77</v>
          </cell>
        </row>
        <row r="107">
          <cell r="L107">
            <v>2698.88</v>
          </cell>
        </row>
        <row r="141">
          <cell r="L141">
            <v>144000</v>
          </cell>
        </row>
        <row r="162">
          <cell r="L162">
            <v>581355.43999999994</v>
          </cell>
        </row>
        <row r="177">
          <cell r="L177">
            <v>199660.83</v>
          </cell>
        </row>
        <row r="178">
          <cell r="L178">
            <v>6857.18</v>
          </cell>
        </row>
        <row r="179">
          <cell r="L179">
            <v>16267.87</v>
          </cell>
        </row>
        <row r="180">
          <cell r="L180">
            <v>300</v>
          </cell>
        </row>
        <row r="181">
          <cell r="L181">
            <v>11085928.609999999</v>
          </cell>
          <cell r="M181">
            <v>2856231.09</v>
          </cell>
        </row>
        <row r="183">
          <cell r="L183">
            <v>0</v>
          </cell>
        </row>
        <row r="185">
          <cell r="L185">
            <v>183600.37</v>
          </cell>
        </row>
        <row r="186">
          <cell r="L186">
            <v>24200</v>
          </cell>
        </row>
        <row r="189">
          <cell r="L189">
            <v>3055348.4299999997</v>
          </cell>
          <cell r="M189">
            <v>5459931.2300000004</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S64"/>
  <sheetViews>
    <sheetView tabSelected="1" workbookViewId="0">
      <selection activeCell="A8" sqref="A8:E8"/>
    </sheetView>
  </sheetViews>
  <sheetFormatPr defaultRowHeight="15"/>
  <cols>
    <col min="1" max="1" width="3.28515625" style="2" customWidth="1"/>
    <col min="2" max="2" width="3.140625" style="2" customWidth="1"/>
    <col min="3" max="3" width="2.85546875" style="2" customWidth="1"/>
    <col min="4" max="4" width="56.42578125" style="2" customWidth="1"/>
    <col min="5" max="5" width="15.28515625" style="2" bestFit="1" customWidth="1"/>
    <col min="6" max="10" width="15.28515625" style="2" hidden="1" customWidth="1"/>
    <col min="11" max="12" width="15.28515625" style="2" customWidth="1"/>
    <col min="13" max="13" width="3.42578125" style="2" customWidth="1"/>
    <col min="14" max="14" width="27.140625" style="3" customWidth="1"/>
    <col min="15" max="16384" width="9.140625" style="2"/>
  </cols>
  <sheetData>
    <row r="1" spans="1:16">
      <c r="A1" s="39" t="s">
        <v>0</v>
      </c>
      <c r="B1" s="39"/>
      <c r="C1" s="39"/>
      <c r="D1" s="39"/>
      <c r="E1" s="39"/>
      <c r="F1" s="1"/>
      <c r="G1" s="1"/>
      <c r="H1" s="1"/>
      <c r="I1" s="1"/>
      <c r="J1" s="1"/>
      <c r="K1" s="1"/>
      <c r="L1" s="1"/>
    </row>
    <row r="2" spans="1:16">
      <c r="A2" s="40" t="s">
        <v>1</v>
      </c>
      <c r="B2" s="40"/>
      <c r="C2" s="40"/>
      <c r="D2" s="40"/>
      <c r="E2" s="40"/>
      <c r="F2" s="4"/>
      <c r="G2" s="4"/>
      <c r="H2" s="4"/>
      <c r="I2" s="4"/>
      <c r="J2" s="4"/>
      <c r="K2" s="4"/>
      <c r="L2" s="4"/>
    </row>
    <row r="3" spans="1:16">
      <c r="A3" s="39" t="s">
        <v>2</v>
      </c>
      <c r="B3" s="39"/>
      <c r="C3" s="39"/>
      <c r="D3" s="39"/>
      <c r="E3" s="39"/>
      <c r="F3" s="1"/>
      <c r="G3" s="1"/>
      <c r="H3" s="1"/>
      <c r="I3" s="1"/>
      <c r="J3" s="1"/>
      <c r="K3" s="1"/>
      <c r="L3" s="1"/>
    </row>
    <row r="4" spans="1:16">
      <c r="A4" s="39"/>
      <c r="B4" s="39"/>
      <c r="C4" s="39"/>
      <c r="D4" s="39"/>
      <c r="E4" s="39"/>
      <c r="F4" s="5"/>
      <c r="G4" s="5"/>
      <c r="H4" s="5"/>
      <c r="I4" s="5"/>
      <c r="J4" s="23"/>
      <c r="K4" s="25"/>
      <c r="L4" s="27"/>
    </row>
    <row r="5" spans="1:16">
      <c r="A5" s="39"/>
      <c r="B5" s="39"/>
      <c r="C5" s="39"/>
      <c r="D5" s="39"/>
      <c r="E5" s="39"/>
      <c r="F5" s="6"/>
      <c r="G5" s="6"/>
      <c r="H5" s="6"/>
      <c r="I5" s="6"/>
      <c r="J5" s="24"/>
      <c r="K5" s="26"/>
      <c r="L5" s="28"/>
    </row>
    <row r="6" spans="1:16">
      <c r="A6" s="40" t="s">
        <v>3</v>
      </c>
      <c r="B6" s="40"/>
      <c r="C6" s="40"/>
      <c r="D6" s="40"/>
      <c r="E6" s="40"/>
      <c r="F6" s="4"/>
      <c r="G6" s="4"/>
      <c r="H6" s="4"/>
      <c r="I6" s="4"/>
      <c r="J6" s="4"/>
      <c r="K6" s="4"/>
      <c r="L6" s="4"/>
    </row>
    <row r="7" spans="1:16">
      <c r="A7" s="39" t="s">
        <v>60</v>
      </c>
      <c r="B7" s="39"/>
      <c r="C7" s="39"/>
      <c r="D7" s="39"/>
      <c r="E7" s="39"/>
      <c r="F7" s="1"/>
      <c r="G7" s="1"/>
      <c r="H7" s="1"/>
      <c r="I7" s="1"/>
      <c r="J7" s="1"/>
      <c r="K7" s="1"/>
      <c r="L7" s="1"/>
    </row>
    <row r="8" spans="1:16">
      <c r="A8" s="39"/>
      <c r="B8" s="40"/>
      <c r="C8" s="40"/>
      <c r="D8" s="40"/>
      <c r="E8" s="40"/>
      <c r="F8" s="6"/>
      <c r="G8" s="6"/>
      <c r="H8" s="6"/>
      <c r="I8" s="6"/>
      <c r="J8" s="24"/>
      <c r="K8" s="26"/>
      <c r="L8" s="28"/>
      <c r="P8" s="2" t="s">
        <v>4</v>
      </c>
    </row>
    <row r="9" spans="1:16">
      <c r="A9" s="39"/>
      <c r="B9" s="40"/>
      <c r="C9" s="40"/>
      <c r="D9" s="40"/>
      <c r="E9" s="40"/>
      <c r="F9" s="6" t="s">
        <v>5</v>
      </c>
      <c r="G9" s="6" t="s">
        <v>6</v>
      </c>
      <c r="H9" s="6" t="s">
        <v>6</v>
      </c>
      <c r="I9" s="6" t="s">
        <v>6</v>
      </c>
      <c r="J9" s="24" t="s">
        <v>6</v>
      </c>
      <c r="K9" s="26" t="s">
        <v>6</v>
      </c>
      <c r="L9" s="28" t="s">
        <v>6</v>
      </c>
    </row>
    <row r="10" spans="1:16">
      <c r="A10" s="39"/>
      <c r="B10" s="40"/>
      <c r="C10" s="40"/>
      <c r="D10" s="40"/>
      <c r="E10" s="40"/>
      <c r="F10" s="7">
        <v>40513</v>
      </c>
      <c r="G10" s="7">
        <v>40544</v>
      </c>
      <c r="H10" s="7">
        <v>40575</v>
      </c>
      <c r="I10" s="7">
        <v>40603</v>
      </c>
      <c r="J10" s="7">
        <v>40634</v>
      </c>
      <c r="K10" s="7">
        <v>40664</v>
      </c>
      <c r="L10" s="7">
        <v>40695</v>
      </c>
      <c r="M10" s="2" t="s">
        <v>7</v>
      </c>
    </row>
    <row r="11" spans="1:16">
      <c r="A11" s="8" t="s">
        <v>8</v>
      </c>
      <c r="B11" s="8"/>
      <c r="C11" s="8"/>
      <c r="D11" s="8"/>
      <c r="E11" s="38"/>
      <c r="F11" s="8"/>
      <c r="G11" s="8"/>
      <c r="H11" s="8"/>
      <c r="I11" s="8"/>
      <c r="J11" s="8"/>
      <c r="K11" s="8"/>
      <c r="L11" s="8"/>
    </row>
    <row r="12" spans="1:16">
      <c r="A12" s="8"/>
      <c r="B12" s="8" t="s">
        <v>9</v>
      </c>
      <c r="C12" s="8"/>
      <c r="D12" s="8"/>
      <c r="E12" s="33"/>
      <c r="F12" s="9"/>
      <c r="G12" s="9"/>
      <c r="H12" s="9"/>
      <c r="I12" s="9"/>
      <c r="J12" s="9"/>
      <c r="K12" s="9"/>
      <c r="L12" s="9"/>
    </row>
    <row r="13" spans="1:16" hidden="1">
      <c r="A13" s="8"/>
      <c r="B13" s="8"/>
      <c r="C13" s="8" t="s">
        <v>10</v>
      </c>
      <c r="D13" s="8"/>
      <c r="E13" s="33"/>
      <c r="F13" s="9"/>
      <c r="G13" s="9"/>
      <c r="H13" s="9"/>
      <c r="I13" s="9"/>
      <c r="J13" s="9"/>
      <c r="K13" s="9"/>
      <c r="L13" s="9"/>
      <c r="M13" s="2" t="s">
        <v>11</v>
      </c>
      <c r="N13" s="3">
        <v>665</v>
      </c>
    </row>
    <row r="14" spans="1:16" hidden="1">
      <c r="A14" s="8"/>
      <c r="B14" s="8"/>
      <c r="C14" s="8" t="s">
        <v>12</v>
      </c>
      <c r="D14" s="8"/>
      <c r="E14" s="33"/>
      <c r="F14" s="9"/>
      <c r="G14" s="9"/>
      <c r="H14" s="9"/>
      <c r="I14" s="9"/>
      <c r="J14" s="9"/>
      <c r="K14" s="9"/>
      <c r="L14" s="9"/>
      <c r="M14" s="2" t="s">
        <v>13</v>
      </c>
      <c r="N14" s="10" t="s">
        <v>14</v>
      </c>
    </row>
    <row r="15" spans="1:16" hidden="1">
      <c r="A15" s="8"/>
      <c r="B15" s="8"/>
      <c r="C15" s="8" t="s">
        <v>15</v>
      </c>
      <c r="D15" s="8"/>
      <c r="E15" s="33"/>
      <c r="F15" s="9"/>
      <c r="G15" s="9"/>
      <c r="H15" s="9"/>
      <c r="I15" s="9"/>
      <c r="J15" s="9"/>
      <c r="K15" s="9"/>
      <c r="L15" s="9"/>
      <c r="M15" s="2" t="s">
        <v>13</v>
      </c>
      <c r="N15" s="3" t="s">
        <v>16</v>
      </c>
    </row>
    <row r="16" spans="1:16">
      <c r="A16" s="8"/>
      <c r="B16" s="8"/>
      <c r="C16" s="8" t="s">
        <v>17</v>
      </c>
      <c r="D16" s="8"/>
      <c r="E16" s="33">
        <f>F16+G16+H16+I16+J16+K16+L16</f>
        <v>321416.56999999995</v>
      </c>
      <c r="F16" s="9">
        <v>171088.46</v>
      </c>
      <c r="G16" s="9"/>
      <c r="H16" s="9"/>
      <c r="I16" s="9">
        <f>[1]TB!M267</f>
        <v>9107.2199999999993</v>
      </c>
      <c r="J16" s="9">
        <v>140541.54</v>
      </c>
      <c r="K16" s="9"/>
      <c r="L16" s="9">
        <v>679.35</v>
      </c>
      <c r="M16" s="2" t="s">
        <v>13</v>
      </c>
      <c r="N16" s="11">
        <v>664</v>
      </c>
    </row>
    <row r="17" spans="1:19" hidden="1">
      <c r="A17" s="8"/>
      <c r="B17" s="8"/>
      <c r="C17" s="8" t="s">
        <v>18</v>
      </c>
      <c r="D17" s="8"/>
      <c r="E17" s="33">
        <f t="shared" ref="E17" si="0">F17+G17+H17+I17+J17</f>
        <v>0</v>
      </c>
      <c r="F17" s="9"/>
      <c r="G17" s="9"/>
      <c r="H17" s="9"/>
      <c r="I17" s="9"/>
      <c r="J17" s="9"/>
      <c r="K17" s="9"/>
      <c r="L17" s="9"/>
      <c r="M17" s="2" t="s">
        <v>13</v>
      </c>
      <c r="N17" s="3">
        <v>661</v>
      </c>
    </row>
    <row r="18" spans="1:19" ht="17.25">
      <c r="A18" s="8"/>
      <c r="B18" s="8"/>
      <c r="C18" s="8" t="s">
        <v>19</v>
      </c>
      <c r="D18" s="8"/>
      <c r="E18" s="33">
        <f>F18+G18+H18+I18+J18+K18+L18</f>
        <v>260600898.72</v>
      </c>
      <c r="F18" s="30">
        <v>199669444.88000003</v>
      </c>
      <c r="G18" s="30">
        <v>24146553.159999996</v>
      </c>
      <c r="H18" s="30">
        <f>[2]TB!M41+[2]TB!M181+[2]TB!M189</f>
        <v>8317463.8200000003</v>
      </c>
      <c r="I18" s="30">
        <f>[1]TB!M38+[1]TB!M41+[1]TB!M175+[1]TB!M181+[1]TB!M184+[1]TB!M189</f>
        <v>7386519.5999999996</v>
      </c>
      <c r="J18" s="30">
        <f>6871.11+0.05+118098.45+10383.02+4358335.32+1000</f>
        <v>4494687.95</v>
      </c>
      <c r="K18" s="30">
        <f>27476.48+2784521.97+21590+4636260.98</f>
        <v>7469849.4300000006</v>
      </c>
      <c r="L18" s="30">
        <f>16+0.01+4533355.85+68160+58210+4456638.02</f>
        <v>9116379.879999999</v>
      </c>
      <c r="M18" s="2" t="s">
        <v>11</v>
      </c>
      <c r="N18" s="10" t="s">
        <v>20</v>
      </c>
    </row>
    <row r="19" spans="1:19" ht="17.25">
      <c r="A19" s="8"/>
      <c r="B19" s="8"/>
      <c r="C19" s="8" t="s">
        <v>21</v>
      </c>
      <c r="D19" s="8"/>
      <c r="E19" s="34">
        <f>E18+E16</f>
        <v>260922315.28999999</v>
      </c>
      <c r="F19" s="30">
        <v>199840533.34000003</v>
      </c>
      <c r="G19" s="30">
        <v>24146553.159999996</v>
      </c>
      <c r="H19" s="30">
        <f>H18+H16</f>
        <v>8317463.8200000003</v>
      </c>
      <c r="I19" s="30">
        <f>I18+I16</f>
        <v>7395626.8199999994</v>
      </c>
      <c r="J19" s="30">
        <f>SUM(J16:J18)</f>
        <v>4635229.49</v>
      </c>
      <c r="K19" s="30">
        <f>SUM(K16:K18)</f>
        <v>7469849.4300000006</v>
      </c>
      <c r="L19" s="30">
        <f>SUM(L16:L18)</f>
        <v>9117059.2299999986</v>
      </c>
    </row>
    <row r="20" spans="1:19">
      <c r="A20" s="8"/>
      <c r="B20" s="8" t="s">
        <v>22</v>
      </c>
      <c r="C20" s="8"/>
      <c r="D20" s="8"/>
      <c r="E20" s="35"/>
      <c r="F20" s="12"/>
      <c r="G20" s="12"/>
      <c r="H20" s="12"/>
      <c r="I20" s="12"/>
      <c r="J20" s="12"/>
      <c r="K20" s="12"/>
      <c r="L20" s="12"/>
    </row>
    <row r="21" spans="1:19">
      <c r="A21" s="8"/>
      <c r="B21" s="8"/>
      <c r="C21" s="36" t="s">
        <v>23</v>
      </c>
      <c r="D21" s="36"/>
      <c r="E21" s="33"/>
      <c r="F21" s="9"/>
      <c r="G21" s="9"/>
      <c r="H21" s="9"/>
      <c r="I21" s="9"/>
      <c r="J21" s="9"/>
      <c r="K21" s="9"/>
      <c r="L21" s="9"/>
    </row>
    <row r="22" spans="1:19">
      <c r="A22" s="8"/>
      <c r="B22" s="8"/>
      <c r="C22" s="32"/>
      <c r="D22" s="38" t="s">
        <v>24</v>
      </c>
      <c r="E22" s="33">
        <f>F22+G22+H22+I22+J22+K22+L22</f>
        <v>13728783.749999998</v>
      </c>
      <c r="F22" s="9">
        <v>5041872.28</v>
      </c>
      <c r="G22" s="9">
        <v>2193245.98</v>
      </c>
      <c r="H22" s="9">
        <f>[2]TB!L51</f>
        <v>1394713.77</v>
      </c>
      <c r="I22" s="9">
        <f>[1]TB!L51+[1]TB!L53</f>
        <v>1307755.1499999999</v>
      </c>
      <c r="J22" s="9">
        <v>1754872.02</v>
      </c>
      <c r="K22" s="9">
        <f>94035.46+843078.57</f>
        <v>937114.02999999991</v>
      </c>
      <c r="L22" s="9">
        <f>516210.52+583000</f>
        <v>1099210.52</v>
      </c>
      <c r="M22" s="2" t="s">
        <v>25</v>
      </c>
      <c r="N22" s="13" t="s">
        <v>26</v>
      </c>
    </row>
    <row r="23" spans="1:19">
      <c r="A23" s="8"/>
      <c r="B23" s="8"/>
      <c r="C23" s="32"/>
      <c r="D23" s="38" t="s">
        <v>27</v>
      </c>
      <c r="E23" s="33">
        <f>F23+G23+H23+I23+J23+K23+L23</f>
        <v>13692142.660000015</v>
      </c>
      <c r="F23" s="9">
        <v>12196931.740000015</v>
      </c>
      <c r="G23" s="9">
        <v>758250.92</v>
      </c>
      <c r="H23" s="9">
        <f>[2]TB!L41</f>
        <v>9340</v>
      </c>
      <c r="I23" s="9">
        <f>[1]TB!L41</f>
        <v>100000</v>
      </c>
      <c r="J23" s="9"/>
      <c r="K23" s="9">
        <v>400000</v>
      </c>
      <c r="L23" s="9">
        <f>194920+30000+2700</f>
        <v>227620</v>
      </c>
      <c r="M23" s="2" t="s">
        <v>25</v>
      </c>
      <c r="N23" s="31" t="s">
        <v>59</v>
      </c>
      <c r="S23" s="15"/>
    </row>
    <row r="24" spans="1:19" hidden="1">
      <c r="A24" s="8"/>
      <c r="B24" s="8"/>
      <c r="C24" s="37" t="s">
        <v>28</v>
      </c>
      <c r="D24" s="37"/>
      <c r="E24" s="33">
        <f t="shared" ref="E24" si="1">F24+G24+H24+I24+J24+K24</f>
        <v>0</v>
      </c>
      <c r="F24" s="9"/>
      <c r="G24" s="9"/>
      <c r="H24" s="9"/>
      <c r="I24" s="9"/>
      <c r="J24" s="9"/>
      <c r="K24" s="9"/>
      <c r="L24" s="9"/>
      <c r="M24" s="2" t="s">
        <v>25</v>
      </c>
      <c r="N24" s="13" t="s">
        <v>29</v>
      </c>
    </row>
    <row r="25" spans="1:19">
      <c r="A25" s="8"/>
      <c r="B25" s="8"/>
      <c r="C25" s="8" t="s">
        <v>30</v>
      </c>
      <c r="D25" s="8"/>
      <c r="E25" s="33">
        <f>F25+G25+H25+I25+J25+K25+L25</f>
        <v>159835632.24999994</v>
      </c>
      <c r="F25" s="9">
        <v>117591650.37</v>
      </c>
      <c r="G25" s="9">
        <v>6803305.5700000003</v>
      </c>
      <c r="H25" s="9">
        <f>[2]TB!L177+[2]TB!L178+[2]TB!L179+[2]TB!L180+[2]TB!L181+[2]TB!L183+[2]TB!L185+[2]TB!L186+[2]TB!L189</f>
        <v>14572163.289999999</v>
      </c>
      <c r="I25" s="9">
        <f>[1]TB!L38+[1]TB!L68+SUM([1]TB!L177:L183)+[1]TB!L184+[1]TB!L185+[1]TB!L189</f>
        <v>4897213.67</v>
      </c>
      <c r="J25" s="9">
        <f>311516.77+676798.1+10383.02+3159815.09</f>
        <v>4158512.98</v>
      </c>
      <c r="K25" s="9">
        <f>170674.86+3030788.92+1281451.08</f>
        <v>4482914.8599999994</v>
      </c>
      <c r="L25" s="9">
        <f>4722828.96+78160+938674.17+34489.13+1555719.25</f>
        <v>7329871.5099999998</v>
      </c>
      <c r="M25" s="2" t="s">
        <v>25</v>
      </c>
      <c r="N25" s="14" t="s">
        <v>31</v>
      </c>
    </row>
    <row r="26" spans="1:19" ht="17.25">
      <c r="A26" s="8"/>
      <c r="B26" s="8"/>
      <c r="C26" s="8" t="s">
        <v>32</v>
      </c>
      <c r="D26" s="8"/>
      <c r="E26" s="34">
        <f>SUM(E22:E25)</f>
        <v>187256558.65999997</v>
      </c>
      <c r="F26" s="30">
        <v>134830454.39000002</v>
      </c>
      <c r="G26" s="30">
        <v>9754802.4700000007</v>
      </c>
      <c r="H26" s="30">
        <f>SUM(H22:H25)</f>
        <v>15976217.059999999</v>
      </c>
      <c r="I26" s="30">
        <f>SUM(I22:I25)</f>
        <v>6304968.8200000003</v>
      </c>
      <c r="J26" s="30">
        <f>SUM(J22:J25)</f>
        <v>5913385</v>
      </c>
      <c r="K26" s="30">
        <f>SUM(K22:K25)</f>
        <v>5820028.8899999987</v>
      </c>
      <c r="L26" s="30">
        <f>SUM(L22:L25)</f>
        <v>8656702.0299999993</v>
      </c>
    </row>
    <row r="27" spans="1:19" ht="17.25">
      <c r="A27" s="8"/>
      <c r="B27" s="8" t="s">
        <v>33</v>
      </c>
      <c r="C27" s="8"/>
      <c r="D27" s="8"/>
      <c r="E27" s="34">
        <f>E19-E26</f>
        <v>73665756.630000025</v>
      </c>
      <c r="F27" s="30">
        <v>65010078.950000018</v>
      </c>
      <c r="G27" s="30">
        <v>14391750.689999996</v>
      </c>
      <c r="H27" s="30">
        <f>H19-H26</f>
        <v>-7658753.2399999984</v>
      </c>
      <c r="I27" s="30">
        <f>I19-I26</f>
        <v>1090657.9999999991</v>
      </c>
      <c r="J27" s="30">
        <f>J19-J26</f>
        <v>-1278155.5099999998</v>
      </c>
      <c r="K27" s="30">
        <f>K19-K26</f>
        <v>1649820.5400000019</v>
      </c>
      <c r="L27" s="30">
        <f>L19-L26</f>
        <v>460357.19999999925</v>
      </c>
    </row>
    <row r="28" spans="1:19">
      <c r="A28" s="8" t="s">
        <v>34</v>
      </c>
      <c r="B28" s="37"/>
      <c r="C28" s="37"/>
      <c r="D28" s="37"/>
      <c r="E28" s="12"/>
      <c r="F28" s="12"/>
      <c r="G28" s="12"/>
      <c r="H28" s="12"/>
      <c r="I28" s="12"/>
      <c r="J28" s="12"/>
      <c r="K28" s="12"/>
      <c r="L28" s="12"/>
    </row>
    <row r="29" spans="1:19" hidden="1">
      <c r="A29" s="8"/>
      <c r="B29" s="8" t="s">
        <v>9</v>
      </c>
      <c r="C29" s="8"/>
      <c r="D29" s="8"/>
      <c r="E29" s="9">
        <f t="shared" ref="E29:E37" si="2">F29+G29+H29</f>
        <v>0</v>
      </c>
      <c r="F29" s="9"/>
      <c r="G29" s="9"/>
      <c r="H29" s="9"/>
      <c r="I29" s="9"/>
      <c r="J29" s="9"/>
      <c r="K29" s="9"/>
      <c r="L29" s="9"/>
    </row>
    <row r="30" spans="1:19" hidden="1">
      <c r="A30" s="8"/>
      <c r="B30" s="8"/>
      <c r="C30" s="8" t="s">
        <v>35</v>
      </c>
      <c r="D30" s="8"/>
      <c r="E30" s="9">
        <f t="shared" si="2"/>
        <v>0</v>
      </c>
      <c r="F30" s="9"/>
      <c r="G30" s="9"/>
      <c r="H30" s="9"/>
      <c r="I30" s="9"/>
      <c r="J30" s="9"/>
      <c r="K30" s="9"/>
      <c r="L30" s="9"/>
      <c r="M30" s="2" t="s">
        <v>13</v>
      </c>
      <c r="N30" s="3" t="s">
        <v>36</v>
      </c>
    </row>
    <row r="31" spans="1:19" hidden="1">
      <c r="A31" s="8"/>
      <c r="B31" s="8"/>
      <c r="C31" s="8" t="s">
        <v>37</v>
      </c>
      <c r="D31" s="8"/>
      <c r="E31" s="9">
        <f t="shared" si="2"/>
        <v>0</v>
      </c>
      <c r="F31" s="9"/>
      <c r="G31" s="9"/>
      <c r="H31" s="9"/>
      <c r="I31" s="9"/>
      <c r="J31" s="9"/>
      <c r="K31" s="9"/>
      <c r="L31" s="9"/>
    </row>
    <row r="32" spans="1:19" hidden="1">
      <c r="A32" s="8"/>
      <c r="B32" s="8"/>
      <c r="C32" s="8" t="s">
        <v>38</v>
      </c>
      <c r="D32" s="8"/>
      <c r="E32" s="9">
        <f t="shared" si="2"/>
        <v>0</v>
      </c>
      <c r="F32" s="9"/>
      <c r="G32" s="9"/>
      <c r="H32" s="9"/>
      <c r="I32" s="9"/>
      <c r="J32" s="9"/>
      <c r="K32" s="9"/>
      <c r="L32" s="9"/>
      <c r="M32" s="2" t="s">
        <v>13</v>
      </c>
      <c r="N32" s="3" t="s">
        <v>39</v>
      </c>
    </row>
    <row r="33" spans="1:16" hidden="1">
      <c r="A33" s="8"/>
      <c r="B33" s="8"/>
      <c r="C33" s="8" t="s">
        <v>21</v>
      </c>
      <c r="D33" s="8"/>
      <c r="E33" s="9">
        <f t="shared" si="2"/>
        <v>0</v>
      </c>
      <c r="F33" s="9"/>
      <c r="G33" s="9"/>
      <c r="H33" s="9"/>
      <c r="I33" s="9"/>
      <c r="J33" s="9"/>
      <c r="K33" s="9"/>
      <c r="L33" s="9"/>
      <c r="M33" s="2" t="s">
        <v>4</v>
      </c>
    </row>
    <row r="34" spans="1:16">
      <c r="A34" s="8"/>
      <c r="B34" s="8" t="s">
        <v>22</v>
      </c>
      <c r="C34" s="8"/>
      <c r="D34" s="8"/>
      <c r="E34" s="9"/>
      <c r="F34" s="9"/>
      <c r="G34" s="9"/>
      <c r="H34" s="9"/>
      <c r="I34" s="9"/>
      <c r="J34" s="9"/>
      <c r="K34" s="9"/>
      <c r="L34" s="9"/>
    </row>
    <row r="35" spans="1:16" ht="30" customHeight="1">
      <c r="A35" s="8"/>
      <c r="B35" s="8"/>
      <c r="C35" s="41" t="s">
        <v>40</v>
      </c>
      <c r="D35" s="41"/>
      <c r="E35" s="9">
        <f>F35+G35+H35+I35+J35+K35+L35</f>
        <v>97911863.459999993</v>
      </c>
      <c r="F35" s="9">
        <v>97081853.789999992</v>
      </c>
      <c r="G35" s="9">
        <v>59216.15</v>
      </c>
      <c r="H35" s="9">
        <f>[2]TB!L107+[2]TB!L141+[2]TB!L162</f>
        <v>728054.32</v>
      </c>
      <c r="I35" s="9">
        <f>[1]TB!L107</f>
        <v>42739.199999999997</v>
      </c>
      <c r="J35" s="9"/>
      <c r="K35" s="9"/>
      <c r="L35" s="9"/>
      <c r="M35" s="16"/>
      <c r="N35" s="3" t="s">
        <v>41</v>
      </c>
      <c r="O35" s="16"/>
      <c r="P35" s="16"/>
    </row>
    <row r="36" spans="1:16" hidden="1">
      <c r="A36" s="8"/>
      <c r="B36" s="8"/>
      <c r="C36" s="8" t="s">
        <v>42</v>
      </c>
      <c r="D36" s="8"/>
      <c r="E36" s="9">
        <f t="shared" si="2"/>
        <v>0</v>
      </c>
      <c r="F36" s="9"/>
      <c r="G36" s="9"/>
      <c r="H36" s="9"/>
      <c r="I36" s="9"/>
      <c r="J36" s="9"/>
      <c r="K36" s="9"/>
      <c r="L36" s="9"/>
      <c r="M36" s="2" t="s">
        <v>25</v>
      </c>
      <c r="N36" s="3" t="s">
        <v>43</v>
      </c>
    </row>
    <row r="37" spans="1:16" hidden="1">
      <c r="A37" s="8"/>
      <c r="B37" s="8"/>
      <c r="C37" s="8" t="s">
        <v>44</v>
      </c>
      <c r="D37" s="8"/>
      <c r="E37" s="9">
        <f t="shared" si="2"/>
        <v>0</v>
      </c>
      <c r="F37" s="9"/>
      <c r="G37" s="9"/>
      <c r="H37" s="9"/>
      <c r="I37" s="9"/>
      <c r="J37" s="9"/>
      <c r="K37" s="9"/>
      <c r="L37" s="9"/>
    </row>
    <row r="38" spans="1:16" ht="17.25">
      <c r="A38" s="8"/>
      <c r="B38" s="8"/>
      <c r="C38" s="8" t="s">
        <v>32</v>
      </c>
      <c r="D38" s="8"/>
      <c r="E38" s="30">
        <f>SUM(E35:E37)</f>
        <v>97911863.459999993</v>
      </c>
      <c r="F38" s="30">
        <v>97081853.789999992</v>
      </c>
      <c r="G38" s="30">
        <v>59216.15</v>
      </c>
      <c r="H38" s="30">
        <f>SUM(H35:H37)</f>
        <v>728054.32</v>
      </c>
      <c r="I38" s="30">
        <f>SUM(I35:I37)</f>
        <v>42739.199999999997</v>
      </c>
      <c r="J38" s="30"/>
      <c r="K38" s="30">
        <f>SUM(K35:K37)</f>
        <v>0</v>
      </c>
      <c r="L38" s="30">
        <f>SUM(L35:L37)</f>
        <v>0</v>
      </c>
    </row>
    <row r="39" spans="1:16" ht="17.25">
      <c r="A39" s="8"/>
      <c r="B39" s="8" t="s">
        <v>33</v>
      </c>
      <c r="C39" s="8"/>
      <c r="D39" s="8"/>
      <c r="E39" s="30">
        <f>E33-E38</f>
        <v>-97911863.459999993</v>
      </c>
      <c r="F39" s="30">
        <v>-97081853.789999992</v>
      </c>
      <c r="G39" s="30">
        <v>-59216.15</v>
      </c>
      <c r="H39" s="30">
        <f>H33-H38</f>
        <v>-728054.32</v>
      </c>
      <c r="I39" s="30">
        <f>I33-I38</f>
        <v>-42739.199999999997</v>
      </c>
      <c r="J39" s="30"/>
      <c r="K39" s="30">
        <f>K33-K38</f>
        <v>0</v>
      </c>
      <c r="L39" s="30">
        <f>L33-L38</f>
        <v>0</v>
      </c>
    </row>
    <row r="40" spans="1:16" hidden="1">
      <c r="A40" s="8" t="s">
        <v>45</v>
      </c>
      <c r="B40" s="8"/>
      <c r="C40" s="8"/>
      <c r="D40" s="8"/>
      <c r="E40" s="17"/>
      <c r="F40" s="17"/>
      <c r="G40" s="17"/>
      <c r="H40" s="17"/>
      <c r="I40" s="17"/>
      <c r="J40" s="17"/>
      <c r="K40" s="17"/>
      <c r="L40" s="17"/>
    </row>
    <row r="41" spans="1:16" hidden="1">
      <c r="A41" s="8"/>
      <c r="B41" s="8" t="s">
        <v>9</v>
      </c>
      <c r="C41" s="8"/>
      <c r="D41" s="8"/>
      <c r="E41" s="17"/>
      <c r="F41" s="17"/>
      <c r="G41" s="17"/>
      <c r="H41" s="17"/>
      <c r="I41" s="17"/>
      <c r="J41" s="17"/>
      <c r="K41" s="17"/>
      <c r="L41" s="17"/>
    </row>
    <row r="42" spans="1:16" hidden="1">
      <c r="A42" s="8"/>
      <c r="B42" s="8"/>
      <c r="C42" s="8" t="s">
        <v>46</v>
      </c>
      <c r="D42" s="8"/>
      <c r="E42" s="17"/>
      <c r="F42" s="17"/>
      <c r="G42" s="17"/>
      <c r="H42" s="17"/>
      <c r="I42" s="17"/>
      <c r="J42" s="17"/>
      <c r="K42" s="17"/>
      <c r="L42" s="17"/>
      <c r="M42" s="2" t="s">
        <v>13</v>
      </c>
      <c r="N42" s="3" t="s">
        <v>47</v>
      </c>
    </row>
    <row r="43" spans="1:16" hidden="1">
      <c r="A43" s="8"/>
      <c r="B43" s="8"/>
      <c r="C43" s="8" t="s">
        <v>48</v>
      </c>
      <c r="D43" s="8"/>
      <c r="E43" s="17"/>
      <c r="F43" s="17"/>
      <c r="G43" s="17"/>
      <c r="H43" s="17"/>
      <c r="I43" s="17"/>
      <c r="J43" s="17"/>
      <c r="K43" s="17"/>
      <c r="L43" s="17"/>
      <c r="M43" s="2" t="s">
        <v>13</v>
      </c>
      <c r="N43" s="3" t="s">
        <v>49</v>
      </c>
    </row>
    <row r="44" spans="1:16" hidden="1">
      <c r="A44" s="8"/>
      <c r="B44" s="8"/>
      <c r="C44" s="8" t="s">
        <v>21</v>
      </c>
      <c r="D44" s="8"/>
      <c r="E44" s="17"/>
      <c r="F44" s="17"/>
      <c r="G44" s="17"/>
      <c r="H44" s="17"/>
      <c r="I44" s="17"/>
      <c r="J44" s="17"/>
      <c r="K44" s="17"/>
      <c r="L44" s="17"/>
    </row>
    <row r="45" spans="1:16" hidden="1">
      <c r="A45" s="8"/>
      <c r="B45" s="8" t="s">
        <v>22</v>
      </c>
      <c r="C45" s="8"/>
      <c r="D45" s="8"/>
      <c r="E45" s="17"/>
      <c r="F45" s="17"/>
      <c r="G45" s="17"/>
      <c r="H45" s="17"/>
      <c r="I45" s="17"/>
      <c r="J45" s="17"/>
      <c r="K45" s="17"/>
      <c r="L45" s="17"/>
    </row>
    <row r="46" spans="1:16" hidden="1">
      <c r="A46" s="8"/>
      <c r="B46" s="8"/>
      <c r="C46" s="8" t="s">
        <v>50</v>
      </c>
      <c r="D46" s="8"/>
      <c r="E46" s="17"/>
      <c r="F46" s="17"/>
      <c r="G46" s="17"/>
      <c r="H46" s="17"/>
      <c r="I46" s="17"/>
      <c r="J46" s="17"/>
      <c r="K46" s="17"/>
      <c r="L46" s="17"/>
      <c r="M46" s="2" t="s">
        <v>25</v>
      </c>
      <c r="N46" s="3" t="s">
        <v>47</v>
      </c>
    </row>
    <row r="47" spans="1:16" hidden="1">
      <c r="A47" s="8"/>
      <c r="B47" s="8"/>
      <c r="C47" s="8" t="s">
        <v>51</v>
      </c>
      <c r="D47" s="8"/>
      <c r="E47" s="17"/>
      <c r="F47" s="17"/>
      <c r="G47" s="17"/>
      <c r="H47" s="17"/>
      <c r="I47" s="17"/>
      <c r="J47" s="17"/>
      <c r="K47" s="17"/>
      <c r="L47" s="17"/>
      <c r="M47" s="2" t="s">
        <v>25</v>
      </c>
      <c r="N47" s="3" t="s">
        <v>49</v>
      </c>
    </row>
    <row r="48" spans="1:16" hidden="1">
      <c r="A48" s="8"/>
      <c r="B48" s="8"/>
      <c r="C48" s="8" t="s">
        <v>32</v>
      </c>
      <c r="D48" s="8"/>
      <c r="E48" s="17"/>
      <c r="F48" s="17"/>
      <c r="G48" s="17"/>
      <c r="H48" s="17"/>
      <c r="I48" s="17"/>
      <c r="J48" s="17"/>
      <c r="K48" s="17"/>
      <c r="L48" s="17"/>
    </row>
    <row r="49" spans="1:14" hidden="1">
      <c r="A49" s="8"/>
      <c r="B49" s="8" t="s">
        <v>33</v>
      </c>
      <c r="C49" s="8"/>
      <c r="D49" s="8"/>
      <c r="E49" s="17"/>
      <c r="F49" s="17"/>
      <c r="G49" s="17"/>
      <c r="H49" s="17"/>
      <c r="I49" s="17"/>
      <c r="J49" s="17"/>
      <c r="K49" s="17"/>
      <c r="L49" s="17"/>
    </row>
    <row r="50" spans="1:14">
      <c r="A50" s="8" t="s">
        <v>52</v>
      </c>
      <c r="B50" s="8"/>
      <c r="C50" s="8"/>
      <c r="D50" s="8"/>
      <c r="E50" s="12">
        <f>E27+E39</f>
        <v>-24246106.829999968</v>
      </c>
      <c r="F50" s="12">
        <v>-32071774.839999974</v>
      </c>
      <c r="G50" s="12">
        <v>14332534.539999995</v>
      </c>
      <c r="H50" s="12">
        <f>H27+H39</f>
        <v>-8386807.5599999987</v>
      </c>
      <c r="I50" s="12">
        <f>I27+I39</f>
        <v>1047918.7999999991</v>
      </c>
      <c r="J50" s="12">
        <f>J27+J39</f>
        <v>-1278155.5099999998</v>
      </c>
      <c r="K50" s="12">
        <f>K27+K39</f>
        <v>1649820.5400000019</v>
      </c>
      <c r="L50" s="12">
        <f>L27+L39</f>
        <v>460357.19999999925</v>
      </c>
    </row>
    <row r="51" spans="1:14">
      <c r="A51" s="8" t="s">
        <v>53</v>
      </c>
      <c r="B51" s="8"/>
      <c r="C51" s="8"/>
      <c r="D51" s="8"/>
      <c r="E51" s="12">
        <v>106555897.01000001</v>
      </c>
      <c r="F51" s="12">
        <v>106555897.01000001</v>
      </c>
      <c r="G51" s="12">
        <f>F52</f>
        <v>74484122.170000032</v>
      </c>
      <c r="H51" s="12">
        <f>G52</f>
        <v>88816656.710000023</v>
      </c>
      <c r="I51" s="12">
        <f>H52</f>
        <v>80429849.150000021</v>
      </c>
      <c r="J51" s="12">
        <v>81477767.950000018</v>
      </c>
      <c r="K51" s="12">
        <f>J52</f>
        <v>80199612.440000013</v>
      </c>
      <c r="L51" s="12">
        <f>K52</f>
        <v>81849432.980000019</v>
      </c>
    </row>
    <row r="52" spans="1:14" ht="17.25">
      <c r="A52" s="8" t="s">
        <v>54</v>
      </c>
      <c r="B52" s="8"/>
      <c r="C52" s="8"/>
      <c r="D52" s="8"/>
      <c r="E52" s="29">
        <f>E51+E50</f>
        <v>82309790.180000037</v>
      </c>
      <c r="F52" s="29">
        <v>74484122.170000032</v>
      </c>
      <c r="G52" s="29">
        <v>88816656.710000023</v>
      </c>
      <c r="H52" s="29">
        <f>H51+H50</f>
        <v>80429849.150000021</v>
      </c>
      <c r="I52" s="29">
        <f>I51+I50</f>
        <v>81477767.950000018</v>
      </c>
      <c r="J52" s="29">
        <f>SUM(J50:J51)</f>
        <v>80199612.440000013</v>
      </c>
      <c r="K52" s="29">
        <f>SUM(K50:K51)</f>
        <v>81849432.980000019</v>
      </c>
      <c r="L52" s="29">
        <f>SUM(L50:L51)</f>
        <v>82309790.180000022</v>
      </c>
    </row>
    <row r="53" spans="1:14">
      <c r="N53" s="10" t="s">
        <v>55</v>
      </c>
    </row>
    <row r="54" spans="1:14" hidden="1">
      <c r="D54" s="18">
        <v>74484122.169999987</v>
      </c>
      <c r="E54" s="19">
        <v>0</v>
      </c>
      <c r="F54" s="19"/>
      <c r="G54" s="19"/>
      <c r="H54" s="19"/>
      <c r="I54" s="19"/>
      <c r="J54" s="19"/>
      <c r="K54" s="19"/>
      <c r="L54" s="19"/>
    </row>
    <row r="59" spans="1:14">
      <c r="A59" s="20" t="s">
        <v>56</v>
      </c>
    </row>
    <row r="60" spans="1:14">
      <c r="A60" s="20"/>
    </row>
    <row r="61" spans="1:14">
      <c r="A61" s="20"/>
    </row>
    <row r="62" spans="1:14">
      <c r="A62" s="20"/>
    </row>
    <row r="63" spans="1:14">
      <c r="A63" s="21" t="s">
        <v>57</v>
      </c>
    </row>
    <row r="64" spans="1:14">
      <c r="A64" s="22" t="s">
        <v>58</v>
      </c>
    </row>
  </sheetData>
  <mergeCells count="11">
    <mergeCell ref="A6:E6"/>
    <mergeCell ref="A1:E1"/>
    <mergeCell ref="A2:E2"/>
    <mergeCell ref="A3:E3"/>
    <mergeCell ref="A4:E4"/>
    <mergeCell ref="A5:E5"/>
    <mergeCell ref="A7:E7"/>
    <mergeCell ref="A8:E8"/>
    <mergeCell ref="A9:E9"/>
    <mergeCell ref="A10:E10"/>
    <mergeCell ref="C35:D35"/>
  </mergeCells>
  <pageMargins left="1" right="1" top="1" bottom="1" header="0.3" footer="0.3"/>
  <pageSetup paperSize="256"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CASH FLOWS</vt:lpstr>
    </vt:vector>
  </TitlesOfParts>
  <Company>PACCO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 DH55PJ</dc:creator>
  <cp:lastModifiedBy>Intel DH55PJ</cp:lastModifiedBy>
  <cp:lastPrinted>2011-09-13T01:12:23Z</cp:lastPrinted>
  <dcterms:created xsi:type="dcterms:W3CDTF">2011-05-11T00:43:40Z</dcterms:created>
  <dcterms:modified xsi:type="dcterms:W3CDTF">2011-09-13T01:24:03Z</dcterms:modified>
</cp:coreProperties>
</file>