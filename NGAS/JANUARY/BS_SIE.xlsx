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4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BS" sheetId="5" r:id="rId1"/>
    <sheet name="SIE" sheetId="4" r:id="rId2"/>
    <sheet name="Sheet1" sheetId="1" r:id="rId3"/>
    <sheet name="Sheet2" sheetId="2" r:id="rId4"/>
    <sheet name="Sheet3" sheetId="3" r:id="rId5"/>
  </sheets>
  <externalReferences>
    <externalReference r:id="rId6"/>
    <externalReference r:id="rId7"/>
    <externalReference r:id="rId8"/>
    <externalReference r:id="rId9"/>
  </externalReferences>
  <calcPr calcId="124519"/>
</workbook>
</file>

<file path=xl/calcChain.xml><?xml version="1.0" encoding="utf-8"?>
<calcChain xmlns="http://schemas.openxmlformats.org/spreadsheetml/2006/main">
  <c r="I285" i="5"/>
  <c r="H278"/>
  <c r="G278"/>
  <c r="K277"/>
  <c r="H277"/>
  <c r="G277"/>
  <c r="K275"/>
  <c r="H274"/>
  <c r="G274"/>
  <c r="F274"/>
  <c r="E274"/>
  <c r="H273"/>
  <c r="G273"/>
  <c r="F273"/>
  <c r="E273"/>
  <c r="H272"/>
  <c r="H275" s="1"/>
  <c r="G272"/>
  <c r="G275" s="1"/>
  <c r="F272"/>
  <c r="F275" s="1"/>
  <c r="E272"/>
  <c r="E275" s="1"/>
  <c r="K269"/>
  <c r="H268"/>
  <c r="G268"/>
  <c r="F268"/>
  <c r="E268" s="1"/>
  <c r="H267"/>
  <c r="G267"/>
  <c r="F267"/>
  <c r="E267" s="1"/>
  <c r="H266"/>
  <c r="G266"/>
  <c r="F266"/>
  <c r="E266" s="1"/>
  <c r="H265"/>
  <c r="G265"/>
  <c r="F265"/>
  <c r="E265" s="1"/>
  <c r="H264"/>
  <c r="G264"/>
  <c r="F264"/>
  <c r="E264" s="1"/>
  <c r="H263"/>
  <c r="H269" s="1"/>
  <c r="G263"/>
  <c r="G269" s="1"/>
  <c r="F263"/>
  <c r="E263" s="1"/>
  <c r="E269" s="1"/>
  <c r="H259"/>
  <c r="G259"/>
  <c r="E259" s="1"/>
  <c r="F259"/>
  <c r="H258"/>
  <c r="G258"/>
  <c r="E258" s="1"/>
  <c r="F258"/>
  <c r="H257"/>
  <c r="G257"/>
  <c r="E257" s="1"/>
  <c r="F257"/>
  <c r="H256"/>
  <c r="G256"/>
  <c r="E256" s="1"/>
  <c r="F256"/>
  <c r="H255"/>
  <c r="G255"/>
  <c r="E255" s="1"/>
  <c r="E254" s="1"/>
  <c r="F255"/>
  <c r="K254"/>
  <c r="H254"/>
  <c r="F254"/>
  <c r="H253"/>
  <c r="H252" s="1"/>
  <c r="G253"/>
  <c r="F253"/>
  <c r="E253"/>
  <c r="K252"/>
  <c r="G252"/>
  <c r="F252"/>
  <c r="E252"/>
  <c r="H251"/>
  <c r="G251"/>
  <c r="F251"/>
  <c r="E251"/>
  <c r="H250"/>
  <c r="G250"/>
  <c r="F250"/>
  <c r="E250"/>
  <c r="H249"/>
  <c r="G249"/>
  <c r="F249"/>
  <c r="E249"/>
  <c r="H248"/>
  <c r="G248"/>
  <c r="F248"/>
  <c r="E248"/>
  <c r="H247"/>
  <c r="G247"/>
  <c r="F247"/>
  <c r="E247"/>
  <c r="H246"/>
  <c r="G246"/>
  <c r="F246"/>
  <c r="E246"/>
  <c r="H245"/>
  <c r="G245"/>
  <c r="F245"/>
  <c r="E245"/>
  <c r="E244" s="1"/>
  <c r="K244"/>
  <c r="H244"/>
  <c r="G244"/>
  <c r="F244"/>
  <c r="H243"/>
  <c r="G243"/>
  <c r="F243"/>
  <c r="E243" s="1"/>
  <c r="H242"/>
  <c r="G242"/>
  <c r="F242"/>
  <c r="E242" s="1"/>
  <c r="H241"/>
  <c r="G241"/>
  <c r="F241"/>
  <c r="E241" s="1"/>
  <c r="H240"/>
  <c r="G240"/>
  <c r="F240"/>
  <c r="E240" s="1"/>
  <c r="E239" s="1"/>
  <c r="K239"/>
  <c r="H239"/>
  <c r="G239"/>
  <c r="H233"/>
  <c r="G233"/>
  <c r="F233"/>
  <c r="E233"/>
  <c r="H232"/>
  <c r="G232"/>
  <c r="F232"/>
  <c r="E232"/>
  <c r="H231"/>
  <c r="G231"/>
  <c r="F231"/>
  <c r="E231"/>
  <c r="H230"/>
  <c r="G230"/>
  <c r="F230"/>
  <c r="E230"/>
  <c r="H229"/>
  <c r="H234" s="1"/>
  <c r="G229"/>
  <c r="G234" s="1"/>
  <c r="F229"/>
  <c r="F234" s="1"/>
  <c r="E229"/>
  <c r="E234" s="1"/>
  <c r="F226"/>
  <c r="H225"/>
  <c r="G225"/>
  <c r="F225"/>
  <c r="E225" s="1"/>
  <c r="H224"/>
  <c r="G224"/>
  <c r="F224"/>
  <c r="E224" s="1"/>
  <c r="H223"/>
  <c r="G223"/>
  <c r="F223"/>
  <c r="E223" s="1"/>
  <c r="H222"/>
  <c r="G222"/>
  <c r="F222"/>
  <c r="E222" s="1"/>
  <c r="H221"/>
  <c r="G221"/>
  <c r="F221"/>
  <c r="E221" s="1"/>
  <c r="H220"/>
  <c r="G220"/>
  <c r="F220"/>
  <c r="E220" s="1"/>
  <c r="H219"/>
  <c r="G219"/>
  <c r="F219"/>
  <c r="E219" s="1"/>
  <c r="H218"/>
  <c r="G218"/>
  <c r="F218"/>
  <c r="E218" s="1"/>
  <c r="H217"/>
  <c r="G217"/>
  <c r="G215" s="1"/>
  <c r="G213" s="1"/>
  <c r="F217"/>
  <c r="F215" s="1"/>
  <c r="F213" s="1"/>
  <c r="F216"/>
  <c r="K215"/>
  <c r="K213" s="1"/>
  <c r="H215"/>
  <c r="H214"/>
  <c r="G214"/>
  <c r="F214"/>
  <c r="E214"/>
  <c r="F212"/>
  <c r="H211"/>
  <c r="H210" s="1"/>
  <c r="G211"/>
  <c r="G210" s="1"/>
  <c r="F211"/>
  <c r="E211" s="1"/>
  <c r="E210" s="1"/>
  <c r="F210"/>
  <c r="H209"/>
  <c r="G209"/>
  <c r="F209"/>
  <c r="E209" s="1"/>
  <c r="H208"/>
  <c r="G208"/>
  <c r="G207" s="1"/>
  <c r="G206" s="1"/>
  <c r="F208"/>
  <c r="E208" s="1"/>
  <c r="E206" s="1"/>
  <c r="H207"/>
  <c r="H206" s="1"/>
  <c r="F207"/>
  <c r="K206"/>
  <c r="H205"/>
  <c r="G205"/>
  <c r="F205"/>
  <c r="E205"/>
  <c r="H204"/>
  <c r="H203" s="1"/>
  <c r="G204"/>
  <c r="F204"/>
  <c r="E204"/>
  <c r="G203"/>
  <c r="E203" s="1"/>
  <c r="F203"/>
  <c r="H202"/>
  <c r="G202"/>
  <c r="F202"/>
  <c r="E202"/>
  <c r="H201"/>
  <c r="G201"/>
  <c r="F201"/>
  <c r="E201"/>
  <c r="H200"/>
  <c r="G200"/>
  <c r="E200" s="1"/>
  <c r="F200"/>
  <c r="H199"/>
  <c r="G199"/>
  <c r="F199"/>
  <c r="E199"/>
  <c r="H198"/>
  <c r="G198"/>
  <c r="F198"/>
  <c r="E198"/>
  <c r="H197"/>
  <c r="G197"/>
  <c r="E197" s="1"/>
  <c r="F197"/>
  <c r="H196"/>
  <c r="G196"/>
  <c r="F196"/>
  <c r="E196"/>
  <c r="H195"/>
  <c r="G195"/>
  <c r="F195"/>
  <c r="E195"/>
  <c r="H194"/>
  <c r="G194"/>
  <c r="E194" s="1"/>
  <c r="F194"/>
  <c r="H193"/>
  <c r="G193"/>
  <c r="F193"/>
  <c r="E193"/>
  <c r="H192"/>
  <c r="G192"/>
  <c r="F192"/>
  <c r="E192"/>
  <c r="H191"/>
  <c r="H190" s="1"/>
  <c r="G191"/>
  <c r="E191" s="1"/>
  <c r="F191"/>
  <c r="K190"/>
  <c r="I190"/>
  <c r="F190"/>
  <c r="H189"/>
  <c r="G189"/>
  <c r="F189"/>
  <c r="E189" s="1"/>
  <c r="H188"/>
  <c r="G188"/>
  <c r="F188"/>
  <c r="E188" s="1"/>
  <c r="H187"/>
  <c r="G187"/>
  <c r="F187"/>
  <c r="E187" s="1"/>
  <c r="H186"/>
  <c r="G186"/>
  <c r="F186"/>
  <c r="E186" s="1"/>
  <c r="H185"/>
  <c r="G185"/>
  <c r="F185"/>
  <c r="E185" s="1"/>
  <c r="H184"/>
  <c r="G184"/>
  <c r="H183"/>
  <c r="G183"/>
  <c r="F183"/>
  <c r="E183" s="1"/>
  <c r="H182"/>
  <c r="G182"/>
  <c r="F182"/>
  <c r="F181" s="1"/>
  <c r="H181"/>
  <c r="G181"/>
  <c r="H180"/>
  <c r="G180"/>
  <c r="F180"/>
  <c r="E180" s="1"/>
  <c r="H179"/>
  <c r="G179"/>
  <c r="F179"/>
  <c r="E179" s="1"/>
  <c r="H178"/>
  <c r="G178"/>
  <c r="F178"/>
  <c r="H177"/>
  <c r="G177"/>
  <c r="F177"/>
  <c r="E177" s="1"/>
  <c r="H176"/>
  <c r="G176"/>
  <c r="F176"/>
  <c r="F175" s="1"/>
  <c r="H175"/>
  <c r="G175"/>
  <c r="H174"/>
  <c r="G174"/>
  <c r="F174"/>
  <c r="E174" s="1"/>
  <c r="H173"/>
  <c r="G173"/>
  <c r="F173"/>
  <c r="F172" s="1"/>
  <c r="H172"/>
  <c r="G172"/>
  <c r="H171"/>
  <c r="G171"/>
  <c r="F171"/>
  <c r="E171" s="1"/>
  <c r="H170"/>
  <c r="G170"/>
  <c r="F170"/>
  <c r="F169" s="1"/>
  <c r="H169"/>
  <c r="G169"/>
  <c r="H168"/>
  <c r="G168"/>
  <c r="F168"/>
  <c r="E168" s="1"/>
  <c r="H167"/>
  <c r="G167"/>
  <c r="F167"/>
  <c r="E167" s="1"/>
  <c r="H166"/>
  <c r="G166"/>
  <c r="F166"/>
  <c r="H165"/>
  <c r="G165"/>
  <c r="F165"/>
  <c r="E165" s="1"/>
  <c r="H164"/>
  <c r="G164"/>
  <c r="F164"/>
  <c r="F163" s="1"/>
  <c r="E163" s="1"/>
  <c r="H163"/>
  <c r="G163"/>
  <c r="H162"/>
  <c r="G162"/>
  <c r="F162"/>
  <c r="E162" s="1"/>
  <c r="H161"/>
  <c r="G161"/>
  <c r="F161"/>
  <c r="F160" s="1"/>
  <c r="E160" s="1"/>
  <c r="H160"/>
  <c r="G160"/>
  <c r="H159"/>
  <c r="G159"/>
  <c r="F159"/>
  <c r="E159" s="1"/>
  <c r="H158"/>
  <c r="G158"/>
  <c r="F158"/>
  <c r="E158" s="1"/>
  <c r="H157"/>
  <c r="G157"/>
  <c r="H156"/>
  <c r="G156"/>
  <c r="F156"/>
  <c r="E156" s="1"/>
  <c r="H155"/>
  <c r="G155"/>
  <c r="F155"/>
  <c r="E155" s="1"/>
  <c r="H154"/>
  <c r="G154"/>
  <c r="K153"/>
  <c r="H153"/>
  <c r="H152"/>
  <c r="G152"/>
  <c r="F152"/>
  <c r="E152" s="1"/>
  <c r="H151"/>
  <c r="G151"/>
  <c r="F151"/>
  <c r="E151" s="1"/>
  <c r="H150"/>
  <c r="G150"/>
  <c r="F150"/>
  <c r="H149"/>
  <c r="G149"/>
  <c r="F149"/>
  <c r="E149" s="1"/>
  <c r="H148"/>
  <c r="G148"/>
  <c r="F148"/>
  <c r="E148" s="1"/>
  <c r="H147"/>
  <c r="G147"/>
  <c r="F147"/>
  <c r="H146"/>
  <c r="G146"/>
  <c r="F146"/>
  <c r="E146" s="1"/>
  <c r="H145"/>
  <c r="G145"/>
  <c r="F145"/>
  <c r="E145" s="1"/>
  <c r="H144"/>
  <c r="G144"/>
  <c r="F144"/>
  <c r="E144" s="1"/>
  <c r="H143"/>
  <c r="G143"/>
  <c r="F143"/>
  <c r="E143" s="1"/>
  <c r="H142"/>
  <c r="G142"/>
  <c r="F142"/>
  <c r="E142" s="1"/>
  <c r="H141"/>
  <c r="G141"/>
  <c r="F141"/>
  <c r="E141" s="1"/>
  <c r="K140"/>
  <c r="H139"/>
  <c r="G139"/>
  <c r="F139"/>
  <c r="E139"/>
  <c r="H138"/>
  <c r="G138"/>
  <c r="F138"/>
  <c r="E138"/>
  <c r="H137"/>
  <c r="G137"/>
  <c r="F137"/>
  <c r="E137" s="1"/>
  <c r="H136"/>
  <c r="G136"/>
  <c r="F136"/>
  <c r="E136"/>
  <c r="H135"/>
  <c r="G135"/>
  <c r="F135"/>
  <c r="E135"/>
  <c r="H134"/>
  <c r="G134"/>
  <c r="F134"/>
  <c r="E134" s="1"/>
  <c r="H133"/>
  <c r="G133"/>
  <c r="F133"/>
  <c r="E133"/>
  <c r="H132"/>
  <c r="G132"/>
  <c r="F132"/>
  <c r="E132"/>
  <c r="H131"/>
  <c r="H130" s="1"/>
  <c r="G131"/>
  <c r="G130" s="1"/>
  <c r="F131"/>
  <c r="F130" s="1"/>
  <c r="H129"/>
  <c r="G129"/>
  <c r="F129"/>
  <c r="E129"/>
  <c r="H128"/>
  <c r="G128"/>
  <c r="F128"/>
  <c r="E128"/>
  <c r="H127"/>
  <c r="G127"/>
  <c r="F127"/>
  <c r="E127"/>
  <c r="H126"/>
  <c r="G126"/>
  <c r="F126"/>
  <c r="E126"/>
  <c r="H125"/>
  <c r="G125"/>
  <c r="F125"/>
  <c r="E125"/>
  <c r="H124"/>
  <c r="G124"/>
  <c r="F124"/>
  <c r="E124"/>
  <c r="H123"/>
  <c r="G123"/>
  <c r="F123"/>
  <c r="E123"/>
  <c r="H122"/>
  <c r="G122"/>
  <c r="F122"/>
  <c r="E122"/>
  <c r="H121"/>
  <c r="G121"/>
  <c r="F121"/>
  <c r="E121"/>
  <c r="H120"/>
  <c r="G120"/>
  <c r="F120"/>
  <c r="E120"/>
  <c r="H119"/>
  <c r="G119"/>
  <c r="F119"/>
  <c r="E119"/>
  <c r="H118"/>
  <c r="G118"/>
  <c r="F118"/>
  <c r="E118"/>
  <c r="H117"/>
  <c r="G117"/>
  <c r="F117"/>
  <c r="E117"/>
  <c r="H116"/>
  <c r="G116"/>
  <c r="F116"/>
  <c r="E116"/>
  <c r="H115"/>
  <c r="H114" s="1"/>
  <c r="G115"/>
  <c r="G114" s="1"/>
  <c r="F115"/>
  <c r="F114" s="1"/>
  <c r="E115"/>
  <c r="E114" s="1"/>
  <c r="K114"/>
  <c r="H113"/>
  <c r="G113"/>
  <c r="F113"/>
  <c r="E113" s="1"/>
  <c r="H112"/>
  <c r="G112"/>
  <c r="F112"/>
  <c r="E112" s="1"/>
  <c r="H111"/>
  <c r="G111"/>
  <c r="F111"/>
  <c r="E111" s="1"/>
  <c r="H110"/>
  <c r="G110"/>
  <c r="F110"/>
  <c r="E110" s="1"/>
  <c r="H109"/>
  <c r="G109"/>
  <c r="F109"/>
  <c r="E109" s="1"/>
  <c r="H108"/>
  <c r="G108"/>
  <c r="F108"/>
  <c r="E108" s="1"/>
  <c r="H107"/>
  <c r="G107"/>
  <c r="F107"/>
  <c r="E107" s="1"/>
  <c r="H106"/>
  <c r="G106"/>
  <c r="F106"/>
  <c r="E106" s="1"/>
  <c r="H105"/>
  <c r="G105"/>
  <c r="F105"/>
  <c r="H104"/>
  <c r="G104"/>
  <c r="F104"/>
  <c r="E104" s="1"/>
  <c r="H103"/>
  <c r="G103"/>
  <c r="F103"/>
  <c r="E103" s="1"/>
  <c r="H102"/>
  <c r="G102"/>
  <c r="G100" s="1"/>
  <c r="F102"/>
  <c r="H101"/>
  <c r="G101"/>
  <c r="F101"/>
  <c r="K100"/>
  <c r="K97"/>
  <c r="K96" s="1"/>
  <c r="K98" s="1"/>
  <c r="H97"/>
  <c r="H96" s="1"/>
  <c r="G97"/>
  <c r="G96" s="1"/>
  <c r="F97"/>
  <c r="E97"/>
  <c r="E96" s="1"/>
  <c r="E98" s="1"/>
  <c r="F96"/>
  <c r="K95"/>
  <c r="H95"/>
  <c r="G95"/>
  <c r="F95"/>
  <c r="E95" s="1"/>
  <c r="K94"/>
  <c r="H94"/>
  <c r="G94"/>
  <c r="F94"/>
  <c r="E94" s="1"/>
  <c r="K93"/>
  <c r="H93"/>
  <c r="G93"/>
  <c r="F93"/>
  <c r="E93"/>
  <c r="K92"/>
  <c r="K91" s="1"/>
  <c r="H92"/>
  <c r="H91" s="1"/>
  <c r="G92"/>
  <c r="F92"/>
  <c r="E92" s="1"/>
  <c r="E91" s="1"/>
  <c r="G91"/>
  <c r="H88"/>
  <c r="G88"/>
  <c r="F88"/>
  <c r="E88" s="1"/>
  <c r="H87"/>
  <c r="H86" s="1"/>
  <c r="G87"/>
  <c r="G86" s="1"/>
  <c r="F87"/>
  <c r="E87" s="1"/>
  <c r="E86" s="1"/>
  <c r="K86"/>
  <c r="H85"/>
  <c r="G85"/>
  <c r="F85"/>
  <c r="E85"/>
  <c r="H84"/>
  <c r="G84"/>
  <c r="F84"/>
  <c r="E84"/>
  <c r="H83"/>
  <c r="G83"/>
  <c r="F83"/>
  <c r="E83"/>
  <c r="H82"/>
  <c r="G82"/>
  <c r="F82"/>
  <c r="E82"/>
  <c r="H81"/>
  <c r="G81"/>
  <c r="F81"/>
  <c r="E81"/>
  <c r="H80"/>
  <c r="G80"/>
  <c r="F80"/>
  <c r="E80"/>
  <c r="H79"/>
  <c r="H78" s="1"/>
  <c r="G79"/>
  <c r="G78" s="1"/>
  <c r="F79"/>
  <c r="E79"/>
  <c r="E78" s="1"/>
  <c r="K78"/>
  <c r="F78"/>
  <c r="H77"/>
  <c r="G77"/>
  <c r="F77"/>
  <c r="E77" s="1"/>
  <c r="H76"/>
  <c r="G76"/>
  <c r="F76"/>
  <c r="E76" s="1"/>
  <c r="H75"/>
  <c r="H74" s="1"/>
  <c r="G75"/>
  <c r="F75"/>
  <c r="E75" s="1"/>
  <c r="E74" s="1"/>
  <c r="K74"/>
  <c r="G74"/>
  <c r="H73"/>
  <c r="G73"/>
  <c r="F73"/>
  <c r="E73" s="1"/>
  <c r="H72"/>
  <c r="G72"/>
  <c r="F72"/>
  <c r="E72" s="1"/>
  <c r="H71"/>
  <c r="G71"/>
  <c r="F71"/>
  <c r="E71" s="1"/>
  <c r="H70"/>
  <c r="G70"/>
  <c r="F70"/>
  <c r="E70" s="1"/>
  <c r="H69"/>
  <c r="G69"/>
  <c r="F69"/>
  <c r="E69" s="1"/>
  <c r="H68"/>
  <c r="G68"/>
  <c r="F68"/>
  <c r="E68" s="1"/>
  <c r="H67"/>
  <c r="G67"/>
  <c r="F67"/>
  <c r="E67" s="1"/>
  <c r="H66"/>
  <c r="G66"/>
  <c r="F66"/>
  <c r="E66" s="1"/>
  <c r="H65"/>
  <c r="G65"/>
  <c r="F65"/>
  <c r="E65" s="1"/>
  <c r="H64"/>
  <c r="G64"/>
  <c r="F64"/>
  <c r="E64" s="1"/>
  <c r="H63"/>
  <c r="G63"/>
  <c r="F63"/>
  <c r="E63" s="1"/>
  <c r="H62"/>
  <c r="G62"/>
  <c r="F62"/>
  <c r="E62" s="1"/>
  <c r="H61"/>
  <c r="G61"/>
  <c r="F61"/>
  <c r="E61" s="1"/>
  <c r="H60"/>
  <c r="G60"/>
  <c r="G59" s="1"/>
  <c r="F60"/>
  <c r="E60" s="1"/>
  <c r="E59" s="1"/>
  <c r="K59"/>
  <c r="H59"/>
  <c r="H58"/>
  <c r="G58"/>
  <c r="F58"/>
  <c r="E58" s="1"/>
  <c r="H57"/>
  <c r="G57"/>
  <c r="F57"/>
  <c r="E57" s="1"/>
  <c r="H56"/>
  <c r="G56"/>
  <c r="F56"/>
  <c r="E56" s="1"/>
  <c r="H55"/>
  <c r="H54" s="1"/>
  <c r="H53" s="1"/>
  <c r="G55"/>
  <c r="G54" s="1"/>
  <c r="F55"/>
  <c r="E55" s="1"/>
  <c r="E54" s="1"/>
  <c r="K54"/>
  <c r="K53" s="1"/>
  <c r="H52"/>
  <c r="G52"/>
  <c r="F52"/>
  <c r="E52" s="1"/>
  <c r="H51"/>
  <c r="H50" s="1"/>
  <c r="G51"/>
  <c r="F51"/>
  <c r="F50" s="1"/>
  <c r="K50"/>
  <c r="G50"/>
  <c r="H49"/>
  <c r="G49"/>
  <c r="G48" s="1"/>
  <c r="F49"/>
  <c r="E49" s="1"/>
  <c r="E48" s="1"/>
  <c r="K48"/>
  <c r="H48"/>
  <c r="F47"/>
  <c r="H46"/>
  <c r="G46"/>
  <c r="F46"/>
  <c r="E46"/>
  <c r="H45"/>
  <c r="G45"/>
  <c r="F45"/>
  <c r="E45"/>
  <c r="H44"/>
  <c r="G44"/>
  <c r="F44"/>
  <c r="E44"/>
  <c r="H43"/>
  <c r="H42" s="1"/>
  <c r="G43"/>
  <c r="G42" s="1"/>
  <c r="F43"/>
  <c r="E43"/>
  <c r="E42" s="1"/>
  <c r="K42"/>
  <c r="F42"/>
  <c r="H41"/>
  <c r="G41"/>
  <c r="F41"/>
  <c r="E41" s="1"/>
  <c r="H40"/>
  <c r="G40"/>
  <c r="F40"/>
  <c r="E40" s="1"/>
  <c r="H39"/>
  <c r="G39"/>
  <c r="F39"/>
  <c r="E39" s="1"/>
  <c r="H38"/>
  <c r="G38"/>
  <c r="F38"/>
  <c r="E38" s="1"/>
  <c r="H37"/>
  <c r="G37"/>
  <c r="F37"/>
  <c r="E37" s="1"/>
  <c r="H36"/>
  <c r="G36"/>
  <c r="F36"/>
  <c r="E36" s="1"/>
  <c r="H35"/>
  <c r="G35"/>
  <c r="F35"/>
  <c r="E35" s="1"/>
  <c r="H34"/>
  <c r="G34"/>
  <c r="F34"/>
  <c r="E34" s="1"/>
  <c r="H33"/>
  <c r="G33"/>
  <c r="F33"/>
  <c r="E33" s="1"/>
  <c r="H32"/>
  <c r="H31" s="1"/>
  <c r="H30" s="1"/>
  <c r="G32"/>
  <c r="F32"/>
  <c r="F31" s="1"/>
  <c r="K31"/>
  <c r="G31"/>
  <c r="G30" s="1"/>
  <c r="H29"/>
  <c r="G29"/>
  <c r="F29"/>
  <c r="E29" s="1"/>
  <c r="H28"/>
  <c r="G28"/>
  <c r="F28"/>
  <c r="E28" s="1"/>
  <c r="H27"/>
  <c r="G27"/>
  <c r="F27"/>
  <c r="E27" s="1"/>
  <c r="H26"/>
  <c r="G26"/>
  <c r="F26"/>
  <c r="E26" s="1"/>
  <c r="E25" s="1"/>
  <c r="H25"/>
  <c r="G25"/>
  <c r="F25"/>
  <c r="H24"/>
  <c r="G24"/>
  <c r="F24"/>
  <c r="E24" s="1"/>
  <c r="H23"/>
  <c r="G23"/>
  <c r="F23"/>
  <c r="E23" s="1"/>
  <c r="H22"/>
  <c r="G22"/>
  <c r="F22"/>
  <c r="E22" s="1"/>
  <c r="H21"/>
  <c r="H20" s="1"/>
  <c r="G21"/>
  <c r="G20" s="1"/>
  <c r="F21"/>
  <c r="E21" s="1"/>
  <c r="E20" s="1"/>
  <c r="K20"/>
  <c r="H19"/>
  <c r="G19"/>
  <c r="F19"/>
  <c r="E19"/>
  <c r="F18"/>
  <c r="H17"/>
  <c r="G17"/>
  <c r="F17"/>
  <c r="E17" s="1"/>
  <c r="F16"/>
  <c r="E16" s="1"/>
  <c r="H15"/>
  <c r="H14" s="1"/>
  <c r="G15"/>
  <c r="G14" s="1"/>
  <c r="F15"/>
  <c r="E15" s="1"/>
  <c r="E14" s="1"/>
  <c r="E13" s="1"/>
  <c r="K14"/>
  <c r="H14" i="4"/>
  <c r="H13" s="1"/>
  <c r="I14"/>
  <c r="I13" s="1"/>
  <c r="J14"/>
  <c r="J13" s="1"/>
  <c r="G15"/>
  <c r="H15"/>
  <c r="G16"/>
  <c r="H16"/>
  <c r="I16"/>
  <c r="J16"/>
  <c r="G17"/>
  <c r="H17"/>
  <c r="I17"/>
  <c r="J17"/>
  <c r="G18"/>
  <c r="H18"/>
  <c r="I18"/>
  <c r="J18"/>
  <c r="G19"/>
  <c r="H19"/>
  <c r="I19"/>
  <c r="J19"/>
  <c r="G20"/>
  <c r="H20"/>
  <c r="I20"/>
  <c r="J20"/>
  <c r="G21"/>
  <c r="H21"/>
  <c r="I21"/>
  <c r="J21"/>
  <c r="G22"/>
  <c r="H22"/>
  <c r="I22"/>
  <c r="J22"/>
  <c r="G23"/>
  <c r="H23"/>
  <c r="I23"/>
  <c r="J23"/>
  <c r="G24"/>
  <c r="H24"/>
  <c r="I24"/>
  <c r="J24"/>
  <c r="G25"/>
  <c r="H25"/>
  <c r="I25"/>
  <c r="J25"/>
  <c r="G26"/>
  <c r="H26"/>
  <c r="I26"/>
  <c r="J26"/>
  <c r="G27"/>
  <c r="H27"/>
  <c r="I27"/>
  <c r="J27"/>
  <c r="H28"/>
  <c r="H29"/>
  <c r="I29"/>
  <c r="G29" s="1"/>
  <c r="J29"/>
  <c r="H30"/>
  <c r="I30"/>
  <c r="G30" s="1"/>
  <c r="J30"/>
  <c r="I32"/>
  <c r="J32"/>
  <c r="H33"/>
  <c r="G33" s="1"/>
  <c r="G32" s="1"/>
  <c r="I33"/>
  <c r="J33"/>
  <c r="H34"/>
  <c r="G34" s="1"/>
  <c r="I34"/>
  <c r="J34"/>
  <c r="H35"/>
  <c r="G35" s="1"/>
  <c r="I35"/>
  <c r="J35"/>
  <c r="H36"/>
  <c r="I36"/>
  <c r="J36"/>
  <c r="H37"/>
  <c r="G37" s="1"/>
  <c r="I37"/>
  <c r="J37"/>
  <c r="H38"/>
  <c r="G38" s="1"/>
  <c r="I38"/>
  <c r="J38"/>
  <c r="H39"/>
  <c r="G39" s="1"/>
  <c r="I39"/>
  <c r="J39"/>
  <c r="H40"/>
  <c r="I40"/>
  <c r="J40"/>
  <c r="H42"/>
  <c r="I42"/>
  <c r="I41" s="1"/>
  <c r="J42"/>
  <c r="J41" s="1"/>
  <c r="H43"/>
  <c r="G43" s="1"/>
  <c r="I43"/>
  <c r="J43"/>
  <c r="H44"/>
  <c r="G44" s="1"/>
  <c r="I44"/>
  <c r="J44"/>
  <c r="H45"/>
  <c r="G45" s="1"/>
  <c r="I45"/>
  <c r="J45"/>
  <c r="H46"/>
  <c r="I46"/>
  <c r="J46"/>
  <c r="H47"/>
  <c r="G47" s="1"/>
  <c r="I47"/>
  <c r="J47"/>
  <c r="H48"/>
  <c r="G48" s="1"/>
  <c r="I48"/>
  <c r="J48"/>
  <c r="C49"/>
  <c r="H49"/>
  <c r="G49" s="1"/>
  <c r="I49"/>
  <c r="J49"/>
  <c r="H50"/>
  <c r="G50" s="1"/>
  <c r="I50"/>
  <c r="J50"/>
  <c r="H51"/>
  <c r="G51" s="1"/>
  <c r="I51"/>
  <c r="J51"/>
  <c r="H52"/>
  <c r="G52" s="1"/>
  <c r="I52"/>
  <c r="J52"/>
  <c r="H53"/>
  <c r="G53" s="1"/>
  <c r="I53"/>
  <c r="J53"/>
  <c r="H54"/>
  <c r="G54" s="1"/>
  <c r="I54"/>
  <c r="J54"/>
  <c r="H55"/>
  <c r="G55" s="1"/>
  <c r="I55"/>
  <c r="J55"/>
  <c r="H56"/>
  <c r="G56" s="1"/>
  <c r="I56"/>
  <c r="J56"/>
  <c r="H57"/>
  <c r="G57" s="1"/>
  <c r="I57"/>
  <c r="J57"/>
  <c r="I58"/>
  <c r="H59"/>
  <c r="G59" s="1"/>
  <c r="I59"/>
  <c r="J59"/>
  <c r="H60"/>
  <c r="G60" s="1"/>
  <c r="I60"/>
  <c r="J60"/>
  <c r="H61"/>
  <c r="G61" s="1"/>
  <c r="I61"/>
  <c r="J61"/>
  <c r="H62"/>
  <c r="G62" s="1"/>
  <c r="I62"/>
  <c r="J62"/>
  <c r="H63"/>
  <c r="G63" s="1"/>
  <c r="I63"/>
  <c r="J63"/>
  <c r="H64"/>
  <c r="G64" s="1"/>
  <c r="I64"/>
  <c r="J64"/>
  <c r="H65"/>
  <c r="G65" s="1"/>
  <c r="I65"/>
  <c r="J65"/>
  <c r="H66"/>
  <c r="G66" s="1"/>
  <c r="I66"/>
  <c r="J66"/>
  <c r="H67"/>
  <c r="G67" s="1"/>
  <c r="I67"/>
  <c r="J67"/>
  <c r="H68"/>
  <c r="G68" s="1"/>
  <c r="I68"/>
  <c r="J68"/>
  <c r="H69"/>
  <c r="G69" s="1"/>
  <c r="I69"/>
  <c r="J69"/>
  <c r="H70"/>
  <c r="G70" s="1"/>
  <c r="I70"/>
  <c r="J70"/>
  <c r="H71"/>
  <c r="G72"/>
  <c r="H72"/>
  <c r="I72"/>
  <c r="J72"/>
  <c r="H73"/>
  <c r="G74"/>
  <c r="H74"/>
  <c r="I74"/>
  <c r="J74"/>
  <c r="G75"/>
  <c r="H75"/>
  <c r="I75"/>
  <c r="J75"/>
  <c r="G76"/>
  <c r="H76"/>
  <c r="I76"/>
  <c r="J76"/>
  <c r="G77"/>
  <c r="H77"/>
  <c r="I77"/>
  <c r="J77"/>
  <c r="G78"/>
  <c r="G58" s="1"/>
  <c r="H78"/>
  <c r="I78"/>
  <c r="J78"/>
  <c r="J58" s="1"/>
  <c r="G80"/>
  <c r="G79" s="1"/>
  <c r="H80"/>
  <c r="H79" s="1"/>
  <c r="I80"/>
  <c r="I79" s="1"/>
  <c r="J80"/>
  <c r="J79" s="1"/>
  <c r="G81"/>
  <c r="H81"/>
  <c r="I81"/>
  <c r="J81"/>
  <c r="G83"/>
  <c r="H83"/>
  <c r="I83"/>
  <c r="J83"/>
  <c r="G84"/>
  <c r="H84"/>
  <c r="I84"/>
  <c r="J84"/>
  <c r="G85"/>
  <c r="H85"/>
  <c r="I85"/>
  <c r="J85"/>
  <c r="G86"/>
  <c r="H86"/>
  <c r="I86"/>
  <c r="J86"/>
  <c r="G87"/>
  <c r="H87"/>
  <c r="I87"/>
  <c r="J87"/>
  <c r="G88"/>
  <c r="H88"/>
  <c r="I88"/>
  <c r="J88"/>
  <c r="G89"/>
  <c r="H89"/>
  <c r="I89"/>
  <c r="J89"/>
  <c r="G90"/>
  <c r="H90"/>
  <c r="I90"/>
  <c r="J90"/>
  <c r="G91"/>
  <c r="H91"/>
  <c r="I91"/>
  <c r="J91"/>
  <c r="G92"/>
  <c r="H92"/>
  <c r="I92"/>
  <c r="J92"/>
  <c r="G93"/>
  <c r="H93"/>
  <c r="I93"/>
  <c r="J93"/>
  <c r="G97"/>
  <c r="G98"/>
  <c r="H98"/>
  <c r="H97" s="1"/>
  <c r="I98"/>
  <c r="I97" s="1"/>
  <c r="J98"/>
  <c r="J97" s="1"/>
  <c r="G99"/>
  <c r="H99"/>
  <c r="I99"/>
  <c r="J99"/>
  <c r="G100"/>
  <c r="H100"/>
  <c r="I100"/>
  <c r="J100"/>
  <c r="G101"/>
  <c r="H101"/>
  <c r="I101"/>
  <c r="J101"/>
  <c r="G102"/>
  <c r="H102"/>
  <c r="I102"/>
  <c r="J102"/>
  <c r="G103"/>
  <c r="H103"/>
  <c r="I103"/>
  <c r="J103"/>
  <c r="G104"/>
  <c r="H104"/>
  <c r="I104"/>
  <c r="J104"/>
  <c r="G106"/>
  <c r="G105" s="1"/>
  <c r="H106"/>
  <c r="H105" s="1"/>
  <c r="I106"/>
  <c r="I105" s="1"/>
  <c r="J106"/>
  <c r="J105" s="1"/>
  <c r="G107"/>
  <c r="H107"/>
  <c r="I107"/>
  <c r="J107"/>
  <c r="G108"/>
  <c r="H108"/>
  <c r="I108"/>
  <c r="J108"/>
  <c r="G109"/>
  <c r="H109"/>
  <c r="I109"/>
  <c r="J109"/>
  <c r="H110"/>
  <c r="G110" s="1"/>
  <c r="I110"/>
  <c r="J110"/>
  <c r="H111"/>
  <c r="I111"/>
  <c r="G111" s="1"/>
  <c r="J111"/>
  <c r="H112"/>
  <c r="I112"/>
  <c r="G112" s="1"/>
  <c r="J112"/>
  <c r="H113"/>
  <c r="I113"/>
  <c r="G113" s="1"/>
  <c r="J113"/>
  <c r="H114"/>
  <c r="I114"/>
  <c r="G114" s="1"/>
  <c r="J114"/>
  <c r="H115"/>
  <c r="G115" s="1"/>
  <c r="I115"/>
  <c r="J115"/>
  <c r="H116"/>
  <c r="G116" s="1"/>
  <c r="I116"/>
  <c r="J116"/>
  <c r="H117"/>
  <c r="I117"/>
  <c r="J117"/>
  <c r="H118"/>
  <c r="G118" s="1"/>
  <c r="I118"/>
  <c r="J118"/>
  <c r="H119"/>
  <c r="G119" s="1"/>
  <c r="I119"/>
  <c r="J119"/>
  <c r="H120"/>
  <c r="G120" s="1"/>
  <c r="I120"/>
  <c r="J120"/>
  <c r="H122"/>
  <c r="G122" s="1"/>
  <c r="G121" s="1"/>
  <c r="I122"/>
  <c r="I121" s="1"/>
  <c r="J122"/>
  <c r="J121" s="1"/>
  <c r="H123"/>
  <c r="I123"/>
  <c r="J123"/>
  <c r="H124"/>
  <c r="G124" s="1"/>
  <c r="I124"/>
  <c r="J124"/>
  <c r="H125"/>
  <c r="G125" s="1"/>
  <c r="I125"/>
  <c r="J125"/>
  <c r="I126"/>
  <c r="H127"/>
  <c r="G127" s="1"/>
  <c r="G126" s="1"/>
  <c r="I127"/>
  <c r="J127"/>
  <c r="J126" s="1"/>
  <c r="H128"/>
  <c r="G128" s="1"/>
  <c r="I128"/>
  <c r="J128"/>
  <c r="H129"/>
  <c r="I129"/>
  <c r="J129"/>
  <c r="H130"/>
  <c r="G130" s="1"/>
  <c r="I130"/>
  <c r="J130"/>
  <c r="H131"/>
  <c r="G131" s="1"/>
  <c r="I131"/>
  <c r="J131"/>
  <c r="H132"/>
  <c r="G132" s="1"/>
  <c r="I132"/>
  <c r="J132"/>
  <c r="H133"/>
  <c r="I133"/>
  <c r="J133"/>
  <c r="H136"/>
  <c r="G136" s="1"/>
  <c r="G135" s="1"/>
  <c r="I136"/>
  <c r="I135" s="1"/>
  <c r="J136"/>
  <c r="J135" s="1"/>
  <c r="H137"/>
  <c r="I137"/>
  <c r="J137"/>
  <c r="H139"/>
  <c r="I139"/>
  <c r="I138" s="1"/>
  <c r="J139"/>
  <c r="J138" s="1"/>
  <c r="H140"/>
  <c r="G140" s="1"/>
  <c r="I140"/>
  <c r="J140"/>
  <c r="I141"/>
  <c r="H142"/>
  <c r="G142" s="1"/>
  <c r="G141" s="1"/>
  <c r="I142"/>
  <c r="J142"/>
  <c r="J141" s="1"/>
  <c r="H143"/>
  <c r="G143" s="1"/>
  <c r="I143"/>
  <c r="J143"/>
  <c r="H144"/>
  <c r="G144" s="1"/>
  <c r="I144"/>
  <c r="J144"/>
  <c r="H145"/>
  <c r="I145"/>
  <c r="J145"/>
  <c r="H146"/>
  <c r="G146" s="1"/>
  <c r="I146"/>
  <c r="J146"/>
  <c r="H147"/>
  <c r="G147" s="1"/>
  <c r="I147"/>
  <c r="J147"/>
  <c r="H148"/>
  <c r="G148" s="1"/>
  <c r="I148"/>
  <c r="J148"/>
  <c r="H149"/>
  <c r="I149"/>
  <c r="J149"/>
  <c r="H150"/>
  <c r="G150" s="1"/>
  <c r="I150"/>
  <c r="J150"/>
  <c r="H151"/>
  <c r="G151" s="1"/>
  <c r="I151"/>
  <c r="J151"/>
  <c r="H152"/>
  <c r="G152" s="1"/>
  <c r="I152"/>
  <c r="J152"/>
  <c r="H154"/>
  <c r="G154" s="1"/>
  <c r="G153" s="1"/>
  <c r="I154"/>
  <c r="I153" s="1"/>
  <c r="J154"/>
  <c r="J153" s="1"/>
  <c r="H155"/>
  <c r="I155"/>
  <c r="J155"/>
  <c r="H156"/>
  <c r="G156" s="1"/>
  <c r="I156"/>
  <c r="J156"/>
  <c r="I157"/>
  <c r="H158"/>
  <c r="G158" s="1"/>
  <c r="G157" s="1"/>
  <c r="I158"/>
  <c r="J158"/>
  <c r="J157" s="1"/>
  <c r="H159"/>
  <c r="G159" s="1"/>
  <c r="I159"/>
  <c r="J159"/>
  <c r="H160"/>
  <c r="G160" s="1"/>
  <c r="I160"/>
  <c r="J160"/>
  <c r="H161"/>
  <c r="I161"/>
  <c r="J161"/>
  <c r="H162"/>
  <c r="G162" s="1"/>
  <c r="I162"/>
  <c r="J162"/>
  <c r="H163"/>
  <c r="G163" s="1"/>
  <c r="I163"/>
  <c r="J163"/>
  <c r="H164"/>
  <c r="G164" s="1"/>
  <c r="I164"/>
  <c r="J164"/>
  <c r="H165"/>
  <c r="I165"/>
  <c r="J165"/>
  <c r="H166"/>
  <c r="G166" s="1"/>
  <c r="I166"/>
  <c r="J166"/>
  <c r="H167"/>
  <c r="G167" s="1"/>
  <c r="I167"/>
  <c r="J167"/>
  <c r="H168"/>
  <c r="G168" s="1"/>
  <c r="I168"/>
  <c r="J168"/>
  <c r="H169"/>
  <c r="I169"/>
  <c r="J169"/>
  <c r="H170"/>
  <c r="G170" s="1"/>
  <c r="I170"/>
  <c r="J170"/>
  <c r="H171"/>
  <c r="G171" s="1"/>
  <c r="I171"/>
  <c r="J171"/>
  <c r="H172"/>
  <c r="G172" s="1"/>
  <c r="I172"/>
  <c r="J172"/>
  <c r="H173"/>
  <c r="I173"/>
  <c r="J173"/>
  <c r="H175"/>
  <c r="I175"/>
  <c r="I174" s="1"/>
  <c r="J175"/>
  <c r="J174" s="1"/>
  <c r="H176"/>
  <c r="G176" s="1"/>
  <c r="I176"/>
  <c r="J176"/>
  <c r="H177"/>
  <c r="G177" s="1"/>
  <c r="I177"/>
  <c r="J177"/>
  <c r="H178"/>
  <c r="G178" s="1"/>
  <c r="I178"/>
  <c r="J178"/>
  <c r="H179"/>
  <c r="I179"/>
  <c r="J179"/>
  <c r="H180"/>
  <c r="G180" s="1"/>
  <c r="I180"/>
  <c r="J180"/>
  <c r="H181"/>
  <c r="G181" s="1"/>
  <c r="I181"/>
  <c r="J181"/>
  <c r="H182"/>
  <c r="G182" s="1"/>
  <c r="I182"/>
  <c r="J182"/>
  <c r="I184"/>
  <c r="H185"/>
  <c r="G185" s="1"/>
  <c r="G184" s="1"/>
  <c r="I185"/>
  <c r="J185"/>
  <c r="J184" s="1"/>
  <c r="H186"/>
  <c r="G186" s="1"/>
  <c r="I186"/>
  <c r="J186"/>
  <c r="H187"/>
  <c r="I187"/>
  <c r="J187"/>
  <c r="H188"/>
  <c r="G188" s="1"/>
  <c r="I188"/>
  <c r="J188"/>
  <c r="I189"/>
  <c r="H190"/>
  <c r="G190" s="1"/>
  <c r="G189" s="1"/>
  <c r="I190"/>
  <c r="J190"/>
  <c r="J189" s="1"/>
  <c r="H191"/>
  <c r="G191" s="1"/>
  <c r="I191"/>
  <c r="J191"/>
  <c r="H192"/>
  <c r="G192" s="1"/>
  <c r="I192"/>
  <c r="J192"/>
  <c r="H193"/>
  <c r="I193"/>
  <c r="J193"/>
  <c r="H194"/>
  <c r="G194" s="1"/>
  <c r="I194"/>
  <c r="J194"/>
  <c r="I195"/>
  <c r="H196"/>
  <c r="G196" s="1"/>
  <c r="G195" s="1"/>
  <c r="I196"/>
  <c r="J196"/>
  <c r="J195" s="1"/>
  <c r="H197"/>
  <c r="G197" s="1"/>
  <c r="I197"/>
  <c r="J197"/>
  <c r="H198"/>
  <c r="G198" s="1"/>
  <c r="I198"/>
  <c r="J198"/>
  <c r="H200"/>
  <c r="G200" s="1"/>
  <c r="G199" s="1"/>
  <c r="I200"/>
  <c r="I199" s="1"/>
  <c r="J200"/>
  <c r="J199" s="1"/>
  <c r="H201"/>
  <c r="I201"/>
  <c r="J201"/>
  <c r="H202"/>
  <c r="G202" s="1"/>
  <c r="I202"/>
  <c r="J202"/>
  <c r="I203"/>
  <c r="H204"/>
  <c r="G204" s="1"/>
  <c r="G203" s="1"/>
  <c r="I204"/>
  <c r="J204"/>
  <c r="J203" s="1"/>
  <c r="H205"/>
  <c r="G205" s="1"/>
  <c r="I205"/>
  <c r="J205"/>
  <c r="H206"/>
  <c r="G206" s="1"/>
  <c r="I206"/>
  <c r="J206"/>
  <c r="H207"/>
  <c r="I207"/>
  <c r="J207"/>
  <c r="H208"/>
  <c r="G208" s="1"/>
  <c r="I208"/>
  <c r="J208"/>
  <c r="H209"/>
  <c r="G209" s="1"/>
  <c r="I209"/>
  <c r="J209"/>
  <c r="H210"/>
  <c r="G210" s="1"/>
  <c r="I210"/>
  <c r="J210"/>
  <c r="H211"/>
  <c r="I211"/>
  <c r="J211"/>
  <c r="H212"/>
  <c r="G212" s="1"/>
  <c r="I212"/>
  <c r="J212"/>
  <c r="H213"/>
  <c r="G213" s="1"/>
  <c r="I213"/>
  <c r="J213"/>
  <c r="H214"/>
  <c r="G214" s="1"/>
  <c r="I214"/>
  <c r="J214"/>
  <c r="H215"/>
  <c r="I215"/>
  <c r="J215"/>
  <c r="H217"/>
  <c r="I217"/>
  <c r="I216" s="1"/>
  <c r="J217"/>
  <c r="J216" s="1"/>
  <c r="H218"/>
  <c r="G218" s="1"/>
  <c r="I218"/>
  <c r="J218"/>
  <c r="H219"/>
  <c r="G219" s="1"/>
  <c r="I219"/>
  <c r="J219"/>
  <c r="H220"/>
  <c r="G220" s="1"/>
  <c r="I220"/>
  <c r="J220"/>
  <c r="H221"/>
  <c r="I221"/>
  <c r="J221"/>
  <c r="H223"/>
  <c r="I223"/>
  <c r="I222" s="1"/>
  <c r="J223"/>
  <c r="J222" s="1"/>
  <c r="H225"/>
  <c r="I225"/>
  <c r="I224" s="1"/>
  <c r="J225"/>
  <c r="J224" s="1"/>
  <c r="H226"/>
  <c r="G226" s="1"/>
  <c r="I226"/>
  <c r="J226"/>
  <c r="H227"/>
  <c r="G227" s="1"/>
  <c r="I227"/>
  <c r="J227"/>
  <c r="H228"/>
  <c r="G228" s="1"/>
  <c r="I228"/>
  <c r="J228"/>
  <c r="H229"/>
  <c r="I229"/>
  <c r="J229"/>
  <c r="H230"/>
  <c r="G230" s="1"/>
  <c r="I230"/>
  <c r="J230"/>
  <c r="H231"/>
  <c r="G231" s="1"/>
  <c r="I231"/>
  <c r="J231"/>
  <c r="H232"/>
  <c r="G232" s="1"/>
  <c r="I232"/>
  <c r="J232"/>
  <c r="H234"/>
  <c r="G234" s="1"/>
  <c r="G233" s="1"/>
  <c r="I234"/>
  <c r="I233" s="1"/>
  <c r="J234"/>
  <c r="J233" s="1"/>
  <c r="H235"/>
  <c r="I235"/>
  <c r="J235"/>
  <c r="H237"/>
  <c r="I237"/>
  <c r="I236" s="1"/>
  <c r="J237"/>
  <c r="J236" s="1"/>
  <c r="H238"/>
  <c r="G238" s="1"/>
  <c r="I238"/>
  <c r="J238"/>
  <c r="H239"/>
  <c r="G239" s="1"/>
  <c r="I239"/>
  <c r="J239"/>
  <c r="H240"/>
  <c r="G240" s="1"/>
  <c r="I240"/>
  <c r="J240"/>
  <c r="H242"/>
  <c r="G242" s="1"/>
  <c r="G241" s="1"/>
  <c r="I242"/>
  <c r="I241" s="1"/>
  <c r="J242"/>
  <c r="J241" s="1"/>
  <c r="H243"/>
  <c r="I243"/>
  <c r="J243"/>
  <c r="H244"/>
  <c r="G244" s="1"/>
  <c r="I244"/>
  <c r="J244"/>
  <c r="H246"/>
  <c r="G246" s="1"/>
  <c r="I246"/>
  <c r="J246"/>
  <c r="H249"/>
  <c r="I249"/>
  <c r="I248" s="1"/>
  <c r="J249"/>
  <c r="J248" s="1"/>
  <c r="H250"/>
  <c r="G250" s="1"/>
  <c r="I250"/>
  <c r="J250"/>
  <c r="H251"/>
  <c r="G251" s="1"/>
  <c r="I251"/>
  <c r="J251"/>
  <c r="H252"/>
  <c r="G252" s="1"/>
  <c r="I252"/>
  <c r="J252"/>
  <c r="H254"/>
  <c r="G254" s="1"/>
  <c r="G253" s="1"/>
  <c r="I254"/>
  <c r="I253" s="1"/>
  <c r="J254"/>
  <c r="J253" s="1"/>
  <c r="H255"/>
  <c r="I255"/>
  <c r="J255"/>
  <c r="H256"/>
  <c r="G256" s="1"/>
  <c r="I256"/>
  <c r="J256"/>
  <c r="H257"/>
  <c r="G257" s="1"/>
  <c r="I257"/>
  <c r="J257"/>
  <c r="H258"/>
  <c r="G258" s="1"/>
  <c r="I258"/>
  <c r="J258"/>
  <c r="H260"/>
  <c r="G260" s="1"/>
  <c r="G259" s="1"/>
  <c r="I260"/>
  <c r="I259" s="1"/>
  <c r="J260"/>
  <c r="J259" s="1"/>
  <c r="H261"/>
  <c r="I261"/>
  <c r="J261"/>
  <c r="H262"/>
  <c r="G262" s="1"/>
  <c r="I262"/>
  <c r="J262"/>
  <c r="I263"/>
  <c r="H264"/>
  <c r="G264" s="1"/>
  <c r="G263" s="1"/>
  <c r="I264"/>
  <c r="J264"/>
  <c r="J263" s="1"/>
  <c r="H265"/>
  <c r="G265" s="1"/>
  <c r="I265"/>
  <c r="J265"/>
  <c r="H266"/>
  <c r="G266" s="1"/>
  <c r="I266"/>
  <c r="J266"/>
  <c r="H267"/>
  <c r="I267"/>
  <c r="J267"/>
  <c r="H269"/>
  <c r="G269" s="1"/>
  <c r="G268" s="1"/>
  <c r="I269"/>
  <c r="I268" s="1"/>
  <c r="J269"/>
  <c r="J268" s="1"/>
  <c r="H270"/>
  <c r="I270"/>
  <c r="J270"/>
  <c r="H271"/>
  <c r="G271" s="1"/>
  <c r="I271"/>
  <c r="J271"/>
  <c r="H272"/>
  <c r="G272" s="1"/>
  <c r="I272"/>
  <c r="J272"/>
  <c r="H273"/>
  <c r="G273" s="1"/>
  <c r="I273"/>
  <c r="J273"/>
  <c r="H274"/>
  <c r="I274"/>
  <c r="J274"/>
  <c r="H275"/>
  <c r="G275" s="1"/>
  <c r="I275"/>
  <c r="J275"/>
  <c r="H276"/>
  <c r="G276" s="1"/>
  <c r="I276"/>
  <c r="J276"/>
  <c r="H277"/>
  <c r="G277" s="1"/>
  <c r="I277"/>
  <c r="J277"/>
  <c r="H278"/>
  <c r="I278"/>
  <c r="J278"/>
  <c r="H279"/>
  <c r="G279" s="1"/>
  <c r="I279"/>
  <c r="J279"/>
  <c r="H280"/>
  <c r="G280" s="1"/>
  <c r="I280"/>
  <c r="J280"/>
  <c r="I281"/>
  <c r="H282"/>
  <c r="G282" s="1"/>
  <c r="G281" s="1"/>
  <c r="I282"/>
  <c r="J282"/>
  <c r="J281" s="1"/>
  <c r="H283"/>
  <c r="G283" s="1"/>
  <c r="I283"/>
  <c r="J283"/>
  <c r="H284"/>
  <c r="G284" s="1"/>
  <c r="I284"/>
  <c r="J284"/>
  <c r="H285"/>
  <c r="I285"/>
  <c r="J285"/>
  <c r="H286"/>
  <c r="G286" s="1"/>
  <c r="I286"/>
  <c r="J286"/>
  <c r="H288"/>
  <c r="I288"/>
  <c r="I287" s="1"/>
  <c r="J288"/>
  <c r="J287" s="1"/>
  <c r="H289"/>
  <c r="G289" s="1"/>
  <c r="I289"/>
  <c r="J289"/>
  <c r="H291"/>
  <c r="I291"/>
  <c r="I290" s="1"/>
  <c r="J291"/>
  <c r="J290" s="1"/>
  <c r="H292"/>
  <c r="G292" s="1"/>
  <c r="I292"/>
  <c r="J292"/>
  <c r="H294"/>
  <c r="I294"/>
  <c r="I293" s="1"/>
  <c r="J294"/>
  <c r="J293" s="1"/>
  <c r="H295"/>
  <c r="G295" s="1"/>
  <c r="I295"/>
  <c r="J295"/>
  <c r="H297"/>
  <c r="I297"/>
  <c r="I296" s="1"/>
  <c r="J297"/>
  <c r="J296" s="1"/>
  <c r="H298"/>
  <c r="G298" s="1"/>
  <c r="I298"/>
  <c r="J298"/>
  <c r="H299"/>
  <c r="G299" s="1"/>
  <c r="I299"/>
  <c r="J299"/>
  <c r="I300"/>
  <c r="H301"/>
  <c r="G301" s="1"/>
  <c r="G300" s="1"/>
  <c r="I301"/>
  <c r="J301"/>
  <c r="J300" s="1"/>
  <c r="H302"/>
  <c r="G302" s="1"/>
  <c r="I302"/>
  <c r="J302"/>
  <c r="H303"/>
  <c r="G303" s="1"/>
  <c r="I303"/>
  <c r="J303"/>
  <c r="H304"/>
  <c r="I304"/>
  <c r="J304"/>
  <c r="H305"/>
  <c r="G305" s="1"/>
  <c r="I305"/>
  <c r="J305"/>
  <c r="H306"/>
  <c r="G306" s="1"/>
  <c r="I306"/>
  <c r="J306"/>
  <c r="H309"/>
  <c r="G309" s="1"/>
  <c r="G312" s="1"/>
  <c r="I309"/>
  <c r="I312" s="1"/>
  <c r="J309"/>
  <c r="H310"/>
  <c r="I310"/>
  <c r="J310"/>
  <c r="H311"/>
  <c r="G311" s="1"/>
  <c r="I311"/>
  <c r="J311"/>
  <c r="J312"/>
  <c r="H313"/>
  <c r="G313" s="1"/>
  <c r="G319" s="1"/>
  <c r="I313"/>
  <c r="I319" s="1"/>
  <c r="J313"/>
  <c r="H314"/>
  <c r="I314"/>
  <c r="J314"/>
  <c r="H315"/>
  <c r="G315" s="1"/>
  <c r="I315"/>
  <c r="J315"/>
  <c r="H316"/>
  <c r="G316" s="1"/>
  <c r="I316"/>
  <c r="J316"/>
  <c r="H317"/>
  <c r="G317" s="1"/>
  <c r="I317"/>
  <c r="J317"/>
  <c r="H318"/>
  <c r="I318"/>
  <c r="J318"/>
  <c r="J319"/>
  <c r="I321"/>
  <c r="H322"/>
  <c r="G322" s="1"/>
  <c r="G321" s="1"/>
  <c r="I322"/>
  <c r="J322"/>
  <c r="J321" s="1"/>
  <c r="H323"/>
  <c r="G323" s="1"/>
  <c r="I323"/>
  <c r="J323"/>
  <c r="H324"/>
  <c r="I324"/>
  <c r="J324"/>
  <c r="M326"/>
  <c r="E190" i="5" l="1"/>
  <c r="E140"/>
  <c r="E178"/>
  <c r="K260"/>
  <c r="K270" s="1"/>
  <c r="K279" s="1"/>
  <c r="G98"/>
  <c r="K227"/>
  <c r="E102"/>
  <c r="H140"/>
  <c r="E147"/>
  <c r="G153"/>
  <c r="E166"/>
  <c r="E181"/>
  <c r="G190"/>
  <c r="H213"/>
  <c r="H227" s="1"/>
  <c r="K13"/>
  <c r="F100"/>
  <c r="E105"/>
  <c r="E131"/>
  <c r="E130" s="1"/>
  <c r="E150"/>
  <c r="K30"/>
  <c r="K89" s="1"/>
  <c r="K235" s="1"/>
  <c r="H100"/>
  <c r="G140"/>
  <c r="E169"/>
  <c r="E172"/>
  <c r="E175"/>
  <c r="I31" i="4"/>
  <c r="I94" s="1"/>
  <c r="H98" i="5"/>
  <c r="G13"/>
  <c r="E53"/>
  <c r="G227"/>
  <c r="E207"/>
  <c r="E260"/>
  <c r="E270" s="1"/>
  <c r="H270"/>
  <c r="H279" s="1"/>
  <c r="H13"/>
  <c r="H89" s="1"/>
  <c r="G53"/>
  <c r="G89" s="1"/>
  <c r="H260"/>
  <c r="E32"/>
  <c r="E31" s="1"/>
  <c r="E30" s="1"/>
  <c r="E51"/>
  <c r="E50" s="1"/>
  <c r="F74"/>
  <c r="F91"/>
  <c r="F98" s="1"/>
  <c r="E101"/>
  <c r="F154"/>
  <c r="F157"/>
  <c r="E157" s="1"/>
  <c r="F184"/>
  <c r="E184" s="1"/>
  <c r="F48"/>
  <c r="F30" s="1"/>
  <c r="F59"/>
  <c r="E161"/>
  <c r="E164"/>
  <c r="E170"/>
  <c r="E173"/>
  <c r="E176"/>
  <c r="E182"/>
  <c r="F269"/>
  <c r="F14"/>
  <c r="F20"/>
  <c r="F54"/>
  <c r="F86"/>
  <c r="F140"/>
  <c r="F206"/>
  <c r="E217"/>
  <c r="E215" s="1"/>
  <c r="E213" s="1"/>
  <c r="F239"/>
  <c r="F260" s="1"/>
  <c r="G254"/>
  <c r="G260" s="1"/>
  <c r="G270" s="1"/>
  <c r="G279" s="1"/>
  <c r="I247" i="4"/>
  <c r="I245" s="1"/>
  <c r="I134" s="1"/>
  <c r="I183"/>
  <c r="J96"/>
  <c r="H58"/>
  <c r="H312"/>
  <c r="J247"/>
  <c r="J245" s="1"/>
  <c r="J31"/>
  <c r="J94" s="1"/>
  <c r="G324"/>
  <c r="H321"/>
  <c r="G318"/>
  <c r="G314"/>
  <c r="G310"/>
  <c r="G304"/>
  <c r="G297"/>
  <c r="G296" s="1"/>
  <c r="G294"/>
  <c r="G293" s="1"/>
  <c r="G291"/>
  <c r="G290" s="1"/>
  <c r="G288"/>
  <c r="G287" s="1"/>
  <c r="G285"/>
  <c r="G278"/>
  <c r="G274"/>
  <c r="G270"/>
  <c r="G267"/>
  <c r="G261"/>
  <c r="G255"/>
  <c r="G249"/>
  <c r="G248" s="1"/>
  <c r="G247" s="1"/>
  <c r="G243"/>
  <c r="G237"/>
  <c r="G236" s="1"/>
  <c r="G235"/>
  <c r="G229"/>
  <c r="G225"/>
  <c r="G224" s="1"/>
  <c r="G223"/>
  <c r="G222" s="1"/>
  <c r="G221"/>
  <c r="G217"/>
  <c r="G216" s="1"/>
  <c r="G215"/>
  <c r="G211"/>
  <c r="G207"/>
  <c r="G201"/>
  <c r="G193"/>
  <c r="G187"/>
  <c r="J183"/>
  <c r="J134" s="1"/>
  <c r="J307" s="1"/>
  <c r="G179"/>
  <c r="G175"/>
  <c r="G174" s="1"/>
  <c r="G173"/>
  <c r="G169"/>
  <c r="G165"/>
  <c r="G161"/>
  <c r="G155"/>
  <c r="G149"/>
  <c r="G145"/>
  <c r="G139"/>
  <c r="G138" s="1"/>
  <c r="G137"/>
  <c r="G133"/>
  <c r="G129"/>
  <c r="G123"/>
  <c r="G117"/>
  <c r="I96"/>
  <c r="G96"/>
  <c r="G46"/>
  <c r="G42"/>
  <c r="G41" s="1"/>
  <c r="G40"/>
  <c r="G36"/>
  <c r="H319"/>
  <c r="G31"/>
  <c r="G94" s="1"/>
  <c r="H300"/>
  <c r="H296"/>
  <c r="H293"/>
  <c r="H290"/>
  <c r="H287"/>
  <c r="H281"/>
  <c r="H268"/>
  <c r="H263"/>
  <c r="H259"/>
  <c r="H253"/>
  <c r="H248"/>
  <c r="H241"/>
  <c r="H236"/>
  <c r="H233"/>
  <c r="H224"/>
  <c r="H222"/>
  <c r="H216"/>
  <c r="H203"/>
  <c r="H199"/>
  <c r="H195"/>
  <c r="H189"/>
  <c r="H184"/>
  <c r="H174"/>
  <c r="H157"/>
  <c r="H153"/>
  <c r="H141"/>
  <c r="H138"/>
  <c r="H135"/>
  <c r="H126"/>
  <c r="H121"/>
  <c r="H41"/>
  <c r="H32"/>
  <c r="G14"/>
  <c r="G13" s="1"/>
  <c r="F13" i="5" l="1"/>
  <c r="F89" s="1"/>
  <c r="E89"/>
  <c r="E100"/>
  <c r="G235"/>
  <c r="G281" s="1"/>
  <c r="I307" i="4"/>
  <c r="I308" s="1"/>
  <c r="I320" s="1"/>
  <c r="I325" s="1"/>
  <c r="I327" s="1"/>
  <c r="H96"/>
  <c r="K109" s="1"/>
  <c r="H183"/>
  <c r="G183"/>
  <c r="G245"/>
  <c r="H247"/>
  <c r="H245" s="1"/>
  <c r="H235" i="5"/>
  <c r="H281" s="1"/>
  <c r="F53"/>
  <c r="E154"/>
  <c r="E153" s="1"/>
  <c r="E227" s="1"/>
  <c r="E235" s="1"/>
  <c r="F153"/>
  <c r="F227" s="1"/>
  <c r="F270"/>
  <c r="H31" i="4"/>
  <c r="H94" s="1"/>
  <c r="H134"/>
  <c r="H307" s="1"/>
  <c r="J308"/>
  <c r="J320" s="1"/>
  <c r="J325" s="1"/>
  <c r="J327" s="1"/>
  <c r="G134" l="1"/>
  <c r="G307" s="1"/>
  <c r="G308" s="1"/>
  <c r="G320" s="1"/>
  <c r="G325" s="1"/>
  <c r="G327" s="1"/>
  <c r="F235" i="5"/>
  <c r="K307" i="4"/>
  <c r="H308"/>
  <c r="H320" s="1"/>
  <c r="H325" s="1"/>
  <c r="H327" l="1"/>
  <c r="F278" i="5" l="1"/>
  <c r="E278" l="1"/>
  <c r="E277" s="1"/>
  <c r="E279" s="1"/>
  <c r="E281" s="1"/>
  <c r="F277"/>
  <c r="F279" s="1"/>
  <c r="F281" l="1"/>
  <c r="F280"/>
  <c r="I279"/>
  <c r="F283"/>
  <c r="I283"/>
  <c r="I288" s="1"/>
</calcChain>
</file>

<file path=xl/sharedStrings.xml><?xml version="1.0" encoding="utf-8"?>
<sst xmlns="http://schemas.openxmlformats.org/spreadsheetml/2006/main" count="605" uniqueCount="584">
  <si>
    <t>OIC- Provincial Accountant</t>
  </si>
  <si>
    <t>JOY D. LAGAT, CPA</t>
  </si>
  <si>
    <t>Certified Correct:</t>
  </si>
  <si>
    <t>Please verify if not 0</t>
  </si>
  <si>
    <t>NET INCOME</t>
  </si>
  <si>
    <t xml:space="preserve">Gain/Loss on Sale of Securities </t>
  </si>
  <si>
    <t xml:space="preserve">Gain/Loss on Sale of Disposed Assets </t>
  </si>
  <si>
    <t xml:space="preserve">Gain/Loss on Foreign Exchange (FOREX) </t>
  </si>
  <si>
    <t>Add (Less) Extraordinary Items</t>
  </si>
  <si>
    <t>Income before Extraordinary Expenses</t>
  </si>
  <si>
    <t xml:space="preserve">   Total</t>
  </si>
  <si>
    <t xml:space="preserve">Donations </t>
  </si>
  <si>
    <t xml:space="preserve">Subsidy to Other Funds </t>
  </si>
  <si>
    <t xml:space="preserve">Subsidy to NGOs/POs </t>
  </si>
  <si>
    <t xml:space="preserve">Subsidy to Government Owned and Controlled Corporations </t>
  </si>
  <si>
    <t xml:space="preserve">Subsidy to Local Government Units </t>
  </si>
  <si>
    <t>Less:</t>
  </si>
  <si>
    <t xml:space="preserve">Subsidy to National Government Agencies </t>
  </si>
  <si>
    <t xml:space="preserve">Subsidy from Other Funds </t>
  </si>
  <si>
    <t>Add:</t>
  </si>
  <si>
    <t xml:space="preserve">Subsidy from Other LGUs </t>
  </si>
  <si>
    <t xml:space="preserve">Subsidy from other National Government Agencies </t>
  </si>
  <si>
    <t>Income before Subsidies, Donations and Extraordinary Items</t>
  </si>
  <si>
    <t>TOTAL EXPENSES</t>
  </si>
  <si>
    <t xml:space="preserve">Other Financial Charges </t>
  </si>
  <si>
    <t xml:space="preserve">Interest Expenses </t>
  </si>
  <si>
    <t xml:space="preserve">Documentary Stamps Expenses </t>
  </si>
  <si>
    <t xml:space="preserve">Debt Service Subsidy to GOCCs </t>
  </si>
  <si>
    <t xml:space="preserve">Commitment Fees </t>
  </si>
  <si>
    <t xml:space="preserve">Bank Charges </t>
  </si>
  <si>
    <t>FINANCIAL EXPENSES</t>
  </si>
  <si>
    <t xml:space="preserve">Other Maintenance and Operating Expenses </t>
  </si>
  <si>
    <t xml:space="preserve">Loss on Guaranty </t>
  </si>
  <si>
    <t xml:space="preserve">Loss of Assets </t>
  </si>
  <si>
    <t>Other Maintenance and Operating Expenses</t>
  </si>
  <si>
    <t xml:space="preserve">Tax Refunds </t>
  </si>
  <si>
    <t xml:space="preserve">Loss from Tax Exemptions </t>
  </si>
  <si>
    <t>Tax Exemptions and Refunds</t>
  </si>
  <si>
    <t xml:space="preserve">Discount on Special Education Tax </t>
  </si>
  <si>
    <t xml:space="preserve">Discount on Real Property Taxes </t>
  </si>
  <si>
    <t>Discounts</t>
  </si>
  <si>
    <t>Depletion - Obsolescence - IT software</t>
  </si>
  <si>
    <t xml:space="preserve">Depreciation - Other Property, Plant and Equipment </t>
  </si>
  <si>
    <t>Other Property, Plant and Equipment</t>
  </si>
  <si>
    <t xml:space="preserve">Depreciation - Other Transportation Equipment </t>
  </si>
  <si>
    <t xml:space="preserve">Depreciation - Watercrafts </t>
  </si>
  <si>
    <t xml:space="preserve">Depreciation - Aircraft and Aircraft Ground Equipment </t>
  </si>
  <si>
    <t xml:space="preserve">Depreciation - Trains </t>
  </si>
  <si>
    <t xml:space="preserve">Depreciation - Motor Vehicles </t>
  </si>
  <si>
    <t>Transportation Equipment</t>
  </si>
  <si>
    <t xml:space="preserve">Depreciation - Other Machineries and Equipment </t>
  </si>
  <si>
    <t xml:space="preserve">Depreciation - Technical and Scientific Equipment </t>
  </si>
  <si>
    <t xml:space="preserve">Depreciation - Sports Equipment </t>
  </si>
  <si>
    <t xml:space="preserve">Depreciation - Military and Police Equipment </t>
  </si>
  <si>
    <t xml:space="preserve">Depreciation - Medical, Dental and Laboratory Equipment </t>
  </si>
  <si>
    <t xml:space="preserve">Depreciation - Hospital Equipment </t>
  </si>
  <si>
    <t xml:space="preserve">Depreciation - Firefighting Equipment and Accessories </t>
  </si>
  <si>
    <t xml:space="preserve">Depreciation - Construction and Heavy Equipment </t>
  </si>
  <si>
    <t xml:space="preserve">Depreciation - Communication Equipment </t>
  </si>
  <si>
    <t xml:space="preserve">Depreciation - Airport Equipment </t>
  </si>
  <si>
    <t xml:space="preserve">Depreciation - Agricultural, Fishery and Forestry Equipment </t>
  </si>
  <si>
    <t xml:space="preserve">Depreciation -Machineries  </t>
  </si>
  <si>
    <t>Machineries and Equipment</t>
  </si>
  <si>
    <t xml:space="preserve">Depreciation - Library Books </t>
  </si>
  <si>
    <t xml:space="preserve">Depreciation - IT Equipment </t>
  </si>
  <si>
    <t xml:space="preserve">Depreciation - Furniture and Fixtures </t>
  </si>
  <si>
    <t xml:space="preserve">Depreciation - Office Equipment </t>
  </si>
  <si>
    <t>Office Equipment, Furniture and Fixtures</t>
  </si>
  <si>
    <t xml:space="preserve">Depreciation - Other Leasehold Improvements </t>
  </si>
  <si>
    <t xml:space="preserve">Depreciation - Leasehold Improvements, Buildings </t>
  </si>
  <si>
    <t xml:space="preserve">Depreciation - Leasehold Improvements, Land </t>
  </si>
  <si>
    <t>Leasehold Improvements</t>
  </si>
  <si>
    <t xml:space="preserve">Depreciation - Other Structures </t>
  </si>
  <si>
    <t xml:space="preserve">Depreciation - Markets and Slaughterhouses </t>
  </si>
  <si>
    <t xml:space="preserve">Depreciation - Hospitals and Health Centers </t>
  </si>
  <si>
    <t xml:space="preserve">Depreciation - School Buildings </t>
  </si>
  <si>
    <t xml:space="preserve">Depreciation - Office Buildings </t>
  </si>
  <si>
    <t>Buildings</t>
  </si>
  <si>
    <t xml:space="preserve">Depreciation - Electrification, Power and Energy Structures </t>
  </si>
  <si>
    <t xml:space="preserve">Depreciation - Railways </t>
  </si>
  <si>
    <t xml:space="preserve">Depreciation - Runways/Taxiways </t>
  </si>
  <si>
    <t xml:space="preserve">Depreciation - Land Improvements </t>
  </si>
  <si>
    <t>Land Improvements</t>
  </si>
  <si>
    <t>Depreciation</t>
  </si>
  <si>
    <t xml:space="preserve">Bad Debts Expense </t>
  </si>
  <si>
    <t>Non-Cash Expenses</t>
  </si>
  <si>
    <t xml:space="preserve">Insurance Expenses </t>
  </si>
  <si>
    <t xml:space="preserve">Fidelity Bond Premiums </t>
  </si>
  <si>
    <t xml:space="preserve">Taxes, Duties and Licenses </t>
  </si>
  <si>
    <t>Taxes, Insurance Premiums and Other Fees</t>
  </si>
  <si>
    <t xml:space="preserve">Miscellaneous Expenses </t>
  </si>
  <si>
    <t xml:space="preserve">Extraordinary Expenses </t>
  </si>
  <si>
    <t xml:space="preserve">Intelligence Expenses </t>
  </si>
  <si>
    <t xml:space="preserve">Confidential Expenses </t>
  </si>
  <si>
    <t>Confidential, Intelligence, Extraordinary and Miscellaneous Expenses</t>
  </si>
  <si>
    <t xml:space="preserve">Repairs and Maintenance - Reforestation - Marshland/Swampland </t>
  </si>
  <si>
    <t xml:space="preserve">Repairs and Maintenance - Reforestation - Upland </t>
  </si>
  <si>
    <t>Reforestation Projects</t>
  </si>
  <si>
    <t xml:space="preserve">Repairs and Maintenance - Other Public Infrastructures </t>
  </si>
  <si>
    <t>Repairs and Maintenance - Waterways, Aqueducts, Seawalls, Riverwalls and Others</t>
  </si>
  <si>
    <t xml:space="preserve">Repairs and Maintenance - Flood Controls </t>
  </si>
  <si>
    <t xml:space="preserve">Repairs and Maintenance - Irrigation, Canals and Laterals </t>
  </si>
  <si>
    <t>Repairs and Maintenance - Artesian Wells, Reservoirs, Pumping Stations and Conduits</t>
  </si>
  <si>
    <t xml:space="preserve">Repairs and Maintenance - Ports, Lighthouses and Harbors </t>
  </si>
  <si>
    <t xml:space="preserve">Repairs and Maintenance - Parks, Plazas and Monuments </t>
  </si>
  <si>
    <t xml:space="preserve">Repairs and Maintenance - Roads, Highways and Bridges </t>
  </si>
  <si>
    <t>Public Infrastructures</t>
  </si>
  <si>
    <t xml:space="preserve">Repairs and Maintenance - Other Property, Plant and Equipment </t>
  </si>
  <si>
    <t xml:space="preserve">Repairs and Maintenance - Other Transportation Equipment </t>
  </si>
  <si>
    <t xml:space="preserve">Repairs and Maintenance - Watercrafts </t>
  </si>
  <si>
    <t xml:space="preserve">Repairs and Maintenance - Aircraft and Aircraft Ground Equipment </t>
  </si>
  <si>
    <t xml:space="preserve">Repairs and Maintenance - Trains </t>
  </si>
  <si>
    <t xml:space="preserve">Repairs and Maintenance - Motor Vehicles </t>
  </si>
  <si>
    <t xml:space="preserve">Repairs and Maintenance - Other Machineries and Equipment </t>
  </si>
  <si>
    <t xml:space="preserve">Repairs and Maintenance - Technical and Scientific Equipment </t>
  </si>
  <si>
    <t xml:space="preserve">Repairs and Maintenance - Sports Equipment </t>
  </si>
  <si>
    <t xml:space="preserve">Repairs and Maintenance - Military and Police Equipment </t>
  </si>
  <si>
    <t xml:space="preserve">Repairs and Maintenance - Medical, Dental and Laboratory Equipment </t>
  </si>
  <si>
    <t xml:space="preserve">Repairs and Maintenance - Hospital Equipment </t>
  </si>
  <si>
    <t xml:space="preserve">Repairs and Maintenance - Firefighting Equipment and Accessories </t>
  </si>
  <si>
    <t xml:space="preserve">Repairs and Maintenance - Construction and Heavy Equipment </t>
  </si>
  <si>
    <t xml:space="preserve">Repairs and Maintenance - Communication Equipment </t>
  </si>
  <si>
    <t xml:space="preserve">Repairs and Maintenance - Airport Equipment </t>
  </si>
  <si>
    <t xml:space="preserve">Repairs and Maintenance - Agricultural, Fishery and Forestry Equipment </t>
  </si>
  <si>
    <t xml:space="preserve">Repairs and Maintenance - Machineries </t>
  </si>
  <si>
    <t xml:space="preserve">Repairs and Maintenance - IT Equipment and Software </t>
  </si>
  <si>
    <t xml:space="preserve">Repairs and Maintenance - Furniture and Fixtures </t>
  </si>
  <si>
    <t xml:space="preserve">Repairs and Maintenance - Office Equipment </t>
  </si>
  <si>
    <t>Office Equipment, Furnitures and Fixtures</t>
  </si>
  <si>
    <t xml:space="preserve">Repairs and Maintenance - Other Leasehold Improvements </t>
  </si>
  <si>
    <t xml:space="preserve">Repairs and Maintenance - Leasehold Improvements, Buildings </t>
  </si>
  <si>
    <t xml:space="preserve">Repairs and Maintenance - Leasehold Improvements, Land </t>
  </si>
  <si>
    <t xml:space="preserve">Repairs and Maintenance - Other Structures </t>
  </si>
  <si>
    <t xml:space="preserve">Repairs and Maintenance - Markets and Slaughterhouses </t>
  </si>
  <si>
    <t xml:space="preserve">Repairs and Maintenance - Hospitals and Health Centers </t>
  </si>
  <si>
    <t xml:space="preserve">Repairs and Maintenance - School Buildings </t>
  </si>
  <si>
    <t xml:space="preserve">Repairs and Maintenance - Office Buildings </t>
  </si>
  <si>
    <t xml:space="preserve">Repairs and Maintenance - Electrification, Power and Energy Structures </t>
  </si>
  <si>
    <t xml:space="preserve">Repairs and Maintenance - Railways </t>
  </si>
  <si>
    <t xml:space="preserve">Repairs and Maintenance - Runways/Taxiways </t>
  </si>
  <si>
    <t xml:space="preserve">Repairs and Maintenance - Land Improvements </t>
  </si>
  <si>
    <t>Repairs and Maintenance</t>
  </si>
  <si>
    <t xml:space="preserve">Other Professional Services </t>
  </si>
  <si>
    <t xml:space="preserve">Security Services </t>
  </si>
  <si>
    <t xml:space="preserve">Janitorial Services </t>
  </si>
  <si>
    <t xml:space="preserve">General Services </t>
  </si>
  <si>
    <t xml:space="preserve">Environment/Sanitary Services </t>
  </si>
  <si>
    <t xml:space="preserve">Consultancy Services </t>
  </si>
  <si>
    <t xml:space="preserve">Auditing Services </t>
  </si>
  <si>
    <t xml:space="preserve">Legal Services </t>
  </si>
  <si>
    <t>Professional Services</t>
  </si>
  <si>
    <t xml:space="preserve">Rewards and Other Claims </t>
  </si>
  <si>
    <t xml:space="preserve">Survey Expenses </t>
  </si>
  <si>
    <t xml:space="preserve">Subscriptions Expenses </t>
  </si>
  <si>
    <t xml:space="preserve">Storage Expenses </t>
  </si>
  <si>
    <t xml:space="preserve">Transportation and Delivery Expenses </t>
  </si>
  <si>
    <t xml:space="preserve">Representation Expenses </t>
  </si>
  <si>
    <t xml:space="preserve">Rent Expenses </t>
  </si>
  <si>
    <t xml:space="preserve">Printing and Binding Expenses </t>
  </si>
  <si>
    <t xml:space="preserve">Advertising Expenses </t>
  </si>
  <si>
    <t xml:space="preserve">Awards and Indemnities </t>
  </si>
  <si>
    <t xml:space="preserve">Membership Dues and Contributions to Organizations </t>
  </si>
  <si>
    <t xml:space="preserve">Cable, Satellite, Telegraph, and Radio Expenses </t>
  </si>
  <si>
    <t xml:space="preserve">Internet Expenses </t>
  </si>
  <si>
    <t xml:space="preserve">Telephone Expenses - Mobile </t>
  </si>
  <si>
    <t xml:space="preserve">Telephone Expenses - Landline </t>
  </si>
  <si>
    <t xml:space="preserve">Postage and Deliveries </t>
  </si>
  <si>
    <t>Communication Expenses</t>
  </si>
  <si>
    <t xml:space="preserve">Cooking Gas Expenses </t>
  </si>
  <si>
    <t xml:space="preserve">Electricity Expenses </t>
  </si>
  <si>
    <t xml:space="preserve">Water Expenses </t>
  </si>
  <si>
    <t>Utility Expenses</t>
  </si>
  <si>
    <t xml:space="preserve">Other Supplies Expenses </t>
  </si>
  <si>
    <t xml:space="preserve">Military and Police Supplies Expenses </t>
  </si>
  <si>
    <t xml:space="preserve">Textbooks and Instructional Materials Expenses </t>
  </si>
  <si>
    <t xml:space="preserve">Agricultural Supplies Expenses </t>
  </si>
  <si>
    <t xml:space="preserve">Gasoline, Oil and Lubricants Expenses </t>
  </si>
  <si>
    <t xml:space="preserve">Medical, Dental and Laboratory Supplies Expenses </t>
  </si>
  <si>
    <t xml:space="preserve">Drugs and Medicines Expenses </t>
  </si>
  <si>
    <t xml:space="preserve">Food Supplies Expenses </t>
  </si>
  <si>
    <t xml:space="preserve">Animal/Zoological Supplies Expenses </t>
  </si>
  <si>
    <t xml:space="preserve">Accountable Forms Expenses </t>
  </si>
  <si>
    <t xml:space="preserve">Office Supplies Expenses </t>
  </si>
  <si>
    <t>Supplies and Materials Expenses</t>
  </si>
  <si>
    <t xml:space="preserve">Scholarship Expenses </t>
  </si>
  <si>
    <t xml:space="preserve">Training Expenses </t>
  </si>
  <si>
    <t>Training and Scholarship Expenses</t>
  </si>
  <si>
    <t xml:space="preserve">Traveling Expenses - Foreign </t>
  </si>
  <si>
    <t xml:space="preserve">Traveling Expenses - Local </t>
  </si>
  <si>
    <t>Traveling Expenses</t>
  </si>
  <si>
    <t>MAINTENANCE AND OTHER OPERATING EXPENSES</t>
  </si>
  <si>
    <t xml:space="preserve">Other Personnel Benefits </t>
  </si>
  <si>
    <t xml:space="preserve">Health Workers Benefits </t>
  </si>
  <si>
    <t xml:space="preserve">Terminal Leave Benefits </t>
  </si>
  <si>
    <t xml:space="preserve">Retirement Benefits - Military/Uniformed </t>
  </si>
  <si>
    <t xml:space="preserve">Retirement Benefits - Civilian </t>
  </si>
  <si>
    <t xml:space="preserve">Pension Benefits - Military/Uniformed </t>
  </si>
  <si>
    <t xml:space="preserve">Pension Benefits - Civilian </t>
  </si>
  <si>
    <t>Other Personnel Benefits</t>
  </si>
  <si>
    <t xml:space="preserve">ECC Contributions </t>
  </si>
  <si>
    <t xml:space="preserve">PHILHEALTH Contributions </t>
  </si>
  <si>
    <t xml:space="preserve">PAG-IBIG Contributions </t>
  </si>
  <si>
    <t xml:space="preserve">Life and Retirement Insurance Contributions </t>
  </si>
  <si>
    <t>Personnel Benefits Contribution</t>
  </si>
  <si>
    <t xml:space="preserve">Year End Bonus </t>
  </si>
  <si>
    <t xml:space="preserve">Cash Gift </t>
  </si>
  <si>
    <t xml:space="preserve">Overtime and Night Pay </t>
  </si>
  <si>
    <t xml:space="preserve">Longevity Pay </t>
  </si>
  <si>
    <t xml:space="preserve">Hazard Pay </t>
  </si>
  <si>
    <t xml:space="preserve">Honoraria </t>
  </si>
  <si>
    <t xml:space="preserve">Other Bonuses and Allowances </t>
  </si>
  <si>
    <t xml:space="preserve">Overseas Allowance </t>
  </si>
  <si>
    <t xml:space="preserve">Productivity Incentive Allowance </t>
  </si>
  <si>
    <t xml:space="preserve">Subsistence, Laundry and Quarter Allowance </t>
  </si>
  <si>
    <t xml:space="preserve">Clothing/Uniform Allowance </t>
  </si>
  <si>
    <t xml:space="preserve">Transportation Allowance (TA) </t>
  </si>
  <si>
    <t xml:space="preserve">Representation Allowance (RA) </t>
  </si>
  <si>
    <t xml:space="preserve">Additional Compensation ( ADCOM) </t>
  </si>
  <si>
    <t xml:space="preserve">Personnel Economic Relief Allowance ( PERA) </t>
  </si>
  <si>
    <t>Other Compensation</t>
  </si>
  <si>
    <t xml:space="preserve">Salaries and Wages - Emergency </t>
  </si>
  <si>
    <t xml:space="preserve">Salaries and Wages - Contractual </t>
  </si>
  <si>
    <t xml:space="preserve">Salaries and Wages - Casual </t>
  </si>
  <si>
    <t xml:space="preserve">Salaries and Wages - Substitute </t>
  </si>
  <si>
    <t xml:space="preserve">Salaries and Wages - Part-time </t>
  </si>
  <si>
    <t xml:space="preserve">Salaries and Wages - Military/Uniformed </t>
  </si>
  <si>
    <t xml:space="preserve">Salaries and Wages - Regular </t>
  </si>
  <si>
    <t>Salaries and Wages</t>
  </si>
  <si>
    <t>PERSONAL SERVICES</t>
  </si>
  <si>
    <t>EXPENSES</t>
  </si>
  <si>
    <t>TOTAL INCOME</t>
  </si>
  <si>
    <t xml:space="preserve">Other Fines and Penalties </t>
  </si>
  <si>
    <t xml:space="preserve">Miscellaneous Income </t>
  </si>
  <si>
    <t xml:space="preserve">Share from Tobacco Excise Tax </t>
  </si>
  <si>
    <t xml:space="preserve">Share from PAGCOR/PCSO </t>
  </si>
  <si>
    <t xml:space="preserve">Share from National Wealth </t>
  </si>
  <si>
    <t xml:space="preserve">Share from Expanded Value Added Tax (EVAT) </t>
  </si>
  <si>
    <t xml:space="preserve">Share from Economic Zones </t>
  </si>
  <si>
    <t xml:space="preserve">Sale of Confiscated/Abandoned/Seized Goods and Properties </t>
  </si>
  <si>
    <t xml:space="preserve">Internal Revenue Allotment </t>
  </si>
  <si>
    <t xml:space="preserve">Interest Income </t>
  </si>
  <si>
    <t xml:space="preserve">Insurance Income </t>
  </si>
  <si>
    <t xml:space="preserve">Income from Communication Facilities </t>
  </si>
  <si>
    <t xml:space="preserve">Income from Grants and Donations </t>
  </si>
  <si>
    <t xml:space="preserve">Dividend Income </t>
  </si>
  <si>
    <t>Other Income</t>
  </si>
  <si>
    <t>Gross Profit</t>
  </si>
  <si>
    <t xml:space="preserve">Less: Cost of Goods Sold </t>
  </si>
  <si>
    <t xml:space="preserve">Sales Revenue </t>
  </si>
  <si>
    <t xml:space="preserve">Fines and Penalties - Business Income </t>
  </si>
  <si>
    <t xml:space="preserve">Other Business Income </t>
  </si>
  <si>
    <t>Subsidy from National Government Agencies</t>
  </si>
  <si>
    <t xml:space="preserve">Tuition Fees </t>
  </si>
  <si>
    <t xml:space="preserve">Rent Income </t>
  </si>
  <si>
    <t xml:space="preserve">Printing and Publication Income </t>
  </si>
  <si>
    <t xml:space="preserve">Landing and Parking Fees </t>
  </si>
  <si>
    <t xml:space="preserve">Income from Waterworks Systems </t>
  </si>
  <si>
    <t xml:space="preserve">Income from Transportation Systems </t>
  </si>
  <si>
    <t xml:space="preserve">Income from Slaughterhouses </t>
  </si>
  <si>
    <t xml:space="preserve">Income from Markets </t>
  </si>
  <si>
    <t xml:space="preserve">Income from Dormitory Operations </t>
  </si>
  <si>
    <t xml:space="preserve">Income from Cemetery Operations </t>
  </si>
  <si>
    <t xml:space="preserve">Income from Canteen Operations </t>
  </si>
  <si>
    <t xml:space="preserve">Hospital Fees </t>
  </si>
  <si>
    <t>Business Income</t>
  </si>
  <si>
    <t xml:space="preserve">Fines and Penalties - Service Income </t>
  </si>
  <si>
    <t xml:space="preserve">Other Service Income </t>
  </si>
  <si>
    <t xml:space="preserve">Transcript of Records Fees </t>
  </si>
  <si>
    <t xml:space="preserve">Toll and Terminal Fees </t>
  </si>
  <si>
    <t xml:space="preserve">Seminar Fees </t>
  </si>
  <si>
    <t xml:space="preserve">Processing Fees </t>
  </si>
  <si>
    <t xml:space="preserve">Passport and Visa Fees </t>
  </si>
  <si>
    <t xml:space="preserve">Medical, Dental and Laboratory Fees </t>
  </si>
  <si>
    <t xml:space="preserve">Inspection Fees </t>
  </si>
  <si>
    <t xml:space="preserve">Garbage Fees </t>
  </si>
  <si>
    <t xml:space="preserve">Diploma and Graduation Fees </t>
  </si>
  <si>
    <t xml:space="preserve">Comprehensive Examination Fees </t>
  </si>
  <si>
    <t xml:space="preserve">Clearance and Certification Fees </t>
  </si>
  <si>
    <t xml:space="preserve">Athletic and Cultural Fees </t>
  </si>
  <si>
    <t xml:space="preserve">Affiliation Fees </t>
  </si>
  <si>
    <t>Service Income</t>
  </si>
  <si>
    <t xml:space="preserve">Fines and Penalties - Permits and Licenses </t>
  </si>
  <si>
    <t xml:space="preserve">Other Permits and Licenses </t>
  </si>
  <si>
    <t xml:space="preserve">Registration Fees </t>
  </si>
  <si>
    <t xml:space="preserve">Permit Fees </t>
  </si>
  <si>
    <t xml:space="preserve">Motor Vehicles Users Charge </t>
  </si>
  <si>
    <t xml:space="preserve">Franchising and Licensing Fees </t>
  </si>
  <si>
    <t>Fishery Rental Fees</t>
  </si>
  <si>
    <t xml:space="preserve">Fees on Weights and Measures </t>
  </si>
  <si>
    <t>Permits and Licenses</t>
  </si>
  <si>
    <t>GENERAL INCOME ACCOUNTS</t>
  </si>
  <si>
    <t xml:space="preserve">Fines and Penalties - Local Taxes </t>
  </si>
  <si>
    <t xml:space="preserve">Other Local Taxes </t>
  </si>
  <si>
    <t>Excise Tax on Articles</t>
  </si>
  <si>
    <t xml:space="preserve">Tax on Sand, Gravel and Other Quarry Products </t>
  </si>
  <si>
    <t xml:space="preserve">Tax on Delivery Trucks and Vans </t>
  </si>
  <si>
    <t xml:space="preserve">Special Education Tax </t>
  </si>
  <si>
    <t xml:space="preserve">Special Assessment Tax </t>
  </si>
  <si>
    <t xml:space="preserve">Real Property Tax on Idle Lands </t>
  </si>
  <si>
    <t xml:space="preserve">Real Property Tax </t>
  </si>
  <si>
    <t xml:space="preserve">Property Transfer Tax </t>
  </si>
  <si>
    <t xml:space="preserve">Printing and Publication Tax </t>
  </si>
  <si>
    <t>Occupation Tax **</t>
  </si>
  <si>
    <t xml:space="preserve">Franchise Tax </t>
  </si>
  <si>
    <t xml:space="preserve">Community Tax </t>
  </si>
  <si>
    <t xml:space="preserve">Business Tax </t>
  </si>
  <si>
    <t xml:space="preserve">Amusement Tax </t>
  </si>
  <si>
    <t>Professional Tax</t>
  </si>
  <si>
    <t>Local Taxes</t>
  </si>
  <si>
    <t>TAX REVENUE</t>
  </si>
  <si>
    <t>For the Quarter Ended September 30, 2011</t>
  </si>
  <si>
    <t>STATEMENT OF INCOME AND EXPENSES</t>
  </si>
  <si>
    <t>GENERAL FUND - PROPER</t>
  </si>
  <si>
    <t>Gov. Democrito O. Plaza Government Center, Prosperidad</t>
  </si>
  <si>
    <t>PROVINCE OF AGUSAN DEL SUR</t>
  </si>
  <si>
    <t>Republic of the Philippines</t>
  </si>
  <si>
    <t>BALANCE SHEET</t>
  </si>
  <si>
    <t>As of September 30, 2011</t>
  </si>
  <si>
    <t>ASSETS</t>
  </si>
  <si>
    <t>CURRENT ASSETS</t>
  </si>
  <si>
    <t>CASH</t>
  </si>
  <si>
    <t>Cash on Hand</t>
  </si>
  <si>
    <t xml:space="preserve">Cash in Vault </t>
  </si>
  <si>
    <t>Cash - Collecting Officers</t>
  </si>
  <si>
    <t xml:space="preserve">Cash - Disbursing Officers </t>
  </si>
  <si>
    <t>Petty Cash Fund</t>
  </si>
  <si>
    <t>Payroll Fund</t>
  </si>
  <si>
    <t>Cash in Bank - Local Currency</t>
  </si>
  <si>
    <t xml:space="preserve">Cash - Bangko Sentral ng Pilipinas </t>
  </si>
  <si>
    <t xml:space="preserve">Cash in Bank - Local Currency, Current Account </t>
  </si>
  <si>
    <t xml:space="preserve">Cash in Bank - Local Currency, Savings Account </t>
  </si>
  <si>
    <t xml:space="preserve">Cash in Bank - Local Currency, Time Deposits </t>
  </si>
  <si>
    <t>Cash in Bank - Foreign Currency</t>
  </si>
  <si>
    <t xml:space="preserve">Cash in Bank - Foreign Currency, Current Account </t>
  </si>
  <si>
    <t xml:space="preserve">Cash in Bank - Foreign Currency, Savings Account </t>
  </si>
  <si>
    <t xml:space="preserve">Cash in Bank - Foreign Currency, Time Deposits </t>
  </si>
  <si>
    <t>RECEIVABLES</t>
  </si>
  <si>
    <t>Receivable Accounts</t>
  </si>
  <si>
    <t xml:space="preserve">Accounts Receivable </t>
  </si>
  <si>
    <t xml:space="preserve">   Allowance for Doubtful Accounts </t>
  </si>
  <si>
    <t xml:space="preserve">Notes Receivable </t>
  </si>
  <si>
    <t>Advances to Officers &amp; Employees</t>
  </si>
  <si>
    <t xml:space="preserve">Loans Receivable - GOCCs </t>
  </si>
  <si>
    <t xml:space="preserve">Loans Receivable - LGUs </t>
  </si>
  <si>
    <t xml:space="preserve">Loans Receivable - Others </t>
  </si>
  <si>
    <t xml:space="preserve">Real Property Tax Receivable </t>
  </si>
  <si>
    <t xml:space="preserve">Special Education Tax Receivable </t>
  </si>
  <si>
    <t xml:space="preserve">Interests Receivable </t>
  </si>
  <si>
    <t>Inter-Agency Receivables</t>
  </si>
  <si>
    <t xml:space="preserve">Due from NGAs </t>
  </si>
  <si>
    <t xml:space="preserve">Due from GOCCs </t>
  </si>
  <si>
    <t xml:space="preserve">Due from LGUs </t>
  </si>
  <si>
    <t xml:space="preserve">Due from NGOs/POs </t>
  </si>
  <si>
    <t>Due from Operating Units</t>
  </si>
  <si>
    <t>Intra-Agency Receivables</t>
  </si>
  <si>
    <t xml:space="preserve">Due from Other Funds </t>
  </si>
  <si>
    <t>Other Receivables</t>
  </si>
  <si>
    <t xml:space="preserve">Receivables - Disallowances/Charges </t>
  </si>
  <si>
    <t xml:space="preserve">Other Receivables </t>
  </si>
  <si>
    <t>INVENTORIES</t>
  </si>
  <si>
    <t>Materials</t>
  </si>
  <si>
    <t xml:space="preserve">Raw Materials Inventory </t>
  </si>
  <si>
    <t xml:space="preserve">Work-In-Process Inventory </t>
  </si>
  <si>
    <t xml:space="preserve">Finished Goods Inventory </t>
  </si>
  <si>
    <t xml:space="preserve">Merchandise Inventory </t>
  </si>
  <si>
    <t>Supplies</t>
  </si>
  <si>
    <t xml:space="preserve">Office Supplies Inventory </t>
  </si>
  <si>
    <t xml:space="preserve">Accountable Forms Inventory </t>
  </si>
  <si>
    <t xml:space="preserve">Animal/Zoological Supplies Inventory </t>
  </si>
  <si>
    <t xml:space="preserve">Food Supplies Inventory </t>
  </si>
  <si>
    <t xml:space="preserve">Drugs and Medicines Inventory </t>
  </si>
  <si>
    <t xml:space="preserve">Medical, Dental and Laboratory Supplies Inventory </t>
  </si>
  <si>
    <t xml:space="preserve">Gasoline, Oil and Lubricants Inventory </t>
  </si>
  <si>
    <t xml:space="preserve">Agricultural Supplies Inventory </t>
  </si>
  <si>
    <t xml:space="preserve">Textbooks and Instructional Materials Inventory </t>
  </si>
  <si>
    <t xml:space="preserve">Military and Police Supplies Inventory </t>
  </si>
  <si>
    <t xml:space="preserve">Other Supplies Inventory </t>
  </si>
  <si>
    <t xml:space="preserve">Confiscated/Abandoned/Seized Goods Inventory </t>
  </si>
  <si>
    <t xml:space="preserve">Spare Parts Inventory </t>
  </si>
  <si>
    <t xml:space="preserve">Construction Materials Inventory </t>
  </si>
  <si>
    <t>Agricultural, Fishery and Forestry Products</t>
  </si>
  <si>
    <t xml:space="preserve">Livestock Inventory </t>
  </si>
  <si>
    <t xml:space="preserve">Crops and Fruits Inventory </t>
  </si>
  <si>
    <t xml:space="preserve">Other Agricultural, Fishery and Forestry Products Inventory </t>
  </si>
  <si>
    <t>PREPAYMENTS</t>
  </si>
  <si>
    <t xml:space="preserve">Prepaid Rent </t>
  </si>
  <si>
    <t>Prepaid Insurance</t>
  </si>
  <si>
    <t xml:space="preserve">Prepaid Interest </t>
  </si>
  <si>
    <t xml:space="preserve">Deposit on Letters of Credit </t>
  </si>
  <si>
    <t xml:space="preserve">Advances to Contractors </t>
  </si>
  <si>
    <t xml:space="preserve">Deferred Charges </t>
  </si>
  <si>
    <t xml:space="preserve">Other Prepaid Expenses </t>
  </si>
  <si>
    <t>OTHER CURRENT ASSETS</t>
  </si>
  <si>
    <t xml:space="preserve">Guaranty Deposits </t>
  </si>
  <si>
    <t xml:space="preserve">Other Current Assets </t>
  </si>
  <si>
    <t>Total Current Assets</t>
  </si>
  <si>
    <t>INVESTMENTS</t>
  </si>
  <si>
    <t>INVESTMENT IN SECURITIES</t>
  </si>
  <si>
    <t xml:space="preserve">Investments in Treasury Bills </t>
  </si>
  <si>
    <t xml:space="preserve">Investments in Stocks </t>
  </si>
  <si>
    <t xml:space="preserve">Investments in Bonds </t>
  </si>
  <si>
    <t xml:space="preserve">Other Investments and Marketable Securities </t>
  </si>
  <si>
    <t>SINKING FUND</t>
  </si>
  <si>
    <t xml:space="preserve">Sinking Fund </t>
  </si>
  <si>
    <t>Total Investments</t>
  </si>
  <si>
    <t>PROPERTY, PLANT AND EQUIPMENT</t>
  </si>
  <si>
    <t>LAND AND LAND IMPROVEMENTS</t>
  </si>
  <si>
    <t>Land</t>
  </si>
  <si>
    <t>Land Improvements (net)</t>
  </si>
  <si>
    <t xml:space="preserve">   Accumulated Depreciation – Land Improvements</t>
  </si>
  <si>
    <t>Runways/Taxiways (net)</t>
  </si>
  <si>
    <t xml:space="preserve">Runways/Taxiways </t>
  </si>
  <si>
    <t xml:space="preserve">   Accumulated Depreciation - Runways/Taxiways </t>
  </si>
  <si>
    <t>Railways (net)</t>
  </si>
  <si>
    <t xml:space="preserve">Railways </t>
  </si>
  <si>
    <t xml:space="preserve">   Accumulated Depreciation - Railways </t>
  </si>
  <si>
    <t>Electrification, Power and Energy Structures  (net)</t>
  </si>
  <si>
    <t xml:space="preserve">Electrification, Power and Energy Structures </t>
  </si>
  <si>
    <t xml:space="preserve">   Accumulated Depreciation - Electrification, Power and Energy</t>
  </si>
  <si>
    <t>BUILDINGS</t>
  </si>
  <si>
    <t>Office Buildings (net)</t>
  </si>
  <si>
    <t xml:space="preserve">Office Buildings </t>
  </si>
  <si>
    <t xml:space="preserve">   Accumulated Depreciation - Office Buildings </t>
  </si>
  <si>
    <t>School Buildings (net)</t>
  </si>
  <si>
    <t xml:space="preserve">School Buildings </t>
  </si>
  <si>
    <t xml:space="preserve">   Accumulated Depreciation - School Buildings </t>
  </si>
  <si>
    <t>Hospitals and Health Centers (net)</t>
  </si>
  <si>
    <t xml:space="preserve">Hospitals and Health Centers  </t>
  </si>
  <si>
    <t xml:space="preserve">   Accumulated Depreciation - Hospitals and Health Centers </t>
  </si>
  <si>
    <t>Markets and Slaughterhouses   (net)</t>
  </si>
  <si>
    <t xml:space="preserve">Markets and Slaughterhouses  </t>
  </si>
  <si>
    <t xml:space="preserve">   Accumulated Depreciation - Markets and Slaughterhouses </t>
  </si>
  <si>
    <t>Other Structures    (net)</t>
  </si>
  <si>
    <t xml:space="preserve">Other Structures </t>
  </si>
  <si>
    <t xml:space="preserve">   Accumulated Depreciation - Other Structures</t>
  </si>
  <si>
    <t>LEASEHOLD IMPROVEMENTS</t>
  </si>
  <si>
    <t>Leasehold Improvements, Land (net)</t>
  </si>
  <si>
    <t xml:space="preserve">Leasehold Improvements, Land </t>
  </si>
  <si>
    <t xml:space="preserve">   Accumulated Depreciation - Leasehold Improvements, Land </t>
  </si>
  <si>
    <t>Leasehold Improvements, Buildings (net)</t>
  </si>
  <si>
    <t xml:space="preserve">Leasehold Improvements, Buildings </t>
  </si>
  <si>
    <t xml:space="preserve">   Accumulated Depreciation - Leasehold Improvements, Buildings </t>
  </si>
  <si>
    <t>Other Leasehold Improvements (net)</t>
  </si>
  <si>
    <t xml:space="preserve">Other Leasehold Improvements </t>
  </si>
  <si>
    <t xml:space="preserve">   Accumulated Depreciation - Other Leasehold Improvements </t>
  </si>
  <si>
    <t>OFFICE EQUIPMENT, FURNITURE AND FIXTURES</t>
  </si>
  <si>
    <t>Office Equipment (net)</t>
  </si>
  <si>
    <t xml:space="preserve">Office Equipment </t>
  </si>
  <si>
    <t xml:space="preserve">   Accumulated Depreciation - Office Equipment </t>
  </si>
  <si>
    <t>Furniture and Fixtures   (net)</t>
  </si>
  <si>
    <t xml:space="preserve">Furniture and Fixtures  </t>
  </si>
  <si>
    <t xml:space="preserve">   Accumulated Depreciation - Furniture and Fixtures </t>
  </si>
  <si>
    <t>IT Equipment and Software  (net)</t>
  </si>
  <si>
    <t xml:space="preserve">IT Equipment and Software  </t>
  </si>
  <si>
    <t xml:space="preserve">   Accumulated Depreciation - IT Equipment </t>
  </si>
  <si>
    <t>Library Books  (net)</t>
  </si>
  <si>
    <t xml:space="preserve">Library Books </t>
  </si>
  <si>
    <t xml:space="preserve">   Accumulated Depreciation - Library Books </t>
  </si>
  <si>
    <t>MACHINERIES AND EQUIPMENT</t>
  </si>
  <si>
    <t>Machineries  (net)</t>
  </si>
  <si>
    <t xml:space="preserve">Machineries </t>
  </si>
  <si>
    <t xml:space="preserve">   Accumulated Depreciation - Machineries </t>
  </si>
  <si>
    <t>Agricultural, Fishery and Forestry Equipment   (net)</t>
  </si>
  <si>
    <t xml:space="preserve">Agricultural, Fishery and Forestry Equipment </t>
  </si>
  <si>
    <t xml:space="preserve">   Accumulated Depreciation - Agricultural, Fishery and Forestry</t>
  </si>
  <si>
    <t>Airport Equipment   (net)</t>
  </si>
  <si>
    <t xml:space="preserve">Airport Equipment </t>
  </si>
  <si>
    <t xml:space="preserve">   Accumulated Depreciation - Airport Equipment </t>
  </si>
  <si>
    <t>Communication Equipment   (net)</t>
  </si>
  <si>
    <t xml:space="preserve">Communication Equipment </t>
  </si>
  <si>
    <t xml:space="preserve">   Accumulated Depreciation - Communication Equipment </t>
  </si>
  <si>
    <t>Construction and Heavy Equipment   (net)</t>
  </si>
  <si>
    <t xml:space="preserve">Construction and Heavy Equipment </t>
  </si>
  <si>
    <t xml:space="preserve">   Accumulated Depreciation - Construction and Heavy Equipment</t>
  </si>
  <si>
    <t>Firefighting Equipment and Accessories  (net)</t>
  </si>
  <si>
    <t xml:space="preserve">Firefighting Equipment and Accessories </t>
  </si>
  <si>
    <t xml:space="preserve">   Accumulated Depreciation - Firefighting Equipment and Accessories </t>
  </si>
  <si>
    <t>Hospital Equipment   (net)</t>
  </si>
  <si>
    <t xml:space="preserve">Hospital Equipment </t>
  </si>
  <si>
    <t xml:space="preserve">   Accumulated Depreciation - Hospital Equipment</t>
  </si>
  <si>
    <t>Medical, Dental and Laboratory Equipment (net)</t>
  </si>
  <si>
    <t xml:space="preserve">Medical, Dental and Laboratory Equipment </t>
  </si>
  <si>
    <t xml:space="preserve">   Accumulated Depreciation - Medical, Dental and Laboratory Equipment </t>
  </si>
  <si>
    <t>Military and Police Equipment  (net)</t>
  </si>
  <si>
    <t xml:space="preserve">Military and Police Equipment </t>
  </si>
  <si>
    <t xml:space="preserve">   Accumulated Depreciation - Military and Police Equipment </t>
  </si>
  <si>
    <t>Sports Equipment  (net)</t>
  </si>
  <si>
    <t xml:space="preserve">Sports Equipment </t>
  </si>
  <si>
    <t xml:space="preserve">   Accumulated Depreciation - Sports Equipment </t>
  </si>
  <si>
    <t>Technical and Scientific Equipment  (net)</t>
  </si>
  <si>
    <t xml:space="preserve">Technical and Scientific Equipment </t>
  </si>
  <si>
    <t xml:space="preserve">   Accumulated Depreciation - Technical and Scientific Equipment </t>
  </si>
  <si>
    <t>Other Machineries and Equipment  (net)</t>
  </si>
  <si>
    <t xml:space="preserve">Other Machineries and Equipment </t>
  </si>
  <si>
    <t xml:space="preserve">   Accumulated Depreciation - Other Machineries and Equipment </t>
  </si>
  <si>
    <t>TRANSPORTATION EQUIPMENT</t>
  </si>
  <si>
    <t>Motor Vehicles  (net)</t>
  </si>
  <si>
    <t xml:space="preserve">Motor Vehicles </t>
  </si>
  <si>
    <t xml:space="preserve">   Accumulated Depreciation - Motor Vehicles </t>
  </si>
  <si>
    <t>Trains (net)</t>
  </si>
  <si>
    <t xml:space="preserve">Trains </t>
  </si>
  <si>
    <t xml:space="preserve">   Accumulated Depreciation - Trains </t>
  </si>
  <si>
    <t>Aircraft and Aircraft Ground Equipment (net)</t>
  </si>
  <si>
    <t xml:space="preserve">Aircraft and Aircraft Ground Equipment  </t>
  </si>
  <si>
    <t xml:space="preserve">   Accumulated Depreciation - Aircraft and Aircraft Ground Equipment </t>
  </si>
  <si>
    <t>Watercrafts (net)</t>
  </si>
  <si>
    <t xml:space="preserve">Watercrafts </t>
  </si>
  <si>
    <t xml:space="preserve">   Accumulated Depreciation - Watercrafts </t>
  </si>
  <si>
    <t>Other Transportation Equipment  (net)</t>
  </si>
  <si>
    <t xml:space="preserve">Other Transportation Equipment </t>
  </si>
  <si>
    <t xml:space="preserve">   Accumulated Depreciation - Other Transportation Equipment </t>
  </si>
  <si>
    <t>.</t>
  </si>
  <si>
    <t>OTHER PROPERTY, PLANT AND EQUIPMENT</t>
  </si>
  <si>
    <t>Other Property, Plant and Equipment   (net)</t>
  </si>
  <si>
    <t xml:space="preserve">Other Property, Plant and Equipment </t>
  </si>
  <si>
    <t xml:space="preserve">   Accumulated Depreciation - Other Property, Plant and Equipment </t>
  </si>
  <si>
    <t>PUBLIC INFRASTRUCTURES</t>
  </si>
  <si>
    <t>Roads, Highways and Bridges</t>
  </si>
  <si>
    <t>Artesian wells,Reservoirs, Pumping Stations and Conduits</t>
  </si>
  <si>
    <t>CONSTRUCTION IN PROGRESS</t>
  </si>
  <si>
    <t xml:space="preserve">Construction in Progress - Agency Assets </t>
  </si>
  <si>
    <t>Public Infrastructures/Reforestation Projects</t>
  </si>
  <si>
    <t xml:space="preserve">Construction in Progress - Roads, Highways and Bridges </t>
  </si>
  <si>
    <t xml:space="preserve">Construction in Progress - Parks, Plazas and Monuments </t>
  </si>
  <si>
    <t xml:space="preserve">Construction in Progress - Ports, Lighthouses and Harbors </t>
  </si>
  <si>
    <t>Construction in Progress - Artesian Wells, Reservoirs, Pumping Stations and Conduits</t>
  </si>
  <si>
    <t xml:space="preserve">Construction in Progress - Irrigation, Canals and Laterals </t>
  </si>
  <si>
    <t xml:space="preserve">Construction in Progress - Flood Controls </t>
  </si>
  <si>
    <t>Construction in Progress - Waterways, Aqueducts, Seawalls, River Walls and Others</t>
  </si>
  <si>
    <t xml:space="preserve">Construction in Progress - Other Public Infrastructures </t>
  </si>
  <si>
    <t xml:space="preserve">Construction in Progress - Reforestation - Upland </t>
  </si>
  <si>
    <t xml:space="preserve">Construction in Progress - Reforestation - Marshland/Swampland </t>
  </si>
  <si>
    <t>Other public infra</t>
  </si>
  <si>
    <t>Total Property, Plant and Equipment</t>
  </si>
  <si>
    <t>OTHER ASSETS</t>
  </si>
  <si>
    <t xml:space="preserve">Work/Other Animals </t>
  </si>
  <si>
    <t xml:space="preserve">Breeding Stocks </t>
  </si>
  <si>
    <t xml:space="preserve">Arts, Archeological Specimen and Other Exhibits </t>
  </si>
  <si>
    <t xml:space="preserve">Items in Transit </t>
  </si>
  <si>
    <t xml:space="preserve">Other Assets </t>
  </si>
  <si>
    <t>Total Other Assets</t>
  </si>
  <si>
    <t>TOTAL ASSETS</t>
  </si>
  <si>
    <t>LIABILITIES</t>
  </si>
  <si>
    <t>CURRENT LIABILITIES</t>
  </si>
  <si>
    <t>Payable Accounts</t>
  </si>
  <si>
    <t xml:space="preserve">Accounts Payable </t>
  </si>
  <si>
    <t xml:space="preserve">Notes Payable </t>
  </si>
  <si>
    <t xml:space="preserve">Due to Officers and Employees </t>
  </si>
  <si>
    <t xml:space="preserve">Interest Payable </t>
  </si>
  <si>
    <t>Inter-Agency Payables</t>
  </si>
  <si>
    <t xml:space="preserve">Due to BIR </t>
  </si>
  <si>
    <t xml:space="preserve">Due to GSIS </t>
  </si>
  <si>
    <t xml:space="preserve">Due to PAG-IBIG </t>
  </si>
  <si>
    <t xml:space="preserve">Due to PHILHEALTH </t>
  </si>
  <si>
    <t xml:space="preserve">Due to Other NGAs </t>
  </si>
  <si>
    <t xml:space="preserve">Due to Other GOCCs </t>
  </si>
  <si>
    <t xml:space="preserve">Due to LGUs </t>
  </si>
  <si>
    <t>Intra-Agency Payables</t>
  </si>
  <si>
    <t xml:space="preserve">Due to Other Funds </t>
  </si>
  <si>
    <t>Other Liability Accounts</t>
  </si>
  <si>
    <t xml:space="preserve">Guaranty Deposits Payable </t>
  </si>
  <si>
    <t xml:space="preserve">Performance/Bidders/Bail Bonds Payable </t>
  </si>
  <si>
    <t xml:space="preserve">Currency Swap Payable </t>
  </si>
  <si>
    <t xml:space="preserve">Tax Refunds Payable </t>
  </si>
  <si>
    <t xml:space="preserve">Other Payables </t>
  </si>
  <si>
    <t>Total Current Liabilities</t>
  </si>
  <si>
    <t>LONG-TERM LIABILITIES</t>
  </si>
  <si>
    <t>Mortgage/Bonds/Loans Payable</t>
  </si>
  <si>
    <t xml:space="preserve">Mortgage Payable </t>
  </si>
  <si>
    <t xml:space="preserve">Bonds Payable - Domestic </t>
  </si>
  <si>
    <t xml:space="preserve">Bonds Payable - Foreign </t>
  </si>
  <si>
    <t xml:space="preserve">Loans Payable - Domestic </t>
  </si>
  <si>
    <t xml:space="preserve">Loans Payable - Foreign </t>
  </si>
  <si>
    <t xml:space="preserve">Other Long - Term Liabilities </t>
  </si>
  <si>
    <t>Total Long-Term Liabilities</t>
  </si>
  <si>
    <t>TOTAL LIABILITIES</t>
  </si>
  <si>
    <t>DEFERRED CREDITS</t>
  </si>
  <si>
    <t xml:space="preserve">Deferred Real Property Tax Income </t>
  </si>
  <si>
    <t xml:space="preserve">Deferred Special Education Tax Income </t>
  </si>
  <si>
    <t xml:space="preserve">Other Deferred Credits </t>
  </si>
  <si>
    <t>Total Deferred Credits</t>
  </si>
  <si>
    <t>EQUITY</t>
  </si>
  <si>
    <t xml:space="preserve">Government Equity </t>
  </si>
  <si>
    <t>TOTAL LIABILITIES AND EQUITY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</si>
</sst>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 val="doubleAccounting"/>
      <sz val="11"/>
      <name val="Arial"/>
      <family val="2"/>
    </font>
    <font>
      <i/>
      <sz val="11"/>
      <name val="Times New Roman"/>
      <family val="1"/>
    </font>
    <font>
      <u val="doubleAccounting"/>
      <sz val="11"/>
      <name val="Arial"/>
      <family val="2"/>
    </font>
    <font>
      <u val="singleAccounting"/>
      <sz val="11"/>
      <name val="Arial"/>
      <family val="2"/>
    </font>
    <font>
      <b/>
      <u val="singleAccounting"/>
      <sz val="11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/>
      <right style="thin">
        <color indexed="55"/>
      </right>
      <top style="thin">
        <color indexed="64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</borders>
  <cellStyleXfs count="13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0" fontId="10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145">
    <xf numFmtId="0" fontId="0" fillId="0" borderId="0" xfId="0"/>
    <xf numFmtId="43" fontId="3" fillId="0" borderId="0" xfId="1" applyFont="1"/>
    <xf numFmtId="43" fontId="3" fillId="2" borderId="0" xfId="1" applyFont="1" applyFill="1" applyAlignment="1">
      <alignment horizontal="center"/>
    </xf>
    <xf numFmtId="43" fontId="3" fillId="0" borderId="0" xfId="1" applyFont="1" applyAlignment="1">
      <alignment horizontal="center"/>
    </xf>
    <xf numFmtId="43" fontId="3" fillId="0" borderId="0" xfId="1" applyFont="1" applyAlignment="1">
      <alignment wrapText="1"/>
    </xf>
    <xf numFmtId="43" fontId="3" fillId="0" borderId="0" xfId="1" applyFont="1" applyAlignment="1"/>
    <xf numFmtId="43" fontId="4" fillId="0" borderId="0" xfId="1" applyFont="1"/>
    <xf numFmtId="43" fontId="3" fillId="0" borderId="0" xfId="1" applyFont="1" applyFill="1" applyAlignment="1">
      <alignment horizontal="left"/>
    </xf>
    <xf numFmtId="43" fontId="3" fillId="0" borderId="0" xfId="1" applyFont="1" applyAlignment="1">
      <alignment horizontal="center" wrapText="1"/>
    </xf>
    <xf numFmtId="43" fontId="4" fillId="0" borderId="0" xfId="1" applyFont="1" applyFill="1" applyAlignment="1">
      <alignment horizontal="left"/>
    </xf>
    <xf numFmtId="43" fontId="4" fillId="0" borderId="0" xfId="1" applyFont="1" applyAlignment="1">
      <alignment horizontal="center" wrapText="1"/>
    </xf>
    <xf numFmtId="43" fontId="3" fillId="2" borderId="1" xfId="1" applyFont="1" applyFill="1" applyBorder="1" applyAlignment="1">
      <alignment horizontal="center"/>
    </xf>
    <xf numFmtId="43" fontId="5" fillId="2" borderId="1" xfId="1" applyFont="1" applyFill="1" applyBorder="1" applyAlignment="1">
      <alignment horizontal="center" vertical="center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1" xfId="1" applyFont="1" applyBorder="1" applyAlignment="1">
      <alignment wrapText="1"/>
    </xf>
    <xf numFmtId="43" fontId="3" fillId="0" borderId="1" xfId="1" applyFont="1" applyBorder="1" applyAlignment="1"/>
    <xf numFmtId="43" fontId="3" fillId="0" borderId="1" xfId="1" applyFont="1" applyBorder="1"/>
    <xf numFmtId="43" fontId="4" fillId="0" borderId="1" xfId="1" applyFont="1" applyBorder="1"/>
    <xf numFmtId="43" fontId="6" fillId="0" borderId="1" xfId="1" applyFont="1" applyBorder="1"/>
    <xf numFmtId="43" fontId="3" fillId="0" borderId="0" xfId="1" applyFont="1" applyBorder="1"/>
    <xf numFmtId="43" fontId="7" fillId="0" borderId="1" xfId="1" applyFont="1" applyBorder="1" applyAlignment="1">
      <alignment horizontal="center"/>
    </xf>
    <xf numFmtId="43" fontId="3" fillId="0" borderId="0" xfId="1" applyFont="1" applyAlignment="1">
      <alignment vertical="center"/>
    </xf>
    <xf numFmtId="43" fontId="3" fillId="2" borderId="1" xfId="1" applyFont="1" applyFill="1" applyBorder="1" applyAlignment="1">
      <alignment horizontal="center" vertical="center"/>
    </xf>
    <xf numFmtId="43" fontId="7" fillId="0" borderId="2" xfId="1" applyFont="1" applyBorder="1" applyAlignment="1">
      <alignment horizontal="center" vertical="center"/>
    </xf>
    <xf numFmtId="43" fontId="7" fillId="0" borderId="3" xfId="1" applyFont="1" applyBorder="1" applyAlignment="1">
      <alignment horizontal="center" vertical="center"/>
    </xf>
    <xf numFmtId="43" fontId="7" fillId="0" borderId="1" xfId="1" applyFont="1" applyBorder="1" applyAlignment="1">
      <alignment horizontal="center" vertical="center"/>
    </xf>
    <xf numFmtId="43" fontId="3" fillId="0" borderId="1" xfId="1" applyFont="1" applyBorder="1" applyAlignment="1">
      <alignment vertical="center" wrapText="1"/>
    </xf>
    <xf numFmtId="43" fontId="3" fillId="0" borderId="1" xfId="1" applyFont="1" applyBorder="1" applyAlignment="1">
      <alignment vertical="center"/>
    </xf>
    <xf numFmtId="43" fontId="4" fillId="0" borderId="1" xfId="1" applyFont="1" applyBorder="1" applyAlignment="1">
      <alignment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0" fontId="3" fillId="0" borderId="1" xfId="2" applyFont="1" applyBorder="1" applyAlignment="1">
      <alignment vertical="center" wrapText="1"/>
    </xf>
    <xf numFmtId="43" fontId="8" fillId="2" borderId="1" xfId="1" applyFont="1" applyFill="1" applyBorder="1" applyAlignment="1">
      <alignment horizontal="center" vertical="center"/>
    </xf>
    <xf numFmtId="43" fontId="8" fillId="0" borderId="2" xfId="1" applyFont="1" applyBorder="1" applyAlignment="1">
      <alignment horizontal="center" vertical="center"/>
    </xf>
    <xf numFmtId="43" fontId="8" fillId="0" borderId="3" xfId="1" applyFont="1" applyBorder="1" applyAlignment="1">
      <alignment horizontal="center" vertical="center"/>
    </xf>
    <xf numFmtId="43" fontId="8" fillId="0" borderId="1" xfId="1" applyFont="1" applyBorder="1" applyAlignment="1">
      <alignment horizontal="center" vertical="center"/>
    </xf>
    <xf numFmtId="43" fontId="9" fillId="2" borderId="1" xfId="1" applyFont="1" applyFill="1" applyBorder="1" applyAlignment="1">
      <alignment horizontal="center" vertical="center"/>
    </xf>
    <xf numFmtId="43" fontId="4" fillId="0" borderId="4" xfId="1" applyFont="1" applyBorder="1" applyAlignment="1">
      <alignment horizontal="left" vertical="center"/>
    </xf>
    <xf numFmtId="43" fontId="4" fillId="0" borderId="5" xfId="1" applyFont="1" applyBorder="1" applyAlignment="1">
      <alignment horizontal="left" vertical="center"/>
    </xf>
    <xf numFmtId="43" fontId="4" fillId="0" borderId="6" xfId="1" applyFont="1" applyBorder="1" applyAlignment="1">
      <alignment horizontal="left" vertical="center"/>
    </xf>
    <xf numFmtId="0" fontId="3" fillId="0" borderId="1" xfId="2" applyFont="1" applyBorder="1" applyAlignment="1">
      <alignment vertical="center"/>
    </xf>
    <xf numFmtId="43" fontId="8" fillId="0" borderId="2" xfId="1" applyFont="1" applyFill="1" applyBorder="1" applyAlignment="1">
      <alignment horizontal="center" vertical="center"/>
    </xf>
    <xf numFmtId="43" fontId="8" fillId="0" borderId="3" xfId="1" applyFont="1" applyFill="1" applyBorder="1" applyAlignment="1">
      <alignment horizontal="center" vertical="center"/>
    </xf>
    <xf numFmtId="43" fontId="8" fillId="0" borderId="1" xfId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43" fontId="3" fillId="0" borderId="6" xfId="1" applyFont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3" fillId="0" borderId="6" xfId="2" applyFont="1" applyBorder="1" applyAlignment="1">
      <alignment vertical="center" wrapText="1"/>
    </xf>
    <xf numFmtId="0" fontId="3" fillId="0" borderId="6" xfId="2" applyFont="1" applyBorder="1" applyAlignment="1">
      <alignment horizontal="left" vertical="center" wrapText="1"/>
    </xf>
    <xf numFmtId="43" fontId="3" fillId="0" borderId="2" xfId="1" applyFont="1" applyFill="1" applyBorder="1" applyAlignment="1">
      <alignment horizontal="center" vertical="center"/>
    </xf>
    <xf numFmtId="43" fontId="3" fillId="0" borderId="3" xfId="1" applyFont="1" applyFill="1" applyBorder="1" applyAlignment="1">
      <alignment horizontal="center" vertical="center"/>
    </xf>
    <xf numFmtId="43" fontId="3" fillId="0" borderId="0" xfId="1" applyFont="1" applyBorder="1" applyAlignment="1">
      <alignment vertical="center"/>
    </xf>
    <xf numFmtId="43" fontId="3" fillId="0" borderId="0" xfId="1" applyFont="1" applyFill="1" applyBorder="1" applyAlignment="1">
      <alignment vertical="center"/>
    </xf>
    <xf numFmtId="0" fontId="3" fillId="0" borderId="1" xfId="2" applyFont="1" applyFill="1" applyBorder="1" applyAlignment="1">
      <alignment vertical="center" wrapText="1"/>
    </xf>
    <xf numFmtId="43" fontId="3" fillId="0" borderId="1" xfId="1" applyFont="1" applyFill="1" applyBorder="1" applyAlignment="1">
      <alignment vertical="center"/>
    </xf>
    <xf numFmtId="43" fontId="4" fillId="0" borderId="1" xfId="1" applyFont="1" applyFill="1" applyBorder="1" applyAlignment="1">
      <alignment vertical="center"/>
    </xf>
    <xf numFmtId="43" fontId="3" fillId="0" borderId="1" xfId="1" applyFont="1" applyFill="1" applyBorder="1" applyAlignment="1">
      <alignment vertical="center" wrapText="1"/>
    </xf>
    <xf numFmtId="0" fontId="3" fillId="0" borderId="1" xfId="2" applyFont="1" applyFill="1" applyBorder="1" applyAlignment="1">
      <alignment vertical="center"/>
    </xf>
    <xf numFmtId="43" fontId="4" fillId="0" borderId="0" xfId="1" applyFont="1" applyAlignment="1">
      <alignment vertical="center"/>
    </xf>
    <xf numFmtId="0" fontId="4" fillId="0" borderId="1" xfId="2" applyFont="1" applyBorder="1" applyAlignment="1">
      <alignment vertical="center" wrapText="1"/>
    </xf>
    <xf numFmtId="43" fontId="9" fillId="0" borderId="2" xfId="1" applyFont="1" applyBorder="1" applyAlignment="1">
      <alignment horizontal="center" vertical="center"/>
    </xf>
    <xf numFmtId="43" fontId="9" fillId="0" borderId="3" xfId="1" applyFont="1" applyBorder="1" applyAlignment="1">
      <alignment horizontal="center" vertical="center"/>
    </xf>
    <xf numFmtId="43" fontId="9" fillId="0" borderId="1" xfId="1" applyFont="1" applyBorder="1" applyAlignment="1">
      <alignment horizontal="center" vertical="center"/>
    </xf>
    <xf numFmtId="43" fontId="9" fillId="0" borderId="0" xfId="1" applyFont="1" applyAlignment="1">
      <alignment vertical="center"/>
    </xf>
    <xf numFmtId="0" fontId="3" fillId="0" borderId="4" xfId="2" applyFont="1" applyBorder="1" applyAlignment="1">
      <alignment horizontal="left" vertical="center"/>
    </xf>
    <xf numFmtId="0" fontId="3" fillId="0" borderId="5" xfId="2" applyFont="1" applyBorder="1" applyAlignment="1">
      <alignment horizontal="left" vertical="center"/>
    </xf>
    <xf numFmtId="0" fontId="3" fillId="0" borderId="6" xfId="2" applyFont="1" applyBorder="1" applyAlignment="1">
      <alignment horizontal="left" vertical="center"/>
    </xf>
    <xf numFmtId="43" fontId="8" fillId="0" borderId="0" xfId="1" applyFont="1" applyAlignment="1">
      <alignment vertical="center"/>
    </xf>
    <xf numFmtId="43" fontId="6" fillId="0" borderId="1" xfId="1" applyFont="1" applyBorder="1" applyAlignment="1">
      <alignment vertical="center"/>
    </xf>
    <xf numFmtId="0" fontId="6" fillId="0" borderId="1" xfId="2" applyFont="1" applyBorder="1" applyAlignment="1">
      <alignment vertical="center"/>
    </xf>
    <xf numFmtId="43" fontId="4" fillId="2" borderId="1" xfId="1" applyFont="1" applyFill="1" applyBorder="1" applyAlignment="1">
      <alignment horizontal="center"/>
    </xf>
    <xf numFmtId="43" fontId="4" fillId="0" borderId="2" xfId="1" applyFont="1" applyBorder="1" applyAlignment="1">
      <alignment horizontal="center"/>
    </xf>
    <xf numFmtId="43" fontId="4" fillId="0" borderId="3" xfId="1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0" fontId="4" fillId="0" borderId="1" xfId="2" applyFont="1" applyBorder="1" applyAlignment="1">
      <alignment wrapText="1"/>
    </xf>
    <xf numFmtId="0" fontId="4" fillId="2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3" xfId="1" applyNumberFormat="1" applyFont="1" applyBorder="1" applyAlignment="1">
      <alignment horizontal="center" vertical="center"/>
    </xf>
    <xf numFmtId="43" fontId="3" fillId="0" borderId="0" xfId="1" applyFont="1" applyBorder="1" applyAlignment="1">
      <alignment horizontal="center"/>
    </xf>
    <xf numFmtId="43" fontId="3" fillId="0" borderId="0" xfId="1" applyFont="1" applyBorder="1" applyAlignment="1">
      <alignment wrapText="1"/>
    </xf>
    <xf numFmtId="43" fontId="3" fillId="0" borderId="0" xfId="1" applyFont="1" applyBorder="1" applyAlignment="1"/>
    <xf numFmtId="43" fontId="4" fillId="0" borderId="0" xfId="1" applyFont="1" applyBorder="1"/>
    <xf numFmtId="43" fontId="3" fillId="2" borderId="0" xfId="1" applyFont="1" applyFill="1" applyBorder="1" applyAlignment="1">
      <alignment horizontal="center"/>
    </xf>
    <xf numFmtId="43" fontId="3" fillId="2" borderId="7" xfId="1" applyFont="1" applyFill="1" applyBorder="1" applyAlignment="1">
      <alignment horizontal="center"/>
    </xf>
    <xf numFmtId="43" fontId="3" fillId="0" borderId="7" xfId="1" applyFont="1" applyBorder="1" applyAlignment="1">
      <alignment horizontal="center"/>
    </xf>
    <xf numFmtId="43" fontId="3" fillId="0" borderId="7" xfId="1" applyFont="1" applyBorder="1" applyAlignment="1">
      <alignment wrapText="1"/>
    </xf>
    <xf numFmtId="43" fontId="3" fillId="0" borderId="7" xfId="1" applyFont="1" applyBorder="1" applyAlignment="1"/>
    <xf numFmtId="43" fontId="3" fillId="0" borderId="7" xfId="1" applyFont="1" applyBorder="1"/>
    <xf numFmtId="43" fontId="4" fillId="0" borderId="7" xfId="1" applyFont="1" applyBorder="1"/>
    <xf numFmtId="43" fontId="3" fillId="0" borderId="0" xfId="1" applyFont="1" applyBorder="1" applyAlignment="1">
      <alignment horizontal="center" vertical="center"/>
    </xf>
    <xf numFmtId="43" fontId="3" fillId="0" borderId="0" xfId="1" applyFont="1" applyAlignment="1">
      <alignment horizontal="center" vertical="center"/>
    </xf>
    <xf numFmtId="43" fontId="4" fillId="0" borderId="0" xfId="1" applyFont="1" applyAlignment="1">
      <alignment horizontal="center" vertical="center"/>
    </xf>
    <xf numFmtId="43" fontId="3" fillId="2" borderId="0" xfId="1" applyFont="1" applyFill="1" applyAlignment="1">
      <alignment horizontal="centerContinuous"/>
    </xf>
    <xf numFmtId="0" fontId="3" fillId="0" borderId="0" xfId="2" applyFont="1" applyAlignment="1">
      <alignment horizontal="centerContinuous" vertical="center"/>
    </xf>
    <xf numFmtId="0" fontId="3" fillId="0" borderId="0" xfId="2" applyFont="1" applyAlignment="1">
      <alignment horizontal="centerContinuous" vertical="center" wrapText="1"/>
    </xf>
    <xf numFmtId="43" fontId="3" fillId="0" borderId="0" xfId="1" applyFont="1" applyAlignment="1">
      <alignment horizontal="centerContinuous" vertical="center"/>
    </xf>
    <xf numFmtId="43" fontId="3" fillId="0" borderId="0" xfId="1" applyFont="1" applyAlignment="1">
      <alignment horizontal="centerContinuous" vertical="center" wrapText="1"/>
    </xf>
    <xf numFmtId="43" fontId="3" fillId="0" borderId="0" xfId="1" applyFont="1" applyFill="1" applyAlignment="1">
      <alignment horizontal="centerContinuous" vertical="center"/>
    </xf>
    <xf numFmtId="43" fontId="3" fillId="0" borderId="0" xfId="1" applyFont="1" applyAlignment="1">
      <alignment horizontal="center" vertical="center"/>
    </xf>
    <xf numFmtId="43" fontId="4" fillId="0" borderId="0" xfId="1" applyFont="1" applyAlignment="1">
      <alignment horizontal="centerContinuous" vertical="center"/>
    </xf>
    <xf numFmtId="43" fontId="4" fillId="0" borderId="0" xfId="1" applyFont="1" applyAlignment="1">
      <alignment horizontal="centerContinuous" vertical="center" wrapText="1"/>
    </xf>
    <xf numFmtId="43" fontId="4" fillId="0" borderId="0" xfId="1" applyFont="1" applyFill="1" applyAlignment="1">
      <alignment horizontal="centerContinuous" vertical="center"/>
    </xf>
    <xf numFmtId="43" fontId="4" fillId="0" borderId="0" xfId="1" applyFont="1" applyAlignment="1">
      <alignment horizontal="center" vertical="center"/>
    </xf>
    <xf numFmtId="43" fontId="3" fillId="0" borderId="0" xfId="1" applyFont="1" applyAlignment="1">
      <alignment horizontal="centerContinuous"/>
    </xf>
    <xf numFmtId="43" fontId="3" fillId="0" borderId="0" xfId="1" applyFont="1" applyAlignment="1">
      <alignment horizontal="centerContinuous" wrapText="1"/>
    </xf>
    <xf numFmtId="43" fontId="3" fillId="0" borderId="0" xfId="1" applyFont="1" applyFill="1" applyAlignment="1">
      <alignment horizontal="centerContinuous"/>
    </xf>
    <xf numFmtId="43" fontId="3" fillId="0" borderId="0" xfId="1" applyFont="1" applyAlignment="1">
      <alignment horizontal="center" vertical="center" wrapText="1"/>
    </xf>
    <xf numFmtId="43" fontId="3" fillId="0" borderId="0" xfId="1" applyFont="1" applyFill="1" applyAlignment="1">
      <alignment horizontal="center" vertical="center"/>
    </xf>
    <xf numFmtId="0" fontId="4" fillId="0" borderId="0" xfId="1" applyNumberFormat="1" applyFont="1" applyFill="1" applyAlignment="1">
      <alignment horizontal="center" vertical="center"/>
    </xf>
    <xf numFmtId="0" fontId="4" fillId="0" borderId="0" xfId="1" applyNumberFormat="1" applyFont="1"/>
    <xf numFmtId="43" fontId="4" fillId="0" borderId="1" xfId="1" applyFont="1" applyBorder="1" applyAlignment="1">
      <alignment vertical="center" wrapText="1"/>
    </xf>
    <xf numFmtId="43" fontId="4" fillId="0" borderId="1" xfId="1" applyFont="1" applyBorder="1" applyAlignment="1">
      <alignment horizontal="center" vertical="center"/>
    </xf>
    <xf numFmtId="43" fontId="4" fillId="0" borderId="1" xfId="1" applyFont="1" applyFill="1" applyBorder="1" applyAlignment="1">
      <alignment horizontal="center" vertical="center"/>
    </xf>
    <xf numFmtId="43" fontId="4" fillId="0" borderId="8" xfId="1" applyFont="1" applyBorder="1" applyAlignment="1">
      <alignment horizontal="center" vertical="center"/>
    </xf>
    <xf numFmtId="43" fontId="4" fillId="0" borderId="9" xfId="1" applyFont="1" applyBorder="1" applyAlignment="1">
      <alignment horizontal="center" vertical="center"/>
    </xf>
    <xf numFmtId="43" fontId="9" fillId="0" borderId="1" xfId="1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/>
    </xf>
    <xf numFmtId="43" fontId="3" fillId="0" borderId="0" xfId="1" applyFont="1" applyFill="1" applyAlignment="1">
      <alignment vertical="center"/>
    </xf>
    <xf numFmtId="0" fontId="4" fillId="0" borderId="1" xfId="2" applyFont="1" applyBorder="1" applyAlignment="1">
      <alignment vertical="center"/>
    </xf>
    <xf numFmtId="43" fontId="4" fillId="0" borderId="3" xfId="1" applyFont="1" applyBorder="1" applyAlignment="1">
      <alignment horizontal="center" vertical="center"/>
    </xf>
    <xf numFmtId="43" fontId="4" fillId="0" borderId="2" xfId="1" applyFont="1" applyBorder="1" applyAlignment="1">
      <alignment horizontal="center" vertical="center"/>
    </xf>
    <xf numFmtId="43" fontId="9" fillId="0" borderId="3" xfId="1" applyFont="1" applyFill="1" applyBorder="1" applyAlignment="1">
      <alignment horizontal="center" vertical="center"/>
    </xf>
    <xf numFmtId="43" fontId="9" fillId="0" borderId="2" xfId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left" vertical="center" wrapText="1"/>
    </xf>
    <xf numFmtId="43" fontId="5" fillId="0" borderId="1" xfId="1" applyFont="1" applyFill="1" applyBorder="1" applyAlignment="1">
      <alignment horizontal="center" vertical="center"/>
    </xf>
    <xf numFmtId="43" fontId="7" fillId="0" borderId="0" xfId="1" applyFont="1" applyAlignment="1">
      <alignment vertical="center"/>
    </xf>
    <xf numFmtId="43" fontId="7" fillId="0" borderId="1" xfId="1" applyFont="1" applyFill="1" applyBorder="1" applyAlignment="1">
      <alignment horizontal="center" vertical="center"/>
    </xf>
    <xf numFmtId="43" fontId="9" fillId="0" borderId="1" xfId="1" applyFont="1" applyBorder="1" applyAlignment="1">
      <alignment vertical="center"/>
    </xf>
    <xf numFmtId="43" fontId="5" fillId="0" borderId="1" xfId="1" applyFont="1" applyBorder="1" applyAlignment="1">
      <alignment horizontal="center" vertical="center"/>
    </xf>
    <xf numFmtId="43" fontId="5" fillId="0" borderId="3" xfId="1" applyFont="1" applyBorder="1" applyAlignment="1">
      <alignment horizontal="center" vertical="center"/>
    </xf>
    <xf numFmtId="43" fontId="5" fillId="0" borderId="2" xfId="1" applyFont="1" applyBorder="1" applyAlignment="1">
      <alignment horizontal="center" vertical="center"/>
    </xf>
    <xf numFmtId="43" fontId="5" fillId="0" borderId="0" xfId="1" applyFont="1" applyAlignment="1">
      <alignment vertical="center"/>
    </xf>
    <xf numFmtId="43" fontId="3" fillId="0" borderId="1" xfId="1" applyFont="1" applyFill="1" applyBorder="1" applyAlignment="1">
      <alignment horizontal="center"/>
    </xf>
    <xf numFmtId="43" fontId="3" fillId="3" borderId="10" xfId="1" applyFont="1" applyFill="1" applyBorder="1"/>
    <xf numFmtId="43" fontId="3" fillId="3" borderId="10" xfId="1" applyFont="1" applyFill="1" applyBorder="1" applyAlignment="1">
      <alignment wrapText="1"/>
    </xf>
    <xf numFmtId="43" fontId="3" fillId="3" borderId="10" xfId="1" applyFont="1" applyFill="1" applyBorder="1" applyAlignment="1">
      <alignment horizontal="center"/>
    </xf>
    <xf numFmtId="43" fontId="3" fillId="0" borderId="10" xfId="1" applyFont="1" applyFill="1" applyBorder="1" applyAlignment="1">
      <alignment horizontal="center"/>
    </xf>
    <xf numFmtId="43" fontId="3" fillId="3" borderId="2" xfId="1" applyFont="1" applyFill="1" applyBorder="1" applyAlignment="1">
      <alignment horizontal="center"/>
    </xf>
    <xf numFmtId="43" fontId="3" fillId="3" borderId="0" xfId="1" applyFont="1" applyFill="1"/>
    <xf numFmtId="43" fontId="3" fillId="0" borderId="0" xfId="1" applyFont="1" applyFill="1" applyAlignment="1">
      <alignment horizontal="center"/>
    </xf>
  </cellXfs>
  <cellStyles count="13">
    <cellStyle name="Comma 2" xfId="1"/>
    <cellStyle name="Comma 2 2" xfId="3"/>
    <cellStyle name="Comma 3" xfId="4"/>
    <cellStyle name="Comma 3 2" xfId="5"/>
    <cellStyle name="Comma 4 2" xfId="6"/>
    <cellStyle name="Normal" xfId="0" builtinId="0"/>
    <cellStyle name="Normal 2" xfId="2"/>
    <cellStyle name="Normal 2 2" xfId="7"/>
    <cellStyle name="Normal 2 2 2" xfId="8"/>
    <cellStyle name="Normal 2 2_GAFMIS-20%_march2010" xfId="9"/>
    <cellStyle name="Normal 2_GAFMIS-20%_march2010" xfId="10"/>
    <cellStyle name="Normal 3" xfId="11"/>
    <cellStyle name="Percent 2 2" xfId="1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data%20admin\My%20Documents\Edited%20FS-05\GAFMIS-Dec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_ESSENTIAL_FILES\FINANCIAL%20REPORTS%202011\GAFMIS_PROPER_2011\DECEMBER\GAFMIS_proper_Dec.11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S\GENERAL%20FUND-%20Proper\GF-PROPER%202010\May%20-%20Copy\Support%20computation\summary-pro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S\GENERAL%20FUND-%20Proper\GF-PROPER%202010\October\GAFMIS-Oct10-prop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GE"/>
      <sheetName val="2003"/>
      <sheetName val="Sheet3"/>
      <sheetName val="tb"/>
      <sheetName val="bs"/>
      <sheetName val="SIE"/>
      <sheetName val="cashflow"/>
      <sheetName val="Recap"/>
      <sheetName val="Sheet2"/>
    </sheetNames>
    <sheetDataSet>
      <sheetData sheetId="0" refreshError="1"/>
      <sheetData sheetId="1" refreshError="1">
        <row r="16">
          <cell r="D16">
            <v>16396736.120000003</v>
          </cell>
          <cell r="E16">
            <v>102386596.5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RE"/>
      <sheetName val="PRE_support"/>
      <sheetName val="RRR"/>
      <sheetName val="POST"/>
      <sheetName val="BS"/>
      <sheetName val="SGE"/>
      <sheetName val="CASH FLOWS"/>
      <sheetName val="CASH FLOWS_SUPPORT"/>
      <sheetName val="Cash flow(2)_source"/>
      <sheetName val="worksheet"/>
      <sheetName val="J-SUM"/>
    </sheetNames>
    <sheetDataSet>
      <sheetData sheetId="0">
        <row r="12">
          <cell r="E12">
            <v>0</v>
          </cell>
        </row>
        <row r="13">
          <cell r="E13">
            <v>31742628.390000001</v>
          </cell>
        </row>
        <row r="14">
          <cell r="E14">
            <v>0</v>
          </cell>
        </row>
        <row r="15">
          <cell r="E15">
            <v>125017.94</v>
          </cell>
        </row>
        <row r="16">
          <cell r="E16">
            <v>2603202.4899999797</v>
          </cell>
        </row>
        <row r="17">
          <cell r="E17">
            <v>0</v>
          </cell>
        </row>
        <row r="18">
          <cell r="E18">
            <v>154080441.88999987</v>
          </cell>
        </row>
        <row r="19">
          <cell r="E19">
            <v>62048687.159999982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476603.49999999994</v>
          </cell>
        </row>
        <row r="26">
          <cell r="E26">
            <v>0</v>
          </cell>
        </row>
        <row r="27">
          <cell r="E27">
            <v>0</v>
          </cell>
        </row>
        <row r="29">
          <cell r="E29">
            <v>0</v>
          </cell>
        </row>
        <row r="30">
          <cell r="E30">
            <v>2496636</v>
          </cell>
        </row>
        <row r="31">
          <cell r="E31">
            <v>420000</v>
          </cell>
        </row>
        <row r="32">
          <cell r="E32">
            <v>2772947.9999999995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351828.94</v>
          </cell>
        </row>
        <row r="36">
          <cell r="E36">
            <v>94687.81</v>
          </cell>
        </row>
        <row r="37">
          <cell r="E37">
            <v>5982638.2000000002</v>
          </cell>
        </row>
        <row r="38">
          <cell r="E38">
            <v>0</v>
          </cell>
        </row>
        <row r="39">
          <cell r="E39">
            <v>2500000</v>
          </cell>
        </row>
        <row r="40">
          <cell r="E40">
            <v>2748215.8699999992</v>
          </cell>
        </row>
        <row r="41">
          <cell r="E41">
            <v>349076.68000000005</v>
          </cell>
        </row>
        <row r="42">
          <cell r="E42">
            <v>118473665.12000006</v>
          </cell>
        </row>
        <row r="43">
          <cell r="E43">
            <v>66172.89999999851</v>
          </cell>
        </row>
        <row r="44">
          <cell r="E44">
            <v>0</v>
          </cell>
        </row>
        <row r="45">
          <cell r="E45">
            <v>218126.87</v>
          </cell>
        </row>
        <row r="46">
          <cell r="E46">
            <v>0</v>
          </cell>
        </row>
        <row r="47">
          <cell r="E47">
            <v>0</v>
          </cell>
        </row>
        <row r="48">
          <cell r="E48">
            <v>5793428.7799999993</v>
          </cell>
        </row>
        <row r="49">
          <cell r="E49">
            <v>-28054.790000000037</v>
          </cell>
        </row>
        <row r="50">
          <cell r="E50">
            <v>1828818.6</v>
          </cell>
        </row>
        <row r="51">
          <cell r="E51">
            <v>1250000</v>
          </cell>
        </row>
        <row r="52">
          <cell r="E52">
            <v>22218138.309999999</v>
          </cell>
        </row>
        <row r="53">
          <cell r="E53">
            <v>32935387.749999993</v>
          </cell>
        </row>
        <row r="54">
          <cell r="E54">
            <v>3173869.63</v>
          </cell>
        </row>
        <row r="55">
          <cell r="E55">
            <v>445788.5</v>
          </cell>
        </row>
        <row r="56">
          <cell r="E56">
            <v>23432525.300000001</v>
          </cell>
        </row>
        <row r="57">
          <cell r="E57">
            <v>95830</v>
          </cell>
        </row>
        <row r="58">
          <cell r="E58">
            <v>8674772.9800000004</v>
          </cell>
        </row>
        <row r="59">
          <cell r="E59">
            <v>0</v>
          </cell>
        </row>
        <row r="60">
          <cell r="E60">
            <v>4160403.55</v>
          </cell>
        </row>
        <row r="61">
          <cell r="E61">
            <v>0</v>
          </cell>
        </row>
        <row r="62">
          <cell r="E62">
            <v>852936</v>
          </cell>
        </row>
        <row r="63">
          <cell r="E63">
            <v>100850</v>
          </cell>
        </row>
        <row r="64">
          <cell r="E64">
            <v>0</v>
          </cell>
        </row>
        <row r="65">
          <cell r="E65">
            <v>119000</v>
          </cell>
        </row>
        <row r="66">
          <cell r="E66">
            <v>3346584.5399999982</v>
          </cell>
        </row>
        <row r="67">
          <cell r="E67">
            <v>0</v>
          </cell>
        </row>
        <row r="68">
          <cell r="E68">
            <v>0</v>
          </cell>
        </row>
        <row r="69">
          <cell r="E69">
            <v>5134535.84</v>
          </cell>
        </row>
        <row r="70">
          <cell r="E70">
            <v>0</v>
          </cell>
        </row>
        <row r="71">
          <cell r="E71">
            <v>1122679.3899999997</v>
          </cell>
        </row>
        <row r="72">
          <cell r="E72">
            <v>244469.88</v>
          </cell>
        </row>
        <row r="73">
          <cell r="E73">
            <v>0</v>
          </cell>
        </row>
        <row r="74">
          <cell r="E74">
            <v>0</v>
          </cell>
        </row>
        <row r="75">
          <cell r="E75">
            <v>0</v>
          </cell>
        </row>
        <row r="76">
          <cell r="E76">
            <v>0</v>
          </cell>
        </row>
        <row r="77">
          <cell r="E77">
            <v>0</v>
          </cell>
        </row>
        <row r="78">
          <cell r="E78">
            <v>0</v>
          </cell>
        </row>
        <row r="79">
          <cell r="E79">
            <v>61761878.159999996</v>
          </cell>
        </row>
        <row r="80">
          <cell r="E80">
            <v>20373606.030000001</v>
          </cell>
        </row>
        <row r="81">
          <cell r="H81">
            <v>6827693.3900000006</v>
          </cell>
        </row>
        <row r="82">
          <cell r="E82">
            <v>0</v>
          </cell>
        </row>
        <row r="83">
          <cell r="H83">
            <v>0</v>
          </cell>
        </row>
        <row r="84">
          <cell r="E84">
            <v>0</v>
          </cell>
        </row>
        <row r="85">
          <cell r="H85">
            <v>0</v>
          </cell>
        </row>
        <row r="86">
          <cell r="E86">
            <v>13628431.35</v>
          </cell>
        </row>
        <row r="87">
          <cell r="H87">
            <v>5087394.3599999994</v>
          </cell>
        </row>
        <row r="88">
          <cell r="E88">
            <v>313025125.17000002</v>
          </cell>
        </row>
        <row r="89">
          <cell r="H89">
            <v>17386847.68</v>
          </cell>
        </row>
        <row r="90">
          <cell r="E90">
            <v>0</v>
          </cell>
        </row>
        <row r="91">
          <cell r="H91">
            <v>0</v>
          </cell>
        </row>
        <row r="92">
          <cell r="E92">
            <v>3465069.21</v>
          </cell>
        </row>
        <row r="93">
          <cell r="H93">
            <v>1398182.98</v>
          </cell>
        </row>
        <row r="94">
          <cell r="E94">
            <v>0</v>
          </cell>
        </row>
        <row r="95">
          <cell r="H95">
            <v>0</v>
          </cell>
        </row>
        <row r="96">
          <cell r="E96">
            <v>3003878.6900000004</v>
          </cell>
        </row>
        <row r="97">
          <cell r="H97">
            <v>267769.56</v>
          </cell>
        </row>
        <row r="98">
          <cell r="E98">
            <v>0</v>
          </cell>
        </row>
        <row r="99">
          <cell r="H99">
            <v>0</v>
          </cell>
        </row>
        <row r="100">
          <cell r="E100">
            <v>0</v>
          </cell>
        </row>
        <row r="101">
          <cell r="H101">
            <v>0</v>
          </cell>
        </row>
        <row r="102">
          <cell r="E102">
            <v>0</v>
          </cell>
        </row>
        <row r="103">
          <cell r="H103">
            <v>0</v>
          </cell>
        </row>
        <row r="104">
          <cell r="E104">
            <v>134252338.80999997</v>
          </cell>
        </row>
        <row r="105">
          <cell r="H105">
            <v>75392419.400000006</v>
          </cell>
        </row>
        <row r="106">
          <cell r="E106">
            <v>19450650.599999998</v>
          </cell>
        </row>
        <row r="107">
          <cell r="H107">
            <v>8497174.4800000004</v>
          </cell>
        </row>
        <row r="108">
          <cell r="E108">
            <v>24871029.680000003</v>
          </cell>
        </row>
        <row r="109">
          <cell r="H109">
            <v>11174856.289999999</v>
          </cell>
        </row>
        <row r="110">
          <cell r="E110">
            <v>732006.51</v>
          </cell>
        </row>
        <row r="111">
          <cell r="H111">
            <v>337006.35</v>
          </cell>
        </row>
        <row r="112">
          <cell r="E112">
            <v>56695396.039999992</v>
          </cell>
        </row>
        <row r="113">
          <cell r="H113">
            <v>24596561.890000001</v>
          </cell>
        </row>
        <row r="114">
          <cell r="E114">
            <v>14898265</v>
          </cell>
        </row>
        <row r="115">
          <cell r="H115">
            <v>5251418.54</v>
          </cell>
        </row>
        <row r="116">
          <cell r="E116">
            <v>0</v>
          </cell>
        </row>
        <row r="117">
          <cell r="H117">
            <v>0</v>
          </cell>
        </row>
        <row r="118">
          <cell r="E118">
            <v>27040002.799999997</v>
          </cell>
        </row>
        <row r="119">
          <cell r="H119">
            <v>3337692.92</v>
          </cell>
        </row>
        <row r="120">
          <cell r="E120">
            <v>128693922.01000001</v>
          </cell>
        </row>
        <row r="121">
          <cell r="H121">
            <v>7500383.8700000001</v>
          </cell>
        </row>
        <row r="122">
          <cell r="E122">
            <v>744694.81</v>
          </cell>
        </row>
        <row r="123">
          <cell r="H123">
            <v>14712</v>
          </cell>
        </row>
        <row r="124">
          <cell r="E124">
            <v>18332823.5</v>
          </cell>
        </row>
        <row r="125">
          <cell r="H125">
            <v>4242571.17</v>
          </cell>
        </row>
        <row r="126">
          <cell r="E126">
            <v>11276857</v>
          </cell>
        </row>
        <row r="127">
          <cell r="H127">
            <v>2941389.6</v>
          </cell>
        </row>
        <row r="128">
          <cell r="E128">
            <v>1993182.76</v>
          </cell>
        </row>
        <row r="129">
          <cell r="H129">
            <v>415240.97</v>
          </cell>
        </row>
        <row r="130">
          <cell r="E130">
            <v>0</v>
          </cell>
        </row>
        <row r="131">
          <cell r="H131">
            <v>42686.31</v>
          </cell>
        </row>
        <row r="132">
          <cell r="E132">
            <v>0</v>
          </cell>
        </row>
        <row r="133">
          <cell r="H133">
            <v>0</v>
          </cell>
        </row>
        <row r="134">
          <cell r="E134">
            <v>2348610</v>
          </cell>
        </row>
        <row r="135">
          <cell r="H135">
            <v>1618095.27</v>
          </cell>
        </row>
        <row r="136">
          <cell r="E136">
            <v>146245941.53</v>
          </cell>
        </row>
        <row r="137">
          <cell r="H137">
            <v>53694096.920000002</v>
          </cell>
        </row>
        <row r="138">
          <cell r="E138">
            <v>0</v>
          </cell>
        </row>
        <row r="139">
          <cell r="H139">
            <v>0</v>
          </cell>
        </row>
        <row r="140">
          <cell r="E140">
            <v>0</v>
          </cell>
        </row>
        <row r="141">
          <cell r="H141">
            <v>0</v>
          </cell>
        </row>
        <row r="142">
          <cell r="E142">
            <v>5503100</v>
          </cell>
        </row>
        <row r="143">
          <cell r="H143">
            <v>1166566.8</v>
          </cell>
        </row>
        <row r="144">
          <cell r="E144">
            <v>0</v>
          </cell>
        </row>
        <row r="145">
          <cell r="H145">
            <v>0</v>
          </cell>
        </row>
        <row r="146">
          <cell r="E146">
            <v>3197955.52</v>
          </cell>
        </row>
        <row r="147">
          <cell r="H147">
            <v>3829537.89</v>
          </cell>
        </row>
        <row r="148">
          <cell r="E148">
            <v>0</v>
          </cell>
        </row>
        <row r="151">
          <cell r="E151">
            <v>1519735.45</v>
          </cell>
        </row>
        <row r="154">
          <cell r="E154">
            <v>37800</v>
          </cell>
        </row>
        <row r="155">
          <cell r="E155">
            <v>1871422.79</v>
          </cell>
        </row>
        <row r="158">
          <cell r="E158">
            <v>58430078.57</v>
          </cell>
        </row>
        <row r="159">
          <cell r="E159">
            <v>65754185.610000014</v>
          </cell>
        </row>
        <row r="160">
          <cell r="E160">
            <v>0</v>
          </cell>
        </row>
        <row r="161">
          <cell r="E161">
            <v>0</v>
          </cell>
        </row>
        <row r="162">
          <cell r="E162">
            <v>150143.73000000001</v>
          </cell>
        </row>
        <row r="163">
          <cell r="E163">
            <v>0</v>
          </cell>
        </row>
        <row r="164">
          <cell r="E164">
            <v>0</v>
          </cell>
        </row>
        <row r="165">
          <cell r="E165">
            <v>85093.43</v>
          </cell>
        </row>
        <row r="166">
          <cell r="E166">
            <v>151362292.23000005</v>
          </cell>
        </row>
        <row r="167">
          <cell r="E167">
            <v>0</v>
          </cell>
        </row>
        <row r="168">
          <cell r="E168">
            <v>0</v>
          </cell>
        </row>
        <row r="169">
          <cell r="E169">
            <v>0</v>
          </cell>
        </row>
        <row r="170">
          <cell r="E170">
            <v>2002616.79</v>
          </cell>
        </row>
        <row r="171">
          <cell r="E171">
            <v>0</v>
          </cell>
        </row>
        <row r="172">
          <cell r="E172">
            <v>35795276.450000003</v>
          </cell>
        </row>
        <row r="173">
          <cell r="E173">
            <v>15039957.119999999</v>
          </cell>
        </row>
        <row r="174">
          <cell r="H174">
            <v>145107221.75</v>
          </cell>
        </row>
        <row r="175">
          <cell r="H175">
            <v>0</v>
          </cell>
        </row>
        <row r="176">
          <cell r="H176">
            <v>12344979.229999995</v>
          </cell>
        </row>
        <row r="177">
          <cell r="H177">
            <v>0</v>
          </cell>
        </row>
        <row r="178">
          <cell r="H178">
            <v>4850926.2099999972</v>
          </cell>
        </row>
        <row r="179">
          <cell r="H179">
            <v>3256937.0200000107</v>
          </cell>
        </row>
        <row r="180">
          <cell r="H180">
            <v>742409.61000000127</v>
          </cell>
        </row>
        <row r="181">
          <cell r="H181">
            <v>140070.04999999981</v>
          </cell>
        </row>
        <row r="182">
          <cell r="H182">
            <v>1134316.8600000001</v>
          </cell>
        </row>
        <row r="183">
          <cell r="H183">
            <v>-381889.40999999968</v>
          </cell>
        </row>
        <row r="184">
          <cell r="H184">
            <v>2590448.63</v>
          </cell>
        </row>
        <row r="185">
          <cell r="H185">
            <v>5861125.400000006</v>
          </cell>
        </row>
        <row r="186">
          <cell r="H186">
            <v>4251545.04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14435058.379999995</v>
          </cell>
        </row>
        <row r="191">
          <cell r="H191">
            <v>0</v>
          </cell>
        </row>
        <row r="192">
          <cell r="H192">
            <v>0</v>
          </cell>
        </row>
        <row r="193">
          <cell r="H193">
            <v>0</v>
          </cell>
        </row>
        <row r="194">
          <cell r="H194">
            <v>133509338.67999999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9023292.2999999989</v>
          </cell>
        </row>
        <row r="201">
          <cell r="H201">
            <v>0</v>
          </cell>
          <cell r="AH201">
            <v>140414811.27000022</v>
          </cell>
        </row>
        <row r="205">
          <cell r="H205">
            <v>1500006.6</v>
          </cell>
        </row>
        <row r="206">
          <cell r="H206">
            <v>74400</v>
          </cell>
        </row>
        <row r="207">
          <cell r="H207">
            <v>76268.5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262320</v>
          </cell>
        </row>
        <row r="212">
          <cell r="H212">
            <v>10680.65</v>
          </cell>
        </row>
        <row r="213">
          <cell r="H213">
            <v>287963.80000000005</v>
          </cell>
        </row>
        <row r="214">
          <cell r="H214">
            <v>13327660.690000001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682320</v>
          </cell>
        </row>
        <row r="219">
          <cell r="H219">
            <v>4271381.7300000004</v>
          </cell>
        </row>
        <row r="220">
          <cell r="H220">
            <v>25041182.489999998</v>
          </cell>
        </row>
        <row r="221">
          <cell r="H221">
            <v>1334055.1699999997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325725.5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858304.8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163500</v>
          </cell>
        </row>
        <row r="245">
          <cell r="H245">
            <v>0</v>
          </cell>
        </row>
        <row r="246">
          <cell r="H246">
            <v>32903975.280000001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903254.64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1972189.3500000003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515435</v>
          </cell>
        </row>
        <row r="261">
          <cell r="H261">
            <v>0</v>
          </cell>
        </row>
        <row r="262">
          <cell r="H262">
            <v>0</v>
          </cell>
        </row>
        <row r="265">
          <cell r="H265">
            <v>0</v>
          </cell>
        </row>
        <row r="266">
          <cell r="H266">
            <v>37364572</v>
          </cell>
        </row>
        <row r="267">
          <cell r="H267">
            <v>0</v>
          </cell>
        </row>
        <row r="268">
          <cell r="H268">
            <v>418240.02</v>
          </cell>
        </row>
        <row r="269">
          <cell r="H269">
            <v>809061973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12631460.890000001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1418941.1100000003</v>
          </cell>
        </row>
        <row r="277">
          <cell r="H277">
            <v>1472.3600000000001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2">
          <cell r="E282">
            <v>158043468.59999999</v>
          </cell>
        </row>
        <row r="283">
          <cell r="E283">
            <v>0</v>
          </cell>
        </row>
        <row r="284">
          <cell r="E284">
            <v>0</v>
          </cell>
        </row>
        <row r="285">
          <cell r="E285">
            <v>0</v>
          </cell>
        </row>
        <row r="286">
          <cell r="E286">
            <v>30191529.809999995</v>
          </cell>
        </row>
        <row r="287">
          <cell r="E287">
            <v>0</v>
          </cell>
        </row>
        <row r="288">
          <cell r="E288">
            <v>0</v>
          </cell>
        </row>
        <row r="289">
          <cell r="E289">
            <v>23549057.080000002</v>
          </cell>
        </row>
        <row r="290">
          <cell r="E290">
            <v>0</v>
          </cell>
        </row>
        <row r="291">
          <cell r="E291">
            <v>3098500</v>
          </cell>
        </row>
        <row r="292">
          <cell r="E292">
            <v>763344.89</v>
          </cell>
        </row>
        <row r="293">
          <cell r="E293">
            <v>2880000</v>
          </cell>
        </row>
        <row r="294">
          <cell r="E294">
            <v>5362938.58</v>
          </cell>
        </row>
        <row r="295">
          <cell r="E295">
            <v>1980000</v>
          </cell>
        </row>
        <row r="296">
          <cell r="E296">
            <v>0</v>
          </cell>
        </row>
        <row r="297">
          <cell r="E297">
            <v>17486400</v>
          </cell>
        </row>
        <row r="298">
          <cell r="E298">
            <v>1307432</v>
          </cell>
        </row>
        <row r="299">
          <cell r="E299">
            <v>5967571.0000000009</v>
          </cell>
        </row>
        <row r="300">
          <cell r="E300">
            <v>58597645.989999995</v>
          </cell>
        </row>
        <row r="301">
          <cell r="E301">
            <v>9678583.209999999</v>
          </cell>
        </row>
        <row r="302">
          <cell r="E302">
            <v>5262500</v>
          </cell>
        </row>
        <row r="303">
          <cell r="E303">
            <v>15777670.419999998</v>
          </cell>
        </row>
        <row r="304">
          <cell r="E304">
            <v>19428047.940000001</v>
          </cell>
        </row>
        <row r="305">
          <cell r="E305">
            <v>1212075</v>
          </cell>
        </row>
        <row r="306">
          <cell r="E306">
            <v>2113825</v>
          </cell>
        </row>
        <row r="307">
          <cell r="E307">
            <v>933904.34999999986</v>
          </cell>
        </row>
        <row r="308">
          <cell r="E308">
            <v>0</v>
          </cell>
        </row>
        <row r="309">
          <cell r="E309">
            <v>0</v>
          </cell>
        </row>
        <row r="310">
          <cell r="E310">
            <v>0</v>
          </cell>
        </row>
        <row r="311">
          <cell r="E311">
            <v>0</v>
          </cell>
        </row>
        <row r="312">
          <cell r="E312">
            <v>14205277.390000001</v>
          </cell>
        </row>
        <row r="313">
          <cell r="E313">
            <v>0</v>
          </cell>
        </row>
        <row r="314">
          <cell r="E314">
            <v>1317614.5</v>
          </cell>
        </row>
        <row r="315">
          <cell r="E315">
            <v>12551788.09</v>
          </cell>
        </row>
        <row r="316">
          <cell r="E316">
            <v>765947</v>
          </cell>
        </row>
        <row r="317">
          <cell r="E317">
            <v>16052263.43</v>
          </cell>
        </row>
        <row r="318">
          <cell r="E318">
            <v>14212809.309999999</v>
          </cell>
        </row>
        <row r="319">
          <cell r="E319">
            <v>20040766.370000001</v>
          </cell>
        </row>
        <row r="320">
          <cell r="E320">
            <v>537758.5</v>
          </cell>
        </row>
        <row r="321">
          <cell r="E321">
            <v>531070.69999999995</v>
          </cell>
        </row>
        <row r="322">
          <cell r="E322">
            <v>15507684.429999998</v>
          </cell>
        </row>
        <row r="323">
          <cell r="E323">
            <v>3280867.82</v>
          </cell>
        </row>
        <row r="324">
          <cell r="E324">
            <v>6308995.4500000002</v>
          </cell>
        </row>
        <row r="325">
          <cell r="E325">
            <v>26072470.629999999</v>
          </cell>
        </row>
        <row r="326">
          <cell r="E326">
            <v>478581</v>
          </cell>
        </row>
        <row r="327">
          <cell r="E327">
            <v>5600</v>
          </cell>
        </row>
        <row r="328">
          <cell r="E328">
            <v>0</v>
          </cell>
        </row>
        <row r="329">
          <cell r="E329">
            <v>16175090.020000001</v>
          </cell>
        </row>
        <row r="330">
          <cell r="E330">
            <v>943970.06</v>
          </cell>
        </row>
        <row r="331">
          <cell r="E331">
            <v>13416154.77</v>
          </cell>
        </row>
        <row r="332">
          <cell r="E332">
            <v>406967.65</v>
          </cell>
        </row>
        <row r="333">
          <cell r="E333">
            <v>37905.660000000003</v>
          </cell>
        </row>
        <row r="334">
          <cell r="E334">
            <v>1876178.0000000005</v>
          </cell>
        </row>
        <row r="335">
          <cell r="E335">
            <v>3210157.16</v>
          </cell>
        </row>
        <row r="336">
          <cell r="E336">
            <v>601428.01</v>
          </cell>
        </row>
        <row r="337">
          <cell r="E337">
            <v>253986.47</v>
          </cell>
        </row>
        <row r="338">
          <cell r="E338">
            <v>490350</v>
          </cell>
        </row>
        <row r="339">
          <cell r="E339">
            <v>682394.6</v>
          </cell>
        </row>
        <row r="340">
          <cell r="E340">
            <v>841988</v>
          </cell>
        </row>
        <row r="341">
          <cell r="E341">
            <v>482648</v>
          </cell>
        </row>
        <row r="342">
          <cell r="E342">
            <v>1701691.2799999998</v>
          </cell>
        </row>
        <row r="343">
          <cell r="E343">
            <v>109000</v>
          </cell>
        </row>
        <row r="344">
          <cell r="E344">
            <v>1955760</v>
          </cell>
        </row>
        <row r="345">
          <cell r="E345">
            <v>0</v>
          </cell>
        </row>
        <row r="346">
          <cell r="E346">
            <v>345025.4</v>
          </cell>
        </row>
        <row r="347">
          <cell r="E347">
            <v>0</v>
          </cell>
        </row>
        <row r="348">
          <cell r="E348">
            <v>1333800</v>
          </cell>
        </row>
        <row r="349">
          <cell r="E349">
            <v>935640</v>
          </cell>
        </row>
        <row r="350">
          <cell r="E350">
            <v>0</v>
          </cell>
        </row>
        <row r="351">
          <cell r="E351">
            <v>4818053.32</v>
          </cell>
        </row>
        <row r="352">
          <cell r="E352">
            <v>0</v>
          </cell>
        </row>
        <row r="353">
          <cell r="E353">
            <v>0</v>
          </cell>
        </row>
        <row r="354">
          <cell r="E354">
            <v>255247.16</v>
          </cell>
        </row>
        <row r="355">
          <cell r="E355">
            <v>3816000</v>
          </cell>
        </row>
        <row r="356">
          <cell r="E356">
            <v>2590799</v>
          </cell>
        </row>
        <row r="357">
          <cell r="E357">
            <v>0</v>
          </cell>
        </row>
        <row r="358">
          <cell r="E358">
            <v>0</v>
          </cell>
        </row>
        <row r="359">
          <cell r="E359">
            <v>0</v>
          </cell>
        </row>
        <row r="360">
          <cell r="E360">
            <v>90762</v>
          </cell>
        </row>
        <row r="361">
          <cell r="E361">
            <v>1143717.5499999998</v>
          </cell>
        </row>
        <row r="362">
          <cell r="E362">
            <v>0</v>
          </cell>
        </row>
        <row r="363">
          <cell r="E363">
            <v>208762.03999999998</v>
          </cell>
        </row>
        <row r="364">
          <cell r="E364">
            <v>0</v>
          </cell>
        </row>
        <row r="365">
          <cell r="E365">
            <v>915063.64999999991</v>
          </cell>
        </row>
        <row r="366">
          <cell r="E366">
            <v>0</v>
          </cell>
        </row>
        <row r="367">
          <cell r="E367">
            <v>0</v>
          </cell>
        </row>
        <row r="368">
          <cell r="E368">
            <v>0</v>
          </cell>
        </row>
        <row r="369">
          <cell r="E369">
            <v>984532.96</v>
          </cell>
        </row>
        <row r="370">
          <cell r="E370">
            <v>0</v>
          </cell>
        </row>
        <row r="371">
          <cell r="E371">
            <v>2075111</v>
          </cell>
        </row>
        <row r="372">
          <cell r="E372">
            <v>0</v>
          </cell>
        </row>
        <row r="373">
          <cell r="E373">
            <v>0</v>
          </cell>
        </row>
        <row r="374">
          <cell r="E374">
            <v>0</v>
          </cell>
        </row>
        <row r="375">
          <cell r="E375">
            <v>4256</v>
          </cell>
        </row>
        <row r="376">
          <cell r="E376">
            <v>0</v>
          </cell>
        </row>
        <row r="377">
          <cell r="E377">
            <v>0</v>
          </cell>
        </row>
        <row r="378">
          <cell r="E378">
            <v>0</v>
          </cell>
        </row>
        <row r="379">
          <cell r="E379">
            <v>0</v>
          </cell>
        </row>
        <row r="380">
          <cell r="E380">
            <v>0</v>
          </cell>
        </row>
        <row r="381">
          <cell r="E381">
            <v>0</v>
          </cell>
        </row>
        <row r="382">
          <cell r="E382">
            <v>0</v>
          </cell>
        </row>
        <row r="383">
          <cell r="E383">
            <v>70020</v>
          </cell>
        </row>
        <row r="384">
          <cell r="E384">
            <v>14221006.709999999</v>
          </cell>
        </row>
        <row r="385">
          <cell r="E385">
            <v>0</v>
          </cell>
        </row>
        <row r="386">
          <cell r="E386">
            <v>0</v>
          </cell>
        </row>
        <row r="387">
          <cell r="E387">
            <v>0</v>
          </cell>
        </row>
        <row r="388">
          <cell r="E388">
            <v>0</v>
          </cell>
        </row>
        <row r="389">
          <cell r="E389">
            <v>0</v>
          </cell>
        </row>
        <row r="390">
          <cell r="E390">
            <v>4472784.6499999994</v>
          </cell>
        </row>
        <row r="391">
          <cell r="E391">
            <v>0</v>
          </cell>
        </row>
        <row r="392">
          <cell r="E392">
            <v>0</v>
          </cell>
        </row>
        <row r="393">
          <cell r="E393">
            <v>13947</v>
          </cell>
        </row>
        <row r="394">
          <cell r="E394">
            <v>0</v>
          </cell>
        </row>
        <row r="395">
          <cell r="E395">
            <v>0</v>
          </cell>
        </row>
        <row r="396">
          <cell r="E396">
            <v>0</v>
          </cell>
        </row>
        <row r="397">
          <cell r="E397">
            <v>0</v>
          </cell>
        </row>
        <row r="398">
          <cell r="E398">
            <v>0</v>
          </cell>
        </row>
        <row r="399">
          <cell r="E399">
            <v>0</v>
          </cell>
        </row>
        <row r="400">
          <cell r="E400">
            <v>0</v>
          </cell>
        </row>
        <row r="401">
          <cell r="E401">
            <v>0</v>
          </cell>
        </row>
        <row r="402">
          <cell r="E402">
            <v>0</v>
          </cell>
        </row>
        <row r="403">
          <cell r="E403">
            <v>0</v>
          </cell>
        </row>
        <row r="404">
          <cell r="E404">
            <v>7619663.4800000004</v>
          </cell>
        </row>
        <row r="405">
          <cell r="E405">
            <v>89258009.589999989</v>
          </cell>
        </row>
        <row r="406">
          <cell r="E406">
            <v>0</v>
          </cell>
        </row>
        <row r="407">
          <cell r="E407">
            <v>29000000</v>
          </cell>
        </row>
        <row r="408">
          <cell r="E408">
            <v>0</v>
          </cell>
        </row>
        <row r="409">
          <cell r="E409">
            <v>844118.79</v>
          </cell>
        </row>
        <row r="410">
          <cell r="E410">
            <v>1115495.07</v>
          </cell>
        </row>
        <row r="411">
          <cell r="E411">
            <v>93993.75</v>
          </cell>
        </row>
        <row r="412">
          <cell r="E412">
            <v>6336746.7700000005</v>
          </cell>
        </row>
        <row r="413">
          <cell r="E413">
            <v>0</v>
          </cell>
        </row>
        <row r="414">
          <cell r="E414">
            <v>1222178.67</v>
          </cell>
        </row>
        <row r="415">
          <cell r="E415">
            <v>0</v>
          </cell>
        </row>
        <row r="416">
          <cell r="E416">
            <v>0</v>
          </cell>
        </row>
        <row r="417">
          <cell r="E417">
            <v>1222774.76</v>
          </cell>
        </row>
        <row r="418">
          <cell r="E418">
            <v>622986.57999999996</v>
          </cell>
        </row>
        <row r="419">
          <cell r="E419">
            <v>0</v>
          </cell>
        </row>
        <row r="420">
          <cell r="E420">
            <v>639343.82999999996</v>
          </cell>
        </row>
        <row r="421">
          <cell r="E421">
            <v>0</v>
          </cell>
        </row>
        <row r="422">
          <cell r="E422">
            <v>102199.79</v>
          </cell>
        </row>
        <row r="423">
          <cell r="E423">
            <v>0</v>
          </cell>
        </row>
        <row r="424">
          <cell r="E424">
            <v>0</v>
          </cell>
        </row>
        <row r="425">
          <cell r="E425">
            <v>0</v>
          </cell>
        </row>
        <row r="426">
          <cell r="E426">
            <v>5223930.01</v>
          </cell>
        </row>
        <row r="427">
          <cell r="E427">
            <v>1351808.94</v>
          </cell>
        </row>
        <row r="428">
          <cell r="E428">
            <v>4696405.79</v>
          </cell>
        </row>
        <row r="429">
          <cell r="E429">
            <v>87693.48</v>
          </cell>
        </row>
        <row r="430">
          <cell r="E430">
            <v>8675228.7599999998</v>
          </cell>
        </row>
        <row r="431">
          <cell r="E431">
            <v>1641445.44</v>
          </cell>
        </row>
        <row r="432">
          <cell r="E432">
            <v>0</v>
          </cell>
        </row>
        <row r="433">
          <cell r="E433">
            <v>771779.74</v>
          </cell>
        </row>
        <row r="434">
          <cell r="E434">
            <v>3261445.37</v>
          </cell>
        </row>
        <row r="435">
          <cell r="E435">
            <v>14712</v>
          </cell>
        </row>
        <row r="436">
          <cell r="E436">
            <v>1763319.43</v>
          </cell>
        </row>
        <row r="437">
          <cell r="E437">
            <v>459603.68</v>
          </cell>
        </row>
        <row r="438">
          <cell r="E438">
            <v>108897.17</v>
          </cell>
        </row>
        <row r="439">
          <cell r="E439">
            <v>42686.31</v>
          </cell>
        </row>
        <row r="440">
          <cell r="E440">
            <v>0</v>
          </cell>
        </row>
        <row r="441">
          <cell r="E441">
            <v>453192.02</v>
          </cell>
        </row>
        <row r="442">
          <cell r="E442">
            <v>10394441</v>
          </cell>
        </row>
        <row r="443">
          <cell r="E443">
            <v>0</v>
          </cell>
        </row>
        <row r="444">
          <cell r="E444">
            <v>0</v>
          </cell>
        </row>
        <row r="445">
          <cell r="E445">
            <v>647982.80000000005</v>
          </cell>
        </row>
        <row r="446">
          <cell r="E446">
            <v>0</v>
          </cell>
        </row>
        <row r="447">
          <cell r="E447">
            <v>1485918.37</v>
          </cell>
        </row>
        <row r="448">
          <cell r="E448">
            <v>0</v>
          </cell>
        </row>
        <row r="450">
          <cell r="E450">
            <v>0</v>
          </cell>
        </row>
        <row r="451">
          <cell r="E451">
            <v>0</v>
          </cell>
        </row>
        <row r="453">
          <cell r="E453">
            <v>0</v>
          </cell>
        </row>
        <row r="454">
          <cell r="E454">
            <v>0</v>
          </cell>
        </row>
        <row r="455">
          <cell r="E455">
            <v>0</v>
          </cell>
        </row>
        <row r="456">
          <cell r="E456">
            <v>40134806.189999998</v>
          </cell>
        </row>
        <row r="457">
          <cell r="E457">
            <v>281685.23</v>
          </cell>
        </row>
        <row r="458">
          <cell r="E458">
            <v>0</v>
          </cell>
        </row>
        <row r="459">
          <cell r="E459">
            <v>0</v>
          </cell>
        </row>
        <row r="460">
          <cell r="E460">
            <v>2978.5</v>
          </cell>
        </row>
        <row r="461">
          <cell r="E461">
            <v>8429168.7400000002</v>
          </cell>
        </row>
        <row r="462">
          <cell r="E462">
            <v>1645.65</v>
          </cell>
        </row>
      </sheetData>
      <sheetData sheetId="1"/>
      <sheetData sheetId="2"/>
      <sheetData sheetId="3"/>
      <sheetData sheetId="4"/>
      <sheetData sheetId="5">
        <row r="40">
          <cell r="F40">
            <v>1272772037.98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RE"/>
      <sheetName val="Post"/>
      <sheetName val="BS"/>
      <sheetName val="SIE"/>
      <sheetName val="Cash flow"/>
      <sheetName val="SGE"/>
      <sheetName val="RRR"/>
      <sheetName val="Cashflow-COA"/>
      <sheetName val="Sheet1"/>
      <sheetName val="worksheet"/>
      <sheetName val="recap-G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RE"/>
      <sheetName val="Post"/>
      <sheetName val="BS"/>
      <sheetName val="SIE"/>
      <sheetName val="SGE"/>
      <sheetName val="RRR"/>
      <sheetName val="Cash flow"/>
      <sheetName val="Cashflow-COA"/>
      <sheetName val="Sheet1 (2)"/>
      <sheetName val="worksheet"/>
      <sheetName val="recap-GJ"/>
      <sheetName val="J-S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90"/>
  <sheetViews>
    <sheetView tabSelected="1" workbookViewId="0">
      <selection activeCell="F286" sqref="F286"/>
    </sheetView>
  </sheetViews>
  <sheetFormatPr defaultRowHeight="15.75" customHeight="1"/>
  <cols>
    <col min="1" max="2" width="1.28515625" style="1" customWidth="1"/>
    <col min="3" max="3" width="1.7109375" style="1" customWidth="1"/>
    <col min="4" max="4" width="67.7109375" style="4" customWidth="1"/>
    <col min="5" max="5" width="17.42578125" style="3" hidden="1" customWidth="1"/>
    <col min="6" max="6" width="19.7109375" style="144" customWidth="1"/>
    <col min="7" max="8" width="18.7109375" style="3" hidden="1" customWidth="1"/>
    <col min="9" max="10" width="18.7109375" style="1" hidden="1" customWidth="1"/>
    <col min="11" max="11" width="18.7109375" style="144" hidden="1" customWidth="1"/>
    <col min="12" max="12" width="18.7109375" style="144" customWidth="1"/>
    <col min="13" max="256" width="9.140625" style="1"/>
    <col min="257" max="258" width="1.28515625" style="1" customWidth="1"/>
    <col min="259" max="259" width="1.7109375" style="1" customWidth="1"/>
    <col min="260" max="260" width="67.7109375" style="1" customWidth="1"/>
    <col min="261" max="261" width="0" style="1" hidden="1" customWidth="1"/>
    <col min="262" max="262" width="19.7109375" style="1" customWidth="1"/>
    <col min="263" max="267" width="0" style="1" hidden="1" customWidth="1"/>
    <col min="268" max="268" width="18.7109375" style="1" customWidth="1"/>
    <col min="269" max="512" width="9.140625" style="1"/>
    <col min="513" max="514" width="1.28515625" style="1" customWidth="1"/>
    <col min="515" max="515" width="1.7109375" style="1" customWidth="1"/>
    <col min="516" max="516" width="67.7109375" style="1" customWidth="1"/>
    <col min="517" max="517" width="0" style="1" hidden="1" customWidth="1"/>
    <col min="518" max="518" width="19.7109375" style="1" customWidth="1"/>
    <col min="519" max="523" width="0" style="1" hidden="1" customWidth="1"/>
    <col min="524" max="524" width="18.7109375" style="1" customWidth="1"/>
    <col min="525" max="768" width="9.140625" style="1"/>
    <col min="769" max="770" width="1.28515625" style="1" customWidth="1"/>
    <col min="771" max="771" width="1.7109375" style="1" customWidth="1"/>
    <col min="772" max="772" width="67.7109375" style="1" customWidth="1"/>
    <col min="773" max="773" width="0" style="1" hidden="1" customWidth="1"/>
    <col min="774" max="774" width="19.7109375" style="1" customWidth="1"/>
    <col min="775" max="779" width="0" style="1" hidden="1" customWidth="1"/>
    <col min="780" max="780" width="18.7109375" style="1" customWidth="1"/>
    <col min="781" max="1024" width="9.140625" style="1"/>
    <col min="1025" max="1026" width="1.28515625" style="1" customWidth="1"/>
    <col min="1027" max="1027" width="1.7109375" style="1" customWidth="1"/>
    <col min="1028" max="1028" width="67.7109375" style="1" customWidth="1"/>
    <col min="1029" max="1029" width="0" style="1" hidden="1" customWidth="1"/>
    <col min="1030" max="1030" width="19.7109375" style="1" customWidth="1"/>
    <col min="1031" max="1035" width="0" style="1" hidden="1" customWidth="1"/>
    <col min="1036" max="1036" width="18.7109375" style="1" customWidth="1"/>
    <col min="1037" max="1280" width="9.140625" style="1"/>
    <col min="1281" max="1282" width="1.28515625" style="1" customWidth="1"/>
    <col min="1283" max="1283" width="1.7109375" style="1" customWidth="1"/>
    <col min="1284" max="1284" width="67.7109375" style="1" customWidth="1"/>
    <col min="1285" max="1285" width="0" style="1" hidden="1" customWidth="1"/>
    <col min="1286" max="1286" width="19.7109375" style="1" customWidth="1"/>
    <col min="1287" max="1291" width="0" style="1" hidden="1" customWidth="1"/>
    <col min="1292" max="1292" width="18.7109375" style="1" customWidth="1"/>
    <col min="1293" max="1536" width="9.140625" style="1"/>
    <col min="1537" max="1538" width="1.28515625" style="1" customWidth="1"/>
    <col min="1539" max="1539" width="1.7109375" style="1" customWidth="1"/>
    <col min="1540" max="1540" width="67.7109375" style="1" customWidth="1"/>
    <col min="1541" max="1541" width="0" style="1" hidden="1" customWidth="1"/>
    <col min="1542" max="1542" width="19.7109375" style="1" customWidth="1"/>
    <col min="1543" max="1547" width="0" style="1" hidden="1" customWidth="1"/>
    <col min="1548" max="1548" width="18.7109375" style="1" customWidth="1"/>
    <col min="1549" max="1792" width="9.140625" style="1"/>
    <col min="1793" max="1794" width="1.28515625" style="1" customWidth="1"/>
    <col min="1795" max="1795" width="1.7109375" style="1" customWidth="1"/>
    <col min="1796" max="1796" width="67.7109375" style="1" customWidth="1"/>
    <col min="1797" max="1797" width="0" style="1" hidden="1" customWidth="1"/>
    <col min="1798" max="1798" width="19.7109375" style="1" customWidth="1"/>
    <col min="1799" max="1803" width="0" style="1" hidden="1" customWidth="1"/>
    <col min="1804" max="1804" width="18.7109375" style="1" customWidth="1"/>
    <col min="1805" max="2048" width="9.140625" style="1"/>
    <col min="2049" max="2050" width="1.28515625" style="1" customWidth="1"/>
    <col min="2051" max="2051" width="1.7109375" style="1" customWidth="1"/>
    <col min="2052" max="2052" width="67.7109375" style="1" customWidth="1"/>
    <col min="2053" max="2053" width="0" style="1" hidden="1" customWidth="1"/>
    <col min="2054" max="2054" width="19.7109375" style="1" customWidth="1"/>
    <col min="2055" max="2059" width="0" style="1" hidden="1" customWidth="1"/>
    <col min="2060" max="2060" width="18.7109375" style="1" customWidth="1"/>
    <col min="2061" max="2304" width="9.140625" style="1"/>
    <col min="2305" max="2306" width="1.28515625" style="1" customWidth="1"/>
    <col min="2307" max="2307" width="1.7109375" style="1" customWidth="1"/>
    <col min="2308" max="2308" width="67.7109375" style="1" customWidth="1"/>
    <col min="2309" max="2309" width="0" style="1" hidden="1" customWidth="1"/>
    <col min="2310" max="2310" width="19.7109375" style="1" customWidth="1"/>
    <col min="2311" max="2315" width="0" style="1" hidden="1" customWidth="1"/>
    <col min="2316" max="2316" width="18.7109375" style="1" customWidth="1"/>
    <col min="2317" max="2560" width="9.140625" style="1"/>
    <col min="2561" max="2562" width="1.28515625" style="1" customWidth="1"/>
    <col min="2563" max="2563" width="1.7109375" style="1" customWidth="1"/>
    <col min="2564" max="2564" width="67.7109375" style="1" customWidth="1"/>
    <col min="2565" max="2565" width="0" style="1" hidden="1" customWidth="1"/>
    <col min="2566" max="2566" width="19.7109375" style="1" customWidth="1"/>
    <col min="2567" max="2571" width="0" style="1" hidden="1" customWidth="1"/>
    <col min="2572" max="2572" width="18.7109375" style="1" customWidth="1"/>
    <col min="2573" max="2816" width="9.140625" style="1"/>
    <col min="2817" max="2818" width="1.28515625" style="1" customWidth="1"/>
    <col min="2819" max="2819" width="1.7109375" style="1" customWidth="1"/>
    <col min="2820" max="2820" width="67.7109375" style="1" customWidth="1"/>
    <col min="2821" max="2821" width="0" style="1" hidden="1" customWidth="1"/>
    <col min="2822" max="2822" width="19.7109375" style="1" customWidth="1"/>
    <col min="2823" max="2827" width="0" style="1" hidden="1" customWidth="1"/>
    <col min="2828" max="2828" width="18.7109375" style="1" customWidth="1"/>
    <col min="2829" max="3072" width="9.140625" style="1"/>
    <col min="3073" max="3074" width="1.28515625" style="1" customWidth="1"/>
    <col min="3075" max="3075" width="1.7109375" style="1" customWidth="1"/>
    <col min="3076" max="3076" width="67.7109375" style="1" customWidth="1"/>
    <col min="3077" max="3077" width="0" style="1" hidden="1" customWidth="1"/>
    <col min="3078" max="3078" width="19.7109375" style="1" customWidth="1"/>
    <col min="3079" max="3083" width="0" style="1" hidden="1" customWidth="1"/>
    <col min="3084" max="3084" width="18.7109375" style="1" customWidth="1"/>
    <col min="3085" max="3328" width="9.140625" style="1"/>
    <col min="3329" max="3330" width="1.28515625" style="1" customWidth="1"/>
    <col min="3331" max="3331" width="1.7109375" style="1" customWidth="1"/>
    <col min="3332" max="3332" width="67.7109375" style="1" customWidth="1"/>
    <col min="3333" max="3333" width="0" style="1" hidden="1" customWidth="1"/>
    <col min="3334" max="3334" width="19.7109375" style="1" customWidth="1"/>
    <col min="3335" max="3339" width="0" style="1" hidden="1" customWidth="1"/>
    <col min="3340" max="3340" width="18.7109375" style="1" customWidth="1"/>
    <col min="3341" max="3584" width="9.140625" style="1"/>
    <col min="3585" max="3586" width="1.28515625" style="1" customWidth="1"/>
    <col min="3587" max="3587" width="1.7109375" style="1" customWidth="1"/>
    <col min="3588" max="3588" width="67.7109375" style="1" customWidth="1"/>
    <col min="3589" max="3589" width="0" style="1" hidden="1" customWidth="1"/>
    <col min="3590" max="3590" width="19.7109375" style="1" customWidth="1"/>
    <col min="3591" max="3595" width="0" style="1" hidden="1" customWidth="1"/>
    <col min="3596" max="3596" width="18.7109375" style="1" customWidth="1"/>
    <col min="3597" max="3840" width="9.140625" style="1"/>
    <col min="3841" max="3842" width="1.28515625" style="1" customWidth="1"/>
    <col min="3843" max="3843" width="1.7109375" style="1" customWidth="1"/>
    <col min="3844" max="3844" width="67.7109375" style="1" customWidth="1"/>
    <col min="3845" max="3845" width="0" style="1" hidden="1" customWidth="1"/>
    <col min="3846" max="3846" width="19.7109375" style="1" customWidth="1"/>
    <col min="3847" max="3851" width="0" style="1" hidden="1" customWidth="1"/>
    <col min="3852" max="3852" width="18.7109375" style="1" customWidth="1"/>
    <col min="3853" max="4096" width="9.140625" style="1"/>
    <col min="4097" max="4098" width="1.28515625" style="1" customWidth="1"/>
    <col min="4099" max="4099" width="1.7109375" style="1" customWidth="1"/>
    <col min="4100" max="4100" width="67.7109375" style="1" customWidth="1"/>
    <col min="4101" max="4101" width="0" style="1" hidden="1" customWidth="1"/>
    <col min="4102" max="4102" width="19.7109375" style="1" customWidth="1"/>
    <col min="4103" max="4107" width="0" style="1" hidden="1" customWidth="1"/>
    <col min="4108" max="4108" width="18.7109375" style="1" customWidth="1"/>
    <col min="4109" max="4352" width="9.140625" style="1"/>
    <col min="4353" max="4354" width="1.28515625" style="1" customWidth="1"/>
    <col min="4355" max="4355" width="1.7109375" style="1" customWidth="1"/>
    <col min="4356" max="4356" width="67.7109375" style="1" customWidth="1"/>
    <col min="4357" max="4357" width="0" style="1" hidden="1" customWidth="1"/>
    <col min="4358" max="4358" width="19.7109375" style="1" customWidth="1"/>
    <col min="4359" max="4363" width="0" style="1" hidden="1" customWidth="1"/>
    <col min="4364" max="4364" width="18.7109375" style="1" customWidth="1"/>
    <col min="4365" max="4608" width="9.140625" style="1"/>
    <col min="4609" max="4610" width="1.28515625" style="1" customWidth="1"/>
    <col min="4611" max="4611" width="1.7109375" style="1" customWidth="1"/>
    <col min="4612" max="4612" width="67.7109375" style="1" customWidth="1"/>
    <col min="4613" max="4613" width="0" style="1" hidden="1" customWidth="1"/>
    <col min="4614" max="4614" width="19.7109375" style="1" customWidth="1"/>
    <col min="4615" max="4619" width="0" style="1" hidden="1" customWidth="1"/>
    <col min="4620" max="4620" width="18.7109375" style="1" customWidth="1"/>
    <col min="4621" max="4864" width="9.140625" style="1"/>
    <col min="4865" max="4866" width="1.28515625" style="1" customWidth="1"/>
    <col min="4867" max="4867" width="1.7109375" style="1" customWidth="1"/>
    <col min="4868" max="4868" width="67.7109375" style="1" customWidth="1"/>
    <col min="4869" max="4869" width="0" style="1" hidden="1" customWidth="1"/>
    <col min="4870" max="4870" width="19.7109375" style="1" customWidth="1"/>
    <col min="4871" max="4875" width="0" style="1" hidden="1" customWidth="1"/>
    <col min="4876" max="4876" width="18.7109375" style="1" customWidth="1"/>
    <col min="4877" max="5120" width="9.140625" style="1"/>
    <col min="5121" max="5122" width="1.28515625" style="1" customWidth="1"/>
    <col min="5123" max="5123" width="1.7109375" style="1" customWidth="1"/>
    <col min="5124" max="5124" width="67.7109375" style="1" customWidth="1"/>
    <col min="5125" max="5125" width="0" style="1" hidden="1" customWidth="1"/>
    <col min="5126" max="5126" width="19.7109375" style="1" customWidth="1"/>
    <col min="5127" max="5131" width="0" style="1" hidden="1" customWidth="1"/>
    <col min="5132" max="5132" width="18.7109375" style="1" customWidth="1"/>
    <col min="5133" max="5376" width="9.140625" style="1"/>
    <col min="5377" max="5378" width="1.28515625" style="1" customWidth="1"/>
    <col min="5379" max="5379" width="1.7109375" style="1" customWidth="1"/>
    <col min="5380" max="5380" width="67.7109375" style="1" customWidth="1"/>
    <col min="5381" max="5381" width="0" style="1" hidden="1" customWidth="1"/>
    <col min="5382" max="5382" width="19.7109375" style="1" customWidth="1"/>
    <col min="5383" max="5387" width="0" style="1" hidden="1" customWidth="1"/>
    <col min="5388" max="5388" width="18.7109375" style="1" customWidth="1"/>
    <col min="5389" max="5632" width="9.140625" style="1"/>
    <col min="5633" max="5634" width="1.28515625" style="1" customWidth="1"/>
    <col min="5635" max="5635" width="1.7109375" style="1" customWidth="1"/>
    <col min="5636" max="5636" width="67.7109375" style="1" customWidth="1"/>
    <col min="5637" max="5637" width="0" style="1" hidden="1" customWidth="1"/>
    <col min="5638" max="5638" width="19.7109375" style="1" customWidth="1"/>
    <col min="5639" max="5643" width="0" style="1" hidden="1" customWidth="1"/>
    <col min="5644" max="5644" width="18.7109375" style="1" customWidth="1"/>
    <col min="5645" max="5888" width="9.140625" style="1"/>
    <col min="5889" max="5890" width="1.28515625" style="1" customWidth="1"/>
    <col min="5891" max="5891" width="1.7109375" style="1" customWidth="1"/>
    <col min="5892" max="5892" width="67.7109375" style="1" customWidth="1"/>
    <col min="5893" max="5893" width="0" style="1" hidden="1" customWidth="1"/>
    <col min="5894" max="5894" width="19.7109375" style="1" customWidth="1"/>
    <col min="5895" max="5899" width="0" style="1" hidden="1" customWidth="1"/>
    <col min="5900" max="5900" width="18.7109375" style="1" customWidth="1"/>
    <col min="5901" max="6144" width="9.140625" style="1"/>
    <col min="6145" max="6146" width="1.28515625" style="1" customWidth="1"/>
    <col min="6147" max="6147" width="1.7109375" style="1" customWidth="1"/>
    <col min="6148" max="6148" width="67.7109375" style="1" customWidth="1"/>
    <col min="6149" max="6149" width="0" style="1" hidden="1" customWidth="1"/>
    <col min="6150" max="6150" width="19.7109375" style="1" customWidth="1"/>
    <col min="6151" max="6155" width="0" style="1" hidden="1" customWidth="1"/>
    <col min="6156" max="6156" width="18.7109375" style="1" customWidth="1"/>
    <col min="6157" max="6400" width="9.140625" style="1"/>
    <col min="6401" max="6402" width="1.28515625" style="1" customWidth="1"/>
    <col min="6403" max="6403" width="1.7109375" style="1" customWidth="1"/>
    <col min="6404" max="6404" width="67.7109375" style="1" customWidth="1"/>
    <col min="6405" max="6405" width="0" style="1" hidden="1" customWidth="1"/>
    <col min="6406" max="6406" width="19.7109375" style="1" customWidth="1"/>
    <col min="6407" max="6411" width="0" style="1" hidden="1" customWidth="1"/>
    <col min="6412" max="6412" width="18.7109375" style="1" customWidth="1"/>
    <col min="6413" max="6656" width="9.140625" style="1"/>
    <col min="6657" max="6658" width="1.28515625" style="1" customWidth="1"/>
    <col min="6659" max="6659" width="1.7109375" style="1" customWidth="1"/>
    <col min="6660" max="6660" width="67.7109375" style="1" customWidth="1"/>
    <col min="6661" max="6661" width="0" style="1" hidden="1" customWidth="1"/>
    <col min="6662" max="6662" width="19.7109375" style="1" customWidth="1"/>
    <col min="6663" max="6667" width="0" style="1" hidden="1" customWidth="1"/>
    <col min="6668" max="6668" width="18.7109375" style="1" customWidth="1"/>
    <col min="6669" max="6912" width="9.140625" style="1"/>
    <col min="6913" max="6914" width="1.28515625" style="1" customWidth="1"/>
    <col min="6915" max="6915" width="1.7109375" style="1" customWidth="1"/>
    <col min="6916" max="6916" width="67.7109375" style="1" customWidth="1"/>
    <col min="6917" max="6917" width="0" style="1" hidden="1" customWidth="1"/>
    <col min="6918" max="6918" width="19.7109375" style="1" customWidth="1"/>
    <col min="6919" max="6923" width="0" style="1" hidden="1" customWidth="1"/>
    <col min="6924" max="6924" width="18.7109375" style="1" customWidth="1"/>
    <col min="6925" max="7168" width="9.140625" style="1"/>
    <col min="7169" max="7170" width="1.28515625" style="1" customWidth="1"/>
    <col min="7171" max="7171" width="1.7109375" style="1" customWidth="1"/>
    <col min="7172" max="7172" width="67.7109375" style="1" customWidth="1"/>
    <col min="7173" max="7173" width="0" style="1" hidden="1" customWidth="1"/>
    <col min="7174" max="7174" width="19.7109375" style="1" customWidth="1"/>
    <col min="7175" max="7179" width="0" style="1" hidden="1" customWidth="1"/>
    <col min="7180" max="7180" width="18.7109375" style="1" customWidth="1"/>
    <col min="7181" max="7424" width="9.140625" style="1"/>
    <col min="7425" max="7426" width="1.28515625" style="1" customWidth="1"/>
    <col min="7427" max="7427" width="1.7109375" style="1" customWidth="1"/>
    <col min="7428" max="7428" width="67.7109375" style="1" customWidth="1"/>
    <col min="7429" max="7429" width="0" style="1" hidden="1" customWidth="1"/>
    <col min="7430" max="7430" width="19.7109375" style="1" customWidth="1"/>
    <col min="7431" max="7435" width="0" style="1" hidden="1" customWidth="1"/>
    <col min="7436" max="7436" width="18.7109375" style="1" customWidth="1"/>
    <col min="7437" max="7680" width="9.140625" style="1"/>
    <col min="7681" max="7682" width="1.28515625" style="1" customWidth="1"/>
    <col min="7683" max="7683" width="1.7109375" style="1" customWidth="1"/>
    <col min="7684" max="7684" width="67.7109375" style="1" customWidth="1"/>
    <col min="7685" max="7685" width="0" style="1" hidden="1" customWidth="1"/>
    <col min="7686" max="7686" width="19.7109375" style="1" customWidth="1"/>
    <col min="7687" max="7691" width="0" style="1" hidden="1" customWidth="1"/>
    <col min="7692" max="7692" width="18.7109375" style="1" customWidth="1"/>
    <col min="7693" max="7936" width="9.140625" style="1"/>
    <col min="7937" max="7938" width="1.28515625" style="1" customWidth="1"/>
    <col min="7939" max="7939" width="1.7109375" style="1" customWidth="1"/>
    <col min="7940" max="7940" width="67.7109375" style="1" customWidth="1"/>
    <col min="7941" max="7941" width="0" style="1" hidden="1" customWidth="1"/>
    <col min="7942" max="7942" width="19.7109375" style="1" customWidth="1"/>
    <col min="7943" max="7947" width="0" style="1" hidden="1" customWidth="1"/>
    <col min="7948" max="7948" width="18.7109375" style="1" customWidth="1"/>
    <col min="7949" max="8192" width="9.140625" style="1"/>
    <col min="8193" max="8194" width="1.28515625" style="1" customWidth="1"/>
    <col min="8195" max="8195" width="1.7109375" style="1" customWidth="1"/>
    <col min="8196" max="8196" width="67.7109375" style="1" customWidth="1"/>
    <col min="8197" max="8197" width="0" style="1" hidden="1" customWidth="1"/>
    <col min="8198" max="8198" width="19.7109375" style="1" customWidth="1"/>
    <col min="8199" max="8203" width="0" style="1" hidden="1" customWidth="1"/>
    <col min="8204" max="8204" width="18.7109375" style="1" customWidth="1"/>
    <col min="8205" max="8448" width="9.140625" style="1"/>
    <col min="8449" max="8450" width="1.28515625" style="1" customWidth="1"/>
    <col min="8451" max="8451" width="1.7109375" style="1" customWidth="1"/>
    <col min="8452" max="8452" width="67.7109375" style="1" customWidth="1"/>
    <col min="8453" max="8453" width="0" style="1" hidden="1" customWidth="1"/>
    <col min="8454" max="8454" width="19.7109375" style="1" customWidth="1"/>
    <col min="8455" max="8459" width="0" style="1" hidden="1" customWidth="1"/>
    <col min="8460" max="8460" width="18.7109375" style="1" customWidth="1"/>
    <col min="8461" max="8704" width="9.140625" style="1"/>
    <col min="8705" max="8706" width="1.28515625" style="1" customWidth="1"/>
    <col min="8707" max="8707" width="1.7109375" style="1" customWidth="1"/>
    <col min="8708" max="8708" width="67.7109375" style="1" customWidth="1"/>
    <col min="8709" max="8709" width="0" style="1" hidden="1" customWidth="1"/>
    <col min="8710" max="8710" width="19.7109375" style="1" customWidth="1"/>
    <col min="8711" max="8715" width="0" style="1" hidden="1" customWidth="1"/>
    <col min="8716" max="8716" width="18.7109375" style="1" customWidth="1"/>
    <col min="8717" max="8960" width="9.140625" style="1"/>
    <col min="8961" max="8962" width="1.28515625" style="1" customWidth="1"/>
    <col min="8963" max="8963" width="1.7109375" style="1" customWidth="1"/>
    <col min="8964" max="8964" width="67.7109375" style="1" customWidth="1"/>
    <col min="8965" max="8965" width="0" style="1" hidden="1" customWidth="1"/>
    <col min="8966" max="8966" width="19.7109375" style="1" customWidth="1"/>
    <col min="8967" max="8971" width="0" style="1" hidden="1" customWidth="1"/>
    <col min="8972" max="8972" width="18.7109375" style="1" customWidth="1"/>
    <col min="8973" max="9216" width="9.140625" style="1"/>
    <col min="9217" max="9218" width="1.28515625" style="1" customWidth="1"/>
    <col min="9219" max="9219" width="1.7109375" style="1" customWidth="1"/>
    <col min="9220" max="9220" width="67.7109375" style="1" customWidth="1"/>
    <col min="9221" max="9221" width="0" style="1" hidden="1" customWidth="1"/>
    <col min="9222" max="9222" width="19.7109375" style="1" customWidth="1"/>
    <col min="9223" max="9227" width="0" style="1" hidden="1" customWidth="1"/>
    <col min="9228" max="9228" width="18.7109375" style="1" customWidth="1"/>
    <col min="9229" max="9472" width="9.140625" style="1"/>
    <col min="9473" max="9474" width="1.28515625" style="1" customWidth="1"/>
    <col min="9475" max="9475" width="1.7109375" style="1" customWidth="1"/>
    <col min="9476" max="9476" width="67.7109375" style="1" customWidth="1"/>
    <col min="9477" max="9477" width="0" style="1" hidden="1" customWidth="1"/>
    <col min="9478" max="9478" width="19.7109375" style="1" customWidth="1"/>
    <col min="9479" max="9483" width="0" style="1" hidden="1" customWidth="1"/>
    <col min="9484" max="9484" width="18.7109375" style="1" customWidth="1"/>
    <col min="9485" max="9728" width="9.140625" style="1"/>
    <col min="9729" max="9730" width="1.28515625" style="1" customWidth="1"/>
    <col min="9731" max="9731" width="1.7109375" style="1" customWidth="1"/>
    <col min="9732" max="9732" width="67.7109375" style="1" customWidth="1"/>
    <col min="9733" max="9733" width="0" style="1" hidden="1" customWidth="1"/>
    <col min="9734" max="9734" width="19.7109375" style="1" customWidth="1"/>
    <col min="9735" max="9739" width="0" style="1" hidden="1" customWidth="1"/>
    <col min="9740" max="9740" width="18.7109375" style="1" customWidth="1"/>
    <col min="9741" max="9984" width="9.140625" style="1"/>
    <col min="9985" max="9986" width="1.28515625" style="1" customWidth="1"/>
    <col min="9987" max="9987" width="1.7109375" style="1" customWidth="1"/>
    <col min="9988" max="9988" width="67.7109375" style="1" customWidth="1"/>
    <col min="9989" max="9989" width="0" style="1" hidden="1" customWidth="1"/>
    <col min="9990" max="9990" width="19.7109375" style="1" customWidth="1"/>
    <col min="9991" max="9995" width="0" style="1" hidden="1" customWidth="1"/>
    <col min="9996" max="9996" width="18.7109375" style="1" customWidth="1"/>
    <col min="9997" max="10240" width="9.140625" style="1"/>
    <col min="10241" max="10242" width="1.28515625" style="1" customWidth="1"/>
    <col min="10243" max="10243" width="1.7109375" style="1" customWidth="1"/>
    <col min="10244" max="10244" width="67.7109375" style="1" customWidth="1"/>
    <col min="10245" max="10245" width="0" style="1" hidden="1" customWidth="1"/>
    <col min="10246" max="10246" width="19.7109375" style="1" customWidth="1"/>
    <col min="10247" max="10251" width="0" style="1" hidden="1" customWidth="1"/>
    <col min="10252" max="10252" width="18.7109375" style="1" customWidth="1"/>
    <col min="10253" max="10496" width="9.140625" style="1"/>
    <col min="10497" max="10498" width="1.28515625" style="1" customWidth="1"/>
    <col min="10499" max="10499" width="1.7109375" style="1" customWidth="1"/>
    <col min="10500" max="10500" width="67.7109375" style="1" customWidth="1"/>
    <col min="10501" max="10501" width="0" style="1" hidden="1" customWidth="1"/>
    <col min="10502" max="10502" width="19.7109375" style="1" customWidth="1"/>
    <col min="10503" max="10507" width="0" style="1" hidden="1" customWidth="1"/>
    <col min="10508" max="10508" width="18.7109375" style="1" customWidth="1"/>
    <col min="10509" max="10752" width="9.140625" style="1"/>
    <col min="10753" max="10754" width="1.28515625" style="1" customWidth="1"/>
    <col min="10755" max="10755" width="1.7109375" style="1" customWidth="1"/>
    <col min="10756" max="10756" width="67.7109375" style="1" customWidth="1"/>
    <col min="10757" max="10757" width="0" style="1" hidden="1" customWidth="1"/>
    <col min="10758" max="10758" width="19.7109375" style="1" customWidth="1"/>
    <col min="10759" max="10763" width="0" style="1" hidden="1" customWidth="1"/>
    <col min="10764" max="10764" width="18.7109375" style="1" customWidth="1"/>
    <col min="10765" max="11008" width="9.140625" style="1"/>
    <col min="11009" max="11010" width="1.28515625" style="1" customWidth="1"/>
    <col min="11011" max="11011" width="1.7109375" style="1" customWidth="1"/>
    <col min="11012" max="11012" width="67.7109375" style="1" customWidth="1"/>
    <col min="11013" max="11013" width="0" style="1" hidden="1" customWidth="1"/>
    <col min="11014" max="11014" width="19.7109375" style="1" customWidth="1"/>
    <col min="11015" max="11019" width="0" style="1" hidden="1" customWidth="1"/>
    <col min="11020" max="11020" width="18.7109375" style="1" customWidth="1"/>
    <col min="11021" max="11264" width="9.140625" style="1"/>
    <col min="11265" max="11266" width="1.28515625" style="1" customWidth="1"/>
    <col min="11267" max="11267" width="1.7109375" style="1" customWidth="1"/>
    <col min="11268" max="11268" width="67.7109375" style="1" customWidth="1"/>
    <col min="11269" max="11269" width="0" style="1" hidden="1" customWidth="1"/>
    <col min="11270" max="11270" width="19.7109375" style="1" customWidth="1"/>
    <col min="11271" max="11275" width="0" style="1" hidden="1" customWidth="1"/>
    <col min="11276" max="11276" width="18.7109375" style="1" customWidth="1"/>
    <col min="11277" max="11520" width="9.140625" style="1"/>
    <col min="11521" max="11522" width="1.28515625" style="1" customWidth="1"/>
    <col min="11523" max="11523" width="1.7109375" style="1" customWidth="1"/>
    <col min="11524" max="11524" width="67.7109375" style="1" customWidth="1"/>
    <col min="11525" max="11525" width="0" style="1" hidden="1" customWidth="1"/>
    <col min="11526" max="11526" width="19.7109375" style="1" customWidth="1"/>
    <col min="11527" max="11531" width="0" style="1" hidden="1" customWidth="1"/>
    <col min="11532" max="11532" width="18.7109375" style="1" customWidth="1"/>
    <col min="11533" max="11776" width="9.140625" style="1"/>
    <col min="11777" max="11778" width="1.28515625" style="1" customWidth="1"/>
    <col min="11779" max="11779" width="1.7109375" style="1" customWidth="1"/>
    <col min="11780" max="11780" width="67.7109375" style="1" customWidth="1"/>
    <col min="11781" max="11781" width="0" style="1" hidden="1" customWidth="1"/>
    <col min="11782" max="11782" width="19.7109375" style="1" customWidth="1"/>
    <col min="11783" max="11787" width="0" style="1" hidden="1" customWidth="1"/>
    <col min="11788" max="11788" width="18.7109375" style="1" customWidth="1"/>
    <col min="11789" max="12032" width="9.140625" style="1"/>
    <col min="12033" max="12034" width="1.28515625" style="1" customWidth="1"/>
    <col min="12035" max="12035" width="1.7109375" style="1" customWidth="1"/>
    <col min="12036" max="12036" width="67.7109375" style="1" customWidth="1"/>
    <col min="12037" max="12037" width="0" style="1" hidden="1" customWidth="1"/>
    <col min="12038" max="12038" width="19.7109375" style="1" customWidth="1"/>
    <col min="12039" max="12043" width="0" style="1" hidden="1" customWidth="1"/>
    <col min="12044" max="12044" width="18.7109375" style="1" customWidth="1"/>
    <col min="12045" max="12288" width="9.140625" style="1"/>
    <col min="12289" max="12290" width="1.28515625" style="1" customWidth="1"/>
    <col min="12291" max="12291" width="1.7109375" style="1" customWidth="1"/>
    <col min="12292" max="12292" width="67.7109375" style="1" customWidth="1"/>
    <col min="12293" max="12293" width="0" style="1" hidden="1" customWidth="1"/>
    <col min="12294" max="12294" width="19.7109375" style="1" customWidth="1"/>
    <col min="12295" max="12299" width="0" style="1" hidden="1" customWidth="1"/>
    <col min="12300" max="12300" width="18.7109375" style="1" customWidth="1"/>
    <col min="12301" max="12544" width="9.140625" style="1"/>
    <col min="12545" max="12546" width="1.28515625" style="1" customWidth="1"/>
    <col min="12547" max="12547" width="1.7109375" style="1" customWidth="1"/>
    <col min="12548" max="12548" width="67.7109375" style="1" customWidth="1"/>
    <col min="12549" max="12549" width="0" style="1" hidden="1" customWidth="1"/>
    <col min="12550" max="12550" width="19.7109375" style="1" customWidth="1"/>
    <col min="12551" max="12555" width="0" style="1" hidden="1" customWidth="1"/>
    <col min="12556" max="12556" width="18.7109375" style="1" customWidth="1"/>
    <col min="12557" max="12800" width="9.140625" style="1"/>
    <col min="12801" max="12802" width="1.28515625" style="1" customWidth="1"/>
    <col min="12803" max="12803" width="1.7109375" style="1" customWidth="1"/>
    <col min="12804" max="12804" width="67.7109375" style="1" customWidth="1"/>
    <col min="12805" max="12805" width="0" style="1" hidden="1" customWidth="1"/>
    <col min="12806" max="12806" width="19.7109375" style="1" customWidth="1"/>
    <col min="12807" max="12811" width="0" style="1" hidden="1" customWidth="1"/>
    <col min="12812" max="12812" width="18.7109375" style="1" customWidth="1"/>
    <col min="12813" max="13056" width="9.140625" style="1"/>
    <col min="13057" max="13058" width="1.28515625" style="1" customWidth="1"/>
    <col min="13059" max="13059" width="1.7109375" style="1" customWidth="1"/>
    <col min="13060" max="13060" width="67.7109375" style="1" customWidth="1"/>
    <col min="13061" max="13061" width="0" style="1" hidden="1" customWidth="1"/>
    <col min="13062" max="13062" width="19.7109375" style="1" customWidth="1"/>
    <col min="13063" max="13067" width="0" style="1" hidden="1" customWidth="1"/>
    <col min="13068" max="13068" width="18.7109375" style="1" customWidth="1"/>
    <col min="13069" max="13312" width="9.140625" style="1"/>
    <col min="13313" max="13314" width="1.28515625" style="1" customWidth="1"/>
    <col min="13315" max="13315" width="1.7109375" style="1" customWidth="1"/>
    <col min="13316" max="13316" width="67.7109375" style="1" customWidth="1"/>
    <col min="13317" max="13317" width="0" style="1" hidden="1" customWidth="1"/>
    <col min="13318" max="13318" width="19.7109375" style="1" customWidth="1"/>
    <col min="13319" max="13323" width="0" style="1" hidden="1" customWidth="1"/>
    <col min="13324" max="13324" width="18.7109375" style="1" customWidth="1"/>
    <col min="13325" max="13568" width="9.140625" style="1"/>
    <col min="13569" max="13570" width="1.28515625" style="1" customWidth="1"/>
    <col min="13571" max="13571" width="1.7109375" style="1" customWidth="1"/>
    <col min="13572" max="13572" width="67.7109375" style="1" customWidth="1"/>
    <col min="13573" max="13573" width="0" style="1" hidden="1" customWidth="1"/>
    <col min="13574" max="13574" width="19.7109375" style="1" customWidth="1"/>
    <col min="13575" max="13579" width="0" style="1" hidden="1" customWidth="1"/>
    <col min="13580" max="13580" width="18.7109375" style="1" customWidth="1"/>
    <col min="13581" max="13824" width="9.140625" style="1"/>
    <col min="13825" max="13826" width="1.28515625" style="1" customWidth="1"/>
    <col min="13827" max="13827" width="1.7109375" style="1" customWidth="1"/>
    <col min="13828" max="13828" width="67.7109375" style="1" customWidth="1"/>
    <col min="13829" max="13829" width="0" style="1" hidden="1" customWidth="1"/>
    <col min="13830" max="13830" width="19.7109375" style="1" customWidth="1"/>
    <col min="13831" max="13835" width="0" style="1" hidden="1" customWidth="1"/>
    <col min="13836" max="13836" width="18.7109375" style="1" customWidth="1"/>
    <col min="13837" max="14080" width="9.140625" style="1"/>
    <col min="14081" max="14082" width="1.28515625" style="1" customWidth="1"/>
    <col min="14083" max="14083" width="1.7109375" style="1" customWidth="1"/>
    <col min="14084" max="14084" width="67.7109375" style="1" customWidth="1"/>
    <col min="14085" max="14085" width="0" style="1" hidden="1" customWidth="1"/>
    <col min="14086" max="14086" width="19.7109375" style="1" customWidth="1"/>
    <col min="14087" max="14091" width="0" style="1" hidden="1" customWidth="1"/>
    <col min="14092" max="14092" width="18.7109375" style="1" customWidth="1"/>
    <col min="14093" max="14336" width="9.140625" style="1"/>
    <col min="14337" max="14338" width="1.28515625" style="1" customWidth="1"/>
    <col min="14339" max="14339" width="1.7109375" style="1" customWidth="1"/>
    <col min="14340" max="14340" width="67.7109375" style="1" customWidth="1"/>
    <col min="14341" max="14341" width="0" style="1" hidden="1" customWidth="1"/>
    <col min="14342" max="14342" width="19.7109375" style="1" customWidth="1"/>
    <col min="14343" max="14347" width="0" style="1" hidden="1" customWidth="1"/>
    <col min="14348" max="14348" width="18.7109375" style="1" customWidth="1"/>
    <col min="14349" max="14592" width="9.140625" style="1"/>
    <col min="14593" max="14594" width="1.28515625" style="1" customWidth="1"/>
    <col min="14595" max="14595" width="1.7109375" style="1" customWidth="1"/>
    <col min="14596" max="14596" width="67.7109375" style="1" customWidth="1"/>
    <col min="14597" max="14597" width="0" style="1" hidden="1" customWidth="1"/>
    <col min="14598" max="14598" width="19.7109375" style="1" customWidth="1"/>
    <col min="14599" max="14603" width="0" style="1" hidden="1" customWidth="1"/>
    <col min="14604" max="14604" width="18.7109375" style="1" customWidth="1"/>
    <col min="14605" max="14848" width="9.140625" style="1"/>
    <col min="14849" max="14850" width="1.28515625" style="1" customWidth="1"/>
    <col min="14851" max="14851" width="1.7109375" style="1" customWidth="1"/>
    <col min="14852" max="14852" width="67.7109375" style="1" customWidth="1"/>
    <col min="14853" max="14853" width="0" style="1" hidden="1" customWidth="1"/>
    <col min="14854" max="14854" width="19.7109375" style="1" customWidth="1"/>
    <col min="14855" max="14859" width="0" style="1" hidden="1" customWidth="1"/>
    <col min="14860" max="14860" width="18.7109375" style="1" customWidth="1"/>
    <col min="14861" max="15104" width="9.140625" style="1"/>
    <col min="15105" max="15106" width="1.28515625" style="1" customWidth="1"/>
    <col min="15107" max="15107" width="1.7109375" style="1" customWidth="1"/>
    <col min="15108" max="15108" width="67.7109375" style="1" customWidth="1"/>
    <col min="15109" max="15109" width="0" style="1" hidden="1" customWidth="1"/>
    <col min="15110" max="15110" width="19.7109375" style="1" customWidth="1"/>
    <col min="15111" max="15115" width="0" style="1" hidden="1" customWidth="1"/>
    <col min="15116" max="15116" width="18.7109375" style="1" customWidth="1"/>
    <col min="15117" max="15360" width="9.140625" style="1"/>
    <col min="15361" max="15362" width="1.28515625" style="1" customWidth="1"/>
    <col min="15363" max="15363" width="1.7109375" style="1" customWidth="1"/>
    <col min="15364" max="15364" width="67.7109375" style="1" customWidth="1"/>
    <col min="15365" max="15365" width="0" style="1" hidden="1" customWidth="1"/>
    <col min="15366" max="15366" width="19.7109375" style="1" customWidth="1"/>
    <col min="15367" max="15371" width="0" style="1" hidden="1" customWidth="1"/>
    <col min="15372" max="15372" width="18.7109375" style="1" customWidth="1"/>
    <col min="15373" max="15616" width="9.140625" style="1"/>
    <col min="15617" max="15618" width="1.28515625" style="1" customWidth="1"/>
    <col min="15619" max="15619" width="1.7109375" style="1" customWidth="1"/>
    <col min="15620" max="15620" width="67.7109375" style="1" customWidth="1"/>
    <col min="15621" max="15621" width="0" style="1" hidden="1" customWidth="1"/>
    <col min="15622" max="15622" width="19.7109375" style="1" customWidth="1"/>
    <col min="15623" max="15627" width="0" style="1" hidden="1" customWidth="1"/>
    <col min="15628" max="15628" width="18.7109375" style="1" customWidth="1"/>
    <col min="15629" max="15872" width="9.140625" style="1"/>
    <col min="15873" max="15874" width="1.28515625" style="1" customWidth="1"/>
    <col min="15875" max="15875" width="1.7109375" style="1" customWidth="1"/>
    <col min="15876" max="15876" width="67.7109375" style="1" customWidth="1"/>
    <col min="15877" max="15877" width="0" style="1" hidden="1" customWidth="1"/>
    <col min="15878" max="15878" width="19.7109375" style="1" customWidth="1"/>
    <col min="15879" max="15883" width="0" style="1" hidden="1" customWidth="1"/>
    <col min="15884" max="15884" width="18.7109375" style="1" customWidth="1"/>
    <col min="15885" max="16128" width="9.140625" style="1"/>
    <col min="16129" max="16130" width="1.28515625" style="1" customWidth="1"/>
    <col min="16131" max="16131" width="1.7109375" style="1" customWidth="1"/>
    <col min="16132" max="16132" width="67.7109375" style="1" customWidth="1"/>
    <col min="16133" max="16133" width="0" style="1" hidden="1" customWidth="1"/>
    <col min="16134" max="16134" width="19.7109375" style="1" customWidth="1"/>
    <col min="16135" max="16139" width="0" style="1" hidden="1" customWidth="1"/>
    <col min="16140" max="16140" width="18.7109375" style="1" customWidth="1"/>
    <col min="16141" max="16384" width="9.140625" style="1"/>
  </cols>
  <sheetData>
    <row r="1" spans="1:12" ht="16.5" customHeight="1">
      <c r="A1" s="100" t="s">
        <v>315</v>
      </c>
      <c r="B1" s="100"/>
      <c r="C1" s="100"/>
      <c r="D1" s="101"/>
      <c r="E1" s="100"/>
      <c r="F1" s="102"/>
      <c r="G1" s="103"/>
      <c r="H1" s="1"/>
      <c r="K1" s="102"/>
      <c r="L1" s="102"/>
    </row>
    <row r="2" spans="1:12" ht="15.75" customHeight="1">
      <c r="A2" s="104" t="s">
        <v>314</v>
      </c>
      <c r="B2" s="104"/>
      <c r="C2" s="104"/>
      <c r="D2" s="105"/>
      <c r="E2" s="104"/>
      <c r="F2" s="106"/>
      <c r="G2" s="107"/>
      <c r="H2" s="1"/>
      <c r="K2" s="106"/>
      <c r="L2" s="106"/>
    </row>
    <row r="3" spans="1:12" ht="15.75" customHeight="1">
      <c r="A3" s="100" t="s">
        <v>313</v>
      </c>
      <c r="B3" s="100"/>
      <c r="C3" s="100"/>
      <c r="D3" s="101"/>
      <c r="E3" s="100"/>
      <c r="F3" s="102"/>
      <c r="G3" s="103"/>
      <c r="H3" s="1"/>
      <c r="K3" s="102"/>
      <c r="L3" s="102"/>
    </row>
    <row r="4" spans="1:12" ht="15.75" customHeight="1">
      <c r="A4" s="108"/>
      <c r="B4" s="108"/>
      <c r="C4" s="108"/>
      <c r="D4" s="109"/>
      <c r="E4" s="108"/>
      <c r="F4" s="110"/>
      <c r="H4" s="1"/>
      <c r="K4" s="110"/>
      <c r="L4" s="110"/>
    </row>
    <row r="5" spans="1:12" ht="15.75" customHeight="1">
      <c r="A5" s="104" t="s">
        <v>312</v>
      </c>
      <c r="B5" s="104"/>
      <c r="C5" s="104"/>
      <c r="D5" s="105"/>
      <c r="E5" s="104"/>
      <c r="F5" s="106"/>
      <c r="G5" s="107"/>
      <c r="H5" s="1"/>
      <c r="K5" s="106"/>
      <c r="L5" s="106"/>
    </row>
    <row r="6" spans="1:12" ht="15.75" customHeight="1">
      <c r="A6" s="104" t="s">
        <v>316</v>
      </c>
      <c r="B6" s="104"/>
      <c r="C6" s="104"/>
      <c r="D6" s="105"/>
      <c r="E6" s="104"/>
      <c r="F6" s="102"/>
      <c r="G6" s="103"/>
      <c r="H6" s="1"/>
      <c r="K6" s="102"/>
      <c r="L6" s="102"/>
    </row>
    <row r="7" spans="1:12" ht="15.75" customHeight="1">
      <c r="A7" s="100" t="s">
        <v>317</v>
      </c>
      <c r="B7" s="100"/>
      <c r="C7" s="100"/>
      <c r="D7" s="101"/>
      <c r="E7" s="100"/>
      <c r="F7" s="100"/>
      <c r="G7" s="103"/>
      <c r="H7" s="1"/>
      <c r="K7" s="100"/>
      <c r="L7" s="100"/>
    </row>
    <row r="8" spans="1:12" ht="15.75" customHeight="1">
      <c r="A8" s="100"/>
      <c r="B8" s="100"/>
      <c r="C8" s="100"/>
      <c r="D8" s="101"/>
      <c r="E8" s="100"/>
      <c r="F8" s="100"/>
      <c r="G8" s="103"/>
      <c r="H8" s="1"/>
      <c r="K8" s="100"/>
      <c r="L8" s="100"/>
    </row>
    <row r="9" spans="1:12" ht="15.75" customHeight="1">
      <c r="A9" s="111"/>
      <c r="B9" s="111"/>
      <c r="C9" s="111"/>
      <c r="D9" s="111"/>
      <c r="E9" s="111"/>
      <c r="F9" s="112"/>
      <c r="G9" s="103"/>
      <c r="H9" s="1"/>
      <c r="K9" s="112"/>
      <c r="L9" s="112"/>
    </row>
    <row r="10" spans="1:12" ht="15.75" customHeight="1">
      <c r="A10" s="111"/>
      <c r="B10" s="111"/>
      <c r="C10" s="111"/>
      <c r="D10" s="111"/>
      <c r="E10" s="111"/>
      <c r="F10" s="113"/>
      <c r="G10" s="80"/>
      <c r="H10" s="114"/>
      <c r="I10" s="114"/>
      <c r="J10" s="114"/>
      <c r="K10" s="113">
        <v>2009</v>
      </c>
      <c r="L10" s="113">
        <v>2010</v>
      </c>
    </row>
    <row r="11" spans="1:12" s="62" customFormat="1" ht="15.75" customHeight="1">
      <c r="A11" s="30" t="s">
        <v>318</v>
      </c>
      <c r="B11" s="30"/>
      <c r="C11" s="30"/>
      <c r="D11" s="115"/>
      <c r="E11" s="116"/>
      <c r="F11" s="117"/>
      <c r="G11" s="118"/>
      <c r="H11" s="119"/>
      <c r="K11" s="117"/>
      <c r="L11" s="117"/>
    </row>
    <row r="12" spans="1:12" s="62" customFormat="1" ht="15.75" customHeight="1">
      <c r="A12" s="30" t="s">
        <v>319</v>
      </c>
      <c r="B12" s="30"/>
      <c r="C12" s="30"/>
      <c r="D12" s="115"/>
      <c r="E12" s="66"/>
      <c r="F12" s="120"/>
      <c r="G12" s="65"/>
      <c r="H12" s="64"/>
      <c r="K12" s="120"/>
      <c r="L12" s="120"/>
    </row>
    <row r="13" spans="1:12" s="62" customFormat="1" ht="15.75" customHeight="1">
      <c r="A13" s="30"/>
      <c r="B13" s="30" t="s">
        <v>320</v>
      </c>
      <c r="C13" s="30"/>
      <c r="D13" s="115"/>
      <c r="E13" s="66" t="e">
        <f>+E14+E20+E25</f>
        <v>#REF!</v>
      </c>
      <c r="F13" s="120">
        <f>+F14+F20+F25</f>
        <v>250599977.86999983</v>
      </c>
      <c r="G13" s="65" t="e">
        <f>+G14+G20+G25</f>
        <v>#REF!</v>
      </c>
      <c r="H13" s="64" t="e">
        <f>+H14+H20+H25</f>
        <v>#REF!</v>
      </c>
      <c r="K13" s="120">
        <f>+K14+K20+K25</f>
        <v>115435883.84999999</v>
      </c>
      <c r="L13" s="120">
        <v>120226546.15000004</v>
      </c>
    </row>
    <row r="14" spans="1:12" s="62" customFormat="1" ht="15.75" customHeight="1">
      <c r="A14" s="30"/>
      <c r="B14" s="30"/>
      <c r="C14" s="30" t="s">
        <v>321</v>
      </c>
      <c r="D14" s="115"/>
      <c r="E14" s="66" t="e">
        <f>SUM(E15:E19)</f>
        <v>#REF!</v>
      </c>
      <c r="F14" s="120">
        <f>SUM(F15:F19)</f>
        <v>34470848.819999978</v>
      </c>
      <c r="G14" s="65" t="e">
        <f>SUM(G15:G19)</f>
        <v>#REF!</v>
      </c>
      <c r="H14" s="64" t="e">
        <f>SUM(H15:H19)</f>
        <v>#REF!</v>
      </c>
      <c r="K14" s="120">
        <f>SUM(K15:K19)</f>
        <v>1680813.3200000226</v>
      </c>
      <c r="L14" s="120">
        <v>5116788.6099999994</v>
      </c>
    </row>
    <row r="15" spans="1:12" s="23" customFormat="1" ht="15.75" customHeight="1">
      <c r="A15" s="29"/>
      <c r="B15" s="29"/>
      <c r="C15" s="29"/>
      <c r="D15" s="34" t="s">
        <v>322</v>
      </c>
      <c r="E15" s="33" t="e">
        <f>SUM(F15:H15)</f>
        <v>#REF!</v>
      </c>
      <c r="F15" s="121">
        <f>[2]PRE!E12</f>
        <v>0</v>
      </c>
      <c r="G15" s="32" t="e">
        <f>[1]Sheet1!K13</f>
        <v>#REF!</v>
      </c>
      <c r="H15" s="31" t="e">
        <f>[1]Sheet1!M13</f>
        <v>#REF!</v>
      </c>
      <c r="K15" s="121">
        <v>0</v>
      </c>
      <c r="L15" s="121">
        <v>332997.00999999046</v>
      </c>
    </row>
    <row r="16" spans="1:12" s="23" customFormat="1" ht="15.75" customHeight="1">
      <c r="A16" s="29"/>
      <c r="B16" s="29"/>
      <c r="C16" s="29"/>
      <c r="D16" s="34" t="s">
        <v>323</v>
      </c>
      <c r="E16" s="33">
        <f>SUM(F16:H16)</f>
        <v>31742628.390000001</v>
      </c>
      <c r="F16" s="121">
        <f>[2]PRE!E13</f>
        <v>31742628.390000001</v>
      </c>
      <c r="G16" s="32"/>
      <c r="H16" s="31"/>
      <c r="K16" s="121">
        <v>0.79999999701976776</v>
      </c>
      <c r="L16" s="121">
        <v>496704.60000000894</v>
      </c>
    </row>
    <row r="17" spans="1:12" s="23" customFormat="1" ht="15.75" customHeight="1">
      <c r="A17" s="29"/>
      <c r="B17" s="29"/>
      <c r="C17" s="29"/>
      <c r="D17" s="34" t="s">
        <v>324</v>
      </c>
      <c r="E17" s="33" t="e">
        <f>SUM(F17:H17)</f>
        <v>#REF!</v>
      </c>
      <c r="F17" s="121">
        <f>[2]PRE!E14</f>
        <v>0</v>
      </c>
      <c r="G17" s="32" t="e">
        <f>[1]Sheet1!K15</f>
        <v>#REF!</v>
      </c>
      <c r="H17" s="31" t="e">
        <f>[1]Sheet1!M15</f>
        <v>#REF!</v>
      </c>
      <c r="K17" s="121">
        <v>0</v>
      </c>
      <c r="L17" s="121"/>
    </row>
    <row r="18" spans="1:12" s="23" customFormat="1" ht="15.75" customHeight="1">
      <c r="A18" s="29"/>
      <c r="B18" s="29"/>
      <c r="C18" s="29"/>
      <c r="D18" s="34" t="s">
        <v>325</v>
      </c>
      <c r="E18" s="33"/>
      <c r="F18" s="121">
        <f>[2]PRE!E15</f>
        <v>125017.94</v>
      </c>
      <c r="G18" s="32"/>
      <c r="H18" s="31"/>
      <c r="K18" s="121"/>
      <c r="L18" s="121">
        <v>0</v>
      </c>
    </row>
    <row r="19" spans="1:12" s="23" customFormat="1" ht="15.75" customHeight="1">
      <c r="A19" s="29"/>
      <c r="B19" s="29"/>
      <c r="C19" s="29"/>
      <c r="D19" s="34" t="s">
        <v>326</v>
      </c>
      <c r="E19" s="33" t="e">
        <f>SUM(F19:H19)</f>
        <v>#REF!</v>
      </c>
      <c r="F19" s="121">
        <f>[2]PRE!E16</f>
        <v>2603202.4899999797</v>
      </c>
      <c r="G19" s="32" t="e">
        <f>[1]Sheet1!K16</f>
        <v>#REF!</v>
      </c>
      <c r="H19" s="31" t="e">
        <f>[1]Sheet1!M16</f>
        <v>#REF!</v>
      </c>
      <c r="K19" s="121">
        <v>1680812.5200000256</v>
      </c>
      <c r="L19" s="121">
        <v>4287087</v>
      </c>
    </row>
    <row r="20" spans="1:12" s="62" customFormat="1" ht="15.75" customHeight="1">
      <c r="A20" s="30"/>
      <c r="B20" s="30"/>
      <c r="C20" s="30" t="s">
        <v>327</v>
      </c>
      <c r="D20" s="115"/>
      <c r="E20" s="66" t="e">
        <f>SUM(E21:E24)</f>
        <v>#REF!</v>
      </c>
      <c r="F20" s="120">
        <f>SUM(F21:F24)</f>
        <v>216129129.04999983</v>
      </c>
      <c r="G20" s="65" t="e">
        <f>SUM(G21:G24)</f>
        <v>#REF!</v>
      </c>
      <c r="H20" s="64" t="e">
        <f>SUM(H21:H24)</f>
        <v>#REF!</v>
      </c>
      <c r="K20" s="120">
        <f>SUM(K21:K24)</f>
        <v>113755070.52999997</v>
      </c>
      <c r="L20" s="120">
        <v>115109757.54000004</v>
      </c>
    </row>
    <row r="21" spans="1:12" s="23" customFormat="1" ht="15.75" customHeight="1">
      <c r="A21" s="29"/>
      <c r="B21" s="29"/>
      <c r="C21" s="29"/>
      <c r="D21" s="34" t="s">
        <v>328</v>
      </c>
      <c r="E21" s="33" t="e">
        <f>SUM(F21:H21)</f>
        <v>#REF!</v>
      </c>
      <c r="F21" s="121">
        <f>[2]PRE!E17</f>
        <v>0</v>
      </c>
      <c r="G21" s="32" t="e">
        <f>[1]Sheet1!K17</f>
        <v>#REF!</v>
      </c>
      <c r="H21" s="31" t="e">
        <f>[1]Sheet1!M17</f>
        <v>#REF!</v>
      </c>
      <c r="K21" s="121">
        <v>0</v>
      </c>
      <c r="L21" s="121">
        <v>0</v>
      </c>
    </row>
    <row r="22" spans="1:12" s="23" customFormat="1" ht="15.75" customHeight="1">
      <c r="A22" s="29"/>
      <c r="B22" s="29"/>
      <c r="C22" s="29"/>
      <c r="D22" s="34" t="s">
        <v>329</v>
      </c>
      <c r="E22" s="33" t="e">
        <f>SUM(F22:H22)</f>
        <v>#REF!</v>
      </c>
      <c r="F22" s="121">
        <f>[2]PRE!E18</f>
        <v>154080441.88999987</v>
      </c>
      <c r="G22" s="32" t="e">
        <f>[1]Sheet1!K18</f>
        <v>#REF!</v>
      </c>
      <c r="H22" s="31" t="e">
        <f>[1]Sheet1!M18</f>
        <v>#REF!</v>
      </c>
      <c r="K22" s="121">
        <v>93361748.279999971</v>
      </c>
      <c r="L22" s="121">
        <v>80118646.950000048</v>
      </c>
    </row>
    <row r="23" spans="1:12" s="23" customFormat="1" ht="15.75" customHeight="1">
      <c r="A23" s="29"/>
      <c r="B23" s="29"/>
      <c r="C23" s="29"/>
      <c r="D23" s="34" t="s">
        <v>330</v>
      </c>
      <c r="E23" s="33" t="e">
        <f>SUM(F23:H23)</f>
        <v>#REF!</v>
      </c>
      <c r="F23" s="121">
        <f>[2]PRE!E19</f>
        <v>62048687.159999982</v>
      </c>
      <c r="G23" s="32" t="e">
        <f>[1]Sheet1!K19</f>
        <v>#REF!</v>
      </c>
      <c r="H23" s="31" t="e">
        <f>[1]Sheet1!M19</f>
        <v>#REF!</v>
      </c>
      <c r="K23" s="121">
        <v>20393322.25</v>
      </c>
      <c r="L23" s="121">
        <v>34991110.589999989</v>
      </c>
    </row>
    <row r="24" spans="1:12" s="23" customFormat="1" ht="15.75" customHeight="1">
      <c r="A24" s="29"/>
      <c r="B24" s="29"/>
      <c r="C24" s="29"/>
      <c r="D24" s="34" t="s">
        <v>331</v>
      </c>
      <c r="E24" s="33" t="e">
        <f>SUM(F24:H24)</f>
        <v>#REF!</v>
      </c>
      <c r="F24" s="121">
        <f>[2]PRE!E20</f>
        <v>0</v>
      </c>
      <c r="G24" s="32" t="e">
        <f>[1]Sheet1!K20</f>
        <v>#REF!</v>
      </c>
      <c r="H24" s="31" t="e">
        <f>[1]Sheet1!M20</f>
        <v>#REF!</v>
      </c>
      <c r="K24" s="121">
        <v>0</v>
      </c>
      <c r="L24" s="121">
        <v>0</v>
      </c>
    </row>
    <row r="25" spans="1:12" s="62" customFormat="1" ht="15.75" customHeight="1">
      <c r="A25" s="30"/>
      <c r="B25" s="30"/>
      <c r="C25" s="30" t="s">
        <v>332</v>
      </c>
      <c r="D25" s="115"/>
      <c r="E25" s="66" t="e">
        <f>SUM(E26:E29)</f>
        <v>#REF!</v>
      </c>
      <c r="F25" s="120">
        <f>SUM(F26:F29)</f>
        <v>0</v>
      </c>
      <c r="G25" s="65" t="e">
        <f>SUM(G26:G29)</f>
        <v>#REF!</v>
      </c>
      <c r="H25" s="64" t="e">
        <f>SUM(H26:H29)</f>
        <v>#REF!</v>
      </c>
      <c r="K25" s="120">
        <v>0</v>
      </c>
      <c r="L25" s="120">
        <v>0</v>
      </c>
    </row>
    <row r="26" spans="1:12" s="23" customFormat="1" ht="15.75" customHeight="1">
      <c r="A26" s="29"/>
      <c r="B26" s="29"/>
      <c r="C26" s="29"/>
      <c r="D26" s="34" t="s">
        <v>328</v>
      </c>
      <c r="E26" s="33" t="e">
        <f>SUM(F26:H26)</f>
        <v>#REF!</v>
      </c>
      <c r="F26" s="121">
        <f>[2]PRE!E21</f>
        <v>0</v>
      </c>
      <c r="G26" s="32" t="e">
        <f>[1]Sheet1!K21</f>
        <v>#REF!</v>
      </c>
      <c r="H26" s="31" t="e">
        <f>[1]Sheet1!M21</f>
        <v>#REF!</v>
      </c>
      <c r="K26" s="121">
        <v>0</v>
      </c>
      <c r="L26" s="121">
        <v>0</v>
      </c>
    </row>
    <row r="27" spans="1:12" s="23" customFormat="1" ht="15.75" customHeight="1">
      <c r="A27" s="29"/>
      <c r="B27" s="29"/>
      <c r="C27" s="29"/>
      <c r="D27" s="34" t="s">
        <v>333</v>
      </c>
      <c r="E27" s="33" t="e">
        <f>SUM(F27:H27)</f>
        <v>#REF!</v>
      </c>
      <c r="F27" s="121">
        <f>[2]PRE!E22</f>
        <v>0</v>
      </c>
      <c r="G27" s="32" t="e">
        <f>[1]Sheet1!K22</f>
        <v>#REF!</v>
      </c>
      <c r="H27" s="31" t="e">
        <f>[1]Sheet1!M22</f>
        <v>#REF!</v>
      </c>
      <c r="K27" s="121">
        <v>0</v>
      </c>
      <c r="L27" s="121">
        <v>0</v>
      </c>
    </row>
    <row r="28" spans="1:12" s="23" customFormat="1" ht="15.75" customHeight="1">
      <c r="A28" s="29"/>
      <c r="B28" s="29"/>
      <c r="C28" s="29"/>
      <c r="D28" s="34" t="s">
        <v>334</v>
      </c>
      <c r="E28" s="33" t="e">
        <f>SUM(F28:H28)</f>
        <v>#REF!</v>
      </c>
      <c r="F28" s="121">
        <f>[2]PRE!E23</f>
        <v>0</v>
      </c>
      <c r="G28" s="32" t="e">
        <f>[1]Sheet1!K23</f>
        <v>#REF!</v>
      </c>
      <c r="H28" s="31" t="e">
        <f>[1]Sheet1!M23</f>
        <v>#REF!</v>
      </c>
      <c r="K28" s="121">
        <v>0</v>
      </c>
      <c r="L28" s="121">
        <v>0</v>
      </c>
    </row>
    <row r="29" spans="1:12" s="23" customFormat="1" ht="15.75" customHeight="1">
      <c r="A29" s="29"/>
      <c r="B29" s="29"/>
      <c r="C29" s="29"/>
      <c r="D29" s="34" t="s">
        <v>335</v>
      </c>
      <c r="E29" s="33" t="e">
        <f>SUM(F29:H29)</f>
        <v>#REF!</v>
      </c>
      <c r="F29" s="121">
        <f>[2]PRE!E24</f>
        <v>0</v>
      </c>
      <c r="G29" s="32" t="e">
        <f>[1]Sheet1!K24</f>
        <v>#REF!</v>
      </c>
      <c r="H29" s="31" t="e">
        <f>[1]Sheet1!M24</f>
        <v>#REF!</v>
      </c>
      <c r="K29" s="121">
        <v>0</v>
      </c>
      <c r="L29" s="121">
        <v>0</v>
      </c>
    </row>
    <row r="30" spans="1:12" s="62" customFormat="1" ht="15.75" customHeight="1">
      <c r="A30" s="30"/>
      <c r="B30" s="30" t="s">
        <v>336</v>
      </c>
      <c r="C30" s="30"/>
      <c r="D30" s="63"/>
      <c r="E30" s="66" t="e">
        <f>+E31+E42+E48+E50</f>
        <v>#REF!</v>
      </c>
      <c r="F30" s="120">
        <f>+F31+F42+F48+F50</f>
        <v>136732473.02000007</v>
      </c>
      <c r="G30" s="65" t="e">
        <f>+G31+G42+G48+G50</f>
        <v>#REF!</v>
      </c>
      <c r="H30" s="64" t="e">
        <f>+H31+H42+H48+H50</f>
        <v>#REF!</v>
      </c>
      <c r="K30" s="120">
        <f>+K31+K42+K48+K50</f>
        <v>179207635.29000005</v>
      </c>
      <c r="L30" s="120">
        <v>177491878.73000008</v>
      </c>
    </row>
    <row r="31" spans="1:12" s="62" customFormat="1" ht="15.75" customHeight="1">
      <c r="A31" s="30"/>
      <c r="B31" s="30"/>
      <c r="C31" s="30" t="s">
        <v>337</v>
      </c>
      <c r="D31" s="63"/>
      <c r="E31" s="66" t="e">
        <f>SUM(E34:E41)+E32-E33</f>
        <v>#REF!</v>
      </c>
      <c r="F31" s="120">
        <f>SUM(F34:F41)+F32-F33</f>
        <v>124639852.62000006</v>
      </c>
      <c r="G31" s="65" t="e">
        <f>SUM(G34:G41)+G32-G33</f>
        <v>#REF!</v>
      </c>
      <c r="H31" s="64" t="e">
        <f>SUM(H34:H41)+H32-H33</f>
        <v>#REF!</v>
      </c>
      <c r="K31" s="120">
        <f>SUM(K34:K41)+K32-K33</f>
        <v>172989835.11000007</v>
      </c>
      <c r="L31" s="120">
        <v>171081132.05000007</v>
      </c>
    </row>
    <row r="32" spans="1:12" s="23" customFormat="1" ht="15.75" customHeight="1">
      <c r="A32" s="29"/>
      <c r="B32" s="29"/>
      <c r="C32" s="29"/>
      <c r="D32" s="34" t="s">
        <v>338</v>
      </c>
      <c r="E32" s="33" t="e">
        <f t="shared" ref="E32:E41" si="0">SUM(F32:H32)</f>
        <v>#REF!</v>
      </c>
      <c r="F32" s="121">
        <f>[2]PRE!E25</f>
        <v>476603.49999999994</v>
      </c>
      <c r="G32" s="32" t="e">
        <f>[1]Sheet1!K25</f>
        <v>#REF!</v>
      </c>
      <c r="H32" s="31" t="e">
        <f>[1]Sheet1!M25</f>
        <v>#REF!</v>
      </c>
      <c r="K32" s="121">
        <v>476602.69999999995</v>
      </c>
      <c r="L32" s="121">
        <v>476603.49999999994</v>
      </c>
    </row>
    <row r="33" spans="1:12" s="122" customFormat="1" ht="15.75" customHeight="1">
      <c r="A33" s="58"/>
      <c r="B33" s="58"/>
      <c r="C33" s="58"/>
      <c r="D33" s="57" t="s">
        <v>339</v>
      </c>
      <c r="E33" s="121" t="e">
        <f t="shared" si="0"/>
        <v>#REF!</v>
      </c>
      <c r="F33" s="121">
        <f>[2]PRE!E26</f>
        <v>0</v>
      </c>
      <c r="G33" s="54" t="e">
        <f>[1]Sheet1!L26</f>
        <v>#REF!</v>
      </c>
      <c r="H33" s="53" t="e">
        <f>[1]Sheet1!N26</f>
        <v>#REF!</v>
      </c>
      <c r="K33" s="121">
        <v>0</v>
      </c>
      <c r="L33" s="121">
        <v>0</v>
      </c>
    </row>
    <row r="34" spans="1:12" s="23" customFormat="1" ht="15.75" customHeight="1">
      <c r="A34" s="29"/>
      <c r="B34" s="29"/>
      <c r="C34" s="29"/>
      <c r="D34" s="34" t="s">
        <v>340</v>
      </c>
      <c r="E34" s="33" t="e">
        <f t="shared" si="0"/>
        <v>#REF!</v>
      </c>
      <c r="F34" s="121">
        <f>[2]PRE!E27</f>
        <v>0</v>
      </c>
      <c r="G34" s="32" t="e">
        <f>[1]Sheet1!K27</f>
        <v>#REF!</v>
      </c>
      <c r="H34" s="31" t="e">
        <f>[1]Sheet1!M27</f>
        <v>#REF!</v>
      </c>
      <c r="K34" s="121">
        <v>0</v>
      </c>
      <c r="L34" s="121">
        <v>0</v>
      </c>
    </row>
    <row r="35" spans="1:12" s="23" customFormat="1" ht="15.75" customHeight="1">
      <c r="A35" s="29"/>
      <c r="B35" s="29"/>
      <c r="C35" s="29"/>
      <c r="D35" s="34" t="s">
        <v>341</v>
      </c>
      <c r="E35" s="33" t="e">
        <f t="shared" si="0"/>
        <v>#REF!</v>
      </c>
      <c r="F35" s="121">
        <f>[2]PRE!E42</f>
        <v>118473665.12000006</v>
      </c>
      <c r="G35" s="32" t="e">
        <f>[1]Sheet1!K28</f>
        <v>#REF!</v>
      </c>
      <c r="H35" s="31" t="e">
        <f>[1]Sheet1!M28</f>
        <v>#REF!</v>
      </c>
      <c r="K35" s="121">
        <v>168596081.19000009</v>
      </c>
      <c r="L35" s="121">
        <v>166126020.94000006</v>
      </c>
    </row>
    <row r="36" spans="1:12" s="23" customFormat="1" ht="15.75" customHeight="1">
      <c r="A36" s="29"/>
      <c r="B36" s="29"/>
      <c r="C36" s="29"/>
      <c r="D36" s="34" t="s">
        <v>342</v>
      </c>
      <c r="E36" s="33" t="e">
        <f t="shared" si="0"/>
        <v>#REF!</v>
      </c>
      <c r="F36" s="121">
        <f>[2]PRE!E29</f>
        <v>0</v>
      </c>
      <c r="G36" s="32" t="e">
        <f>[1]Sheet1!K29</f>
        <v>#REF!</v>
      </c>
      <c r="H36" s="31" t="e">
        <f>[1]Sheet1!M29</f>
        <v>#REF!</v>
      </c>
      <c r="K36" s="121">
        <v>0</v>
      </c>
      <c r="L36" s="121">
        <v>0</v>
      </c>
    </row>
    <row r="37" spans="1:12" s="23" customFormat="1" ht="15.75" customHeight="1">
      <c r="A37" s="29"/>
      <c r="B37" s="29"/>
      <c r="C37" s="29"/>
      <c r="D37" s="34" t="s">
        <v>343</v>
      </c>
      <c r="E37" s="33" t="e">
        <f t="shared" si="0"/>
        <v>#REF!</v>
      </c>
      <c r="F37" s="121">
        <f>[2]PRE!E30</f>
        <v>2496636</v>
      </c>
      <c r="G37" s="32" t="e">
        <f>[1]Sheet1!K30</f>
        <v>#REF!</v>
      </c>
      <c r="H37" s="31" t="e">
        <f>[1]Sheet1!M30</f>
        <v>#REF!</v>
      </c>
      <c r="K37" s="121">
        <v>2496636</v>
      </c>
      <c r="L37" s="121">
        <v>2496636</v>
      </c>
    </row>
    <row r="38" spans="1:12" s="23" customFormat="1" ht="15.75" customHeight="1">
      <c r="A38" s="29"/>
      <c r="B38" s="29"/>
      <c r="C38" s="29"/>
      <c r="D38" s="34" t="s">
        <v>344</v>
      </c>
      <c r="E38" s="33" t="e">
        <f t="shared" si="0"/>
        <v>#REF!</v>
      </c>
      <c r="F38" s="121">
        <f>[2]PRE!E31</f>
        <v>420000</v>
      </c>
      <c r="G38" s="32" t="e">
        <f>[1]Sheet1!K31</f>
        <v>#REF!</v>
      </c>
      <c r="H38" s="31" t="e">
        <f>[1]Sheet1!M31</f>
        <v>#REF!</v>
      </c>
      <c r="K38" s="121">
        <v>0</v>
      </c>
      <c r="L38" s="121">
        <v>0</v>
      </c>
    </row>
    <row r="39" spans="1:12" s="23" customFormat="1" ht="15.75" customHeight="1">
      <c r="A39" s="29"/>
      <c r="B39" s="29"/>
      <c r="C39" s="29"/>
      <c r="D39" s="34" t="s">
        <v>345</v>
      </c>
      <c r="E39" s="33" t="e">
        <f t="shared" si="0"/>
        <v>#REF!</v>
      </c>
      <c r="F39" s="121">
        <f>[2]PRE!E32</f>
        <v>2772947.9999999995</v>
      </c>
      <c r="G39" s="32" t="e">
        <f>[1]Sheet1!K32</f>
        <v>#REF!</v>
      </c>
      <c r="H39" s="31" t="e">
        <f>[1]Sheet1!M32</f>
        <v>#REF!</v>
      </c>
      <c r="K39" s="121">
        <v>1420515.22</v>
      </c>
      <c r="L39" s="121">
        <v>1981871.6099999999</v>
      </c>
    </row>
    <row r="40" spans="1:12" s="23" customFormat="1" ht="15.75" customHeight="1">
      <c r="A40" s="29"/>
      <c r="B40" s="29"/>
      <c r="C40" s="29"/>
      <c r="D40" s="34" t="s">
        <v>346</v>
      </c>
      <c r="E40" s="33" t="e">
        <f t="shared" si="0"/>
        <v>#REF!</v>
      </c>
      <c r="F40" s="121">
        <f>[2]PRE!E33</f>
        <v>0</v>
      </c>
      <c r="G40" s="32" t="e">
        <f>[1]Sheet1!K33</f>
        <v>#REF!</v>
      </c>
      <c r="H40" s="31" t="e">
        <f>[1]Sheet1!M33</f>
        <v>#REF!</v>
      </c>
      <c r="K40" s="121">
        <v>0</v>
      </c>
      <c r="L40" s="121">
        <v>0</v>
      </c>
    </row>
    <row r="41" spans="1:12" s="23" customFormat="1" ht="15.75" customHeight="1">
      <c r="A41" s="29"/>
      <c r="B41" s="29"/>
      <c r="C41" s="29"/>
      <c r="D41" s="34" t="s">
        <v>347</v>
      </c>
      <c r="E41" s="33" t="e">
        <f t="shared" si="0"/>
        <v>#REF!</v>
      </c>
      <c r="F41" s="121">
        <f>[2]PRE!E34</f>
        <v>0</v>
      </c>
      <c r="G41" s="32" t="e">
        <f>[1]Sheet1!K34</f>
        <v>#REF!</v>
      </c>
      <c r="H41" s="31" t="e">
        <f>[1]Sheet1!M34</f>
        <v>#REF!</v>
      </c>
      <c r="K41" s="121">
        <v>0</v>
      </c>
      <c r="L41" s="121">
        <v>0</v>
      </c>
    </row>
    <row r="42" spans="1:12" s="62" customFormat="1" ht="15.75" customHeight="1">
      <c r="A42" s="30"/>
      <c r="B42" s="30"/>
      <c r="C42" s="30" t="s">
        <v>348</v>
      </c>
      <c r="D42" s="63"/>
      <c r="E42" s="66" t="e">
        <f>SUM(E43:E46)</f>
        <v>#REF!</v>
      </c>
      <c r="F42" s="120">
        <f>SUM(F43:F47)</f>
        <v>8929154.9499999993</v>
      </c>
      <c r="G42" s="65" t="e">
        <f>SUM(G43:G46)</f>
        <v>#REF!</v>
      </c>
      <c r="H42" s="64" t="e">
        <f>SUM(H43:H46)</f>
        <v>#REF!</v>
      </c>
      <c r="K42" s="120">
        <f>SUM(K43:K46)</f>
        <v>3169154.95</v>
      </c>
      <c r="L42" s="120">
        <v>3113154.95</v>
      </c>
    </row>
    <row r="43" spans="1:12" s="23" customFormat="1" ht="15.75" customHeight="1">
      <c r="A43" s="29"/>
      <c r="B43" s="29"/>
      <c r="C43" s="29"/>
      <c r="D43" s="34" t="s">
        <v>349</v>
      </c>
      <c r="E43" s="33" t="e">
        <f>SUM(F43:H43)</f>
        <v>#REF!</v>
      </c>
      <c r="F43" s="121">
        <f>[2]PRE!E35</f>
        <v>351828.94</v>
      </c>
      <c r="G43" s="32" t="e">
        <f>[1]Sheet1!K35</f>
        <v>#REF!</v>
      </c>
      <c r="H43" s="31" t="e">
        <f>[1]Sheet1!M35</f>
        <v>#REF!</v>
      </c>
      <c r="K43" s="121">
        <v>351828.94</v>
      </c>
      <c r="L43" s="121">
        <v>351828.94</v>
      </c>
    </row>
    <row r="44" spans="1:12" s="23" customFormat="1" ht="15.75" customHeight="1">
      <c r="A44" s="29"/>
      <c r="B44" s="29"/>
      <c r="C44" s="29"/>
      <c r="D44" s="34" t="s">
        <v>350</v>
      </c>
      <c r="E44" s="33" t="e">
        <f>SUM(F44:H44)</f>
        <v>#REF!</v>
      </c>
      <c r="F44" s="121">
        <f>[2]PRE!E36</f>
        <v>94687.81</v>
      </c>
      <c r="G44" s="32" t="e">
        <f>[1]Sheet1!K36</f>
        <v>#REF!</v>
      </c>
      <c r="H44" s="31" t="e">
        <f>[1]Sheet1!M36</f>
        <v>#REF!</v>
      </c>
      <c r="K44" s="121">
        <v>94687.81</v>
      </c>
      <c r="L44" s="121">
        <v>94687.81</v>
      </c>
    </row>
    <row r="45" spans="1:12" s="23" customFormat="1" ht="15.75" customHeight="1">
      <c r="A45" s="29"/>
      <c r="B45" s="29"/>
      <c r="C45" s="29"/>
      <c r="D45" s="34" t="s">
        <v>351</v>
      </c>
      <c r="E45" s="33" t="e">
        <f>SUM(F45:H45)</f>
        <v>#REF!</v>
      </c>
      <c r="F45" s="121">
        <f>[2]PRE!E37</f>
        <v>5982638.2000000002</v>
      </c>
      <c r="G45" s="32" t="e">
        <f>[1]Sheet1!K37</f>
        <v>#REF!</v>
      </c>
      <c r="H45" s="31" t="e">
        <f>[1]Sheet1!M37</f>
        <v>#REF!</v>
      </c>
      <c r="K45" s="121">
        <v>2722638.2</v>
      </c>
      <c r="L45" s="121">
        <v>2666638.2000000002</v>
      </c>
    </row>
    <row r="46" spans="1:12" s="23" customFormat="1" ht="15.75" customHeight="1">
      <c r="A46" s="29"/>
      <c r="B46" s="29"/>
      <c r="C46" s="29"/>
      <c r="D46" s="34" t="s">
        <v>352</v>
      </c>
      <c r="E46" s="33" t="e">
        <f>SUM(F46:H46)</f>
        <v>#REF!</v>
      </c>
      <c r="F46" s="121">
        <f>[2]PRE!E38</f>
        <v>0</v>
      </c>
      <c r="G46" s="32" t="e">
        <f>[1]Sheet1!K38</f>
        <v>#REF!</v>
      </c>
      <c r="H46" s="31" t="e">
        <f>[1]Sheet1!M38</f>
        <v>#REF!</v>
      </c>
      <c r="K46" s="121">
        <v>0</v>
      </c>
      <c r="L46" s="121"/>
    </row>
    <row r="47" spans="1:12" s="23" customFormat="1" ht="15.75" customHeight="1">
      <c r="A47" s="29"/>
      <c r="B47" s="29"/>
      <c r="C47" s="29"/>
      <c r="D47" s="34" t="s">
        <v>353</v>
      </c>
      <c r="E47" s="33"/>
      <c r="F47" s="121">
        <f>[2]PRE!E39</f>
        <v>2500000</v>
      </c>
      <c r="G47" s="32"/>
      <c r="H47" s="31"/>
      <c r="K47" s="121"/>
      <c r="L47" s="121">
        <v>0</v>
      </c>
    </row>
    <row r="48" spans="1:12" s="62" customFormat="1" ht="15.75" customHeight="1">
      <c r="A48" s="30"/>
      <c r="B48" s="30"/>
      <c r="C48" s="30" t="s">
        <v>354</v>
      </c>
      <c r="D48" s="63"/>
      <c r="E48" s="66" t="e">
        <f>+E49</f>
        <v>#REF!</v>
      </c>
      <c r="F48" s="120">
        <f>+F49</f>
        <v>2748215.8699999992</v>
      </c>
      <c r="G48" s="65" t="e">
        <f>+G49</f>
        <v>#REF!</v>
      </c>
      <c r="H48" s="64" t="e">
        <f>+H49</f>
        <v>#REF!</v>
      </c>
      <c r="K48" s="120">
        <f>+K49</f>
        <v>2740639.5</v>
      </c>
      <c r="L48" s="120">
        <v>2748215.8699999992</v>
      </c>
    </row>
    <row r="49" spans="1:12" s="23" customFormat="1" ht="15.75" customHeight="1">
      <c r="A49" s="29"/>
      <c r="B49" s="29"/>
      <c r="C49" s="29"/>
      <c r="D49" s="34" t="s">
        <v>355</v>
      </c>
      <c r="E49" s="33" t="e">
        <f>SUM(F49:H49)</f>
        <v>#REF!</v>
      </c>
      <c r="F49" s="121">
        <f>[2]PRE!E40</f>
        <v>2748215.8699999992</v>
      </c>
      <c r="G49" s="32" t="e">
        <f>[1]Sheet1!K39</f>
        <v>#REF!</v>
      </c>
      <c r="H49" s="31" t="e">
        <f>[1]Sheet1!M39</f>
        <v>#REF!</v>
      </c>
      <c r="K49" s="121">
        <v>2740639.5</v>
      </c>
      <c r="L49" s="121">
        <v>2748215.8699999992</v>
      </c>
    </row>
    <row r="50" spans="1:12" s="62" customFormat="1" ht="15.75" customHeight="1">
      <c r="A50" s="30"/>
      <c r="B50" s="30"/>
      <c r="C50" s="30" t="s">
        <v>356</v>
      </c>
      <c r="D50" s="63"/>
      <c r="E50" s="66" t="e">
        <f>SUM(E51:E52)</f>
        <v>#REF!</v>
      </c>
      <c r="F50" s="120">
        <f>SUM(F51:F52)</f>
        <v>415249.57999999856</v>
      </c>
      <c r="G50" s="65" t="e">
        <f>SUM(G51:G52)</f>
        <v>#REF!</v>
      </c>
      <c r="H50" s="64" t="e">
        <f>SUM(H51:H52)</f>
        <v>#REF!</v>
      </c>
      <c r="K50" s="120">
        <f>SUM(K51:K52)</f>
        <v>308005.73</v>
      </c>
      <c r="L50" s="120">
        <v>549375.86</v>
      </c>
    </row>
    <row r="51" spans="1:12" s="23" customFormat="1" ht="15.75" customHeight="1">
      <c r="A51" s="29"/>
      <c r="B51" s="29"/>
      <c r="C51" s="29"/>
      <c r="D51" s="34" t="s">
        <v>357</v>
      </c>
      <c r="E51" s="33" t="e">
        <f>SUM(F51:H51)</f>
        <v>#REF!</v>
      </c>
      <c r="F51" s="121">
        <f>[2]PRE!E41</f>
        <v>349076.68000000005</v>
      </c>
      <c r="G51" s="32" t="e">
        <f>[1]Sheet1!K40</f>
        <v>#REF!</v>
      </c>
      <c r="H51" s="31" t="e">
        <f>[1]Sheet1!M40</f>
        <v>#REF!</v>
      </c>
      <c r="K51" s="121">
        <v>297905.11</v>
      </c>
      <c r="L51" s="121">
        <v>539275.24</v>
      </c>
    </row>
    <row r="52" spans="1:12" s="23" customFormat="1" ht="15.75" customHeight="1">
      <c r="A52" s="29"/>
      <c r="B52" s="29"/>
      <c r="C52" s="29"/>
      <c r="D52" s="34" t="s">
        <v>358</v>
      </c>
      <c r="E52" s="33" t="e">
        <f>SUM(F52:H52)</f>
        <v>#REF!</v>
      </c>
      <c r="F52" s="121">
        <f>[2]PRE!E43</f>
        <v>66172.89999999851</v>
      </c>
      <c r="G52" s="32" t="e">
        <f>[1]Sheet1!K41</f>
        <v>#REF!</v>
      </c>
      <c r="H52" s="31" t="e">
        <f>[1]Sheet1!M41</f>
        <v>#REF!</v>
      </c>
      <c r="K52" s="121">
        <v>10100.620000000003</v>
      </c>
      <c r="L52" s="121">
        <v>10100.620000000003</v>
      </c>
    </row>
    <row r="53" spans="1:12" s="62" customFormat="1" ht="15.75" customHeight="1">
      <c r="A53" s="30"/>
      <c r="B53" s="30" t="s">
        <v>359</v>
      </c>
      <c r="C53" s="30"/>
      <c r="D53" s="63"/>
      <c r="E53" s="66" t="e">
        <f>+E54+E59+E74</f>
        <v>#REF!</v>
      </c>
      <c r="F53" s="120">
        <f>+F54+F59+F74</f>
        <v>105152821.47999999</v>
      </c>
      <c r="G53" s="65" t="e">
        <f>+G54+G59+G74</f>
        <v>#REF!</v>
      </c>
      <c r="H53" s="64" t="e">
        <f>+H54+H59+H74</f>
        <v>#REF!</v>
      </c>
      <c r="K53" s="120">
        <f>+K54+K59+K74</f>
        <v>86114224.75999999</v>
      </c>
      <c r="L53" s="120">
        <v>104238412.69</v>
      </c>
    </row>
    <row r="54" spans="1:12" s="62" customFormat="1" ht="15.75" customHeight="1">
      <c r="A54" s="30"/>
      <c r="B54" s="30"/>
      <c r="C54" s="30" t="s">
        <v>360</v>
      </c>
      <c r="D54" s="63"/>
      <c r="E54" s="66" t="e">
        <f>SUM(E55:E58)</f>
        <v>#REF!</v>
      </c>
      <c r="F54" s="120">
        <f>SUM(F55:F58)</f>
        <v>218126.87</v>
      </c>
      <c r="G54" s="65" t="e">
        <f>SUM(G55:G58)</f>
        <v>#REF!</v>
      </c>
      <c r="H54" s="64" t="e">
        <f>SUM(H55:H58)</f>
        <v>#REF!</v>
      </c>
      <c r="K54" s="120">
        <f>SUM(K55:K58)</f>
        <v>218126.87</v>
      </c>
      <c r="L54" s="120">
        <v>218126.87</v>
      </c>
    </row>
    <row r="55" spans="1:12" s="23" customFormat="1" ht="15.75" customHeight="1">
      <c r="A55" s="29"/>
      <c r="B55" s="29"/>
      <c r="C55" s="29"/>
      <c r="D55" s="34" t="s">
        <v>361</v>
      </c>
      <c r="E55" s="33" t="e">
        <f>SUM(F55:H55)</f>
        <v>#REF!</v>
      </c>
      <c r="F55" s="121">
        <f>[2]PRE!E44</f>
        <v>0</v>
      </c>
      <c r="G55" s="32" t="e">
        <f>[1]Sheet1!K42</f>
        <v>#REF!</v>
      </c>
      <c r="H55" s="31" t="e">
        <f>[1]Sheet1!M42</f>
        <v>#REF!</v>
      </c>
      <c r="K55" s="121">
        <v>0</v>
      </c>
      <c r="L55" s="121">
        <v>0</v>
      </c>
    </row>
    <row r="56" spans="1:12" s="23" customFormat="1" ht="15.75" customHeight="1">
      <c r="A56" s="29"/>
      <c r="B56" s="29"/>
      <c r="C56" s="29"/>
      <c r="D56" s="34" t="s">
        <v>362</v>
      </c>
      <c r="E56" s="33" t="e">
        <f>SUM(F56:H56)</f>
        <v>#REF!</v>
      </c>
      <c r="F56" s="121">
        <f>[2]PRE!E45</f>
        <v>218126.87</v>
      </c>
      <c r="G56" s="32" t="e">
        <f>[1]Sheet1!K43</f>
        <v>#REF!</v>
      </c>
      <c r="H56" s="31" t="e">
        <f>[1]Sheet1!M43</f>
        <v>#REF!</v>
      </c>
      <c r="K56" s="121">
        <v>218126.87</v>
      </c>
      <c r="L56" s="121">
        <v>218126.87</v>
      </c>
    </row>
    <row r="57" spans="1:12" s="23" customFormat="1" ht="15.75" customHeight="1">
      <c r="A57" s="29"/>
      <c r="B57" s="29"/>
      <c r="C57" s="29"/>
      <c r="D57" s="34" t="s">
        <v>363</v>
      </c>
      <c r="E57" s="33" t="e">
        <f>SUM(F57:H57)</f>
        <v>#REF!</v>
      </c>
      <c r="F57" s="121">
        <f>[2]PRE!E46</f>
        <v>0</v>
      </c>
      <c r="G57" s="32" t="e">
        <f>[1]Sheet1!K44</f>
        <v>#REF!</v>
      </c>
      <c r="H57" s="31" t="e">
        <f>[1]Sheet1!M44</f>
        <v>#REF!</v>
      </c>
      <c r="K57" s="121">
        <v>0</v>
      </c>
      <c r="L57" s="121">
        <v>0</v>
      </c>
    </row>
    <row r="58" spans="1:12" s="23" customFormat="1" ht="15.75" customHeight="1">
      <c r="A58" s="29"/>
      <c r="B58" s="29"/>
      <c r="C58" s="29"/>
      <c r="D58" s="34" t="s">
        <v>364</v>
      </c>
      <c r="E58" s="33" t="e">
        <f>SUM(F58:H58)</f>
        <v>#REF!</v>
      </c>
      <c r="F58" s="121">
        <f>[2]PRE!E47</f>
        <v>0</v>
      </c>
      <c r="G58" s="32" t="e">
        <f>[1]Sheet1!K45</f>
        <v>#REF!</v>
      </c>
      <c r="H58" s="31" t="e">
        <f>[1]Sheet1!M45</f>
        <v>#REF!</v>
      </c>
      <c r="K58" s="121">
        <v>0</v>
      </c>
      <c r="L58" s="121">
        <v>0</v>
      </c>
    </row>
    <row r="59" spans="1:12" s="62" customFormat="1" ht="15.75" customHeight="1">
      <c r="A59" s="30"/>
      <c r="B59" s="30"/>
      <c r="C59" s="30" t="s">
        <v>365</v>
      </c>
      <c r="D59" s="63"/>
      <c r="E59" s="66" t="e">
        <f>SUM(E60:E73)</f>
        <v>#REF!</v>
      </c>
      <c r="F59" s="120">
        <f>SUM(F60:F73)</f>
        <v>103980908.60999998</v>
      </c>
      <c r="G59" s="65" t="e">
        <f>SUM(G60:G73)</f>
        <v>#REF!</v>
      </c>
      <c r="H59" s="64" t="e">
        <f>SUM(H60:H73)</f>
        <v>#REF!</v>
      </c>
      <c r="K59" s="120">
        <f>SUM(K60:K73)</f>
        <v>85443311.889999986</v>
      </c>
      <c r="L59" s="120">
        <v>103266499.81999999</v>
      </c>
    </row>
    <row r="60" spans="1:12" s="23" customFormat="1" ht="15.75" customHeight="1">
      <c r="A60" s="29"/>
      <c r="B60" s="29"/>
      <c r="C60" s="29"/>
      <c r="D60" s="34" t="s">
        <v>366</v>
      </c>
      <c r="E60" s="33" t="e">
        <f t="shared" ref="E60:E73" si="1">SUM(F60:H60)</f>
        <v>#REF!</v>
      </c>
      <c r="F60" s="121">
        <f>[2]PRE!E48</f>
        <v>5793428.7799999993</v>
      </c>
      <c r="G60" s="32" t="e">
        <f>[1]Sheet1!K46</f>
        <v>#REF!</v>
      </c>
      <c r="H60" s="31" t="e">
        <f>[1]Sheet1!M46</f>
        <v>#REF!</v>
      </c>
      <c r="K60" s="121">
        <v>5455285.5199999996</v>
      </c>
      <c r="L60" s="121">
        <v>4151917.6199999996</v>
      </c>
    </row>
    <row r="61" spans="1:12" s="23" customFormat="1" ht="15.75" customHeight="1">
      <c r="A61" s="29"/>
      <c r="B61" s="29"/>
      <c r="C61" s="29"/>
      <c r="D61" s="34" t="s">
        <v>367</v>
      </c>
      <c r="E61" s="33" t="e">
        <f t="shared" si="1"/>
        <v>#REF!</v>
      </c>
      <c r="F61" s="121">
        <f>[2]PRE!E49</f>
        <v>-28054.790000000037</v>
      </c>
      <c r="G61" s="32" t="e">
        <f>[1]Sheet1!K47</f>
        <v>#REF!</v>
      </c>
      <c r="H61" s="31" t="e">
        <f>[1]Sheet1!M47</f>
        <v>#REF!</v>
      </c>
      <c r="K61" s="121">
        <v>0</v>
      </c>
      <c r="L61" s="121">
        <v>0</v>
      </c>
    </row>
    <row r="62" spans="1:12" s="23" customFormat="1" ht="15.75" customHeight="1">
      <c r="A62" s="29"/>
      <c r="B62" s="29"/>
      <c r="C62" s="29"/>
      <c r="D62" s="34" t="s">
        <v>368</v>
      </c>
      <c r="E62" s="33" t="e">
        <f t="shared" si="1"/>
        <v>#REF!</v>
      </c>
      <c r="F62" s="121">
        <f>[2]PRE!E50</f>
        <v>1828818.6</v>
      </c>
      <c r="G62" s="32" t="e">
        <f>[1]Sheet1!K48</f>
        <v>#REF!</v>
      </c>
      <c r="H62" s="31" t="e">
        <f>[1]Sheet1!M48</f>
        <v>#REF!</v>
      </c>
      <c r="K62" s="121">
        <v>1275086</v>
      </c>
      <c r="L62" s="121">
        <v>1275086</v>
      </c>
    </row>
    <row r="63" spans="1:12" s="23" customFormat="1" ht="15.75" customHeight="1">
      <c r="A63" s="29"/>
      <c r="B63" s="29"/>
      <c r="C63" s="29"/>
      <c r="D63" s="34" t="s">
        <v>369</v>
      </c>
      <c r="E63" s="33" t="e">
        <f t="shared" si="1"/>
        <v>#REF!</v>
      </c>
      <c r="F63" s="121">
        <f>[2]PRE!E51</f>
        <v>1250000</v>
      </c>
      <c r="G63" s="32" t="e">
        <f>[1]Sheet1!K49</f>
        <v>#REF!</v>
      </c>
      <c r="H63" s="31" t="e">
        <f>[1]Sheet1!M49</f>
        <v>#REF!</v>
      </c>
      <c r="K63" s="121">
        <v>0</v>
      </c>
      <c r="L63" s="121">
        <v>1250000</v>
      </c>
    </row>
    <row r="64" spans="1:12" s="23" customFormat="1" ht="15.75" customHeight="1">
      <c r="A64" s="29"/>
      <c r="B64" s="29"/>
      <c r="C64" s="29"/>
      <c r="D64" s="34" t="s">
        <v>370</v>
      </c>
      <c r="E64" s="33" t="e">
        <f t="shared" si="1"/>
        <v>#REF!</v>
      </c>
      <c r="F64" s="121">
        <f>[2]PRE!E52</f>
        <v>22218138.309999999</v>
      </c>
      <c r="G64" s="32" t="e">
        <f>[1]Sheet1!K50</f>
        <v>#REF!</v>
      </c>
      <c r="H64" s="31" t="e">
        <f>[1]Sheet1!M50</f>
        <v>#REF!</v>
      </c>
      <c r="K64" s="121">
        <v>4922.5</v>
      </c>
      <c r="L64" s="121">
        <v>23131802.23</v>
      </c>
    </row>
    <row r="65" spans="1:12" s="23" customFormat="1" ht="15.75" customHeight="1">
      <c r="A65" s="29"/>
      <c r="B65" s="29"/>
      <c r="C65" s="29"/>
      <c r="D65" s="34" t="s">
        <v>371</v>
      </c>
      <c r="E65" s="33" t="e">
        <f t="shared" si="1"/>
        <v>#REF!</v>
      </c>
      <c r="F65" s="121">
        <f>[2]PRE!E53</f>
        <v>32935387.749999993</v>
      </c>
      <c r="G65" s="32" t="e">
        <f>[1]Sheet1!K51</f>
        <v>#REF!</v>
      </c>
      <c r="H65" s="31" t="e">
        <f>[1]Sheet1!M51</f>
        <v>#REF!</v>
      </c>
      <c r="K65" s="121">
        <v>40145564.599999994</v>
      </c>
      <c r="L65" s="121">
        <v>35185477.999999993</v>
      </c>
    </row>
    <row r="66" spans="1:12" s="23" customFormat="1" ht="15.75" customHeight="1">
      <c r="A66" s="29"/>
      <c r="B66" s="29"/>
      <c r="C66" s="29"/>
      <c r="D66" s="34" t="s">
        <v>372</v>
      </c>
      <c r="E66" s="33" t="e">
        <f t="shared" si="1"/>
        <v>#REF!</v>
      </c>
      <c r="F66" s="121">
        <f>[2]PRE!E54</f>
        <v>3173869.63</v>
      </c>
      <c r="G66" s="32" t="e">
        <f>[1]Sheet1!K52</f>
        <v>#REF!</v>
      </c>
      <c r="H66" s="31" t="e">
        <f>[1]Sheet1!M52</f>
        <v>#REF!</v>
      </c>
      <c r="K66" s="121">
        <v>4736025.25</v>
      </c>
      <c r="L66" s="121">
        <v>4153206.4</v>
      </c>
    </row>
    <row r="67" spans="1:12" s="23" customFormat="1" ht="15.75" customHeight="1">
      <c r="A67" s="29"/>
      <c r="B67" s="29"/>
      <c r="C67" s="29"/>
      <c r="D67" s="34" t="s">
        <v>373</v>
      </c>
      <c r="E67" s="33" t="e">
        <f t="shared" si="1"/>
        <v>#REF!</v>
      </c>
      <c r="F67" s="121">
        <f>[2]PRE!E55</f>
        <v>445788.5</v>
      </c>
      <c r="G67" s="32" t="e">
        <f>[1]Sheet1!K53</f>
        <v>#REF!</v>
      </c>
      <c r="H67" s="31" t="e">
        <f>[1]Sheet1!M53</f>
        <v>#REF!</v>
      </c>
      <c r="K67" s="121">
        <v>384938.5</v>
      </c>
      <c r="L67" s="121">
        <v>384938.5</v>
      </c>
    </row>
    <row r="68" spans="1:12" s="23" customFormat="1" ht="15.75" customHeight="1">
      <c r="A68" s="29"/>
      <c r="B68" s="29"/>
      <c r="C68" s="29"/>
      <c r="D68" s="34" t="s">
        <v>374</v>
      </c>
      <c r="E68" s="33" t="e">
        <f t="shared" si="1"/>
        <v>#REF!</v>
      </c>
      <c r="F68" s="121">
        <f>[2]PRE!E56</f>
        <v>23432525.300000001</v>
      </c>
      <c r="G68" s="32" t="e">
        <f>[1]Sheet1!K54</f>
        <v>#REF!</v>
      </c>
      <c r="H68" s="31" t="e">
        <f>[1]Sheet1!M54</f>
        <v>#REF!</v>
      </c>
      <c r="K68" s="121">
        <v>23332569.300000001</v>
      </c>
      <c r="L68" s="121">
        <v>23340025.300000001</v>
      </c>
    </row>
    <row r="69" spans="1:12" s="23" customFormat="1" ht="15.75" customHeight="1">
      <c r="A69" s="29"/>
      <c r="B69" s="29"/>
      <c r="C69" s="29"/>
      <c r="D69" s="34" t="s">
        <v>375</v>
      </c>
      <c r="E69" s="33" t="e">
        <f t="shared" si="1"/>
        <v>#REF!</v>
      </c>
      <c r="F69" s="121">
        <f>[2]PRE!E57</f>
        <v>95830</v>
      </c>
      <c r="G69" s="32" t="e">
        <f>[1]Sheet1!K55</f>
        <v>#REF!</v>
      </c>
      <c r="H69" s="31" t="e">
        <f>[1]Sheet1!M55</f>
        <v>#REF!</v>
      </c>
      <c r="K69" s="121">
        <v>9350</v>
      </c>
      <c r="L69" s="121">
        <v>9350</v>
      </c>
    </row>
    <row r="70" spans="1:12" s="23" customFormat="1" ht="15.75" customHeight="1">
      <c r="A70" s="29"/>
      <c r="B70" s="29"/>
      <c r="C70" s="29"/>
      <c r="D70" s="34" t="s">
        <v>376</v>
      </c>
      <c r="E70" s="33" t="e">
        <f t="shared" si="1"/>
        <v>#REF!</v>
      </c>
      <c r="F70" s="121">
        <f>[2]PRE!E58</f>
        <v>8674772.9800000004</v>
      </c>
      <c r="G70" s="32" t="e">
        <f>[1]Sheet1!K56</f>
        <v>#REF!</v>
      </c>
      <c r="H70" s="31" t="e">
        <f>[1]Sheet1!M56</f>
        <v>#REF!</v>
      </c>
      <c r="K70" s="121">
        <v>3826906.2199999997</v>
      </c>
      <c r="L70" s="121">
        <v>6496656.2199999997</v>
      </c>
    </row>
    <row r="71" spans="1:12" s="23" customFormat="1" ht="15.75" customHeight="1">
      <c r="A71" s="29"/>
      <c r="B71" s="29"/>
      <c r="C71" s="29"/>
      <c r="D71" s="34" t="s">
        <v>377</v>
      </c>
      <c r="E71" s="33" t="e">
        <f t="shared" si="1"/>
        <v>#REF!</v>
      </c>
      <c r="F71" s="121">
        <f>[2]PRE!E59</f>
        <v>0</v>
      </c>
      <c r="G71" s="32" t="e">
        <f>[1]Sheet1!K57</f>
        <v>#REF!</v>
      </c>
      <c r="H71" s="31" t="e">
        <f>[1]Sheet1!M57</f>
        <v>#REF!</v>
      </c>
      <c r="K71" s="121">
        <v>0</v>
      </c>
      <c r="L71" s="121">
        <v>0</v>
      </c>
    </row>
    <row r="72" spans="1:12" s="23" customFormat="1" ht="15.75" customHeight="1">
      <c r="A72" s="29"/>
      <c r="B72" s="29"/>
      <c r="C72" s="29"/>
      <c r="D72" s="34" t="s">
        <v>378</v>
      </c>
      <c r="E72" s="33" t="e">
        <f t="shared" si="1"/>
        <v>#REF!</v>
      </c>
      <c r="F72" s="121">
        <f>[2]PRE!E60</f>
        <v>4160403.55</v>
      </c>
      <c r="G72" s="32" t="e">
        <f>[1]Sheet1!K58</f>
        <v>#REF!</v>
      </c>
      <c r="H72" s="31" t="e">
        <f>[1]Sheet1!M58</f>
        <v>#REF!</v>
      </c>
      <c r="K72" s="121">
        <v>6272664</v>
      </c>
      <c r="L72" s="121">
        <v>3888039.55</v>
      </c>
    </row>
    <row r="73" spans="1:12" s="23" customFormat="1" ht="15.75" customHeight="1">
      <c r="A73" s="29"/>
      <c r="B73" s="29"/>
      <c r="C73" s="29"/>
      <c r="D73" s="34" t="s">
        <v>379</v>
      </c>
      <c r="E73" s="33" t="e">
        <f t="shared" si="1"/>
        <v>#REF!</v>
      </c>
      <c r="F73" s="121">
        <f>[2]PRE!E61</f>
        <v>0</v>
      </c>
      <c r="G73" s="32" t="e">
        <f>[1]Sheet1!K59</f>
        <v>#REF!</v>
      </c>
      <c r="H73" s="31" t="e">
        <f>[1]Sheet1!M59</f>
        <v>#REF!</v>
      </c>
      <c r="K73" s="121">
        <v>0</v>
      </c>
      <c r="L73" s="121">
        <v>0</v>
      </c>
    </row>
    <row r="74" spans="1:12" s="62" customFormat="1" ht="15.75" customHeight="1">
      <c r="A74" s="30"/>
      <c r="B74" s="30"/>
      <c r="C74" s="30" t="s">
        <v>380</v>
      </c>
      <c r="D74" s="63"/>
      <c r="E74" s="66" t="e">
        <f>SUM(E75:E77)</f>
        <v>#REF!</v>
      </c>
      <c r="F74" s="120">
        <f>SUM(F75:F77)</f>
        <v>953786</v>
      </c>
      <c r="G74" s="65" t="e">
        <f>SUM(G75:G77)</f>
        <v>#REF!</v>
      </c>
      <c r="H74" s="64" t="e">
        <f>SUM(H75:H77)</f>
        <v>#REF!</v>
      </c>
      <c r="K74" s="120">
        <f>SUM(K75:K77)</f>
        <v>452786</v>
      </c>
      <c r="L74" s="120">
        <v>753786</v>
      </c>
    </row>
    <row r="75" spans="1:12" s="23" customFormat="1" ht="15.75" customHeight="1">
      <c r="A75" s="29"/>
      <c r="B75" s="29"/>
      <c r="C75" s="29"/>
      <c r="D75" s="34" t="s">
        <v>381</v>
      </c>
      <c r="E75" s="33" t="e">
        <f>SUM(F75:H75)</f>
        <v>#REF!</v>
      </c>
      <c r="F75" s="121">
        <f>[2]PRE!E62</f>
        <v>852936</v>
      </c>
      <c r="G75" s="32" t="e">
        <f>[1]Sheet1!K60</f>
        <v>#REF!</v>
      </c>
      <c r="H75" s="31" t="e">
        <f>[1]Sheet1!M60</f>
        <v>#REF!</v>
      </c>
      <c r="K75" s="121">
        <v>357936</v>
      </c>
      <c r="L75" s="121">
        <v>652936</v>
      </c>
    </row>
    <row r="76" spans="1:12" s="23" customFormat="1" ht="15.75" customHeight="1">
      <c r="A76" s="29"/>
      <c r="B76" s="29"/>
      <c r="C76" s="29"/>
      <c r="D76" s="34" t="s">
        <v>382</v>
      </c>
      <c r="E76" s="33" t="e">
        <f>SUM(F76:H76)</f>
        <v>#REF!</v>
      </c>
      <c r="F76" s="121">
        <f>[2]PRE!E63</f>
        <v>100850</v>
      </c>
      <c r="G76" s="32" t="e">
        <f>[1]Sheet1!K61</f>
        <v>#REF!</v>
      </c>
      <c r="H76" s="31" t="e">
        <f>[1]Sheet1!M61</f>
        <v>#REF!</v>
      </c>
      <c r="K76" s="121">
        <v>94850</v>
      </c>
      <c r="L76" s="121">
        <v>100850</v>
      </c>
    </row>
    <row r="77" spans="1:12" s="23" customFormat="1" ht="15.75" customHeight="1">
      <c r="A77" s="29"/>
      <c r="B77" s="29"/>
      <c r="C77" s="29"/>
      <c r="D77" s="34" t="s">
        <v>383</v>
      </c>
      <c r="E77" s="33" t="e">
        <f>SUM(F77:H77)</f>
        <v>#REF!</v>
      </c>
      <c r="F77" s="121">
        <f>[2]PRE!E64</f>
        <v>0</v>
      </c>
      <c r="G77" s="32" t="e">
        <f>[1]Sheet1!K62</f>
        <v>#REF!</v>
      </c>
      <c r="H77" s="31" t="e">
        <f>[1]Sheet1!M62</f>
        <v>#REF!</v>
      </c>
      <c r="K77" s="121">
        <v>0</v>
      </c>
      <c r="L77" s="121">
        <v>0</v>
      </c>
    </row>
    <row r="78" spans="1:12" s="62" customFormat="1" ht="15.75" customHeight="1">
      <c r="A78" s="30"/>
      <c r="B78" s="30" t="s">
        <v>384</v>
      </c>
      <c r="C78" s="30"/>
      <c r="D78" s="63"/>
      <c r="E78" s="66" t="e">
        <f>SUM(E79:E85)</f>
        <v>#REF!</v>
      </c>
      <c r="F78" s="120">
        <f>SUM(F79:F85)</f>
        <v>9722799.7699999996</v>
      </c>
      <c r="G78" s="65" t="e">
        <f>SUM(G79:G85)</f>
        <v>#REF!</v>
      </c>
      <c r="H78" s="64" t="e">
        <f>SUM(H79:H85)</f>
        <v>#REF!</v>
      </c>
      <c r="K78" s="120">
        <f>SUM(K79:K85)</f>
        <v>5349151.1999999983</v>
      </c>
      <c r="L78" s="120">
        <v>4874822.1799999988</v>
      </c>
    </row>
    <row r="79" spans="1:12" s="23" customFormat="1" ht="15.75" customHeight="1">
      <c r="A79" s="29"/>
      <c r="B79" s="29"/>
      <c r="C79" s="43" t="s">
        <v>385</v>
      </c>
      <c r="D79" s="28"/>
      <c r="E79" s="33" t="e">
        <f t="shared" ref="E79:E85" si="2">SUM(F79:H79)</f>
        <v>#REF!</v>
      </c>
      <c r="F79" s="121">
        <f>[2]PRE!E65</f>
        <v>119000</v>
      </c>
      <c r="G79" s="32" t="e">
        <f>[1]Sheet1!K63</f>
        <v>#REF!</v>
      </c>
      <c r="H79" s="31" t="e">
        <f>[1]Sheet1!M63</f>
        <v>#REF!</v>
      </c>
      <c r="K79" s="121">
        <v>119000</v>
      </c>
      <c r="L79" s="121">
        <v>119000</v>
      </c>
    </row>
    <row r="80" spans="1:12" s="23" customFormat="1" ht="15.75" customHeight="1">
      <c r="A80" s="29"/>
      <c r="B80" s="29"/>
      <c r="C80" s="43" t="s">
        <v>386</v>
      </c>
      <c r="D80" s="28"/>
      <c r="E80" s="33" t="e">
        <f t="shared" si="2"/>
        <v>#REF!</v>
      </c>
      <c r="F80" s="121">
        <f>[2]PRE!E66</f>
        <v>3346584.5399999982</v>
      </c>
      <c r="G80" s="32" t="e">
        <f>[1]Sheet1!K64</f>
        <v>#REF!</v>
      </c>
      <c r="H80" s="31" t="e">
        <f>[1]Sheet1!M64</f>
        <v>#REF!</v>
      </c>
      <c r="K80" s="121">
        <v>2344441.5999999996</v>
      </c>
      <c r="L80" s="121">
        <v>1810193.8299999998</v>
      </c>
    </row>
    <row r="81" spans="1:12" s="23" customFormat="1" ht="15.75" customHeight="1">
      <c r="A81" s="29"/>
      <c r="B81" s="29"/>
      <c r="C81" s="43" t="s">
        <v>387</v>
      </c>
      <c r="D81" s="28"/>
      <c r="E81" s="33" t="e">
        <f t="shared" si="2"/>
        <v>#REF!</v>
      </c>
      <c r="F81" s="121">
        <f>[2]PRE!E67</f>
        <v>0</v>
      </c>
      <c r="G81" s="32" t="e">
        <f>[1]Sheet1!K65</f>
        <v>#REF!</v>
      </c>
      <c r="H81" s="31" t="e">
        <f>[1]Sheet1!M65</f>
        <v>#REF!</v>
      </c>
      <c r="K81" s="121">
        <v>0</v>
      </c>
      <c r="L81" s="121">
        <v>0</v>
      </c>
    </row>
    <row r="82" spans="1:12" s="23" customFormat="1" ht="15.75" customHeight="1">
      <c r="A82" s="29"/>
      <c r="B82" s="29"/>
      <c r="C82" s="43" t="s">
        <v>388</v>
      </c>
      <c r="D82" s="28"/>
      <c r="E82" s="33" t="e">
        <f t="shared" si="2"/>
        <v>#REF!</v>
      </c>
      <c r="F82" s="121">
        <f>[2]PRE!E68</f>
        <v>0</v>
      </c>
      <c r="G82" s="32" t="e">
        <f>[1]Sheet1!K66</f>
        <v>#REF!</v>
      </c>
      <c r="H82" s="31" t="e">
        <f>[1]Sheet1!M66</f>
        <v>#REF!</v>
      </c>
      <c r="K82" s="121">
        <v>0</v>
      </c>
      <c r="L82" s="121">
        <v>0</v>
      </c>
    </row>
    <row r="83" spans="1:12" s="23" customFormat="1" ht="15.75" customHeight="1">
      <c r="A83" s="29"/>
      <c r="B83" s="29"/>
      <c r="C83" s="43" t="s">
        <v>389</v>
      </c>
      <c r="D83" s="28"/>
      <c r="E83" s="33" t="e">
        <f t="shared" si="2"/>
        <v>#REF!</v>
      </c>
      <c r="F83" s="121">
        <f>[2]PRE!E69</f>
        <v>5134535.84</v>
      </c>
      <c r="G83" s="32" t="e">
        <f>[1]Sheet1!K67</f>
        <v>#REF!</v>
      </c>
      <c r="H83" s="31" t="e">
        <f>[1]Sheet1!M67</f>
        <v>#REF!</v>
      </c>
      <c r="K83" s="121">
        <v>1822948.9599999995</v>
      </c>
      <c r="L83" s="121">
        <v>1822948.9599999995</v>
      </c>
    </row>
    <row r="84" spans="1:12" s="23" customFormat="1" ht="15.75" customHeight="1">
      <c r="A84" s="29"/>
      <c r="B84" s="29"/>
      <c r="C84" s="43" t="s">
        <v>390</v>
      </c>
      <c r="D84" s="28"/>
      <c r="E84" s="33" t="e">
        <f t="shared" si="2"/>
        <v>#REF!</v>
      </c>
      <c r="F84" s="121">
        <f>[2]PRE!E70</f>
        <v>0</v>
      </c>
      <c r="G84" s="32" t="e">
        <f>[1]Sheet1!K68</f>
        <v>#REF!</v>
      </c>
      <c r="H84" s="31" t="e">
        <f>[1]Sheet1!M68</f>
        <v>#REF!</v>
      </c>
      <c r="K84" s="121">
        <v>0</v>
      </c>
      <c r="L84" s="121">
        <v>0</v>
      </c>
    </row>
    <row r="85" spans="1:12" s="23" customFormat="1" ht="15.75" customHeight="1">
      <c r="A85" s="29"/>
      <c r="B85" s="29"/>
      <c r="C85" s="43" t="s">
        <v>391</v>
      </c>
      <c r="D85" s="28"/>
      <c r="E85" s="33" t="e">
        <f t="shared" si="2"/>
        <v>#REF!</v>
      </c>
      <c r="F85" s="121">
        <f>[2]PRE!E71</f>
        <v>1122679.3899999997</v>
      </c>
      <c r="G85" s="32" t="e">
        <f>[1]Sheet1!K69</f>
        <v>#REF!</v>
      </c>
      <c r="H85" s="31" t="e">
        <f>[1]Sheet1!M69</f>
        <v>#REF!</v>
      </c>
      <c r="K85" s="121">
        <v>1062760.6399999999</v>
      </c>
      <c r="L85" s="121">
        <v>1122679.3899999997</v>
      </c>
    </row>
    <row r="86" spans="1:12" s="62" customFormat="1" ht="15.75" customHeight="1">
      <c r="A86" s="30"/>
      <c r="B86" s="30" t="s">
        <v>392</v>
      </c>
      <c r="C86" s="30"/>
      <c r="D86" s="63"/>
      <c r="E86" s="66" t="e">
        <f>SUM(E87:E88)</f>
        <v>#REF!</v>
      </c>
      <c r="F86" s="120">
        <f>SUM(F87:F88)</f>
        <v>244469.88</v>
      </c>
      <c r="G86" s="65" t="e">
        <f>SUM(G87:G88)</f>
        <v>#REF!</v>
      </c>
      <c r="H86" s="64" t="e">
        <f>SUM(H87:H88)</f>
        <v>#REF!</v>
      </c>
      <c r="K86" s="120">
        <f>SUM(K87:K88)</f>
        <v>244469.88</v>
      </c>
      <c r="L86" s="120">
        <v>244469.88</v>
      </c>
    </row>
    <row r="87" spans="1:12" s="23" customFormat="1" ht="15.75" customHeight="1">
      <c r="A87" s="29"/>
      <c r="B87" s="29"/>
      <c r="C87" s="29"/>
      <c r="D87" s="34" t="s">
        <v>393</v>
      </c>
      <c r="E87" s="33" t="e">
        <f>SUM(F87:H87)</f>
        <v>#REF!</v>
      </c>
      <c r="F87" s="121">
        <f>[2]PRE!E72</f>
        <v>244469.88</v>
      </c>
      <c r="G87" s="32" t="e">
        <f>[1]Sheet1!K70</f>
        <v>#REF!</v>
      </c>
      <c r="H87" s="31" t="e">
        <f>[1]Sheet1!M70</f>
        <v>#REF!</v>
      </c>
      <c r="K87" s="121">
        <v>244469.88</v>
      </c>
      <c r="L87" s="121">
        <v>244469.88</v>
      </c>
    </row>
    <row r="88" spans="1:12" s="23" customFormat="1" ht="15.75" customHeight="1">
      <c r="A88" s="29"/>
      <c r="B88" s="29"/>
      <c r="C88" s="29"/>
      <c r="D88" s="34" t="s">
        <v>394</v>
      </c>
      <c r="E88" s="33" t="e">
        <f>SUM(F88:H88)</f>
        <v>#REF!</v>
      </c>
      <c r="F88" s="121">
        <f>[2]PRE!E73</f>
        <v>0</v>
      </c>
      <c r="G88" s="32" t="e">
        <f>[1]Sheet1!K71</f>
        <v>#REF!</v>
      </c>
      <c r="H88" s="31" t="e">
        <f>[1]Sheet1!M71</f>
        <v>#REF!</v>
      </c>
      <c r="K88" s="121">
        <v>0</v>
      </c>
      <c r="L88" s="121">
        <v>0</v>
      </c>
    </row>
    <row r="89" spans="1:12" s="62" customFormat="1" ht="15.75" customHeight="1">
      <c r="A89" s="30"/>
      <c r="B89" s="30"/>
      <c r="C89" s="30"/>
      <c r="D89" s="63" t="s">
        <v>395</v>
      </c>
      <c r="E89" s="38" t="e">
        <f>+E86+E78+E53+E30+E13</f>
        <v>#REF!</v>
      </c>
      <c r="F89" s="46">
        <f>+F86+F78+F53+F30+F13</f>
        <v>502452542.01999986</v>
      </c>
      <c r="G89" s="37" t="e">
        <f>+G86+G78+G53+G30+G13</f>
        <v>#REF!</v>
      </c>
      <c r="H89" s="36" t="e">
        <f>+H86+H78+H53+H30+H13</f>
        <v>#REF!</v>
      </c>
      <c r="K89" s="46">
        <f>+K86+K78+K53+K30+K13</f>
        <v>386351364.98000002</v>
      </c>
      <c r="L89" s="46">
        <v>407076129.63000011</v>
      </c>
    </row>
    <row r="90" spans="1:12" s="62" customFormat="1" ht="15.75" customHeight="1">
      <c r="A90" s="30" t="s">
        <v>396</v>
      </c>
      <c r="B90" s="30"/>
      <c r="C90" s="30"/>
      <c r="D90" s="63"/>
      <c r="E90" s="66"/>
      <c r="F90" s="120"/>
      <c r="G90" s="65"/>
      <c r="H90" s="64"/>
      <c r="K90" s="120"/>
      <c r="L90" s="120"/>
    </row>
    <row r="91" spans="1:12" s="62" customFormat="1" ht="15.75" customHeight="1">
      <c r="A91" s="30"/>
      <c r="B91" s="30" t="s">
        <v>397</v>
      </c>
      <c r="C91" s="123"/>
      <c r="D91" s="115"/>
      <c r="E91" s="66" t="e">
        <f>SUM(E92:E95)</f>
        <v>#REF!</v>
      </c>
      <c r="F91" s="120">
        <f>SUM(F92:F95)</f>
        <v>0</v>
      </c>
      <c r="G91" s="65" t="e">
        <f>SUM(G92:G95)</f>
        <v>#REF!</v>
      </c>
      <c r="H91" s="64" t="e">
        <f>SUM(H92:H95)</f>
        <v>#REF!</v>
      </c>
      <c r="K91" s="120">
        <f>SUM(K92:K95)</f>
        <v>0</v>
      </c>
      <c r="L91" s="120">
        <v>0</v>
      </c>
    </row>
    <row r="92" spans="1:12" s="23" customFormat="1" ht="15.75" customHeight="1">
      <c r="A92" s="29"/>
      <c r="B92" s="29"/>
      <c r="C92" s="43" t="s">
        <v>398</v>
      </c>
      <c r="D92" s="28"/>
      <c r="E92" s="33" t="e">
        <f>SUM(F92:H92)</f>
        <v>#REF!</v>
      </c>
      <c r="F92" s="121">
        <f>[2]PRE!E74</f>
        <v>0</v>
      </c>
      <c r="G92" s="32" t="e">
        <f>[1]Sheet1!K72</f>
        <v>#REF!</v>
      </c>
      <c r="H92" s="31" t="e">
        <f>[1]Sheet1!M72</f>
        <v>#REF!</v>
      </c>
      <c r="K92" s="121">
        <f>[4]PRE!M73</f>
        <v>0</v>
      </c>
      <c r="L92" s="121">
        <v>0</v>
      </c>
    </row>
    <row r="93" spans="1:12" s="23" customFormat="1" ht="15.75" customHeight="1">
      <c r="A93" s="29"/>
      <c r="B93" s="29"/>
      <c r="C93" s="43" t="s">
        <v>399</v>
      </c>
      <c r="D93" s="28"/>
      <c r="E93" s="33" t="e">
        <f>SUM(F93:H93)</f>
        <v>#REF!</v>
      </c>
      <c r="F93" s="121">
        <f>[2]PRE!E75</f>
        <v>0</v>
      </c>
      <c r="G93" s="32" t="e">
        <f>[1]Sheet1!K73</f>
        <v>#REF!</v>
      </c>
      <c r="H93" s="31" t="e">
        <f>[1]Sheet1!M73</f>
        <v>#REF!</v>
      </c>
      <c r="K93" s="121">
        <f>[4]PRE!M74</f>
        <v>0</v>
      </c>
      <c r="L93" s="121">
        <v>0</v>
      </c>
    </row>
    <row r="94" spans="1:12" s="23" customFormat="1" ht="15.75" customHeight="1">
      <c r="A94" s="29"/>
      <c r="B94" s="29"/>
      <c r="C94" s="43" t="s">
        <v>400</v>
      </c>
      <c r="D94" s="28"/>
      <c r="E94" s="33" t="e">
        <f>SUM(F94:H94)</f>
        <v>#REF!</v>
      </c>
      <c r="F94" s="121">
        <f>[2]PRE!E76</f>
        <v>0</v>
      </c>
      <c r="G94" s="32" t="e">
        <f>[1]Sheet1!K74</f>
        <v>#REF!</v>
      </c>
      <c r="H94" s="31" t="e">
        <f>[1]Sheet1!M74</f>
        <v>#REF!</v>
      </c>
      <c r="K94" s="121">
        <f>[4]PRE!M75</f>
        <v>0</v>
      </c>
      <c r="L94" s="121">
        <v>0</v>
      </c>
    </row>
    <row r="95" spans="1:12" s="23" customFormat="1" ht="15.75" customHeight="1">
      <c r="A95" s="29"/>
      <c r="B95" s="29"/>
      <c r="C95" s="43" t="s">
        <v>401</v>
      </c>
      <c r="D95" s="28"/>
      <c r="E95" s="33" t="e">
        <f>SUM(F95:H95)</f>
        <v>#REF!</v>
      </c>
      <c r="F95" s="121">
        <f>[2]PRE!E77</f>
        <v>0</v>
      </c>
      <c r="G95" s="32" t="e">
        <f>[1]Sheet1!K75</f>
        <v>#REF!</v>
      </c>
      <c r="H95" s="31" t="e">
        <f>[1]Sheet1!M75</f>
        <v>#REF!</v>
      </c>
      <c r="K95" s="121">
        <f>[4]PRE!M76</f>
        <v>0</v>
      </c>
      <c r="L95" s="121">
        <v>0</v>
      </c>
    </row>
    <row r="96" spans="1:12" s="62" customFormat="1" ht="15.75" customHeight="1">
      <c r="A96" s="30"/>
      <c r="B96" s="30" t="s">
        <v>402</v>
      </c>
      <c r="C96" s="123"/>
      <c r="D96" s="115"/>
      <c r="E96" s="66" t="e">
        <f>+E97</f>
        <v>#REF!</v>
      </c>
      <c r="F96" s="120">
        <f>+F97</f>
        <v>0</v>
      </c>
      <c r="G96" s="65" t="e">
        <f>+G97</f>
        <v>#REF!</v>
      </c>
      <c r="H96" s="64" t="e">
        <f>+H97</f>
        <v>#REF!</v>
      </c>
      <c r="K96" s="120">
        <f>+K97</f>
        <v>0</v>
      </c>
      <c r="L96" s="120">
        <v>0</v>
      </c>
    </row>
    <row r="97" spans="1:12" s="23" customFormat="1" ht="15.75" customHeight="1">
      <c r="A97" s="29"/>
      <c r="B97" s="29"/>
      <c r="C97" s="43" t="s">
        <v>403</v>
      </c>
      <c r="D97" s="28"/>
      <c r="E97" s="33" t="e">
        <f>SUM(F97:H97)</f>
        <v>#REF!</v>
      </c>
      <c r="F97" s="121">
        <f>[2]PRE!E78</f>
        <v>0</v>
      </c>
      <c r="G97" s="32" t="e">
        <f>[1]Sheet1!K76</f>
        <v>#REF!</v>
      </c>
      <c r="H97" s="31" t="e">
        <f>[1]Sheet1!M76</f>
        <v>#REF!</v>
      </c>
      <c r="K97" s="121">
        <f>[4]PRE!M77</f>
        <v>0</v>
      </c>
      <c r="L97" s="121">
        <v>0</v>
      </c>
    </row>
    <row r="98" spans="1:12" s="62" customFormat="1" ht="15.75" customHeight="1">
      <c r="A98" s="30"/>
      <c r="B98" s="30"/>
      <c r="C98" s="123"/>
      <c r="D98" s="115" t="s">
        <v>404</v>
      </c>
      <c r="E98" s="66" t="e">
        <f>+E96+E91</f>
        <v>#REF!</v>
      </c>
      <c r="F98" s="120">
        <f>+F96+F91</f>
        <v>0</v>
      </c>
      <c r="G98" s="65" t="e">
        <f>+G96+G91</f>
        <v>#REF!</v>
      </c>
      <c r="H98" s="64" t="e">
        <f>+H96+H91</f>
        <v>#REF!</v>
      </c>
      <c r="K98" s="120">
        <f>+K96+K91</f>
        <v>0</v>
      </c>
      <c r="L98" s="120">
        <v>0</v>
      </c>
    </row>
    <row r="99" spans="1:12" s="62" customFormat="1" ht="15.75" customHeight="1">
      <c r="A99" s="30" t="s">
        <v>405</v>
      </c>
      <c r="B99" s="30"/>
      <c r="C99" s="30"/>
      <c r="D99" s="63"/>
      <c r="E99" s="66"/>
      <c r="F99" s="120"/>
      <c r="G99" s="65"/>
      <c r="H99" s="64"/>
      <c r="K99" s="120"/>
      <c r="L99" s="120"/>
    </row>
    <row r="100" spans="1:12" s="62" customFormat="1" ht="15.75" customHeight="1">
      <c r="A100" s="30"/>
      <c r="B100" s="30" t="s">
        <v>406</v>
      </c>
      <c r="C100" s="30"/>
      <c r="D100" s="63"/>
      <c r="E100" s="66" t="e">
        <f>+E101+E102+E105+E108+E111</f>
        <v>#REF!</v>
      </c>
      <c r="F100" s="120">
        <f>+F101+F102+F105+F108+F111</f>
        <v>83848827.789999992</v>
      </c>
      <c r="G100" s="65" t="e">
        <f>+G101+G102+G105+G108+G111</f>
        <v>#REF!</v>
      </c>
      <c r="H100" s="64" t="e">
        <f>+H101+H102+H105+H108+H111</f>
        <v>#REF!</v>
      </c>
      <c r="K100" s="120">
        <f>+K101+K102+K105+K108+K111</f>
        <v>86711831.310000002</v>
      </c>
      <c r="L100" s="120">
        <v>86293781.219999999</v>
      </c>
    </row>
    <row r="101" spans="1:12" s="23" customFormat="1" ht="15.75" customHeight="1">
      <c r="A101" s="29"/>
      <c r="B101" s="29"/>
      <c r="C101" s="43" t="s">
        <v>407</v>
      </c>
      <c r="D101" s="28"/>
      <c r="E101" s="33" t="e">
        <f t="shared" ref="E101:E113" si="3">SUM(F101:H101)</f>
        <v>#REF!</v>
      </c>
      <c r="F101" s="121">
        <f>[2]PRE!E79</f>
        <v>61761878.159999996</v>
      </c>
      <c r="G101" s="32" t="e">
        <f>[1]Sheet1!K77</f>
        <v>#REF!</v>
      </c>
      <c r="H101" s="31" t="e">
        <f>[1]Sheet1!M77</f>
        <v>#REF!</v>
      </c>
      <c r="K101" s="121">
        <v>61761878.159999996</v>
      </c>
      <c r="L101" s="121">
        <v>61761878.159999996</v>
      </c>
    </row>
    <row r="102" spans="1:12" s="23" customFormat="1" ht="15.75" customHeight="1">
      <c r="A102" s="29"/>
      <c r="B102" s="29"/>
      <c r="C102" s="43" t="s">
        <v>408</v>
      </c>
      <c r="D102" s="28"/>
      <c r="E102" s="33" t="e">
        <f t="shared" si="3"/>
        <v>#REF!</v>
      </c>
      <c r="F102" s="121">
        <f>+F103-F104</f>
        <v>13545912.640000001</v>
      </c>
      <c r="G102" s="32" t="e">
        <f>+G103-G104</f>
        <v>#REF!</v>
      </c>
      <c r="H102" s="31" t="e">
        <f>+H103-H104</f>
        <v>#REF!</v>
      </c>
      <c r="K102" s="121">
        <v>15988567.580000002</v>
      </c>
      <c r="L102" s="121">
        <v>14768091.310000001</v>
      </c>
    </row>
    <row r="103" spans="1:12" s="23" customFormat="1" ht="15.75" customHeight="1">
      <c r="A103" s="29"/>
      <c r="B103" s="29"/>
      <c r="C103" s="29"/>
      <c r="D103" s="34" t="s">
        <v>82</v>
      </c>
      <c r="E103" s="33" t="e">
        <f t="shared" si="3"/>
        <v>#REF!</v>
      </c>
      <c r="F103" s="121">
        <f>[2]PRE!E80</f>
        <v>20373606.030000001</v>
      </c>
      <c r="G103" s="32" t="e">
        <f>[1]Sheet1!K78</f>
        <v>#REF!</v>
      </c>
      <c r="H103" s="31" t="e">
        <f>[1]Sheet1!M78</f>
        <v>#REF!</v>
      </c>
      <c r="K103" s="121">
        <v>20373606.030000001</v>
      </c>
      <c r="L103" s="121">
        <v>20373606.030000001</v>
      </c>
    </row>
    <row r="104" spans="1:12" s="23" customFormat="1" ht="15.75" customHeight="1">
      <c r="A104" s="29"/>
      <c r="B104" s="29"/>
      <c r="C104" s="29"/>
      <c r="D104" s="34" t="s">
        <v>409</v>
      </c>
      <c r="E104" s="33" t="e">
        <f t="shared" si="3"/>
        <v>#REF!</v>
      </c>
      <c r="F104" s="121">
        <f>[2]PRE!H81</f>
        <v>6827693.3900000006</v>
      </c>
      <c r="G104" s="54" t="e">
        <f>[1]Sheet1!L79</f>
        <v>#REF!</v>
      </c>
      <c r="H104" s="53" t="e">
        <f>[1]Sheet1!N79</f>
        <v>#REF!</v>
      </c>
      <c r="K104" s="121">
        <v>4385038.45</v>
      </c>
      <c r="L104" s="121">
        <v>5605514.7200000007</v>
      </c>
    </row>
    <row r="105" spans="1:12" s="23" customFormat="1" ht="15.75" customHeight="1">
      <c r="A105" s="29"/>
      <c r="B105" s="29"/>
      <c r="C105" s="43" t="s">
        <v>410</v>
      </c>
      <c r="D105" s="28"/>
      <c r="E105" s="33" t="e">
        <f t="shared" si="3"/>
        <v>#REF!</v>
      </c>
      <c r="F105" s="121">
        <f>+F106-F107</f>
        <v>0</v>
      </c>
      <c r="G105" s="32" t="e">
        <f>+G106-G107</f>
        <v>#REF!</v>
      </c>
      <c r="H105" s="31" t="e">
        <f>+H106-H107</f>
        <v>#REF!</v>
      </c>
      <c r="K105" s="121">
        <v>0</v>
      </c>
      <c r="L105" s="121">
        <v>0</v>
      </c>
    </row>
    <row r="106" spans="1:12" s="23" customFormat="1" ht="15.75" customHeight="1">
      <c r="A106" s="29"/>
      <c r="B106" s="29"/>
      <c r="C106" s="29"/>
      <c r="D106" s="34" t="s">
        <v>411</v>
      </c>
      <c r="E106" s="33" t="e">
        <f t="shared" si="3"/>
        <v>#REF!</v>
      </c>
      <c r="F106" s="121">
        <f>[2]PRE!E82</f>
        <v>0</v>
      </c>
      <c r="G106" s="32" t="e">
        <f>[1]Sheet1!K80</f>
        <v>#REF!</v>
      </c>
      <c r="H106" s="31" t="e">
        <f>[1]Sheet1!M80</f>
        <v>#REF!</v>
      </c>
      <c r="K106" s="121">
        <v>0</v>
      </c>
      <c r="L106" s="121">
        <v>0</v>
      </c>
    </row>
    <row r="107" spans="1:12" s="23" customFormat="1" ht="15.75" customHeight="1">
      <c r="A107" s="29"/>
      <c r="B107" s="29"/>
      <c r="C107" s="29"/>
      <c r="D107" s="34" t="s">
        <v>412</v>
      </c>
      <c r="E107" s="33" t="e">
        <f t="shared" si="3"/>
        <v>#REF!</v>
      </c>
      <c r="F107" s="121">
        <f>[2]PRE!H83</f>
        <v>0</v>
      </c>
      <c r="G107" s="54" t="e">
        <f>[1]Sheet1!L81</f>
        <v>#REF!</v>
      </c>
      <c r="H107" s="53" t="e">
        <f>[1]Sheet1!N81</f>
        <v>#REF!</v>
      </c>
      <c r="K107" s="121">
        <v>0</v>
      </c>
      <c r="L107" s="121">
        <v>0</v>
      </c>
    </row>
    <row r="108" spans="1:12" s="23" customFormat="1" ht="15.75" customHeight="1">
      <c r="A108" s="29"/>
      <c r="B108" s="29"/>
      <c r="C108" s="43" t="s">
        <v>413</v>
      </c>
      <c r="D108" s="28"/>
      <c r="E108" s="33" t="e">
        <f t="shared" si="3"/>
        <v>#REF!</v>
      </c>
      <c r="F108" s="121">
        <f>+F109-F110</f>
        <v>0</v>
      </c>
      <c r="G108" s="32" t="e">
        <f>+G109-G110</f>
        <v>#REF!</v>
      </c>
      <c r="H108" s="31" t="e">
        <f>+H109-H110</f>
        <v>#REF!</v>
      </c>
      <c r="K108" s="121">
        <v>0</v>
      </c>
      <c r="L108" s="121">
        <v>0</v>
      </c>
    </row>
    <row r="109" spans="1:12" s="23" customFormat="1" ht="15.75" customHeight="1">
      <c r="A109" s="29"/>
      <c r="B109" s="29"/>
      <c r="C109" s="29"/>
      <c r="D109" s="34" t="s">
        <v>414</v>
      </c>
      <c r="E109" s="33" t="e">
        <f t="shared" si="3"/>
        <v>#REF!</v>
      </c>
      <c r="F109" s="121">
        <f>[2]PRE!E84</f>
        <v>0</v>
      </c>
      <c r="G109" s="32" t="e">
        <f>[1]Sheet1!K82</f>
        <v>#REF!</v>
      </c>
      <c r="H109" s="31" t="e">
        <f>[1]Sheet1!M82</f>
        <v>#REF!</v>
      </c>
      <c r="K109" s="121">
        <v>0</v>
      </c>
      <c r="L109" s="121">
        <v>0</v>
      </c>
    </row>
    <row r="110" spans="1:12" s="23" customFormat="1" ht="15.75" customHeight="1">
      <c r="A110" s="29"/>
      <c r="B110" s="29"/>
      <c r="C110" s="29"/>
      <c r="D110" s="34" t="s">
        <v>415</v>
      </c>
      <c r="E110" s="33" t="e">
        <f t="shared" si="3"/>
        <v>#REF!</v>
      </c>
      <c r="F110" s="121">
        <f>[2]PRE!H85</f>
        <v>0</v>
      </c>
      <c r="G110" s="54" t="e">
        <f>[1]Sheet1!L83</f>
        <v>#REF!</v>
      </c>
      <c r="H110" s="53" t="e">
        <f>[1]Sheet1!N83</f>
        <v>#REF!</v>
      </c>
      <c r="K110" s="121">
        <v>0</v>
      </c>
      <c r="L110" s="121">
        <v>0</v>
      </c>
    </row>
    <row r="111" spans="1:12" s="23" customFormat="1" ht="15.75" customHeight="1">
      <c r="A111" s="29"/>
      <c r="B111" s="29"/>
      <c r="C111" s="43" t="s">
        <v>416</v>
      </c>
      <c r="D111" s="28"/>
      <c r="E111" s="33" t="e">
        <f t="shared" si="3"/>
        <v>#REF!</v>
      </c>
      <c r="F111" s="121">
        <f>+F112-F113</f>
        <v>8541036.9900000002</v>
      </c>
      <c r="G111" s="32" t="e">
        <f>+G112-G113</f>
        <v>#REF!</v>
      </c>
      <c r="H111" s="31" t="e">
        <f>+H112-H113</f>
        <v>#REF!</v>
      </c>
      <c r="K111" s="121">
        <v>8961385.5700000003</v>
      </c>
      <c r="L111" s="121">
        <v>9763811.75</v>
      </c>
    </row>
    <row r="112" spans="1:12" s="23" customFormat="1" ht="15.75" customHeight="1">
      <c r="A112" s="29"/>
      <c r="B112" s="29"/>
      <c r="C112" s="29"/>
      <c r="D112" s="34" t="s">
        <v>417</v>
      </c>
      <c r="E112" s="33" t="e">
        <f t="shared" si="3"/>
        <v>#REF!</v>
      </c>
      <c r="F112" s="121">
        <f>[2]PRE!E86</f>
        <v>13628431.35</v>
      </c>
      <c r="G112" s="32" t="e">
        <f>[1]Sheet1!K84</f>
        <v>#REF!</v>
      </c>
      <c r="H112" s="31" t="e">
        <f>[1]Sheet1!M84</f>
        <v>#REF!</v>
      </c>
      <c r="K112" s="121">
        <v>11629431.35</v>
      </c>
      <c r="L112" s="121">
        <v>13628431.35</v>
      </c>
    </row>
    <row r="113" spans="1:12" s="23" customFormat="1" ht="15.75" customHeight="1">
      <c r="A113" s="29"/>
      <c r="B113" s="29"/>
      <c r="C113" s="29"/>
      <c r="D113" s="34" t="s">
        <v>418</v>
      </c>
      <c r="E113" s="33" t="e">
        <f t="shared" si="3"/>
        <v>#REF!</v>
      </c>
      <c r="F113" s="121">
        <f>[2]PRE!H87</f>
        <v>5087394.3599999994</v>
      </c>
      <c r="G113" s="54" t="e">
        <f>[1]Sheet1!L85</f>
        <v>#REF!</v>
      </c>
      <c r="H113" s="53" t="e">
        <f>[1]Sheet1!N85</f>
        <v>#REF!</v>
      </c>
      <c r="K113" s="121">
        <v>2668045.7799999998</v>
      </c>
      <c r="L113" s="121">
        <v>3864619.5999999996</v>
      </c>
    </row>
    <row r="114" spans="1:12" s="62" customFormat="1" ht="15.75" customHeight="1">
      <c r="A114" s="30"/>
      <c r="B114" s="30" t="s">
        <v>419</v>
      </c>
      <c r="C114" s="30"/>
      <c r="D114" s="63"/>
      <c r="E114" s="66" t="e">
        <f>+E115+E118+E121+E124+E127</f>
        <v>#REF!</v>
      </c>
      <c r="F114" s="120">
        <f>+F115+F118+F121+F124+F127</f>
        <v>300441272.85000002</v>
      </c>
      <c r="G114" s="65" t="e">
        <f>+G115+G118+G121+G124+G127</f>
        <v>#REF!</v>
      </c>
      <c r="H114" s="64" t="e">
        <f>+H115+H118+H121+H124+H127</f>
        <v>#REF!</v>
      </c>
      <c r="K114" s="120">
        <f>+K115+K118+K121+K124+K127</f>
        <v>295539842.07000005</v>
      </c>
      <c r="L114" s="120">
        <v>297331814.29000002</v>
      </c>
    </row>
    <row r="115" spans="1:12" s="23" customFormat="1" ht="15.75" customHeight="1">
      <c r="A115" s="29"/>
      <c r="B115" s="29"/>
      <c r="C115" s="43" t="s">
        <v>420</v>
      </c>
      <c r="D115" s="28"/>
      <c r="E115" s="33" t="e">
        <f t="shared" ref="E115:E129" si="4">SUM(F115:H115)</f>
        <v>#REF!</v>
      </c>
      <c r="F115" s="121">
        <f>+F116-F117</f>
        <v>295638277.49000001</v>
      </c>
      <c r="G115" s="32" t="e">
        <f>+G116-G117</f>
        <v>#REF!</v>
      </c>
      <c r="H115" s="31" t="e">
        <f>+H116-H117</f>
        <v>#REF!</v>
      </c>
      <c r="K115" s="121">
        <v>292771960.20000005</v>
      </c>
      <c r="L115" s="121">
        <v>291787275.31</v>
      </c>
    </row>
    <row r="116" spans="1:12" s="23" customFormat="1" ht="15.75" customHeight="1">
      <c r="A116" s="29"/>
      <c r="B116" s="29"/>
      <c r="C116" s="29"/>
      <c r="D116" s="34" t="s">
        <v>421</v>
      </c>
      <c r="E116" s="33" t="e">
        <f t="shared" si="4"/>
        <v>#REF!</v>
      </c>
      <c r="F116" s="121">
        <f>[2]PRE!E88</f>
        <v>313025125.17000002</v>
      </c>
      <c r="G116" s="32" t="e">
        <f>[1]Sheet1!K86</f>
        <v>#REF!</v>
      </c>
      <c r="H116" s="31" t="e">
        <f>[1]Sheet1!M86</f>
        <v>#REF!</v>
      </c>
      <c r="K116" s="121">
        <v>308551136.41000003</v>
      </c>
      <c r="L116" s="121">
        <v>308551136.41000003</v>
      </c>
    </row>
    <row r="117" spans="1:12" s="23" customFormat="1" ht="15.75" customHeight="1">
      <c r="A117" s="29"/>
      <c r="B117" s="29"/>
      <c r="C117" s="29"/>
      <c r="D117" s="34" t="s">
        <v>422</v>
      </c>
      <c r="E117" s="33" t="e">
        <f t="shared" si="4"/>
        <v>#REF!</v>
      </c>
      <c r="F117" s="121">
        <f>[2]PRE!H89</f>
        <v>17386847.68</v>
      </c>
      <c r="G117" s="54" t="e">
        <f>[1]Sheet1!L87</f>
        <v>#REF!</v>
      </c>
      <c r="H117" s="53" t="e">
        <f>[1]Sheet1!N87</f>
        <v>#REF!</v>
      </c>
      <c r="K117" s="121">
        <v>15779176.210000001</v>
      </c>
      <c r="L117" s="121">
        <v>16763861.100000001</v>
      </c>
    </row>
    <row r="118" spans="1:12" s="23" customFormat="1" ht="16.5" customHeight="1">
      <c r="A118" s="29"/>
      <c r="B118" s="29"/>
      <c r="C118" s="43" t="s">
        <v>423</v>
      </c>
      <c r="D118" s="28"/>
      <c r="E118" s="33" t="e">
        <f t="shared" si="4"/>
        <v>#REF!</v>
      </c>
      <c r="F118" s="121">
        <f>+F119-F120</f>
        <v>0</v>
      </c>
      <c r="G118" s="32" t="e">
        <f>+G119-G120</f>
        <v>#REF!</v>
      </c>
      <c r="H118" s="31" t="e">
        <f>+H119-H120</f>
        <v>#REF!</v>
      </c>
      <c r="K118" s="121">
        <v>0</v>
      </c>
      <c r="L118" s="121">
        <v>0</v>
      </c>
    </row>
    <row r="119" spans="1:12" s="23" customFormat="1" ht="15.75" customHeight="1">
      <c r="A119" s="29"/>
      <c r="B119" s="29"/>
      <c r="C119" s="29"/>
      <c r="D119" s="34" t="s">
        <v>424</v>
      </c>
      <c r="E119" s="33" t="e">
        <f t="shared" si="4"/>
        <v>#REF!</v>
      </c>
      <c r="F119" s="121">
        <f>[2]PRE!E90</f>
        <v>0</v>
      </c>
      <c r="G119" s="32" t="e">
        <f>[1]Sheet1!K88</f>
        <v>#REF!</v>
      </c>
      <c r="H119" s="31" t="e">
        <f>[1]Sheet1!M88</f>
        <v>#REF!</v>
      </c>
      <c r="K119" s="121">
        <v>0</v>
      </c>
      <c r="L119" s="121">
        <v>0</v>
      </c>
    </row>
    <row r="120" spans="1:12" s="23" customFormat="1" ht="15.75" customHeight="1">
      <c r="A120" s="29"/>
      <c r="B120" s="29"/>
      <c r="C120" s="29"/>
      <c r="D120" s="34" t="s">
        <v>425</v>
      </c>
      <c r="E120" s="33" t="e">
        <f t="shared" si="4"/>
        <v>#REF!</v>
      </c>
      <c r="F120" s="121">
        <f>[2]PRE!H91</f>
        <v>0</v>
      </c>
      <c r="G120" s="54" t="e">
        <f>[1]Sheet1!L89</f>
        <v>#REF!</v>
      </c>
      <c r="H120" s="53" t="e">
        <f>[1]Sheet1!N89</f>
        <v>#REF!</v>
      </c>
      <c r="K120" s="121">
        <v>0</v>
      </c>
      <c r="L120" s="121">
        <v>0</v>
      </c>
    </row>
    <row r="121" spans="1:12" s="23" customFormat="1" ht="15.75" customHeight="1">
      <c r="A121" s="29"/>
      <c r="B121" s="29"/>
      <c r="C121" s="43" t="s">
        <v>426</v>
      </c>
      <c r="D121" s="28"/>
      <c r="E121" s="33" t="e">
        <f t="shared" si="4"/>
        <v>#REF!</v>
      </c>
      <c r="F121" s="121">
        <f>+F122-F123</f>
        <v>2066886.23</v>
      </c>
      <c r="G121" s="32" t="e">
        <f>+G122-G123</f>
        <v>#REF!</v>
      </c>
      <c r="H121" s="31" t="e">
        <f>+H122-H123</f>
        <v>#REF!</v>
      </c>
      <c r="K121" s="121">
        <v>2345263.85</v>
      </c>
      <c r="L121" s="121">
        <v>2706230.06</v>
      </c>
    </row>
    <row r="122" spans="1:12" s="23" customFormat="1" ht="15.75" customHeight="1">
      <c r="A122" s="29"/>
      <c r="B122" s="29"/>
      <c r="C122" s="29"/>
      <c r="D122" s="34" t="s">
        <v>427</v>
      </c>
      <c r="E122" s="33" t="e">
        <f t="shared" si="4"/>
        <v>#REF!</v>
      </c>
      <c r="F122" s="121">
        <f>[2]PRE!E92</f>
        <v>3465069.21</v>
      </c>
      <c r="G122" s="32" t="e">
        <f>[1]Sheet1!K90</f>
        <v>#REF!</v>
      </c>
      <c r="H122" s="31" t="e">
        <f>[1]Sheet1!M90</f>
        <v>#REF!</v>
      </c>
      <c r="K122" s="121">
        <v>2481154.06</v>
      </c>
      <c r="L122" s="121">
        <v>3465069.21</v>
      </c>
    </row>
    <row r="123" spans="1:12" s="23" customFormat="1" ht="15.75" customHeight="1">
      <c r="A123" s="29"/>
      <c r="B123" s="29"/>
      <c r="C123" s="29"/>
      <c r="D123" s="34" t="s">
        <v>428</v>
      </c>
      <c r="E123" s="33" t="e">
        <f t="shared" si="4"/>
        <v>#REF!</v>
      </c>
      <c r="F123" s="121">
        <f>[2]PRE!H93</f>
        <v>1398182.98</v>
      </c>
      <c r="G123" s="54" t="e">
        <f>[1]Sheet1!L91</f>
        <v>#REF!</v>
      </c>
      <c r="H123" s="53" t="e">
        <f>[1]Sheet1!N91</f>
        <v>#REF!</v>
      </c>
      <c r="K123" s="121">
        <v>135890.21</v>
      </c>
      <c r="L123" s="121">
        <v>758839.14999999991</v>
      </c>
    </row>
    <row r="124" spans="1:12" s="23" customFormat="1" ht="15.75" customHeight="1">
      <c r="A124" s="29"/>
      <c r="B124" s="29"/>
      <c r="C124" s="43" t="s">
        <v>429</v>
      </c>
      <c r="D124" s="28"/>
      <c r="E124" s="33" t="e">
        <f t="shared" si="4"/>
        <v>#REF!</v>
      </c>
      <c r="F124" s="121">
        <f>+F125-F126</f>
        <v>0</v>
      </c>
      <c r="G124" s="32" t="e">
        <f>+G125-G126</f>
        <v>#REF!</v>
      </c>
      <c r="H124" s="31" t="e">
        <f>+H125-H126</f>
        <v>#REF!</v>
      </c>
      <c r="K124" s="121">
        <v>0</v>
      </c>
      <c r="L124" s="121">
        <v>0</v>
      </c>
    </row>
    <row r="125" spans="1:12" s="23" customFormat="1" ht="15.75" customHeight="1">
      <c r="A125" s="29"/>
      <c r="B125" s="29"/>
      <c r="C125" s="29"/>
      <c r="D125" s="34" t="s">
        <v>430</v>
      </c>
      <c r="E125" s="33" t="e">
        <f t="shared" si="4"/>
        <v>#REF!</v>
      </c>
      <c r="F125" s="121">
        <f>[2]PRE!E94</f>
        <v>0</v>
      </c>
      <c r="G125" s="32" t="e">
        <f>[1]Sheet1!K92</f>
        <v>#REF!</v>
      </c>
      <c r="H125" s="31" t="e">
        <f>[1]Sheet1!M92</f>
        <v>#REF!</v>
      </c>
      <c r="K125" s="121">
        <v>0</v>
      </c>
      <c r="L125" s="121">
        <v>0</v>
      </c>
    </row>
    <row r="126" spans="1:12" s="23" customFormat="1" ht="15.75" customHeight="1">
      <c r="A126" s="29"/>
      <c r="B126" s="29"/>
      <c r="C126" s="29"/>
      <c r="D126" s="34" t="s">
        <v>431</v>
      </c>
      <c r="E126" s="33" t="e">
        <f t="shared" si="4"/>
        <v>#REF!</v>
      </c>
      <c r="F126" s="121">
        <f>[2]PRE!H95</f>
        <v>0</v>
      </c>
      <c r="G126" s="54" t="e">
        <f>[1]Sheet1!L93</f>
        <v>#REF!</v>
      </c>
      <c r="H126" s="53" t="e">
        <f>[1]Sheet1!N93</f>
        <v>#REF!</v>
      </c>
      <c r="K126" s="121">
        <v>0</v>
      </c>
      <c r="L126" s="121">
        <v>0</v>
      </c>
    </row>
    <row r="127" spans="1:12" s="23" customFormat="1" ht="15.75" customHeight="1">
      <c r="A127" s="29"/>
      <c r="B127" s="29"/>
      <c r="C127" s="43" t="s">
        <v>432</v>
      </c>
      <c r="D127" s="28"/>
      <c r="E127" s="33" t="e">
        <f t="shared" si="4"/>
        <v>#REF!</v>
      </c>
      <c r="F127" s="121">
        <f>+F128-F129</f>
        <v>2736109.1300000004</v>
      </c>
      <c r="G127" s="32" t="e">
        <f>+G128-G129</f>
        <v>#REF!</v>
      </c>
      <c r="H127" s="31" t="e">
        <f>+H128-H129</f>
        <v>#REF!</v>
      </c>
      <c r="K127" s="121">
        <v>422618.02</v>
      </c>
      <c r="L127" s="121">
        <v>2838308.9200000004</v>
      </c>
    </row>
    <row r="128" spans="1:12" s="23" customFormat="1" ht="15.75" customHeight="1">
      <c r="A128" s="29"/>
      <c r="B128" s="29"/>
      <c r="C128" s="29"/>
      <c r="D128" s="34" t="s">
        <v>433</v>
      </c>
      <c r="E128" s="33" t="e">
        <f t="shared" si="4"/>
        <v>#REF!</v>
      </c>
      <c r="F128" s="121">
        <f>[2]PRE!E96</f>
        <v>3003878.6900000004</v>
      </c>
      <c r="G128" s="32" t="e">
        <f>[1]Sheet1!K94</f>
        <v>#REF!</v>
      </c>
      <c r="H128" s="31" t="e">
        <f>[1]Sheet1!M94</f>
        <v>#REF!</v>
      </c>
      <c r="K128" s="121">
        <v>488902.45</v>
      </c>
      <c r="L128" s="121">
        <v>3003878.6900000004</v>
      </c>
    </row>
    <row r="129" spans="1:12" s="23" customFormat="1" ht="15.75" customHeight="1">
      <c r="A129" s="29"/>
      <c r="B129" s="29"/>
      <c r="C129" s="29"/>
      <c r="D129" s="34" t="s">
        <v>434</v>
      </c>
      <c r="E129" s="33" t="e">
        <f t="shared" si="4"/>
        <v>#REF!</v>
      </c>
      <c r="F129" s="121">
        <f>[2]PRE!H97</f>
        <v>267769.56</v>
      </c>
      <c r="G129" s="54" t="e">
        <f>[1]Sheet1!L95</f>
        <v>#REF!</v>
      </c>
      <c r="H129" s="53" t="e">
        <f>[1]Sheet1!N95</f>
        <v>#REF!</v>
      </c>
      <c r="K129" s="121">
        <v>66284.429999999993</v>
      </c>
      <c r="L129" s="121">
        <v>165569.76999999999</v>
      </c>
    </row>
    <row r="130" spans="1:12" s="62" customFormat="1" ht="15.75" customHeight="1">
      <c r="A130" s="30"/>
      <c r="B130" s="30" t="s">
        <v>435</v>
      </c>
      <c r="C130" s="30"/>
      <c r="D130" s="63"/>
      <c r="E130" s="116" t="e">
        <f>+E131+E134+E137</f>
        <v>#REF!</v>
      </c>
      <c r="F130" s="117">
        <f>+F131+F134+F137</f>
        <v>0</v>
      </c>
      <c r="G130" s="124" t="e">
        <f>+G131+G134+G137</f>
        <v>#REF!</v>
      </c>
      <c r="H130" s="125" t="e">
        <f>+H131+H134+H137</f>
        <v>#REF!</v>
      </c>
      <c r="K130" s="117">
        <v>0</v>
      </c>
      <c r="L130" s="117">
        <v>0</v>
      </c>
    </row>
    <row r="131" spans="1:12" s="23" customFormat="1" ht="15.75" customHeight="1">
      <c r="A131" s="29"/>
      <c r="B131" s="29"/>
      <c r="C131" s="43" t="s">
        <v>436</v>
      </c>
      <c r="D131" s="28"/>
      <c r="E131" s="33" t="e">
        <f t="shared" ref="E131:E139" si="5">SUM(F131:H131)</f>
        <v>#REF!</v>
      </c>
      <c r="F131" s="121">
        <f>+F132-F133</f>
        <v>0</v>
      </c>
      <c r="G131" s="32" t="e">
        <f>+G132-G133</f>
        <v>#REF!</v>
      </c>
      <c r="H131" s="31" t="e">
        <f>+H132-H133</f>
        <v>#REF!</v>
      </c>
      <c r="K131" s="121">
        <v>0</v>
      </c>
      <c r="L131" s="121">
        <v>0</v>
      </c>
    </row>
    <row r="132" spans="1:12" s="23" customFormat="1" ht="15.75" customHeight="1">
      <c r="A132" s="29"/>
      <c r="B132" s="29"/>
      <c r="C132" s="29"/>
      <c r="D132" s="34" t="s">
        <v>437</v>
      </c>
      <c r="E132" s="33" t="e">
        <f t="shared" si="5"/>
        <v>#REF!</v>
      </c>
      <c r="F132" s="121">
        <f>[2]PRE!E98</f>
        <v>0</v>
      </c>
      <c r="G132" s="32" t="e">
        <f>[1]Sheet1!K96</f>
        <v>#REF!</v>
      </c>
      <c r="H132" s="31" t="e">
        <f>[1]Sheet1!M96</f>
        <v>#REF!</v>
      </c>
      <c r="K132" s="121">
        <v>0</v>
      </c>
      <c r="L132" s="121">
        <v>0</v>
      </c>
    </row>
    <row r="133" spans="1:12" s="23" customFormat="1" ht="15.75" customHeight="1">
      <c r="A133" s="29"/>
      <c r="B133" s="29"/>
      <c r="C133" s="29"/>
      <c r="D133" s="34" t="s">
        <v>438</v>
      </c>
      <c r="E133" s="33" t="e">
        <f t="shared" si="5"/>
        <v>#REF!</v>
      </c>
      <c r="F133" s="121">
        <f>[2]PRE!H99</f>
        <v>0</v>
      </c>
      <c r="G133" s="54" t="e">
        <f>[1]Sheet1!L97</f>
        <v>#REF!</v>
      </c>
      <c r="H133" s="53" t="e">
        <f>[1]Sheet1!N97</f>
        <v>#REF!</v>
      </c>
      <c r="K133" s="121">
        <v>0</v>
      </c>
      <c r="L133" s="121">
        <v>0</v>
      </c>
    </row>
    <row r="134" spans="1:12" s="23" customFormat="1" ht="15.75" customHeight="1">
      <c r="A134" s="29"/>
      <c r="B134" s="29"/>
      <c r="C134" s="43" t="s">
        <v>439</v>
      </c>
      <c r="D134" s="28"/>
      <c r="E134" s="33" t="e">
        <f t="shared" si="5"/>
        <v>#REF!</v>
      </c>
      <c r="F134" s="121">
        <f>+F135-F136</f>
        <v>0</v>
      </c>
      <c r="G134" s="32" t="e">
        <f>+G135-G136</f>
        <v>#REF!</v>
      </c>
      <c r="H134" s="31" t="e">
        <f>+H135-H136</f>
        <v>#REF!</v>
      </c>
      <c r="K134" s="121">
        <v>0</v>
      </c>
      <c r="L134" s="121">
        <v>0</v>
      </c>
    </row>
    <row r="135" spans="1:12" s="23" customFormat="1" ht="15.75" customHeight="1">
      <c r="A135" s="29"/>
      <c r="B135" s="29"/>
      <c r="C135" s="29"/>
      <c r="D135" s="34" t="s">
        <v>440</v>
      </c>
      <c r="E135" s="33" t="e">
        <f t="shared" si="5"/>
        <v>#REF!</v>
      </c>
      <c r="F135" s="121">
        <f>[2]PRE!E100</f>
        <v>0</v>
      </c>
      <c r="G135" s="32" t="e">
        <f>[1]Sheet1!K98</f>
        <v>#REF!</v>
      </c>
      <c r="H135" s="31" t="e">
        <f>[1]Sheet1!M98</f>
        <v>#REF!</v>
      </c>
      <c r="K135" s="121">
        <v>0</v>
      </c>
      <c r="L135" s="121">
        <v>0</v>
      </c>
    </row>
    <row r="136" spans="1:12" s="23" customFormat="1" ht="15.75" customHeight="1">
      <c r="A136" s="29"/>
      <c r="B136" s="29"/>
      <c r="C136" s="29"/>
      <c r="D136" s="34" t="s">
        <v>441</v>
      </c>
      <c r="E136" s="33" t="e">
        <f t="shared" si="5"/>
        <v>#REF!</v>
      </c>
      <c r="F136" s="121">
        <f>[2]PRE!H101</f>
        <v>0</v>
      </c>
      <c r="G136" s="54" t="e">
        <f>[1]Sheet1!L99</f>
        <v>#REF!</v>
      </c>
      <c r="H136" s="53" t="e">
        <f>[1]Sheet1!N99</f>
        <v>#REF!</v>
      </c>
      <c r="K136" s="121">
        <v>0</v>
      </c>
      <c r="L136" s="121">
        <v>0</v>
      </c>
    </row>
    <row r="137" spans="1:12" s="23" customFormat="1" ht="15.75" customHeight="1">
      <c r="A137" s="29"/>
      <c r="B137" s="29"/>
      <c r="C137" s="43" t="s">
        <v>442</v>
      </c>
      <c r="D137" s="28"/>
      <c r="E137" s="33" t="e">
        <f t="shared" si="5"/>
        <v>#REF!</v>
      </c>
      <c r="F137" s="121">
        <f>+F138-F139</f>
        <v>0</v>
      </c>
      <c r="G137" s="32" t="e">
        <f>+G138-G139</f>
        <v>#REF!</v>
      </c>
      <c r="H137" s="31" t="e">
        <f>+H138-H139</f>
        <v>#REF!</v>
      </c>
      <c r="K137" s="121">
        <v>0</v>
      </c>
      <c r="L137" s="121">
        <v>0</v>
      </c>
    </row>
    <row r="138" spans="1:12" s="23" customFormat="1" ht="15.75" customHeight="1">
      <c r="A138" s="29"/>
      <c r="B138" s="29"/>
      <c r="C138" s="29"/>
      <c r="D138" s="34" t="s">
        <v>443</v>
      </c>
      <c r="E138" s="33" t="e">
        <f t="shared" si="5"/>
        <v>#REF!</v>
      </c>
      <c r="F138" s="121">
        <f>[2]PRE!E102</f>
        <v>0</v>
      </c>
      <c r="G138" s="32" t="e">
        <f>[1]Sheet1!K100</f>
        <v>#REF!</v>
      </c>
      <c r="H138" s="31" t="e">
        <f>[1]Sheet1!M100</f>
        <v>#REF!</v>
      </c>
      <c r="K138" s="121">
        <v>0</v>
      </c>
      <c r="L138" s="121">
        <v>0</v>
      </c>
    </row>
    <row r="139" spans="1:12" s="23" customFormat="1" ht="15.75" customHeight="1">
      <c r="A139" s="29"/>
      <c r="B139" s="29"/>
      <c r="C139" s="29"/>
      <c r="D139" s="34" t="s">
        <v>444</v>
      </c>
      <c r="E139" s="33" t="e">
        <f t="shared" si="5"/>
        <v>#REF!</v>
      </c>
      <c r="F139" s="121">
        <f>[2]PRE!H103</f>
        <v>0</v>
      </c>
      <c r="G139" s="54" t="e">
        <f>[1]Sheet1!L101</f>
        <v>#REF!</v>
      </c>
      <c r="H139" s="53" t="e">
        <f>[1]Sheet1!N101</f>
        <v>#REF!</v>
      </c>
      <c r="K139" s="121">
        <v>0</v>
      </c>
      <c r="L139" s="121">
        <v>0</v>
      </c>
    </row>
    <row r="140" spans="1:12" s="62" customFormat="1" ht="15.75" customHeight="1">
      <c r="A140" s="30"/>
      <c r="B140" s="30" t="s">
        <v>445</v>
      </c>
      <c r="C140" s="30"/>
      <c r="D140" s="63"/>
      <c r="E140" s="116" t="e">
        <f>+E141+E144+E147+E150</f>
        <v>#REF!</v>
      </c>
      <c r="F140" s="117">
        <f>+F141+F144+F147+F150</f>
        <v>83904569.079999968</v>
      </c>
      <c r="G140" s="124" t="e">
        <f>+G141+G144+G147+G150</f>
        <v>#REF!</v>
      </c>
      <c r="H140" s="125" t="e">
        <f>+H141+H144+H147+H150</f>
        <v>#REF!</v>
      </c>
      <c r="K140" s="120">
        <f>+K141+K144+K147+K150</f>
        <v>78466048.039999992</v>
      </c>
      <c r="L140" s="117">
        <v>86600505.640000001</v>
      </c>
    </row>
    <row r="141" spans="1:12" s="23" customFormat="1" ht="15.75" customHeight="1">
      <c r="A141" s="29"/>
      <c r="B141" s="29"/>
      <c r="C141" s="43" t="s">
        <v>446</v>
      </c>
      <c r="D141" s="28"/>
      <c r="E141" s="33" t="e">
        <f t="shared" ref="E141:E152" si="6">SUM(F141:H141)</f>
        <v>#REF!</v>
      </c>
      <c r="F141" s="121">
        <f>+F142-F143</f>
        <v>58859919.409999967</v>
      </c>
      <c r="G141" s="32" t="e">
        <f>+G142-G143</f>
        <v>#REF!</v>
      </c>
      <c r="H141" s="31" t="e">
        <f>+H142-H143</f>
        <v>#REF!</v>
      </c>
      <c r="K141" s="121">
        <v>60581009.589999996</v>
      </c>
      <c r="L141" s="121">
        <v>62790150.919999987</v>
      </c>
    </row>
    <row r="142" spans="1:12" s="23" customFormat="1" ht="15.75" customHeight="1">
      <c r="A142" s="29"/>
      <c r="B142" s="29"/>
      <c r="C142" s="29"/>
      <c r="D142" s="34" t="s">
        <v>447</v>
      </c>
      <c r="E142" s="33" t="e">
        <f t="shared" si="6"/>
        <v>#REF!</v>
      </c>
      <c r="F142" s="121">
        <f>[2]PRE!E104</f>
        <v>134252338.80999997</v>
      </c>
      <c r="G142" s="32" t="e">
        <f>[1]Sheet1!K102</f>
        <v>#REF!</v>
      </c>
      <c r="H142" s="31" t="e">
        <f>[1]Sheet1!M102</f>
        <v>#REF!</v>
      </c>
      <c r="K142" s="121">
        <v>124806248.95999999</v>
      </c>
      <c r="L142" s="121">
        <v>132958640.30999999</v>
      </c>
    </row>
    <row r="143" spans="1:12" s="23" customFormat="1" ht="15.75" customHeight="1">
      <c r="A143" s="29"/>
      <c r="B143" s="29"/>
      <c r="C143" s="29"/>
      <c r="D143" s="34" t="s">
        <v>448</v>
      </c>
      <c r="E143" s="33" t="e">
        <f t="shared" si="6"/>
        <v>#REF!</v>
      </c>
      <c r="F143" s="121">
        <f>[2]PRE!H105</f>
        <v>75392419.400000006</v>
      </c>
      <c r="G143" s="54" t="e">
        <f>[1]Sheet1!L103</f>
        <v>#REF!</v>
      </c>
      <c r="H143" s="53" t="e">
        <f>[1]Sheet1!N103</f>
        <v>#REF!</v>
      </c>
      <c r="K143" s="121">
        <v>64225239.369999997</v>
      </c>
      <c r="L143" s="121">
        <v>70168489.390000001</v>
      </c>
    </row>
    <row r="144" spans="1:12" s="23" customFormat="1" ht="15.75" customHeight="1">
      <c r="A144" s="29"/>
      <c r="B144" s="29"/>
      <c r="C144" s="43" t="s">
        <v>449</v>
      </c>
      <c r="D144" s="28"/>
      <c r="E144" s="33" t="e">
        <f t="shared" si="6"/>
        <v>#REF!</v>
      </c>
      <c r="F144" s="121">
        <f>+F145-F146</f>
        <v>10953476.119999997</v>
      </c>
      <c r="G144" s="32" t="e">
        <f>+G145-G146</f>
        <v>#REF!</v>
      </c>
      <c r="H144" s="31" t="e">
        <f>+H145-H146</f>
        <v>#REF!</v>
      </c>
      <c r="K144" s="121">
        <v>12184453.859999998</v>
      </c>
      <c r="L144" s="121">
        <v>11286785.059999999</v>
      </c>
    </row>
    <row r="145" spans="1:12" s="23" customFormat="1" ht="15.75" customHeight="1">
      <c r="A145" s="29"/>
      <c r="B145" s="29"/>
      <c r="C145" s="29"/>
      <c r="D145" s="34" t="s">
        <v>450</v>
      </c>
      <c r="E145" s="33" t="e">
        <f t="shared" si="6"/>
        <v>#REF!</v>
      </c>
      <c r="F145" s="121">
        <f>[2]PRE!E106</f>
        <v>19450650.599999998</v>
      </c>
      <c r="G145" s="32" t="e">
        <f>[1]Sheet1!K104</f>
        <v>#REF!</v>
      </c>
      <c r="H145" s="31" t="e">
        <f>[1]Sheet1!M104</f>
        <v>#REF!</v>
      </c>
      <c r="K145" s="121">
        <v>17833090.599999998</v>
      </c>
      <c r="L145" s="121">
        <v>18432150.599999998</v>
      </c>
    </row>
    <row r="146" spans="1:12" s="23" customFormat="1" ht="15.75" customHeight="1">
      <c r="A146" s="29"/>
      <c r="B146" s="29"/>
      <c r="C146" s="29"/>
      <c r="D146" s="34" t="s">
        <v>451</v>
      </c>
      <c r="E146" s="33" t="e">
        <f t="shared" si="6"/>
        <v>#REF!</v>
      </c>
      <c r="F146" s="121">
        <f>[2]PRE!H107</f>
        <v>8497174.4800000004</v>
      </c>
      <c r="G146" s="54" t="e">
        <f>[1]Sheet1!L105</f>
        <v>#REF!</v>
      </c>
      <c r="H146" s="53" t="e">
        <f>[1]Sheet1!N105</f>
        <v>#REF!</v>
      </c>
      <c r="K146" s="121">
        <v>5648636.7400000002</v>
      </c>
      <c r="L146" s="121">
        <v>7145365.54</v>
      </c>
    </row>
    <row r="147" spans="1:12" s="23" customFormat="1" ht="15.75" customHeight="1">
      <c r="A147" s="29"/>
      <c r="B147" s="29"/>
      <c r="C147" s="43" t="s">
        <v>452</v>
      </c>
      <c r="D147" s="28"/>
      <c r="E147" s="33" t="e">
        <f t="shared" si="6"/>
        <v>#REF!</v>
      </c>
      <c r="F147" s="121">
        <f>+F148-F149</f>
        <v>13696173.390000004</v>
      </c>
      <c r="G147" s="32" t="e">
        <f>+G148-G149</f>
        <v>#REF!</v>
      </c>
      <c r="H147" s="31" t="e">
        <f>+H148-H149</f>
        <v>#REF!</v>
      </c>
      <c r="K147" s="121">
        <v>5120166.3400000008</v>
      </c>
      <c r="L147" s="121">
        <v>12040876.020000003</v>
      </c>
    </row>
    <row r="148" spans="1:12" s="23" customFormat="1" ht="15.75" customHeight="1">
      <c r="A148" s="29"/>
      <c r="B148" s="29"/>
      <c r="C148" s="29"/>
      <c r="D148" s="34" t="s">
        <v>453</v>
      </c>
      <c r="E148" s="33" t="e">
        <f t="shared" si="6"/>
        <v>#REF!</v>
      </c>
      <c r="F148" s="121">
        <f>[2]PRE!E108</f>
        <v>24871029.680000003</v>
      </c>
      <c r="G148" s="32" t="e">
        <f>[1]Sheet1!K106</f>
        <v>#REF!</v>
      </c>
      <c r="H148" s="31" t="e">
        <f>[1]Sheet1!M106</f>
        <v>#REF!</v>
      </c>
      <c r="K148" s="121">
        <v>5442212.4000000004</v>
      </c>
      <c r="L148" s="121">
        <v>18519326.520000003</v>
      </c>
    </row>
    <row r="149" spans="1:12" s="23" customFormat="1" ht="15.75" customHeight="1">
      <c r="A149" s="29"/>
      <c r="B149" s="29"/>
      <c r="C149" s="29"/>
      <c r="D149" s="34" t="s">
        <v>454</v>
      </c>
      <c r="E149" s="33" t="e">
        <f t="shared" si="6"/>
        <v>#REF!</v>
      </c>
      <c r="F149" s="121">
        <f>[2]PRE!H109</f>
        <v>11174856.289999999</v>
      </c>
      <c r="G149" s="54" t="e">
        <f>[1]Sheet1!L107</f>
        <v>#REF!</v>
      </c>
      <c r="H149" s="53" t="e">
        <f>[1]Sheet1!N107</f>
        <v>#REF!</v>
      </c>
      <c r="K149" s="121">
        <v>322046.06</v>
      </c>
      <c r="L149" s="121">
        <v>6478450.5</v>
      </c>
    </row>
    <row r="150" spans="1:12" s="23" customFormat="1" ht="15.75" customHeight="1">
      <c r="A150" s="29"/>
      <c r="B150" s="29"/>
      <c r="C150" s="43" t="s">
        <v>455</v>
      </c>
      <c r="D150" s="28"/>
      <c r="E150" s="33" t="e">
        <f t="shared" si="6"/>
        <v>#REF!</v>
      </c>
      <c r="F150" s="121">
        <f>+F151-F152</f>
        <v>395000.16000000003</v>
      </c>
      <c r="G150" s="32" t="e">
        <f>+G151-G152</f>
        <v>#REF!</v>
      </c>
      <c r="H150" s="31" t="e">
        <f>+H151-H152</f>
        <v>#REF!</v>
      </c>
      <c r="K150" s="121">
        <v>580418.25</v>
      </c>
      <c r="L150" s="121">
        <v>482693.64</v>
      </c>
    </row>
    <row r="151" spans="1:12" s="23" customFormat="1" ht="15.75" customHeight="1">
      <c r="A151" s="29"/>
      <c r="B151" s="29"/>
      <c r="C151" s="29"/>
      <c r="D151" s="34" t="s">
        <v>456</v>
      </c>
      <c r="E151" s="33" t="e">
        <f t="shared" si="6"/>
        <v>#REF!</v>
      </c>
      <c r="F151" s="121">
        <f>[2]PRE!E110</f>
        <v>732006.51</v>
      </c>
      <c r="G151" s="32" t="e">
        <f>[1]Sheet1!K108</f>
        <v>#REF!</v>
      </c>
      <c r="H151" s="31" t="e">
        <f>[1]Sheet1!M108</f>
        <v>#REF!</v>
      </c>
      <c r="K151" s="121">
        <v>732006.51</v>
      </c>
      <c r="L151" s="121">
        <v>732006.51</v>
      </c>
    </row>
    <row r="152" spans="1:12" s="23" customFormat="1" ht="15.75" customHeight="1">
      <c r="A152" s="29"/>
      <c r="B152" s="29"/>
      <c r="C152" s="29"/>
      <c r="D152" s="34" t="s">
        <v>457</v>
      </c>
      <c r="E152" s="33" t="e">
        <f t="shared" si="6"/>
        <v>#REF!</v>
      </c>
      <c r="F152" s="121">
        <f>[2]PRE!H111</f>
        <v>337006.35</v>
      </c>
      <c r="G152" s="54" t="e">
        <f>[1]Sheet1!L109</f>
        <v>#REF!</v>
      </c>
      <c r="H152" s="53" t="e">
        <f>[1]Sheet1!N109</f>
        <v>#REF!</v>
      </c>
      <c r="K152" s="121">
        <v>151588.26</v>
      </c>
      <c r="L152" s="121">
        <v>249312.87</v>
      </c>
    </row>
    <row r="153" spans="1:12" s="62" customFormat="1" ht="15.75" customHeight="1">
      <c r="A153" s="30"/>
      <c r="B153" s="30" t="s">
        <v>458</v>
      </c>
      <c r="C153" s="30"/>
      <c r="D153" s="63"/>
      <c r="E153" s="66" t="e">
        <f>+E154+E157+E160+E163+E166+E169+E172+E175+E178+E181+E184+E187</f>
        <v>#REF!</v>
      </c>
      <c r="F153" s="120">
        <f>+F154+F157+F160+F163+F166+F169+F172+F175+F178+F181+F184+F187</f>
        <v>212063001.38</v>
      </c>
      <c r="G153" s="65" t="e">
        <f>+G154+G157+G160+G163+G166+G169+G172+G175+G178+G181+G184+G187</f>
        <v>#REF!</v>
      </c>
      <c r="H153" s="64" t="e">
        <f>+H154+H157+H160+H163+H166+H169+H172+H175+H178+H181+H184+H187</f>
        <v>#REF!</v>
      </c>
      <c r="K153" s="120">
        <f>+K154+K157+K160+K163+K166+K169+K172+K175+K178+K181+K184+K187</f>
        <v>213012798.56999996</v>
      </c>
      <c r="L153" s="120">
        <v>223764728.30000001</v>
      </c>
    </row>
    <row r="154" spans="1:12" s="23" customFormat="1" ht="15.75" customHeight="1">
      <c r="A154" s="29"/>
      <c r="B154" s="29"/>
      <c r="C154" s="43" t="s">
        <v>459</v>
      </c>
      <c r="D154" s="28"/>
      <c r="E154" s="33" t="e">
        <f t="shared" ref="E154:E189" si="7">SUM(F154:H154)</f>
        <v>#REF!</v>
      </c>
      <c r="F154" s="121">
        <f>+F155-F156</f>
        <v>32098834.149999991</v>
      </c>
      <c r="G154" s="32" t="e">
        <f>+G155-G156</f>
        <v>#REF!</v>
      </c>
      <c r="H154" s="31" t="e">
        <f>+H155-H156</f>
        <v>#REF!</v>
      </c>
      <c r="K154" s="121">
        <v>115381258.61999999</v>
      </c>
      <c r="L154" s="121">
        <v>108414062.91</v>
      </c>
    </row>
    <row r="155" spans="1:12" s="23" customFormat="1" ht="15.75" customHeight="1">
      <c r="A155" s="29"/>
      <c r="B155" s="29"/>
      <c r="C155" s="29"/>
      <c r="D155" s="34" t="s">
        <v>460</v>
      </c>
      <c r="E155" s="33" t="e">
        <f t="shared" si="7"/>
        <v>#REF!</v>
      </c>
      <c r="F155" s="121">
        <f>[2]PRE!E112</f>
        <v>56695396.039999992</v>
      </c>
      <c r="G155" s="32" t="e">
        <f>[1]Sheet1!K110</f>
        <v>#REF!</v>
      </c>
      <c r="H155" s="31" t="e">
        <f>[1]Sheet1!M110</f>
        <v>#REF!</v>
      </c>
      <c r="K155" s="121">
        <v>124335396.03999999</v>
      </c>
      <c r="L155" s="121">
        <v>124335396.03999999</v>
      </c>
    </row>
    <row r="156" spans="1:12" s="23" customFormat="1" ht="15.75" customHeight="1">
      <c r="A156" s="29"/>
      <c r="B156" s="29"/>
      <c r="C156" s="29"/>
      <c r="D156" s="34" t="s">
        <v>461</v>
      </c>
      <c r="E156" s="33" t="e">
        <f t="shared" si="7"/>
        <v>#REF!</v>
      </c>
      <c r="F156" s="121">
        <f>[2]PRE!H113</f>
        <v>24596561.890000001</v>
      </c>
      <c r="G156" s="54" t="e">
        <f>[1]Sheet1!L111</f>
        <v>#REF!</v>
      </c>
      <c r="H156" s="53" t="e">
        <f>[1]Sheet1!N111</f>
        <v>#REF!</v>
      </c>
      <c r="K156" s="121">
        <v>8954137.4199999999</v>
      </c>
      <c r="L156" s="121">
        <v>15921333.129999999</v>
      </c>
    </row>
    <row r="157" spans="1:12" s="23" customFormat="1" ht="15.75" customHeight="1">
      <c r="A157" s="29"/>
      <c r="B157" s="29"/>
      <c r="C157" s="43" t="s">
        <v>462</v>
      </c>
      <c r="D157" s="28"/>
      <c r="E157" s="33" t="e">
        <f t="shared" si="7"/>
        <v>#REF!</v>
      </c>
      <c r="F157" s="121">
        <f>+F158-F159</f>
        <v>9646846.4600000009</v>
      </c>
      <c r="G157" s="32" t="e">
        <f>+G158-G159</f>
        <v>#REF!</v>
      </c>
      <c r="H157" s="31" t="e">
        <f>+H158-H159</f>
        <v>#REF!</v>
      </c>
      <c r="K157" s="121">
        <v>9670021.3000000007</v>
      </c>
      <c r="L157" s="121">
        <v>10288291.9</v>
      </c>
    </row>
    <row r="158" spans="1:12" s="23" customFormat="1" ht="15.75" customHeight="1">
      <c r="A158" s="29"/>
      <c r="B158" s="29"/>
      <c r="C158" s="29"/>
      <c r="D158" s="34" t="s">
        <v>463</v>
      </c>
      <c r="E158" s="33" t="e">
        <f t="shared" si="7"/>
        <v>#REF!</v>
      </c>
      <c r="F158" s="121">
        <f>[2]PRE!E114</f>
        <v>14898265</v>
      </c>
      <c r="G158" s="32" t="e">
        <f>[1]Sheet1!K112</f>
        <v>#REF!</v>
      </c>
      <c r="H158" s="31" t="e">
        <f>[1]Sheet1!M112</f>
        <v>#REF!</v>
      </c>
      <c r="K158" s="121">
        <v>11999265</v>
      </c>
      <c r="L158" s="121">
        <v>13898265</v>
      </c>
    </row>
    <row r="159" spans="1:12" s="23" customFormat="1" ht="15.75" customHeight="1">
      <c r="A159" s="29"/>
      <c r="B159" s="29"/>
      <c r="C159" s="29"/>
      <c r="D159" s="34" t="s">
        <v>464</v>
      </c>
      <c r="E159" s="33" t="e">
        <f t="shared" si="7"/>
        <v>#REF!</v>
      </c>
      <c r="F159" s="121">
        <f>[2]PRE!H115</f>
        <v>5251418.54</v>
      </c>
      <c r="G159" s="54" t="e">
        <f>[1]Sheet1!L113</f>
        <v>#REF!</v>
      </c>
      <c r="H159" s="53" t="e">
        <f>[1]Sheet1!N113</f>
        <v>#REF!</v>
      </c>
      <c r="K159" s="121">
        <v>2329243.7000000002</v>
      </c>
      <c r="L159" s="121">
        <v>3609973.1</v>
      </c>
    </row>
    <row r="160" spans="1:12" s="23" customFormat="1" ht="15.75" customHeight="1">
      <c r="A160" s="29"/>
      <c r="B160" s="29"/>
      <c r="C160" s="43" t="s">
        <v>465</v>
      </c>
      <c r="D160" s="28"/>
      <c r="E160" s="33" t="e">
        <f t="shared" si="7"/>
        <v>#REF!</v>
      </c>
      <c r="F160" s="121">
        <f>+F161-F162</f>
        <v>0</v>
      </c>
      <c r="G160" s="32" t="e">
        <f>+G161-G162</f>
        <v>#REF!</v>
      </c>
      <c r="H160" s="31" t="e">
        <f>+H161-H162</f>
        <v>#REF!</v>
      </c>
      <c r="K160" s="121">
        <v>0</v>
      </c>
      <c r="L160" s="121">
        <v>0</v>
      </c>
    </row>
    <row r="161" spans="1:12" s="23" customFormat="1" ht="15.75" customHeight="1">
      <c r="A161" s="29"/>
      <c r="B161" s="29"/>
      <c r="C161" s="29"/>
      <c r="D161" s="34" t="s">
        <v>466</v>
      </c>
      <c r="E161" s="33" t="e">
        <f t="shared" si="7"/>
        <v>#REF!</v>
      </c>
      <c r="F161" s="121">
        <f>[2]PRE!E116</f>
        <v>0</v>
      </c>
      <c r="G161" s="32" t="e">
        <f>[1]Sheet1!K114</f>
        <v>#REF!</v>
      </c>
      <c r="H161" s="31" t="e">
        <f>[1]Sheet1!M114</f>
        <v>#REF!</v>
      </c>
      <c r="K161" s="121">
        <v>0</v>
      </c>
      <c r="L161" s="121">
        <v>0</v>
      </c>
    </row>
    <row r="162" spans="1:12" s="23" customFormat="1" ht="15.75" customHeight="1">
      <c r="A162" s="29"/>
      <c r="B162" s="29"/>
      <c r="C162" s="29"/>
      <c r="D162" s="34" t="s">
        <v>467</v>
      </c>
      <c r="E162" s="33" t="e">
        <f t="shared" si="7"/>
        <v>#REF!</v>
      </c>
      <c r="F162" s="121">
        <f>[2]PRE!H117</f>
        <v>0</v>
      </c>
      <c r="G162" s="54" t="e">
        <f>[1]Sheet1!L115</f>
        <v>#REF!</v>
      </c>
      <c r="H162" s="53" t="e">
        <f>[1]Sheet1!N115</f>
        <v>#REF!</v>
      </c>
      <c r="K162" s="121">
        <v>0</v>
      </c>
      <c r="L162" s="121">
        <v>0</v>
      </c>
    </row>
    <row r="163" spans="1:12" s="23" customFormat="1" ht="15.75" customHeight="1">
      <c r="A163" s="29"/>
      <c r="B163" s="29"/>
      <c r="C163" s="43" t="s">
        <v>468</v>
      </c>
      <c r="D163" s="28"/>
      <c r="E163" s="33" t="e">
        <f t="shared" si="7"/>
        <v>#REF!</v>
      </c>
      <c r="F163" s="121">
        <f>+F164-F165</f>
        <v>23702309.879999995</v>
      </c>
      <c r="G163" s="32" t="e">
        <f>+G164-G165</f>
        <v>#REF!</v>
      </c>
      <c r="H163" s="31" t="e">
        <f>+H164-H165</f>
        <v>#REF!</v>
      </c>
      <c r="K163" s="121">
        <v>15802798.599999998</v>
      </c>
      <c r="L163" s="121">
        <v>22615271.619999997</v>
      </c>
    </row>
    <row r="164" spans="1:12" s="23" customFormat="1" ht="15.75" customHeight="1">
      <c r="A164" s="29"/>
      <c r="B164" s="29"/>
      <c r="C164" s="29"/>
      <c r="D164" s="34" t="s">
        <v>469</v>
      </c>
      <c r="E164" s="33" t="e">
        <f t="shared" si="7"/>
        <v>#REF!</v>
      </c>
      <c r="F164" s="121">
        <f>[2]PRE!E118</f>
        <v>27040002.799999997</v>
      </c>
      <c r="G164" s="32" t="e">
        <f>[1]Sheet1!K116</f>
        <v>#REF!</v>
      </c>
      <c r="H164" s="31" t="e">
        <f>[1]Sheet1!M116</f>
        <v>#REF!</v>
      </c>
      <c r="K164" s="121">
        <v>17662693.079999998</v>
      </c>
      <c r="L164" s="121">
        <v>25181184.799999997</v>
      </c>
    </row>
    <row r="165" spans="1:12" s="23" customFormat="1" ht="15.75" customHeight="1">
      <c r="A165" s="29"/>
      <c r="B165" s="29"/>
      <c r="C165" s="29"/>
      <c r="D165" s="34" t="s">
        <v>470</v>
      </c>
      <c r="E165" s="33" t="e">
        <f t="shared" si="7"/>
        <v>#REF!</v>
      </c>
      <c r="F165" s="121">
        <f>[2]PRE!H119</f>
        <v>3337692.92</v>
      </c>
      <c r="G165" s="54" t="e">
        <f>[1]Sheet1!L117</f>
        <v>#REF!</v>
      </c>
      <c r="H165" s="53" t="e">
        <f>[1]Sheet1!N117</f>
        <v>#REF!</v>
      </c>
      <c r="K165" s="121">
        <v>1859894.48</v>
      </c>
      <c r="L165" s="121">
        <v>2565913.1799999997</v>
      </c>
    </row>
    <row r="166" spans="1:12" s="23" customFormat="1" ht="15.75" customHeight="1">
      <c r="A166" s="29"/>
      <c r="B166" s="29"/>
      <c r="C166" s="43" t="s">
        <v>471</v>
      </c>
      <c r="D166" s="28"/>
      <c r="E166" s="33" t="e">
        <f t="shared" si="7"/>
        <v>#REF!</v>
      </c>
      <c r="F166" s="121">
        <f>+F167-F168</f>
        <v>121193538.14</v>
      </c>
      <c r="G166" s="32" t="e">
        <f>+G167-G168</f>
        <v>#REF!</v>
      </c>
      <c r="H166" s="31" t="e">
        <f>+H167-H168</f>
        <v>#REF!</v>
      </c>
      <c r="K166" s="121">
        <v>59660657.510000005</v>
      </c>
      <c r="L166" s="121">
        <v>56814983.510000005</v>
      </c>
    </row>
    <row r="167" spans="1:12" s="23" customFormat="1" ht="15.75" customHeight="1">
      <c r="A167" s="29"/>
      <c r="B167" s="29"/>
      <c r="C167" s="29"/>
      <c r="D167" s="34" t="s">
        <v>472</v>
      </c>
      <c r="E167" s="33" t="e">
        <f t="shared" si="7"/>
        <v>#REF!</v>
      </c>
      <c r="F167" s="121">
        <f>[2]PRE!E120</f>
        <v>128693922.01000001</v>
      </c>
      <c r="G167" s="32" t="e">
        <f>[1]Sheet1!K118</f>
        <v>#REF!</v>
      </c>
      <c r="H167" s="31" t="e">
        <f>[1]Sheet1!M118</f>
        <v>#REF!</v>
      </c>
      <c r="K167" s="121">
        <v>60603922.010000005</v>
      </c>
      <c r="L167" s="121">
        <v>61053922.010000005</v>
      </c>
    </row>
    <row r="168" spans="1:12" s="23" customFormat="1" ht="15.75" customHeight="1">
      <c r="A168" s="29"/>
      <c r="B168" s="29"/>
      <c r="C168" s="29"/>
      <c r="D168" s="34" t="s">
        <v>473</v>
      </c>
      <c r="E168" s="33" t="e">
        <f t="shared" si="7"/>
        <v>#REF!</v>
      </c>
      <c r="F168" s="121">
        <f>[2]PRE!H121</f>
        <v>7500383.8700000001</v>
      </c>
      <c r="G168" s="54" t="e">
        <f>[1]Sheet1!L119</f>
        <v>#REF!</v>
      </c>
      <c r="H168" s="53" t="e">
        <f>[1]Sheet1!N119</f>
        <v>#REF!</v>
      </c>
      <c r="K168" s="121">
        <v>943264.5</v>
      </c>
      <c r="L168" s="121">
        <v>4238938.5</v>
      </c>
    </row>
    <row r="169" spans="1:12" s="23" customFormat="1" ht="15.75" customHeight="1">
      <c r="A169" s="29"/>
      <c r="B169" s="29"/>
      <c r="C169" s="43" t="s">
        <v>474</v>
      </c>
      <c r="D169" s="28"/>
      <c r="E169" s="33" t="e">
        <f t="shared" si="7"/>
        <v>#REF!</v>
      </c>
      <c r="F169" s="121">
        <f>+F170-F171</f>
        <v>729982.81</v>
      </c>
      <c r="G169" s="32" t="e">
        <f>+G170-G171</f>
        <v>#REF!</v>
      </c>
      <c r="H169" s="31" t="e">
        <f>+H170-H171</f>
        <v>#REF!</v>
      </c>
      <c r="K169" s="121">
        <v>499494.81</v>
      </c>
      <c r="L169" s="121">
        <v>499494.81</v>
      </c>
    </row>
    <row r="170" spans="1:12" s="23" customFormat="1" ht="15.75" customHeight="1">
      <c r="A170" s="29"/>
      <c r="B170" s="29"/>
      <c r="C170" s="29"/>
      <c r="D170" s="34" t="s">
        <v>475</v>
      </c>
      <c r="E170" s="33" t="e">
        <f t="shared" si="7"/>
        <v>#REF!</v>
      </c>
      <c r="F170" s="121">
        <f>[2]PRE!E122</f>
        <v>744694.81</v>
      </c>
      <c r="G170" s="32" t="e">
        <f>[1]Sheet1!K120</f>
        <v>#REF!</v>
      </c>
      <c r="H170" s="31" t="e">
        <f>[1]Sheet1!M120</f>
        <v>#REF!</v>
      </c>
      <c r="K170" s="121">
        <v>499494.81</v>
      </c>
      <c r="L170" s="121">
        <v>499494.81</v>
      </c>
    </row>
    <row r="171" spans="1:12" s="23" customFormat="1" ht="15.75" customHeight="1">
      <c r="A171" s="29"/>
      <c r="B171" s="29"/>
      <c r="C171" s="29"/>
      <c r="D171" s="34" t="s">
        <v>476</v>
      </c>
      <c r="E171" s="33" t="e">
        <f t="shared" si="7"/>
        <v>#REF!</v>
      </c>
      <c r="F171" s="121">
        <f>[2]PRE!H123</f>
        <v>14712</v>
      </c>
      <c r="G171" s="54" t="e">
        <f>[1]Sheet1!L121</f>
        <v>#REF!</v>
      </c>
      <c r="H171" s="53" t="e">
        <f>[1]Sheet1!N121</f>
        <v>#REF!</v>
      </c>
      <c r="K171" s="121">
        <v>0</v>
      </c>
      <c r="L171" s="121">
        <v>0</v>
      </c>
    </row>
    <row r="172" spans="1:12" s="23" customFormat="1" ht="15.75" customHeight="1">
      <c r="A172" s="29"/>
      <c r="B172" s="29"/>
      <c r="C172" s="43" t="s">
        <v>477</v>
      </c>
      <c r="D172" s="28"/>
      <c r="E172" s="33" t="e">
        <f t="shared" si="7"/>
        <v>#REF!</v>
      </c>
      <c r="F172" s="121">
        <f>+F173-F174</f>
        <v>14090252.33</v>
      </c>
      <c r="G172" s="32" t="e">
        <f>+G173-G174</f>
        <v>#REF!</v>
      </c>
      <c r="H172" s="31" t="e">
        <f>+H173-H174</f>
        <v>#REF!</v>
      </c>
      <c r="K172" s="121">
        <v>1777094</v>
      </c>
      <c r="L172" s="121">
        <v>15121246.76</v>
      </c>
    </row>
    <row r="173" spans="1:12" s="23" customFormat="1" ht="15.75" customHeight="1">
      <c r="A173" s="29"/>
      <c r="B173" s="29"/>
      <c r="C173" s="29"/>
      <c r="D173" s="34" t="s">
        <v>478</v>
      </c>
      <c r="E173" s="33" t="e">
        <f t="shared" si="7"/>
        <v>#REF!</v>
      </c>
      <c r="F173" s="121">
        <f>[2]PRE!E124</f>
        <v>18332823.5</v>
      </c>
      <c r="G173" s="32" t="e">
        <f>[1]Sheet1!K122</f>
        <v>#REF!</v>
      </c>
      <c r="H173" s="31" t="e">
        <f>[1]Sheet1!M122</f>
        <v>#REF!</v>
      </c>
      <c r="K173" s="121">
        <v>2342262.5</v>
      </c>
      <c r="L173" s="121">
        <v>17600498.5</v>
      </c>
    </row>
    <row r="174" spans="1:12" s="23" customFormat="1" ht="15.75" customHeight="1">
      <c r="A174" s="29"/>
      <c r="B174" s="29"/>
      <c r="C174" s="29"/>
      <c r="D174" s="34" t="s">
        <v>479</v>
      </c>
      <c r="E174" s="33" t="e">
        <f t="shared" si="7"/>
        <v>#REF!</v>
      </c>
      <c r="F174" s="121">
        <f>[2]PRE!H125</f>
        <v>4242571.17</v>
      </c>
      <c r="G174" s="54" t="e">
        <f>[1]Sheet1!L123</f>
        <v>#REF!</v>
      </c>
      <c r="H174" s="53" t="e">
        <f>[1]Sheet1!N123</f>
        <v>#REF!</v>
      </c>
      <c r="K174" s="121">
        <v>565168.5</v>
      </c>
      <c r="L174" s="121">
        <v>2479251.7400000002</v>
      </c>
    </row>
    <row r="175" spans="1:12" s="23" customFormat="1" ht="15.75" customHeight="1">
      <c r="A175" s="29"/>
      <c r="B175" s="29"/>
      <c r="C175" s="43" t="s">
        <v>480</v>
      </c>
      <c r="D175" s="28"/>
      <c r="E175" s="33" t="e">
        <f t="shared" si="7"/>
        <v>#REF!</v>
      </c>
      <c r="F175" s="121">
        <f>+F176-F177</f>
        <v>8335467.4000000004</v>
      </c>
      <c r="G175" s="32" t="e">
        <f>+G176-G177</f>
        <v>#REF!</v>
      </c>
      <c r="H175" s="31" t="e">
        <f>+H176-H177</f>
        <v>#REF!</v>
      </c>
      <c r="K175" s="121">
        <v>8573020.5899999999</v>
      </c>
      <c r="L175" s="121">
        <v>8440196.0800000001</v>
      </c>
    </row>
    <row r="176" spans="1:12" s="23" customFormat="1" ht="15.75" customHeight="1">
      <c r="A176" s="29"/>
      <c r="B176" s="29"/>
      <c r="C176" s="29"/>
      <c r="D176" s="34" t="s">
        <v>481</v>
      </c>
      <c r="E176" s="33" t="e">
        <f t="shared" si="7"/>
        <v>#REF!</v>
      </c>
      <c r="F176" s="121">
        <f>[2]PRE!E126</f>
        <v>11276857</v>
      </c>
      <c r="G176" s="32" t="e">
        <f>[1]Sheet1!K124</f>
        <v>#REF!</v>
      </c>
      <c r="H176" s="31" t="e">
        <f>[1]Sheet1!M124</f>
        <v>#REF!</v>
      </c>
      <c r="K176" s="121">
        <v>10626482</v>
      </c>
      <c r="L176" s="121">
        <v>10921982</v>
      </c>
    </row>
    <row r="177" spans="1:12" s="23" customFormat="1" ht="15.75" customHeight="1">
      <c r="A177" s="29"/>
      <c r="B177" s="29"/>
      <c r="C177" s="29"/>
      <c r="D177" s="34" t="s">
        <v>482</v>
      </c>
      <c r="E177" s="33" t="e">
        <f t="shared" si="7"/>
        <v>#REF!</v>
      </c>
      <c r="F177" s="121">
        <f>[2]PRE!H127</f>
        <v>2941389.6</v>
      </c>
      <c r="G177" s="54" t="e">
        <f>[1]Sheet1!L125</f>
        <v>#REF!</v>
      </c>
      <c r="H177" s="53" t="e">
        <f>[1]Sheet1!N125</f>
        <v>#REF!</v>
      </c>
      <c r="K177" s="121">
        <v>2053461.41</v>
      </c>
      <c r="L177" s="121">
        <v>2481785.92</v>
      </c>
    </row>
    <row r="178" spans="1:12" s="23" customFormat="1" ht="15.75" customHeight="1">
      <c r="A178" s="29"/>
      <c r="B178" s="29"/>
      <c r="C178" s="43" t="s">
        <v>483</v>
      </c>
      <c r="D178" s="28"/>
      <c r="E178" s="33" t="e">
        <f t="shared" si="7"/>
        <v>#REF!</v>
      </c>
      <c r="F178" s="121">
        <f>+F179-F180</f>
        <v>1577941.79</v>
      </c>
      <c r="G178" s="32" t="e">
        <f>+G179-G180</f>
        <v>#REF!</v>
      </c>
      <c r="H178" s="31" t="e">
        <f>+H179-H180</f>
        <v>#REF!</v>
      </c>
      <c r="K178" s="121">
        <v>1034742.64</v>
      </c>
      <c r="L178" s="121">
        <v>957218.96</v>
      </c>
    </row>
    <row r="179" spans="1:12" s="23" customFormat="1" ht="15.75" customHeight="1">
      <c r="A179" s="29"/>
      <c r="B179" s="29"/>
      <c r="C179" s="29"/>
      <c r="D179" s="34" t="s">
        <v>484</v>
      </c>
      <c r="E179" s="33" t="e">
        <f t="shared" si="7"/>
        <v>#REF!</v>
      </c>
      <c r="F179" s="121">
        <f>[2]PRE!E128</f>
        <v>1993182.76</v>
      </c>
      <c r="G179" s="32" t="e">
        <f>[1]Sheet1!K126</f>
        <v>#REF!</v>
      </c>
      <c r="H179" s="31" t="e">
        <f>[1]Sheet1!M126</f>
        <v>#REF!</v>
      </c>
      <c r="K179" s="121">
        <v>1263562.76</v>
      </c>
      <c r="L179" s="121">
        <v>1263562.76</v>
      </c>
    </row>
    <row r="180" spans="1:12" s="23" customFormat="1" ht="15.75" customHeight="1">
      <c r="A180" s="29"/>
      <c r="B180" s="29"/>
      <c r="C180" s="29"/>
      <c r="D180" s="34" t="s">
        <v>485</v>
      </c>
      <c r="E180" s="33" t="e">
        <f t="shared" si="7"/>
        <v>#REF!</v>
      </c>
      <c r="F180" s="121">
        <f>[2]PRE!H129</f>
        <v>415240.97</v>
      </c>
      <c r="G180" s="54" t="e">
        <f>[1]Sheet1!L127</f>
        <v>#REF!</v>
      </c>
      <c r="H180" s="53" t="e">
        <f>[1]Sheet1!N127</f>
        <v>#REF!</v>
      </c>
      <c r="K180" s="121">
        <v>228820.12</v>
      </c>
      <c r="L180" s="121">
        <v>306343.8</v>
      </c>
    </row>
    <row r="181" spans="1:12" s="23" customFormat="1" ht="15.75" customHeight="1">
      <c r="A181" s="29"/>
      <c r="B181" s="29"/>
      <c r="C181" s="43" t="s">
        <v>486</v>
      </c>
      <c r="D181" s="28"/>
      <c r="E181" s="33" t="e">
        <f t="shared" si="7"/>
        <v>#REF!</v>
      </c>
      <c r="F181" s="121">
        <f>+F182-F183</f>
        <v>-42686.31</v>
      </c>
      <c r="G181" s="32" t="e">
        <f>+G182-G183</f>
        <v>#REF!</v>
      </c>
      <c r="H181" s="31" t="e">
        <f>+H182-H183</f>
        <v>#REF!</v>
      </c>
      <c r="K181" s="121">
        <v>0</v>
      </c>
      <c r="L181" s="121">
        <v>0</v>
      </c>
    </row>
    <row r="182" spans="1:12" s="23" customFormat="1" ht="15.75" customHeight="1">
      <c r="A182" s="29"/>
      <c r="B182" s="29"/>
      <c r="C182" s="29"/>
      <c r="D182" s="34" t="s">
        <v>487</v>
      </c>
      <c r="E182" s="33" t="e">
        <f t="shared" si="7"/>
        <v>#REF!</v>
      </c>
      <c r="F182" s="121">
        <f>[2]PRE!E130</f>
        <v>0</v>
      </c>
      <c r="G182" s="32" t="e">
        <f>[1]Sheet1!K128</f>
        <v>#REF!</v>
      </c>
      <c r="H182" s="31" t="e">
        <f>[1]Sheet1!M128</f>
        <v>#REF!</v>
      </c>
      <c r="K182" s="121">
        <v>0</v>
      </c>
      <c r="L182" s="121">
        <v>0</v>
      </c>
    </row>
    <row r="183" spans="1:12" s="23" customFormat="1" ht="15.75" customHeight="1">
      <c r="A183" s="29"/>
      <c r="B183" s="29"/>
      <c r="C183" s="29"/>
      <c r="D183" s="34" t="s">
        <v>488</v>
      </c>
      <c r="E183" s="33" t="e">
        <f t="shared" si="7"/>
        <v>#REF!</v>
      </c>
      <c r="F183" s="121">
        <f>[2]PRE!H131</f>
        <v>42686.31</v>
      </c>
      <c r="G183" s="54" t="e">
        <f>[1]Sheet1!L129</f>
        <v>#REF!</v>
      </c>
      <c r="H183" s="53" t="e">
        <f>[1]Sheet1!N129</f>
        <v>#REF!</v>
      </c>
      <c r="K183" s="121">
        <v>0</v>
      </c>
      <c r="L183" s="121">
        <v>0</v>
      </c>
    </row>
    <row r="184" spans="1:12" s="23" customFormat="1" ht="15.75" customHeight="1">
      <c r="A184" s="29"/>
      <c r="B184" s="29"/>
      <c r="C184" s="43" t="s">
        <v>489</v>
      </c>
      <c r="D184" s="28"/>
      <c r="E184" s="33" t="e">
        <f t="shared" si="7"/>
        <v>#REF!</v>
      </c>
      <c r="F184" s="121">
        <f>+F185-F186</f>
        <v>0</v>
      </c>
      <c r="G184" s="32" t="e">
        <f>+G185-G186</f>
        <v>#REF!</v>
      </c>
      <c r="H184" s="31" t="e">
        <f>+H185-H186</f>
        <v>#REF!</v>
      </c>
      <c r="K184" s="121">
        <v>0</v>
      </c>
      <c r="L184" s="121">
        <v>0</v>
      </c>
    </row>
    <row r="185" spans="1:12" s="23" customFormat="1" ht="15.75" customHeight="1">
      <c r="A185" s="29"/>
      <c r="B185" s="29"/>
      <c r="C185" s="29"/>
      <c r="D185" s="34" t="s">
        <v>490</v>
      </c>
      <c r="E185" s="33" t="e">
        <f t="shared" si="7"/>
        <v>#REF!</v>
      </c>
      <c r="F185" s="121">
        <f>[2]PRE!E132</f>
        <v>0</v>
      </c>
      <c r="G185" s="32" t="e">
        <f>[1]Sheet1!K130</f>
        <v>#REF!</v>
      </c>
      <c r="H185" s="31" t="e">
        <f>[1]Sheet1!M130</f>
        <v>#REF!</v>
      </c>
      <c r="K185" s="121">
        <v>0</v>
      </c>
      <c r="L185" s="121">
        <v>0</v>
      </c>
    </row>
    <row r="186" spans="1:12" s="23" customFormat="1" ht="15.75" customHeight="1">
      <c r="A186" s="29"/>
      <c r="B186" s="29"/>
      <c r="C186" s="29"/>
      <c r="D186" s="34" t="s">
        <v>491</v>
      </c>
      <c r="E186" s="33" t="e">
        <f t="shared" si="7"/>
        <v>#REF!</v>
      </c>
      <c r="F186" s="121">
        <f>[2]PRE!H133</f>
        <v>0</v>
      </c>
      <c r="G186" s="54" t="e">
        <f>[1]Sheet1!L131</f>
        <v>#REF!</v>
      </c>
      <c r="H186" s="53" t="e">
        <f>[1]Sheet1!N131</f>
        <v>#REF!</v>
      </c>
      <c r="K186" s="121">
        <v>0</v>
      </c>
      <c r="L186" s="121">
        <v>0</v>
      </c>
    </row>
    <row r="187" spans="1:12" s="23" customFormat="1" ht="15.75" customHeight="1">
      <c r="A187" s="29"/>
      <c r="B187" s="29"/>
      <c r="C187" s="43" t="s">
        <v>492</v>
      </c>
      <c r="D187" s="28"/>
      <c r="E187" s="33" t="e">
        <f t="shared" si="7"/>
        <v>#REF!</v>
      </c>
      <c r="F187" s="121">
        <f>+F188-F189</f>
        <v>730514.73</v>
      </c>
      <c r="G187" s="32" t="e">
        <f>+G188-G189</f>
        <v>#REF!</v>
      </c>
      <c r="H187" s="31" t="e">
        <f>+H188-H189</f>
        <v>#REF!</v>
      </c>
      <c r="K187" s="121">
        <v>613710.5</v>
      </c>
      <c r="L187" s="121">
        <v>613961.75</v>
      </c>
    </row>
    <row r="188" spans="1:12" s="23" customFormat="1" ht="15.75" customHeight="1">
      <c r="A188" s="29"/>
      <c r="B188" s="29"/>
      <c r="C188" s="29"/>
      <c r="D188" s="34" t="s">
        <v>493</v>
      </c>
      <c r="E188" s="33" t="e">
        <f t="shared" si="7"/>
        <v>#REF!</v>
      </c>
      <c r="F188" s="121">
        <f>[2]PRE!E134</f>
        <v>2348610</v>
      </c>
      <c r="G188" s="32" t="e">
        <f>[1]Sheet1!K132</f>
        <v>#REF!</v>
      </c>
      <c r="H188" s="31" t="e">
        <f>[1]Sheet1!M132</f>
        <v>#REF!</v>
      </c>
      <c r="K188" s="121">
        <v>1342570</v>
      </c>
      <c r="L188" s="121">
        <v>1778865</v>
      </c>
    </row>
    <row r="189" spans="1:12" s="23" customFormat="1" ht="15.75" customHeight="1">
      <c r="A189" s="29"/>
      <c r="B189" s="29"/>
      <c r="C189" s="29"/>
      <c r="D189" s="34" t="s">
        <v>494</v>
      </c>
      <c r="E189" s="33" t="e">
        <f t="shared" si="7"/>
        <v>#REF!</v>
      </c>
      <c r="F189" s="121">
        <f>[2]PRE!H135</f>
        <v>1618095.27</v>
      </c>
      <c r="G189" s="54" t="e">
        <f>[1]Sheet1!L133</f>
        <v>#REF!</v>
      </c>
      <c r="H189" s="53" t="e">
        <f>[1]Sheet1!N133</f>
        <v>#REF!</v>
      </c>
      <c r="K189" s="121">
        <v>728859.5</v>
      </c>
      <c r="L189" s="121">
        <v>1164903.25</v>
      </c>
    </row>
    <row r="190" spans="1:12" s="62" customFormat="1" ht="15.75" customHeight="1">
      <c r="A190" s="30"/>
      <c r="B190" s="30" t="s">
        <v>495</v>
      </c>
      <c r="C190" s="30"/>
      <c r="D190" s="63"/>
      <c r="E190" s="66" t="e">
        <f>+E191+E194+E197+E200+E203</f>
        <v>#REF!</v>
      </c>
      <c r="F190" s="120">
        <f>+F191+F200</f>
        <v>96888377.810000002</v>
      </c>
      <c r="G190" s="65" t="e">
        <f>+G191+G194+G197+G200+G203</f>
        <v>#REF!</v>
      </c>
      <c r="H190" s="64" t="e">
        <f>+H191+H194+H197+H200+H203</f>
        <v>#REF!</v>
      </c>
      <c r="I190" s="62">
        <f>F191+F200</f>
        <v>96888377.810000002</v>
      </c>
      <c r="K190" s="120">
        <f>+K191+K200</f>
        <v>84929771.189999998</v>
      </c>
      <c r="L190" s="120">
        <v>101210901.61</v>
      </c>
    </row>
    <row r="191" spans="1:12" s="23" customFormat="1" ht="15.75" customHeight="1">
      <c r="A191" s="29"/>
      <c r="B191" s="29"/>
      <c r="C191" s="43" t="s">
        <v>496</v>
      </c>
      <c r="D191" s="28"/>
      <c r="E191" s="33" t="e">
        <f t="shared" ref="E191:E205" si="8">SUM(F191:H191)</f>
        <v>#REF!</v>
      </c>
      <c r="F191" s="121">
        <f>+F192-F193</f>
        <v>92551844.609999999</v>
      </c>
      <c r="G191" s="32" t="e">
        <f>+G192-G193</f>
        <v>#REF!</v>
      </c>
      <c r="H191" s="31" t="e">
        <f>+H192-H193</f>
        <v>#REF!</v>
      </c>
      <c r="K191" s="121">
        <v>83829937.189999998</v>
      </c>
      <c r="L191" s="121">
        <v>95942085.609999999</v>
      </c>
    </row>
    <row r="192" spans="1:12" s="23" customFormat="1" ht="15.75" customHeight="1">
      <c r="A192" s="29"/>
      <c r="B192" s="29"/>
      <c r="C192" s="29"/>
      <c r="D192" s="34" t="s">
        <v>497</v>
      </c>
      <c r="E192" s="33" t="e">
        <f t="shared" si="8"/>
        <v>#REF!</v>
      </c>
      <c r="F192" s="121">
        <f>[2]PRE!E136</f>
        <v>146245941.53</v>
      </c>
      <c r="G192" s="32" t="e">
        <f>[1]Sheet1!K134</f>
        <v>#REF!</v>
      </c>
      <c r="H192" s="31" t="e">
        <f>[1]Sheet1!M134</f>
        <v>#REF!</v>
      </c>
      <c r="K192" s="121">
        <v>115366141.53</v>
      </c>
      <c r="L192" s="121">
        <v>139241741.53</v>
      </c>
    </row>
    <row r="193" spans="1:12" s="23" customFormat="1" ht="15.75" customHeight="1">
      <c r="A193" s="29"/>
      <c r="B193" s="29"/>
      <c r="C193" s="29"/>
      <c r="D193" s="34" t="s">
        <v>498</v>
      </c>
      <c r="E193" s="33" t="e">
        <f t="shared" si="8"/>
        <v>#REF!</v>
      </c>
      <c r="F193" s="121">
        <f>[2]PRE!H137</f>
        <v>53694096.920000002</v>
      </c>
      <c r="G193" s="54" t="e">
        <f>[1]Sheet1!L135</f>
        <v>#REF!</v>
      </c>
      <c r="H193" s="53" t="e">
        <f>[1]Sheet1!N135</f>
        <v>#REF!</v>
      </c>
      <c r="K193" s="121">
        <v>31536204.34</v>
      </c>
      <c r="L193" s="121">
        <v>43299655.920000002</v>
      </c>
    </row>
    <row r="194" spans="1:12" s="23" customFormat="1" ht="15.75" customHeight="1">
      <c r="A194" s="29"/>
      <c r="B194" s="29"/>
      <c r="C194" s="43" t="s">
        <v>499</v>
      </c>
      <c r="D194" s="28"/>
      <c r="E194" s="33" t="e">
        <f t="shared" si="8"/>
        <v>#REF!</v>
      </c>
      <c r="F194" s="121">
        <f>+F195-F196</f>
        <v>0</v>
      </c>
      <c r="G194" s="32" t="e">
        <f>+G195-G196</f>
        <v>#REF!</v>
      </c>
      <c r="H194" s="31" t="e">
        <f>+H195-H196</f>
        <v>#REF!</v>
      </c>
      <c r="K194" s="121">
        <v>0</v>
      </c>
      <c r="L194" s="121">
        <v>0</v>
      </c>
    </row>
    <row r="195" spans="1:12" s="23" customFormat="1" ht="15.75" customHeight="1">
      <c r="A195" s="29"/>
      <c r="B195" s="29"/>
      <c r="C195" s="29"/>
      <c r="D195" s="34" t="s">
        <v>500</v>
      </c>
      <c r="E195" s="33" t="e">
        <f t="shared" si="8"/>
        <v>#REF!</v>
      </c>
      <c r="F195" s="121">
        <f>[2]PRE!E138</f>
        <v>0</v>
      </c>
      <c r="G195" s="32" t="e">
        <f>[1]Sheet1!K136</f>
        <v>#REF!</v>
      </c>
      <c r="H195" s="31" t="e">
        <f>[1]Sheet1!M136</f>
        <v>#REF!</v>
      </c>
      <c r="K195" s="121">
        <v>0</v>
      </c>
      <c r="L195" s="121">
        <v>0</v>
      </c>
    </row>
    <row r="196" spans="1:12" s="23" customFormat="1" ht="15.75" customHeight="1">
      <c r="A196" s="29"/>
      <c r="B196" s="29"/>
      <c r="C196" s="29"/>
      <c r="D196" s="34" t="s">
        <v>501</v>
      </c>
      <c r="E196" s="33" t="e">
        <f t="shared" si="8"/>
        <v>#REF!</v>
      </c>
      <c r="F196" s="121">
        <f>[2]PRE!H139</f>
        <v>0</v>
      </c>
      <c r="G196" s="54" t="e">
        <f>[1]Sheet1!L137</f>
        <v>#REF!</v>
      </c>
      <c r="H196" s="53" t="e">
        <f>[1]Sheet1!N137</f>
        <v>#REF!</v>
      </c>
      <c r="K196" s="121">
        <v>0</v>
      </c>
      <c r="L196" s="121">
        <v>0</v>
      </c>
    </row>
    <row r="197" spans="1:12" s="23" customFormat="1" ht="15.75" customHeight="1">
      <c r="A197" s="29"/>
      <c r="B197" s="29"/>
      <c r="C197" s="43" t="s">
        <v>502</v>
      </c>
      <c r="D197" s="28"/>
      <c r="E197" s="33" t="e">
        <f t="shared" si="8"/>
        <v>#REF!</v>
      </c>
      <c r="F197" s="121">
        <f>+F198-F199</f>
        <v>0</v>
      </c>
      <c r="G197" s="32" t="e">
        <f>+G198-G199</f>
        <v>#REF!</v>
      </c>
      <c r="H197" s="31" t="e">
        <f>+H198-H199</f>
        <v>#REF!</v>
      </c>
      <c r="K197" s="121">
        <v>0</v>
      </c>
      <c r="L197" s="121">
        <v>0</v>
      </c>
    </row>
    <row r="198" spans="1:12" s="23" customFormat="1" ht="15.75" customHeight="1">
      <c r="A198" s="29"/>
      <c r="B198" s="29"/>
      <c r="C198" s="29"/>
      <c r="D198" s="34" t="s">
        <v>503</v>
      </c>
      <c r="E198" s="33" t="e">
        <f t="shared" si="8"/>
        <v>#REF!</v>
      </c>
      <c r="F198" s="121">
        <f>[2]PRE!E140</f>
        <v>0</v>
      </c>
      <c r="G198" s="32" t="e">
        <f>[1]Sheet1!K138</f>
        <v>#REF!</v>
      </c>
      <c r="H198" s="31" t="e">
        <f>[1]Sheet1!M138</f>
        <v>#REF!</v>
      </c>
      <c r="K198" s="121">
        <v>0</v>
      </c>
      <c r="L198" s="121">
        <v>0</v>
      </c>
    </row>
    <row r="199" spans="1:12" s="23" customFormat="1" ht="15.75" customHeight="1">
      <c r="A199" s="29"/>
      <c r="B199" s="29"/>
      <c r="C199" s="29"/>
      <c r="D199" s="34" t="s">
        <v>504</v>
      </c>
      <c r="E199" s="33" t="e">
        <f t="shared" si="8"/>
        <v>#REF!</v>
      </c>
      <c r="F199" s="121">
        <f>[2]PRE!H141</f>
        <v>0</v>
      </c>
      <c r="G199" s="54" t="e">
        <f>[1]Sheet1!L139</f>
        <v>#REF!</v>
      </c>
      <c r="H199" s="53" t="e">
        <f>[1]Sheet1!N139</f>
        <v>#REF!</v>
      </c>
      <c r="K199" s="121">
        <v>0</v>
      </c>
      <c r="L199" s="121">
        <v>0</v>
      </c>
    </row>
    <row r="200" spans="1:12" s="23" customFormat="1" ht="15.75" customHeight="1">
      <c r="A200" s="29"/>
      <c r="B200" s="29"/>
      <c r="C200" s="43" t="s">
        <v>505</v>
      </c>
      <c r="D200" s="28"/>
      <c r="E200" s="33" t="e">
        <f t="shared" si="8"/>
        <v>#REF!</v>
      </c>
      <c r="F200" s="121">
        <f>+F201-F202</f>
        <v>4336533.2</v>
      </c>
      <c r="G200" s="32" t="e">
        <f>+G201-G202</f>
        <v>#REF!</v>
      </c>
      <c r="H200" s="31" t="e">
        <f>+H201-H202</f>
        <v>#REF!</v>
      </c>
      <c r="K200" s="121">
        <v>1099834</v>
      </c>
      <c r="L200" s="121">
        <v>5268816</v>
      </c>
    </row>
    <row r="201" spans="1:12" s="23" customFormat="1" ht="15" customHeight="1">
      <c r="A201" s="29"/>
      <c r="B201" s="29"/>
      <c r="C201" s="29"/>
      <c r="D201" s="34" t="s">
        <v>506</v>
      </c>
      <c r="E201" s="33" t="e">
        <f t="shared" si="8"/>
        <v>#REF!</v>
      </c>
      <c r="F201" s="121">
        <f>[2]PRE!E142</f>
        <v>5503100</v>
      </c>
      <c r="G201" s="32" t="e">
        <f>[1]Sheet1!K140</f>
        <v>#REF!</v>
      </c>
      <c r="H201" s="31" t="e">
        <f>[1]Sheet1!M140</f>
        <v>#REF!</v>
      </c>
      <c r="K201" s="121">
        <v>1192400</v>
      </c>
      <c r="L201" s="121">
        <v>5787400</v>
      </c>
    </row>
    <row r="202" spans="1:12" s="23" customFormat="1" ht="15.75" customHeight="1">
      <c r="A202" s="29"/>
      <c r="B202" s="29"/>
      <c r="C202" s="29"/>
      <c r="D202" s="34" t="s">
        <v>507</v>
      </c>
      <c r="E202" s="33" t="e">
        <f t="shared" si="8"/>
        <v>#REF!</v>
      </c>
      <c r="F202" s="121">
        <f>[2]PRE!H143</f>
        <v>1166566.8</v>
      </c>
      <c r="G202" s="54" t="e">
        <f>[1]Sheet1!L141</f>
        <v>#REF!</v>
      </c>
      <c r="H202" s="53" t="e">
        <f>[1]Sheet1!N141</f>
        <v>#REF!</v>
      </c>
      <c r="K202" s="121">
        <v>92566</v>
      </c>
      <c r="L202" s="121">
        <v>518584</v>
      </c>
    </row>
    <row r="203" spans="1:12" s="23" customFormat="1" ht="15.75" customHeight="1">
      <c r="A203" s="29"/>
      <c r="B203" s="29"/>
      <c r="C203" s="43" t="s">
        <v>508</v>
      </c>
      <c r="D203" s="28"/>
      <c r="E203" s="33" t="e">
        <f t="shared" si="8"/>
        <v>#REF!</v>
      </c>
      <c r="F203" s="121">
        <f>+F204-F205</f>
        <v>0</v>
      </c>
      <c r="G203" s="32" t="e">
        <f>+G204-G205</f>
        <v>#REF!</v>
      </c>
      <c r="H203" s="31" t="e">
        <f>+H204-H205</f>
        <v>#REF!</v>
      </c>
      <c r="K203" s="121">
        <v>0</v>
      </c>
      <c r="L203" s="121">
        <v>0</v>
      </c>
    </row>
    <row r="204" spans="1:12" s="23" customFormat="1" ht="15.75" customHeight="1">
      <c r="A204" s="29"/>
      <c r="B204" s="29"/>
      <c r="C204" s="29"/>
      <c r="D204" s="34" t="s">
        <v>509</v>
      </c>
      <c r="E204" s="33" t="e">
        <f t="shared" si="8"/>
        <v>#REF!</v>
      </c>
      <c r="F204" s="121">
        <f>[2]PRE!E144</f>
        <v>0</v>
      </c>
      <c r="G204" s="32" t="e">
        <f>[1]Sheet1!K142</f>
        <v>#REF!</v>
      </c>
      <c r="H204" s="31" t="e">
        <f>[1]Sheet1!M142</f>
        <v>#REF!</v>
      </c>
      <c r="K204" s="121">
        <v>0</v>
      </c>
      <c r="L204" s="121">
        <v>0</v>
      </c>
    </row>
    <row r="205" spans="1:12" s="23" customFormat="1" ht="15.75" customHeight="1">
      <c r="A205" s="29"/>
      <c r="B205" s="29"/>
      <c r="C205" s="29"/>
      <c r="D205" s="34" t="s">
        <v>510</v>
      </c>
      <c r="E205" s="33" t="e">
        <f t="shared" si="8"/>
        <v>#REF!</v>
      </c>
      <c r="F205" s="121">
        <f>[2]PRE!H145</f>
        <v>0</v>
      </c>
      <c r="G205" s="54" t="e">
        <f>[1]Sheet1!L143</f>
        <v>#REF!</v>
      </c>
      <c r="H205" s="53" t="e">
        <f>[1]Sheet1!N143</f>
        <v>#REF!</v>
      </c>
      <c r="K205" s="121" t="s">
        <v>511</v>
      </c>
      <c r="L205" s="121">
        <v>0</v>
      </c>
    </row>
    <row r="206" spans="1:12" s="62" customFormat="1" ht="15.75" customHeight="1">
      <c r="A206" s="30"/>
      <c r="B206" s="30" t="s">
        <v>512</v>
      </c>
      <c r="C206" s="30"/>
      <c r="D206" s="63"/>
      <c r="E206" s="66" t="e">
        <f>+E208-E209</f>
        <v>#REF!</v>
      </c>
      <c r="F206" s="120">
        <f>+F207</f>
        <v>-593782.37000000011</v>
      </c>
      <c r="G206" s="65" t="e">
        <f>+G207</f>
        <v>#REF!</v>
      </c>
      <c r="H206" s="64" t="e">
        <f>+H207</f>
        <v>#REF!</v>
      </c>
      <c r="K206" s="120">
        <f>+K207</f>
        <v>2229752.98</v>
      </c>
      <c r="L206" s="120">
        <v>878926</v>
      </c>
    </row>
    <row r="207" spans="1:12" s="23" customFormat="1" ht="15.75" customHeight="1">
      <c r="A207" s="29"/>
      <c r="B207" s="29"/>
      <c r="C207" s="43" t="s">
        <v>513</v>
      </c>
      <c r="D207" s="28"/>
      <c r="E207" s="33" t="e">
        <f>SUM(F207:H207)</f>
        <v>#REF!</v>
      </c>
      <c r="F207" s="121">
        <f>+F208-F209</f>
        <v>-593782.37000000011</v>
      </c>
      <c r="G207" s="32" t="e">
        <f>+G208-G209</f>
        <v>#REF!</v>
      </c>
      <c r="H207" s="31" t="e">
        <f>+H208-H209</f>
        <v>#REF!</v>
      </c>
      <c r="K207" s="121">
        <v>2229752.98</v>
      </c>
      <c r="L207" s="121">
        <v>878926</v>
      </c>
    </row>
    <row r="208" spans="1:12" s="23" customFormat="1" ht="15.75" customHeight="1">
      <c r="A208" s="29"/>
      <c r="B208" s="29"/>
      <c r="C208" s="29"/>
      <c r="D208" s="34" t="s">
        <v>514</v>
      </c>
      <c r="E208" s="33" t="e">
        <f>SUM(F208:H208)</f>
        <v>#REF!</v>
      </c>
      <c r="F208" s="121">
        <f>[2]PRE!E146+[2]PRE!E154</f>
        <v>3235755.52</v>
      </c>
      <c r="G208" s="32" t="e">
        <f>[1]Sheet1!K144</f>
        <v>#REF!</v>
      </c>
      <c r="H208" s="31" t="e">
        <f>[1]Sheet1!M144</f>
        <v>#REF!</v>
      </c>
      <c r="K208" s="121">
        <v>3184745.52</v>
      </c>
      <c r="L208" s="121">
        <v>3222545.52</v>
      </c>
    </row>
    <row r="209" spans="1:12" s="23" customFormat="1" ht="15.75" customHeight="1">
      <c r="A209" s="29"/>
      <c r="B209" s="29"/>
      <c r="C209" s="29"/>
      <c r="D209" s="34" t="s">
        <v>515</v>
      </c>
      <c r="E209" s="33" t="e">
        <f>SUM(F209:H209)</f>
        <v>#REF!</v>
      </c>
      <c r="F209" s="121">
        <f>[2]PRE!H147</f>
        <v>3829537.89</v>
      </c>
      <c r="G209" s="54" t="e">
        <f>[1]Sheet1!L145</f>
        <v>#REF!</v>
      </c>
      <c r="H209" s="53" t="e">
        <f>[1]Sheet1!N145</f>
        <v>#REF!</v>
      </c>
      <c r="K209" s="121">
        <v>954992.54</v>
      </c>
      <c r="L209" s="121">
        <v>2343619.52</v>
      </c>
    </row>
    <row r="210" spans="1:12" s="23" customFormat="1" ht="15.75" customHeight="1">
      <c r="A210" s="29"/>
      <c r="B210" s="30" t="s">
        <v>516</v>
      </c>
      <c r="C210" s="29"/>
      <c r="D210" s="34"/>
      <c r="E210" s="66" t="e">
        <f>E211</f>
        <v>#REF!</v>
      </c>
      <c r="F210" s="120">
        <f>+F211+F212</f>
        <v>1519735.45</v>
      </c>
      <c r="G210" s="126" t="e">
        <f>G211</f>
        <v>#REF!</v>
      </c>
      <c r="H210" s="127" t="e">
        <f>H211</f>
        <v>#REF!</v>
      </c>
      <c r="K210" s="120">
        <v>0</v>
      </c>
      <c r="L210" s="120">
        <v>0</v>
      </c>
    </row>
    <row r="211" spans="1:12" s="23" customFormat="1" ht="15.75" customHeight="1">
      <c r="A211" s="29"/>
      <c r="B211" s="29"/>
      <c r="C211" s="29" t="s">
        <v>517</v>
      </c>
      <c r="D211" s="34"/>
      <c r="E211" s="38" t="e">
        <f>SUM(F211:H211)</f>
        <v>#REF!</v>
      </c>
      <c r="F211" s="121">
        <f>[2]PRE!E148</f>
        <v>0</v>
      </c>
      <c r="G211" s="45" t="e">
        <f>SUM([1]Sheet1!K146:K153)</f>
        <v>#REF!</v>
      </c>
      <c r="H211" s="44" t="e">
        <f>SUM([1]Sheet1!M146:M153)</f>
        <v>#REF!</v>
      </c>
      <c r="K211" s="121">
        <v>0</v>
      </c>
      <c r="L211" s="121">
        <v>0</v>
      </c>
    </row>
    <row r="212" spans="1:12" s="23" customFormat="1" ht="15.75" customHeight="1">
      <c r="A212" s="29"/>
      <c r="B212" s="29"/>
      <c r="C212" s="29" t="s">
        <v>518</v>
      </c>
      <c r="D212" s="34"/>
      <c r="E212" s="38"/>
      <c r="F212" s="121">
        <f>[2]PRE!E151</f>
        <v>1519735.45</v>
      </c>
      <c r="G212" s="45"/>
      <c r="H212" s="44"/>
      <c r="K212" s="121">
        <v>0</v>
      </c>
      <c r="L212" s="121">
        <v>0</v>
      </c>
    </row>
    <row r="213" spans="1:12" s="62" customFormat="1" ht="15.75" customHeight="1">
      <c r="A213" s="30"/>
      <c r="B213" s="30" t="s">
        <v>519</v>
      </c>
      <c r="C213" s="30"/>
      <c r="D213" s="63"/>
      <c r="E213" s="66" t="e">
        <f>+E214+E215</f>
        <v>#REF!</v>
      </c>
      <c r="F213" s="120">
        <f>+F214+F215</f>
        <v>277653216.36000007</v>
      </c>
      <c r="G213" s="65" t="e">
        <f>+G214+G215</f>
        <v>#REF!</v>
      </c>
      <c r="H213" s="64" t="e">
        <f>+H214+H215</f>
        <v>#REF!</v>
      </c>
      <c r="K213" s="120">
        <f>+K214+K215</f>
        <v>240496679.83000004</v>
      </c>
      <c r="L213" s="120">
        <v>253230292.76000005</v>
      </c>
    </row>
    <row r="214" spans="1:12" s="71" customFormat="1" ht="15.75" customHeight="1">
      <c r="A214" s="29"/>
      <c r="B214" s="29"/>
      <c r="C214" s="123" t="s">
        <v>520</v>
      </c>
      <c r="D214" s="28"/>
      <c r="E214" s="38" t="e">
        <f>SUM(F214:H214)</f>
        <v>#REF!</v>
      </c>
      <c r="F214" s="121">
        <f>[2]PRE!E158</f>
        <v>58430078.57</v>
      </c>
      <c r="G214" s="37" t="e">
        <f>[1]Sheet1!K156</f>
        <v>#REF!</v>
      </c>
      <c r="H214" s="36" t="e">
        <f>[1]Sheet1!M156</f>
        <v>#REF!</v>
      </c>
      <c r="K214" s="121">
        <v>27875288.280000005</v>
      </c>
      <c r="L214" s="121">
        <v>38049737.280000001</v>
      </c>
    </row>
    <row r="215" spans="1:12" s="23" customFormat="1" ht="15.75" customHeight="1">
      <c r="A215" s="29"/>
      <c r="B215" s="29"/>
      <c r="C215" s="123" t="s">
        <v>521</v>
      </c>
      <c r="D215" s="34"/>
      <c r="E215" s="38" t="e">
        <f>SUM(E216:E225)</f>
        <v>#REF!</v>
      </c>
      <c r="F215" s="46">
        <f>SUM(F216:F226)</f>
        <v>219223137.79000005</v>
      </c>
      <c r="G215" s="37" t="e">
        <f>SUM(G216:G225)</f>
        <v>#REF!</v>
      </c>
      <c r="H215" s="36" t="e">
        <f>SUM(H216:H225)</f>
        <v>#REF!</v>
      </c>
      <c r="K215" s="46">
        <f>SUM(K216:K226)</f>
        <v>212621391.55000004</v>
      </c>
      <c r="L215" s="46">
        <v>215180555.48000005</v>
      </c>
    </row>
    <row r="216" spans="1:12" s="23" customFormat="1" ht="15.75" customHeight="1">
      <c r="A216" s="29"/>
      <c r="B216" s="29"/>
      <c r="C216" s="29"/>
      <c r="D216" s="34" t="s">
        <v>522</v>
      </c>
      <c r="E216" s="33"/>
      <c r="F216" s="121">
        <f>[2]PRE!E159</f>
        <v>65754185.610000014</v>
      </c>
      <c r="G216" s="32"/>
      <c r="H216" s="31"/>
      <c r="K216" s="121">
        <v>59676667.620000012</v>
      </c>
      <c r="L216" s="121">
        <v>61740198.820000015</v>
      </c>
    </row>
    <row r="217" spans="1:12" s="23" customFormat="1" ht="15.75" customHeight="1">
      <c r="A217" s="29"/>
      <c r="B217" s="29"/>
      <c r="C217" s="29"/>
      <c r="D217" s="34" t="s">
        <v>523</v>
      </c>
      <c r="E217" s="33" t="e">
        <f t="shared" ref="E217:E225" si="9">SUM(F217:H217)</f>
        <v>#REF!</v>
      </c>
      <c r="F217" s="121">
        <f>[2]PRE!E160</f>
        <v>0</v>
      </c>
      <c r="G217" s="32" t="e">
        <f>[1]Sheet1!K158</f>
        <v>#REF!</v>
      </c>
      <c r="H217" s="31" t="e">
        <f>[1]Sheet1!M158</f>
        <v>#REF!</v>
      </c>
      <c r="K217" s="121">
        <v>0</v>
      </c>
      <c r="L217" s="121">
        <v>0</v>
      </c>
    </row>
    <row r="218" spans="1:12" s="23" customFormat="1" ht="15.75" customHeight="1">
      <c r="A218" s="29"/>
      <c r="B218" s="29"/>
      <c r="C218" s="29"/>
      <c r="D218" s="34" t="s">
        <v>524</v>
      </c>
      <c r="E218" s="33" t="e">
        <f t="shared" si="9"/>
        <v>#REF!</v>
      </c>
      <c r="F218" s="121">
        <f>[2]PRE!E161</f>
        <v>0</v>
      </c>
      <c r="G218" s="32" t="e">
        <f>[1]Sheet1!K159</f>
        <v>#REF!</v>
      </c>
      <c r="H218" s="31" t="e">
        <f>[1]Sheet1!M159</f>
        <v>#REF!</v>
      </c>
      <c r="K218" s="121">
        <v>0</v>
      </c>
      <c r="L218" s="121">
        <v>0</v>
      </c>
    </row>
    <row r="219" spans="1:12" s="23" customFormat="1" ht="28.5">
      <c r="A219" s="29"/>
      <c r="B219" s="29"/>
      <c r="C219" s="29"/>
      <c r="D219" s="34" t="s">
        <v>525</v>
      </c>
      <c r="E219" s="33" t="e">
        <f t="shared" si="9"/>
        <v>#REF!</v>
      </c>
      <c r="F219" s="121">
        <f>[2]PRE!E162</f>
        <v>150143.73000000001</v>
      </c>
      <c r="G219" s="32" t="e">
        <f>[1]Sheet1!K160</f>
        <v>#REF!</v>
      </c>
      <c r="H219" s="31" t="e">
        <f>[1]Sheet1!M160</f>
        <v>#REF!</v>
      </c>
      <c r="K219" s="121">
        <v>150143.73000000001</v>
      </c>
      <c r="L219" s="121">
        <v>150143.73000000001</v>
      </c>
    </row>
    <row r="220" spans="1:12" s="23" customFormat="1" ht="15.75" customHeight="1">
      <c r="A220" s="29"/>
      <c r="B220" s="29"/>
      <c r="C220" s="29"/>
      <c r="D220" s="34" t="s">
        <v>526</v>
      </c>
      <c r="E220" s="33" t="e">
        <f t="shared" si="9"/>
        <v>#REF!</v>
      </c>
      <c r="F220" s="121">
        <f>[2]PRE!E163</f>
        <v>0</v>
      </c>
      <c r="G220" s="32" t="e">
        <f>[1]Sheet1!K161</f>
        <v>#REF!</v>
      </c>
      <c r="H220" s="31" t="e">
        <f>[1]Sheet1!M161</f>
        <v>#REF!</v>
      </c>
      <c r="K220" s="121">
        <v>0</v>
      </c>
      <c r="L220" s="121">
        <v>0</v>
      </c>
    </row>
    <row r="221" spans="1:12" s="23" customFormat="1" ht="15.75" customHeight="1">
      <c r="A221" s="29"/>
      <c r="B221" s="29"/>
      <c r="C221" s="29"/>
      <c r="D221" s="34" t="s">
        <v>527</v>
      </c>
      <c r="E221" s="33" t="e">
        <f t="shared" si="9"/>
        <v>#REF!</v>
      </c>
      <c r="F221" s="121">
        <f>[2]PRE!E164</f>
        <v>0</v>
      </c>
      <c r="G221" s="32" t="e">
        <f>[1]Sheet1!K162</f>
        <v>#REF!</v>
      </c>
      <c r="H221" s="31" t="e">
        <f>[1]Sheet1!M162</f>
        <v>#REF!</v>
      </c>
      <c r="K221" s="121">
        <v>0</v>
      </c>
      <c r="L221" s="121">
        <v>0</v>
      </c>
    </row>
    <row r="222" spans="1:12" s="23" customFormat="1" ht="15" customHeight="1">
      <c r="A222" s="29"/>
      <c r="B222" s="29"/>
      <c r="C222" s="29"/>
      <c r="D222" s="34" t="s">
        <v>528</v>
      </c>
      <c r="E222" s="33" t="e">
        <f t="shared" si="9"/>
        <v>#REF!</v>
      </c>
      <c r="F222" s="121">
        <f>[2]PRE!E165</f>
        <v>85093.43</v>
      </c>
      <c r="G222" s="32" t="e">
        <f>[1]Sheet1!K163</f>
        <v>#REF!</v>
      </c>
      <c r="H222" s="31" t="e">
        <f>[1]Sheet1!M163</f>
        <v>#REF!</v>
      </c>
      <c r="K222" s="121">
        <v>85093.43</v>
      </c>
      <c r="L222" s="121">
        <v>85093.43</v>
      </c>
    </row>
    <row r="223" spans="1:12" s="23" customFormat="1" ht="15.75" customHeight="1">
      <c r="A223" s="29"/>
      <c r="B223" s="29"/>
      <c r="C223" s="29"/>
      <c r="D223" s="34" t="s">
        <v>529</v>
      </c>
      <c r="E223" s="33" t="e">
        <f t="shared" si="9"/>
        <v>#REF!</v>
      </c>
      <c r="F223" s="121">
        <f>[2]PRE!E166</f>
        <v>151362292.23000005</v>
      </c>
      <c r="G223" s="32" t="e">
        <f>[1]Sheet1!K164</f>
        <v>#REF!</v>
      </c>
      <c r="H223" s="31" t="e">
        <f>[1]Sheet1!M164</f>
        <v>#REF!</v>
      </c>
      <c r="K223" s="121">
        <v>150838063.98000005</v>
      </c>
      <c r="L223" s="121">
        <v>151333696.71000004</v>
      </c>
    </row>
    <row r="224" spans="1:12" s="23" customFormat="1" ht="15.75" customHeight="1">
      <c r="A224" s="29"/>
      <c r="B224" s="29"/>
      <c r="C224" s="29"/>
      <c r="D224" s="34" t="s">
        <v>530</v>
      </c>
      <c r="E224" s="33" t="e">
        <f t="shared" si="9"/>
        <v>#REF!</v>
      </c>
      <c r="F224" s="121">
        <f>[2]PRE!E167</f>
        <v>0</v>
      </c>
      <c r="G224" s="32" t="e">
        <f>[1]Sheet1!K165</f>
        <v>#REF!</v>
      </c>
      <c r="H224" s="31" t="e">
        <f>[1]Sheet1!M165</f>
        <v>#REF!</v>
      </c>
      <c r="K224" s="121">
        <v>0</v>
      </c>
      <c r="L224" s="121">
        <v>0</v>
      </c>
    </row>
    <row r="225" spans="1:12" s="23" customFormat="1" ht="15.75" customHeight="1">
      <c r="A225" s="29"/>
      <c r="B225" s="29"/>
      <c r="C225" s="29"/>
      <c r="D225" s="34" t="s">
        <v>531</v>
      </c>
      <c r="E225" s="33" t="e">
        <f t="shared" si="9"/>
        <v>#REF!</v>
      </c>
      <c r="F225" s="121">
        <f>[2]PRE!E168</f>
        <v>0</v>
      </c>
      <c r="G225" s="32" t="e">
        <f>[1]Sheet1!K166</f>
        <v>#REF!</v>
      </c>
      <c r="H225" s="31" t="e">
        <f>[1]Sheet1!M166</f>
        <v>#REF!</v>
      </c>
      <c r="K225" s="121">
        <v>0</v>
      </c>
      <c r="L225" s="121">
        <v>0</v>
      </c>
    </row>
    <row r="226" spans="1:12" s="23" customFormat="1" ht="15.75" customHeight="1">
      <c r="A226" s="29"/>
      <c r="B226" s="29"/>
      <c r="C226" s="29"/>
      <c r="D226" s="34" t="s">
        <v>532</v>
      </c>
      <c r="E226" s="33"/>
      <c r="F226" s="121">
        <f>[2]PRE!E155</f>
        <v>1871422.79</v>
      </c>
      <c r="G226" s="32"/>
      <c r="H226" s="31"/>
      <c r="K226" s="121">
        <v>1871422.79</v>
      </c>
      <c r="L226" s="121">
        <v>1871422.79</v>
      </c>
    </row>
    <row r="227" spans="1:12" s="107" customFormat="1" ht="19.5">
      <c r="A227" s="116"/>
      <c r="B227" s="116"/>
      <c r="C227" s="116"/>
      <c r="D227" s="128" t="s">
        <v>533</v>
      </c>
      <c r="E227" s="66" t="e">
        <f>+E100+E114+E130+E140+E153+E190+E206+E210+E213</f>
        <v>#REF!</v>
      </c>
      <c r="F227" s="120">
        <f>+F100+F114+F130+F140+F153+F190+F206+F210+F213</f>
        <v>1055725218.3499999</v>
      </c>
      <c r="G227" s="65" t="e">
        <f>+G100+G114+G130+G140+G153+G190+G206+G210+G213</f>
        <v>#REF!</v>
      </c>
      <c r="H227" s="64" t="e">
        <f>+H100+H114+H130+H140+H153+H190+H206+H210+H213</f>
        <v>#REF!</v>
      </c>
      <c r="K227" s="120">
        <f>+K100+K114+K130+K140+K153+K190+K206+K210+K213</f>
        <v>1001386723.9900001</v>
      </c>
      <c r="L227" s="120">
        <v>1049310949.8200002</v>
      </c>
    </row>
    <row r="228" spans="1:12" s="62" customFormat="1" ht="15.75" customHeight="1">
      <c r="A228" s="30"/>
      <c r="B228" s="30" t="s">
        <v>534</v>
      </c>
      <c r="C228" s="30"/>
      <c r="D228" s="63"/>
      <c r="E228" s="66"/>
      <c r="F228" s="120"/>
      <c r="G228" s="65"/>
      <c r="H228" s="64"/>
      <c r="K228" s="120"/>
      <c r="L228" s="120"/>
    </row>
    <row r="229" spans="1:12" s="23" customFormat="1" ht="15.75" customHeight="1">
      <c r="A229" s="29"/>
      <c r="B229" s="29"/>
      <c r="C229" s="29"/>
      <c r="D229" s="34" t="s">
        <v>535</v>
      </c>
      <c r="E229" s="33" t="e">
        <f>SUM(F229:H229)</f>
        <v>#REF!</v>
      </c>
      <c r="F229" s="121">
        <f>[2]PRE!E169</f>
        <v>0</v>
      </c>
      <c r="G229" s="32" t="e">
        <f>[1]Sheet1!K167</f>
        <v>#REF!</v>
      </c>
      <c r="H229" s="31" t="e">
        <f>[1]Sheet1!M167</f>
        <v>#REF!</v>
      </c>
      <c r="K229" s="121">
        <v>2002616.79</v>
      </c>
      <c r="L229" s="121">
        <v>2002616.79</v>
      </c>
    </row>
    <row r="230" spans="1:12" s="23" customFormat="1" ht="15.75" customHeight="1">
      <c r="A230" s="29"/>
      <c r="B230" s="29"/>
      <c r="C230" s="29"/>
      <c r="D230" s="34" t="s">
        <v>536</v>
      </c>
      <c r="E230" s="33" t="e">
        <f>SUM(F230:H230)</f>
        <v>#REF!</v>
      </c>
      <c r="F230" s="121">
        <f>[2]PRE!E170</f>
        <v>2002616.79</v>
      </c>
      <c r="G230" s="32" t="e">
        <f>[1]Sheet1!K168</f>
        <v>#REF!</v>
      </c>
      <c r="H230" s="31" t="e">
        <f>[1]Sheet1!M168</f>
        <v>#REF!</v>
      </c>
      <c r="K230" s="121">
        <v>0</v>
      </c>
      <c r="L230" s="121">
        <v>0</v>
      </c>
    </row>
    <row r="231" spans="1:12" s="23" customFormat="1" ht="15.75" customHeight="1">
      <c r="A231" s="29"/>
      <c r="B231" s="29"/>
      <c r="C231" s="29"/>
      <c r="D231" s="34" t="s">
        <v>537</v>
      </c>
      <c r="E231" s="33" t="e">
        <f>SUM(F231:H231)</f>
        <v>#REF!</v>
      </c>
      <c r="F231" s="121">
        <f>[2]PRE!E171</f>
        <v>0</v>
      </c>
      <c r="G231" s="32" t="e">
        <f>[1]Sheet1!K169</f>
        <v>#REF!</v>
      </c>
      <c r="H231" s="31" t="e">
        <f>[1]Sheet1!M169</f>
        <v>#REF!</v>
      </c>
      <c r="K231" s="121">
        <v>0</v>
      </c>
      <c r="L231" s="121">
        <v>0</v>
      </c>
    </row>
    <row r="232" spans="1:12" s="23" customFormat="1" ht="15.75" customHeight="1">
      <c r="A232" s="29"/>
      <c r="B232" s="29"/>
      <c r="C232" s="29"/>
      <c r="D232" s="34" t="s">
        <v>538</v>
      </c>
      <c r="E232" s="33" t="e">
        <f>SUM(F232:H232)</f>
        <v>#REF!</v>
      </c>
      <c r="F232" s="121">
        <f>[2]PRE!E172</f>
        <v>35795276.450000003</v>
      </c>
      <c r="G232" s="32" t="e">
        <f>[1]Sheet1!K170</f>
        <v>#REF!</v>
      </c>
      <c r="H232" s="31" t="e">
        <f>[1]Sheet1!M170</f>
        <v>#REF!</v>
      </c>
      <c r="K232" s="121">
        <v>23496737.170000002</v>
      </c>
      <c r="L232" s="121">
        <v>12155650.930000003</v>
      </c>
    </row>
    <row r="233" spans="1:12" s="23" customFormat="1" ht="15.75" customHeight="1">
      <c r="A233" s="29"/>
      <c r="B233" s="29"/>
      <c r="C233" s="29"/>
      <c r="D233" s="34" t="s">
        <v>539</v>
      </c>
      <c r="E233" s="33" t="e">
        <f>SUM(F233:H233)</f>
        <v>#REF!</v>
      </c>
      <c r="F233" s="121">
        <f>[2]PRE!E173</f>
        <v>15039957.119999999</v>
      </c>
      <c r="G233" s="32" t="e">
        <f>[1]Sheet1!K171</f>
        <v>#REF!</v>
      </c>
      <c r="H233" s="31" t="e">
        <f>[1]Sheet1!M171</f>
        <v>#REF!</v>
      </c>
      <c r="K233" s="121">
        <v>15039957.119999999</v>
      </c>
      <c r="L233" s="121">
        <v>15039957.119999999</v>
      </c>
    </row>
    <row r="234" spans="1:12" s="23" customFormat="1" ht="15.75" customHeight="1">
      <c r="A234" s="29"/>
      <c r="B234" s="29"/>
      <c r="C234" s="29"/>
      <c r="D234" s="128" t="s">
        <v>540</v>
      </c>
      <c r="E234" s="33" t="e">
        <f>SUM(E229:E233)</f>
        <v>#REF!</v>
      </c>
      <c r="F234" s="121">
        <f>SUM(F229:F233)</f>
        <v>52837850.359999999</v>
      </c>
      <c r="G234" s="32" t="e">
        <f>SUM(G229:G233)</f>
        <v>#REF!</v>
      </c>
      <c r="H234" s="31" t="e">
        <f>SUM(H229:H233)</f>
        <v>#REF!</v>
      </c>
      <c r="K234" s="121">
        <v>40539311.079999998</v>
      </c>
      <c r="L234" s="121">
        <v>29198224.840000004</v>
      </c>
    </row>
    <row r="235" spans="1:12" s="130" customFormat="1" ht="15.75" customHeight="1">
      <c r="A235" s="29"/>
      <c r="B235" s="29"/>
      <c r="C235" s="29"/>
      <c r="D235" s="128" t="s">
        <v>541</v>
      </c>
      <c r="E235" s="27" t="e">
        <f>+E234+E227+E98+E89</f>
        <v>#REF!</v>
      </c>
      <c r="F235" s="129">
        <f>+F234+F227+F98+F89</f>
        <v>1611015610.7299995</v>
      </c>
      <c r="G235" s="26" t="e">
        <f>+G234+G227+G98+G89</f>
        <v>#REF!</v>
      </c>
      <c r="H235" s="25" t="e">
        <f>+H234+H227+H98+H89</f>
        <v>#REF!</v>
      </c>
      <c r="K235" s="129">
        <f>+K234+K227+K98+K89</f>
        <v>1428277400.0500002</v>
      </c>
      <c r="L235" s="129">
        <v>1485585304.2900002</v>
      </c>
    </row>
    <row r="236" spans="1:12" s="130" customFormat="1" ht="15.75" customHeight="1">
      <c r="A236" s="29"/>
      <c r="B236" s="29"/>
      <c r="C236" s="29"/>
      <c r="D236" s="128"/>
      <c r="E236" s="27"/>
      <c r="F236" s="131"/>
      <c r="G236" s="26"/>
      <c r="H236" s="25"/>
      <c r="K236" s="131"/>
      <c r="L236" s="131"/>
    </row>
    <row r="237" spans="1:12" s="62" customFormat="1" ht="15.75" customHeight="1">
      <c r="A237" s="30" t="s">
        <v>542</v>
      </c>
      <c r="B237" s="30"/>
      <c r="C237" s="30"/>
      <c r="D237" s="63"/>
      <c r="E237" s="116"/>
      <c r="F237" s="117"/>
      <c r="G237" s="124"/>
      <c r="H237" s="125"/>
      <c r="K237" s="117"/>
      <c r="L237" s="117"/>
    </row>
    <row r="238" spans="1:12" s="62" customFormat="1" ht="15.75" customHeight="1">
      <c r="A238" s="30"/>
      <c r="B238" s="30" t="s">
        <v>543</v>
      </c>
      <c r="C238" s="30"/>
      <c r="D238" s="63"/>
      <c r="E238" s="66"/>
      <c r="F238" s="120"/>
      <c r="G238" s="65"/>
      <c r="H238" s="64"/>
      <c r="K238" s="120"/>
      <c r="L238" s="120"/>
    </row>
    <row r="239" spans="1:12" s="62" customFormat="1" ht="15.75" customHeight="1">
      <c r="A239" s="30"/>
      <c r="B239" s="30"/>
      <c r="C239" s="30" t="s">
        <v>544</v>
      </c>
      <c r="D239" s="63"/>
      <c r="E239" s="66" t="e">
        <f>SUM(E240:E243)</f>
        <v>#REF!</v>
      </c>
      <c r="F239" s="120">
        <f>SUM(F240:F243)</f>
        <v>157452200.97999999</v>
      </c>
      <c r="G239" s="65" t="e">
        <f>SUM(G240:G243)</f>
        <v>#REF!</v>
      </c>
      <c r="H239" s="64" t="e">
        <f>SUM(H240:H243)</f>
        <v>#REF!</v>
      </c>
      <c r="K239" s="120">
        <f>SUM(K240:K243)</f>
        <v>214537843.64000002</v>
      </c>
      <c r="L239" s="120">
        <v>162715576.72</v>
      </c>
    </row>
    <row r="240" spans="1:12" s="23" customFormat="1" ht="15.75" customHeight="1">
      <c r="A240" s="29"/>
      <c r="B240" s="29"/>
      <c r="C240" s="29"/>
      <c r="D240" s="34" t="s">
        <v>545</v>
      </c>
      <c r="E240" s="33" t="e">
        <f>SUM(F240:H240)</f>
        <v>#REF!</v>
      </c>
      <c r="F240" s="121">
        <f>[2]PRE!H174</f>
        <v>145107221.75</v>
      </c>
      <c r="G240" s="32" t="e">
        <f>[1]Sheet1!L172</f>
        <v>#REF!</v>
      </c>
      <c r="H240" s="31" t="e">
        <f>+[1]Sheet1!N172</f>
        <v>#REF!</v>
      </c>
      <c r="K240" s="121">
        <v>214258166.88000003</v>
      </c>
      <c r="L240" s="121">
        <v>162026472.63</v>
      </c>
    </row>
    <row r="241" spans="1:12" s="23" customFormat="1" ht="15.75" customHeight="1">
      <c r="A241" s="29"/>
      <c r="B241" s="29"/>
      <c r="C241" s="29"/>
      <c r="D241" s="34" t="s">
        <v>546</v>
      </c>
      <c r="E241" s="33" t="e">
        <f>SUM(F241:H241)</f>
        <v>#REF!</v>
      </c>
      <c r="F241" s="121">
        <f>[2]PRE!H175</f>
        <v>0</v>
      </c>
      <c r="G241" s="32" t="e">
        <f>[1]Sheet1!L173</f>
        <v>#REF!</v>
      </c>
      <c r="H241" s="31" t="e">
        <f>[1]Sheet1!N173</f>
        <v>#REF!</v>
      </c>
      <c r="K241" s="121">
        <v>0</v>
      </c>
      <c r="L241" s="121">
        <v>0</v>
      </c>
    </row>
    <row r="242" spans="1:12" s="23" customFormat="1" ht="15.75" customHeight="1">
      <c r="A242" s="29"/>
      <c r="B242" s="29"/>
      <c r="C242" s="29"/>
      <c r="D242" s="34" t="s">
        <v>547</v>
      </c>
      <c r="E242" s="33" t="e">
        <f>SUM(F242:H242)</f>
        <v>#REF!</v>
      </c>
      <c r="F242" s="121">
        <f>[2]PRE!H176</f>
        <v>12344979.229999995</v>
      </c>
      <c r="G242" s="32" t="e">
        <f>[1]Sheet1!L174</f>
        <v>#REF!</v>
      </c>
      <c r="H242" s="31" t="e">
        <f>[1]Sheet1!N174</f>
        <v>#REF!</v>
      </c>
      <c r="K242" s="121">
        <v>279676.76000000024</v>
      </c>
      <c r="L242" s="121">
        <v>689104.08999999985</v>
      </c>
    </row>
    <row r="243" spans="1:12" s="23" customFormat="1" ht="15.75" customHeight="1">
      <c r="A243" s="29"/>
      <c r="B243" s="29"/>
      <c r="C243" s="29"/>
      <c r="D243" s="34" t="s">
        <v>548</v>
      </c>
      <c r="E243" s="33" t="e">
        <f>SUM(F243:H243)</f>
        <v>#REF!</v>
      </c>
      <c r="F243" s="121">
        <f>[2]PRE!H177</f>
        <v>0</v>
      </c>
      <c r="G243" s="32" t="e">
        <f>[1]Sheet1!L175</f>
        <v>#REF!</v>
      </c>
      <c r="H243" s="31" t="e">
        <f>[1]Sheet1!N175</f>
        <v>#REF!</v>
      </c>
      <c r="K243" s="121">
        <v>0</v>
      </c>
      <c r="L243" s="121">
        <v>0</v>
      </c>
    </row>
    <row r="244" spans="1:12" s="62" customFormat="1" ht="15.75" customHeight="1">
      <c r="A244" s="30"/>
      <c r="B244" s="30"/>
      <c r="C244" s="30" t="s">
        <v>549</v>
      </c>
      <c r="D244" s="63"/>
      <c r="E244" s="66" t="e">
        <f>SUM(E245:E251)</f>
        <v>#REF!</v>
      </c>
      <c r="F244" s="120">
        <f>SUM(F245:F251)</f>
        <v>12333218.970000006</v>
      </c>
      <c r="G244" s="65" t="e">
        <f>SUM(G245:G251)</f>
        <v>#REF!</v>
      </c>
      <c r="H244" s="64" t="e">
        <f>SUM(H245:H251)</f>
        <v>#REF!</v>
      </c>
      <c r="K244" s="120">
        <f>SUM(K245:K251)</f>
        <v>11028804.389999993</v>
      </c>
      <c r="L244" s="120">
        <v>10121418.789999995</v>
      </c>
    </row>
    <row r="245" spans="1:12" s="23" customFormat="1" ht="15.75" customHeight="1">
      <c r="A245" s="29"/>
      <c r="B245" s="29"/>
      <c r="C245" s="29"/>
      <c r="D245" s="34" t="s">
        <v>550</v>
      </c>
      <c r="E245" s="33" t="e">
        <f t="shared" ref="E245:E251" si="10">SUM(F245:H245)</f>
        <v>#REF!</v>
      </c>
      <c r="F245" s="121">
        <f>[2]PRE!H178</f>
        <v>4850926.2099999972</v>
      </c>
      <c r="G245" s="32" t="e">
        <f>[1]Sheet1!L176</f>
        <v>#REF!</v>
      </c>
      <c r="H245" s="31" t="e">
        <f>[1]Sheet1!N176</f>
        <v>#REF!</v>
      </c>
      <c r="K245" s="121">
        <v>3158629.3699999899</v>
      </c>
      <c r="L245" s="121">
        <v>3321992.9099999964</v>
      </c>
    </row>
    <row r="246" spans="1:12" s="23" customFormat="1" ht="15.75" customHeight="1">
      <c r="A246" s="29"/>
      <c r="B246" s="29"/>
      <c r="C246" s="29"/>
      <c r="D246" s="34" t="s">
        <v>551</v>
      </c>
      <c r="E246" s="33" t="e">
        <f t="shared" si="10"/>
        <v>#REF!</v>
      </c>
      <c r="F246" s="121">
        <f>[2]PRE!H179</f>
        <v>3256937.0200000107</v>
      </c>
      <c r="G246" s="32" t="e">
        <f>[1]Sheet1!L177</f>
        <v>#REF!</v>
      </c>
      <c r="H246" s="31" t="e">
        <f>[1]Sheet1!N177</f>
        <v>#REF!</v>
      </c>
      <c r="K246" s="121">
        <v>3173142.5300000012</v>
      </c>
      <c r="L246" s="121">
        <v>2918042.799999997</v>
      </c>
    </row>
    <row r="247" spans="1:12" s="23" customFormat="1" ht="15.75" customHeight="1">
      <c r="A247" s="29"/>
      <c r="B247" s="29"/>
      <c r="C247" s="29"/>
      <c r="D247" s="34" t="s">
        <v>552</v>
      </c>
      <c r="E247" s="33" t="e">
        <f t="shared" si="10"/>
        <v>#REF!</v>
      </c>
      <c r="F247" s="121">
        <f>[2]PRE!H180</f>
        <v>742409.61000000127</v>
      </c>
      <c r="G247" s="32" t="e">
        <f>[1]Sheet1!L178</f>
        <v>#REF!</v>
      </c>
      <c r="H247" s="31" t="e">
        <f>[1]Sheet1!N178</f>
        <v>#REF!</v>
      </c>
      <c r="K247" s="121">
        <v>814525.66999999993</v>
      </c>
      <c r="L247" s="121">
        <v>698546.1400000006</v>
      </c>
    </row>
    <row r="248" spans="1:12" s="23" customFormat="1" ht="15.75" customHeight="1">
      <c r="A248" s="29"/>
      <c r="B248" s="29"/>
      <c r="C248" s="29"/>
      <c r="D248" s="34" t="s">
        <v>553</v>
      </c>
      <c r="E248" s="33" t="e">
        <f t="shared" si="10"/>
        <v>#REF!</v>
      </c>
      <c r="F248" s="121">
        <f>[2]PRE!H181</f>
        <v>140070.04999999981</v>
      </c>
      <c r="G248" s="32" t="e">
        <f>[1]Sheet1!L179</f>
        <v>#REF!</v>
      </c>
      <c r="H248" s="31" t="e">
        <f>[1]Sheet1!N179</f>
        <v>#REF!</v>
      </c>
      <c r="K248" s="121">
        <v>212737.49000000022</v>
      </c>
      <c r="L248" s="121">
        <v>141270.04999999981</v>
      </c>
    </row>
    <row r="249" spans="1:12" s="23" customFormat="1" ht="15.75" customHeight="1">
      <c r="A249" s="29"/>
      <c r="B249" s="29"/>
      <c r="C249" s="29"/>
      <c r="D249" s="34" t="s">
        <v>554</v>
      </c>
      <c r="E249" s="33" t="e">
        <f t="shared" si="10"/>
        <v>#REF!</v>
      </c>
      <c r="F249" s="121">
        <f>[2]PRE!H182</f>
        <v>1134316.8600000001</v>
      </c>
      <c r="G249" s="32" t="e">
        <f>[1]Sheet1!L180</f>
        <v>#REF!</v>
      </c>
      <c r="H249" s="31" t="e">
        <f>[1]Sheet1!N180</f>
        <v>#REF!</v>
      </c>
      <c r="K249" s="121">
        <v>1134316.8600000001</v>
      </c>
      <c r="L249" s="121">
        <v>1134316.8600000001</v>
      </c>
    </row>
    <row r="250" spans="1:12" s="23" customFormat="1" ht="15.75" customHeight="1">
      <c r="A250" s="29"/>
      <c r="B250" s="29"/>
      <c r="C250" s="29"/>
      <c r="D250" s="34" t="s">
        <v>555</v>
      </c>
      <c r="E250" s="33" t="e">
        <f t="shared" si="10"/>
        <v>#REF!</v>
      </c>
      <c r="F250" s="121">
        <f>+[2]PRE!H183-[2]PRE!E183</f>
        <v>-381889.40999999968</v>
      </c>
      <c r="G250" s="32" t="e">
        <f>[1]Sheet1!L181</f>
        <v>#REF!</v>
      </c>
      <c r="H250" s="31" t="e">
        <f>[1]Sheet1!N181</f>
        <v>#REF!</v>
      </c>
      <c r="K250" s="121">
        <v>0</v>
      </c>
      <c r="L250" s="121">
        <v>-359038.40999999968</v>
      </c>
    </row>
    <row r="251" spans="1:12" s="23" customFormat="1" ht="15.75" customHeight="1">
      <c r="A251" s="29"/>
      <c r="B251" s="29"/>
      <c r="C251" s="29"/>
      <c r="D251" s="34" t="s">
        <v>556</v>
      </c>
      <c r="E251" s="33" t="e">
        <f t="shared" si="10"/>
        <v>#REF!</v>
      </c>
      <c r="F251" s="121">
        <f>[2]PRE!H184</f>
        <v>2590448.63</v>
      </c>
      <c r="G251" s="32" t="e">
        <f>[1]Sheet1!L182</f>
        <v>#REF!</v>
      </c>
      <c r="H251" s="31" t="e">
        <f>[1]Sheet1!N182</f>
        <v>#REF!</v>
      </c>
      <c r="K251" s="121">
        <v>2535452.4700000025</v>
      </c>
      <c r="L251" s="121">
        <v>2266288.4400000013</v>
      </c>
    </row>
    <row r="252" spans="1:12" s="62" customFormat="1" ht="15.75" customHeight="1">
      <c r="A252" s="30"/>
      <c r="B252" s="30"/>
      <c r="C252" s="30" t="s">
        <v>557</v>
      </c>
      <c r="D252" s="63"/>
      <c r="E252" s="66" t="e">
        <f>SUM(E253:E253)</f>
        <v>#REF!</v>
      </c>
      <c r="F252" s="120">
        <f>SUM(F253:F253)</f>
        <v>5861125.400000006</v>
      </c>
      <c r="G252" s="65" t="e">
        <f>SUM(G253:G253)</f>
        <v>#REF!</v>
      </c>
      <c r="H252" s="64" t="e">
        <f>SUM(H253:H253)</f>
        <v>#REF!</v>
      </c>
      <c r="K252" s="120">
        <f>SUM(K253:K253)</f>
        <v>113189.48000001162</v>
      </c>
      <c r="L252" s="120">
        <v>2115136.4800000042</v>
      </c>
    </row>
    <row r="253" spans="1:12" s="23" customFormat="1" ht="15.75" customHeight="1">
      <c r="A253" s="29"/>
      <c r="B253" s="29"/>
      <c r="C253" s="29"/>
      <c r="D253" s="34" t="s">
        <v>558</v>
      </c>
      <c r="E253" s="33" t="e">
        <f>SUM(F253:H253)</f>
        <v>#REF!</v>
      </c>
      <c r="F253" s="121">
        <f>[2]PRE!H185</f>
        <v>5861125.400000006</v>
      </c>
      <c r="G253" s="32" t="e">
        <f>[1]Sheet1!L183</f>
        <v>#REF!</v>
      </c>
      <c r="H253" s="31" t="e">
        <f>[1]Sheet1!N183</f>
        <v>#REF!</v>
      </c>
      <c r="K253" s="121">
        <v>113189.48000001162</v>
      </c>
      <c r="L253" s="121">
        <v>2115136.4800000042</v>
      </c>
    </row>
    <row r="254" spans="1:12" s="62" customFormat="1" ht="15.75" customHeight="1">
      <c r="A254" s="30"/>
      <c r="B254" s="30"/>
      <c r="C254" s="30" t="s">
        <v>559</v>
      </c>
      <c r="D254" s="63"/>
      <c r="E254" s="66" t="e">
        <f>SUM(E255:E259)</f>
        <v>#REF!</v>
      </c>
      <c r="F254" s="120">
        <f>SUM(F255:F259)</f>
        <v>18686603.419999994</v>
      </c>
      <c r="G254" s="65" t="e">
        <f>SUM(G255:G259)</f>
        <v>#REF!</v>
      </c>
      <c r="H254" s="64" t="e">
        <f>SUM(H255:H259)</f>
        <v>#REF!</v>
      </c>
      <c r="K254" s="120">
        <f>SUM(K255:K259)</f>
        <v>12570554.099999998</v>
      </c>
      <c r="L254" s="120">
        <v>10851748.059999974</v>
      </c>
    </row>
    <row r="255" spans="1:12" s="23" customFormat="1" ht="15.75" customHeight="1">
      <c r="A255" s="29"/>
      <c r="B255" s="29"/>
      <c r="C255" s="29"/>
      <c r="D255" s="34" t="s">
        <v>560</v>
      </c>
      <c r="E255" s="33" t="e">
        <f>SUM(F255:H255)</f>
        <v>#REF!</v>
      </c>
      <c r="F255" s="121">
        <f>[2]PRE!H186</f>
        <v>4251545.04</v>
      </c>
      <c r="G255" s="32" t="e">
        <f>[1]Sheet1!L184</f>
        <v>#REF!</v>
      </c>
      <c r="H255" s="31" t="e">
        <f>[1]Sheet1!N184</f>
        <v>#REF!</v>
      </c>
      <c r="K255" s="121">
        <v>7634709.9100000011</v>
      </c>
      <c r="L255" s="121">
        <v>4337893.9700000007</v>
      </c>
    </row>
    <row r="256" spans="1:12" s="23" customFormat="1" ht="15.75" customHeight="1">
      <c r="A256" s="29"/>
      <c r="B256" s="29"/>
      <c r="C256" s="29"/>
      <c r="D256" s="34" t="s">
        <v>561</v>
      </c>
      <c r="E256" s="33" t="e">
        <f>SUM(F256:H256)</f>
        <v>#REF!</v>
      </c>
      <c r="F256" s="121">
        <f>[2]PRE!H187</f>
        <v>0</v>
      </c>
      <c r="G256" s="32" t="e">
        <f>[1]Sheet1!L185</f>
        <v>#REF!</v>
      </c>
      <c r="H256" s="31" t="e">
        <f>[1]Sheet1!N185</f>
        <v>#REF!</v>
      </c>
      <c r="K256" s="121">
        <v>0</v>
      </c>
      <c r="L256" s="121">
        <v>0</v>
      </c>
    </row>
    <row r="257" spans="1:12" s="23" customFormat="1" ht="15.75" customHeight="1">
      <c r="A257" s="29"/>
      <c r="B257" s="29"/>
      <c r="C257" s="29"/>
      <c r="D257" s="34" t="s">
        <v>562</v>
      </c>
      <c r="E257" s="33" t="e">
        <f>SUM(F257:H257)</f>
        <v>#REF!</v>
      </c>
      <c r="F257" s="121">
        <f>[2]PRE!H188</f>
        <v>0</v>
      </c>
      <c r="G257" s="32" t="e">
        <f>[1]Sheet1!L186</f>
        <v>#REF!</v>
      </c>
      <c r="H257" s="31" t="e">
        <f>[1]Sheet1!N186</f>
        <v>#REF!</v>
      </c>
      <c r="K257" s="121">
        <v>0</v>
      </c>
      <c r="L257" s="121">
        <v>0</v>
      </c>
    </row>
    <row r="258" spans="1:12" s="23" customFormat="1" ht="15.75" customHeight="1">
      <c r="A258" s="29"/>
      <c r="B258" s="29"/>
      <c r="C258" s="29"/>
      <c r="D258" s="34" t="s">
        <v>563</v>
      </c>
      <c r="E258" s="33" t="e">
        <f>SUM(F258:H258)</f>
        <v>#REF!</v>
      </c>
      <c r="F258" s="121">
        <f>[2]PRE!H189</f>
        <v>0</v>
      </c>
      <c r="G258" s="32" t="e">
        <f>[1]Sheet1!L187</f>
        <v>#REF!</v>
      </c>
      <c r="H258" s="31" t="e">
        <f>[1]Sheet1!N187</f>
        <v>#REF!</v>
      </c>
      <c r="K258" s="121">
        <v>0</v>
      </c>
      <c r="L258" s="121">
        <v>0</v>
      </c>
    </row>
    <row r="259" spans="1:12" s="23" customFormat="1" ht="15.75" customHeight="1">
      <c r="A259" s="29"/>
      <c r="B259" s="29"/>
      <c r="C259" s="29"/>
      <c r="D259" s="34" t="s">
        <v>564</v>
      </c>
      <c r="E259" s="33" t="e">
        <f>SUM(F259:H259)</f>
        <v>#REF!</v>
      </c>
      <c r="F259" s="121">
        <f>[2]PRE!H190</f>
        <v>14435058.379999995</v>
      </c>
      <c r="G259" s="32" t="e">
        <f>[1]Sheet1!L188</f>
        <v>#REF!</v>
      </c>
      <c r="H259" s="31" t="e">
        <f>[1]Sheet1!N188</f>
        <v>#REF!</v>
      </c>
      <c r="K259" s="121">
        <v>4935844.1899999976</v>
      </c>
      <c r="L259" s="121">
        <v>6513854.0899999738</v>
      </c>
    </row>
    <row r="260" spans="1:12" s="67" customFormat="1" ht="15.75" customHeight="1">
      <c r="A260" s="132"/>
      <c r="B260" s="132"/>
      <c r="C260" s="132"/>
      <c r="D260" s="63" t="s">
        <v>565</v>
      </c>
      <c r="E260" s="66" t="e">
        <f>+E254+E252+E244+E239</f>
        <v>#REF!</v>
      </c>
      <c r="F260" s="120">
        <f>+F254+F252+F244+F239</f>
        <v>194333148.76999998</v>
      </c>
      <c r="G260" s="65" t="e">
        <f>+G254+G252+G244+G239</f>
        <v>#REF!</v>
      </c>
      <c r="H260" s="64" t="e">
        <f>+H254+H252+H244+H239</f>
        <v>#REF!</v>
      </c>
      <c r="K260" s="120">
        <f>+K254+K252+K244+K239</f>
        <v>238250391.61000001</v>
      </c>
      <c r="L260" s="120">
        <v>185803880.04999998</v>
      </c>
    </row>
    <row r="261" spans="1:12" s="62" customFormat="1" ht="15.75" customHeight="1">
      <c r="A261" s="30"/>
      <c r="B261" s="30" t="s">
        <v>566</v>
      </c>
      <c r="C261" s="30"/>
      <c r="D261" s="63"/>
      <c r="E261" s="66"/>
      <c r="F261" s="120"/>
      <c r="G261" s="65"/>
      <c r="H261" s="64"/>
      <c r="K261" s="120"/>
      <c r="L261" s="120"/>
    </row>
    <row r="262" spans="1:12" s="62" customFormat="1" ht="15.75" customHeight="1">
      <c r="A262" s="30"/>
      <c r="B262" s="30"/>
      <c r="C262" s="30" t="s">
        <v>567</v>
      </c>
      <c r="D262" s="63"/>
      <c r="E262" s="66"/>
      <c r="F262" s="120"/>
      <c r="G262" s="65"/>
      <c r="H262" s="64"/>
      <c r="K262" s="120"/>
      <c r="L262" s="120"/>
    </row>
    <row r="263" spans="1:12" s="23" customFormat="1" ht="15.75" customHeight="1">
      <c r="A263" s="29"/>
      <c r="B263" s="29"/>
      <c r="C263" s="29"/>
      <c r="D263" s="34" t="s">
        <v>568</v>
      </c>
      <c r="E263" s="33" t="e">
        <f t="shared" ref="E263:E268" si="11">SUM(F263:H263)</f>
        <v>#REF!</v>
      </c>
      <c r="F263" s="121">
        <f>[2]PRE!H191</f>
        <v>0</v>
      </c>
      <c r="G263" s="32" t="e">
        <f>[1]Sheet1!L189</f>
        <v>#REF!</v>
      </c>
      <c r="H263" s="31" t="e">
        <f>[1]Sheet1!N189</f>
        <v>#REF!</v>
      </c>
      <c r="K263" s="121">
        <v>0</v>
      </c>
      <c r="L263" s="121">
        <v>0</v>
      </c>
    </row>
    <row r="264" spans="1:12" s="23" customFormat="1" ht="15.75" customHeight="1">
      <c r="A264" s="29"/>
      <c r="B264" s="29"/>
      <c r="C264" s="29"/>
      <c r="D264" s="34" t="s">
        <v>569</v>
      </c>
      <c r="E264" s="33" t="e">
        <f t="shared" si="11"/>
        <v>#REF!</v>
      </c>
      <c r="F264" s="121">
        <f>[2]PRE!H192</f>
        <v>0</v>
      </c>
      <c r="G264" s="32" t="e">
        <f>[1]Sheet1!L190</f>
        <v>#REF!</v>
      </c>
      <c r="H264" s="31" t="e">
        <f>[1]Sheet1!N190</f>
        <v>#REF!</v>
      </c>
      <c r="K264" s="121">
        <v>0</v>
      </c>
      <c r="L264" s="121">
        <v>0</v>
      </c>
    </row>
    <row r="265" spans="1:12" s="23" customFormat="1" ht="15.75" customHeight="1">
      <c r="A265" s="29"/>
      <c r="B265" s="29"/>
      <c r="C265" s="29"/>
      <c r="D265" s="34" t="s">
        <v>570</v>
      </c>
      <c r="E265" s="33" t="e">
        <f t="shared" si="11"/>
        <v>#REF!</v>
      </c>
      <c r="F265" s="121">
        <f>[2]PRE!H193</f>
        <v>0</v>
      </c>
      <c r="G265" s="32" t="e">
        <f>[1]Sheet1!L191</f>
        <v>#REF!</v>
      </c>
      <c r="H265" s="31" t="e">
        <f>[1]Sheet1!N191</f>
        <v>#REF!</v>
      </c>
      <c r="K265" s="121">
        <v>0</v>
      </c>
      <c r="L265" s="121">
        <v>0</v>
      </c>
    </row>
    <row r="266" spans="1:12" s="23" customFormat="1" ht="15.75" customHeight="1">
      <c r="A266" s="29"/>
      <c r="B266" s="29"/>
      <c r="C266" s="29"/>
      <c r="D266" s="34" t="s">
        <v>571</v>
      </c>
      <c r="E266" s="33" t="e">
        <f t="shared" si="11"/>
        <v>#REF!</v>
      </c>
      <c r="F266" s="121">
        <f>[2]PRE!H194</f>
        <v>133509338.67999999</v>
      </c>
      <c r="G266" s="32" t="e">
        <f>[1]Sheet1!L192</f>
        <v>#REF!</v>
      </c>
      <c r="H266" s="31" t="e">
        <f>[1]Sheet1!N192</f>
        <v>#REF!</v>
      </c>
      <c r="K266" s="121">
        <v>194639838.41</v>
      </c>
      <c r="L266" s="121">
        <v>149560789.23999998</v>
      </c>
    </row>
    <row r="267" spans="1:12" s="23" customFormat="1" ht="15.75" customHeight="1">
      <c r="A267" s="29"/>
      <c r="B267" s="29"/>
      <c r="C267" s="29"/>
      <c r="D267" s="34" t="s">
        <v>572</v>
      </c>
      <c r="E267" s="33" t="e">
        <f t="shared" si="11"/>
        <v>#REF!</v>
      </c>
      <c r="F267" s="121">
        <f>[2]PRE!H195</f>
        <v>0</v>
      </c>
      <c r="G267" s="32" t="e">
        <f>[1]Sheet1!L193</f>
        <v>#REF!</v>
      </c>
      <c r="H267" s="31" t="e">
        <f>[1]Sheet1!N193</f>
        <v>#REF!</v>
      </c>
      <c r="K267" s="121">
        <v>0</v>
      </c>
      <c r="L267" s="121">
        <v>0</v>
      </c>
    </row>
    <row r="268" spans="1:12" s="23" customFormat="1" ht="15.75" customHeight="1">
      <c r="A268" s="29"/>
      <c r="B268" s="29"/>
      <c r="C268" s="29"/>
      <c r="D268" s="34" t="s">
        <v>573</v>
      </c>
      <c r="E268" s="33" t="e">
        <f t="shared" si="11"/>
        <v>#REF!</v>
      </c>
      <c r="F268" s="121">
        <f>[2]PRE!H196</f>
        <v>0</v>
      </c>
      <c r="G268" s="32" t="e">
        <f>[1]Sheet1!L194</f>
        <v>#REF!</v>
      </c>
      <c r="H268" s="31" t="e">
        <f>[1]Sheet1!N194</f>
        <v>#REF!</v>
      </c>
      <c r="K268" s="121">
        <v>0</v>
      </c>
      <c r="L268" s="121">
        <v>0</v>
      </c>
    </row>
    <row r="269" spans="1:12" s="67" customFormat="1" ht="15.75" customHeight="1">
      <c r="A269" s="30"/>
      <c r="B269" s="30"/>
      <c r="C269" s="30"/>
      <c r="D269" s="63" t="s">
        <v>574</v>
      </c>
      <c r="E269" s="66" t="e">
        <f>SUM(E263:E268)</f>
        <v>#REF!</v>
      </c>
      <c r="F269" s="120">
        <f>SUM(F263:F268)</f>
        <v>133509338.67999999</v>
      </c>
      <c r="G269" s="65" t="e">
        <f>SUM(G263:G268)</f>
        <v>#REF!</v>
      </c>
      <c r="H269" s="64" t="e">
        <f>SUM(H263:H268)</f>
        <v>#REF!</v>
      </c>
      <c r="K269" s="120">
        <f>SUM(K263:K268)</f>
        <v>194639838.41</v>
      </c>
      <c r="L269" s="120">
        <v>149560789.23999998</v>
      </c>
    </row>
    <row r="270" spans="1:12" s="67" customFormat="1" ht="15.75" customHeight="1">
      <c r="A270" s="30"/>
      <c r="B270" s="30"/>
      <c r="C270" s="30"/>
      <c r="D270" s="63" t="s">
        <v>575</v>
      </c>
      <c r="E270" s="66" t="e">
        <f>+E269+E260</f>
        <v>#REF!</v>
      </c>
      <c r="F270" s="120">
        <f>+F269+F260</f>
        <v>327842487.44999999</v>
      </c>
      <c r="G270" s="65" t="e">
        <f>+G269+G260</f>
        <v>#REF!</v>
      </c>
      <c r="H270" s="64" t="e">
        <f>+H269+H260</f>
        <v>#REF!</v>
      </c>
      <c r="K270" s="120">
        <f>+K269+K260</f>
        <v>432890230.01999998</v>
      </c>
      <c r="L270" s="120">
        <v>335364669.28999996</v>
      </c>
    </row>
    <row r="271" spans="1:12" s="62" customFormat="1" ht="15.75" customHeight="1">
      <c r="A271" s="30"/>
      <c r="B271" s="30" t="s">
        <v>576</v>
      </c>
      <c r="C271" s="30"/>
      <c r="D271" s="63"/>
      <c r="E271" s="66"/>
      <c r="F271" s="120"/>
      <c r="G271" s="65"/>
      <c r="H271" s="64"/>
      <c r="K271" s="120"/>
      <c r="L271" s="120"/>
    </row>
    <row r="272" spans="1:12" s="23" customFormat="1" ht="15.75" customHeight="1">
      <c r="A272" s="29"/>
      <c r="B272" s="29"/>
      <c r="C272" s="29"/>
      <c r="D272" s="34" t="s">
        <v>577</v>
      </c>
      <c r="E272" s="33" t="e">
        <f>SUM(F272:H272)</f>
        <v>#REF!</v>
      </c>
      <c r="F272" s="121">
        <f>[2]PRE!H197</f>
        <v>0</v>
      </c>
      <c r="G272" s="32" t="e">
        <f>[1]Sheet1!L195</f>
        <v>#REF!</v>
      </c>
      <c r="H272" s="31" t="e">
        <f>[1]Sheet1!N195</f>
        <v>#REF!</v>
      </c>
      <c r="K272" s="121">
        <v>0</v>
      </c>
      <c r="L272" s="121">
        <v>0</v>
      </c>
    </row>
    <row r="273" spans="1:12" s="23" customFormat="1" ht="15.75" customHeight="1">
      <c r="A273" s="29"/>
      <c r="B273" s="29"/>
      <c r="C273" s="29"/>
      <c r="D273" s="34" t="s">
        <v>578</v>
      </c>
      <c r="E273" s="33" t="e">
        <f>SUM(F273:H273)</f>
        <v>#REF!</v>
      </c>
      <c r="F273" s="121">
        <f>[2]PRE!H198</f>
        <v>0</v>
      </c>
      <c r="G273" s="32" t="e">
        <f>[1]Sheet1!L196</f>
        <v>#REF!</v>
      </c>
      <c r="H273" s="31" t="e">
        <f>[1]Sheet1!N196</f>
        <v>#REF!</v>
      </c>
      <c r="K273" s="121">
        <v>0</v>
      </c>
      <c r="L273" s="121">
        <v>0</v>
      </c>
    </row>
    <row r="274" spans="1:12" s="23" customFormat="1" ht="15.75" customHeight="1">
      <c r="A274" s="29"/>
      <c r="B274" s="29"/>
      <c r="C274" s="29"/>
      <c r="D274" s="34" t="s">
        <v>579</v>
      </c>
      <c r="E274" s="33" t="e">
        <f>SUM(F274:H274)</f>
        <v>#REF!</v>
      </c>
      <c r="F274" s="121">
        <f>[2]PRE!H199</f>
        <v>9023292.2999999989</v>
      </c>
      <c r="G274" s="32" t="e">
        <f>[1]Sheet1!L197</f>
        <v>#REF!</v>
      </c>
      <c r="H274" s="31" t="e">
        <f>[1]Sheet1!N197</f>
        <v>#REF!</v>
      </c>
      <c r="K274" s="121">
        <v>9002127.0199999996</v>
      </c>
      <c r="L274" s="121">
        <v>9023292.2999999989</v>
      </c>
    </row>
    <row r="275" spans="1:12" s="67" customFormat="1" ht="15.75" customHeight="1">
      <c r="A275" s="30"/>
      <c r="B275" s="30"/>
      <c r="C275" s="30"/>
      <c r="D275" s="63" t="s">
        <v>580</v>
      </c>
      <c r="E275" s="66" t="e">
        <f>SUM(E272:E274)</f>
        <v>#REF!</v>
      </c>
      <c r="F275" s="120">
        <f>SUM(F272:F274)</f>
        <v>9023292.2999999989</v>
      </c>
      <c r="G275" s="65" t="e">
        <f>SUM(G272:G274)</f>
        <v>#REF!</v>
      </c>
      <c r="H275" s="64" t="e">
        <f>SUM(H272:H274)</f>
        <v>#REF!</v>
      </c>
      <c r="K275" s="120">
        <f>SUM(K272:K274)</f>
        <v>9002127.0199999996</v>
      </c>
      <c r="L275" s="120">
        <v>9023292.2999999989</v>
      </c>
    </row>
    <row r="276" spans="1:12" s="67" customFormat="1" ht="15.75" customHeight="1">
      <c r="A276" s="30"/>
      <c r="B276" s="30"/>
      <c r="C276" s="30"/>
      <c r="D276" s="63"/>
      <c r="E276" s="66"/>
      <c r="F276" s="120"/>
      <c r="G276" s="65"/>
      <c r="H276" s="64"/>
      <c r="K276" s="120"/>
      <c r="L276" s="120"/>
    </row>
    <row r="277" spans="1:12" s="62" customFormat="1" ht="15.75" customHeight="1">
      <c r="A277" s="30" t="s">
        <v>581</v>
      </c>
      <c r="B277" s="30"/>
      <c r="C277" s="30"/>
      <c r="D277" s="63"/>
      <c r="E277" s="66">
        <f>+E278</f>
        <v>1391555370.5999999</v>
      </c>
      <c r="F277" s="120">
        <f>+F278</f>
        <v>1272772037.98</v>
      </c>
      <c r="G277" s="65">
        <f>+G278</f>
        <v>16396736.120000003</v>
      </c>
      <c r="H277" s="64">
        <f>+H278</f>
        <v>102386596.5</v>
      </c>
      <c r="K277" s="120">
        <f>+K278</f>
        <v>986385043.00999999</v>
      </c>
      <c r="L277" s="120">
        <v>1141197342.7</v>
      </c>
    </row>
    <row r="278" spans="1:12" s="23" customFormat="1" ht="15.75" customHeight="1">
      <c r="A278" s="29"/>
      <c r="B278" s="43" t="s">
        <v>582</v>
      </c>
      <c r="C278" s="29"/>
      <c r="D278" s="28"/>
      <c r="E278" s="33">
        <f>SUM(F278:H278)</f>
        <v>1391555370.5999999</v>
      </c>
      <c r="F278" s="121">
        <f>+[2]SGE!F40</f>
        <v>1272772037.98</v>
      </c>
      <c r="G278" s="32">
        <f>[1]SGE!D16</f>
        <v>16396736.120000003</v>
      </c>
      <c r="H278" s="31">
        <f>[1]SGE!E16</f>
        <v>102386596.5</v>
      </c>
      <c r="K278" s="121">
        <v>986385043.00999999</v>
      </c>
      <c r="L278" s="121">
        <v>1141197342.7</v>
      </c>
    </row>
    <row r="279" spans="1:12" s="136" customFormat="1" ht="15.75" customHeight="1">
      <c r="A279" s="30"/>
      <c r="B279" s="30"/>
      <c r="C279" s="30"/>
      <c r="D279" s="115" t="s">
        <v>583</v>
      </c>
      <c r="E279" s="133" t="e">
        <f>+E277+E275+E270</f>
        <v>#REF!</v>
      </c>
      <c r="F279" s="129">
        <f>+F277+F275+F270</f>
        <v>1609637817.73</v>
      </c>
      <c r="G279" s="134" t="e">
        <f>+G277+G275+G270</f>
        <v>#REF!</v>
      </c>
      <c r="H279" s="135" t="e">
        <f>+H277+H275+H270</f>
        <v>#REF!</v>
      </c>
      <c r="I279" s="136">
        <f>F279-F235</f>
        <v>-1377792.9999995232</v>
      </c>
      <c r="K279" s="129">
        <f>+K277+K275+K270</f>
        <v>1428277400.05</v>
      </c>
      <c r="L279" s="129">
        <v>1485585304.29</v>
      </c>
    </row>
    <row r="280" spans="1:12" ht="15.75" customHeight="1">
      <c r="A280" s="18"/>
      <c r="B280" s="18"/>
      <c r="C280" s="18"/>
      <c r="D280" s="16"/>
      <c r="E280" s="15"/>
      <c r="F280" s="137">
        <f>F235-F279</f>
        <v>1377792.9999995232</v>
      </c>
      <c r="G280" s="14"/>
      <c r="H280" s="13"/>
      <c r="K280" s="137"/>
      <c r="L280" s="137">
        <v>0</v>
      </c>
    </row>
    <row r="281" spans="1:12" s="143" customFormat="1" ht="15.75" customHeight="1">
      <c r="A281" s="138"/>
      <c r="B281" s="138"/>
      <c r="C281" s="138"/>
      <c r="D281" s="139" t="s">
        <v>3</v>
      </c>
      <c r="E281" s="140" t="e">
        <f>+E279-E235</f>
        <v>#REF!</v>
      </c>
      <c r="F281" s="141">
        <f>+F279-F235</f>
        <v>-1377792.9999995232</v>
      </c>
      <c r="G281" s="142" t="e">
        <f>+G279-G235</f>
        <v>#REF!</v>
      </c>
      <c r="H281" s="142" t="e">
        <f>+H279-H235</f>
        <v>#REF!</v>
      </c>
      <c r="K281" s="141"/>
      <c r="L281" s="141">
        <v>0</v>
      </c>
    </row>
    <row r="282" spans="1:12" ht="15.75" customHeight="1">
      <c r="G282" s="144"/>
      <c r="H282" s="144"/>
      <c r="I282" s="144"/>
      <c r="J282" s="144"/>
    </row>
    <row r="283" spans="1:12" ht="15.75" hidden="1" customHeight="1">
      <c r="F283" s="144">
        <f>+F279-F235</f>
        <v>-1377792.9999995232</v>
      </c>
      <c r="I283" s="1">
        <f>+F235-F279</f>
        <v>1377792.9999995232</v>
      </c>
      <c r="L283" s="144">
        <v>0</v>
      </c>
    </row>
    <row r="285" spans="1:12" ht="15.75" customHeight="1">
      <c r="I285" s="1">
        <f>+[2]PRE!H281+[2]PRE!H249</f>
        <v>903254.64</v>
      </c>
    </row>
    <row r="286" spans="1:12" ht="15.75" customHeight="1">
      <c r="A286" s="1" t="s">
        <v>2</v>
      </c>
    </row>
    <row r="287" spans="1:12" ht="15.75" customHeight="1">
      <c r="D287" s="8"/>
    </row>
    <row r="288" spans="1:12" ht="15.75" customHeight="1">
      <c r="D288" s="8"/>
      <c r="I288" s="1">
        <f>+I284-I283</f>
        <v>-1377792.9999995232</v>
      </c>
    </row>
    <row r="289" spans="1:4" ht="15.75" customHeight="1">
      <c r="A289" s="9" t="s">
        <v>1</v>
      </c>
      <c r="D289" s="8"/>
    </row>
    <row r="290" spans="1:4" ht="15.75" customHeight="1">
      <c r="A290" s="7" t="s">
        <v>0</v>
      </c>
    </row>
  </sheetData>
  <printOptions horizontalCentered="1"/>
  <pageMargins left="1" right="1" top="1" bottom="1" header="0.5" footer="0.5"/>
  <pageSetup paperSize="258" scale="90" orientation="portrait" r:id="rId1"/>
  <headerFooter alignWithMargins="0"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O340"/>
  <sheetViews>
    <sheetView workbookViewId="0">
      <selection activeCell="F18" sqref="F18"/>
    </sheetView>
  </sheetViews>
  <sheetFormatPr defaultRowHeight="15.75" customHeight="1"/>
  <cols>
    <col min="1" max="2" width="1.42578125" style="6" customWidth="1"/>
    <col min="3" max="4" width="1.42578125" style="1" customWidth="1"/>
    <col min="5" max="5" width="1.42578125" style="5" customWidth="1"/>
    <col min="6" max="6" width="64.140625" style="4" customWidth="1"/>
    <col min="7" max="7" width="15.7109375" style="3" hidden="1" customWidth="1"/>
    <col min="8" max="8" width="20.7109375" style="2" customWidth="1"/>
    <col min="9" max="10" width="18.7109375" style="3" hidden="1" customWidth="1"/>
    <col min="11" max="12" width="18.7109375" style="1" hidden="1" customWidth="1"/>
    <col min="13" max="13" width="18.7109375" style="2" customWidth="1"/>
    <col min="14" max="14" width="9.140625" style="1" customWidth="1"/>
    <col min="15" max="15" width="21.42578125" style="1" customWidth="1"/>
    <col min="16" max="16384" width="9.140625" style="1"/>
  </cols>
  <sheetData>
    <row r="1" spans="1:14" ht="15.75" customHeight="1">
      <c r="A1" s="95" t="s">
        <v>315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4" ht="15.75" customHeight="1">
      <c r="A2" s="96" t="s">
        <v>314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</row>
    <row r="3" spans="1:14" ht="15.75" customHeight="1">
      <c r="A3" s="95" t="s">
        <v>313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</row>
    <row r="4" spans="1:14" ht="8.25" customHeight="1">
      <c r="A4" s="100"/>
      <c r="B4" s="100"/>
      <c r="C4" s="100"/>
      <c r="D4" s="100"/>
      <c r="E4" s="100"/>
      <c r="F4" s="99"/>
      <c r="G4" s="98"/>
      <c r="H4" s="97"/>
      <c r="I4" s="1"/>
      <c r="J4" s="1"/>
      <c r="M4" s="97"/>
    </row>
    <row r="5" spans="1:14" ht="15.75" customHeight="1">
      <c r="A5" s="96" t="s">
        <v>312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</row>
    <row r="6" spans="1:14" ht="15.75" customHeight="1">
      <c r="A6" s="96" t="s">
        <v>311</v>
      </c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</row>
    <row r="7" spans="1:14" ht="15.75" customHeight="1">
      <c r="A7" s="95" t="s">
        <v>310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</row>
    <row r="8" spans="1:14" ht="15.75" customHeight="1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</row>
    <row r="9" spans="1:14" ht="15.75" hidden="1" customHeight="1">
      <c r="A9" s="93"/>
      <c r="B9" s="93"/>
      <c r="C9" s="92"/>
      <c r="D9" s="92"/>
      <c r="E9" s="91"/>
      <c r="F9" s="90"/>
      <c r="G9" s="89"/>
      <c r="H9" s="88"/>
      <c r="I9" s="13"/>
      <c r="J9" s="13"/>
      <c r="M9" s="88"/>
    </row>
    <row r="10" spans="1:14" ht="6.75" customHeight="1">
      <c r="A10" s="86"/>
      <c r="B10" s="86"/>
      <c r="C10" s="21"/>
      <c r="D10" s="21"/>
      <c r="E10" s="85"/>
      <c r="F10" s="84"/>
      <c r="G10" s="83"/>
      <c r="H10" s="87"/>
      <c r="I10" s="14"/>
      <c r="J10" s="13"/>
      <c r="M10" s="87"/>
    </row>
    <row r="11" spans="1:14" ht="15.75" customHeight="1">
      <c r="A11" s="86"/>
      <c r="B11" s="86"/>
      <c r="C11" s="21"/>
      <c r="D11" s="21"/>
      <c r="E11" s="85"/>
      <c r="F11" s="84"/>
      <c r="G11" s="83"/>
      <c r="H11" s="79"/>
      <c r="I11" s="82"/>
      <c r="J11" s="81"/>
      <c r="K11" s="80"/>
      <c r="L11" s="80"/>
      <c r="M11" s="79"/>
    </row>
    <row r="12" spans="1:14" s="6" customFormat="1" ht="15.75" customHeight="1">
      <c r="A12" s="19" t="s">
        <v>309</v>
      </c>
      <c r="B12" s="19"/>
      <c r="C12" s="18"/>
      <c r="D12" s="18"/>
      <c r="E12" s="17"/>
      <c r="F12" s="78"/>
      <c r="G12" s="77"/>
      <c r="H12" s="74"/>
      <c r="I12" s="76"/>
      <c r="J12" s="75"/>
      <c r="M12" s="74"/>
    </row>
    <row r="13" spans="1:14" s="67" customFormat="1" ht="15.75" customHeight="1">
      <c r="A13" s="30"/>
      <c r="B13" s="30" t="s">
        <v>308</v>
      </c>
      <c r="C13" s="29"/>
      <c r="D13" s="29"/>
      <c r="E13" s="29"/>
      <c r="F13" s="63"/>
      <c r="G13" s="66" t="e">
        <f>SUM(G14:G30)</f>
        <v>#REF!</v>
      </c>
      <c r="H13" s="39">
        <f>SUM(H14:H30)</f>
        <v>46868239.630000003</v>
      </c>
      <c r="I13" s="65" t="e">
        <f>SUM(I14:I30)</f>
        <v>#REF!</v>
      </c>
      <c r="J13" s="64" t="e">
        <f>SUM(J14:J30)</f>
        <v>#REF!</v>
      </c>
      <c r="M13" s="39">
        <v>36542934.069999993</v>
      </c>
    </row>
    <row r="14" spans="1:14" s="23" customFormat="1" ht="15.75" customHeight="1">
      <c r="A14" s="30"/>
      <c r="B14" s="30"/>
      <c r="C14" s="43" t="s">
        <v>307</v>
      </c>
      <c r="D14" s="29"/>
      <c r="E14" s="29"/>
      <c r="F14" s="28"/>
      <c r="G14" s="33" t="e">
        <f>SUM(H14:J14)</f>
        <v>#REF!</v>
      </c>
      <c r="H14" s="24">
        <f>[2]PRE!H206</f>
        <v>74400</v>
      </c>
      <c r="I14" s="32" t="e">
        <f>[1]Sheet1!L204</f>
        <v>#REF!</v>
      </c>
      <c r="J14" s="31" t="e">
        <f>[1]Sheet1!N204</f>
        <v>#REF!</v>
      </c>
      <c r="M14" s="24">
        <v>72884</v>
      </c>
    </row>
    <row r="15" spans="1:14" s="23" customFormat="1" ht="15.75" customHeight="1">
      <c r="A15" s="30"/>
      <c r="B15" s="30"/>
      <c r="C15" s="43" t="s">
        <v>306</v>
      </c>
      <c r="D15" s="29"/>
      <c r="E15" s="29"/>
      <c r="F15" s="28"/>
      <c r="G15" s="33">
        <f>SUM(H15:J15)</f>
        <v>76268.5</v>
      </c>
      <c r="H15" s="24">
        <f>[2]PRE!H207</f>
        <v>76268.5</v>
      </c>
      <c r="I15" s="32"/>
      <c r="J15" s="31"/>
      <c r="M15" s="24">
        <v>51410</v>
      </c>
    </row>
    <row r="16" spans="1:14" s="23" customFormat="1" ht="15" customHeight="1">
      <c r="A16" s="30"/>
      <c r="B16" s="30"/>
      <c r="C16" s="43" t="s">
        <v>305</v>
      </c>
      <c r="D16" s="29"/>
      <c r="E16" s="29"/>
      <c r="F16" s="28"/>
      <c r="G16" s="33" t="e">
        <f>SUM(H16:J16)</f>
        <v>#REF!</v>
      </c>
      <c r="H16" s="24">
        <f>[2]PRE!H208</f>
        <v>0</v>
      </c>
      <c r="I16" s="32" t="e">
        <f>[1]Sheet1!L205</f>
        <v>#REF!</v>
      </c>
      <c r="J16" s="31" t="e">
        <f>[1]Sheet1!N205</f>
        <v>#REF!</v>
      </c>
      <c r="M16" s="24">
        <v>0</v>
      </c>
    </row>
    <row r="17" spans="1:13" s="23" customFormat="1" ht="15" customHeight="1">
      <c r="A17" s="30"/>
      <c r="B17" s="30"/>
      <c r="C17" s="43" t="s">
        <v>304</v>
      </c>
      <c r="D17" s="29"/>
      <c r="E17" s="29"/>
      <c r="F17" s="28"/>
      <c r="G17" s="33" t="e">
        <f>SUM(H17:J17)</f>
        <v>#REF!</v>
      </c>
      <c r="H17" s="24">
        <f>[2]PRE!H209</f>
        <v>0</v>
      </c>
      <c r="I17" s="32" t="e">
        <f>[1]Sheet1!L206</f>
        <v>#REF!</v>
      </c>
      <c r="J17" s="31" t="e">
        <f>[1]Sheet1!N206</f>
        <v>#REF!</v>
      </c>
      <c r="M17" s="24">
        <v>0</v>
      </c>
    </row>
    <row r="18" spans="1:13" s="23" customFormat="1" ht="15" customHeight="1">
      <c r="A18" s="30"/>
      <c r="B18" s="30"/>
      <c r="C18" s="43" t="s">
        <v>303</v>
      </c>
      <c r="D18" s="29"/>
      <c r="E18" s="29"/>
      <c r="F18" s="28"/>
      <c r="G18" s="33" t="e">
        <f>SUM(H18:J18)</f>
        <v>#REF!</v>
      </c>
      <c r="H18" s="24">
        <f>[2]PRE!H210</f>
        <v>0</v>
      </c>
      <c r="I18" s="32" t="e">
        <f>[1]Sheet1!L207</f>
        <v>#REF!</v>
      </c>
      <c r="J18" s="31" t="e">
        <f>[1]Sheet1!N207</f>
        <v>#REF!</v>
      </c>
      <c r="M18" s="24">
        <v>0</v>
      </c>
    </row>
    <row r="19" spans="1:13" s="23" customFormat="1" ht="15" customHeight="1">
      <c r="A19" s="30"/>
      <c r="B19" s="30"/>
      <c r="C19" s="43" t="s">
        <v>302</v>
      </c>
      <c r="D19" s="29"/>
      <c r="E19" s="29"/>
      <c r="F19" s="28"/>
      <c r="G19" s="33" t="e">
        <f>SUM(H19:J19)</f>
        <v>#REF!</v>
      </c>
      <c r="H19" s="24">
        <f>[2]PRE!H211</f>
        <v>262320</v>
      </c>
      <c r="I19" s="32" t="e">
        <f>[1]Sheet1!L208</f>
        <v>#REF!</v>
      </c>
      <c r="J19" s="31" t="e">
        <f>[1]Sheet1!N208</f>
        <v>#REF!</v>
      </c>
      <c r="M19" s="24">
        <v>57127.5</v>
      </c>
    </row>
    <row r="20" spans="1:13" s="23" customFormat="1" ht="15" customHeight="1">
      <c r="A20" s="30"/>
      <c r="B20" s="30"/>
      <c r="C20" s="43" t="s">
        <v>301</v>
      </c>
      <c r="D20" s="29"/>
      <c r="E20" s="29"/>
      <c r="F20" s="28"/>
      <c r="G20" s="33" t="e">
        <f>SUM(H20:J20)</f>
        <v>#REF!</v>
      </c>
      <c r="H20" s="24">
        <f>[2]PRE!H212</f>
        <v>10680.65</v>
      </c>
      <c r="I20" s="32" t="e">
        <f>[1]Sheet1!L209</f>
        <v>#REF!</v>
      </c>
      <c r="J20" s="31" t="e">
        <f>[1]Sheet1!N209</f>
        <v>#REF!</v>
      </c>
      <c r="M20" s="24">
        <v>5958.22</v>
      </c>
    </row>
    <row r="21" spans="1:13" s="23" customFormat="1" ht="15" customHeight="1">
      <c r="A21" s="30"/>
      <c r="B21" s="30"/>
      <c r="C21" s="43" t="s">
        <v>300</v>
      </c>
      <c r="D21" s="29"/>
      <c r="E21" s="29"/>
      <c r="F21" s="28"/>
      <c r="G21" s="33" t="e">
        <f>SUM(H21:J21)</f>
        <v>#REF!</v>
      </c>
      <c r="H21" s="24">
        <f>[2]PRE!H213</f>
        <v>287963.80000000005</v>
      </c>
      <c r="I21" s="32" t="e">
        <f>[1]Sheet1!L210</f>
        <v>#REF!</v>
      </c>
      <c r="J21" s="31" t="e">
        <f>[1]Sheet1!N210</f>
        <v>#REF!</v>
      </c>
      <c r="M21" s="24">
        <v>393209.86</v>
      </c>
    </row>
    <row r="22" spans="1:13" s="23" customFormat="1" ht="15" customHeight="1">
      <c r="A22" s="30"/>
      <c r="B22" s="30"/>
      <c r="C22" s="43" t="s">
        <v>299</v>
      </c>
      <c r="D22" s="29"/>
      <c r="E22" s="29"/>
      <c r="F22" s="28"/>
      <c r="G22" s="33" t="e">
        <f>SUM(H22:J22)</f>
        <v>#REF!</v>
      </c>
      <c r="H22" s="24">
        <f>[2]PRE!H214</f>
        <v>13327660.690000001</v>
      </c>
      <c r="I22" s="32" t="e">
        <f>[1]Sheet1!L211</f>
        <v>#REF!</v>
      </c>
      <c r="J22" s="31" t="e">
        <f>[1]Sheet1!N211</f>
        <v>#REF!</v>
      </c>
      <c r="M22" s="24">
        <v>7536660.6000000006</v>
      </c>
    </row>
    <row r="23" spans="1:13" s="23" customFormat="1" ht="15" customHeight="1">
      <c r="A23" s="30"/>
      <c r="B23" s="30"/>
      <c r="C23" s="43" t="s">
        <v>298</v>
      </c>
      <c r="D23" s="29"/>
      <c r="E23" s="29"/>
      <c r="F23" s="28"/>
      <c r="G23" s="33" t="e">
        <f>SUM(H23:J23)</f>
        <v>#REF!</v>
      </c>
      <c r="H23" s="24">
        <f>[2]PRE!H215</f>
        <v>0</v>
      </c>
      <c r="I23" s="32" t="e">
        <f>[1]Sheet1!L212</f>
        <v>#REF!</v>
      </c>
      <c r="J23" s="31" t="e">
        <f>[1]Sheet1!N212</f>
        <v>#REF!</v>
      </c>
      <c r="M23" s="24">
        <v>0</v>
      </c>
    </row>
    <row r="24" spans="1:13" s="23" customFormat="1" ht="15" customHeight="1">
      <c r="A24" s="30"/>
      <c r="B24" s="30"/>
      <c r="C24" s="43" t="s">
        <v>297</v>
      </c>
      <c r="D24" s="29"/>
      <c r="E24" s="29"/>
      <c r="F24" s="28"/>
      <c r="G24" s="33" t="e">
        <f>SUM(H24:J24)</f>
        <v>#REF!</v>
      </c>
      <c r="H24" s="24">
        <f>[2]PRE!H216</f>
        <v>0</v>
      </c>
      <c r="I24" s="32" t="e">
        <f>[1]Sheet1!L213</f>
        <v>#REF!</v>
      </c>
      <c r="J24" s="31" t="e">
        <f>[1]Sheet1!N213</f>
        <v>#REF!</v>
      </c>
      <c r="M24" s="24">
        <v>0</v>
      </c>
    </row>
    <row r="25" spans="1:13" s="23" customFormat="1" ht="15" customHeight="1">
      <c r="A25" s="30"/>
      <c r="B25" s="30"/>
      <c r="C25" s="43" t="s">
        <v>296</v>
      </c>
      <c r="D25" s="29"/>
      <c r="E25" s="29"/>
      <c r="F25" s="28"/>
      <c r="G25" s="33" t="e">
        <f>SUM(H25:J25)</f>
        <v>#REF!</v>
      </c>
      <c r="H25" s="24">
        <f>[2]PRE!H217</f>
        <v>0</v>
      </c>
      <c r="I25" s="32" t="e">
        <f>[1]Sheet1!L214</f>
        <v>#REF!</v>
      </c>
      <c r="J25" s="31" t="e">
        <f>[1]Sheet1!N214</f>
        <v>#REF!</v>
      </c>
      <c r="M25" s="24">
        <v>0</v>
      </c>
    </row>
    <row r="26" spans="1:13" s="23" customFormat="1" ht="15.75" customHeight="1">
      <c r="A26" s="30"/>
      <c r="B26" s="30"/>
      <c r="C26" s="43" t="s">
        <v>295</v>
      </c>
      <c r="D26" s="29"/>
      <c r="E26" s="29"/>
      <c r="F26" s="28"/>
      <c r="G26" s="33" t="e">
        <f>SUM(H26:J26)</f>
        <v>#REF!</v>
      </c>
      <c r="H26" s="24">
        <f>[2]PRE!H218</f>
        <v>682320</v>
      </c>
      <c r="I26" s="32" t="e">
        <f>[1]Sheet1!L215</f>
        <v>#REF!</v>
      </c>
      <c r="J26" s="31" t="e">
        <f>[1]Sheet1!N215</f>
        <v>#REF!</v>
      </c>
      <c r="M26" s="24">
        <v>776000</v>
      </c>
    </row>
    <row r="27" spans="1:13" s="23" customFormat="1" ht="15.75" customHeight="1">
      <c r="A27" s="30"/>
      <c r="B27" s="30"/>
      <c r="C27" s="43" t="s">
        <v>294</v>
      </c>
      <c r="D27" s="29"/>
      <c r="E27" s="29"/>
      <c r="F27" s="28"/>
      <c r="G27" s="33" t="e">
        <f>SUM(H27:J27)</f>
        <v>#REF!</v>
      </c>
      <c r="H27" s="24">
        <f>[2]PRE!H219</f>
        <v>4271381.7300000004</v>
      </c>
      <c r="I27" s="32" t="e">
        <f>[1]Sheet1!L216</f>
        <v>#REF!</v>
      </c>
      <c r="J27" s="31" t="e">
        <f>[1]Sheet1!N216</f>
        <v>#REF!</v>
      </c>
      <c r="M27" s="24">
        <v>3605764.81</v>
      </c>
    </row>
    <row r="28" spans="1:13" s="23" customFormat="1" ht="15.75" customHeight="1">
      <c r="A28" s="30"/>
      <c r="B28" s="30"/>
      <c r="C28" s="43" t="s">
        <v>293</v>
      </c>
      <c r="D28" s="29"/>
      <c r="E28" s="29"/>
      <c r="F28" s="28"/>
      <c r="G28" s="33"/>
      <c r="H28" s="24">
        <f>[2]PRE!H205</f>
        <v>1500006.6</v>
      </c>
      <c r="I28" s="32"/>
      <c r="J28" s="31"/>
      <c r="M28" s="24">
        <v>21892307.669999998</v>
      </c>
    </row>
    <row r="29" spans="1:13" s="23" customFormat="1" ht="15.75" customHeight="1">
      <c r="A29" s="30"/>
      <c r="B29" s="30"/>
      <c r="C29" s="43" t="s">
        <v>292</v>
      </c>
      <c r="D29" s="29"/>
      <c r="E29" s="29"/>
      <c r="F29" s="28"/>
      <c r="G29" s="33" t="e">
        <f>SUM(H29:J29)</f>
        <v>#REF!</v>
      </c>
      <c r="H29" s="24">
        <f>[2]PRE!H220</f>
        <v>25041182.489999998</v>
      </c>
      <c r="I29" s="32" t="e">
        <f>[1]Sheet1!L217</f>
        <v>#REF!</v>
      </c>
      <c r="J29" s="31" t="e">
        <f>[1]Sheet1!N217</f>
        <v>#REF!</v>
      </c>
      <c r="M29" s="24">
        <v>2151611.41</v>
      </c>
    </row>
    <row r="30" spans="1:13" s="23" customFormat="1" ht="15.75" customHeight="1">
      <c r="A30" s="30"/>
      <c r="B30" s="30"/>
      <c r="C30" s="43" t="s">
        <v>291</v>
      </c>
      <c r="D30" s="29"/>
      <c r="E30" s="29"/>
      <c r="F30" s="28"/>
      <c r="G30" s="33" t="e">
        <f>SUM(H30:J30)</f>
        <v>#REF!</v>
      </c>
      <c r="H30" s="24">
        <f>[2]PRE!H221</f>
        <v>1334055.1699999997</v>
      </c>
      <c r="I30" s="32" t="e">
        <f>[1]Sheet1!L218</f>
        <v>#REF!</v>
      </c>
      <c r="J30" s="31" t="e">
        <f>[1]Sheet1!N218</f>
        <v>#REF!</v>
      </c>
      <c r="M30" s="24"/>
    </row>
    <row r="31" spans="1:13" s="67" customFormat="1" ht="15.75" customHeight="1">
      <c r="A31" s="30" t="s">
        <v>290</v>
      </c>
      <c r="B31" s="30"/>
      <c r="C31" s="29"/>
      <c r="D31" s="29"/>
      <c r="E31" s="29"/>
      <c r="F31" s="63"/>
      <c r="G31" s="66" t="e">
        <f>+G32+G41+G58+G79</f>
        <v>#REF!</v>
      </c>
      <c r="H31" s="39">
        <f>+H32+H41+H58+H79</f>
        <v>898539043.95000005</v>
      </c>
      <c r="I31" s="65" t="e">
        <f>+I32+I41+I58+I79</f>
        <v>#REF!</v>
      </c>
      <c r="J31" s="64" t="e">
        <f>+J32+J41+J58+J79</f>
        <v>#REF!</v>
      </c>
      <c r="M31" s="24">
        <v>848826013.37000012</v>
      </c>
    </row>
    <row r="32" spans="1:13" s="67" customFormat="1" ht="15.75" customHeight="1">
      <c r="A32" s="30"/>
      <c r="B32" s="30" t="s">
        <v>289</v>
      </c>
      <c r="C32" s="29"/>
      <c r="D32" s="29"/>
      <c r="E32" s="29"/>
      <c r="F32" s="63"/>
      <c r="G32" s="66" t="e">
        <f>SUM(G33:G40)</f>
        <v>#REF!</v>
      </c>
      <c r="H32" s="39">
        <f>SUM(H33:H40)</f>
        <v>325725.5</v>
      </c>
      <c r="I32" s="65" t="e">
        <f>SUM(I33:I40)</f>
        <v>#REF!</v>
      </c>
      <c r="J32" s="64" t="e">
        <f>SUM(J33:J40)</f>
        <v>#REF!</v>
      </c>
      <c r="M32" s="39">
        <v>356000</v>
      </c>
    </row>
    <row r="33" spans="1:13" s="23" customFormat="1" ht="15" customHeight="1">
      <c r="A33" s="30"/>
      <c r="B33" s="30"/>
      <c r="C33" s="43" t="s">
        <v>288</v>
      </c>
      <c r="D33" s="29"/>
      <c r="E33" s="29"/>
      <c r="F33" s="28"/>
      <c r="G33" s="33" t="e">
        <f>SUM(H33:J33)</f>
        <v>#REF!</v>
      </c>
      <c r="H33" s="24">
        <f>[2]PRE!H222</f>
        <v>0</v>
      </c>
      <c r="I33" s="32" t="e">
        <f>[1]Sheet1!L219</f>
        <v>#REF!</v>
      </c>
      <c r="J33" s="31" t="e">
        <f>[1]Sheet1!N219</f>
        <v>#REF!</v>
      </c>
      <c r="M33" s="39">
        <v>0</v>
      </c>
    </row>
    <row r="34" spans="1:13" s="23" customFormat="1" ht="15" customHeight="1">
      <c r="A34" s="30"/>
      <c r="B34" s="30"/>
      <c r="C34" s="43" t="s">
        <v>287</v>
      </c>
      <c r="D34" s="29"/>
      <c r="E34" s="29"/>
      <c r="F34" s="28"/>
      <c r="G34" s="33" t="e">
        <f>SUM(H34:J34)</f>
        <v>#REF!</v>
      </c>
      <c r="H34" s="24">
        <f>[2]PRE!H223</f>
        <v>0</v>
      </c>
      <c r="I34" s="32" t="e">
        <f>[1]Sheet1!L220</f>
        <v>#REF!</v>
      </c>
      <c r="J34" s="31" t="e">
        <f>[1]Sheet1!N220</f>
        <v>#REF!</v>
      </c>
      <c r="M34" s="24">
        <v>0</v>
      </c>
    </row>
    <row r="35" spans="1:13" s="23" customFormat="1" ht="15" customHeight="1">
      <c r="A35" s="30"/>
      <c r="B35" s="30"/>
      <c r="C35" s="43" t="s">
        <v>286</v>
      </c>
      <c r="D35" s="29"/>
      <c r="E35" s="29"/>
      <c r="F35" s="28"/>
      <c r="G35" s="33" t="e">
        <f>SUM(H35:J35)</f>
        <v>#REF!</v>
      </c>
      <c r="H35" s="24">
        <f>[2]PRE!H224</f>
        <v>0</v>
      </c>
      <c r="I35" s="32" t="e">
        <f>[1]Sheet1!L221</f>
        <v>#REF!</v>
      </c>
      <c r="J35" s="31" t="e">
        <f>[1]Sheet1!N221</f>
        <v>#REF!</v>
      </c>
      <c r="M35" s="24">
        <v>0</v>
      </c>
    </row>
    <row r="36" spans="1:13" s="23" customFormat="1" ht="15" customHeight="1">
      <c r="A36" s="30"/>
      <c r="B36" s="30"/>
      <c r="C36" s="43" t="s">
        <v>285</v>
      </c>
      <c r="D36" s="29"/>
      <c r="E36" s="29"/>
      <c r="F36" s="28"/>
      <c r="G36" s="33" t="e">
        <f>SUM(H36:J36)</f>
        <v>#REF!</v>
      </c>
      <c r="H36" s="24">
        <f>[2]PRE!H225</f>
        <v>0</v>
      </c>
      <c r="I36" s="32" t="e">
        <f>[1]Sheet1!L222</f>
        <v>#REF!</v>
      </c>
      <c r="J36" s="31" t="e">
        <f>[1]Sheet1!N222</f>
        <v>#REF!</v>
      </c>
      <c r="M36" s="24">
        <v>0</v>
      </c>
    </row>
    <row r="37" spans="1:13" s="23" customFormat="1" ht="15.75" customHeight="1">
      <c r="A37" s="30"/>
      <c r="B37" s="30"/>
      <c r="C37" s="43" t="s">
        <v>284</v>
      </c>
      <c r="D37" s="29"/>
      <c r="E37" s="29"/>
      <c r="F37" s="28"/>
      <c r="G37" s="33" t="e">
        <f>SUM(H37:J37)</f>
        <v>#REF!</v>
      </c>
      <c r="H37" s="24">
        <f>[2]PRE!H226</f>
        <v>325725.5</v>
      </c>
      <c r="I37" s="32" t="e">
        <f>[1]Sheet1!L223</f>
        <v>#REF!</v>
      </c>
      <c r="J37" s="31" t="e">
        <f>[1]Sheet1!N223</f>
        <v>#REF!</v>
      </c>
      <c r="M37" s="24">
        <v>356000</v>
      </c>
    </row>
    <row r="38" spans="1:13" s="23" customFormat="1" ht="15" customHeight="1">
      <c r="A38" s="30"/>
      <c r="B38" s="30"/>
      <c r="C38" s="43" t="s">
        <v>283</v>
      </c>
      <c r="D38" s="29"/>
      <c r="E38" s="29"/>
      <c r="F38" s="28"/>
      <c r="G38" s="33" t="e">
        <f>SUM(H38:J38)</f>
        <v>#REF!</v>
      </c>
      <c r="H38" s="24">
        <f>[2]PRE!H227</f>
        <v>0</v>
      </c>
      <c r="I38" s="32" t="e">
        <f>[1]Sheet1!L224</f>
        <v>#REF!</v>
      </c>
      <c r="J38" s="31" t="e">
        <f>[1]Sheet1!N224</f>
        <v>#REF!</v>
      </c>
      <c r="M38" s="24">
        <v>0</v>
      </c>
    </row>
    <row r="39" spans="1:13" s="23" customFormat="1" ht="15" customHeight="1">
      <c r="A39" s="30"/>
      <c r="B39" s="30"/>
      <c r="C39" s="43" t="s">
        <v>282</v>
      </c>
      <c r="D39" s="29"/>
      <c r="E39" s="29"/>
      <c r="F39" s="28"/>
      <c r="G39" s="33" t="e">
        <f>SUM(H39:J39)</f>
        <v>#REF!</v>
      </c>
      <c r="H39" s="24">
        <f>[2]PRE!H228</f>
        <v>0</v>
      </c>
      <c r="I39" s="32" t="e">
        <f>[1]Sheet1!L225</f>
        <v>#REF!</v>
      </c>
      <c r="J39" s="31" t="e">
        <f>[1]Sheet1!N225</f>
        <v>#REF!</v>
      </c>
      <c r="M39" s="24">
        <v>0</v>
      </c>
    </row>
    <row r="40" spans="1:13" s="23" customFormat="1" ht="15" customHeight="1">
      <c r="A40" s="30"/>
      <c r="B40" s="30"/>
      <c r="C40" s="43" t="s">
        <v>281</v>
      </c>
      <c r="D40" s="29"/>
      <c r="E40" s="29"/>
      <c r="F40" s="28"/>
      <c r="G40" s="33" t="e">
        <f>SUM(H40:J40)</f>
        <v>#REF!</v>
      </c>
      <c r="H40" s="24">
        <f>[2]PRE!H229</f>
        <v>0</v>
      </c>
      <c r="I40" s="32" t="e">
        <f>[1]Sheet1!L226</f>
        <v>#REF!</v>
      </c>
      <c r="J40" s="31" t="e">
        <f>[1]Sheet1!N226</f>
        <v>#REF!</v>
      </c>
      <c r="M40" s="24">
        <v>0</v>
      </c>
    </row>
    <row r="41" spans="1:13" s="71" customFormat="1" ht="15.75" customHeight="1">
      <c r="A41" s="30"/>
      <c r="B41" s="30" t="s">
        <v>280</v>
      </c>
      <c r="C41" s="29"/>
      <c r="D41" s="29"/>
      <c r="E41" s="29"/>
      <c r="F41" s="34"/>
      <c r="G41" s="38" t="e">
        <f>SUM(G42:G57)</f>
        <v>#REF!</v>
      </c>
      <c r="H41" s="39">
        <f>SUM(H42:H57)</f>
        <v>1021804.8</v>
      </c>
      <c r="I41" s="37" t="e">
        <f>SUM(I42:I57)</f>
        <v>#REF!</v>
      </c>
      <c r="J41" s="36" t="e">
        <f>SUM(J42:J57)</f>
        <v>#REF!</v>
      </c>
      <c r="M41" s="24">
        <v>704608.2</v>
      </c>
    </row>
    <row r="42" spans="1:13" s="23" customFormat="1" ht="15" customHeight="1">
      <c r="A42" s="30"/>
      <c r="B42" s="30"/>
      <c r="C42" s="43" t="s">
        <v>279</v>
      </c>
      <c r="D42" s="29"/>
      <c r="E42" s="29"/>
      <c r="F42" s="28"/>
      <c r="G42" s="33" t="e">
        <f>SUM(H42:J42)</f>
        <v>#REF!</v>
      </c>
      <c r="H42" s="24">
        <f>[2]PRE!H230</f>
        <v>0</v>
      </c>
      <c r="I42" s="32" t="e">
        <f>[1]Sheet1!L227</f>
        <v>#REF!</v>
      </c>
      <c r="J42" s="31" t="e">
        <f>[1]Sheet1!N227</f>
        <v>#REF!</v>
      </c>
      <c r="M42" s="35">
        <v>0</v>
      </c>
    </row>
    <row r="43" spans="1:13" s="23" customFormat="1" ht="15" customHeight="1">
      <c r="A43" s="30"/>
      <c r="B43" s="30"/>
      <c r="C43" s="43" t="s">
        <v>278</v>
      </c>
      <c r="D43" s="29"/>
      <c r="E43" s="29"/>
      <c r="F43" s="28"/>
      <c r="G43" s="33" t="e">
        <f>SUM(H43:J43)</f>
        <v>#REF!</v>
      </c>
      <c r="H43" s="24">
        <f>[2]PRE!H231</f>
        <v>0</v>
      </c>
      <c r="I43" s="32" t="e">
        <f>[1]Sheet1!L228</f>
        <v>#REF!</v>
      </c>
      <c r="J43" s="31" t="e">
        <f>[1]Sheet1!N228</f>
        <v>#REF!</v>
      </c>
      <c r="M43" s="24">
        <v>0</v>
      </c>
    </row>
    <row r="44" spans="1:13" s="23" customFormat="1" ht="15.75" customHeight="1">
      <c r="A44" s="30"/>
      <c r="B44" s="30"/>
      <c r="C44" s="43" t="s">
        <v>277</v>
      </c>
      <c r="D44" s="29"/>
      <c r="E44" s="29"/>
      <c r="F44" s="28"/>
      <c r="G44" s="33" t="e">
        <f>SUM(H44:J44)</f>
        <v>#REF!</v>
      </c>
      <c r="H44" s="24">
        <f>[2]PRE!H232</f>
        <v>858304.8</v>
      </c>
      <c r="I44" s="32" t="e">
        <f>[1]Sheet1!L229</f>
        <v>#REF!</v>
      </c>
      <c r="J44" s="31" t="e">
        <f>[1]Sheet1!N229</f>
        <v>#REF!</v>
      </c>
      <c r="M44" s="24">
        <v>625778.19999999995</v>
      </c>
    </row>
    <row r="45" spans="1:13" s="23" customFormat="1" ht="15" customHeight="1">
      <c r="A45" s="30"/>
      <c r="B45" s="30"/>
      <c r="C45" s="43" t="s">
        <v>276</v>
      </c>
      <c r="D45" s="29"/>
      <c r="E45" s="29"/>
      <c r="F45" s="28"/>
      <c r="G45" s="33" t="e">
        <f>SUM(H45:J45)</f>
        <v>#REF!</v>
      </c>
      <c r="H45" s="24">
        <f>[2]PRE!H233</f>
        <v>0</v>
      </c>
      <c r="I45" s="32" t="e">
        <f>[1]Sheet1!L230</f>
        <v>#REF!</v>
      </c>
      <c r="J45" s="31" t="e">
        <f>[1]Sheet1!N230</f>
        <v>#REF!</v>
      </c>
      <c r="M45" s="24">
        <v>0</v>
      </c>
    </row>
    <row r="46" spans="1:13" s="23" customFormat="1" ht="15" customHeight="1">
      <c r="A46" s="30"/>
      <c r="B46" s="30"/>
      <c r="C46" s="43" t="s">
        <v>275</v>
      </c>
      <c r="D46" s="29"/>
      <c r="E46" s="29"/>
      <c r="F46" s="28"/>
      <c r="G46" s="33" t="e">
        <f>SUM(H46:J46)</f>
        <v>#REF!</v>
      </c>
      <c r="H46" s="24">
        <f>[2]PRE!H234</f>
        <v>0</v>
      </c>
      <c r="I46" s="32" t="e">
        <f>[1]Sheet1!L231</f>
        <v>#REF!</v>
      </c>
      <c r="J46" s="31" t="e">
        <f>[1]Sheet1!N231</f>
        <v>#REF!</v>
      </c>
      <c r="M46" s="24">
        <v>0</v>
      </c>
    </row>
    <row r="47" spans="1:13" s="23" customFormat="1" ht="15" customHeight="1">
      <c r="A47" s="30"/>
      <c r="B47" s="30"/>
      <c r="C47" s="43" t="s">
        <v>274</v>
      </c>
      <c r="D47" s="29"/>
      <c r="E47" s="29"/>
      <c r="F47" s="28"/>
      <c r="G47" s="33" t="e">
        <f>SUM(H47:J47)</f>
        <v>#REF!</v>
      </c>
      <c r="H47" s="24">
        <f>[2]PRE!H235</f>
        <v>0</v>
      </c>
      <c r="I47" s="32" t="e">
        <f>[1]Sheet1!L232</f>
        <v>#REF!</v>
      </c>
      <c r="J47" s="31" t="e">
        <f>[1]Sheet1!N232</f>
        <v>#REF!</v>
      </c>
      <c r="M47" s="24">
        <v>0</v>
      </c>
    </row>
    <row r="48" spans="1:13" s="23" customFormat="1" ht="15" customHeight="1">
      <c r="A48" s="30"/>
      <c r="B48" s="30"/>
      <c r="C48" s="43" t="s">
        <v>273</v>
      </c>
      <c r="D48" s="29"/>
      <c r="E48" s="29"/>
      <c r="F48" s="28"/>
      <c r="G48" s="33" t="e">
        <f>SUM(H48:J48)</f>
        <v>#REF!</v>
      </c>
      <c r="H48" s="24">
        <f>[2]PRE!H236</f>
        <v>0</v>
      </c>
      <c r="I48" s="32" t="e">
        <f>[1]Sheet1!L233</f>
        <v>#REF!</v>
      </c>
      <c r="J48" s="31" t="e">
        <f>[1]Sheet1!N233</f>
        <v>#REF!</v>
      </c>
      <c r="M48" s="24">
        <v>0</v>
      </c>
    </row>
    <row r="49" spans="1:13" s="23" customFormat="1" ht="15" customHeight="1">
      <c r="A49" s="30"/>
      <c r="B49" s="30"/>
      <c r="C49" s="43">
        <f>9330689</f>
        <v>9330689</v>
      </c>
      <c r="D49" s="29"/>
      <c r="E49" s="29"/>
      <c r="F49" s="28"/>
      <c r="G49" s="33" t="e">
        <f>SUM(H49:J49)</f>
        <v>#REF!</v>
      </c>
      <c r="H49" s="24">
        <f>[2]PRE!H237</f>
        <v>0</v>
      </c>
      <c r="I49" s="32" t="e">
        <f>[1]Sheet1!L234</f>
        <v>#REF!</v>
      </c>
      <c r="J49" s="31" t="e">
        <f>[1]Sheet1!N234</f>
        <v>#REF!</v>
      </c>
      <c r="M49" s="24">
        <v>0</v>
      </c>
    </row>
    <row r="50" spans="1:13" s="23" customFormat="1" ht="15" customHeight="1">
      <c r="A50" s="30"/>
      <c r="B50" s="30"/>
      <c r="C50" s="43" t="s">
        <v>272</v>
      </c>
      <c r="D50" s="29"/>
      <c r="E50" s="29"/>
      <c r="F50" s="28"/>
      <c r="G50" s="33" t="e">
        <f>SUM(H50:J50)</f>
        <v>#REF!</v>
      </c>
      <c r="H50" s="24">
        <f>[2]PRE!H238</f>
        <v>0</v>
      </c>
      <c r="I50" s="32" t="e">
        <f>[1]Sheet1!L235</f>
        <v>#REF!</v>
      </c>
      <c r="J50" s="31" t="e">
        <f>[1]Sheet1!N235</f>
        <v>#REF!</v>
      </c>
      <c r="M50" s="24">
        <v>0</v>
      </c>
    </row>
    <row r="51" spans="1:13" s="23" customFormat="1" ht="15" customHeight="1">
      <c r="A51" s="30"/>
      <c r="B51" s="30"/>
      <c r="C51" s="43" t="s">
        <v>271</v>
      </c>
      <c r="D51" s="29"/>
      <c r="E51" s="29"/>
      <c r="F51" s="28"/>
      <c r="G51" s="33" t="e">
        <f>SUM(H51:J51)</f>
        <v>#REF!</v>
      </c>
      <c r="H51" s="24">
        <f>[2]PRE!H239</f>
        <v>0</v>
      </c>
      <c r="I51" s="32" t="e">
        <f>[1]Sheet1!L236</f>
        <v>#REF!</v>
      </c>
      <c r="J51" s="31" t="e">
        <f>[1]Sheet1!N236</f>
        <v>#REF!</v>
      </c>
      <c r="M51" s="24">
        <v>0</v>
      </c>
    </row>
    <row r="52" spans="1:13" s="23" customFormat="1" ht="15" customHeight="1">
      <c r="A52" s="30"/>
      <c r="B52" s="30"/>
      <c r="C52" s="43" t="s">
        <v>270</v>
      </c>
      <c r="D52" s="29"/>
      <c r="E52" s="29"/>
      <c r="F52" s="28"/>
      <c r="G52" s="33" t="e">
        <f>SUM(H52:J52)</f>
        <v>#REF!</v>
      </c>
      <c r="H52" s="24">
        <f>[2]PRE!H240</f>
        <v>0</v>
      </c>
      <c r="I52" s="32" t="e">
        <f>[1]Sheet1!L237</f>
        <v>#REF!</v>
      </c>
      <c r="J52" s="31" t="e">
        <f>[1]Sheet1!N237</f>
        <v>#REF!</v>
      </c>
      <c r="M52" s="24">
        <v>0</v>
      </c>
    </row>
    <row r="53" spans="1:13" s="23" customFormat="1" ht="15" customHeight="1">
      <c r="A53" s="30"/>
      <c r="B53" s="30"/>
      <c r="C53" s="43" t="s">
        <v>269</v>
      </c>
      <c r="D53" s="29"/>
      <c r="E53" s="29"/>
      <c r="F53" s="28"/>
      <c r="G53" s="33" t="e">
        <f>SUM(H53:J53)</f>
        <v>#REF!</v>
      </c>
      <c r="H53" s="24">
        <f>[2]PRE!H241</f>
        <v>0</v>
      </c>
      <c r="I53" s="32" t="e">
        <f>[1]Sheet1!L238</f>
        <v>#REF!</v>
      </c>
      <c r="J53" s="31" t="e">
        <f>[1]Sheet1!N238</f>
        <v>#REF!</v>
      </c>
      <c r="M53" s="24">
        <v>0</v>
      </c>
    </row>
    <row r="54" spans="1:13" s="23" customFormat="1" ht="15" customHeight="1">
      <c r="A54" s="30"/>
      <c r="B54" s="30"/>
      <c r="C54" s="43" t="s">
        <v>268</v>
      </c>
      <c r="D54" s="29"/>
      <c r="E54" s="29"/>
      <c r="F54" s="28"/>
      <c r="G54" s="33" t="e">
        <f>SUM(H54:J54)</f>
        <v>#REF!</v>
      </c>
      <c r="H54" s="24">
        <f>[2]PRE!H242</f>
        <v>0</v>
      </c>
      <c r="I54" s="32" t="e">
        <f>[1]Sheet1!L239</f>
        <v>#REF!</v>
      </c>
      <c r="J54" s="31" t="e">
        <f>[1]Sheet1!N239</f>
        <v>#REF!</v>
      </c>
      <c r="M54" s="24">
        <v>0</v>
      </c>
    </row>
    <row r="55" spans="1:13" s="23" customFormat="1" ht="15" customHeight="1">
      <c r="A55" s="30"/>
      <c r="B55" s="30"/>
      <c r="C55" s="43" t="s">
        <v>267</v>
      </c>
      <c r="D55" s="29"/>
      <c r="E55" s="29"/>
      <c r="F55" s="28"/>
      <c r="G55" s="33" t="e">
        <f>SUM(H55:J55)</f>
        <v>#REF!</v>
      </c>
      <c r="H55" s="24">
        <f>[2]PRE!H243</f>
        <v>0</v>
      </c>
      <c r="I55" s="32" t="e">
        <f>[1]Sheet1!L240</f>
        <v>#REF!</v>
      </c>
      <c r="J55" s="31" t="e">
        <f>[1]Sheet1!N240</f>
        <v>#REF!</v>
      </c>
      <c r="M55" s="24">
        <v>0</v>
      </c>
    </row>
    <row r="56" spans="1:13" s="23" customFormat="1" ht="15.75" customHeight="1">
      <c r="A56" s="30"/>
      <c r="B56" s="30"/>
      <c r="C56" s="43" t="s">
        <v>266</v>
      </c>
      <c r="D56" s="29"/>
      <c r="E56" s="29"/>
      <c r="F56" s="28"/>
      <c r="G56" s="33" t="e">
        <f>SUM(H56:J56)</f>
        <v>#REF!</v>
      </c>
      <c r="H56" s="24">
        <f>[2]PRE!H244</f>
        <v>163500</v>
      </c>
      <c r="I56" s="32" t="e">
        <f>[1]Sheet1!L241</f>
        <v>#REF!</v>
      </c>
      <c r="J56" s="31" t="e">
        <f>[1]Sheet1!N241</f>
        <v>#REF!</v>
      </c>
      <c r="M56" s="24">
        <v>78830</v>
      </c>
    </row>
    <row r="57" spans="1:13" s="23" customFormat="1" ht="15" customHeight="1">
      <c r="A57" s="30"/>
      <c r="B57" s="30"/>
      <c r="C57" s="43" t="s">
        <v>265</v>
      </c>
      <c r="D57" s="29"/>
      <c r="E57" s="29"/>
      <c r="F57" s="28"/>
      <c r="G57" s="33" t="e">
        <f>SUM(H57:J57)</f>
        <v>#REF!</v>
      </c>
      <c r="H57" s="24">
        <f>[2]PRE!H245</f>
        <v>0</v>
      </c>
      <c r="I57" s="32" t="e">
        <f>[1]Sheet1!L242</f>
        <v>#REF!</v>
      </c>
      <c r="J57" s="31" t="e">
        <f>[1]Sheet1!N242</f>
        <v>#REF!</v>
      </c>
      <c r="M57" s="24">
        <v>0</v>
      </c>
    </row>
    <row r="58" spans="1:13" s="23" customFormat="1" ht="15.75" customHeight="1">
      <c r="A58" s="30"/>
      <c r="B58" s="30" t="s">
        <v>264</v>
      </c>
      <c r="C58" s="29"/>
      <c r="D58" s="29"/>
      <c r="E58" s="29"/>
      <c r="F58" s="34"/>
      <c r="G58" s="38" t="e">
        <f>SUM(G59:G75)+G78</f>
        <v>#REF!</v>
      </c>
      <c r="H58" s="39">
        <f>SUM(H59:H75)+H78</f>
        <v>36294854.270000003</v>
      </c>
      <c r="I58" s="37" t="e">
        <f>SUM(I59:I75)+I78</f>
        <v>#REF!</v>
      </c>
      <c r="J58" s="36" t="e">
        <f>SUM(J59:J75)+J78</f>
        <v>#REF!</v>
      </c>
      <c r="M58" s="24">
        <v>34079019.870000005</v>
      </c>
    </row>
    <row r="59" spans="1:13" s="23" customFormat="1" ht="15.75" customHeight="1">
      <c r="A59" s="30"/>
      <c r="B59" s="30"/>
      <c r="C59" s="43" t="s">
        <v>263</v>
      </c>
      <c r="D59" s="29"/>
      <c r="E59" s="29"/>
      <c r="F59" s="28"/>
      <c r="G59" s="33" t="e">
        <f>SUM(H59:J59)</f>
        <v>#REF!</v>
      </c>
      <c r="H59" s="24">
        <f>[2]PRE!H246</f>
        <v>32903975.280000001</v>
      </c>
      <c r="I59" s="32" t="e">
        <f>[1]Sheet1!L243</f>
        <v>#REF!</v>
      </c>
      <c r="J59" s="31" t="e">
        <f>[1]Sheet1!N243</f>
        <v>#REF!</v>
      </c>
      <c r="M59" s="35">
        <v>31739486.490000002</v>
      </c>
    </row>
    <row r="60" spans="1:13" s="23" customFormat="1" ht="15" customHeight="1">
      <c r="A60" s="30"/>
      <c r="B60" s="30"/>
      <c r="C60" s="43" t="s">
        <v>262</v>
      </c>
      <c r="D60" s="29"/>
      <c r="E60" s="29"/>
      <c r="F60" s="28"/>
      <c r="G60" s="33" t="e">
        <f>SUM(H60:J60)</f>
        <v>#REF!</v>
      </c>
      <c r="H60" s="24">
        <f>[2]PRE!H247</f>
        <v>0</v>
      </c>
      <c r="I60" s="32" t="e">
        <f>[1]Sheet1!L244</f>
        <v>#REF!</v>
      </c>
      <c r="J60" s="31" t="e">
        <f>[1]Sheet1!N244</f>
        <v>#REF!</v>
      </c>
      <c r="M60" s="24">
        <v>0</v>
      </c>
    </row>
    <row r="61" spans="1:13" s="23" customFormat="1" ht="15" customHeight="1">
      <c r="A61" s="30"/>
      <c r="B61" s="30"/>
      <c r="C61" s="43" t="s">
        <v>261</v>
      </c>
      <c r="D61" s="29"/>
      <c r="E61" s="29"/>
      <c r="F61" s="28"/>
      <c r="G61" s="33" t="e">
        <f>SUM(H61:J61)</f>
        <v>#REF!</v>
      </c>
      <c r="H61" s="24">
        <f>[2]PRE!H248</f>
        <v>0</v>
      </c>
      <c r="I61" s="32" t="e">
        <f>[1]Sheet1!L245</f>
        <v>#REF!</v>
      </c>
      <c r="J61" s="31" t="e">
        <f>[1]Sheet1!N245</f>
        <v>#REF!</v>
      </c>
      <c r="M61" s="24">
        <v>0</v>
      </c>
    </row>
    <row r="62" spans="1:13" s="23" customFormat="1" ht="15.75" customHeight="1">
      <c r="A62" s="30"/>
      <c r="B62" s="30"/>
      <c r="C62" s="43" t="s">
        <v>242</v>
      </c>
      <c r="D62" s="29"/>
      <c r="E62" s="29"/>
      <c r="F62" s="28"/>
      <c r="G62" s="33" t="e">
        <f>SUM(H62:J62)</f>
        <v>#REF!</v>
      </c>
      <c r="H62" s="24">
        <f>[2]PRE!H249</f>
        <v>903254.64</v>
      </c>
      <c r="I62" s="32" t="e">
        <f>[1]Sheet1!L246</f>
        <v>#REF!</v>
      </c>
      <c r="J62" s="31" t="e">
        <f>[1]Sheet1!N246</f>
        <v>#REF!</v>
      </c>
      <c r="M62" s="24">
        <v>1058241.5</v>
      </c>
    </row>
    <row r="63" spans="1:13" s="23" customFormat="1" ht="15" customHeight="1">
      <c r="A63" s="30"/>
      <c r="B63" s="30"/>
      <c r="C63" s="43" t="s">
        <v>260</v>
      </c>
      <c r="D63" s="29"/>
      <c r="E63" s="29"/>
      <c r="F63" s="28"/>
      <c r="G63" s="33" t="e">
        <f>SUM(H63:J63)</f>
        <v>#REF!</v>
      </c>
      <c r="H63" s="24">
        <f>[2]PRE!H250</f>
        <v>0</v>
      </c>
      <c r="I63" s="32" t="e">
        <f>[1]Sheet1!L247</f>
        <v>#REF!</v>
      </c>
      <c r="J63" s="31" t="e">
        <f>[1]Sheet1!N247</f>
        <v>#REF!</v>
      </c>
      <c r="M63" s="24">
        <v>0</v>
      </c>
    </row>
    <row r="64" spans="1:13" s="23" customFormat="1" ht="15" customHeight="1">
      <c r="A64" s="30"/>
      <c r="B64" s="30"/>
      <c r="C64" s="43" t="s">
        <v>259</v>
      </c>
      <c r="D64" s="29"/>
      <c r="E64" s="29"/>
      <c r="F64" s="28"/>
      <c r="G64" s="33" t="e">
        <f>SUM(H64:J64)</f>
        <v>#REF!</v>
      </c>
      <c r="H64" s="24">
        <f>[2]PRE!H251</f>
        <v>0</v>
      </c>
      <c r="I64" s="32" t="e">
        <f>[1]Sheet1!L248</f>
        <v>#REF!</v>
      </c>
      <c r="J64" s="31" t="e">
        <f>[1]Sheet1!N248</f>
        <v>#REF!</v>
      </c>
      <c r="M64" s="24">
        <v>0</v>
      </c>
    </row>
    <row r="65" spans="1:13" s="23" customFormat="1" ht="15" customHeight="1">
      <c r="A65" s="30"/>
      <c r="B65" s="30"/>
      <c r="C65" s="43" t="s">
        <v>258</v>
      </c>
      <c r="D65" s="29"/>
      <c r="E65" s="29"/>
      <c r="F65" s="28"/>
      <c r="G65" s="33" t="e">
        <f>SUM(H65:J65)</f>
        <v>#REF!</v>
      </c>
      <c r="H65" s="24">
        <f>[2]PRE!H252</f>
        <v>0</v>
      </c>
      <c r="I65" s="32" t="e">
        <f>[1]Sheet1!L249</f>
        <v>#REF!</v>
      </c>
      <c r="J65" s="31" t="e">
        <f>[1]Sheet1!N249</f>
        <v>#REF!</v>
      </c>
      <c r="M65" s="24">
        <v>0</v>
      </c>
    </row>
    <row r="66" spans="1:13" s="23" customFormat="1" ht="15" customHeight="1">
      <c r="A66" s="30"/>
      <c r="B66" s="30"/>
      <c r="C66" s="43" t="s">
        <v>257</v>
      </c>
      <c r="D66" s="29"/>
      <c r="E66" s="29"/>
      <c r="F66" s="28"/>
      <c r="G66" s="33" t="e">
        <f>SUM(H66:J66)</f>
        <v>#REF!</v>
      </c>
      <c r="H66" s="24">
        <f>[2]PRE!H253</f>
        <v>0</v>
      </c>
      <c r="I66" s="32" t="e">
        <f>[1]Sheet1!L250</f>
        <v>#REF!</v>
      </c>
      <c r="J66" s="31" t="e">
        <f>[1]Sheet1!N250</f>
        <v>#REF!</v>
      </c>
      <c r="M66" s="24">
        <v>0</v>
      </c>
    </row>
    <row r="67" spans="1:13" s="23" customFormat="1" ht="15" customHeight="1">
      <c r="A67" s="30"/>
      <c r="B67" s="30"/>
      <c r="C67" s="43" t="s">
        <v>256</v>
      </c>
      <c r="D67" s="29"/>
      <c r="E67" s="29"/>
      <c r="F67" s="28"/>
      <c r="G67" s="33" t="e">
        <f>SUM(H67:J67)</f>
        <v>#REF!</v>
      </c>
      <c r="H67" s="24">
        <f>[2]PRE!H254</f>
        <v>0</v>
      </c>
      <c r="I67" s="32" t="e">
        <f>[1]Sheet1!L251</f>
        <v>#REF!</v>
      </c>
      <c r="J67" s="31" t="e">
        <f>[1]Sheet1!N251</f>
        <v>#REF!</v>
      </c>
      <c r="M67" s="24">
        <v>0</v>
      </c>
    </row>
    <row r="68" spans="1:13" s="23" customFormat="1" ht="15" customHeight="1">
      <c r="A68" s="30"/>
      <c r="B68" s="30"/>
      <c r="C68" s="43" t="s">
        <v>255</v>
      </c>
      <c r="D68" s="29"/>
      <c r="E68" s="29"/>
      <c r="F68" s="28"/>
      <c r="G68" s="33" t="e">
        <f>SUM(H68:J68)</f>
        <v>#REF!</v>
      </c>
      <c r="H68" s="24">
        <f>[2]PRE!H255</f>
        <v>0</v>
      </c>
      <c r="I68" s="32" t="e">
        <f>[1]Sheet1!L252</f>
        <v>#REF!</v>
      </c>
      <c r="J68" s="31" t="e">
        <f>[1]Sheet1!N252</f>
        <v>#REF!</v>
      </c>
      <c r="M68" s="24">
        <v>0</v>
      </c>
    </row>
    <row r="69" spans="1:13" s="23" customFormat="1" ht="15" customHeight="1">
      <c r="A69" s="30"/>
      <c r="B69" s="30"/>
      <c r="C69" s="43" t="s">
        <v>254</v>
      </c>
      <c r="D69" s="29"/>
      <c r="E69" s="29"/>
      <c r="F69" s="28"/>
      <c r="G69" s="33" t="e">
        <f>SUM(H69:J69)</f>
        <v>#REF!</v>
      </c>
      <c r="H69" s="24">
        <f>[2]PRE!H256</f>
        <v>0</v>
      </c>
      <c r="I69" s="32" t="e">
        <f>[1]Sheet1!L253</f>
        <v>#REF!</v>
      </c>
      <c r="J69" s="31" t="e">
        <f>[1]Sheet1!N253</f>
        <v>#REF!</v>
      </c>
      <c r="M69" s="24">
        <v>0</v>
      </c>
    </row>
    <row r="70" spans="1:13" s="23" customFormat="1" ht="15.75" customHeight="1">
      <c r="A70" s="30"/>
      <c r="B70" s="30"/>
      <c r="C70" s="43" t="s">
        <v>253</v>
      </c>
      <c r="D70" s="29"/>
      <c r="E70" s="29"/>
      <c r="F70" s="28"/>
      <c r="G70" s="33" t="e">
        <f>SUM(H70:J70)</f>
        <v>#REF!</v>
      </c>
      <c r="H70" s="24">
        <f>[2]PRE!H257</f>
        <v>1972189.3500000003</v>
      </c>
      <c r="I70" s="32" t="e">
        <f>[1]Sheet1!L254</f>
        <v>#REF!</v>
      </c>
      <c r="J70" s="31" t="e">
        <f>[1]Sheet1!N254</f>
        <v>#REF!</v>
      </c>
      <c r="M70" s="24">
        <v>173489.37999999998</v>
      </c>
    </row>
    <row r="71" spans="1:13" s="23" customFormat="1" ht="15" customHeight="1">
      <c r="A71" s="30"/>
      <c r="B71" s="30"/>
      <c r="C71" s="43" t="s">
        <v>248</v>
      </c>
      <c r="D71" s="29"/>
      <c r="E71" s="29"/>
      <c r="F71" s="28"/>
      <c r="G71" s="33"/>
      <c r="H71" s="24">
        <f>[2]PRE!H258</f>
        <v>0</v>
      </c>
      <c r="I71" s="32"/>
      <c r="J71" s="31"/>
      <c r="M71" s="24">
        <v>0</v>
      </c>
    </row>
    <row r="72" spans="1:13" s="23" customFormat="1" ht="15" customHeight="1">
      <c r="A72" s="30"/>
      <c r="B72" s="30"/>
      <c r="C72" s="43" t="s">
        <v>252</v>
      </c>
      <c r="D72" s="29"/>
      <c r="E72" s="29"/>
      <c r="F72" s="28"/>
      <c r="G72" s="33" t="e">
        <f>SUM(H72:J72)</f>
        <v>#REF!</v>
      </c>
      <c r="H72" s="24">
        <f>[2]PRE!H259</f>
        <v>0</v>
      </c>
      <c r="I72" s="32" t="e">
        <f>[1]Sheet1!L256</f>
        <v>#REF!</v>
      </c>
      <c r="J72" s="31" t="e">
        <f>[1]Sheet1!N256</f>
        <v>#REF!</v>
      </c>
      <c r="M72" s="24">
        <v>0</v>
      </c>
    </row>
    <row r="73" spans="1:13" s="23" customFormat="1" ht="15" customHeight="1">
      <c r="A73" s="30"/>
      <c r="B73" s="30"/>
      <c r="C73" s="43" t="s">
        <v>251</v>
      </c>
      <c r="D73" s="29"/>
      <c r="E73" s="29"/>
      <c r="F73" s="28"/>
      <c r="G73" s="33"/>
      <c r="H73" s="24">
        <f>[2]PRE!H262</f>
        <v>0</v>
      </c>
      <c r="I73" s="32"/>
      <c r="J73" s="31"/>
      <c r="M73" s="24">
        <v>0</v>
      </c>
    </row>
    <row r="74" spans="1:13" s="23" customFormat="1" ht="15.75" customHeight="1">
      <c r="A74" s="30"/>
      <c r="B74" s="30"/>
      <c r="C74" s="43" t="s">
        <v>250</v>
      </c>
      <c r="D74" s="29"/>
      <c r="E74" s="29"/>
      <c r="F74" s="28"/>
      <c r="G74" s="33" t="e">
        <f>SUM(H74:J74)</f>
        <v>#REF!</v>
      </c>
      <c r="H74" s="24">
        <f>[2]PRE!H260</f>
        <v>515435</v>
      </c>
      <c r="I74" s="32" t="e">
        <f>[1]Sheet1!L257</f>
        <v>#REF!</v>
      </c>
      <c r="J74" s="31" t="e">
        <f>[1]Sheet1!N257</f>
        <v>#REF!</v>
      </c>
      <c r="M74" s="24">
        <v>1107802.5</v>
      </c>
    </row>
    <row r="75" spans="1:13" s="23" customFormat="1" ht="15" customHeight="1">
      <c r="A75" s="30"/>
      <c r="B75" s="30"/>
      <c r="C75" s="43" t="s">
        <v>249</v>
      </c>
      <c r="D75" s="29"/>
      <c r="E75" s="29"/>
      <c r="F75" s="28"/>
      <c r="G75" s="33" t="e">
        <f>SUM(H75:J75)</f>
        <v>#REF!</v>
      </c>
      <c r="H75" s="24">
        <f>[2]PRE!H261</f>
        <v>0</v>
      </c>
      <c r="I75" s="32" t="e">
        <f>[1]Sheet1!L258</f>
        <v>#REF!</v>
      </c>
      <c r="J75" s="31" t="e">
        <f>[1]Sheet1!N258</f>
        <v>#REF!</v>
      </c>
      <c r="M75" s="24">
        <v>0</v>
      </c>
    </row>
    <row r="76" spans="1:13" s="23" customFormat="1" ht="15" customHeight="1">
      <c r="A76" s="30"/>
      <c r="B76" s="30"/>
      <c r="C76" s="43" t="s">
        <v>248</v>
      </c>
      <c r="D76" s="29"/>
      <c r="E76" s="29"/>
      <c r="F76" s="28"/>
      <c r="G76" s="33" t="e">
        <f>SUM(H76:J76)</f>
        <v>#REF!</v>
      </c>
      <c r="H76" s="24">
        <f>[2]PRE!H258</f>
        <v>0</v>
      </c>
      <c r="I76" s="32" t="e">
        <f>[1]Sheet1!L255</f>
        <v>#REF!</v>
      </c>
      <c r="J76" s="31" t="e">
        <f>[1]Sheet1!N255</f>
        <v>#REF!</v>
      </c>
      <c r="M76" s="24">
        <v>0</v>
      </c>
    </row>
    <row r="77" spans="1:13" s="23" customFormat="1" ht="15" customHeight="1">
      <c r="A77" s="30"/>
      <c r="B77" s="30"/>
      <c r="C77" s="73" t="s">
        <v>247</v>
      </c>
      <c r="D77" s="72"/>
      <c r="E77" s="29"/>
      <c r="F77" s="28"/>
      <c r="G77" s="33" t="e">
        <f>SUM(H77:J77)</f>
        <v>#REF!</v>
      </c>
      <c r="H77" s="24">
        <f>[2]PRE!H201</f>
        <v>0</v>
      </c>
      <c r="I77" s="32" t="e">
        <f>[1]Sheet1!L199</f>
        <v>#REF!</v>
      </c>
      <c r="J77" s="31" t="e">
        <f>[1]Sheet1!N199</f>
        <v>#REF!</v>
      </c>
      <c r="M77" s="24">
        <v>0</v>
      </c>
    </row>
    <row r="78" spans="1:13" s="23" customFormat="1" ht="15" customHeight="1">
      <c r="A78" s="30"/>
      <c r="B78" s="30"/>
      <c r="C78" s="43" t="s">
        <v>246</v>
      </c>
      <c r="D78" s="29"/>
      <c r="E78" s="29"/>
      <c r="F78" s="28"/>
      <c r="G78" s="33" t="e">
        <f>SUM(H78:J78)</f>
        <v>#REF!</v>
      </c>
      <c r="H78" s="24">
        <f>+H76-H77</f>
        <v>0</v>
      </c>
      <c r="I78" s="32" t="e">
        <f>+I76-I77</f>
        <v>#REF!</v>
      </c>
      <c r="J78" s="31" t="e">
        <f>+J76-J77</f>
        <v>#REF!</v>
      </c>
      <c r="M78" s="24">
        <v>0</v>
      </c>
    </row>
    <row r="79" spans="1:13" s="71" customFormat="1" ht="15.75" customHeight="1">
      <c r="A79" s="30"/>
      <c r="B79" s="30" t="s">
        <v>245</v>
      </c>
      <c r="C79" s="29"/>
      <c r="D79" s="29"/>
      <c r="E79" s="29"/>
      <c r="F79" s="34"/>
      <c r="G79" s="38" t="e">
        <f>SUM(G80:G93)</f>
        <v>#REF!</v>
      </c>
      <c r="H79" s="39">
        <f>SUM(H80:H93)</f>
        <v>860896659.38</v>
      </c>
      <c r="I79" s="37" t="e">
        <f>SUM(I80:I93)</f>
        <v>#REF!</v>
      </c>
      <c r="J79" s="36" t="e">
        <f>SUM(J80:J93)</f>
        <v>#REF!</v>
      </c>
      <c r="M79" s="24">
        <v>813686385.30000007</v>
      </c>
    </row>
    <row r="80" spans="1:13" s="23" customFormat="1" ht="15" customHeight="1">
      <c r="A80" s="30"/>
      <c r="B80" s="30"/>
      <c r="C80" s="43" t="s">
        <v>244</v>
      </c>
      <c r="D80" s="29"/>
      <c r="E80" s="29"/>
      <c r="F80" s="28"/>
      <c r="G80" s="33" t="e">
        <f>SUM(H80:J80)</f>
        <v>#REF!</v>
      </c>
      <c r="H80" s="24">
        <f>[2]PRE!H265</f>
        <v>0</v>
      </c>
      <c r="I80" s="32" t="e">
        <f>[1]Sheet1!L262</f>
        <v>#REF!</v>
      </c>
      <c r="J80" s="31" t="e">
        <f>[1]Sheet1!N262</f>
        <v>#REF!</v>
      </c>
      <c r="M80" s="35">
        <v>0</v>
      </c>
    </row>
    <row r="81" spans="1:13" s="23" customFormat="1" ht="15.75" customHeight="1">
      <c r="A81" s="30"/>
      <c r="B81" s="30"/>
      <c r="C81" s="43" t="s">
        <v>243</v>
      </c>
      <c r="D81" s="29"/>
      <c r="E81" s="29"/>
      <c r="F81" s="28"/>
      <c r="G81" s="33" t="e">
        <f>SUM(H81:J81)</f>
        <v>#REF!</v>
      </c>
      <c r="H81" s="24">
        <f>[2]PRE!H266</f>
        <v>37364572</v>
      </c>
      <c r="I81" s="32" t="e">
        <f>[1]Sheet1!L263</f>
        <v>#REF!</v>
      </c>
      <c r="J81" s="31" t="e">
        <f>[1]Sheet1!N263</f>
        <v>#REF!</v>
      </c>
      <c r="M81" s="24">
        <v>61795200</v>
      </c>
    </row>
    <row r="82" spans="1:13" s="23" customFormat="1" ht="15" customHeight="1">
      <c r="A82" s="30"/>
      <c r="B82" s="30"/>
      <c r="C82" s="70" t="s">
        <v>242</v>
      </c>
      <c r="D82" s="69"/>
      <c r="E82" s="69"/>
      <c r="F82" s="68"/>
      <c r="G82" s="33"/>
      <c r="H82" s="24"/>
      <c r="I82" s="32"/>
      <c r="J82" s="31"/>
      <c r="M82" s="24"/>
    </row>
    <row r="83" spans="1:13" s="23" customFormat="1" ht="15" customHeight="1">
      <c r="A83" s="30"/>
      <c r="B83" s="30"/>
      <c r="C83" s="43" t="s">
        <v>241</v>
      </c>
      <c r="D83" s="29"/>
      <c r="E83" s="29"/>
      <c r="F83" s="28"/>
      <c r="G83" s="33" t="e">
        <f>SUM(H83:J83)</f>
        <v>#REF!</v>
      </c>
      <c r="H83" s="24">
        <f>[2]PRE!H267</f>
        <v>0</v>
      </c>
      <c r="I83" s="32" t="e">
        <f>[1]Sheet1!L264</f>
        <v>#REF!</v>
      </c>
      <c r="J83" s="31" t="e">
        <f>[1]Sheet1!N264</f>
        <v>#REF!</v>
      </c>
      <c r="M83" s="24">
        <v>0</v>
      </c>
    </row>
    <row r="84" spans="1:13" s="23" customFormat="1" ht="15.75" customHeight="1">
      <c r="A84" s="30"/>
      <c r="B84" s="30"/>
      <c r="C84" s="43" t="s">
        <v>240</v>
      </c>
      <c r="D84" s="29"/>
      <c r="E84" s="29"/>
      <c r="F84" s="28"/>
      <c r="G84" s="33" t="e">
        <f>SUM(H84:J84)</f>
        <v>#REF!</v>
      </c>
      <c r="H84" s="24">
        <f>[2]PRE!H268</f>
        <v>418240.02</v>
      </c>
      <c r="I84" s="32" t="e">
        <f>[1]Sheet1!L265</f>
        <v>#REF!</v>
      </c>
      <c r="J84" s="31" t="e">
        <f>[1]Sheet1!N265</f>
        <v>#REF!</v>
      </c>
      <c r="M84" s="24">
        <v>812823.12</v>
      </c>
    </row>
    <row r="85" spans="1:13" s="23" customFormat="1" ht="15.75" customHeight="1">
      <c r="A85" s="30"/>
      <c r="B85" s="30"/>
      <c r="C85" s="43" t="s">
        <v>239</v>
      </c>
      <c r="D85" s="29"/>
      <c r="E85" s="29"/>
      <c r="F85" s="28"/>
      <c r="G85" s="33" t="e">
        <f>SUM(H85:J85)</f>
        <v>#REF!</v>
      </c>
      <c r="H85" s="24">
        <f>[2]PRE!H269</f>
        <v>809061973</v>
      </c>
      <c r="I85" s="32" t="e">
        <f>[1]Sheet1!L266</f>
        <v>#REF!</v>
      </c>
      <c r="J85" s="31" t="e">
        <f>[1]Sheet1!N266</f>
        <v>#REF!</v>
      </c>
      <c r="M85" s="24">
        <v>747955271.20000005</v>
      </c>
    </row>
    <row r="86" spans="1:13" s="23" customFormat="1" ht="15" customHeight="1">
      <c r="A86" s="30"/>
      <c r="B86" s="30"/>
      <c r="C86" s="43" t="s">
        <v>238</v>
      </c>
      <c r="D86" s="29"/>
      <c r="E86" s="29"/>
      <c r="F86" s="28"/>
      <c r="G86" s="33" t="e">
        <f>SUM(H86:J86)</f>
        <v>#REF!</v>
      </c>
      <c r="H86" s="24">
        <f>[2]PRE!H270</f>
        <v>0</v>
      </c>
      <c r="I86" s="32" t="e">
        <f>[1]Sheet1!L267</f>
        <v>#REF!</v>
      </c>
      <c r="J86" s="31" t="e">
        <f>[1]Sheet1!N267</f>
        <v>#REF!</v>
      </c>
      <c r="M86" s="24">
        <v>0</v>
      </c>
    </row>
    <row r="87" spans="1:13" s="23" customFormat="1" ht="15" customHeight="1">
      <c r="A87" s="30"/>
      <c r="B87" s="30"/>
      <c r="C87" s="43" t="s">
        <v>237</v>
      </c>
      <c r="D87" s="29"/>
      <c r="E87" s="29"/>
      <c r="F87" s="28"/>
      <c r="G87" s="33" t="e">
        <f>SUM(H87:J87)</f>
        <v>#REF!</v>
      </c>
      <c r="H87" s="24">
        <f>[2]PRE!H271</f>
        <v>0</v>
      </c>
      <c r="I87" s="32" t="e">
        <f>[1]Sheet1!L268</f>
        <v>#REF!</v>
      </c>
      <c r="J87" s="31" t="e">
        <f>[1]Sheet1!N268</f>
        <v>#REF!</v>
      </c>
      <c r="M87" s="24">
        <v>0</v>
      </c>
    </row>
    <row r="88" spans="1:13" s="23" customFormat="1" ht="15" customHeight="1">
      <c r="A88" s="30"/>
      <c r="B88" s="30"/>
      <c r="C88" s="43" t="s">
        <v>236</v>
      </c>
      <c r="D88" s="29"/>
      <c r="E88" s="29"/>
      <c r="F88" s="28"/>
      <c r="G88" s="33" t="e">
        <f>SUM(H88:J88)</f>
        <v>#REF!</v>
      </c>
      <c r="H88" s="24">
        <f>[2]PRE!H272</f>
        <v>0</v>
      </c>
      <c r="I88" s="32" t="e">
        <f>[1]Sheet1!L269</f>
        <v>#REF!</v>
      </c>
      <c r="J88" s="31" t="e">
        <f>[1]Sheet1!N269</f>
        <v>#REF!</v>
      </c>
      <c r="M88" s="24">
        <v>0</v>
      </c>
    </row>
    <row r="89" spans="1:13" s="23" customFormat="1" ht="15.75" customHeight="1">
      <c r="A89" s="30"/>
      <c r="B89" s="30"/>
      <c r="C89" s="43" t="s">
        <v>235</v>
      </c>
      <c r="D89" s="29"/>
      <c r="E89" s="29"/>
      <c r="F89" s="28"/>
      <c r="G89" s="33" t="e">
        <f>SUM(H89:J89)</f>
        <v>#REF!</v>
      </c>
      <c r="H89" s="24">
        <f>[2]PRE!H273</f>
        <v>12631460.890000001</v>
      </c>
      <c r="I89" s="32" t="e">
        <f>[1]Sheet1!L270</f>
        <v>#REF!</v>
      </c>
      <c r="J89" s="31" t="e">
        <f>[1]Sheet1!N270</f>
        <v>#REF!</v>
      </c>
      <c r="M89" s="24">
        <v>534389</v>
      </c>
    </row>
    <row r="90" spans="1:13" s="23" customFormat="1" ht="15" customHeight="1">
      <c r="A90" s="30"/>
      <c r="B90" s="30"/>
      <c r="C90" s="43" t="s">
        <v>234</v>
      </c>
      <c r="D90" s="29"/>
      <c r="E90" s="29"/>
      <c r="F90" s="28"/>
      <c r="G90" s="33" t="e">
        <f>SUM(H90:J90)</f>
        <v>#REF!</v>
      </c>
      <c r="H90" s="24">
        <f>[2]PRE!H274</f>
        <v>0</v>
      </c>
      <c r="I90" s="32" t="e">
        <f>[1]Sheet1!L271</f>
        <v>#REF!</v>
      </c>
      <c r="J90" s="31" t="e">
        <f>[1]Sheet1!N271</f>
        <v>#REF!</v>
      </c>
      <c r="M90" s="24">
        <v>0</v>
      </c>
    </row>
    <row r="91" spans="1:13" s="23" customFormat="1" ht="15" customHeight="1">
      <c r="A91" s="30"/>
      <c r="B91" s="30"/>
      <c r="C91" s="43" t="s">
        <v>233</v>
      </c>
      <c r="D91" s="29"/>
      <c r="E91" s="29"/>
      <c r="F91" s="28"/>
      <c r="G91" s="33" t="e">
        <f>SUM(H91:J91)</f>
        <v>#REF!</v>
      </c>
      <c r="H91" s="24">
        <f>[2]PRE!H275</f>
        <v>0</v>
      </c>
      <c r="I91" s="32" t="e">
        <f>[1]Sheet1!L272</f>
        <v>#REF!</v>
      </c>
      <c r="J91" s="31" t="e">
        <f>[1]Sheet1!N272</f>
        <v>#REF!</v>
      </c>
      <c r="M91" s="24">
        <v>0</v>
      </c>
    </row>
    <row r="92" spans="1:13" s="23" customFormat="1" ht="15.75" customHeight="1">
      <c r="A92" s="30"/>
      <c r="B92" s="30"/>
      <c r="C92" s="43" t="s">
        <v>232</v>
      </c>
      <c r="D92" s="29"/>
      <c r="E92" s="29"/>
      <c r="F92" s="28"/>
      <c r="G92" s="33" t="e">
        <f>SUM(H92:J92)</f>
        <v>#REF!</v>
      </c>
      <c r="H92" s="24">
        <f>[2]PRE!H276</f>
        <v>1418941.1100000003</v>
      </c>
      <c r="I92" s="32" t="e">
        <f>[1]Sheet1!L273</f>
        <v>#REF!</v>
      </c>
      <c r="J92" s="31" t="e">
        <f>[1]Sheet1!N273</f>
        <v>#REF!</v>
      </c>
      <c r="M92" s="24">
        <v>2588701.9800000004</v>
      </c>
    </row>
    <row r="93" spans="1:13" s="23" customFormat="1" ht="15" customHeight="1">
      <c r="A93" s="30"/>
      <c r="B93" s="30"/>
      <c r="C93" s="43" t="s">
        <v>231</v>
      </c>
      <c r="D93" s="29"/>
      <c r="E93" s="29"/>
      <c r="F93" s="28"/>
      <c r="G93" s="33" t="e">
        <f>SUM(H93:J93)</f>
        <v>#REF!</v>
      </c>
      <c r="H93" s="24">
        <f>[2]PRE!H277</f>
        <v>1472.3600000000001</v>
      </c>
      <c r="I93" s="32" t="e">
        <f>[1]Sheet1!L274</f>
        <v>#REF!</v>
      </c>
      <c r="J93" s="31" t="e">
        <f>[1]Sheet1!N274</f>
        <v>#REF!</v>
      </c>
      <c r="M93" s="24">
        <v>0</v>
      </c>
    </row>
    <row r="94" spans="1:13" s="67" customFormat="1" ht="15.75" customHeight="1">
      <c r="A94" s="30" t="s">
        <v>230</v>
      </c>
      <c r="B94" s="30"/>
      <c r="C94" s="29"/>
      <c r="D94" s="29"/>
      <c r="E94" s="29"/>
      <c r="F94" s="63"/>
      <c r="G94" s="66" t="e">
        <f>+G31+G13</f>
        <v>#REF!</v>
      </c>
      <c r="H94" s="39">
        <f>+H31+H13</f>
        <v>945407283.58000004</v>
      </c>
      <c r="I94" s="65" t="e">
        <f>+I31+I13</f>
        <v>#REF!</v>
      </c>
      <c r="J94" s="64" t="e">
        <f>+J31+J13</f>
        <v>#REF!</v>
      </c>
      <c r="M94" s="24">
        <v>885368947.44000006</v>
      </c>
    </row>
    <row r="95" spans="1:13" s="67" customFormat="1" ht="15.75" customHeight="1">
      <c r="A95" s="30" t="s">
        <v>229</v>
      </c>
      <c r="B95" s="30"/>
      <c r="C95" s="29"/>
      <c r="D95" s="29"/>
      <c r="E95" s="29"/>
      <c r="F95" s="63"/>
      <c r="G95" s="66"/>
      <c r="H95" s="39"/>
      <c r="I95" s="65"/>
      <c r="J95" s="64"/>
      <c r="M95" s="39"/>
    </row>
    <row r="96" spans="1:13" s="67" customFormat="1" ht="15.75" customHeight="1">
      <c r="A96" s="30"/>
      <c r="B96" s="30" t="s">
        <v>228</v>
      </c>
      <c r="C96" s="29"/>
      <c r="D96" s="29"/>
      <c r="E96" s="29"/>
      <c r="F96" s="63"/>
      <c r="G96" s="66" t="e">
        <f>+G97+G105+G121+G126</f>
        <v>#REF!</v>
      </c>
      <c r="H96" s="39">
        <f>+H97+H105+H121+H126</f>
        <v>379157385.75999999</v>
      </c>
      <c r="I96" s="65" t="e">
        <f>+I97+I105+I121+I126</f>
        <v>#REF!</v>
      </c>
      <c r="J96" s="64" t="e">
        <f>+J97+J105+J121+J126</f>
        <v>#REF!</v>
      </c>
      <c r="M96" s="39">
        <v>347712714.05999994</v>
      </c>
    </row>
    <row r="97" spans="1:13" s="62" customFormat="1" ht="15.75" customHeight="1">
      <c r="A97" s="30"/>
      <c r="B97" s="30"/>
      <c r="C97" s="29" t="s">
        <v>227</v>
      </c>
      <c r="D97" s="29"/>
      <c r="E97" s="29"/>
      <c r="F97" s="63"/>
      <c r="G97" s="66" t="e">
        <f>SUM(G98:G104)</f>
        <v>#REF!</v>
      </c>
      <c r="H97" s="39">
        <f>SUM(H98:H104)</f>
        <v>188234998.41</v>
      </c>
      <c r="I97" s="65" t="e">
        <f>SUM(I98:I104)</f>
        <v>#REF!</v>
      </c>
      <c r="J97" s="64" t="e">
        <f>SUM(J98:J104)</f>
        <v>#REF!</v>
      </c>
      <c r="M97" s="39">
        <v>167468245.19999999</v>
      </c>
    </row>
    <row r="98" spans="1:13" s="23" customFormat="1" ht="15.75" customHeight="1">
      <c r="A98" s="30"/>
      <c r="B98" s="30"/>
      <c r="C98" s="29"/>
      <c r="D98" s="43" t="s">
        <v>226</v>
      </c>
      <c r="E98" s="29"/>
      <c r="F98" s="28"/>
      <c r="G98" s="33" t="e">
        <f>SUM(H98:J98)</f>
        <v>#REF!</v>
      </c>
      <c r="H98" s="24">
        <f>[2]PRE!E282</f>
        <v>158043468.59999999</v>
      </c>
      <c r="I98" s="32" t="e">
        <f>[1]Sheet1!K279</f>
        <v>#REF!</v>
      </c>
      <c r="J98" s="31" t="e">
        <f>[1]Sheet1!M279</f>
        <v>#REF!</v>
      </c>
      <c r="M98" s="39">
        <v>147652076.09</v>
      </c>
    </row>
    <row r="99" spans="1:13" s="23" customFormat="1" ht="15" customHeight="1">
      <c r="A99" s="30"/>
      <c r="B99" s="30"/>
      <c r="C99" s="29"/>
      <c r="D99" s="43" t="s">
        <v>225</v>
      </c>
      <c r="E99" s="29"/>
      <c r="F99" s="28"/>
      <c r="G99" s="33" t="e">
        <f>SUM(H99:J99)</f>
        <v>#REF!</v>
      </c>
      <c r="H99" s="24">
        <f>[2]PRE!E283</f>
        <v>0</v>
      </c>
      <c r="I99" s="32" t="e">
        <f>[1]Sheet1!K280</f>
        <v>#REF!</v>
      </c>
      <c r="J99" s="31" t="e">
        <f>[1]Sheet1!M280</f>
        <v>#REF!</v>
      </c>
      <c r="M99" s="24">
        <v>0</v>
      </c>
    </row>
    <row r="100" spans="1:13" s="23" customFormat="1" ht="15" customHeight="1">
      <c r="A100" s="30"/>
      <c r="B100" s="30"/>
      <c r="C100" s="29"/>
      <c r="D100" s="43" t="s">
        <v>224</v>
      </c>
      <c r="E100" s="29"/>
      <c r="F100" s="28"/>
      <c r="G100" s="33" t="e">
        <f>SUM(H100:J100)</f>
        <v>#REF!</v>
      </c>
      <c r="H100" s="24">
        <f>[2]PRE!E284</f>
        <v>0</v>
      </c>
      <c r="I100" s="32" t="e">
        <f>[1]Sheet1!K281</f>
        <v>#REF!</v>
      </c>
      <c r="J100" s="31" t="e">
        <f>[1]Sheet1!M281</f>
        <v>#REF!</v>
      </c>
      <c r="M100" s="24">
        <v>0</v>
      </c>
    </row>
    <row r="101" spans="1:13" s="23" customFormat="1" ht="15" customHeight="1">
      <c r="A101" s="30"/>
      <c r="B101" s="30"/>
      <c r="C101" s="29"/>
      <c r="D101" s="43" t="s">
        <v>223</v>
      </c>
      <c r="E101" s="29"/>
      <c r="F101" s="28"/>
      <c r="G101" s="33" t="e">
        <f>SUM(H101:J101)</f>
        <v>#REF!</v>
      </c>
      <c r="H101" s="24">
        <f>[2]PRE!E285</f>
        <v>0</v>
      </c>
      <c r="I101" s="32" t="e">
        <f>[1]Sheet1!K282</f>
        <v>#REF!</v>
      </c>
      <c r="J101" s="31" t="e">
        <f>[1]Sheet1!M282</f>
        <v>#REF!</v>
      </c>
      <c r="M101" s="24">
        <v>0</v>
      </c>
    </row>
    <row r="102" spans="1:13" s="23" customFormat="1" ht="15.75" customHeight="1">
      <c r="A102" s="30"/>
      <c r="B102" s="30"/>
      <c r="C102" s="29"/>
      <c r="D102" s="43" t="s">
        <v>222</v>
      </c>
      <c r="E102" s="29"/>
      <c r="F102" s="28"/>
      <c r="G102" s="33" t="e">
        <f>SUM(H102:J102)</f>
        <v>#REF!</v>
      </c>
      <c r="H102" s="24">
        <f>[2]PRE!E286</f>
        <v>30191529.809999995</v>
      </c>
      <c r="I102" s="32" t="e">
        <f>[1]Sheet1!K283</f>
        <v>#REF!</v>
      </c>
      <c r="J102" s="31" t="e">
        <f>[1]Sheet1!M283</f>
        <v>#REF!</v>
      </c>
      <c r="M102" s="24">
        <v>19816169.109999999</v>
      </c>
    </row>
    <row r="103" spans="1:13" s="23" customFormat="1" ht="15" customHeight="1">
      <c r="A103" s="30"/>
      <c r="B103" s="30"/>
      <c r="C103" s="29"/>
      <c r="D103" s="43" t="s">
        <v>221</v>
      </c>
      <c r="E103" s="29"/>
      <c r="F103" s="28"/>
      <c r="G103" s="33" t="e">
        <f>SUM(H103:J103)</f>
        <v>#REF!</v>
      </c>
      <c r="H103" s="24">
        <f>[2]PRE!E287</f>
        <v>0</v>
      </c>
      <c r="I103" s="32" t="e">
        <f>[1]Sheet1!K284</f>
        <v>#REF!</v>
      </c>
      <c r="J103" s="31" t="e">
        <f>[1]Sheet1!M284</f>
        <v>#REF!</v>
      </c>
      <c r="M103" s="24">
        <v>0</v>
      </c>
    </row>
    <row r="104" spans="1:13" s="23" customFormat="1" ht="15" customHeight="1">
      <c r="A104" s="30"/>
      <c r="B104" s="30"/>
      <c r="C104" s="29"/>
      <c r="D104" s="43" t="s">
        <v>220</v>
      </c>
      <c r="E104" s="29"/>
      <c r="F104" s="28"/>
      <c r="G104" s="33" t="e">
        <f>SUM(H104:J104)</f>
        <v>#REF!</v>
      </c>
      <c r="H104" s="24">
        <f>[2]PRE!E288</f>
        <v>0</v>
      </c>
      <c r="I104" s="32" t="e">
        <f>[1]Sheet1!K285</f>
        <v>#REF!</v>
      </c>
      <c r="J104" s="31" t="e">
        <f>[1]Sheet1!M285</f>
        <v>#REF!</v>
      </c>
      <c r="M104" s="24">
        <v>0</v>
      </c>
    </row>
    <row r="105" spans="1:13" s="62" customFormat="1" ht="15.75" customHeight="1">
      <c r="A105" s="30"/>
      <c r="B105" s="30"/>
      <c r="C105" s="29" t="s">
        <v>219</v>
      </c>
      <c r="D105" s="29"/>
      <c r="E105" s="29"/>
      <c r="F105" s="63"/>
      <c r="G105" s="38" t="e">
        <f>SUM(G106:G120)</f>
        <v>#REF!</v>
      </c>
      <c r="H105" s="35">
        <f>SUM(H106:H120)</f>
        <v>151711643.16999999</v>
      </c>
      <c r="I105" s="37" t="e">
        <f>SUM(I106:I120)</f>
        <v>#REF!</v>
      </c>
      <c r="J105" s="36" t="e">
        <f>SUM(J106:J120)</f>
        <v>#REF!</v>
      </c>
      <c r="M105" s="24">
        <v>141584947.33000001</v>
      </c>
    </row>
    <row r="106" spans="1:13" s="23" customFormat="1" ht="15.75" customHeight="1">
      <c r="A106" s="30"/>
      <c r="B106" s="30"/>
      <c r="C106" s="29"/>
      <c r="D106" s="43" t="s">
        <v>218</v>
      </c>
      <c r="E106" s="29"/>
      <c r="F106" s="28"/>
      <c r="G106" s="33" t="e">
        <f>SUM(H106:J106)</f>
        <v>#REF!</v>
      </c>
      <c r="H106" s="24">
        <f>[2]PRE!E289</f>
        <v>23549057.080000002</v>
      </c>
      <c r="I106" s="32" t="e">
        <f>[1]Sheet1!K286</f>
        <v>#REF!</v>
      </c>
      <c r="J106" s="31" t="e">
        <f>[1]Sheet1!M286</f>
        <v>#REF!</v>
      </c>
      <c r="M106" s="35">
        <v>24318565.059999999</v>
      </c>
    </row>
    <row r="107" spans="1:13" s="23" customFormat="1" ht="15.75" customHeight="1">
      <c r="A107" s="30"/>
      <c r="B107" s="30"/>
      <c r="C107" s="29"/>
      <c r="D107" s="43" t="s">
        <v>217</v>
      </c>
      <c r="E107" s="29"/>
      <c r="F107" s="28"/>
      <c r="G107" s="33" t="e">
        <f>SUM(H107:J107)</f>
        <v>#REF!</v>
      </c>
      <c r="H107" s="24">
        <f>[2]PRE!E290</f>
        <v>0</v>
      </c>
      <c r="I107" s="32" t="e">
        <f>[1]Sheet1!K287</f>
        <v>#REF!</v>
      </c>
      <c r="J107" s="31" t="e">
        <f>[1]Sheet1!M287</f>
        <v>#REF!</v>
      </c>
      <c r="M107" s="24">
        <v>0</v>
      </c>
    </row>
    <row r="108" spans="1:13" s="23" customFormat="1" ht="15.75" customHeight="1">
      <c r="A108" s="30"/>
      <c r="B108" s="30"/>
      <c r="C108" s="29"/>
      <c r="D108" s="43" t="s">
        <v>216</v>
      </c>
      <c r="E108" s="29"/>
      <c r="F108" s="28"/>
      <c r="G108" s="33" t="e">
        <f>SUM(H108:J108)</f>
        <v>#REF!</v>
      </c>
      <c r="H108" s="24">
        <f>[2]PRE!E291</f>
        <v>3098500</v>
      </c>
      <c r="I108" s="32" t="e">
        <f>[1]Sheet1!K288</f>
        <v>#REF!</v>
      </c>
      <c r="J108" s="31" t="e">
        <f>[1]Sheet1!M288</f>
        <v>#REF!</v>
      </c>
      <c r="M108" s="24">
        <v>3025613.64</v>
      </c>
    </row>
    <row r="109" spans="1:13" s="23" customFormat="1" ht="15.75" customHeight="1">
      <c r="A109" s="30"/>
      <c r="B109" s="30"/>
      <c r="C109" s="29"/>
      <c r="D109" s="43" t="s">
        <v>215</v>
      </c>
      <c r="E109" s="29"/>
      <c r="F109" s="28"/>
      <c r="G109" s="33" t="e">
        <f>SUM(H109:J109)</f>
        <v>#REF!</v>
      </c>
      <c r="H109" s="24">
        <f>[2]PRE!E292</f>
        <v>763344.89</v>
      </c>
      <c r="I109" s="32" t="e">
        <f>[1]Sheet1!K289</f>
        <v>#REF!</v>
      </c>
      <c r="J109" s="31" t="e">
        <f>[1]Sheet1!M289</f>
        <v>#REF!</v>
      </c>
      <c r="K109" s="23">
        <f>+H96-H121</f>
        <v>355469533.46999997</v>
      </c>
      <c r="M109" s="24">
        <v>864861.15</v>
      </c>
    </row>
    <row r="110" spans="1:13" s="23" customFormat="1" ht="15.75" customHeight="1">
      <c r="A110" s="30"/>
      <c r="B110" s="30"/>
      <c r="C110" s="29"/>
      <c r="D110" s="43" t="s">
        <v>214</v>
      </c>
      <c r="E110" s="29"/>
      <c r="F110" s="28"/>
      <c r="G110" s="33" t="e">
        <f>SUM(H110:J110)</f>
        <v>#REF!</v>
      </c>
      <c r="H110" s="24">
        <f>[2]PRE!E293</f>
        <v>2880000</v>
      </c>
      <c r="I110" s="32" t="e">
        <f>[1]Sheet1!K290</f>
        <v>#REF!</v>
      </c>
      <c r="J110" s="31" t="e">
        <f>[1]Sheet1!M290</f>
        <v>#REF!</v>
      </c>
      <c r="M110" s="24">
        <v>3192000</v>
      </c>
    </row>
    <row r="111" spans="1:13" s="23" customFormat="1" ht="15.75" customHeight="1">
      <c r="A111" s="30"/>
      <c r="B111" s="30"/>
      <c r="C111" s="29"/>
      <c r="D111" s="43" t="s">
        <v>213</v>
      </c>
      <c r="E111" s="29"/>
      <c r="F111" s="28"/>
      <c r="G111" s="33" t="e">
        <f>SUM(H111:J111)</f>
        <v>#REF!</v>
      </c>
      <c r="H111" s="24">
        <f>[2]PRE!E294</f>
        <v>5362938.58</v>
      </c>
      <c r="I111" s="32" t="e">
        <f>[1]Sheet1!K291</f>
        <v>#REF!</v>
      </c>
      <c r="J111" s="31" t="e">
        <f>[1]Sheet1!M291</f>
        <v>#REF!</v>
      </c>
      <c r="M111" s="24">
        <v>5502222.4900000002</v>
      </c>
    </row>
    <row r="112" spans="1:13" s="23" customFormat="1" ht="15.75" customHeight="1">
      <c r="A112" s="30"/>
      <c r="B112" s="30"/>
      <c r="C112" s="29"/>
      <c r="D112" s="43" t="s">
        <v>212</v>
      </c>
      <c r="E112" s="29"/>
      <c r="F112" s="28"/>
      <c r="G112" s="33" t="e">
        <f>SUM(H112:J112)</f>
        <v>#REF!</v>
      </c>
      <c r="H112" s="24">
        <f>[2]PRE!E295</f>
        <v>1980000</v>
      </c>
      <c r="I112" s="32" t="e">
        <f>[1]Sheet1!K292</f>
        <v>#REF!</v>
      </c>
      <c r="J112" s="31" t="e">
        <f>[1]Sheet1!M292</f>
        <v>#REF!</v>
      </c>
      <c r="M112" s="24">
        <v>1863000</v>
      </c>
    </row>
    <row r="113" spans="1:13" s="23" customFormat="1" ht="15" customHeight="1">
      <c r="A113" s="30"/>
      <c r="B113" s="30"/>
      <c r="C113" s="29"/>
      <c r="D113" s="43" t="s">
        <v>211</v>
      </c>
      <c r="E113" s="29"/>
      <c r="F113" s="28"/>
      <c r="G113" s="33" t="e">
        <f>SUM(H113:J113)</f>
        <v>#REF!</v>
      </c>
      <c r="H113" s="24">
        <f>[2]PRE!E296</f>
        <v>0</v>
      </c>
      <c r="I113" s="32" t="e">
        <f>[1]Sheet1!K293</f>
        <v>#REF!</v>
      </c>
      <c r="J113" s="31" t="e">
        <f>[1]Sheet1!M293</f>
        <v>#REF!</v>
      </c>
      <c r="M113" s="24">
        <v>0</v>
      </c>
    </row>
    <row r="114" spans="1:13" s="23" customFormat="1" ht="15.75" customHeight="1">
      <c r="A114" s="30"/>
      <c r="B114" s="30"/>
      <c r="C114" s="29"/>
      <c r="D114" s="43" t="s">
        <v>210</v>
      </c>
      <c r="E114" s="29"/>
      <c r="F114" s="28"/>
      <c r="G114" s="33" t="e">
        <f>SUM(H114:J114)</f>
        <v>#REF!</v>
      </c>
      <c r="H114" s="24">
        <f>[2]PRE!E297</f>
        <v>17486400</v>
      </c>
      <c r="I114" s="32" t="e">
        <f>[1]Sheet1!K294</f>
        <v>#REF!</v>
      </c>
      <c r="J114" s="31" t="e">
        <f>[1]Sheet1!M294</f>
        <v>#REF!</v>
      </c>
      <c r="M114" s="24">
        <v>17968200</v>
      </c>
    </row>
    <row r="115" spans="1:13" s="23" customFormat="1" ht="15.75" customHeight="1">
      <c r="A115" s="30"/>
      <c r="B115" s="30"/>
      <c r="C115" s="29"/>
      <c r="D115" s="43" t="s">
        <v>209</v>
      </c>
      <c r="E115" s="29"/>
      <c r="F115" s="28"/>
      <c r="G115" s="33" t="e">
        <f>SUM(H115:J115)</f>
        <v>#REF!</v>
      </c>
      <c r="H115" s="24">
        <f>[2]PRE!E298</f>
        <v>1307432</v>
      </c>
      <c r="I115" s="32" t="e">
        <f>[1]Sheet1!K295</f>
        <v>#REF!</v>
      </c>
      <c r="J115" s="31" t="e">
        <f>[1]Sheet1!M295</f>
        <v>#REF!</v>
      </c>
      <c r="M115" s="24">
        <v>3094405.75</v>
      </c>
    </row>
    <row r="116" spans="1:13" s="23" customFormat="1" ht="15.75" customHeight="1">
      <c r="A116" s="30"/>
      <c r="B116" s="30"/>
      <c r="C116" s="29"/>
      <c r="D116" s="43" t="s">
        <v>208</v>
      </c>
      <c r="E116" s="29"/>
      <c r="F116" s="28"/>
      <c r="G116" s="33" t="e">
        <f>SUM(H116:J116)</f>
        <v>#REF!</v>
      </c>
      <c r="H116" s="24">
        <f>[2]PRE!E299</f>
        <v>5967571.0000000009</v>
      </c>
      <c r="I116" s="32" t="e">
        <f>[1]Sheet1!K296</f>
        <v>#REF!</v>
      </c>
      <c r="J116" s="31" t="e">
        <f>[1]Sheet1!M296</f>
        <v>#REF!</v>
      </c>
      <c r="M116" s="24">
        <v>6211916.7199999988</v>
      </c>
    </row>
    <row r="117" spans="1:13" s="23" customFormat="1" ht="15.75" customHeight="1">
      <c r="A117" s="30"/>
      <c r="B117" s="30"/>
      <c r="C117" s="29"/>
      <c r="D117" s="43" t="s">
        <v>207</v>
      </c>
      <c r="E117" s="29"/>
      <c r="F117" s="28"/>
      <c r="G117" s="33" t="e">
        <f>SUM(H117:J117)</f>
        <v>#REF!</v>
      </c>
      <c r="H117" s="24">
        <f>[2]PRE!E300</f>
        <v>58597645.989999995</v>
      </c>
      <c r="I117" s="32" t="e">
        <f>[1]Sheet1!K297</f>
        <v>#REF!</v>
      </c>
      <c r="J117" s="31" t="e">
        <f>[1]Sheet1!M297</f>
        <v>#REF!</v>
      </c>
      <c r="M117" s="24">
        <v>48695442.340000004</v>
      </c>
    </row>
    <row r="118" spans="1:13" s="23" customFormat="1" ht="15.75" customHeight="1">
      <c r="A118" s="30"/>
      <c r="B118" s="30"/>
      <c r="C118" s="29"/>
      <c r="D118" s="43" t="s">
        <v>206</v>
      </c>
      <c r="E118" s="29"/>
      <c r="F118" s="28"/>
      <c r="G118" s="33" t="e">
        <f>SUM(H118:J118)</f>
        <v>#REF!</v>
      </c>
      <c r="H118" s="24">
        <f>[2]PRE!E301</f>
        <v>9678583.209999999</v>
      </c>
      <c r="I118" s="32" t="e">
        <f>[1]Sheet1!K298</f>
        <v>#REF!</v>
      </c>
      <c r="J118" s="31" t="e">
        <f>[1]Sheet1!M298</f>
        <v>#REF!</v>
      </c>
      <c r="M118" s="24">
        <v>6948654.4299999997</v>
      </c>
    </row>
    <row r="119" spans="1:13" s="23" customFormat="1" ht="15.75" customHeight="1">
      <c r="A119" s="30"/>
      <c r="B119" s="30"/>
      <c r="C119" s="29"/>
      <c r="D119" s="43" t="s">
        <v>205</v>
      </c>
      <c r="E119" s="29"/>
      <c r="F119" s="28"/>
      <c r="G119" s="33" t="e">
        <f>SUM(H119:J119)</f>
        <v>#REF!</v>
      </c>
      <c r="H119" s="24">
        <f>[2]PRE!E302</f>
        <v>5262500</v>
      </c>
      <c r="I119" s="32" t="e">
        <f>[1]Sheet1!K299</f>
        <v>#REF!</v>
      </c>
      <c r="J119" s="31" t="e">
        <f>[1]Sheet1!M299</f>
        <v>#REF!</v>
      </c>
      <c r="M119" s="24">
        <v>5438450</v>
      </c>
    </row>
    <row r="120" spans="1:13" s="23" customFormat="1" ht="15.75" customHeight="1">
      <c r="A120" s="30"/>
      <c r="B120" s="30"/>
      <c r="C120" s="29"/>
      <c r="D120" s="43" t="s">
        <v>204</v>
      </c>
      <c r="E120" s="29"/>
      <c r="F120" s="28"/>
      <c r="G120" s="33" t="e">
        <f>SUM(H120:J120)</f>
        <v>#REF!</v>
      </c>
      <c r="H120" s="24">
        <f>[2]PRE!E303</f>
        <v>15777670.419999998</v>
      </c>
      <c r="I120" s="32" t="e">
        <f>[1]Sheet1!K300</f>
        <v>#REF!</v>
      </c>
      <c r="J120" s="31" t="e">
        <f>[1]Sheet1!M300</f>
        <v>#REF!</v>
      </c>
      <c r="M120" s="24">
        <v>14461615.75</v>
      </c>
    </row>
    <row r="121" spans="1:13" s="62" customFormat="1" ht="15.75" customHeight="1">
      <c r="A121" s="30"/>
      <c r="B121" s="30"/>
      <c r="C121" s="29" t="s">
        <v>203</v>
      </c>
      <c r="D121" s="29"/>
      <c r="E121" s="29"/>
      <c r="F121" s="63"/>
      <c r="G121" s="38" t="e">
        <f>SUM(G122:G125)</f>
        <v>#REF!</v>
      </c>
      <c r="H121" s="35">
        <f>SUM(H122:H125)</f>
        <v>23687852.290000003</v>
      </c>
      <c r="I121" s="37" t="e">
        <f>SUM(I122:I125)</f>
        <v>#REF!</v>
      </c>
      <c r="J121" s="36" t="e">
        <f>SUM(J122:J125)</f>
        <v>#REF!</v>
      </c>
      <c r="M121" s="24">
        <v>24658852.199999999</v>
      </c>
    </row>
    <row r="122" spans="1:13" s="23" customFormat="1" ht="15.75" customHeight="1">
      <c r="A122" s="30"/>
      <c r="B122" s="30"/>
      <c r="C122" s="29"/>
      <c r="D122" s="43" t="s">
        <v>202</v>
      </c>
      <c r="E122" s="29"/>
      <c r="F122" s="28"/>
      <c r="G122" s="33" t="e">
        <f>SUM(H122:J122)</f>
        <v>#REF!</v>
      </c>
      <c r="H122" s="24">
        <f>[2]PRE!E304</f>
        <v>19428047.940000001</v>
      </c>
      <c r="I122" s="32" t="e">
        <f>[1]Sheet1!K301</f>
        <v>#REF!</v>
      </c>
      <c r="J122" s="31" t="e">
        <f>[1]Sheet1!M301</f>
        <v>#REF!</v>
      </c>
      <c r="M122" s="39">
        <v>18363299.960000001</v>
      </c>
    </row>
    <row r="123" spans="1:13" s="23" customFormat="1" ht="15.75" customHeight="1">
      <c r="A123" s="30"/>
      <c r="B123" s="30"/>
      <c r="C123" s="29"/>
      <c r="D123" s="43" t="s">
        <v>201</v>
      </c>
      <c r="E123" s="29"/>
      <c r="F123" s="28"/>
      <c r="G123" s="33" t="e">
        <f>SUM(H123:J123)</f>
        <v>#REF!</v>
      </c>
      <c r="H123" s="24">
        <f>[2]PRE!E305</f>
        <v>1212075</v>
      </c>
      <c r="I123" s="32" t="e">
        <f>[1]Sheet1!K302</f>
        <v>#REF!</v>
      </c>
      <c r="J123" s="31" t="e">
        <f>[1]Sheet1!M302</f>
        <v>#REF!</v>
      </c>
      <c r="M123" s="24">
        <v>1254225</v>
      </c>
    </row>
    <row r="124" spans="1:13" s="23" customFormat="1" ht="15.75" customHeight="1">
      <c r="A124" s="30"/>
      <c r="B124" s="30"/>
      <c r="C124" s="29"/>
      <c r="D124" s="43" t="s">
        <v>200</v>
      </c>
      <c r="E124" s="29"/>
      <c r="F124" s="28"/>
      <c r="G124" s="33" t="e">
        <f>SUM(H124:J124)</f>
        <v>#REF!</v>
      </c>
      <c r="H124" s="24">
        <f>[2]PRE!E306</f>
        <v>2113825</v>
      </c>
      <c r="I124" s="32" t="e">
        <f>[1]Sheet1!K303</f>
        <v>#REF!</v>
      </c>
      <c r="J124" s="31" t="e">
        <f>[1]Sheet1!M303</f>
        <v>#REF!</v>
      </c>
      <c r="M124" s="24">
        <v>4099448.25</v>
      </c>
    </row>
    <row r="125" spans="1:13" s="23" customFormat="1" ht="15.75" customHeight="1">
      <c r="A125" s="30"/>
      <c r="B125" s="30"/>
      <c r="C125" s="29"/>
      <c r="D125" s="43" t="s">
        <v>199</v>
      </c>
      <c r="E125" s="29"/>
      <c r="F125" s="28"/>
      <c r="G125" s="33" t="e">
        <f>SUM(H125:J125)</f>
        <v>#REF!</v>
      </c>
      <c r="H125" s="24">
        <f>[2]PRE!E307</f>
        <v>933904.34999999986</v>
      </c>
      <c r="I125" s="32" t="e">
        <f>[1]Sheet1!K304</f>
        <v>#REF!</v>
      </c>
      <c r="J125" s="31" t="e">
        <f>[1]Sheet1!M304</f>
        <v>#REF!</v>
      </c>
      <c r="M125" s="24">
        <v>941878.98999999987</v>
      </c>
    </row>
    <row r="126" spans="1:13" s="23" customFormat="1" ht="15.75" customHeight="1">
      <c r="A126" s="30"/>
      <c r="B126" s="30"/>
      <c r="C126" s="29" t="s">
        <v>198</v>
      </c>
      <c r="D126" s="29"/>
      <c r="E126" s="29"/>
      <c r="F126" s="34"/>
      <c r="G126" s="38" t="e">
        <f>SUM(G127:G133)</f>
        <v>#REF!</v>
      </c>
      <c r="H126" s="35">
        <f>SUM(H127:H133)</f>
        <v>15522891.890000001</v>
      </c>
      <c r="I126" s="37" t="e">
        <f>SUM(I127:I133)</f>
        <v>#REF!</v>
      </c>
      <c r="J126" s="36" t="e">
        <f>SUM(J127:J133)</f>
        <v>#REF!</v>
      </c>
      <c r="M126" s="24">
        <v>14000669.330000002</v>
      </c>
    </row>
    <row r="127" spans="1:13" s="23" customFormat="1" ht="15" customHeight="1">
      <c r="A127" s="30"/>
      <c r="B127" s="30"/>
      <c r="C127" s="29"/>
      <c r="D127" s="43" t="s">
        <v>197</v>
      </c>
      <c r="E127" s="29"/>
      <c r="F127" s="28"/>
      <c r="G127" s="33" t="e">
        <f>SUM(H127:J127)</f>
        <v>#REF!</v>
      </c>
      <c r="H127" s="24">
        <f>[2]PRE!E308</f>
        <v>0</v>
      </c>
      <c r="I127" s="32" t="e">
        <f>[1]Sheet1!K305</f>
        <v>#REF!</v>
      </c>
      <c r="J127" s="31" t="e">
        <f>[1]Sheet1!M305</f>
        <v>#REF!</v>
      </c>
      <c r="M127" s="35">
        <v>0</v>
      </c>
    </row>
    <row r="128" spans="1:13" s="23" customFormat="1" ht="15" customHeight="1">
      <c r="A128" s="30"/>
      <c r="B128" s="30"/>
      <c r="C128" s="29"/>
      <c r="D128" s="43" t="s">
        <v>196</v>
      </c>
      <c r="E128" s="29"/>
      <c r="F128" s="28"/>
      <c r="G128" s="33" t="e">
        <f>SUM(H128:J128)</f>
        <v>#REF!</v>
      </c>
      <c r="H128" s="24">
        <f>[2]PRE!E309</f>
        <v>0</v>
      </c>
      <c r="I128" s="32" t="e">
        <f>[1]Sheet1!K306</f>
        <v>#REF!</v>
      </c>
      <c r="J128" s="31" t="e">
        <f>[1]Sheet1!M306</f>
        <v>#REF!</v>
      </c>
      <c r="M128" s="35">
        <v>0</v>
      </c>
    </row>
    <row r="129" spans="1:13" s="23" customFormat="1" ht="15" customHeight="1">
      <c r="A129" s="30"/>
      <c r="B129" s="30"/>
      <c r="C129" s="29"/>
      <c r="D129" s="43" t="s">
        <v>195</v>
      </c>
      <c r="E129" s="29"/>
      <c r="F129" s="28"/>
      <c r="G129" s="33" t="e">
        <f>SUM(H129:J129)</f>
        <v>#REF!</v>
      </c>
      <c r="H129" s="24">
        <f>[2]PRE!E310</f>
        <v>0</v>
      </c>
      <c r="I129" s="32" t="e">
        <f>[1]Sheet1!K307</f>
        <v>#REF!</v>
      </c>
      <c r="J129" s="31" t="e">
        <f>[1]Sheet1!M307</f>
        <v>#REF!</v>
      </c>
      <c r="M129" s="24">
        <v>0</v>
      </c>
    </row>
    <row r="130" spans="1:13" s="23" customFormat="1" ht="15" customHeight="1">
      <c r="A130" s="30"/>
      <c r="B130" s="30"/>
      <c r="C130" s="29"/>
      <c r="D130" s="43" t="s">
        <v>194</v>
      </c>
      <c r="E130" s="29"/>
      <c r="F130" s="28"/>
      <c r="G130" s="33" t="e">
        <f>SUM(H130:J130)</f>
        <v>#REF!</v>
      </c>
      <c r="H130" s="24">
        <f>[2]PRE!E311</f>
        <v>0</v>
      </c>
      <c r="I130" s="32" t="e">
        <f>[1]Sheet1!K308</f>
        <v>#REF!</v>
      </c>
      <c r="J130" s="31" t="e">
        <f>[1]Sheet1!M308</f>
        <v>#REF!</v>
      </c>
      <c r="M130" s="24">
        <v>0</v>
      </c>
    </row>
    <row r="131" spans="1:13" s="23" customFormat="1" ht="15.75" customHeight="1">
      <c r="A131" s="30"/>
      <c r="B131" s="30"/>
      <c r="C131" s="29"/>
      <c r="D131" s="43" t="s">
        <v>193</v>
      </c>
      <c r="E131" s="29"/>
      <c r="F131" s="28"/>
      <c r="G131" s="33" t="e">
        <f>SUM(H131:J131)</f>
        <v>#REF!</v>
      </c>
      <c r="H131" s="24">
        <f>[2]PRE!E312</f>
        <v>14205277.390000001</v>
      </c>
      <c r="I131" s="32" t="e">
        <f>[1]Sheet1!K309</f>
        <v>#REF!</v>
      </c>
      <c r="J131" s="31" t="e">
        <f>[1]Sheet1!M309</f>
        <v>#REF!</v>
      </c>
      <c r="M131" s="24">
        <v>10422077.890000001</v>
      </c>
    </row>
    <row r="132" spans="1:13" s="23" customFormat="1" ht="15" customHeight="1">
      <c r="A132" s="30"/>
      <c r="B132" s="30"/>
      <c r="C132" s="29"/>
      <c r="D132" s="43" t="s">
        <v>192</v>
      </c>
      <c r="E132" s="29"/>
      <c r="F132" s="28"/>
      <c r="G132" s="33" t="e">
        <f>SUM(H132:J132)</f>
        <v>#REF!</v>
      </c>
      <c r="H132" s="24">
        <f>[2]PRE!E313</f>
        <v>0</v>
      </c>
      <c r="I132" s="32" t="e">
        <f>[1]Sheet1!K310</f>
        <v>#REF!</v>
      </c>
      <c r="J132" s="31" t="e">
        <f>[1]Sheet1!M310</f>
        <v>#REF!</v>
      </c>
      <c r="M132" s="24">
        <v>0</v>
      </c>
    </row>
    <row r="133" spans="1:13" s="23" customFormat="1" ht="15.75" customHeight="1">
      <c r="A133" s="30"/>
      <c r="B133" s="30"/>
      <c r="C133" s="29"/>
      <c r="D133" s="43" t="s">
        <v>191</v>
      </c>
      <c r="E133" s="29"/>
      <c r="F133" s="28"/>
      <c r="G133" s="33" t="e">
        <f>SUM(H133:J133)</f>
        <v>#REF!</v>
      </c>
      <c r="H133" s="24">
        <f>[2]PRE!E314</f>
        <v>1317614.5</v>
      </c>
      <c r="I133" s="32" t="e">
        <f>[1]Sheet1!K311</f>
        <v>#REF!</v>
      </c>
      <c r="J133" s="31" t="e">
        <f>[1]Sheet1!M311</f>
        <v>#REF!</v>
      </c>
      <c r="M133" s="24">
        <v>3578591.4400000004</v>
      </c>
    </row>
    <row r="134" spans="1:13" s="23" customFormat="1" ht="14.25" customHeight="1">
      <c r="A134" s="30"/>
      <c r="B134" s="30" t="s">
        <v>190</v>
      </c>
      <c r="C134" s="29"/>
      <c r="D134" s="29"/>
      <c r="E134" s="29"/>
      <c r="F134" s="34"/>
      <c r="G134" s="38" t="e">
        <f>SUM(G163:G174)+G135+G138+G141+G153+G157+G183+G236+G241+G245+G296</f>
        <v>#REF!</v>
      </c>
      <c r="H134" s="39">
        <f>SUM(H163:H174)+H135+H138+H141+H153+H157+H183+H236+H241+H245+H296</f>
        <v>320241935.35999995</v>
      </c>
      <c r="I134" s="37" t="e">
        <f>SUM(I163:I174)+I135+I138+I141+I153+I157+I183+I236+I241+I245+I296</f>
        <v>#REF!</v>
      </c>
      <c r="J134" s="36" t="e">
        <f>SUM(J163:J174)+J135+J138+J141+J153+J157+J183+J236+J241+J245+J296</f>
        <v>#REF!</v>
      </c>
      <c r="M134" s="24">
        <v>335946266</v>
      </c>
    </row>
    <row r="135" spans="1:13" s="23" customFormat="1" ht="15.75" customHeight="1">
      <c r="A135" s="30"/>
      <c r="B135" s="30"/>
      <c r="C135" s="29" t="s">
        <v>189</v>
      </c>
      <c r="D135" s="29"/>
      <c r="E135" s="29"/>
      <c r="F135" s="34"/>
      <c r="G135" s="38" t="e">
        <f>SUM(G136:G137)</f>
        <v>#REF!</v>
      </c>
      <c r="H135" s="35">
        <f>SUM(H136:H137)</f>
        <v>13317735.09</v>
      </c>
      <c r="I135" s="37" t="e">
        <f>SUM(I136:I137)</f>
        <v>#REF!</v>
      </c>
      <c r="J135" s="36" t="e">
        <f>SUM(J136:J137)</f>
        <v>#REF!</v>
      </c>
      <c r="M135" s="35">
        <v>12064389.510000002</v>
      </c>
    </row>
    <row r="136" spans="1:13" s="23" customFormat="1" ht="15.75" customHeight="1">
      <c r="A136" s="30"/>
      <c r="B136" s="30"/>
      <c r="C136" s="29"/>
      <c r="D136" s="43" t="s">
        <v>188</v>
      </c>
      <c r="E136" s="29"/>
      <c r="F136" s="28"/>
      <c r="G136" s="33" t="e">
        <f>SUM(H136:J136)</f>
        <v>#REF!</v>
      </c>
      <c r="H136" s="24">
        <f>[2]PRE!E315</f>
        <v>12551788.09</v>
      </c>
      <c r="I136" s="32" t="e">
        <f>[1]Sheet1!K312</f>
        <v>#REF!</v>
      </c>
      <c r="J136" s="31" t="e">
        <f>[1]Sheet1!M312</f>
        <v>#REF!</v>
      </c>
      <c r="M136" s="35">
        <v>12064389.510000002</v>
      </c>
    </row>
    <row r="137" spans="1:13" s="23" customFormat="1" ht="15" customHeight="1">
      <c r="A137" s="30"/>
      <c r="B137" s="30"/>
      <c r="C137" s="29"/>
      <c r="D137" s="43" t="s">
        <v>187</v>
      </c>
      <c r="E137" s="29"/>
      <c r="F137" s="28"/>
      <c r="G137" s="33" t="e">
        <f>SUM(H137:J137)</f>
        <v>#REF!</v>
      </c>
      <c r="H137" s="24">
        <f>[2]PRE!E316</f>
        <v>765947</v>
      </c>
      <c r="I137" s="32" t="e">
        <f>[1]Sheet1!K313</f>
        <v>#REF!</v>
      </c>
      <c r="J137" s="31" t="e">
        <f>[1]Sheet1!M313</f>
        <v>#REF!</v>
      </c>
      <c r="M137" s="24">
        <v>0</v>
      </c>
    </row>
    <row r="138" spans="1:13" s="23" customFormat="1" ht="15" customHeight="1">
      <c r="A138" s="30"/>
      <c r="B138" s="30"/>
      <c r="C138" s="29" t="s">
        <v>186</v>
      </c>
      <c r="D138" s="29"/>
      <c r="E138" s="29"/>
      <c r="F138" s="34"/>
      <c r="G138" s="38" t="e">
        <f>SUM(G139:G140)</f>
        <v>#REF!</v>
      </c>
      <c r="H138" s="35">
        <f>SUM(H139:H140)</f>
        <v>30265072.739999998</v>
      </c>
      <c r="I138" s="37" t="e">
        <f>SUM(I139:I140)</f>
        <v>#REF!</v>
      </c>
      <c r="J138" s="36" t="e">
        <f>SUM(J139:J140)</f>
        <v>#REF!</v>
      </c>
      <c r="M138" s="24">
        <v>28834846.900000002</v>
      </c>
    </row>
    <row r="139" spans="1:13" s="23" customFormat="1" ht="15" customHeight="1">
      <c r="A139" s="30"/>
      <c r="B139" s="30"/>
      <c r="C139" s="29"/>
      <c r="D139" s="43" t="s">
        <v>185</v>
      </c>
      <c r="E139" s="29"/>
      <c r="F139" s="28"/>
      <c r="G139" s="33" t="e">
        <f>SUM(H139:J139)</f>
        <v>#REF!</v>
      </c>
      <c r="H139" s="24">
        <f>[2]PRE!E317</f>
        <v>16052263.43</v>
      </c>
      <c r="I139" s="32" t="e">
        <f>[1]Sheet1!K314</f>
        <v>#REF!</v>
      </c>
      <c r="J139" s="31" t="e">
        <f>[1]Sheet1!M314</f>
        <v>#REF!</v>
      </c>
      <c r="M139" s="35">
        <v>15625449.910000002</v>
      </c>
    </row>
    <row r="140" spans="1:13" s="23" customFormat="1" ht="15" customHeight="1">
      <c r="A140" s="30"/>
      <c r="B140" s="30"/>
      <c r="C140" s="29"/>
      <c r="D140" s="43" t="s">
        <v>184</v>
      </c>
      <c r="E140" s="29"/>
      <c r="F140" s="28"/>
      <c r="G140" s="33" t="e">
        <f>SUM(H140:J140)</f>
        <v>#REF!</v>
      </c>
      <c r="H140" s="24">
        <f>[2]PRE!E318</f>
        <v>14212809.309999999</v>
      </c>
      <c r="I140" s="32" t="e">
        <f>[1]Sheet1!K315</f>
        <v>#REF!</v>
      </c>
      <c r="J140" s="31" t="e">
        <f>[1]Sheet1!M315</f>
        <v>#REF!</v>
      </c>
      <c r="M140" s="24">
        <v>13209396.99</v>
      </c>
    </row>
    <row r="141" spans="1:13" s="23" customFormat="1" ht="15" customHeight="1">
      <c r="A141" s="30"/>
      <c r="B141" s="30"/>
      <c r="C141" s="29" t="s">
        <v>183</v>
      </c>
      <c r="D141" s="29"/>
      <c r="E141" s="29"/>
      <c r="F141" s="34"/>
      <c r="G141" s="38" t="e">
        <f>SUM(G142:G152)</f>
        <v>#REF!</v>
      </c>
      <c r="H141" s="35">
        <f>SUM(H142:H152)</f>
        <v>88938884.920000002</v>
      </c>
      <c r="I141" s="37" t="e">
        <f>SUM(I142:I152)</f>
        <v>#REF!</v>
      </c>
      <c r="J141" s="36" t="e">
        <f>SUM(J142:J152)</f>
        <v>#REF!</v>
      </c>
      <c r="M141" s="24">
        <v>114206115.19999999</v>
      </c>
    </row>
    <row r="142" spans="1:13" s="23" customFormat="1" ht="15" customHeight="1">
      <c r="A142" s="30"/>
      <c r="B142" s="30"/>
      <c r="C142" s="29"/>
      <c r="D142" s="43" t="s">
        <v>182</v>
      </c>
      <c r="E142" s="29"/>
      <c r="F142" s="28"/>
      <c r="G142" s="33" t="e">
        <f>SUM(H142:J142)</f>
        <v>#REF!</v>
      </c>
      <c r="H142" s="24">
        <f>[2]PRE!E319</f>
        <v>20040766.370000001</v>
      </c>
      <c r="I142" s="32" t="e">
        <f>[1]Sheet1!K316</f>
        <v>#REF!</v>
      </c>
      <c r="J142" s="31" t="e">
        <f>[1]Sheet1!M316</f>
        <v>#REF!</v>
      </c>
      <c r="M142" s="35">
        <v>36381216.059999995</v>
      </c>
    </row>
    <row r="143" spans="1:13" s="23" customFormat="1" ht="15" customHeight="1">
      <c r="A143" s="30"/>
      <c r="B143" s="30"/>
      <c r="C143" s="29"/>
      <c r="D143" s="43" t="s">
        <v>181</v>
      </c>
      <c r="E143" s="29"/>
      <c r="F143" s="28"/>
      <c r="G143" s="33" t="e">
        <f>SUM(H143:J143)</f>
        <v>#REF!</v>
      </c>
      <c r="H143" s="24">
        <f>[2]PRE!E320</f>
        <v>537758.5</v>
      </c>
      <c r="I143" s="32" t="e">
        <f>[1]Sheet1!K317</f>
        <v>#REF!</v>
      </c>
      <c r="J143" s="31" t="e">
        <f>[1]Sheet1!M317</f>
        <v>#REF!</v>
      </c>
      <c r="M143" s="24">
        <v>482957.25</v>
      </c>
    </row>
    <row r="144" spans="1:13" s="23" customFormat="1" ht="15" customHeight="1">
      <c r="A144" s="30"/>
      <c r="B144" s="30"/>
      <c r="C144" s="29"/>
      <c r="D144" s="43" t="s">
        <v>180</v>
      </c>
      <c r="E144" s="29"/>
      <c r="F144" s="28"/>
      <c r="G144" s="33" t="e">
        <f>SUM(H144:J144)</f>
        <v>#REF!</v>
      </c>
      <c r="H144" s="24">
        <f>[2]PRE!E321</f>
        <v>531070.69999999995</v>
      </c>
      <c r="I144" s="32" t="e">
        <f>[1]Sheet1!K318</f>
        <v>#REF!</v>
      </c>
      <c r="J144" s="31" t="e">
        <f>[1]Sheet1!M318</f>
        <v>#REF!</v>
      </c>
      <c r="M144" s="24">
        <v>538400</v>
      </c>
    </row>
    <row r="145" spans="1:13" s="23" customFormat="1" ht="15" customHeight="1">
      <c r="A145" s="30"/>
      <c r="B145" s="30"/>
      <c r="C145" s="29"/>
      <c r="D145" s="43" t="s">
        <v>179</v>
      </c>
      <c r="E145" s="29"/>
      <c r="F145" s="28"/>
      <c r="G145" s="33" t="e">
        <f>SUM(H145:J145)</f>
        <v>#REF!</v>
      </c>
      <c r="H145" s="24">
        <f>[2]PRE!E322</f>
        <v>15507684.429999998</v>
      </c>
      <c r="I145" s="32" t="e">
        <f>[1]Sheet1!K319</f>
        <v>#REF!</v>
      </c>
      <c r="J145" s="31" t="e">
        <f>[1]Sheet1!M319</f>
        <v>#REF!</v>
      </c>
      <c r="M145" s="24">
        <v>15199032.33</v>
      </c>
    </row>
    <row r="146" spans="1:13" s="23" customFormat="1" ht="15" customHeight="1">
      <c r="A146" s="30"/>
      <c r="B146" s="30"/>
      <c r="C146" s="29"/>
      <c r="D146" s="43" t="s">
        <v>178</v>
      </c>
      <c r="E146" s="29"/>
      <c r="F146" s="28"/>
      <c r="G146" s="33" t="e">
        <f>SUM(H146:J146)</f>
        <v>#REF!</v>
      </c>
      <c r="H146" s="24">
        <f>[2]PRE!E323</f>
        <v>3280867.82</v>
      </c>
      <c r="I146" s="32" t="e">
        <f>[1]Sheet1!K320</f>
        <v>#REF!</v>
      </c>
      <c r="J146" s="31" t="e">
        <f>[1]Sheet1!M320</f>
        <v>#REF!</v>
      </c>
      <c r="M146" s="24">
        <v>6280897.8399999999</v>
      </c>
    </row>
    <row r="147" spans="1:13" s="23" customFormat="1" ht="15" customHeight="1">
      <c r="A147" s="30"/>
      <c r="B147" s="30"/>
      <c r="C147" s="29"/>
      <c r="D147" s="43" t="s">
        <v>177</v>
      </c>
      <c r="E147" s="29"/>
      <c r="F147" s="28"/>
      <c r="G147" s="33" t="e">
        <f>SUM(H147:J147)</f>
        <v>#REF!</v>
      </c>
      <c r="H147" s="24">
        <f>[2]PRE!E324</f>
        <v>6308995.4500000002</v>
      </c>
      <c r="I147" s="32" t="e">
        <f>[1]Sheet1!K321</f>
        <v>#REF!</v>
      </c>
      <c r="J147" s="31" t="e">
        <f>[1]Sheet1!M321</f>
        <v>#REF!</v>
      </c>
      <c r="M147" s="24">
        <v>11674470.049999999</v>
      </c>
    </row>
    <row r="148" spans="1:13" s="23" customFormat="1" ht="15" customHeight="1">
      <c r="A148" s="30"/>
      <c r="B148" s="30"/>
      <c r="C148" s="29"/>
      <c r="D148" s="43" t="s">
        <v>176</v>
      </c>
      <c r="E148" s="29"/>
      <c r="F148" s="28"/>
      <c r="G148" s="33" t="e">
        <f>SUM(H148:J148)</f>
        <v>#REF!</v>
      </c>
      <c r="H148" s="24">
        <f>[2]PRE!E325</f>
        <v>26072470.629999999</v>
      </c>
      <c r="I148" s="32" t="e">
        <f>[1]Sheet1!K322</f>
        <v>#REF!</v>
      </c>
      <c r="J148" s="31" t="e">
        <f>[1]Sheet1!M322</f>
        <v>#REF!</v>
      </c>
      <c r="M148" s="24">
        <v>26595182.209999997</v>
      </c>
    </row>
    <row r="149" spans="1:13" s="23" customFormat="1" ht="15" customHeight="1">
      <c r="A149" s="30"/>
      <c r="B149" s="30"/>
      <c r="C149" s="29"/>
      <c r="D149" s="43" t="s">
        <v>175</v>
      </c>
      <c r="E149" s="29"/>
      <c r="F149" s="28"/>
      <c r="G149" s="33" t="e">
        <f>SUM(H149:J149)</f>
        <v>#REF!</v>
      </c>
      <c r="H149" s="24">
        <f>[2]PRE!E326</f>
        <v>478581</v>
      </c>
      <c r="I149" s="32" t="e">
        <f>[1]Sheet1!K323</f>
        <v>#REF!</v>
      </c>
      <c r="J149" s="31" t="e">
        <f>[1]Sheet1!M323</f>
        <v>#REF!</v>
      </c>
      <c r="M149" s="24">
        <v>1323813</v>
      </c>
    </row>
    <row r="150" spans="1:13" s="23" customFormat="1" ht="15.75" customHeight="1">
      <c r="A150" s="30"/>
      <c r="B150" s="30"/>
      <c r="C150" s="29"/>
      <c r="D150" s="43" t="s">
        <v>174</v>
      </c>
      <c r="E150" s="29"/>
      <c r="F150" s="28"/>
      <c r="G150" s="33" t="e">
        <f>SUM(H150:J150)</f>
        <v>#REF!</v>
      </c>
      <c r="H150" s="24">
        <f>[2]PRE!E327</f>
        <v>5600</v>
      </c>
      <c r="I150" s="32" t="e">
        <f>[1]Sheet1!K324</f>
        <v>#REF!</v>
      </c>
      <c r="J150" s="31" t="e">
        <f>[1]Sheet1!M324</f>
        <v>#REF!</v>
      </c>
      <c r="M150" s="24">
        <v>1386</v>
      </c>
    </row>
    <row r="151" spans="1:13" s="55" customFormat="1" ht="15" customHeight="1">
      <c r="A151" s="30"/>
      <c r="B151" s="30"/>
      <c r="C151" s="29"/>
      <c r="D151" s="43" t="s">
        <v>173</v>
      </c>
      <c r="E151" s="29"/>
      <c r="F151" s="28"/>
      <c r="G151" s="33" t="e">
        <f>SUM(H151:J151)</f>
        <v>#REF!</v>
      </c>
      <c r="H151" s="24">
        <f>[2]PRE!E328</f>
        <v>0</v>
      </c>
      <c r="I151" s="32" t="e">
        <f>[1]Sheet1!K325</f>
        <v>#REF!</v>
      </c>
      <c r="J151" s="31" t="e">
        <f>[1]Sheet1!M325</f>
        <v>#REF!</v>
      </c>
      <c r="M151" s="24">
        <v>41400</v>
      </c>
    </row>
    <row r="152" spans="1:13" s="55" customFormat="1" ht="15.75" customHeight="1">
      <c r="A152" s="30"/>
      <c r="B152" s="30"/>
      <c r="C152" s="29"/>
      <c r="D152" s="43" t="s">
        <v>172</v>
      </c>
      <c r="E152" s="29"/>
      <c r="F152" s="28"/>
      <c r="G152" s="33" t="e">
        <f>SUM(H152:J152)</f>
        <v>#REF!</v>
      </c>
      <c r="H152" s="24">
        <f>[2]PRE!E329</f>
        <v>16175090.020000001</v>
      </c>
      <c r="I152" s="54" t="e">
        <f>[1]Sheet1!K326</f>
        <v>#REF!</v>
      </c>
      <c r="J152" s="53" t="e">
        <f>[1]Sheet1!M326</f>
        <v>#REF!</v>
      </c>
      <c r="M152" s="24">
        <v>15687360.460000003</v>
      </c>
    </row>
    <row r="153" spans="1:13" s="55" customFormat="1" ht="15.75" customHeight="1">
      <c r="A153" s="30"/>
      <c r="B153" s="30"/>
      <c r="C153" s="29" t="s">
        <v>171</v>
      </c>
      <c r="D153" s="29"/>
      <c r="E153" s="29"/>
      <c r="F153" s="34"/>
      <c r="G153" s="38" t="e">
        <f>SUM(G154:G156)</f>
        <v>#REF!</v>
      </c>
      <c r="H153" s="35">
        <f>SUM(H154:H156)</f>
        <v>14767092.48</v>
      </c>
      <c r="I153" s="37" t="e">
        <f>SUM(I154:I156)</f>
        <v>#REF!</v>
      </c>
      <c r="J153" s="36" t="e">
        <f>SUM(J154:J156)</f>
        <v>#REF!</v>
      </c>
      <c r="M153" s="24">
        <v>11774447.429999998</v>
      </c>
    </row>
    <row r="154" spans="1:13" s="55" customFormat="1" ht="15.75" customHeight="1">
      <c r="A154" s="30"/>
      <c r="B154" s="30"/>
      <c r="C154" s="29"/>
      <c r="D154" s="43" t="s">
        <v>170</v>
      </c>
      <c r="E154" s="29"/>
      <c r="F154" s="28"/>
      <c r="G154" s="33" t="e">
        <f>SUM(H154:J154)</f>
        <v>#REF!</v>
      </c>
      <c r="H154" s="24">
        <f>[2]PRE!E330</f>
        <v>943970.06</v>
      </c>
      <c r="I154" s="54" t="e">
        <f>[1]Sheet1!K327</f>
        <v>#REF!</v>
      </c>
      <c r="J154" s="53" t="e">
        <f>[1]Sheet1!M327</f>
        <v>#REF!</v>
      </c>
      <c r="M154" s="35">
        <v>817282.24999999988</v>
      </c>
    </row>
    <row r="155" spans="1:13" s="55" customFormat="1" ht="15.75" customHeight="1">
      <c r="A155" s="30"/>
      <c r="B155" s="30"/>
      <c r="C155" s="29"/>
      <c r="D155" s="43" t="s">
        <v>169</v>
      </c>
      <c r="E155" s="29"/>
      <c r="F155" s="28"/>
      <c r="G155" s="33" t="e">
        <f>SUM(H155:J155)</f>
        <v>#REF!</v>
      </c>
      <c r="H155" s="24">
        <f>[2]PRE!E331</f>
        <v>13416154.77</v>
      </c>
      <c r="I155" s="54" t="e">
        <f>[1]Sheet1!K328</f>
        <v>#REF!</v>
      </c>
      <c r="J155" s="53" t="e">
        <f>[1]Sheet1!M328</f>
        <v>#REF!</v>
      </c>
      <c r="M155" s="24">
        <v>10640881.179999998</v>
      </c>
    </row>
    <row r="156" spans="1:13" s="56" customFormat="1" ht="15.75" customHeight="1">
      <c r="A156" s="59"/>
      <c r="B156" s="59"/>
      <c r="C156" s="58"/>
      <c r="D156" s="61" t="s">
        <v>168</v>
      </c>
      <c r="E156" s="58"/>
      <c r="F156" s="60"/>
      <c r="G156" s="33" t="e">
        <f>SUM(H156:J156)</f>
        <v>#REF!</v>
      </c>
      <c r="H156" s="24">
        <f>[2]PRE!E332</f>
        <v>406967.65</v>
      </c>
      <c r="I156" s="54" t="e">
        <f>[1]Sheet1!K329</f>
        <v>#REF!</v>
      </c>
      <c r="J156" s="53" t="e">
        <f>[1]Sheet1!M329</f>
        <v>#REF!</v>
      </c>
      <c r="M156" s="24">
        <v>316284</v>
      </c>
    </row>
    <row r="157" spans="1:13" s="56" customFormat="1" ht="15.75" customHeight="1">
      <c r="A157" s="59"/>
      <c r="B157" s="59"/>
      <c r="C157" s="58" t="s">
        <v>167</v>
      </c>
      <c r="D157" s="58"/>
      <c r="E157" s="58"/>
      <c r="F157" s="57"/>
      <c r="G157" s="38" t="e">
        <f>SUM(G158:G162)</f>
        <v>#REF!</v>
      </c>
      <c r="H157" s="35">
        <f>SUM(H158:H162)</f>
        <v>5979655.2999999998</v>
      </c>
      <c r="I157" s="37" t="e">
        <f>SUM(I158:I162)</f>
        <v>#REF!</v>
      </c>
      <c r="J157" s="36" t="e">
        <f>SUM(J158:J162)</f>
        <v>#REF!</v>
      </c>
      <c r="M157" s="24">
        <v>4174808.99</v>
      </c>
    </row>
    <row r="158" spans="1:13" s="55" customFormat="1" ht="15.75" customHeight="1">
      <c r="A158" s="30"/>
      <c r="B158" s="30"/>
      <c r="C158" s="29"/>
      <c r="D158" s="43" t="s">
        <v>166</v>
      </c>
      <c r="E158" s="29"/>
      <c r="F158" s="28"/>
      <c r="G158" s="33" t="e">
        <f>SUM(H158:J158)</f>
        <v>#REF!</v>
      </c>
      <c r="H158" s="24">
        <f>[2]PRE!E333</f>
        <v>37905.660000000003</v>
      </c>
      <c r="I158" s="54" t="e">
        <f>[1]Sheet1!K330</f>
        <v>#REF!</v>
      </c>
      <c r="J158" s="53" t="e">
        <f>[1]Sheet1!M330</f>
        <v>#REF!</v>
      </c>
      <c r="M158" s="35">
        <v>38206.800000000003</v>
      </c>
    </row>
    <row r="159" spans="1:13" s="55" customFormat="1" ht="15.75" customHeight="1">
      <c r="A159" s="30"/>
      <c r="B159" s="30"/>
      <c r="C159" s="29"/>
      <c r="D159" s="43" t="s">
        <v>165</v>
      </c>
      <c r="E159" s="29"/>
      <c r="F159" s="28"/>
      <c r="G159" s="33" t="e">
        <f>SUM(H159:J159)</f>
        <v>#REF!</v>
      </c>
      <c r="H159" s="24">
        <f>[2]PRE!E334</f>
        <v>1876178.0000000005</v>
      </c>
      <c r="I159" s="54" t="e">
        <f>[1]Sheet1!K331</f>
        <v>#REF!</v>
      </c>
      <c r="J159" s="53" t="e">
        <f>[1]Sheet1!M331</f>
        <v>#REF!</v>
      </c>
      <c r="M159" s="24">
        <v>1328171.96</v>
      </c>
    </row>
    <row r="160" spans="1:13" s="55" customFormat="1" ht="15.75" customHeight="1">
      <c r="A160" s="30"/>
      <c r="B160" s="30"/>
      <c r="C160" s="29"/>
      <c r="D160" s="43" t="s">
        <v>164</v>
      </c>
      <c r="E160" s="29"/>
      <c r="F160" s="28"/>
      <c r="G160" s="33" t="e">
        <f>SUM(H160:J160)</f>
        <v>#REF!</v>
      </c>
      <c r="H160" s="24">
        <f>[2]PRE!E335</f>
        <v>3210157.16</v>
      </c>
      <c r="I160" s="54" t="e">
        <f>[1]Sheet1!K332</f>
        <v>#REF!</v>
      </c>
      <c r="J160" s="53" t="e">
        <f>[1]Sheet1!M332</f>
        <v>#REF!</v>
      </c>
      <c r="M160" s="24">
        <v>2360042.9700000002</v>
      </c>
    </row>
    <row r="161" spans="1:13" s="55" customFormat="1" ht="15.75" customHeight="1">
      <c r="A161" s="30"/>
      <c r="B161" s="30"/>
      <c r="C161" s="29"/>
      <c r="D161" s="43" t="s">
        <v>163</v>
      </c>
      <c r="E161" s="29"/>
      <c r="F161" s="28"/>
      <c r="G161" s="33" t="e">
        <f>SUM(H161:J161)</f>
        <v>#REF!</v>
      </c>
      <c r="H161" s="24">
        <f>[2]PRE!E336</f>
        <v>601428.01</v>
      </c>
      <c r="I161" s="54" t="e">
        <f>[1]Sheet1!K333</f>
        <v>#REF!</v>
      </c>
      <c r="J161" s="53" t="e">
        <f>[1]Sheet1!M333</f>
        <v>#REF!</v>
      </c>
      <c r="M161" s="24">
        <v>387201.5</v>
      </c>
    </row>
    <row r="162" spans="1:13" s="55" customFormat="1" ht="15.75" customHeight="1">
      <c r="A162" s="30"/>
      <c r="B162" s="30"/>
      <c r="C162" s="29"/>
      <c r="D162" s="43" t="s">
        <v>162</v>
      </c>
      <c r="E162" s="29"/>
      <c r="F162" s="28"/>
      <c r="G162" s="33" t="e">
        <f>SUM(H162:J162)</f>
        <v>#REF!</v>
      </c>
      <c r="H162" s="24">
        <f>[2]PRE!E337</f>
        <v>253986.47</v>
      </c>
      <c r="I162" s="54" t="e">
        <f>[1]Sheet1!K334</f>
        <v>#REF!</v>
      </c>
      <c r="J162" s="53" t="e">
        <f>[1]Sheet1!M334</f>
        <v>#REF!</v>
      </c>
      <c r="M162" s="24">
        <v>61185.760000000002</v>
      </c>
    </row>
    <row r="163" spans="1:13" s="23" customFormat="1" ht="15.75" customHeight="1">
      <c r="A163" s="30"/>
      <c r="B163" s="30"/>
      <c r="C163" s="43" t="s">
        <v>161</v>
      </c>
      <c r="D163" s="43"/>
      <c r="E163" s="43"/>
      <c r="F163" s="28"/>
      <c r="G163" s="33" t="e">
        <f>SUM(H163:J163)</f>
        <v>#REF!</v>
      </c>
      <c r="H163" s="24">
        <f>[2]PRE!E338</f>
        <v>490350</v>
      </c>
      <c r="I163" s="54" t="e">
        <f>[1]Sheet1!K335</f>
        <v>#REF!</v>
      </c>
      <c r="J163" s="53" t="e">
        <f>[1]Sheet1!M335</f>
        <v>#REF!</v>
      </c>
      <c r="M163" s="24">
        <v>324750</v>
      </c>
    </row>
    <row r="164" spans="1:13" s="23" customFormat="1" ht="15.75" customHeight="1">
      <c r="A164" s="30"/>
      <c r="B164" s="30"/>
      <c r="C164" s="43" t="s">
        <v>160</v>
      </c>
      <c r="D164" s="43"/>
      <c r="E164" s="43"/>
      <c r="F164" s="28"/>
      <c r="G164" s="33" t="e">
        <f>SUM(H164:J164)</f>
        <v>#REF!</v>
      </c>
      <c r="H164" s="24">
        <f>[2]PRE!E339</f>
        <v>682394.6</v>
      </c>
      <c r="I164" s="54" t="e">
        <f>[1]Sheet1!K336</f>
        <v>#REF!</v>
      </c>
      <c r="J164" s="53" t="e">
        <f>[1]Sheet1!M336</f>
        <v>#REF!</v>
      </c>
      <c r="M164" s="24">
        <v>203597</v>
      </c>
    </row>
    <row r="165" spans="1:13" s="23" customFormat="1" ht="15.75" customHeight="1">
      <c r="A165" s="30"/>
      <c r="B165" s="30"/>
      <c r="C165" s="43" t="s">
        <v>159</v>
      </c>
      <c r="D165" s="43"/>
      <c r="E165" s="43"/>
      <c r="F165" s="28"/>
      <c r="G165" s="33" t="e">
        <f>SUM(H165:J165)</f>
        <v>#REF!</v>
      </c>
      <c r="H165" s="24">
        <f>[2]PRE!E340</f>
        <v>841988</v>
      </c>
      <c r="I165" s="54" t="e">
        <f>[1]Sheet1!K337</f>
        <v>#REF!</v>
      </c>
      <c r="J165" s="53" t="e">
        <f>[1]Sheet1!M337</f>
        <v>#REF!</v>
      </c>
      <c r="M165" s="24">
        <v>2007282.13</v>
      </c>
    </row>
    <row r="166" spans="1:13" s="23" customFormat="1" ht="15.75" customHeight="1">
      <c r="A166" s="30"/>
      <c r="B166" s="30"/>
      <c r="C166" s="43" t="s">
        <v>158</v>
      </c>
      <c r="D166" s="43"/>
      <c r="E166" s="43"/>
      <c r="F166" s="28"/>
      <c r="G166" s="33" t="e">
        <f>SUM(H166:J166)</f>
        <v>#REF!</v>
      </c>
      <c r="H166" s="24">
        <f>[2]PRE!E341</f>
        <v>482648</v>
      </c>
      <c r="I166" s="32" t="e">
        <f>[1]Sheet1!K338</f>
        <v>#REF!</v>
      </c>
      <c r="J166" s="31" t="e">
        <f>[1]Sheet1!M338</f>
        <v>#REF!</v>
      </c>
      <c r="M166" s="24">
        <v>243389.25</v>
      </c>
    </row>
    <row r="167" spans="1:13" s="23" customFormat="1" ht="15.75" customHeight="1">
      <c r="A167" s="30"/>
      <c r="B167" s="30"/>
      <c r="C167" s="43" t="s">
        <v>157</v>
      </c>
      <c r="D167" s="43"/>
      <c r="E167" s="43"/>
      <c r="F167" s="28"/>
      <c r="G167" s="33" t="e">
        <f>SUM(H167:J167)</f>
        <v>#REF!</v>
      </c>
      <c r="H167" s="24">
        <f>[2]PRE!E342</f>
        <v>1701691.2799999998</v>
      </c>
      <c r="I167" s="32" t="e">
        <f>[1]Sheet1!K339</f>
        <v>#REF!</v>
      </c>
      <c r="J167" s="31" t="e">
        <f>[1]Sheet1!M339</f>
        <v>#REF!</v>
      </c>
      <c r="M167" s="24">
        <v>1874115.2799999998</v>
      </c>
    </row>
    <row r="168" spans="1:13" s="23" customFormat="1" ht="15.75" customHeight="1">
      <c r="A168" s="30"/>
      <c r="B168" s="30"/>
      <c r="C168" s="43" t="s">
        <v>156</v>
      </c>
      <c r="D168" s="43"/>
      <c r="E168" s="43"/>
      <c r="F168" s="28"/>
      <c r="G168" s="33" t="e">
        <f>SUM(H168:J168)</f>
        <v>#REF!</v>
      </c>
      <c r="H168" s="24">
        <f>[2]PRE!E343</f>
        <v>109000</v>
      </c>
      <c r="I168" s="32" t="e">
        <f>[1]Sheet1!K340</f>
        <v>#REF!</v>
      </c>
      <c r="J168" s="31" t="e">
        <f>[1]Sheet1!M340</f>
        <v>#REF!</v>
      </c>
      <c r="M168" s="24">
        <v>226200</v>
      </c>
    </row>
    <row r="169" spans="1:13" s="23" customFormat="1" ht="15.75" customHeight="1">
      <c r="A169" s="30"/>
      <c r="B169" s="30"/>
      <c r="C169" s="43" t="s">
        <v>155</v>
      </c>
      <c r="D169" s="43"/>
      <c r="E169" s="43"/>
      <c r="F169" s="28"/>
      <c r="G169" s="33" t="e">
        <f>SUM(H169:J169)</f>
        <v>#REF!</v>
      </c>
      <c r="H169" s="24">
        <f>[2]PRE!E344</f>
        <v>1955760</v>
      </c>
      <c r="I169" s="32" t="e">
        <f>[1]Sheet1!K341</f>
        <v>#REF!</v>
      </c>
      <c r="J169" s="31" t="e">
        <f>[1]Sheet1!M341</f>
        <v>#REF!</v>
      </c>
      <c r="M169" s="24">
        <v>504796.73</v>
      </c>
    </row>
    <row r="170" spans="1:13" s="23" customFormat="1" ht="15" customHeight="1">
      <c r="A170" s="30"/>
      <c r="B170" s="30"/>
      <c r="C170" s="43" t="s">
        <v>154</v>
      </c>
      <c r="D170" s="43"/>
      <c r="E170" s="43"/>
      <c r="F170" s="28"/>
      <c r="G170" s="33" t="e">
        <f>SUM(H170:J170)</f>
        <v>#REF!</v>
      </c>
      <c r="H170" s="24">
        <f>[2]PRE!E345</f>
        <v>0</v>
      </c>
      <c r="I170" s="32" t="e">
        <f>[1]Sheet1!K342</f>
        <v>#REF!</v>
      </c>
      <c r="J170" s="31" t="e">
        <f>[1]Sheet1!M342</f>
        <v>#REF!</v>
      </c>
      <c r="M170" s="24">
        <v>0</v>
      </c>
    </row>
    <row r="171" spans="1:13" s="23" customFormat="1" ht="15.75" customHeight="1">
      <c r="A171" s="30"/>
      <c r="B171" s="30"/>
      <c r="C171" s="43" t="s">
        <v>153</v>
      </c>
      <c r="D171" s="43"/>
      <c r="E171" s="43"/>
      <c r="F171" s="28"/>
      <c r="G171" s="33" t="e">
        <f>SUM(H171:J171)</f>
        <v>#REF!</v>
      </c>
      <c r="H171" s="24">
        <f>[2]PRE!E346</f>
        <v>345025.4</v>
      </c>
      <c r="I171" s="32" t="e">
        <f>[1]Sheet1!K343</f>
        <v>#REF!</v>
      </c>
      <c r="J171" s="31" t="e">
        <f>[1]Sheet1!M343</f>
        <v>#REF!</v>
      </c>
      <c r="M171" s="24">
        <v>390537</v>
      </c>
    </row>
    <row r="172" spans="1:13" s="23" customFormat="1" ht="15" customHeight="1">
      <c r="A172" s="30"/>
      <c r="B172" s="30"/>
      <c r="C172" s="43" t="s">
        <v>152</v>
      </c>
      <c r="D172" s="43"/>
      <c r="E172" s="43"/>
      <c r="F172" s="28"/>
      <c r="G172" s="33" t="e">
        <f>SUM(H172:J172)</f>
        <v>#REF!</v>
      </c>
      <c r="H172" s="24">
        <f>[2]PRE!E347</f>
        <v>0</v>
      </c>
      <c r="I172" s="32" t="e">
        <f>[1]Sheet1!K344</f>
        <v>#REF!</v>
      </c>
      <c r="J172" s="31" t="e">
        <f>[1]Sheet1!M344</f>
        <v>#REF!</v>
      </c>
      <c r="M172" s="24">
        <v>0</v>
      </c>
    </row>
    <row r="173" spans="1:13" s="23" customFormat="1" ht="15" customHeight="1">
      <c r="A173" s="30"/>
      <c r="B173" s="30"/>
      <c r="C173" s="43" t="s">
        <v>151</v>
      </c>
      <c r="D173" s="43"/>
      <c r="E173" s="43"/>
      <c r="F173" s="28"/>
      <c r="G173" s="33" t="e">
        <f>SUM(H173:J173)</f>
        <v>#REF!</v>
      </c>
      <c r="H173" s="24">
        <f>[2]PRE!E348</f>
        <v>1333800</v>
      </c>
      <c r="I173" s="32" t="e">
        <f>[1]Sheet1!K345</f>
        <v>#REF!</v>
      </c>
      <c r="J173" s="31" t="e">
        <f>[1]Sheet1!M345</f>
        <v>#REF!</v>
      </c>
      <c r="M173" s="24">
        <v>93300</v>
      </c>
    </row>
    <row r="174" spans="1:13" s="23" customFormat="1" ht="15.75" customHeight="1">
      <c r="A174" s="30"/>
      <c r="B174" s="30"/>
      <c r="C174" s="43" t="s">
        <v>150</v>
      </c>
      <c r="D174" s="43"/>
      <c r="E174" s="43"/>
      <c r="F174" s="28"/>
      <c r="G174" s="38" t="e">
        <f>SUM(G175:G182)</f>
        <v>#REF!</v>
      </c>
      <c r="H174" s="35">
        <f>SUM(H175:H182)</f>
        <v>12415739.48</v>
      </c>
      <c r="I174" s="37" t="e">
        <f>SUM(I175:I182)</f>
        <v>#REF!</v>
      </c>
      <c r="J174" s="36" t="e">
        <f>SUM(J175:J182)</f>
        <v>#REF!</v>
      </c>
      <c r="M174" s="24">
        <v>9311156.129999999</v>
      </c>
    </row>
    <row r="175" spans="1:13" s="23" customFormat="1" ht="15" customHeight="1">
      <c r="A175" s="30"/>
      <c r="B175" s="30"/>
      <c r="C175" s="29"/>
      <c r="D175" s="43" t="s">
        <v>149</v>
      </c>
      <c r="E175" s="29"/>
      <c r="F175" s="28"/>
      <c r="G175" s="33" t="e">
        <f>SUM(H175:J175)</f>
        <v>#REF!</v>
      </c>
      <c r="H175" s="24">
        <f>[2]PRE!E349</f>
        <v>935640</v>
      </c>
      <c r="I175" s="32" t="e">
        <f>[1]Sheet1!K346</f>
        <v>#REF!</v>
      </c>
      <c r="J175" s="31" t="e">
        <f>[1]Sheet1!M346</f>
        <v>#REF!</v>
      </c>
      <c r="M175" s="35">
        <v>0</v>
      </c>
    </row>
    <row r="176" spans="1:13" s="23" customFormat="1" ht="15" customHeight="1">
      <c r="A176" s="30"/>
      <c r="B176" s="30"/>
      <c r="C176" s="29"/>
      <c r="D176" s="43" t="s">
        <v>148</v>
      </c>
      <c r="E176" s="29"/>
      <c r="F176" s="28"/>
      <c r="G176" s="33" t="e">
        <f>SUM(H176:J176)</f>
        <v>#REF!</v>
      </c>
      <c r="H176" s="24">
        <f>[2]PRE!E350</f>
        <v>0</v>
      </c>
      <c r="I176" s="32" t="e">
        <f>[1]Sheet1!K347</f>
        <v>#REF!</v>
      </c>
      <c r="J176" s="31" t="e">
        <f>[1]Sheet1!M347</f>
        <v>#REF!</v>
      </c>
      <c r="M176" s="35">
        <v>0</v>
      </c>
    </row>
    <row r="177" spans="1:13" s="23" customFormat="1" ht="15.75" customHeight="1">
      <c r="A177" s="30"/>
      <c r="B177" s="30"/>
      <c r="C177" s="29"/>
      <c r="D177" s="43" t="s">
        <v>147</v>
      </c>
      <c r="E177" s="29"/>
      <c r="F177" s="28"/>
      <c r="G177" s="33" t="e">
        <f>SUM(H177:J177)</f>
        <v>#REF!</v>
      </c>
      <c r="H177" s="24">
        <f>[2]PRE!E351</f>
        <v>4818053.32</v>
      </c>
      <c r="I177" s="32" t="e">
        <f>[1]Sheet1!K348</f>
        <v>#REF!</v>
      </c>
      <c r="J177" s="31" t="e">
        <f>[1]Sheet1!M348</f>
        <v>#REF!</v>
      </c>
      <c r="M177" s="24">
        <v>1185888.8799999999</v>
      </c>
    </row>
    <row r="178" spans="1:13" s="23" customFormat="1" ht="15" customHeight="1">
      <c r="A178" s="30"/>
      <c r="B178" s="30"/>
      <c r="C178" s="29"/>
      <c r="D178" s="43" t="s">
        <v>146</v>
      </c>
      <c r="E178" s="29"/>
      <c r="F178" s="28"/>
      <c r="G178" s="33" t="e">
        <f>SUM(H178:J178)</f>
        <v>#REF!</v>
      </c>
      <c r="H178" s="24">
        <f>[2]PRE!E352</f>
        <v>0</v>
      </c>
      <c r="I178" s="32" t="e">
        <f>[1]Sheet1!K349</f>
        <v>#REF!</v>
      </c>
      <c r="J178" s="31" t="e">
        <f>[1]Sheet1!M349</f>
        <v>#REF!</v>
      </c>
      <c r="M178" s="24">
        <v>0</v>
      </c>
    </row>
    <row r="179" spans="1:13" s="23" customFormat="1" ht="15.75" customHeight="1">
      <c r="A179" s="30"/>
      <c r="B179" s="30"/>
      <c r="C179" s="29"/>
      <c r="D179" s="43" t="s">
        <v>145</v>
      </c>
      <c r="E179" s="29"/>
      <c r="F179" s="28"/>
      <c r="G179" s="33" t="e">
        <f>SUM(H179:J179)</f>
        <v>#REF!</v>
      </c>
      <c r="H179" s="24">
        <f>[2]PRE!E353</f>
        <v>0</v>
      </c>
      <c r="I179" s="32" t="e">
        <f>[1]Sheet1!K350</f>
        <v>#REF!</v>
      </c>
      <c r="J179" s="31" t="e">
        <f>[1]Sheet1!M350</f>
        <v>#REF!</v>
      </c>
      <c r="M179" s="24">
        <v>600500</v>
      </c>
    </row>
    <row r="180" spans="1:13" s="23" customFormat="1" ht="15" customHeight="1">
      <c r="A180" s="30"/>
      <c r="B180" s="30"/>
      <c r="C180" s="29"/>
      <c r="D180" s="43" t="s">
        <v>144</v>
      </c>
      <c r="E180" s="29"/>
      <c r="F180" s="28"/>
      <c r="G180" s="33" t="e">
        <f>SUM(H180:J180)</f>
        <v>#REF!</v>
      </c>
      <c r="H180" s="24">
        <f>[2]PRE!E354</f>
        <v>255247.16</v>
      </c>
      <c r="I180" s="32" t="e">
        <f>[1]Sheet1!K351</f>
        <v>#REF!</v>
      </c>
      <c r="J180" s="31" t="e">
        <f>[1]Sheet1!M351</f>
        <v>#REF!</v>
      </c>
      <c r="M180" s="24">
        <v>0</v>
      </c>
    </row>
    <row r="181" spans="1:13" s="23" customFormat="1" ht="15.75" customHeight="1">
      <c r="A181" s="30"/>
      <c r="B181" s="30"/>
      <c r="C181" s="29"/>
      <c r="D181" s="43" t="s">
        <v>143</v>
      </c>
      <c r="E181" s="29"/>
      <c r="F181" s="28"/>
      <c r="G181" s="33" t="e">
        <f>SUM(H181:J181)</f>
        <v>#REF!</v>
      </c>
      <c r="H181" s="24">
        <f>[2]PRE!E355</f>
        <v>3816000</v>
      </c>
      <c r="I181" s="32" t="e">
        <f>[1]Sheet1!K352</f>
        <v>#REF!</v>
      </c>
      <c r="J181" s="31" t="e">
        <f>[1]Sheet1!M352</f>
        <v>#REF!</v>
      </c>
      <c r="M181" s="24">
        <v>3474000</v>
      </c>
    </row>
    <row r="182" spans="1:13" s="23" customFormat="1" ht="15" customHeight="1">
      <c r="A182" s="30"/>
      <c r="B182" s="30"/>
      <c r="C182" s="29"/>
      <c r="D182" s="43" t="s">
        <v>142</v>
      </c>
      <c r="E182" s="29"/>
      <c r="F182" s="28"/>
      <c r="G182" s="33" t="e">
        <f>SUM(H182:J182)</f>
        <v>#REF!</v>
      </c>
      <c r="H182" s="24">
        <f>[2]PRE!E356</f>
        <v>2590799</v>
      </c>
      <c r="I182" s="32" t="e">
        <f>[1]Sheet1!K353</f>
        <v>#REF!</v>
      </c>
      <c r="J182" s="31" t="e">
        <f>[1]Sheet1!M353</f>
        <v>#REF!</v>
      </c>
      <c r="M182" s="24">
        <v>4050767.25</v>
      </c>
    </row>
    <row r="183" spans="1:13" s="23" customFormat="1" ht="15" customHeight="1">
      <c r="A183" s="30"/>
      <c r="B183" s="30"/>
      <c r="C183" s="29" t="s">
        <v>141</v>
      </c>
      <c r="D183" s="29"/>
      <c r="E183" s="29"/>
      <c r="F183" s="34"/>
      <c r="G183" s="38" t="e">
        <f>+G184+G189+G195+G199+G203+G216+G222+G224+G233</f>
        <v>#REF!</v>
      </c>
      <c r="H183" s="35">
        <f>+H184+H189+H195+H199+H203+H216+H222+H224+H233</f>
        <v>24199963.559999995</v>
      </c>
      <c r="I183" s="37" t="e">
        <f>+I184+I189+I195+I199+I203+I216+I222+I224+I233</f>
        <v>#REF!</v>
      </c>
      <c r="J183" s="36" t="e">
        <f>+J184+J189+J195+J199+J203+J216+J222+J224+J233</f>
        <v>#REF!</v>
      </c>
      <c r="M183" s="24">
        <v>46296998.909999996</v>
      </c>
    </row>
    <row r="184" spans="1:13" s="23" customFormat="1" ht="15.75" customHeight="1">
      <c r="A184" s="30"/>
      <c r="B184" s="30"/>
      <c r="C184" s="29"/>
      <c r="D184" s="43" t="s">
        <v>82</v>
      </c>
      <c r="E184" s="43"/>
      <c r="F184" s="34"/>
      <c r="G184" s="38" t="e">
        <f>SUM(G185:G188)</f>
        <v>#REF!</v>
      </c>
      <c r="H184" s="35">
        <f>SUM(H185:H188)</f>
        <v>90762</v>
      </c>
      <c r="I184" s="37" t="e">
        <f>SUM(I185:I188)</f>
        <v>#REF!</v>
      </c>
      <c r="J184" s="36" t="e">
        <f>SUM(J185:J188)</f>
        <v>#REF!</v>
      </c>
      <c r="M184" s="35">
        <v>59958</v>
      </c>
    </row>
    <row r="185" spans="1:13" s="23" customFormat="1" ht="15.75" customHeight="1">
      <c r="A185" s="30"/>
      <c r="B185" s="30"/>
      <c r="C185" s="29"/>
      <c r="D185" s="29"/>
      <c r="E185" s="43" t="s">
        <v>140</v>
      </c>
      <c r="F185" s="28"/>
      <c r="G185" s="33" t="e">
        <f>SUM(H185:J185)</f>
        <v>#REF!</v>
      </c>
      <c r="H185" s="24">
        <f>[2]PRE!E357</f>
        <v>0</v>
      </c>
      <c r="I185" s="32" t="e">
        <f>[1]Sheet1!K354</f>
        <v>#REF!</v>
      </c>
      <c r="J185" s="31" t="e">
        <f>[1]Sheet1!M354</f>
        <v>#REF!</v>
      </c>
      <c r="M185" s="35">
        <v>17000</v>
      </c>
    </row>
    <row r="186" spans="1:13" s="23" customFormat="1" ht="15.75" customHeight="1">
      <c r="A186" s="30"/>
      <c r="B186" s="30"/>
      <c r="C186" s="29"/>
      <c r="D186" s="29"/>
      <c r="E186" s="43" t="s">
        <v>139</v>
      </c>
      <c r="F186" s="28"/>
      <c r="G186" s="33" t="e">
        <f>SUM(H186:J186)</f>
        <v>#REF!</v>
      </c>
      <c r="H186" s="24">
        <f>[2]PRE!E358</f>
        <v>0</v>
      </c>
      <c r="I186" s="32" t="e">
        <f>[1]Sheet1!K355</f>
        <v>#REF!</v>
      </c>
      <c r="J186" s="31" t="e">
        <f>[1]Sheet1!M355</f>
        <v>#REF!</v>
      </c>
      <c r="M186" s="35">
        <v>0</v>
      </c>
    </row>
    <row r="187" spans="1:13" s="23" customFormat="1" ht="15.75" customHeight="1">
      <c r="A187" s="30"/>
      <c r="B187" s="30"/>
      <c r="C187" s="29"/>
      <c r="D187" s="29"/>
      <c r="E187" s="43" t="s">
        <v>138</v>
      </c>
      <c r="F187" s="28"/>
      <c r="G187" s="33" t="e">
        <f>SUM(H187:J187)</f>
        <v>#REF!</v>
      </c>
      <c r="H187" s="24">
        <f>[2]PRE!E359</f>
        <v>0</v>
      </c>
      <c r="I187" s="32" t="e">
        <f>[1]Sheet1!K356</f>
        <v>#REF!</v>
      </c>
      <c r="J187" s="31" t="e">
        <f>[1]Sheet1!M356</f>
        <v>#REF!</v>
      </c>
      <c r="M187" s="24">
        <v>0</v>
      </c>
    </row>
    <row r="188" spans="1:13" s="23" customFormat="1" ht="28.5" customHeight="1">
      <c r="A188" s="30"/>
      <c r="B188" s="30"/>
      <c r="C188" s="29"/>
      <c r="D188" s="29"/>
      <c r="E188" s="52" t="s">
        <v>137</v>
      </c>
      <c r="F188" s="47"/>
      <c r="G188" s="33" t="e">
        <f>SUM(H188:J188)</f>
        <v>#REF!</v>
      </c>
      <c r="H188" s="24">
        <f>[2]PRE!E360</f>
        <v>90762</v>
      </c>
      <c r="I188" s="32" t="e">
        <f>[1]Sheet1!K357</f>
        <v>#REF!</v>
      </c>
      <c r="J188" s="31" t="e">
        <f>[1]Sheet1!M357</f>
        <v>#REF!</v>
      </c>
      <c r="M188" s="24">
        <v>42958</v>
      </c>
    </row>
    <row r="189" spans="1:13" s="23" customFormat="1" ht="15.75" customHeight="1">
      <c r="A189" s="30"/>
      <c r="B189" s="30"/>
      <c r="C189" s="29"/>
      <c r="D189" s="43" t="s">
        <v>77</v>
      </c>
      <c r="E189" s="43"/>
      <c r="F189" s="34"/>
      <c r="G189" s="38" t="e">
        <f>SUM(G190:G194)</f>
        <v>#REF!</v>
      </c>
      <c r="H189" s="35">
        <f>SUM(H190:H194)</f>
        <v>2267543.2399999998</v>
      </c>
      <c r="I189" s="37" t="e">
        <f>SUM(I190:I194)</f>
        <v>#REF!</v>
      </c>
      <c r="J189" s="36" t="e">
        <f>SUM(J190:J194)</f>
        <v>#REF!</v>
      </c>
      <c r="M189" s="24">
        <v>8704246.8100000005</v>
      </c>
    </row>
    <row r="190" spans="1:13" s="23" customFormat="1" ht="15.75" customHeight="1">
      <c r="A190" s="30"/>
      <c r="B190" s="30"/>
      <c r="C190" s="29"/>
      <c r="D190" s="29"/>
      <c r="E190" s="43" t="s">
        <v>136</v>
      </c>
      <c r="F190" s="28"/>
      <c r="G190" s="33" t="e">
        <f>SUM(H190:J190)</f>
        <v>#REF!</v>
      </c>
      <c r="H190" s="24">
        <f>[2]PRE!E361</f>
        <v>1143717.5499999998</v>
      </c>
      <c r="I190" s="32" t="e">
        <f>[1]Sheet1!K358</f>
        <v>#REF!</v>
      </c>
      <c r="J190" s="31" t="e">
        <f>[1]Sheet1!M358</f>
        <v>#REF!</v>
      </c>
      <c r="M190" s="35">
        <v>4841149.290000001</v>
      </c>
    </row>
    <row r="191" spans="1:13" s="23" customFormat="1" ht="15" customHeight="1">
      <c r="A191" s="30"/>
      <c r="B191" s="30"/>
      <c r="C191" s="29"/>
      <c r="D191" s="29"/>
      <c r="E191" s="43" t="s">
        <v>135</v>
      </c>
      <c r="F191" s="28"/>
      <c r="G191" s="33" t="e">
        <f>SUM(H191:J191)</f>
        <v>#REF!</v>
      </c>
      <c r="H191" s="24">
        <f>[2]PRE!E362</f>
        <v>0</v>
      </c>
      <c r="I191" s="32" t="e">
        <f>[1]Sheet1!K359</f>
        <v>#REF!</v>
      </c>
      <c r="J191" s="31" t="e">
        <f>[1]Sheet1!M359</f>
        <v>#REF!</v>
      </c>
      <c r="M191" s="24">
        <v>0</v>
      </c>
    </row>
    <row r="192" spans="1:13" s="23" customFormat="1" ht="15" customHeight="1">
      <c r="A192" s="30"/>
      <c r="B192" s="30"/>
      <c r="C192" s="29"/>
      <c r="D192" s="29"/>
      <c r="E192" s="43" t="s">
        <v>134</v>
      </c>
      <c r="F192" s="28"/>
      <c r="G192" s="33" t="e">
        <f>SUM(H192:J192)</f>
        <v>#REF!</v>
      </c>
      <c r="H192" s="24">
        <f>[2]PRE!E363</f>
        <v>208762.03999999998</v>
      </c>
      <c r="I192" s="32" t="e">
        <f>[1]Sheet1!K360</f>
        <v>#REF!</v>
      </c>
      <c r="J192" s="31" t="e">
        <f>[1]Sheet1!M360</f>
        <v>#REF!</v>
      </c>
      <c r="M192" s="24">
        <v>77160</v>
      </c>
    </row>
    <row r="193" spans="1:13" s="23" customFormat="1" ht="15" customHeight="1">
      <c r="A193" s="30"/>
      <c r="B193" s="30"/>
      <c r="C193" s="29"/>
      <c r="D193" s="29"/>
      <c r="E193" s="43" t="s">
        <v>133</v>
      </c>
      <c r="F193" s="28"/>
      <c r="G193" s="33" t="e">
        <f>SUM(H193:J193)</f>
        <v>#REF!</v>
      </c>
      <c r="H193" s="24">
        <f>[2]PRE!E364</f>
        <v>0</v>
      </c>
      <c r="I193" s="32" t="e">
        <f>[1]Sheet1!K361</f>
        <v>#REF!</v>
      </c>
      <c r="J193" s="31" t="e">
        <f>[1]Sheet1!M361</f>
        <v>#REF!</v>
      </c>
      <c r="M193" s="24">
        <v>0</v>
      </c>
    </row>
    <row r="194" spans="1:13" s="23" customFormat="1" ht="15.75" customHeight="1">
      <c r="A194" s="30"/>
      <c r="B194" s="30"/>
      <c r="C194" s="29"/>
      <c r="D194" s="29"/>
      <c r="E194" s="43" t="s">
        <v>132</v>
      </c>
      <c r="F194" s="28"/>
      <c r="G194" s="33" t="e">
        <f>SUM(H194:J194)</f>
        <v>#REF!</v>
      </c>
      <c r="H194" s="24">
        <f>[2]PRE!E365</f>
        <v>915063.64999999991</v>
      </c>
      <c r="I194" s="32" t="e">
        <f>[1]Sheet1!K362</f>
        <v>#REF!</v>
      </c>
      <c r="J194" s="31" t="e">
        <f>[1]Sheet1!M362</f>
        <v>#REF!</v>
      </c>
      <c r="M194" s="24">
        <v>3785937.5199999996</v>
      </c>
    </row>
    <row r="195" spans="1:13" s="23" customFormat="1" ht="15" customHeight="1">
      <c r="A195" s="30"/>
      <c r="B195" s="30"/>
      <c r="C195" s="29"/>
      <c r="D195" s="29" t="s">
        <v>71</v>
      </c>
      <c r="E195" s="29"/>
      <c r="F195" s="34"/>
      <c r="G195" s="38" t="e">
        <f>SUM(G196:G198)</f>
        <v>#REF!</v>
      </c>
      <c r="H195" s="35">
        <f>SUM(H196:H198)</f>
        <v>0</v>
      </c>
      <c r="I195" s="37" t="e">
        <f>SUM(I196:I198)</f>
        <v>#REF!</v>
      </c>
      <c r="J195" s="36" t="e">
        <f>SUM(J196:J198)</f>
        <v>#REF!</v>
      </c>
      <c r="M195" s="24">
        <v>0</v>
      </c>
    </row>
    <row r="196" spans="1:13" s="23" customFormat="1" ht="15" customHeight="1">
      <c r="A196" s="30"/>
      <c r="B196" s="30"/>
      <c r="C196" s="29"/>
      <c r="D196" s="29"/>
      <c r="E196" s="43" t="s">
        <v>131</v>
      </c>
      <c r="F196" s="28"/>
      <c r="G196" s="33" t="e">
        <f>SUM(H196:J196)</f>
        <v>#REF!</v>
      </c>
      <c r="H196" s="24">
        <f>[2]PRE!E366</f>
        <v>0</v>
      </c>
      <c r="I196" s="32" t="e">
        <f>[1]Sheet1!K363</f>
        <v>#REF!</v>
      </c>
      <c r="J196" s="31" t="e">
        <f>[1]Sheet1!M363</f>
        <v>#REF!</v>
      </c>
      <c r="M196" s="24">
        <v>0</v>
      </c>
    </row>
    <row r="197" spans="1:13" s="23" customFormat="1" ht="15" customHeight="1">
      <c r="A197" s="30"/>
      <c r="B197" s="30"/>
      <c r="C197" s="29"/>
      <c r="D197" s="29"/>
      <c r="E197" s="43" t="s">
        <v>130</v>
      </c>
      <c r="F197" s="28"/>
      <c r="G197" s="33" t="e">
        <f>SUM(H197:J197)</f>
        <v>#REF!</v>
      </c>
      <c r="H197" s="24">
        <f>[2]PRE!E367</f>
        <v>0</v>
      </c>
      <c r="I197" s="32" t="e">
        <f>[1]Sheet1!K364</f>
        <v>#REF!</v>
      </c>
      <c r="J197" s="31" t="e">
        <f>[1]Sheet1!M364</f>
        <v>#REF!</v>
      </c>
      <c r="M197" s="35">
        <v>0</v>
      </c>
    </row>
    <row r="198" spans="1:13" s="23" customFormat="1" ht="15" customHeight="1">
      <c r="A198" s="30"/>
      <c r="B198" s="30"/>
      <c r="C198" s="29"/>
      <c r="D198" s="29"/>
      <c r="E198" s="43" t="s">
        <v>129</v>
      </c>
      <c r="F198" s="28"/>
      <c r="G198" s="33" t="e">
        <f>SUM(H198:J198)</f>
        <v>#REF!</v>
      </c>
      <c r="H198" s="24">
        <f>[2]PRE!E368</f>
        <v>0</v>
      </c>
      <c r="I198" s="32" t="e">
        <f>[1]Sheet1!K365</f>
        <v>#REF!</v>
      </c>
      <c r="J198" s="31" t="e">
        <f>[1]Sheet1!M365</f>
        <v>#REF!</v>
      </c>
      <c r="M198" s="24">
        <v>0</v>
      </c>
    </row>
    <row r="199" spans="1:13" s="23" customFormat="1" ht="15.75" customHeight="1">
      <c r="A199" s="30"/>
      <c r="B199" s="30"/>
      <c r="C199" s="29"/>
      <c r="D199" s="29" t="s">
        <v>128</v>
      </c>
      <c r="E199" s="29"/>
      <c r="F199" s="34"/>
      <c r="G199" s="38" t="e">
        <f>SUM(G200:G202)</f>
        <v>#REF!</v>
      </c>
      <c r="H199" s="35">
        <f>SUM(H200:H202)</f>
        <v>3059643.96</v>
      </c>
      <c r="I199" s="37" t="e">
        <f>SUM(I200:I202)</f>
        <v>#REF!</v>
      </c>
      <c r="J199" s="36" t="e">
        <f>SUM(J200:J202)</f>
        <v>#REF!</v>
      </c>
      <c r="M199" s="24">
        <v>1252951.51</v>
      </c>
    </row>
    <row r="200" spans="1:13" s="23" customFormat="1" ht="15.75" customHeight="1">
      <c r="A200" s="30"/>
      <c r="B200" s="30"/>
      <c r="C200" s="29"/>
      <c r="D200" s="29"/>
      <c r="E200" s="43" t="s">
        <v>127</v>
      </c>
      <c r="F200" s="28"/>
      <c r="G200" s="33" t="e">
        <f>SUM(H200:J200)</f>
        <v>#REF!</v>
      </c>
      <c r="H200" s="24">
        <f>[2]PRE!E369</f>
        <v>984532.96</v>
      </c>
      <c r="I200" s="32" t="e">
        <f>[1]Sheet1!K366</f>
        <v>#REF!</v>
      </c>
      <c r="J200" s="31" t="e">
        <f>[1]Sheet1!M366</f>
        <v>#REF!</v>
      </c>
      <c r="M200" s="35">
        <v>742401.51</v>
      </c>
    </row>
    <row r="201" spans="1:13" s="23" customFormat="1" ht="15" customHeight="1">
      <c r="A201" s="30"/>
      <c r="B201" s="30"/>
      <c r="C201" s="29"/>
      <c r="D201" s="29"/>
      <c r="E201" s="43" t="s">
        <v>126</v>
      </c>
      <c r="F201" s="28"/>
      <c r="G201" s="33" t="e">
        <f>SUM(H201:J201)</f>
        <v>#REF!</v>
      </c>
      <c r="H201" s="24">
        <f>[2]PRE!E370</f>
        <v>0</v>
      </c>
      <c r="I201" s="32" t="e">
        <f>[1]Sheet1!K367</f>
        <v>#REF!</v>
      </c>
      <c r="J201" s="31" t="e">
        <f>[1]Sheet1!M367</f>
        <v>#REF!</v>
      </c>
      <c r="M201" s="24">
        <v>331400</v>
      </c>
    </row>
    <row r="202" spans="1:13" s="23" customFormat="1" ht="15" customHeight="1">
      <c r="A202" s="30"/>
      <c r="B202" s="30"/>
      <c r="C202" s="29"/>
      <c r="D202" s="29"/>
      <c r="E202" s="43" t="s">
        <v>125</v>
      </c>
      <c r="F202" s="28"/>
      <c r="G202" s="33" t="e">
        <f>SUM(H202:J202)</f>
        <v>#REF!</v>
      </c>
      <c r="H202" s="24">
        <f>[2]PRE!E371</f>
        <v>2075111</v>
      </c>
      <c r="I202" s="32" t="e">
        <f>[1]Sheet1!K368</f>
        <v>#REF!</v>
      </c>
      <c r="J202" s="31" t="e">
        <f>[1]Sheet1!M368</f>
        <v>#REF!</v>
      </c>
      <c r="M202" s="24">
        <v>179150</v>
      </c>
    </row>
    <row r="203" spans="1:13" s="23" customFormat="1" ht="15.75" customHeight="1">
      <c r="A203" s="30"/>
      <c r="B203" s="30"/>
      <c r="C203" s="29"/>
      <c r="D203" s="29" t="s">
        <v>62</v>
      </c>
      <c r="E203" s="29"/>
      <c r="F203" s="34"/>
      <c r="G203" s="38" t="e">
        <f>SUM(G204:G215)</f>
        <v>#REF!</v>
      </c>
      <c r="H203" s="35">
        <f>SUM(H204:H215)</f>
        <v>74276</v>
      </c>
      <c r="I203" s="37" t="e">
        <f>SUM(I204:I215)</f>
        <v>#REF!</v>
      </c>
      <c r="J203" s="36" t="e">
        <f>SUM(J204:J215)</f>
        <v>#REF!</v>
      </c>
      <c r="M203" s="24">
        <v>95803.1</v>
      </c>
    </row>
    <row r="204" spans="1:13" s="23" customFormat="1" ht="15.75" customHeight="1">
      <c r="A204" s="30"/>
      <c r="B204" s="30"/>
      <c r="C204" s="29"/>
      <c r="D204" s="29"/>
      <c r="E204" s="43" t="s">
        <v>124</v>
      </c>
      <c r="F204" s="28"/>
      <c r="G204" s="33" t="e">
        <f>SUM(H204:J204)</f>
        <v>#REF!</v>
      </c>
      <c r="H204" s="24">
        <f>[2]PRE!E372</f>
        <v>0</v>
      </c>
      <c r="I204" s="32" t="e">
        <f>[1]Sheet1!K369</f>
        <v>#REF!</v>
      </c>
      <c r="J204" s="31" t="e">
        <f>[1]Sheet1!M369</f>
        <v>#REF!</v>
      </c>
      <c r="M204" s="35">
        <v>0</v>
      </c>
    </row>
    <row r="205" spans="1:13" s="23" customFormat="1" ht="28.5" customHeight="1">
      <c r="A205" s="30"/>
      <c r="B205" s="30"/>
      <c r="C205" s="29"/>
      <c r="D205" s="29"/>
      <c r="E205" s="52" t="s">
        <v>123</v>
      </c>
      <c r="F205" s="47"/>
      <c r="G205" s="33" t="e">
        <f>SUM(H205:J205)</f>
        <v>#REF!</v>
      </c>
      <c r="H205" s="24">
        <f>[2]PRE!E373</f>
        <v>0</v>
      </c>
      <c r="I205" s="32" t="e">
        <f>[1]Sheet1!K370</f>
        <v>#REF!</v>
      </c>
      <c r="J205" s="31" t="e">
        <f>[1]Sheet1!M370</f>
        <v>#REF!</v>
      </c>
      <c r="M205" s="35">
        <v>55403.1</v>
      </c>
    </row>
    <row r="206" spans="1:13" s="23" customFormat="1" ht="15.75" customHeight="1">
      <c r="A206" s="30"/>
      <c r="B206" s="30"/>
      <c r="C206" s="29"/>
      <c r="D206" s="29"/>
      <c r="E206" s="43" t="s">
        <v>122</v>
      </c>
      <c r="F206" s="28"/>
      <c r="G206" s="33" t="e">
        <f>SUM(H206:J206)</f>
        <v>#REF!</v>
      </c>
      <c r="H206" s="24">
        <f>[2]PRE!E374</f>
        <v>0</v>
      </c>
      <c r="I206" s="32" t="e">
        <f>[1]Sheet1!K371</f>
        <v>#REF!</v>
      </c>
      <c r="J206" s="31" t="e">
        <f>[1]Sheet1!M371</f>
        <v>#REF!</v>
      </c>
      <c r="M206" s="24">
        <v>0</v>
      </c>
    </row>
    <row r="207" spans="1:13" s="23" customFormat="1" ht="15.75" customHeight="1">
      <c r="A207" s="30"/>
      <c r="B207" s="30"/>
      <c r="C207" s="29"/>
      <c r="D207" s="29"/>
      <c r="E207" s="43" t="s">
        <v>121</v>
      </c>
      <c r="F207" s="28"/>
      <c r="G207" s="33" t="e">
        <f>SUM(H207:J207)</f>
        <v>#REF!</v>
      </c>
      <c r="H207" s="24">
        <f>[2]PRE!E375</f>
        <v>4256</v>
      </c>
      <c r="I207" s="32" t="e">
        <f>[1]Sheet1!K372</f>
        <v>#REF!</v>
      </c>
      <c r="J207" s="31" t="e">
        <f>[1]Sheet1!M372</f>
        <v>#REF!</v>
      </c>
      <c r="M207" s="24">
        <v>15000</v>
      </c>
    </row>
    <row r="208" spans="1:13" s="23" customFormat="1" ht="15.75" customHeight="1">
      <c r="A208" s="30"/>
      <c r="B208" s="30"/>
      <c r="C208" s="29"/>
      <c r="D208" s="29"/>
      <c r="E208" s="43" t="s">
        <v>120</v>
      </c>
      <c r="F208" s="28"/>
      <c r="G208" s="33" t="e">
        <f>SUM(H208:J208)</f>
        <v>#REF!</v>
      </c>
      <c r="H208" s="24">
        <f>[2]PRE!E376</f>
        <v>0</v>
      </c>
      <c r="I208" s="32" t="e">
        <f>[1]Sheet1!K373</f>
        <v>#REF!</v>
      </c>
      <c r="J208" s="31" t="e">
        <f>[1]Sheet1!M373</f>
        <v>#REF!</v>
      </c>
      <c r="M208" s="24">
        <v>0</v>
      </c>
    </row>
    <row r="209" spans="1:13" s="23" customFormat="1" ht="15.75" customHeight="1">
      <c r="A209" s="30"/>
      <c r="B209" s="30"/>
      <c r="C209" s="29"/>
      <c r="D209" s="29"/>
      <c r="E209" s="43" t="s">
        <v>119</v>
      </c>
      <c r="F209" s="28"/>
      <c r="G209" s="33" t="e">
        <f>SUM(H209:J209)</f>
        <v>#REF!</v>
      </c>
      <c r="H209" s="24">
        <f>[2]PRE!E377</f>
        <v>0</v>
      </c>
      <c r="I209" s="32" t="e">
        <f>[1]Sheet1!K374</f>
        <v>#REF!</v>
      </c>
      <c r="J209" s="31" t="e">
        <f>[1]Sheet1!M374</f>
        <v>#REF!</v>
      </c>
      <c r="M209" s="24">
        <v>0</v>
      </c>
    </row>
    <row r="210" spans="1:13" s="23" customFormat="1" ht="15.75" customHeight="1">
      <c r="A210" s="30"/>
      <c r="B210" s="30"/>
      <c r="C210" s="29"/>
      <c r="D210" s="29"/>
      <c r="E210" s="43" t="s">
        <v>118</v>
      </c>
      <c r="F210" s="28"/>
      <c r="G210" s="33" t="e">
        <f>SUM(H210:J210)</f>
        <v>#REF!</v>
      </c>
      <c r="H210" s="24">
        <f>[2]PRE!E378</f>
        <v>0</v>
      </c>
      <c r="I210" s="32" t="e">
        <f>[1]Sheet1!K375</f>
        <v>#REF!</v>
      </c>
      <c r="J210" s="31" t="e">
        <f>[1]Sheet1!M375</f>
        <v>#REF!</v>
      </c>
      <c r="M210" s="24">
        <v>13400</v>
      </c>
    </row>
    <row r="211" spans="1:13" s="23" customFormat="1" ht="15.75" customHeight="1">
      <c r="A211" s="30"/>
      <c r="B211" s="30"/>
      <c r="C211" s="29"/>
      <c r="D211" s="29"/>
      <c r="E211" s="43" t="s">
        <v>117</v>
      </c>
      <c r="F211" s="28"/>
      <c r="G211" s="33" t="e">
        <f>SUM(H211:J211)</f>
        <v>#REF!</v>
      </c>
      <c r="H211" s="24">
        <f>[2]PRE!E379</f>
        <v>0</v>
      </c>
      <c r="I211" s="32" t="e">
        <f>[1]Sheet1!K376</f>
        <v>#REF!</v>
      </c>
      <c r="J211" s="31" t="e">
        <f>[1]Sheet1!M376</f>
        <v>#REF!</v>
      </c>
      <c r="M211" s="24">
        <v>12000</v>
      </c>
    </row>
    <row r="212" spans="1:13" s="23" customFormat="1" ht="15.75" customHeight="1">
      <c r="A212" s="30"/>
      <c r="B212" s="30"/>
      <c r="C212" s="29"/>
      <c r="D212" s="29"/>
      <c r="E212" s="43" t="s">
        <v>116</v>
      </c>
      <c r="F212" s="28"/>
      <c r="G212" s="33" t="e">
        <f>SUM(H212:J212)</f>
        <v>#REF!</v>
      </c>
      <c r="H212" s="24">
        <f>[2]PRE!E380</f>
        <v>0</v>
      </c>
      <c r="I212" s="32" t="e">
        <f>[1]Sheet1!K377</f>
        <v>#REF!</v>
      </c>
      <c r="J212" s="31" t="e">
        <f>[1]Sheet1!M377</f>
        <v>#REF!</v>
      </c>
      <c r="M212" s="24">
        <v>0</v>
      </c>
    </row>
    <row r="213" spans="1:13" s="23" customFormat="1" ht="15.75" customHeight="1">
      <c r="A213" s="30"/>
      <c r="B213" s="30"/>
      <c r="C213" s="29"/>
      <c r="D213" s="29"/>
      <c r="E213" s="43" t="s">
        <v>115</v>
      </c>
      <c r="F213" s="28"/>
      <c r="G213" s="33" t="e">
        <f>SUM(H213:J213)</f>
        <v>#REF!</v>
      </c>
      <c r="H213" s="24">
        <f>[2]PRE!E381</f>
        <v>0</v>
      </c>
      <c r="I213" s="32" t="e">
        <f>[1]Sheet1!K378</f>
        <v>#REF!</v>
      </c>
      <c r="J213" s="31" t="e">
        <f>[1]Sheet1!M378</f>
        <v>#REF!</v>
      </c>
      <c r="M213" s="24">
        <v>0</v>
      </c>
    </row>
    <row r="214" spans="1:13" s="23" customFormat="1" ht="15.75" customHeight="1">
      <c r="A214" s="30"/>
      <c r="B214" s="30"/>
      <c r="C214" s="29"/>
      <c r="D214" s="29"/>
      <c r="E214" s="43" t="s">
        <v>114</v>
      </c>
      <c r="F214" s="28"/>
      <c r="G214" s="33" t="e">
        <f>SUM(H214:J214)</f>
        <v>#REF!</v>
      </c>
      <c r="H214" s="24">
        <f>[2]PRE!E382</f>
        <v>0</v>
      </c>
      <c r="I214" s="32" t="e">
        <f>[1]Sheet1!K379</f>
        <v>#REF!</v>
      </c>
      <c r="J214" s="31" t="e">
        <f>[1]Sheet1!M379</f>
        <v>#REF!</v>
      </c>
      <c r="M214" s="24">
        <v>0</v>
      </c>
    </row>
    <row r="215" spans="1:13" s="23" customFormat="1" ht="15.75" customHeight="1">
      <c r="A215" s="30"/>
      <c r="B215" s="30"/>
      <c r="C215" s="29"/>
      <c r="D215" s="29"/>
      <c r="E215" s="43" t="s">
        <v>113</v>
      </c>
      <c r="F215" s="28"/>
      <c r="G215" s="33" t="e">
        <f>SUM(H215:J215)</f>
        <v>#REF!</v>
      </c>
      <c r="H215" s="24">
        <f>[2]PRE!E383</f>
        <v>70020</v>
      </c>
      <c r="I215" s="32" t="e">
        <f>[1]Sheet1!K380</f>
        <v>#REF!</v>
      </c>
      <c r="J215" s="31" t="e">
        <f>[1]Sheet1!M380</f>
        <v>#REF!</v>
      </c>
      <c r="M215" s="24">
        <v>0</v>
      </c>
    </row>
    <row r="216" spans="1:13" s="23" customFormat="1" ht="15.75" customHeight="1">
      <c r="A216" s="30"/>
      <c r="B216" s="30"/>
      <c r="C216" s="29"/>
      <c r="D216" s="29" t="s">
        <v>49</v>
      </c>
      <c r="E216" s="29"/>
      <c r="F216" s="34"/>
      <c r="G216" s="38" t="e">
        <f>SUM(G217:G221)</f>
        <v>#REF!</v>
      </c>
      <c r="H216" s="35">
        <f>SUM(H217:H221)</f>
        <v>14221006.709999999</v>
      </c>
      <c r="I216" s="37" t="e">
        <f>SUM(I217:I221)</f>
        <v>#REF!</v>
      </c>
      <c r="J216" s="36" t="e">
        <f>SUM(J217:J221)</f>
        <v>#REF!</v>
      </c>
      <c r="M216" s="24">
        <v>22247434.449999996</v>
      </c>
    </row>
    <row r="217" spans="1:13" s="23" customFormat="1" ht="15.75" customHeight="1">
      <c r="A217" s="30"/>
      <c r="B217" s="30"/>
      <c r="C217" s="29"/>
      <c r="D217" s="29"/>
      <c r="E217" s="43" t="s">
        <v>112</v>
      </c>
      <c r="F217" s="28"/>
      <c r="G217" s="33" t="e">
        <f>SUM(H217:J217)</f>
        <v>#REF!</v>
      </c>
      <c r="H217" s="24">
        <f>[2]PRE!E384</f>
        <v>14221006.709999999</v>
      </c>
      <c r="I217" s="32" t="e">
        <f>[1]Sheet1!K381</f>
        <v>#REF!</v>
      </c>
      <c r="J217" s="31" t="e">
        <f>[1]Sheet1!M381</f>
        <v>#REF!</v>
      </c>
      <c r="M217" s="35">
        <v>22226166.949999996</v>
      </c>
    </row>
    <row r="218" spans="1:13" s="23" customFormat="1" ht="15.75" customHeight="1">
      <c r="A218" s="30"/>
      <c r="B218" s="30"/>
      <c r="C218" s="29"/>
      <c r="D218" s="29"/>
      <c r="E218" s="43" t="s">
        <v>111</v>
      </c>
      <c r="F218" s="28"/>
      <c r="G218" s="33" t="e">
        <f>SUM(H218:J218)</f>
        <v>#REF!</v>
      </c>
      <c r="H218" s="24">
        <f>[2]PRE!E385</f>
        <v>0</v>
      </c>
      <c r="I218" s="32" t="e">
        <f>[1]Sheet1!K382</f>
        <v>#REF!</v>
      </c>
      <c r="J218" s="31" t="e">
        <f>[1]Sheet1!M382</f>
        <v>#REF!</v>
      </c>
      <c r="M218" s="24">
        <v>0</v>
      </c>
    </row>
    <row r="219" spans="1:13" s="23" customFormat="1" ht="15.75" customHeight="1">
      <c r="A219" s="30"/>
      <c r="B219" s="30"/>
      <c r="C219" s="29"/>
      <c r="D219" s="29"/>
      <c r="E219" s="43" t="s">
        <v>110</v>
      </c>
      <c r="F219" s="28"/>
      <c r="G219" s="33" t="e">
        <f>SUM(H219:J219)</f>
        <v>#REF!</v>
      </c>
      <c r="H219" s="24">
        <f>[2]PRE!E386</f>
        <v>0</v>
      </c>
      <c r="I219" s="32" t="e">
        <f>[1]Sheet1!K383</f>
        <v>#REF!</v>
      </c>
      <c r="J219" s="31" t="e">
        <f>[1]Sheet1!M383</f>
        <v>#REF!</v>
      </c>
      <c r="M219" s="24">
        <v>0</v>
      </c>
    </row>
    <row r="220" spans="1:13" s="23" customFormat="1" ht="15.75" customHeight="1">
      <c r="A220" s="30"/>
      <c r="B220" s="30"/>
      <c r="C220" s="29"/>
      <c r="D220" s="29"/>
      <c r="E220" s="43" t="s">
        <v>109</v>
      </c>
      <c r="F220" s="28"/>
      <c r="G220" s="33" t="e">
        <f>SUM(H220:J220)</f>
        <v>#REF!</v>
      </c>
      <c r="H220" s="24">
        <f>[2]PRE!E387</f>
        <v>0</v>
      </c>
      <c r="I220" s="32" t="e">
        <f>[1]Sheet1!K384</f>
        <v>#REF!</v>
      </c>
      <c r="J220" s="31" t="e">
        <f>[1]Sheet1!M384</f>
        <v>#REF!</v>
      </c>
      <c r="M220" s="24">
        <v>21267.5</v>
      </c>
    </row>
    <row r="221" spans="1:13" s="23" customFormat="1" ht="15.75" customHeight="1">
      <c r="A221" s="30"/>
      <c r="B221" s="30"/>
      <c r="C221" s="29"/>
      <c r="D221" s="29"/>
      <c r="E221" s="43" t="s">
        <v>108</v>
      </c>
      <c r="F221" s="28"/>
      <c r="G221" s="33" t="e">
        <f>SUM(H221:J221)</f>
        <v>#REF!</v>
      </c>
      <c r="H221" s="24">
        <f>[2]PRE!E388</f>
        <v>0</v>
      </c>
      <c r="I221" s="32" t="e">
        <f>[1]Sheet1!K385</f>
        <v>#REF!</v>
      </c>
      <c r="J221" s="31" t="e">
        <f>[1]Sheet1!M385</f>
        <v>#REF!</v>
      </c>
      <c r="M221" s="24">
        <v>0</v>
      </c>
    </row>
    <row r="222" spans="1:13" s="23" customFormat="1" ht="15.75" customHeight="1">
      <c r="A222" s="30"/>
      <c r="B222" s="30"/>
      <c r="C222" s="29"/>
      <c r="D222" s="29" t="s">
        <v>43</v>
      </c>
      <c r="E222" s="29"/>
      <c r="F222" s="34"/>
      <c r="G222" s="38" t="e">
        <f>SUM(G223)</f>
        <v>#REF!</v>
      </c>
      <c r="H222" s="35">
        <f>SUM(H223)</f>
        <v>0</v>
      </c>
      <c r="I222" s="37" t="e">
        <f>SUM(I223)</f>
        <v>#REF!</v>
      </c>
      <c r="J222" s="36" t="e">
        <f>SUM(J223)</f>
        <v>#REF!</v>
      </c>
      <c r="M222" s="24">
        <v>0</v>
      </c>
    </row>
    <row r="223" spans="1:13" s="23" customFormat="1" ht="15.75" customHeight="1">
      <c r="A223" s="30"/>
      <c r="B223" s="30"/>
      <c r="C223" s="29"/>
      <c r="D223" s="29"/>
      <c r="E223" s="43" t="s">
        <v>107</v>
      </c>
      <c r="F223" s="28"/>
      <c r="G223" s="33" t="e">
        <f>SUM(H223:J223)</f>
        <v>#REF!</v>
      </c>
      <c r="H223" s="24">
        <f>[2]PRE!E389</f>
        <v>0</v>
      </c>
      <c r="I223" s="32" t="e">
        <f>[1]Sheet1!K386</f>
        <v>#REF!</v>
      </c>
      <c r="J223" s="31" t="e">
        <f>[1]Sheet1!M386</f>
        <v>#REF!</v>
      </c>
      <c r="M223" s="24">
        <v>0</v>
      </c>
    </row>
    <row r="224" spans="1:13" s="23" customFormat="1" ht="15.75" customHeight="1">
      <c r="A224" s="30"/>
      <c r="B224" s="30"/>
      <c r="C224" s="29"/>
      <c r="D224" s="29" t="s">
        <v>106</v>
      </c>
      <c r="E224" s="29"/>
      <c r="F224" s="34"/>
      <c r="G224" s="38" t="e">
        <f>SUM(G225:G232)</f>
        <v>#REF!</v>
      </c>
      <c r="H224" s="35">
        <f>SUM(H225:H232)</f>
        <v>4486731.6499999994</v>
      </c>
      <c r="I224" s="37" t="e">
        <f>SUM(I225:I232)</f>
        <v>#REF!</v>
      </c>
      <c r="J224" s="36" t="e">
        <f>SUM(J225:J232)</f>
        <v>#REF!</v>
      </c>
      <c r="M224" s="35">
        <v>13936605.040000001</v>
      </c>
    </row>
    <row r="225" spans="1:13" s="23" customFormat="1" ht="15.75" customHeight="1">
      <c r="A225" s="30"/>
      <c r="B225" s="30"/>
      <c r="C225" s="29"/>
      <c r="D225" s="29"/>
      <c r="E225" s="43" t="s">
        <v>105</v>
      </c>
      <c r="F225" s="28"/>
      <c r="G225" s="33" t="e">
        <f>SUM(H225:J225)</f>
        <v>#REF!</v>
      </c>
      <c r="H225" s="24">
        <f>[2]PRE!E390</f>
        <v>4472784.6499999994</v>
      </c>
      <c r="I225" s="32" t="e">
        <f>[1]Sheet1!K387</f>
        <v>#REF!</v>
      </c>
      <c r="J225" s="31" t="e">
        <f>[1]Sheet1!M387</f>
        <v>#REF!</v>
      </c>
      <c r="M225" s="35">
        <v>12141283.220000001</v>
      </c>
    </row>
    <row r="226" spans="1:13" s="23" customFormat="1" ht="15.75" customHeight="1">
      <c r="A226" s="30"/>
      <c r="B226" s="30"/>
      <c r="C226" s="29"/>
      <c r="D226" s="29"/>
      <c r="E226" s="43" t="s">
        <v>104</v>
      </c>
      <c r="F226" s="28"/>
      <c r="G226" s="33" t="e">
        <f>SUM(H226:J226)</f>
        <v>#REF!</v>
      </c>
      <c r="H226" s="24">
        <f>[2]PRE!E391</f>
        <v>0</v>
      </c>
      <c r="I226" s="32" t="e">
        <f>[1]Sheet1!K388</f>
        <v>#REF!</v>
      </c>
      <c r="J226" s="31" t="e">
        <f>[1]Sheet1!M388</f>
        <v>#REF!</v>
      </c>
      <c r="M226" s="24">
        <v>0</v>
      </c>
    </row>
    <row r="227" spans="1:13" s="23" customFormat="1" ht="15.75" customHeight="1">
      <c r="A227" s="30"/>
      <c r="B227" s="30"/>
      <c r="C227" s="29"/>
      <c r="D227" s="29"/>
      <c r="E227" s="43" t="s">
        <v>103</v>
      </c>
      <c r="F227" s="28"/>
      <c r="G227" s="33" t="e">
        <f>SUM(H227:J227)</f>
        <v>#REF!</v>
      </c>
      <c r="H227" s="24">
        <f>[2]PRE!E392</f>
        <v>0</v>
      </c>
      <c r="I227" s="32" t="e">
        <f>[1]Sheet1!K389</f>
        <v>#REF!</v>
      </c>
      <c r="J227" s="31" t="e">
        <f>[1]Sheet1!M389</f>
        <v>#REF!</v>
      </c>
      <c r="M227" s="24">
        <v>0</v>
      </c>
    </row>
    <row r="228" spans="1:13" s="23" customFormat="1" ht="30" customHeight="1">
      <c r="A228" s="30"/>
      <c r="B228" s="30"/>
      <c r="C228" s="29"/>
      <c r="D228" s="29"/>
      <c r="E228" s="52" t="s">
        <v>102</v>
      </c>
      <c r="F228" s="47"/>
      <c r="G228" s="33" t="e">
        <f>SUM(H228:J228)</f>
        <v>#REF!</v>
      </c>
      <c r="H228" s="24">
        <f>[2]PRE!E393</f>
        <v>13947</v>
      </c>
      <c r="I228" s="32" t="e">
        <f>[1]Sheet1!K390</f>
        <v>#REF!</v>
      </c>
      <c r="J228" s="31" t="e">
        <f>[1]Sheet1!M390</f>
        <v>#REF!</v>
      </c>
      <c r="M228" s="24">
        <v>1731429.82</v>
      </c>
    </row>
    <row r="229" spans="1:13" s="23" customFormat="1" ht="15.75" customHeight="1">
      <c r="A229" s="30"/>
      <c r="B229" s="30"/>
      <c r="C229" s="29"/>
      <c r="D229" s="29"/>
      <c r="E229" s="43" t="s">
        <v>101</v>
      </c>
      <c r="F229" s="28"/>
      <c r="G229" s="33" t="e">
        <f>SUM(H229:J229)</f>
        <v>#REF!</v>
      </c>
      <c r="H229" s="24">
        <f>[2]PRE!E394</f>
        <v>0</v>
      </c>
      <c r="I229" s="32" t="e">
        <f>[1]Sheet1!K391</f>
        <v>#REF!</v>
      </c>
      <c r="J229" s="31" t="e">
        <f>[1]Sheet1!M391</f>
        <v>#REF!</v>
      </c>
      <c r="M229" s="24">
        <v>63892</v>
      </c>
    </row>
    <row r="230" spans="1:13" s="23" customFormat="1" ht="15.75" customHeight="1">
      <c r="A230" s="30"/>
      <c r="B230" s="30"/>
      <c r="C230" s="29"/>
      <c r="D230" s="29"/>
      <c r="E230" s="43" t="s">
        <v>100</v>
      </c>
      <c r="F230" s="28"/>
      <c r="G230" s="33" t="e">
        <f>SUM(H230:J230)</f>
        <v>#REF!</v>
      </c>
      <c r="H230" s="24">
        <f>[2]PRE!E395</f>
        <v>0</v>
      </c>
      <c r="I230" s="32" t="e">
        <f>[1]Sheet1!K392</f>
        <v>#REF!</v>
      </c>
      <c r="J230" s="31" t="e">
        <f>[1]Sheet1!M392</f>
        <v>#REF!</v>
      </c>
      <c r="M230" s="24">
        <v>0</v>
      </c>
    </row>
    <row r="231" spans="1:13" s="23" customFormat="1" ht="30.75" customHeight="1">
      <c r="A231" s="30"/>
      <c r="B231" s="30"/>
      <c r="C231" s="29"/>
      <c r="D231" s="29"/>
      <c r="E231" s="51" t="s">
        <v>99</v>
      </c>
      <c r="F231" s="50"/>
      <c r="G231" s="33" t="e">
        <f>SUM(H231:J231)</f>
        <v>#REF!</v>
      </c>
      <c r="H231" s="24">
        <f>[2]PRE!E396</f>
        <v>0</v>
      </c>
      <c r="I231" s="32" t="e">
        <f>[1]Sheet1!K393</f>
        <v>#REF!</v>
      </c>
      <c r="J231" s="31" t="e">
        <f>[1]Sheet1!M393</f>
        <v>#REF!</v>
      </c>
      <c r="M231" s="24">
        <v>0</v>
      </c>
    </row>
    <row r="232" spans="1:13" s="23" customFormat="1" ht="15.75" customHeight="1">
      <c r="A232" s="30"/>
      <c r="B232" s="30"/>
      <c r="C232" s="29"/>
      <c r="D232" s="29"/>
      <c r="E232" s="43" t="s">
        <v>98</v>
      </c>
      <c r="F232" s="28"/>
      <c r="G232" s="33" t="e">
        <f>SUM(H232:J232)</f>
        <v>#REF!</v>
      </c>
      <c r="H232" s="24">
        <f>[2]PRE!E397</f>
        <v>0</v>
      </c>
      <c r="I232" s="32" t="e">
        <f>[1]Sheet1!K394</f>
        <v>#REF!</v>
      </c>
      <c r="J232" s="31" t="e">
        <f>[1]Sheet1!M394</f>
        <v>#REF!</v>
      </c>
      <c r="M232" s="24">
        <v>0</v>
      </c>
    </row>
    <row r="233" spans="1:13" s="23" customFormat="1" ht="15.75" customHeight="1">
      <c r="A233" s="30"/>
      <c r="B233" s="30"/>
      <c r="C233" s="29"/>
      <c r="D233" s="29" t="s">
        <v>97</v>
      </c>
      <c r="E233" s="29"/>
      <c r="F233" s="34"/>
      <c r="G233" s="38" t="e">
        <f>SUM(G234:G235)</f>
        <v>#REF!</v>
      </c>
      <c r="H233" s="35">
        <f>SUM(H234:H235)</f>
        <v>0</v>
      </c>
      <c r="I233" s="37" t="e">
        <f>SUM(I234:I235)</f>
        <v>#REF!</v>
      </c>
      <c r="J233" s="36" t="e">
        <f>SUM(J234:J235)</f>
        <v>#REF!</v>
      </c>
      <c r="M233" s="24">
        <v>0</v>
      </c>
    </row>
    <row r="234" spans="1:13" s="23" customFormat="1" ht="15.75" customHeight="1">
      <c r="A234" s="30"/>
      <c r="B234" s="30"/>
      <c r="C234" s="29"/>
      <c r="D234" s="29"/>
      <c r="E234" s="43" t="s">
        <v>96</v>
      </c>
      <c r="F234" s="28"/>
      <c r="G234" s="33" t="e">
        <f>SUM(H234:J234)</f>
        <v>#REF!</v>
      </c>
      <c r="H234" s="24">
        <f>[2]PRE!E398</f>
        <v>0</v>
      </c>
      <c r="I234" s="32" t="e">
        <f>[1]Sheet1!K395</f>
        <v>#REF!</v>
      </c>
      <c r="J234" s="31" t="e">
        <f>[1]Sheet1!M395</f>
        <v>#REF!</v>
      </c>
      <c r="M234" s="24">
        <v>0</v>
      </c>
    </row>
    <row r="235" spans="1:13" s="23" customFormat="1" ht="15.75" customHeight="1">
      <c r="A235" s="30"/>
      <c r="B235" s="30"/>
      <c r="C235" s="29"/>
      <c r="D235" s="29"/>
      <c r="E235" s="43" t="s">
        <v>95</v>
      </c>
      <c r="F235" s="28"/>
      <c r="G235" s="33" t="e">
        <f>SUM(H235:J235)</f>
        <v>#REF!</v>
      </c>
      <c r="H235" s="24">
        <f>[2]PRE!E399</f>
        <v>0</v>
      </c>
      <c r="I235" s="32" t="e">
        <f>[1]Sheet1!K396</f>
        <v>#REF!</v>
      </c>
      <c r="J235" s="31" t="e">
        <f>[1]Sheet1!M396</f>
        <v>#REF!</v>
      </c>
      <c r="M235" s="35">
        <v>0</v>
      </c>
    </row>
    <row r="236" spans="1:13" s="23" customFormat="1" ht="15.75" customHeight="1">
      <c r="A236" s="30"/>
      <c r="B236" s="30"/>
      <c r="C236" s="29"/>
      <c r="D236" s="49" t="s">
        <v>94</v>
      </c>
      <c r="E236" s="48"/>
      <c r="F236" s="47"/>
      <c r="G236" s="38" t="e">
        <f>SUM(G237:G240)</f>
        <v>#REF!</v>
      </c>
      <c r="H236" s="35">
        <f>SUM(H237:H240)</f>
        <v>29844118.789999999</v>
      </c>
      <c r="I236" s="37" t="e">
        <f>SUM(I237:I240)</f>
        <v>#REF!</v>
      </c>
      <c r="J236" s="36" t="e">
        <f>SUM(J237:J240)</f>
        <v>#REF!</v>
      </c>
      <c r="M236" s="24">
        <v>13121483.120000001</v>
      </c>
    </row>
    <row r="237" spans="1:13" s="23" customFormat="1" ht="15.75" customHeight="1">
      <c r="A237" s="30"/>
      <c r="B237" s="30"/>
      <c r="C237" s="29"/>
      <c r="D237" s="29"/>
      <c r="E237" s="43" t="s">
        <v>93</v>
      </c>
      <c r="F237" s="28"/>
      <c r="G237" s="33" t="e">
        <f>SUM(H237:J237)</f>
        <v>#REF!</v>
      </c>
      <c r="H237" s="24">
        <f>[2]PRE!E406</f>
        <v>0</v>
      </c>
      <c r="I237" s="32" t="e">
        <f>[1]Sheet1!K403</f>
        <v>#REF!</v>
      </c>
      <c r="J237" s="31" t="e">
        <f>[1]Sheet1!M403</f>
        <v>#REF!</v>
      </c>
      <c r="M237" s="35">
        <v>0</v>
      </c>
    </row>
    <row r="238" spans="1:13" s="23" customFormat="1" ht="15.75" customHeight="1">
      <c r="A238" s="30"/>
      <c r="B238" s="30"/>
      <c r="C238" s="29"/>
      <c r="D238" s="29"/>
      <c r="E238" s="43" t="s">
        <v>92</v>
      </c>
      <c r="F238" s="28"/>
      <c r="G238" s="33" t="e">
        <f>SUM(H238:J238)</f>
        <v>#REF!</v>
      </c>
      <c r="H238" s="24">
        <f>[2]PRE!E407</f>
        <v>29000000</v>
      </c>
      <c r="I238" s="32" t="e">
        <f>[1]Sheet1!K404</f>
        <v>#REF!</v>
      </c>
      <c r="J238" s="31" t="e">
        <f>[1]Sheet1!M404</f>
        <v>#REF!</v>
      </c>
      <c r="M238" s="35">
        <v>12000000</v>
      </c>
    </row>
    <row r="239" spans="1:13" s="23" customFormat="1" ht="15.75" customHeight="1">
      <c r="A239" s="30"/>
      <c r="B239" s="30"/>
      <c r="C239" s="29"/>
      <c r="D239" s="29"/>
      <c r="E239" s="43" t="s">
        <v>91</v>
      </c>
      <c r="F239" s="28"/>
      <c r="G239" s="33" t="e">
        <f>SUM(H239:J239)</f>
        <v>#REF!</v>
      </c>
      <c r="H239" s="24">
        <f>[2]PRE!E408</f>
        <v>0</v>
      </c>
      <c r="I239" s="32" t="e">
        <f>[1]Sheet1!K405</f>
        <v>#REF!</v>
      </c>
      <c r="J239" s="31" t="e">
        <f>[1]Sheet1!M405</f>
        <v>#REF!</v>
      </c>
      <c r="M239" s="24">
        <v>0</v>
      </c>
    </row>
    <row r="240" spans="1:13" s="23" customFormat="1" ht="15.75" customHeight="1">
      <c r="A240" s="30"/>
      <c r="B240" s="30"/>
      <c r="C240" s="29"/>
      <c r="D240" s="29"/>
      <c r="E240" s="43" t="s">
        <v>90</v>
      </c>
      <c r="F240" s="28"/>
      <c r="G240" s="33" t="e">
        <f>SUM(H240:J240)</f>
        <v>#REF!</v>
      </c>
      <c r="H240" s="24">
        <f>[2]PRE!E409</f>
        <v>844118.79</v>
      </c>
      <c r="I240" s="32" t="e">
        <f>[1]Sheet1!K406</f>
        <v>#REF!</v>
      </c>
      <c r="J240" s="31" t="e">
        <f>[1]Sheet1!M406</f>
        <v>#REF!</v>
      </c>
      <c r="M240" s="24">
        <v>1121483.1200000001</v>
      </c>
    </row>
    <row r="241" spans="1:13" s="23" customFormat="1" ht="15.75" customHeight="1">
      <c r="A241" s="30"/>
      <c r="B241" s="30"/>
      <c r="C241" s="29"/>
      <c r="D241" s="29" t="s">
        <v>89</v>
      </c>
      <c r="E241" s="29"/>
      <c r="F241" s="34"/>
      <c r="G241" s="38" t="e">
        <f>SUM(G242:G244)</f>
        <v>#REF!</v>
      </c>
      <c r="H241" s="35">
        <f>SUM(H242:H244)</f>
        <v>7546235.5900000008</v>
      </c>
      <c r="I241" s="37" t="e">
        <f>SUM(I242:I244)</f>
        <v>#REF!</v>
      </c>
      <c r="J241" s="36" t="e">
        <f>SUM(J242:J244)</f>
        <v>#REF!</v>
      </c>
      <c r="M241" s="24">
        <v>9025957.6100000013</v>
      </c>
    </row>
    <row r="242" spans="1:13" s="23" customFormat="1" ht="15.75" customHeight="1">
      <c r="A242" s="30"/>
      <c r="B242" s="30"/>
      <c r="C242" s="29"/>
      <c r="D242" s="29"/>
      <c r="E242" s="43" t="s">
        <v>88</v>
      </c>
      <c r="F242" s="28"/>
      <c r="G242" s="33" t="e">
        <f>SUM(H242:J242)</f>
        <v>#REF!</v>
      </c>
      <c r="H242" s="24">
        <f>[2]PRE!E410</f>
        <v>1115495.07</v>
      </c>
      <c r="I242" s="32" t="e">
        <f>[1]Sheet1!K407</f>
        <v>#REF!</v>
      </c>
      <c r="J242" s="31" t="e">
        <f>[1]Sheet1!M407</f>
        <v>#REF!</v>
      </c>
      <c r="M242" s="35">
        <v>593453.37</v>
      </c>
    </row>
    <row r="243" spans="1:13" s="23" customFormat="1" ht="15.75" customHeight="1">
      <c r="A243" s="30"/>
      <c r="B243" s="30"/>
      <c r="C243" s="29"/>
      <c r="D243" s="29"/>
      <c r="E243" s="43" t="s">
        <v>87</v>
      </c>
      <c r="F243" s="28"/>
      <c r="G243" s="33" t="e">
        <f>SUM(H243:J243)</f>
        <v>#REF!</v>
      </c>
      <c r="H243" s="24">
        <f>[2]PRE!E411</f>
        <v>93993.75</v>
      </c>
      <c r="I243" s="32" t="e">
        <f>[1]Sheet1!K408</f>
        <v>#REF!</v>
      </c>
      <c r="J243" s="31" t="e">
        <f>[1]Sheet1!M408</f>
        <v>#REF!</v>
      </c>
      <c r="M243" s="24">
        <v>202546.25</v>
      </c>
    </row>
    <row r="244" spans="1:13" s="23" customFormat="1" ht="15.75" customHeight="1">
      <c r="A244" s="30"/>
      <c r="B244" s="30"/>
      <c r="C244" s="29"/>
      <c r="D244" s="29"/>
      <c r="E244" s="43" t="s">
        <v>86</v>
      </c>
      <c r="F244" s="28"/>
      <c r="G244" s="33" t="e">
        <f>SUM(H244:J244)</f>
        <v>#REF!</v>
      </c>
      <c r="H244" s="24">
        <f>[2]PRE!E412</f>
        <v>6336746.7700000005</v>
      </c>
      <c r="I244" s="32" t="e">
        <f>[1]Sheet1!K409</f>
        <v>#REF!</v>
      </c>
      <c r="J244" s="31" t="e">
        <f>[1]Sheet1!M409</f>
        <v>#REF!</v>
      </c>
      <c r="M244" s="24">
        <v>8229957.9900000012</v>
      </c>
    </row>
    <row r="245" spans="1:13" s="23" customFormat="1" ht="15.75" customHeight="1">
      <c r="A245" s="30"/>
      <c r="B245" s="30"/>
      <c r="C245" s="29"/>
      <c r="D245" s="29" t="s">
        <v>85</v>
      </c>
      <c r="E245" s="29"/>
      <c r="F245" s="34"/>
      <c r="G245" s="38" t="e">
        <f>+G246+G247+G289+G290+G293</f>
        <v>#REF!</v>
      </c>
      <c r="H245" s="35">
        <f>+H246+H247+H289+H290+H293</f>
        <v>44889973.93999999</v>
      </c>
      <c r="I245" s="37" t="e">
        <f>+I246+I247+I289+I290+I293</f>
        <v>#REF!</v>
      </c>
      <c r="J245" s="36" t="e">
        <f>+J246+J247+J289+J290+J293</f>
        <v>#REF!</v>
      </c>
      <c r="M245" s="24">
        <v>46501766.679999992</v>
      </c>
    </row>
    <row r="246" spans="1:13" s="23" customFormat="1" ht="15.75" customHeight="1">
      <c r="A246" s="30"/>
      <c r="B246" s="30"/>
      <c r="C246" s="29"/>
      <c r="D246" s="29"/>
      <c r="E246" s="43" t="s">
        <v>84</v>
      </c>
      <c r="F246" s="34"/>
      <c r="G246" s="33" t="e">
        <f>SUM(H246:J246)</f>
        <v>#REF!</v>
      </c>
      <c r="H246" s="24">
        <f>[2]PRE!E413</f>
        <v>0</v>
      </c>
      <c r="I246" s="32" t="e">
        <f>[1]Sheet1!K410</f>
        <v>#REF!</v>
      </c>
      <c r="J246" s="31" t="e">
        <f>[1]Sheet1!M410</f>
        <v>#REF!</v>
      </c>
      <c r="M246" s="24">
        <v>0</v>
      </c>
    </row>
    <row r="247" spans="1:13" s="23" customFormat="1" ht="15.75" customHeight="1">
      <c r="A247" s="30"/>
      <c r="B247" s="30"/>
      <c r="C247" s="29"/>
      <c r="D247" s="29"/>
      <c r="E247" s="43" t="s">
        <v>83</v>
      </c>
      <c r="F247" s="34"/>
      <c r="G247" s="38" t="e">
        <f>+G248+G253+G259+G263+G268+G281+G287</f>
        <v>#REF!</v>
      </c>
      <c r="H247" s="35">
        <f>+H248+H253+H259+H263+H268+H281+H287</f>
        <v>44889973.93999999</v>
      </c>
      <c r="I247" s="37" t="e">
        <f>+I248+I253+I259+I263+I268+I281+I287</f>
        <v>#REF!</v>
      </c>
      <c r="J247" s="36" t="e">
        <f>+J248+J253+J259+J263+J268+J281+J287</f>
        <v>#REF!</v>
      </c>
      <c r="M247" s="35">
        <v>46501766.679999992</v>
      </c>
    </row>
    <row r="248" spans="1:13" s="23" customFormat="1" ht="15.75" customHeight="1">
      <c r="A248" s="30"/>
      <c r="B248" s="30"/>
      <c r="C248" s="29"/>
      <c r="D248" s="29"/>
      <c r="E248" s="29" t="s">
        <v>82</v>
      </c>
      <c r="F248" s="34"/>
      <c r="G248" s="38" t="e">
        <f>SUM(G249:G252)</f>
        <v>#REF!</v>
      </c>
      <c r="H248" s="35">
        <f>SUM(H249:H252)</f>
        <v>2444953.4299999997</v>
      </c>
      <c r="I248" s="37" t="e">
        <f>SUM(I249:I252)</f>
        <v>#REF!</v>
      </c>
      <c r="J248" s="36" t="e">
        <f>SUM(J249:J252)</f>
        <v>#REF!</v>
      </c>
      <c r="M248" s="24">
        <v>2417050.09</v>
      </c>
    </row>
    <row r="249" spans="1:13" s="23" customFormat="1" ht="15.75" customHeight="1">
      <c r="A249" s="30"/>
      <c r="B249" s="30"/>
      <c r="C249" s="29"/>
      <c r="D249" s="29"/>
      <c r="E249" s="29"/>
      <c r="F249" s="34" t="s">
        <v>81</v>
      </c>
      <c r="G249" s="33" t="e">
        <f>SUM(H249:J249)</f>
        <v>#REF!</v>
      </c>
      <c r="H249" s="24">
        <f>[2]PRE!E414</f>
        <v>1222178.67</v>
      </c>
      <c r="I249" s="32" t="e">
        <f>[1]Sheet1!K411</f>
        <v>#REF!</v>
      </c>
      <c r="J249" s="31" t="e">
        <f>[1]Sheet1!M411</f>
        <v>#REF!</v>
      </c>
      <c r="M249" s="35">
        <v>1220476.27</v>
      </c>
    </row>
    <row r="250" spans="1:13" s="23" customFormat="1" ht="15.75" customHeight="1">
      <c r="A250" s="30"/>
      <c r="B250" s="30"/>
      <c r="C250" s="29"/>
      <c r="D250" s="29"/>
      <c r="E250" s="29"/>
      <c r="F250" s="34" t="s">
        <v>80</v>
      </c>
      <c r="G250" s="33" t="e">
        <f>SUM(H250:J250)</f>
        <v>#REF!</v>
      </c>
      <c r="H250" s="24">
        <f>[2]PRE!E415</f>
        <v>0</v>
      </c>
      <c r="I250" s="32" t="e">
        <f>[1]Sheet1!K412</f>
        <v>#REF!</v>
      </c>
      <c r="J250" s="31" t="e">
        <f>[1]Sheet1!M412</f>
        <v>#REF!</v>
      </c>
      <c r="M250" s="35">
        <v>0</v>
      </c>
    </row>
    <row r="251" spans="1:13" s="23" customFormat="1" ht="15.75" customHeight="1">
      <c r="A251" s="30"/>
      <c r="B251" s="30"/>
      <c r="C251" s="29"/>
      <c r="D251" s="29"/>
      <c r="E251" s="29"/>
      <c r="F251" s="34" t="s">
        <v>79</v>
      </c>
      <c r="G251" s="33" t="e">
        <f>SUM(H251:J251)</f>
        <v>#REF!</v>
      </c>
      <c r="H251" s="24">
        <f>[2]PRE!E416</f>
        <v>0</v>
      </c>
      <c r="I251" s="32" t="e">
        <f>[1]Sheet1!K413</f>
        <v>#REF!</v>
      </c>
      <c r="J251" s="31" t="e">
        <f>[1]Sheet1!M413</f>
        <v>#REF!</v>
      </c>
      <c r="M251" s="24">
        <v>0</v>
      </c>
    </row>
    <row r="252" spans="1:13" s="23" customFormat="1" ht="15.75" customHeight="1">
      <c r="A252" s="30"/>
      <c r="B252" s="30"/>
      <c r="C252" s="29"/>
      <c r="D252" s="29"/>
      <c r="E252" s="29"/>
      <c r="F252" s="34" t="s">
        <v>78</v>
      </c>
      <c r="G252" s="33" t="e">
        <f>SUM(H252:J252)</f>
        <v>#REF!</v>
      </c>
      <c r="H252" s="24">
        <f>[2]PRE!E417</f>
        <v>1222774.76</v>
      </c>
      <c r="I252" s="32" t="e">
        <f>[1]Sheet1!K414</f>
        <v>#REF!</v>
      </c>
      <c r="J252" s="31" t="e">
        <f>[1]Sheet1!M414</f>
        <v>#REF!</v>
      </c>
      <c r="M252" s="24">
        <v>1196573.82</v>
      </c>
    </row>
    <row r="253" spans="1:13" s="23" customFormat="1" ht="15.75" customHeight="1">
      <c r="A253" s="30"/>
      <c r="B253" s="30"/>
      <c r="C253" s="29"/>
      <c r="D253" s="29"/>
      <c r="E253" s="29" t="s">
        <v>77</v>
      </c>
      <c r="F253" s="34"/>
      <c r="G253" s="38" t="e">
        <f>SUM(G254:G258)</f>
        <v>#REF!</v>
      </c>
      <c r="H253" s="35">
        <f>SUM(H254:H258)</f>
        <v>1364530.2</v>
      </c>
      <c r="I253" s="37" t="e">
        <f>SUM(I254:I258)</f>
        <v>#REF!</v>
      </c>
      <c r="J253" s="36" t="e">
        <f>SUM(J254:J258)</f>
        <v>#REF!</v>
      </c>
      <c r="M253" s="24">
        <v>1706919.1700000002</v>
      </c>
    </row>
    <row r="254" spans="1:13" s="23" customFormat="1" ht="15.75" customHeight="1">
      <c r="A254" s="30"/>
      <c r="B254" s="30"/>
      <c r="C254" s="29"/>
      <c r="D254" s="29"/>
      <c r="E254" s="29"/>
      <c r="F254" s="34" t="s">
        <v>76</v>
      </c>
      <c r="G254" s="33" t="e">
        <f>SUM(H254:J254)</f>
        <v>#REF!</v>
      </c>
      <c r="H254" s="24">
        <f>[2]PRE!E418</f>
        <v>622986.57999999996</v>
      </c>
      <c r="I254" s="32" t="e">
        <f>[1]Sheet1!K415</f>
        <v>#REF!</v>
      </c>
      <c r="J254" s="31" t="e">
        <f>[1]Sheet1!M415</f>
        <v>#REF!</v>
      </c>
      <c r="M254" s="24">
        <v>984684.89</v>
      </c>
    </row>
    <row r="255" spans="1:13" s="23" customFormat="1" ht="15.75" customHeight="1">
      <c r="A255" s="30"/>
      <c r="B255" s="30"/>
      <c r="C255" s="29"/>
      <c r="D255" s="29"/>
      <c r="E255" s="29"/>
      <c r="F255" s="34" t="s">
        <v>75</v>
      </c>
      <c r="G255" s="33" t="e">
        <f>SUM(H255:J255)</f>
        <v>#REF!</v>
      </c>
      <c r="H255" s="24">
        <f>[2]PRE!E419</f>
        <v>0</v>
      </c>
      <c r="I255" s="32" t="e">
        <f>[1]Sheet1!K416</f>
        <v>#REF!</v>
      </c>
      <c r="J255" s="31" t="e">
        <f>[1]Sheet1!M416</f>
        <v>#REF!</v>
      </c>
      <c r="M255" s="35">
        <v>0</v>
      </c>
    </row>
    <row r="256" spans="1:13" s="23" customFormat="1" ht="15.75" customHeight="1">
      <c r="A256" s="30"/>
      <c r="B256" s="30"/>
      <c r="C256" s="29"/>
      <c r="D256" s="29"/>
      <c r="E256" s="29"/>
      <c r="F256" s="34" t="s">
        <v>74</v>
      </c>
      <c r="G256" s="33" t="e">
        <f>SUM(H256:J256)</f>
        <v>#REF!</v>
      </c>
      <c r="H256" s="24">
        <f>[2]PRE!E420</f>
        <v>639343.82999999996</v>
      </c>
      <c r="I256" s="32" t="e">
        <f>[1]Sheet1!K417</f>
        <v>#REF!</v>
      </c>
      <c r="J256" s="31" t="e">
        <f>[1]Sheet1!M417</f>
        <v>#REF!</v>
      </c>
      <c r="M256" s="24">
        <v>622948.93999999994</v>
      </c>
    </row>
    <row r="257" spans="1:13" s="23" customFormat="1" ht="15.75" customHeight="1">
      <c r="A257" s="30"/>
      <c r="B257" s="30"/>
      <c r="C257" s="29"/>
      <c r="D257" s="29"/>
      <c r="E257" s="29"/>
      <c r="F257" s="34" t="s">
        <v>73</v>
      </c>
      <c r="G257" s="33" t="e">
        <f>SUM(H257:J257)</f>
        <v>#REF!</v>
      </c>
      <c r="H257" s="24">
        <f>[2]PRE!E421</f>
        <v>0</v>
      </c>
      <c r="I257" s="32" t="e">
        <f>[1]Sheet1!K418</f>
        <v>#REF!</v>
      </c>
      <c r="J257" s="31" t="e">
        <f>[1]Sheet1!M418</f>
        <v>#REF!</v>
      </c>
      <c r="M257" s="24">
        <v>0</v>
      </c>
    </row>
    <row r="258" spans="1:13" s="23" customFormat="1" ht="15.75" customHeight="1">
      <c r="A258" s="30"/>
      <c r="B258" s="30"/>
      <c r="C258" s="29"/>
      <c r="D258" s="29"/>
      <c r="E258" s="29"/>
      <c r="F258" s="34" t="s">
        <v>72</v>
      </c>
      <c r="G258" s="33" t="e">
        <f>SUM(H258:J258)</f>
        <v>#REF!</v>
      </c>
      <c r="H258" s="24">
        <f>[2]PRE!E422</f>
        <v>102199.79</v>
      </c>
      <c r="I258" s="32" t="e">
        <f>[1]Sheet1!K419</f>
        <v>#REF!</v>
      </c>
      <c r="J258" s="31" t="e">
        <f>[1]Sheet1!M419</f>
        <v>#REF!</v>
      </c>
      <c r="M258" s="24">
        <v>99285.34</v>
      </c>
    </row>
    <row r="259" spans="1:13" s="23" customFormat="1" ht="15.75" customHeight="1">
      <c r="A259" s="30"/>
      <c r="B259" s="30"/>
      <c r="C259" s="29"/>
      <c r="D259" s="29"/>
      <c r="E259" s="29" t="s">
        <v>71</v>
      </c>
      <c r="F259" s="34"/>
      <c r="G259" s="38" t="e">
        <f>SUM(G260:G262)</f>
        <v>#REF!</v>
      </c>
      <c r="H259" s="35">
        <f>SUM(H260:H262)</f>
        <v>0</v>
      </c>
      <c r="I259" s="37" t="e">
        <f>SUM(I260:I262)</f>
        <v>#REF!</v>
      </c>
      <c r="J259" s="36" t="e">
        <f>SUM(J260:J262)</f>
        <v>#REF!</v>
      </c>
      <c r="M259" s="24">
        <v>0</v>
      </c>
    </row>
    <row r="260" spans="1:13" s="23" customFormat="1" ht="15.75" customHeight="1">
      <c r="A260" s="30"/>
      <c r="B260" s="30"/>
      <c r="C260" s="29"/>
      <c r="D260" s="29"/>
      <c r="E260" s="29"/>
      <c r="F260" s="34" t="s">
        <v>70</v>
      </c>
      <c r="G260" s="33" t="e">
        <f>SUM(H260:J260)</f>
        <v>#REF!</v>
      </c>
      <c r="H260" s="24">
        <f>[2]PRE!E423</f>
        <v>0</v>
      </c>
      <c r="I260" s="32" t="e">
        <f>[1]Sheet1!K420</f>
        <v>#REF!</v>
      </c>
      <c r="J260" s="31" t="e">
        <f>[1]Sheet1!M420</f>
        <v>#REF!</v>
      </c>
      <c r="M260" s="24">
        <v>0</v>
      </c>
    </row>
    <row r="261" spans="1:13" s="23" customFormat="1" ht="15.75" customHeight="1">
      <c r="A261" s="30"/>
      <c r="B261" s="30"/>
      <c r="C261" s="29"/>
      <c r="D261" s="29"/>
      <c r="E261" s="29"/>
      <c r="F261" s="34" t="s">
        <v>69</v>
      </c>
      <c r="G261" s="33" t="e">
        <f>SUM(H261:J261)</f>
        <v>#REF!</v>
      </c>
      <c r="H261" s="24">
        <f>[2]PRE!E424</f>
        <v>0</v>
      </c>
      <c r="I261" s="32" t="e">
        <f>[1]Sheet1!K421</f>
        <v>#REF!</v>
      </c>
      <c r="J261" s="31" t="e">
        <f>[1]Sheet1!M421</f>
        <v>#REF!</v>
      </c>
      <c r="M261" s="35">
        <v>0</v>
      </c>
    </row>
    <row r="262" spans="1:13" s="23" customFormat="1" ht="15.75" customHeight="1">
      <c r="A262" s="30"/>
      <c r="B262" s="30"/>
      <c r="C262" s="29"/>
      <c r="D262" s="29"/>
      <c r="E262" s="29"/>
      <c r="F262" s="34" t="s">
        <v>68</v>
      </c>
      <c r="G262" s="33" t="e">
        <f>SUM(H262:J262)</f>
        <v>#REF!</v>
      </c>
      <c r="H262" s="24">
        <f>[2]PRE!E425</f>
        <v>0</v>
      </c>
      <c r="I262" s="32" t="e">
        <f>[1]Sheet1!K422</f>
        <v>#REF!</v>
      </c>
      <c r="J262" s="31" t="e">
        <f>[1]Sheet1!M422</f>
        <v>#REF!</v>
      </c>
      <c r="M262" s="24">
        <v>0</v>
      </c>
    </row>
    <row r="263" spans="1:13" s="23" customFormat="1" ht="15.75" customHeight="1">
      <c r="A263" s="30"/>
      <c r="B263" s="30"/>
      <c r="C263" s="29"/>
      <c r="D263" s="29"/>
      <c r="E263" s="29" t="s">
        <v>67</v>
      </c>
      <c r="F263" s="34"/>
      <c r="G263" s="46" t="e">
        <f>SUM(G264:G267)</f>
        <v>#REF!</v>
      </c>
      <c r="H263" s="35">
        <f>SUM(H264:H267)</f>
        <v>11359838.219999999</v>
      </c>
      <c r="I263" s="45" t="e">
        <f>SUM(I264:I267)</f>
        <v>#REF!</v>
      </c>
      <c r="J263" s="44" t="e">
        <f>SUM(J264:J267)</f>
        <v>#REF!</v>
      </c>
      <c r="M263" s="24">
        <v>13694107.869999999</v>
      </c>
    </row>
    <row r="264" spans="1:13" s="23" customFormat="1" ht="15.75" customHeight="1">
      <c r="A264" s="30"/>
      <c r="B264" s="30"/>
      <c r="C264" s="29"/>
      <c r="D264" s="29"/>
      <c r="E264" s="29"/>
      <c r="F264" s="34" t="s">
        <v>66</v>
      </c>
      <c r="G264" s="33" t="e">
        <f>SUM(H264:J264)</f>
        <v>#REF!</v>
      </c>
      <c r="H264" s="24">
        <f>[2]PRE!E426</f>
        <v>5223930.01</v>
      </c>
      <c r="I264" s="32" t="e">
        <f>[1]Sheet1!K423</f>
        <v>#REF!</v>
      </c>
      <c r="J264" s="31" t="e">
        <f>[1]Sheet1!M423</f>
        <v>#REF!</v>
      </c>
      <c r="M264" s="24">
        <v>5943250.0199999996</v>
      </c>
    </row>
    <row r="265" spans="1:13" s="23" customFormat="1" ht="15.75" customHeight="1">
      <c r="A265" s="30"/>
      <c r="B265" s="30"/>
      <c r="C265" s="29"/>
      <c r="D265" s="29"/>
      <c r="E265" s="29"/>
      <c r="F265" s="34" t="s">
        <v>65</v>
      </c>
      <c r="G265" s="33" t="e">
        <f>SUM(H265:J265)</f>
        <v>#REF!</v>
      </c>
      <c r="H265" s="24">
        <f>[2]PRE!E427</f>
        <v>1351808.94</v>
      </c>
      <c r="I265" s="32" t="e">
        <f>[1]Sheet1!K424</f>
        <v>#REF!</v>
      </c>
      <c r="J265" s="31" t="e">
        <f>[1]Sheet1!M424</f>
        <v>#REF!</v>
      </c>
      <c r="M265" s="35">
        <v>1496728.8</v>
      </c>
    </row>
    <row r="266" spans="1:13" s="23" customFormat="1" ht="15.75" customHeight="1">
      <c r="A266" s="30"/>
      <c r="B266" s="30"/>
      <c r="C266" s="29"/>
      <c r="D266" s="29"/>
      <c r="E266" s="29"/>
      <c r="F266" s="34" t="s">
        <v>64</v>
      </c>
      <c r="G266" s="33" t="e">
        <f>SUM(H266:J266)</f>
        <v>#REF!</v>
      </c>
      <c r="H266" s="24">
        <f>[2]PRE!E428</f>
        <v>4696405.79</v>
      </c>
      <c r="I266" s="32" t="e">
        <f>[1]Sheet1!K425</f>
        <v>#REF!</v>
      </c>
      <c r="J266" s="31" t="e">
        <f>[1]Sheet1!M425</f>
        <v>#REF!</v>
      </c>
      <c r="M266" s="24">
        <v>6156404.4400000004</v>
      </c>
    </row>
    <row r="267" spans="1:13" s="23" customFormat="1" ht="15.75" customHeight="1">
      <c r="A267" s="30"/>
      <c r="B267" s="30"/>
      <c r="C267" s="29"/>
      <c r="D267" s="29"/>
      <c r="E267" s="29"/>
      <c r="F267" s="34" t="s">
        <v>63</v>
      </c>
      <c r="G267" s="33" t="e">
        <f>SUM(H267:J267)</f>
        <v>#REF!</v>
      </c>
      <c r="H267" s="24">
        <f>[2]PRE!E429</f>
        <v>87693.48</v>
      </c>
      <c r="I267" s="32" t="e">
        <f>[1]Sheet1!K426</f>
        <v>#REF!</v>
      </c>
      <c r="J267" s="31" t="e">
        <f>[1]Sheet1!M426</f>
        <v>#REF!</v>
      </c>
      <c r="M267" s="24">
        <v>97724.61</v>
      </c>
    </row>
    <row r="268" spans="1:13" s="23" customFormat="1" ht="15.75" customHeight="1">
      <c r="A268" s="30"/>
      <c r="B268" s="30"/>
      <c r="C268" s="29"/>
      <c r="D268" s="29"/>
      <c r="E268" s="29" t="s">
        <v>62</v>
      </c>
      <c r="F268" s="34"/>
      <c r="G268" s="38" t="e">
        <f>SUM(G269:G280)</f>
        <v>#REF!</v>
      </c>
      <c r="H268" s="35">
        <f>SUM(H269:H280)</f>
        <v>17192309.919999998</v>
      </c>
      <c r="I268" s="37" t="e">
        <f>SUM(I269:I280)</f>
        <v>#REF!</v>
      </c>
      <c r="J268" s="36" t="e">
        <f>SUM(J269:J280)</f>
        <v>#REF!</v>
      </c>
      <c r="M268" s="24">
        <v>15105592.989999998</v>
      </c>
    </row>
    <row r="269" spans="1:13" s="23" customFormat="1" ht="15.75" customHeight="1">
      <c r="A269" s="30"/>
      <c r="B269" s="30"/>
      <c r="C269" s="29"/>
      <c r="D269" s="29"/>
      <c r="E269" s="29"/>
      <c r="F269" s="34" t="s">
        <v>61</v>
      </c>
      <c r="G269" s="33" t="e">
        <f>SUM(H269:J269)</f>
        <v>#REF!</v>
      </c>
      <c r="H269" s="24">
        <f>[2]PRE!E430</f>
        <v>8675228.7599999998</v>
      </c>
      <c r="I269" s="32" t="e">
        <f>[1]Sheet1!K427</f>
        <v>#REF!</v>
      </c>
      <c r="J269" s="31" t="e">
        <f>[1]Sheet1!M427</f>
        <v>#REF!</v>
      </c>
      <c r="M269" s="24">
        <v>6967195.71</v>
      </c>
    </row>
    <row r="270" spans="1:13" s="23" customFormat="1" ht="15.75" customHeight="1">
      <c r="A270" s="30"/>
      <c r="B270" s="30"/>
      <c r="C270" s="29"/>
      <c r="D270" s="29"/>
      <c r="E270" s="29"/>
      <c r="F270" s="34" t="s">
        <v>60</v>
      </c>
      <c r="G270" s="33" t="e">
        <f>SUM(H270:J270)</f>
        <v>#REF!</v>
      </c>
      <c r="H270" s="24">
        <f>[2]PRE!E431</f>
        <v>1641445.44</v>
      </c>
      <c r="I270" s="32" t="e">
        <f>[1]Sheet1!K428</f>
        <v>#REF!</v>
      </c>
      <c r="J270" s="31" t="e">
        <f>[1]Sheet1!M428</f>
        <v>#REF!</v>
      </c>
      <c r="M270" s="35">
        <v>1280729.3999999999</v>
      </c>
    </row>
    <row r="271" spans="1:13" s="23" customFormat="1" ht="15.75" customHeight="1">
      <c r="A271" s="30"/>
      <c r="B271" s="30"/>
      <c r="C271" s="29"/>
      <c r="D271" s="29"/>
      <c r="E271" s="29"/>
      <c r="F271" s="34" t="s">
        <v>59</v>
      </c>
      <c r="G271" s="33" t="e">
        <f>SUM(H271:J271)</f>
        <v>#REF!</v>
      </c>
      <c r="H271" s="24">
        <f>[2]PRE!E432</f>
        <v>0</v>
      </c>
      <c r="I271" s="32" t="e">
        <f>[1]Sheet1!K429</f>
        <v>#REF!</v>
      </c>
      <c r="J271" s="31" t="e">
        <f>[1]Sheet1!M429</f>
        <v>#REF!</v>
      </c>
      <c r="M271" s="24">
        <v>0</v>
      </c>
    </row>
    <row r="272" spans="1:13" s="23" customFormat="1" ht="15.75" customHeight="1">
      <c r="A272" s="30"/>
      <c r="B272" s="30"/>
      <c r="C272" s="29"/>
      <c r="D272" s="29"/>
      <c r="E272" s="29"/>
      <c r="F272" s="34" t="s">
        <v>58</v>
      </c>
      <c r="G272" s="33" t="e">
        <f>SUM(H272:J272)</f>
        <v>#REF!</v>
      </c>
      <c r="H272" s="24">
        <f>[2]PRE!E433</f>
        <v>771779.74</v>
      </c>
      <c r="I272" s="32" t="e">
        <f>[1]Sheet1!K430</f>
        <v>#REF!</v>
      </c>
      <c r="J272" s="31" t="e">
        <f>[1]Sheet1!M430</f>
        <v>#REF!</v>
      </c>
      <c r="M272" s="24">
        <v>706018.7</v>
      </c>
    </row>
    <row r="273" spans="1:13" s="23" customFormat="1" ht="15.75" customHeight="1">
      <c r="A273" s="30"/>
      <c r="B273" s="30"/>
      <c r="C273" s="29"/>
      <c r="D273" s="29"/>
      <c r="E273" s="29"/>
      <c r="F273" s="34" t="s">
        <v>57</v>
      </c>
      <c r="G273" s="33" t="e">
        <f>SUM(H273:J273)</f>
        <v>#REF!</v>
      </c>
      <c r="H273" s="24">
        <f>[2]PRE!E434</f>
        <v>3261445.37</v>
      </c>
      <c r="I273" s="32" t="e">
        <f>[1]Sheet1!K431</f>
        <v>#REF!</v>
      </c>
      <c r="J273" s="31" t="e">
        <f>[1]Sheet1!M431</f>
        <v>#REF!</v>
      </c>
      <c r="M273" s="24">
        <v>3295674</v>
      </c>
    </row>
    <row r="274" spans="1:13" s="23" customFormat="1" ht="15.75" customHeight="1">
      <c r="A274" s="30"/>
      <c r="B274" s="30"/>
      <c r="C274" s="29"/>
      <c r="D274" s="29"/>
      <c r="E274" s="29"/>
      <c r="F274" s="34" t="s">
        <v>56</v>
      </c>
      <c r="G274" s="33" t="e">
        <f>SUM(H274:J274)</f>
        <v>#REF!</v>
      </c>
      <c r="H274" s="24">
        <f>[2]PRE!E435</f>
        <v>14712</v>
      </c>
      <c r="I274" s="32" t="e">
        <f>[1]Sheet1!K432</f>
        <v>#REF!</v>
      </c>
      <c r="J274" s="31" t="e">
        <f>[1]Sheet1!M432</f>
        <v>#REF!</v>
      </c>
      <c r="M274" s="24">
        <v>0</v>
      </c>
    </row>
    <row r="275" spans="1:13" s="23" customFormat="1" ht="15.75" customHeight="1">
      <c r="A275" s="30"/>
      <c r="B275" s="30"/>
      <c r="C275" s="29"/>
      <c r="D275" s="29"/>
      <c r="E275" s="29"/>
      <c r="F275" s="34" t="s">
        <v>55</v>
      </c>
      <c r="G275" s="33" t="e">
        <f>SUM(H275:J275)</f>
        <v>#REF!</v>
      </c>
      <c r="H275" s="24">
        <f>[2]PRE!E436</f>
        <v>1763319.43</v>
      </c>
      <c r="I275" s="32" t="e">
        <f>[1]Sheet1!K433</f>
        <v>#REF!</v>
      </c>
      <c r="J275" s="31" t="e">
        <f>[1]Sheet1!M433</f>
        <v>#REF!</v>
      </c>
      <c r="M275" s="24">
        <v>1914083.24</v>
      </c>
    </row>
    <row r="276" spans="1:13" s="23" customFormat="1" ht="15.75" customHeight="1">
      <c r="A276" s="30"/>
      <c r="B276" s="30"/>
      <c r="C276" s="29"/>
      <c r="D276" s="29"/>
      <c r="E276" s="29"/>
      <c r="F276" s="34" t="s">
        <v>54</v>
      </c>
      <c r="G276" s="33" t="e">
        <f>SUM(H276:J276)</f>
        <v>#REF!</v>
      </c>
      <c r="H276" s="24">
        <f>[2]PRE!E437</f>
        <v>459603.68</v>
      </c>
      <c r="I276" s="32" t="e">
        <f>[1]Sheet1!K434</f>
        <v>#REF!</v>
      </c>
      <c r="J276" s="31" t="e">
        <f>[1]Sheet1!M434</f>
        <v>#REF!</v>
      </c>
      <c r="M276" s="24">
        <v>428324.51</v>
      </c>
    </row>
    <row r="277" spans="1:13" s="23" customFormat="1" ht="15.75" customHeight="1">
      <c r="A277" s="30"/>
      <c r="B277" s="30"/>
      <c r="C277" s="29"/>
      <c r="D277" s="29"/>
      <c r="E277" s="29"/>
      <c r="F277" s="34" t="s">
        <v>53</v>
      </c>
      <c r="G277" s="33" t="e">
        <f>SUM(H277:J277)</f>
        <v>#REF!</v>
      </c>
      <c r="H277" s="24">
        <f>[2]PRE!E438</f>
        <v>108897.17</v>
      </c>
      <c r="I277" s="32" t="e">
        <f>[1]Sheet1!K435</f>
        <v>#REF!</v>
      </c>
      <c r="J277" s="31" t="e">
        <f>[1]Sheet1!M435</f>
        <v>#REF!</v>
      </c>
      <c r="M277" s="24">
        <v>77523.679999999993</v>
      </c>
    </row>
    <row r="278" spans="1:13" s="23" customFormat="1" ht="15.75" customHeight="1">
      <c r="A278" s="30"/>
      <c r="B278" s="30"/>
      <c r="C278" s="29"/>
      <c r="D278" s="29"/>
      <c r="E278" s="29"/>
      <c r="F278" s="34" t="s">
        <v>52</v>
      </c>
      <c r="G278" s="33" t="e">
        <f>SUM(H278:J278)</f>
        <v>#REF!</v>
      </c>
      <c r="H278" s="24">
        <f>[2]PRE!E439</f>
        <v>42686.31</v>
      </c>
      <c r="I278" s="32" t="e">
        <f>[1]Sheet1!K436</f>
        <v>#REF!</v>
      </c>
      <c r="J278" s="31" t="e">
        <f>[1]Sheet1!M436</f>
        <v>#REF!</v>
      </c>
      <c r="M278" s="24">
        <v>0</v>
      </c>
    </row>
    <row r="279" spans="1:13" s="23" customFormat="1" ht="15.75" customHeight="1">
      <c r="A279" s="30"/>
      <c r="B279" s="30"/>
      <c r="C279" s="29"/>
      <c r="D279" s="29"/>
      <c r="E279" s="43"/>
      <c r="F279" s="34" t="s">
        <v>51</v>
      </c>
      <c r="G279" s="33" t="e">
        <f>SUM(H279:J279)</f>
        <v>#REF!</v>
      </c>
      <c r="H279" s="24">
        <f>[2]PRE!E440</f>
        <v>0</v>
      </c>
      <c r="I279" s="32" t="e">
        <f>[1]Sheet1!K437</f>
        <v>#REF!</v>
      </c>
      <c r="J279" s="31" t="e">
        <f>[1]Sheet1!M437</f>
        <v>#REF!</v>
      </c>
      <c r="M279" s="24">
        <v>0</v>
      </c>
    </row>
    <row r="280" spans="1:13" s="23" customFormat="1" ht="15.75" customHeight="1">
      <c r="A280" s="30"/>
      <c r="B280" s="30"/>
      <c r="C280" s="29"/>
      <c r="D280" s="29"/>
      <c r="E280" s="29"/>
      <c r="F280" s="34" t="s">
        <v>50</v>
      </c>
      <c r="G280" s="33" t="e">
        <f>SUM(H280:J280)</f>
        <v>#REF!</v>
      </c>
      <c r="H280" s="24">
        <f>[2]PRE!E441</f>
        <v>453192.02</v>
      </c>
      <c r="I280" s="32" t="e">
        <f>[1]Sheet1!K438</f>
        <v>#REF!</v>
      </c>
      <c r="J280" s="31" t="e">
        <f>[1]Sheet1!M438</f>
        <v>#REF!</v>
      </c>
      <c r="M280" s="24">
        <v>436043.75</v>
      </c>
    </row>
    <row r="281" spans="1:13" s="23" customFormat="1" ht="15.75" customHeight="1">
      <c r="A281" s="30"/>
      <c r="B281" s="30"/>
      <c r="C281" s="29"/>
      <c r="D281" s="29"/>
      <c r="E281" s="29" t="s">
        <v>49</v>
      </c>
      <c r="F281" s="34"/>
      <c r="G281" s="38" t="e">
        <f>SUM(G282:G286)</f>
        <v>#REF!</v>
      </c>
      <c r="H281" s="35">
        <f>SUM(H282:H286)</f>
        <v>11042423.800000001</v>
      </c>
      <c r="I281" s="37" t="e">
        <f>SUM(I282:I286)</f>
        <v>#REF!</v>
      </c>
      <c r="J281" s="36" t="e">
        <f>SUM(J282:J286)</f>
        <v>#REF!</v>
      </c>
      <c r="M281" s="24">
        <v>12189469.58</v>
      </c>
    </row>
    <row r="282" spans="1:13" s="23" customFormat="1" ht="15.75" customHeight="1">
      <c r="A282" s="30"/>
      <c r="B282" s="30"/>
      <c r="C282" s="29"/>
      <c r="D282" s="29"/>
      <c r="E282" s="29"/>
      <c r="F282" s="34" t="s">
        <v>48</v>
      </c>
      <c r="G282" s="33" t="e">
        <f>SUM(H282:J282)</f>
        <v>#REF!</v>
      </c>
      <c r="H282" s="24">
        <f>[2]PRE!E442</f>
        <v>10394441</v>
      </c>
      <c r="I282" s="32" t="e">
        <f>[1]Sheet1!K439</f>
        <v>#REF!</v>
      </c>
      <c r="J282" s="31" t="e">
        <f>[1]Sheet1!M439</f>
        <v>#REF!</v>
      </c>
      <c r="M282" s="24">
        <v>11763451.58</v>
      </c>
    </row>
    <row r="283" spans="1:13" s="23" customFormat="1" ht="15.75" customHeight="1">
      <c r="A283" s="30"/>
      <c r="B283" s="30"/>
      <c r="C283" s="29"/>
      <c r="D283" s="29"/>
      <c r="E283" s="29"/>
      <c r="F283" s="34" t="s">
        <v>47</v>
      </c>
      <c r="G283" s="33" t="e">
        <f>SUM(H283:J283)</f>
        <v>#REF!</v>
      </c>
      <c r="H283" s="24">
        <f>[2]PRE!E443</f>
        <v>0</v>
      </c>
      <c r="I283" s="32" t="e">
        <f>[1]Sheet1!K440</f>
        <v>#REF!</v>
      </c>
      <c r="J283" s="31" t="e">
        <f>[1]Sheet1!M440</f>
        <v>#REF!</v>
      </c>
      <c r="M283" s="35">
        <v>0</v>
      </c>
    </row>
    <row r="284" spans="1:13" s="23" customFormat="1" ht="15.75" customHeight="1">
      <c r="A284" s="30"/>
      <c r="B284" s="30"/>
      <c r="C284" s="29"/>
      <c r="D284" s="29"/>
      <c r="E284" s="29"/>
      <c r="F284" s="34" t="s">
        <v>46</v>
      </c>
      <c r="G284" s="33" t="e">
        <f>SUM(H284:J284)</f>
        <v>#REF!</v>
      </c>
      <c r="H284" s="24">
        <f>[2]PRE!E444</f>
        <v>0</v>
      </c>
      <c r="I284" s="32" t="e">
        <f>[1]Sheet1!K441</f>
        <v>#REF!</v>
      </c>
      <c r="J284" s="31" t="e">
        <f>[1]Sheet1!M441</f>
        <v>#REF!</v>
      </c>
      <c r="M284" s="24">
        <v>0</v>
      </c>
    </row>
    <row r="285" spans="1:13" s="23" customFormat="1" ht="15.75" customHeight="1">
      <c r="A285" s="30"/>
      <c r="B285" s="30"/>
      <c r="C285" s="29"/>
      <c r="D285" s="29"/>
      <c r="E285" s="29"/>
      <c r="F285" s="34" t="s">
        <v>45</v>
      </c>
      <c r="G285" s="33" t="e">
        <f>SUM(H285:J285)</f>
        <v>#REF!</v>
      </c>
      <c r="H285" s="24">
        <f>[2]PRE!E445</f>
        <v>647982.80000000005</v>
      </c>
      <c r="I285" s="32" t="e">
        <f>[1]Sheet1!K442</f>
        <v>#REF!</v>
      </c>
      <c r="J285" s="31" t="e">
        <f>[1]Sheet1!M442</f>
        <v>#REF!</v>
      </c>
      <c r="M285" s="24">
        <v>426018</v>
      </c>
    </row>
    <row r="286" spans="1:13" s="23" customFormat="1" ht="15.75" customHeight="1">
      <c r="A286" s="30"/>
      <c r="B286" s="30"/>
      <c r="C286" s="29"/>
      <c r="D286" s="29"/>
      <c r="E286" s="29"/>
      <c r="F286" s="34" t="s">
        <v>44</v>
      </c>
      <c r="G286" s="33" t="e">
        <f>SUM(H286:J286)</f>
        <v>#REF!</v>
      </c>
      <c r="H286" s="24">
        <f>[2]PRE!E446</f>
        <v>0</v>
      </c>
      <c r="I286" s="32" t="e">
        <f>[1]Sheet1!K443</f>
        <v>#REF!</v>
      </c>
      <c r="J286" s="31" t="e">
        <f>[1]Sheet1!M443</f>
        <v>#REF!</v>
      </c>
      <c r="M286" s="24">
        <v>0</v>
      </c>
    </row>
    <row r="287" spans="1:13" s="23" customFormat="1" ht="15.75" customHeight="1">
      <c r="A287" s="30"/>
      <c r="B287" s="30"/>
      <c r="C287" s="29"/>
      <c r="D287" s="43"/>
      <c r="E287" s="43" t="s">
        <v>43</v>
      </c>
      <c r="F287" s="34"/>
      <c r="G287" s="38" t="e">
        <f>+G288</f>
        <v>#REF!</v>
      </c>
      <c r="H287" s="35">
        <f>+H288</f>
        <v>1485918.37</v>
      </c>
      <c r="I287" s="37" t="e">
        <f>+I288</f>
        <v>#REF!</v>
      </c>
      <c r="J287" s="36" t="e">
        <f>+J288</f>
        <v>#REF!</v>
      </c>
      <c r="M287" s="24">
        <v>1388626.98</v>
      </c>
    </row>
    <row r="288" spans="1:13" s="23" customFormat="1" ht="15.75" customHeight="1">
      <c r="A288" s="30"/>
      <c r="B288" s="30"/>
      <c r="C288" s="29"/>
      <c r="D288" s="29"/>
      <c r="E288" s="29"/>
      <c r="F288" s="34" t="s">
        <v>42</v>
      </c>
      <c r="G288" s="33" t="e">
        <f>SUM(H288:J288)</f>
        <v>#REF!</v>
      </c>
      <c r="H288" s="24">
        <f>[2]PRE!E447</f>
        <v>1485918.37</v>
      </c>
      <c r="I288" s="32" t="e">
        <f>[1]Sheet1!K444</f>
        <v>#REF!</v>
      </c>
      <c r="J288" s="31" t="e">
        <f>[1]Sheet1!M444</f>
        <v>#REF!</v>
      </c>
      <c r="M288" s="24">
        <v>1388626.98</v>
      </c>
    </row>
    <row r="289" spans="1:13" s="23" customFormat="1" ht="15.75" customHeight="1">
      <c r="A289" s="30"/>
      <c r="B289" s="30"/>
      <c r="C289" s="29"/>
      <c r="D289" s="29"/>
      <c r="E289" s="43" t="s">
        <v>41</v>
      </c>
      <c r="F289" s="28"/>
      <c r="G289" s="33" t="e">
        <f>SUM(H289:J289)</f>
        <v>#REF!</v>
      </c>
      <c r="H289" s="24">
        <f>[2]PRE!E448</f>
        <v>0</v>
      </c>
      <c r="I289" s="32" t="e">
        <f>[1]Sheet1!K445</f>
        <v>#REF!</v>
      </c>
      <c r="J289" s="31" t="e">
        <f>[1]Sheet1!M445</f>
        <v>#REF!</v>
      </c>
      <c r="M289" s="35">
        <v>0</v>
      </c>
    </row>
    <row r="290" spans="1:13" s="23" customFormat="1" ht="15.75" customHeight="1">
      <c r="A290" s="30"/>
      <c r="B290" s="30"/>
      <c r="C290" s="29"/>
      <c r="D290" s="29"/>
      <c r="E290" s="43" t="s">
        <v>40</v>
      </c>
      <c r="F290" s="28"/>
      <c r="G290" s="33" t="e">
        <f>SUM(G291:G292)</f>
        <v>#REF!</v>
      </c>
      <c r="H290" s="24">
        <f>SUM(H291:H292)</f>
        <v>0</v>
      </c>
      <c r="I290" s="32" t="e">
        <f>SUM(I291:I292)</f>
        <v>#REF!</v>
      </c>
      <c r="J290" s="31" t="e">
        <f>SUM(J291:J292)</f>
        <v>#REF!</v>
      </c>
      <c r="M290" s="24">
        <v>0</v>
      </c>
    </row>
    <row r="291" spans="1:13" s="23" customFormat="1" ht="15.75" customHeight="1">
      <c r="A291" s="30"/>
      <c r="B291" s="30"/>
      <c r="C291" s="29"/>
      <c r="D291" s="29"/>
      <c r="E291" s="29"/>
      <c r="F291" s="34" t="s">
        <v>39</v>
      </c>
      <c r="G291" s="33" t="e">
        <f>SUM(H291:J291)</f>
        <v>#REF!</v>
      </c>
      <c r="H291" s="24">
        <f>[2]PRE!E450</f>
        <v>0</v>
      </c>
      <c r="I291" s="32" t="e">
        <f>[1]Sheet1!K446</f>
        <v>#REF!</v>
      </c>
      <c r="J291" s="31" t="e">
        <f>[1]Sheet1!M446</f>
        <v>#REF!</v>
      </c>
      <c r="M291" s="24">
        <v>0</v>
      </c>
    </row>
    <row r="292" spans="1:13" s="23" customFormat="1" ht="15.75" customHeight="1">
      <c r="A292" s="30"/>
      <c r="B292" s="30"/>
      <c r="C292" s="29"/>
      <c r="D292" s="29"/>
      <c r="E292" s="29"/>
      <c r="F292" s="34" t="s">
        <v>38</v>
      </c>
      <c r="G292" s="33" t="e">
        <f>SUM(H292:J292)</f>
        <v>#REF!</v>
      </c>
      <c r="H292" s="24">
        <f>[2]PRE!E451</f>
        <v>0</v>
      </c>
      <c r="I292" s="32" t="e">
        <f>[1]Sheet1!K447</f>
        <v>#REF!</v>
      </c>
      <c r="J292" s="31" t="e">
        <f>[1]Sheet1!M447</f>
        <v>#REF!</v>
      </c>
      <c r="M292" s="24">
        <v>0</v>
      </c>
    </row>
    <row r="293" spans="1:13" s="23" customFormat="1" ht="15.75" customHeight="1">
      <c r="A293" s="30"/>
      <c r="B293" s="30"/>
      <c r="C293" s="29"/>
      <c r="D293" s="29"/>
      <c r="E293" s="29" t="s">
        <v>37</v>
      </c>
      <c r="F293" s="34"/>
      <c r="G293" s="38" t="e">
        <f>SUM(G294:G295)</f>
        <v>#REF!</v>
      </c>
      <c r="H293" s="35">
        <f>SUM(H294:H295)</f>
        <v>0</v>
      </c>
      <c r="I293" s="37" t="e">
        <f>SUM(I294:I295)</f>
        <v>#REF!</v>
      </c>
      <c r="J293" s="36" t="e">
        <f>SUM(J294:J295)</f>
        <v>#REF!</v>
      </c>
      <c r="M293" s="24">
        <v>0</v>
      </c>
    </row>
    <row r="294" spans="1:13" s="23" customFormat="1" ht="15.75" customHeight="1">
      <c r="A294" s="30"/>
      <c r="B294" s="30"/>
      <c r="C294" s="29"/>
      <c r="D294" s="29"/>
      <c r="E294" s="29"/>
      <c r="F294" s="34" t="s">
        <v>36</v>
      </c>
      <c r="G294" s="33" t="e">
        <f>SUM(H294:J294)</f>
        <v>#REF!</v>
      </c>
      <c r="H294" s="24">
        <f>[2]PRE!E453</f>
        <v>0</v>
      </c>
      <c r="I294" s="32" t="e">
        <f>[1]Sheet1!K448</f>
        <v>#REF!</v>
      </c>
      <c r="J294" s="31" t="e">
        <f>[1]Sheet1!M448</f>
        <v>#REF!</v>
      </c>
      <c r="M294" s="24">
        <v>0</v>
      </c>
    </row>
    <row r="295" spans="1:13" s="23" customFormat="1" ht="15.75" customHeight="1">
      <c r="A295" s="30"/>
      <c r="B295" s="30"/>
      <c r="C295" s="29"/>
      <c r="D295" s="29"/>
      <c r="E295" s="29"/>
      <c r="F295" s="34" t="s">
        <v>35</v>
      </c>
      <c r="G295" s="33" t="e">
        <f>SUM(H295:J295)</f>
        <v>#REF!</v>
      </c>
      <c r="H295" s="24">
        <f>[2]PRE!E454</f>
        <v>0</v>
      </c>
      <c r="I295" s="32" t="e">
        <f>[1]Sheet1!K449</f>
        <v>#REF!</v>
      </c>
      <c r="J295" s="31" t="e">
        <f>[1]Sheet1!M449</f>
        <v>#REF!</v>
      </c>
      <c r="M295" s="35">
        <v>0</v>
      </c>
    </row>
    <row r="296" spans="1:13" s="23" customFormat="1" ht="15.75" customHeight="1">
      <c r="A296" s="30"/>
      <c r="B296" s="30"/>
      <c r="C296" s="29"/>
      <c r="D296" s="29" t="s">
        <v>34</v>
      </c>
      <c r="E296" s="29"/>
      <c r="F296" s="34"/>
      <c r="G296" s="38" t="e">
        <f>SUM(G297:G299)</f>
        <v>#REF!</v>
      </c>
      <c r="H296" s="35">
        <f>SUM(H297:H299)</f>
        <v>40134806.189999998</v>
      </c>
      <c r="I296" s="37" t="e">
        <f>SUM(I297:I299)</f>
        <v>#REF!</v>
      </c>
      <c r="J296" s="36" t="e">
        <f>SUM(J297:J299)</f>
        <v>#REF!</v>
      </c>
      <c r="M296" s="24">
        <v>34766328.130000003</v>
      </c>
    </row>
    <row r="297" spans="1:13" s="23" customFormat="1" ht="15.75" customHeight="1">
      <c r="A297" s="30"/>
      <c r="B297" s="30"/>
      <c r="C297" s="29"/>
      <c r="D297" s="29"/>
      <c r="E297" s="43" t="s">
        <v>33</v>
      </c>
      <c r="F297" s="28"/>
      <c r="G297" s="33" t="e">
        <f>SUM(H297:J297)</f>
        <v>#REF!</v>
      </c>
      <c r="H297" s="24">
        <f>[2]PRE!E454</f>
        <v>0</v>
      </c>
      <c r="I297" s="32" t="e">
        <f>[1]Sheet1!K451</f>
        <v>#REF!</v>
      </c>
      <c r="J297" s="31" t="e">
        <f>[1]Sheet1!M451</f>
        <v>#REF!</v>
      </c>
      <c r="M297" s="35">
        <v>0</v>
      </c>
    </row>
    <row r="298" spans="1:13" s="23" customFormat="1" ht="15.75" customHeight="1">
      <c r="A298" s="30"/>
      <c r="B298" s="30"/>
      <c r="C298" s="29"/>
      <c r="D298" s="29"/>
      <c r="E298" s="43" t="s">
        <v>32</v>
      </c>
      <c r="F298" s="28"/>
      <c r="G298" s="33" t="e">
        <f>SUM(H298:J298)</f>
        <v>#REF!</v>
      </c>
      <c r="H298" s="24">
        <f>[2]PRE!E455</f>
        <v>0</v>
      </c>
      <c r="I298" s="32" t="e">
        <f>[1]Sheet1!K452</f>
        <v>#REF!</v>
      </c>
      <c r="J298" s="31" t="e">
        <f>[1]Sheet1!M452</f>
        <v>#REF!</v>
      </c>
      <c r="M298" s="35">
        <v>0</v>
      </c>
    </row>
    <row r="299" spans="1:13" s="23" customFormat="1" ht="15.75" customHeight="1">
      <c r="A299" s="30"/>
      <c r="B299" s="30"/>
      <c r="C299" s="29"/>
      <c r="D299" s="29"/>
      <c r="E299" s="43" t="s">
        <v>31</v>
      </c>
      <c r="F299" s="28"/>
      <c r="G299" s="33" t="e">
        <f>SUM(H299:J299)</f>
        <v>#REF!</v>
      </c>
      <c r="H299" s="24">
        <f>[2]PRE!E456</f>
        <v>40134806.189999998</v>
      </c>
      <c r="I299" s="32" t="e">
        <f>[1]Sheet1!K453</f>
        <v>#REF!</v>
      </c>
      <c r="J299" s="31" t="e">
        <f>[1]Sheet1!M453</f>
        <v>#REF!</v>
      </c>
      <c r="M299" s="24">
        <v>34766328.130000003</v>
      </c>
    </row>
    <row r="300" spans="1:13" s="23" customFormat="1" ht="15.75" customHeight="1">
      <c r="A300" s="30"/>
      <c r="B300" s="30" t="s">
        <v>30</v>
      </c>
      <c r="C300" s="29"/>
      <c r="D300" s="29"/>
      <c r="E300" s="43"/>
      <c r="F300" s="28"/>
      <c r="G300" s="38" t="e">
        <f>SUM(G301:G306)</f>
        <v>#REF!</v>
      </c>
      <c r="H300" s="39">
        <f>SUM(H301:H306)</f>
        <v>8715478.120000001</v>
      </c>
      <c r="I300" s="37" t="e">
        <f>SUM(I301:I306)</f>
        <v>#REF!</v>
      </c>
      <c r="J300" s="36" t="e">
        <f>SUM(J301:J306)</f>
        <v>#REF!</v>
      </c>
      <c r="M300" s="24">
        <v>7487166.46</v>
      </c>
    </row>
    <row r="301" spans="1:13" s="23" customFormat="1" ht="15.75" customHeight="1">
      <c r="A301" s="30"/>
      <c r="B301" s="30"/>
      <c r="C301" s="29"/>
      <c r="D301" s="43" t="s">
        <v>29</v>
      </c>
      <c r="E301" s="29"/>
      <c r="F301" s="28"/>
      <c r="G301" s="33" t="e">
        <f>SUM(H301:J301)</f>
        <v>#REF!</v>
      </c>
      <c r="H301" s="24">
        <f>[2]PRE!E457</f>
        <v>281685.23</v>
      </c>
      <c r="I301" s="32" t="e">
        <f>[1]Sheet1!K454</f>
        <v>#REF!</v>
      </c>
      <c r="J301" s="31" t="e">
        <f>[1]Sheet1!M454</f>
        <v>#REF!</v>
      </c>
      <c r="M301" s="35">
        <v>1008183.37</v>
      </c>
    </row>
    <row r="302" spans="1:13" s="23" customFormat="1" ht="15.75" customHeight="1">
      <c r="A302" s="30"/>
      <c r="B302" s="30"/>
      <c r="C302" s="29"/>
      <c r="D302" s="43" t="s">
        <v>28</v>
      </c>
      <c r="E302" s="29"/>
      <c r="F302" s="28"/>
      <c r="G302" s="33" t="e">
        <f>SUM(H302:J302)</f>
        <v>#REF!</v>
      </c>
      <c r="H302" s="24">
        <f>[2]PRE!E458</f>
        <v>0</v>
      </c>
      <c r="I302" s="32" t="e">
        <f>[1]Sheet1!K455</f>
        <v>#REF!</v>
      </c>
      <c r="J302" s="31" t="e">
        <f>[1]Sheet1!M455</f>
        <v>#REF!</v>
      </c>
      <c r="M302" s="24">
        <v>0</v>
      </c>
    </row>
    <row r="303" spans="1:13" s="23" customFormat="1" ht="15.75" customHeight="1">
      <c r="A303" s="30"/>
      <c r="B303" s="30"/>
      <c r="C303" s="29"/>
      <c r="D303" s="43" t="s">
        <v>27</v>
      </c>
      <c r="E303" s="29"/>
      <c r="F303" s="28"/>
      <c r="G303" s="33" t="e">
        <f>SUM(H303:J303)</f>
        <v>#REF!</v>
      </c>
      <c r="H303" s="24">
        <f>[2]PRE!E459</f>
        <v>0</v>
      </c>
      <c r="I303" s="32" t="e">
        <f>[1]Sheet1!K456</f>
        <v>#REF!</v>
      </c>
      <c r="J303" s="31" t="e">
        <f>[1]Sheet1!M456</f>
        <v>#REF!</v>
      </c>
      <c r="M303" s="24">
        <v>0</v>
      </c>
    </row>
    <row r="304" spans="1:13" s="23" customFormat="1" ht="15.75" customHeight="1">
      <c r="A304" s="30"/>
      <c r="B304" s="30"/>
      <c r="C304" s="29"/>
      <c r="D304" s="43" t="s">
        <v>26</v>
      </c>
      <c r="E304" s="29"/>
      <c r="F304" s="28"/>
      <c r="G304" s="33" t="e">
        <f>SUM(H304:J304)</f>
        <v>#REF!</v>
      </c>
      <c r="H304" s="24">
        <f>[2]PRE!E460</f>
        <v>2978.5</v>
      </c>
      <c r="I304" s="32" t="e">
        <f>[1]Sheet1!K457</f>
        <v>#REF!</v>
      </c>
      <c r="J304" s="31" t="e">
        <f>[1]Sheet1!M457</f>
        <v>#REF!</v>
      </c>
      <c r="M304" s="24">
        <v>24797</v>
      </c>
    </row>
    <row r="305" spans="1:13" s="23" customFormat="1" ht="15.75" customHeight="1">
      <c r="A305" s="30"/>
      <c r="B305" s="30"/>
      <c r="C305" s="29"/>
      <c r="D305" s="43" t="s">
        <v>25</v>
      </c>
      <c r="E305" s="29"/>
      <c r="F305" s="28"/>
      <c r="G305" s="33" t="e">
        <f>SUM(H305:J305)</f>
        <v>#REF!</v>
      </c>
      <c r="H305" s="24">
        <f>[2]PRE!E461</f>
        <v>8429168.7400000002</v>
      </c>
      <c r="I305" s="32" t="e">
        <f>[1]Sheet1!K458</f>
        <v>#REF!</v>
      </c>
      <c r="J305" s="31" t="e">
        <f>[1]Sheet1!M458</f>
        <v>#REF!</v>
      </c>
      <c r="M305" s="24">
        <v>6454030.9699999997</v>
      </c>
    </row>
    <row r="306" spans="1:13" s="23" customFormat="1" ht="15.75" customHeight="1">
      <c r="A306" s="30"/>
      <c r="B306" s="30"/>
      <c r="C306" s="29"/>
      <c r="D306" s="43" t="s">
        <v>24</v>
      </c>
      <c r="E306" s="29"/>
      <c r="F306" s="28"/>
      <c r="G306" s="33" t="e">
        <f>SUM(H306:J306)</f>
        <v>#REF!</v>
      </c>
      <c r="H306" s="24">
        <f>[2]PRE!E462</f>
        <v>1645.65</v>
      </c>
      <c r="I306" s="32" t="e">
        <f>[1]Sheet1!K459</f>
        <v>#REF!</v>
      </c>
      <c r="J306" s="31" t="e">
        <f>[1]Sheet1!M459</f>
        <v>#REF!</v>
      </c>
      <c r="M306" s="24">
        <v>155.12</v>
      </c>
    </row>
    <row r="307" spans="1:13" s="23" customFormat="1" ht="15.75" customHeight="1">
      <c r="A307" s="30"/>
      <c r="B307" s="30" t="s">
        <v>23</v>
      </c>
      <c r="C307" s="29"/>
      <c r="D307" s="43"/>
      <c r="E307" s="29"/>
      <c r="F307" s="28"/>
      <c r="G307" s="38" t="e">
        <f>+G300+G134+G96</f>
        <v>#REF!</v>
      </c>
      <c r="H307" s="39">
        <f>+H300+H134+H96</f>
        <v>708114799.24000001</v>
      </c>
      <c r="I307" s="37" t="e">
        <f>+I300+I134+I96</f>
        <v>#REF!</v>
      </c>
      <c r="J307" s="36" t="e">
        <f>+J300+J134+J96</f>
        <v>#REF!</v>
      </c>
      <c r="K307" s="23" t="e">
        <f>+H307-[3]PRE!$C$19</f>
        <v>#REF!</v>
      </c>
      <c r="M307" s="24">
        <v>691146146.51999998</v>
      </c>
    </row>
    <row r="308" spans="1:13" s="23" customFormat="1" ht="19.5">
      <c r="A308" s="42" t="s">
        <v>22</v>
      </c>
      <c r="B308" s="41"/>
      <c r="C308" s="41"/>
      <c r="D308" s="41"/>
      <c r="E308" s="41"/>
      <c r="F308" s="40"/>
      <c r="G308" s="38" t="e">
        <f>+G94-G307</f>
        <v>#REF!</v>
      </c>
      <c r="H308" s="39">
        <f>+H94-H307</f>
        <v>237292484.34000003</v>
      </c>
      <c r="I308" s="37" t="e">
        <f>+I94-I307</f>
        <v>#REF!</v>
      </c>
      <c r="J308" s="36" t="e">
        <f>+J94-J307</f>
        <v>#REF!</v>
      </c>
      <c r="M308" s="35">
        <v>194222800.92000008</v>
      </c>
    </row>
    <row r="309" spans="1:13" s="23" customFormat="1" ht="15.75" customHeight="1">
      <c r="A309" s="30" t="s">
        <v>19</v>
      </c>
      <c r="B309" s="30"/>
      <c r="C309" s="29"/>
      <c r="D309" s="29"/>
      <c r="E309" s="29"/>
      <c r="F309" s="34" t="s">
        <v>21</v>
      </c>
      <c r="G309" s="33" t="e">
        <f>SUM(H309:J309)</f>
        <v>#REF!</v>
      </c>
      <c r="H309" s="24">
        <f>[2]PRE!H400</f>
        <v>0</v>
      </c>
      <c r="I309" s="32" t="e">
        <f>[1]Sheet1!L259</f>
        <v>#REF!</v>
      </c>
      <c r="J309" s="31" t="e">
        <f>[1]Sheet1!N259</f>
        <v>#REF!</v>
      </c>
      <c r="M309" s="35">
        <v>0</v>
      </c>
    </row>
    <row r="310" spans="1:13" s="23" customFormat="1" ht="15.75" customHeight="1">
      <c r="A310" s="30"/>
      <c r="B310" s="30"/>
      <c r="C310" s="29"/>
      <c r="D310" s="29"/>
      <c r="E310" s="29"/>
      <c r="F310" s="34" t="s">
        <v>20</v>
      </c>
      <c r="G310" s="33" t="e">
        <f>SUM(H310:J310)</f>
        <v>#REF!</v>
      </c>
      <c r="H310" s="24">
        <f>[2]PRE!H401</f>
        <v>0</v>
      </c>
      <c r="I310" s="32" t="e">
        <f>[1]Sheet1!L260</f>
        <v>#REF!</v>
      </c>
      <c r="J310" s="31" t="e">
        <f>[1]Sheet1!N260</f>
        <v>#REF!</v>
      </c>
      <c r="M310" s="35">
        <v>0</v>
      </c>
    </row>
    <row r="311" spans="1:13" s="23" customFormat="1" ht="15.75" customHeight="1">
      <c r="A311" s="30" t="s">
        <v>19</v>
      </c>
      <c r="B311" s="30"/>
      <c r="C311" s="29"/>
      <c r="D311" s="29"/>
      <c r="E311" s="29"/>
      <c r="F311" s="34" t="s">
        <v>18</v>
      </c>
      <c r="G311" s="33" t="e">
        <f>SUM(H311:J311)</f>
        <v>#REF!</v>
      </c>
      <c r="H311" s="24">
        <f>[2]PRE!H402</f>
        <v>0</v>
      </c>
      <c r="I311" s="32" t="e">
        <f>[1]Sheet1!L261</f>
        <v>#REF!</v>
      </c>
      <c r="J311" s="31" t="e">
        <f>[1]Sheet1!N261</f>
        <v>#REF!</v>
      </c>
      <c r="M311" s="24">
        <v>0</v>
      </c>
    </row>
    <row r="312" spans="1:13" s="23" customFormat="1" ht="15.75" customHeight="1">
      <c r="A312" s="30"/>
      <c r="B312" s="30"/>
      <c r="C312" s="29"/>
      <c r="D312" s="29"/>
      <c r="E312" s="29"/>
      <c r="F312" s="34" t="s">
        <v>10</v>
      </c>
      <c r="G312" s="38" t="e">
        <f>SUM(G309:G311)</f>
        <v>#REF!</v>
      </c>
      <c r="H312" s="35">
        <f>SUM(H309:H311)</f>
        <v>0</v>
      </c>
      <c r="I312" s="37" t="e">
        <f>SUM(I309:I311)</f>
        <v>#REF!</v>
      </c>
      <c r="J312" s="36" t="e">
        <f>SUM(J309:J311)</f>
        <v>#REF!</v>
      </c>
      <c r="M312" s="24">
        <v>0</v>
      </c>
    </row>
    <row r="313" spans="1:13" s="23" customFormat="1" ht="15.75" customHeight="1">
      <c r="A313" s="30" t="s">
        <v>16</v>
      </c>
      <c r="B313" s="30"/>
      <c r="C313" s="29"/>
      <c r="D313" s="29"/>
      <c r="E313" s="29"/>
      <c r="F313" s="34" t="s">
        <v>17</v>
      </c>
      <c r="G313" s="33" t="e">
        <f>SUM(H313:J313)</f>
        <v>#REF!</v>
      </c>
      <c r="H313" s="24">
        <f>[2]PRE!E400</f>
        <v>0</v>
      </c>
      <c r="I313" s="32" t="e">
        <f>[1]Sheet1!K397</f>
        <v>#REF!</v>
      </c>
      <c r="J313" s="31" t="e">
        <f>[1]Sheet1!M397</f>
        <v>#REF!</v>
      </c>
      <c r="M313" s="24">
        <v>0</v>
      </c>
    </row>
    <row r="314" spans="1:13" s="23" customFormat="1" ht="15.75" customHeight="1">
      <c r="A314" s="30" t="s">
        <v>16</v>
      </c>
      <c r="B314" s="30"/>
      <c r="C314" s="29"/>
      <c r="D314" s="29"/>
      <c r="E314" s="29"/>
      <c r="F314" s="34" t="s">
        <v>15</v>
      </c>
      <c r="G314" s="33" t="e">
        <f>SUM(H314:J314)</f>
        <v>#REF!</v>
      </c>
      <c r="H314" s="24">
        <f>[2]PRE!E401</f>
        <v>0</v>
      </c>
      <c r="I314" s="32" t="e">
        <f>[1]Sheet1!K398</f>
        <v>#REF!</v>
      </c>
      <c r="J314" s="31" t="e">
        <f>[1]Sheet1!M398</f>
        <v>#REF!</v>
      </c>
      <c r="M314" s="35">
        <v>0</v>
      </c>
    </row>
    <row r="315" spans="1:13" s="23" customFormat="1" ht="15.75" customHeight="1">
      <c r="A315" s="30"/>
      <c r="B315" s="30"/>
      <c r="C315" s="29"/>
      <c r="D315" s="29"/>
      <c r="E315" s="29"/>
      <c r="F315" s="34" t="s">
        <v>14</v>
      </c>
      <c r="G315" s="33" t="e">
        <f>SUM(H315:J315)</f>
        <v>#REF!</v>
      </c>
      <c r="H315" s="24">
        <f>[2]PRE!E402</f>
        <v>0</v>
      </c>
      <c r="I315" s="32" t="e">
        <f>[1]Sheet1!K399</f>
        <v>#REF!</v>
      </c>
      <c r="J315" s="31" t="e">
        <f>[1]Sheet1!M399</f>
        <v>#REF!</v>
      </c>
      <c r="M315" s="24">
        <v>0</v>
      </c>
    </row>
    <row r="316" spans="1:13" s="23" customFormat="1" ht="15.75" customHeight="1">
      <c r="A316" s="30"/>
      <c r="B316" s="30"/>
      <c r="C316" s="29"/>
      <c r="D316" s="29"/>
      <c r="E316" s="29"/>
      <c r="F316" s="34" t="s">
        <v>13</v>
      </c>
      <c r="G316" s="33" t="e">
        <f>SUM(H316:J316)</f>
        <v>#REF!</v>
      </c>
      <c r="H316" s="24">
        <f>[2]PRE!E403</f>
        <v>0</v>
      </c>
      <c r="I316" s="32" t="e">
        <f>[1]Sheet1!K400</f>
        <v>#REF!</v>
      </c>
      <c r="J316" s="31" t="e">
        <f>[1]Sheet1!M400</f>
        <v>#REF!</v>
      </c>
      <c r="M316" s="24">
        <v>0</v>
      </c>
    </row>
    <row r="317" spans="1:13" s="23" customFormat="1" ht="15.75" customHeight="1">
      <c r="A317" s="30"/>
      <c r="B317" s="30"/>
      <c r="C317" s="29"/>
      <c r="D317" s="29"/>
      <c r="E317" s="29"/>
      <c r="F317" s="34" t="s">
        <v>12</v>
      </c>
      <c r="G317" s="33" t="e">
        <f>SUM(H317:J317)</f>
        <v>#REF!</v>
      </c>
      <c r="H317" s="24">
        <f>[2]PRE!E404</f>
        <v>7619663.4800000004</v>
      </c>
      <c r="I317" s="32" t="e">
        <f>[1]Sheet1!K401</f>
        <v>#REF!</v>
      </c>
      <c r="J317" s="31" t="e">
        <f>[1]Sheet1!M401</f>
        <v>#REF!</v>
      </c>
      <c r="M317" s="24">
        <v>6387432.4000000004</v>
      </c>
    </row>
    <row r="318" spans="1:13" s="23" customFormat="1" ht="15.75" customHeight="1">
      <c r="A318" s="30"/>
      <c r="B318" s="30"/>
      <c r="C318" s="29"/>
      <c r="D318" s="29"/>
      <c r="E318" s="29"/>
      <c r="F318" s="34" t="s">
        <v>11</v>
      </c>
      <c r="G318" s="33" t="e">
        <f>SUM(H318:J318)</f>
        <v>#REF!</v>
      </c>
      <c r="H318" s="24">
        <f>[2]PRE!E405</f>
        <v>89258009.589999989</v>
      </c>
      <c r="I318" s="32" t="e">
        <f>[1]Sheet1!K402</f>
        <v>#REF!</v>
      </c>
      <c r="J318" s="31" t="e">
        <f>[1]Sheet1!M402</f>
        <v>#REF!</v>
      </c>
      <c r="M318" s="24">
        <v>77036509.219999999</v>
      </c>
    </row>
    <row r="319" spans="1:13" s="23" customFormat="1" ht="15.75" customHeight="1">
      <c r="A319" s="30"/>
      <c r="B319" s="30"/>
      <c r="C319" s="29"/>
      <c r="D319" s="29"/>
      <c r="E319" s="29"/>
      <c r="F319" s="34" t="s">
        <v>10</v>
      </c>
      <c r="G319" s="38" t="e">
        <f>SUM(G313:G318)</f>
        <v>#REF!</v>
      </c>
      <c r="H319" s="35">
        <f>SUM(H313:H318)</f>
        <v>96877673.069999993</v>
      </c>
      <c r="I319" s="37" t="e">
        <f>SUM(I313:I318)</f>
        <v>#REF!</v>
      </c>
      <c r="J319" s="36" t="e">
        <f>SUM(J313:J318)</f>
        <v>#REF!</v>
      </c>
      <c r="M319" s="24">
        <v>83423941.620000005</v>
      </c>
    </row>
    <row r="320" spans="1:13" s="23" customFormat="1" ht="15.75" customHeight="1">
      <c r="A320" s="30" t="s">
        <v>9</v>
      </c>
      <c r="B320" s="30"/>
      <c r="C320" s="29"/>
      <c r="D320" s="29"/>
      <c r="E320" s="29"/>
      <c r="F320" s="34"/>
      <c r="G320" s="38" t="e">
        <f>+G308+G312-G319</f>
        <v>#REF!</v>
      </c>
      <c r="H320" s="39">
        <f>+H308+H312-H319</f>
        <v>140414811.27000004</v>
      </c>
      <c r="I320" s="37" t="e">
        <f>+I308+I312-I319</f>
        <v>#REF!</v>
      </c>
      <c r="J320" s="36" t="e">
        <f>+J308+J312-J319</f>
        <v>#REF!</v>
      </c>
      <c r="M320" s="35">
        <v>110798859.30000007</v>
      </c>
    </row>
    <row r="321" spans="1:13" s="23" customFormat="1" ht="15.75" customHeight="1">
      <c r="A321" s="30" t="s">
        <v>8</v>
      </c>
      <c r="B321" s="30"/>
      <c r="C321" s="29"/>
      <c r="D321" s="29"/>
      <c r="E321" s="29"/>
      <c r="F321" s="34"/>
      <c r="G321" s="38" t="e">
        <f>SUM(G322:G324)</f>
        <v>#REF!</v>
      </c>
      <c r="H321" s="35">
        <f>SUM(H322:H324)</f>
        <v>0</v>
      </c>
      <c r="I321" s="37" t="e">
        <f>SUM(I322:I324)</f>
        <v>#REF!</v>
      </c>
      <c r="J321" s="36" t="e">
        <f>SUM(J322:J324)</f>
        <v>#REF!</v>
      </c>
      <c r="M321" s="35">
        <v>0</v>
      </c>
    </row>
    <row r="322" spans="1:13" s="23" customFormat="1" ht="15.75" customHeight="1">
      <c r="A322" s="30"/>
      <c r="B322" s="30"/>
      <c r="C322" s="29"/>
      <c r="D322" s="29"/>
      <c r="E322" s="29"/>
      <c r="F322" s="34" t="s">
        <v>7</v>
      </c>
      <c r="G322" s="33" t="e">
        <f>SUM(H322:J322)</f>
        <v>#REF!</v>
      </c>
      <c r="H322" s="24">
        <f>[2]PRE!H278</f>
        <v>0</v>
      </c>
      <c r="I322" s="32" t="e">
        <f>[1]Sheet1!L275-[1]Sheet1!K275</f>
        <v>#REF!</v>
      </c>
      <c r="J322" s="31" t="e">
        <f>[1]Sheet1!N275-[1]Sheet1!M275</f>
        <v>#REF!</v>
      </c>
      <c r="M322" s="35">
        <v>0</v>
      </c>
    </row>
    <row r="323" spans="1:13" s="23" customFormat="1" ht="15.75" customHeight="1">
      <c r="A323" s="30"/>
      <c r="B323" s="30"/>
      <c r="C323" s="29"/>
      <c r="D323" s="29"/>
      <c r="E323" s="29"/>
      <c r="F323" s="34" t="s">
        <v>6</v>
      </c>
      <c r="G323" s="33" t="e">
        <f>SUM(H323:J323)</f>
        <v>#REF!</v>
      </c>
      <c r="H323" s="24">
        <f>[2]PRE!H279</f>
        <v>0</v>
      </c>
      <c r="I323" s="32" t="e">
        <f>[1]Sheet1!L276-[1]Sheet1!K276</f>
        <v>#REF!</v>
      </c>
      <c r="J323" s="31" t="e">
        <f>[1]Sheet1!N276-[1]Sheet1!M276</f>
        <v>#REF!</v>
      </c>
      <c r="M323" s="24">
        <v>0</v>
      </c>
    </row>
    <row r="324" spans="1:13" s="23" customFormat="1" ht="15.75" customHeight="1">
      <c r="A324" s="30"/>
      <c r="B324" s="30"/>
      <c r="C324" s="29"/>
      <c r="D324" s="29"/>
      <c r="E324" s="29"/>
      <c r="F324" s="34" t="s">
        <v>5</v>
      </c>
      <c r="G324" s="33" t="e">
        <f>SUM(H324:J324)</f>
        <v>#REF!</v>
      </c>
      <c r="H324" s="24">
        <f>[2]PRE!H280</f>
        <v>0</v>
      </c>
      <c r="I324" s="32" t="e">
        <f>[1]Sheet1!L277-[1]Sheet1!K277</f>
        <v>#REF!</v>
      </c>
      <c r="J324" s="31" t="e">
        <f>[1]Sheet1!N277-[1]Sheet1!M277</f>
        <v>#REF!</v>
      </c>
      <c r="M324" s="24">
        <v>0</v>
      </c>
    </row>
    <row r="325" spans="1:13" s="23" customFormat="1" ht="20.25" customHeight="1">
      <c r="A325" s="30" t="s">
        <v>4</v>
      </c>
      <c r="B325" s="30"/>
      <c r="C325" s="29"/>
      <c r="D325" s="29"/>
      <c r="E325" s="29"/>
      <c r="F325" s="28"/>
      <c r="G325" s="27" t="e">
        <f>SUM(G322:G324)+G320</f>
        <v>#REF!</v>
      </c>
      <c r="H325" s="12">
        <f>SUM(H322:H324)+H320</f>
        <v>140414811.27000004</v>
      </c>
      <c r="I325" s="26" t="e">
        <f>SUM(I322:I324)+I320</f>
        <v>#REF!</v>
      </c>
      <c r="J325" s="25" t="e">
        <f>SUM(J322:J324)+J320</f>
        <v>#REF!</v>
      </c>
      <c r="M325" s="24">
        <v>110798859.30000007</v>
      </c>
    </row>
    <row r="326" spans="1:13" s="21" customFormat="1" ht="15.75" hidden="1" customHeight="1">
      <c r="A326" s="19"/>
      <c r="B326" s="19"/>
      <c r="C326" s="18"/>
      <c r="D326" s="18"/>
      <c r="E326" s="17"/>
      <c r="F326" s="16"/>
      <c r="G326" s="22"/>
      <c r="H326" s="11"/>
      <c r="I326" s="14"/>
      <c r="J326" s="13"/>
      <c r="M326" s="12">
        <f>SUM(M323:M325)+M321</f>
        <v>110798859.30000007</v>
      </c>
    </row>
    <row r="327" spans="1:13" ht="15.75" hidden="1" customHeight="1">
      <c r="A327" s="20" t="s">
        <v>3</v>
      </c>
      <c r="B327" s="19"/>
      <c r="C327" s="18"/>
      <c r="D327" s="18"/>
      <c r="E327" s="17"/>
      <c r="F327" s="16"/>
      <c r="G327" s="15" t="e">
        <f>+G325-[1]Sheet1!B13</f>
        <v>#REF!</v>
      </c>
      <c r="H327" s="11">
        <f>H325-[2]PRE!AH201</f>
        <v>0</v>
      </c>
      <c r="I327" s="14" t="e">
        <f>+I325-[1]Sheet1!D13</f>
        <v>#REF!</v>
      </c>
      <c r="J327" s="13" t="e">
        <f>+J325-[1]Sheet1!E13</f>
        <v>#REF!</v>
      </c>
      <c r="M327" s="12"/>
    </row>
    <row r="328" spans="1:13" ht="15.75" customHeight="1">
      <c r="M328" s="11"/>
    </row>
    <row r="329" spans="1:13" ht="15.75" customHeight="1">
      <c r="M329" s="11"/>
    </row>
    <row r="330" spans="1:13" ht="15.75" hidden="1" customHeight="1"/>
    <row r="332" spans="1:13" ht="15.75" customHeight="1">
      <c r="A332" s="1" t="s">
        <v>2</v>
      </c>
    </row>
    <row r="334" spans="1:13" ht="15.75" hidden="1" customHeight="1"/>
    <row r="335" spans="1:13" ht="15.75" hidden="1" customHeight="1"/>
    <row r="336" spans="1:13" ht="15.75" hidden="1" customHeight="1"/>
    <row r="338" spans="1:6" s="1" customFormat="1" ht="15.75" customHeight="1">
      <c r="D338" s="3"/>
      <c r="E338" s="5"/>
      <c r="F338" s="10"/>
    </row>
    <row r="339" spans="1:6" s="1" customFormat="1" ht="15.75" customHeight="1">
      <c r="A339" s="9" t="s">
        <v>1</v>
      </c>
      <c r="D339" s="3"/>
      <c r="E339" s="5"/>
      <c r="F339" s="8"/>
    </row>
    <row r="340" spans="1:6" s="1" customFormat="1" ht="15.75" customHeight="1">
      <c r="A340" s="7" t="s">
        <v>0</v>
      </c>
      <c r="B340" s="6"/>
      <c r="E340" s="5"/>
      <c r="F340" s="4"/>
    </row>
  </sheetData>
  <mergeCells count="14">
    <mergeCell ref="E188:F188"/>
    <mergeCell ref="E205:F205"/>
    <mergeCell ref="E228:F228"/>
    <mergeCell ref="E231:F231"/>
    <mergeCell ref="A308:F308"/>
    <mergeCell ref="C82:F82"/>
    <mergeCell ref="D236:F236"/>
    <mergeCell ref="A3:N3"/>
    <mergeCell ref="A2:N2"/>
    <mergeCell ref="A1:N1"/>
    <mergeCell ref="A8:M8"/>
    <mergeCell ref="A7:M7"/>
    <mergeCell ref="A6:M6"/>
    <mergeCell ref="A5:M5"/>
  </mergeCells>
  <printOptions horizontalCentered="1"/>
  <pageMargins left="1" right="1" top="1" bottom="1" header="0.5" footer="0.5"/>
  <pageSetup paperSize="258" scale="90" orientation="portrait" r:id="rId1"/>
  <headerFooter alignWithMargins="0"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BS</vt:lpstr>
      <vt:lpstr>SIE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ysaei</dc:creator>
  <cp:lastModifiedBy>ysaei</cp:lastModifiedBy>
  <dcterms:created xsi:type="dcterms:W3CDTF">2012-10-22T02:36:08Z</dcterms:created>
  <dcterms:modified xsi:type="dcterms:W3CDTF">2012-10-22T02:38:36Z</dcterms:modified>
</cp:coreProperties>
</file>